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15" i="1" l="1"/>
  <c r="O315" i="1"/>
  <c r="N315" i="1"/>
  <c r="K315" i="1"/>
  <c r="J315" i="1"/>
  <c r="Q314" i="1"/>
  <c r="O314" i="1"/>
  <c r="N314" i="1"/>
  <c r="K314" i="1"/>
  <c r="J314" i="1"/>
  <c r="Q313" i="1"/>
  <c r="O313" i="1"/>
  <c r="N313" i="1"/>
  <c r="K313" i="1"/>
  <c r="J313" i="1"/>
  <c r="Q312" i="1"/>
  <c r="O312" i="1"/>
  <c r="N312" i="1"/>
  <c r="K312" i="1"/>
  <c r="J312" i="1"/>
  <c r="Q311" i="1"/>
  <c r="O311" i="1"/>
  <c r="N311" i="1"/>
  <c r="K311" i="1"/>
  <c r="J311" i="1"/>
  <c r="Q310" i="1"/>
  <c r="O310" i="1"/>
  <c r="N310" i="1"/>
  <c r="K310" i="1"/>
  <c r="J310" i="1"/>
  <c r="Q309" i="1"/>
  <c r="O309" i="1"/>
  <c r="N309" i="1"/>
  <c r="K309" i="1"/>
  <c r="J309" i="1"/>
  <c r="Q308" i="1"/>
  <c r="O308" i="1"/>
  <c r="N308" i="1"/>
  <c r="K308" i="1"/>
  <c r="J308" i="1"/>
  <c r="Q307" i="1"/>
  <c r="O307" i="1"/>
  <c r="N307" i="1"/>
  <c r="K307" i="1"/>
  <c r="J307" i="1"/>
  <c r="Q306" i="1"/>
  <c r="O306" i="1"/>
  <c r="N306" i="1"/>
  <c r="K306" i="1"/>
  <c r="J306" i="1"/>
  <c r="Q305" i="1"/>
  <c r="O305" i="1"/>
  <c r="N305" i="1"/>
  <c r="K305" i="1"/>
  <c r="J305" i="1"/>
  <c r="Q304" i="1"/>
  <c r="O304" i="1"/>
  <c r="N304" i="1"/>
  <c r="K304" i="1"/>
  <c r="J304" i="1"/>
  <c r="Q303" i="1"/>
  <c r="O303" i="1"/>
  <c r="N303" i="1"/>
  <c r="K303" i="1"/>
  <c r="J303" i="1"/>
  <c r="Q302" i="1"/>
  <c r="O302" i="1"/>
  <c r="N302" i="1"/>
  <c r="K302" i="1"/>
  <c r="J302" i="1"/>
  <c r="Q301" i="1"/>
  <c r="O301" i="1"/>
  <c r="N301" i="1"/>
  <c r="K301" i="1"/>
  <c r="J301" i="1"/>
  <c r="Q300" i="1"/>
  <c r="O300" i="1"/>
  <c r="N300" i="1"/>
  <c r="K300" i="1"/>
  <c r="J300" i="1"/>
  <c r="Q299" i="1"/>
  <c r="O299" i="1"/>
  <c r="N299" i="1"/>
  <c r="K299" i="1"/>
  <c r="J299" i="1"/>
  <c r="Q298" i="1"/>
  <c r="O298" i="1"/>
  <c r="N298" i="1"/>
  <c r="K298" i="1"/>
  <c r="J298" i="1"/>
  <c r="Q297" i="1"/>
  <c r="O297" i="1"/>
  <c r="N297" i="1"/>
  <c r="K297" i="1"/>
  <c r="J297" i="1"/>
  <c r="Q296" i="1"/>
  <c r="O296" i="1"/>
  <c r="N296" i="1"/>
  <c r="K296" i="1"/>
  <c r="J296" i="1"/>
  <c r="Q295" i="1"/>
  <c r="O295" i="1"/>
  <c r="N295" i="1"/>
  <c r="K295" i="1"/>
  <c r="J295" i="1"/>
  <c r="Q294" i="1"/>
  <c r="O294" i="1"/>
  <c r="N294" i="1"/>
  <c r="K294" i="1"/>
  <c r="J294" i="1"/>
  <c r="Q293" i="1"/>
  <c r="O293" i="1"/>
  <c r="N293" i="1"/>
  <c r="K293" i="1"/>
  <c r="J293" i="1"/>
  <c r="Q292" i="1"/>
  <c r="O292" i="1"/>
  <c r="N292" i="1"/>
  <c r="K292" i="1"/>
  <c r="J292" i="1"/>
  <c r="Q291" i="1"/>
  <c r="O291" i="1"/>
  <c r="N291" i="1"/>
  <c r="K291" i="1"/>
  <c r="J291" i="1"/>
  <c r="Q290" i="1"/>
  <c r="O290" i="1"/>
  <c r="N290" i="1"/>
  <c r="K290" i="1"/>
  <c r="J290" i="1"/>
  <c r="Q289" i="1"/>
  <c r="O289" i="1"/>
  <c r="N289" i="1"/>
  <c r="K289" i="1"/>
  <c r="J28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85" i="1"/>
  <c r="O285" i="1"/>
  <c r="N285" i="1"/>
  <c r="K285" i="1"/>
  <c r="J285" i="1"/>
  <c r="Q284" i="1"/>
  <c r="O284" i="1"/>
  <c r="N284" i="1"/>
  <c r="K284" i="1"/>
  <c r="J284" i="1"/>
  <c r="Q283" i="1"/>
  <c r="O283" i="1"/>
  <c r="N283" i="1"/>
  <c r="K283" i="1"/>
  <c r="J283" i="1"/>
  <c r="Q282" i="1"/>
  <c r="O282" i="1"/>
  <c r="N282" i="1"/>
  <c r="K282" i="1"/>
  <c r="J282" i="1"/>
  <c r="Q281" i="1"/>
  <c r="O281" i="1"/>
  <c r="N281" i="1"/>
  <c r="K281" i="1"/>
  <c r="J281" i="1"/>
  <c r="Q280" i="1"/>
  <c r="O280" i="1"/>
  <c r="N280" i="1"/>
  <c r="K280" i="1"/>
  <c r="J280" i="1"/>
  <c r="Q279" i="1"/>
  <c r="O279" i="1"/>
  <c r="N279" i="1"/>
  <c r="K279" i="1"/>
  <c r="J279" i="1"/>
  <c r="Q278" i="1"/>
  <c r="O278" i="1"/>
  <c r="N278" i="1"/>
  <c r="K278" i="1"/>
  <c r="J278" i="1"/>
  <c r="Q277" i="1"/>
  <c r="O277" i="1"/>
  <c r="N277" i="1"/>
  <c r="K277" i="1"/>
  <c r="J277" i="1"/>
  <c r="Q276" i="1"/>
  <c r="O276" i="1"/>
  <c r="N276" i="1"/>
  <c r="K276" i="1"/>
  <c r="J276" i="1"/>
  <c r="Q275" i="1"/>
  <c r="O275" i="1"/>
  <c r="N275" i="1"/>
  <c r="K275" i="1"/>
  <c r="J275" i="1"/>
  <c r="Q274" i="1"/>
  <c r="O274" i="1"/>
  <c r="N274" i="1"/>
  <c r="K274" i="1"/>
  <c r="J274" i="1"/>
  <c r="Q273" i="1"/>
  <c r="O273" i="1"/>
  <c r="N273" i="1"/>
  <c r="K273" i="1"/>
  <c r="J273" i="1"/>
  <c r="Q272" i="1"/>
  <c r="O272" i="1"/>
  <c r="N272" i="1"/>
  <c r="K272" i="1"/>
  <c r="J272" i="1"/>
  <c r="Q271" i="1"/>
  <c r="O271" i="1"/>
  <c r="N271" i="1"/>
  <c r="K271" i="1"/>
  <c r="J271" i="1"/>
  <c r="Q270" i="1"/>
  <c r="O270" i="1"/>
  <c r="N270" i="1"/>
  <c r="K270" i="1"/>
  <c r="J270" i="1"/>
  <c r="Q269" i="1"/>
  <c r="O269" i="1"/>
  <c r="N269" i="1"/>
  <c r="K269" i="1"/>
  <c r="J269" i="1"/>
  <c r="Q268" i="1"/>
  <c r="O268" i="1"/>
  <c r="N268" i="1"/>
  <c r="K268" i="1"/>
  <c r="J268" i="1"/>
  <c r="Q267" i="1"/>
  <c r="O267" i="1"/>
  <c r="N267" i="1"/>
  <c r="K267" i="1"/>
  <c r="J267" i="1"/>
  <c r="Q266" i="1"/>
  <c r="O266" i="1"/>
  <c r="N266" i="1"/>
  <c r="K266" i="1"/>
  <c r="J266" i="1"/>
  <c r="Q265" i="1"/>
  <c r="O265" i="1"/>
  <c r="N265" i="1"/>
  <c r="K265" i="1"/>
  <c r="J265" i="1"/>
  <c r="Q264" i="1"/>
  <c r="O264" i="1"/>
  <c r="N264" i="1"/>
  <c r="K264" i="1"/>
  <c r="J264" i="1"/>
  <c r="Q263" i="1"/>
  <c r="O263" i="1"/>
  <c r="N263" i="1"/>
  <c r="K263" i="1"/>
  <c r="J263" i="1"/>
  <c r="Q262" i="1"/>
  <c r="O262" i="1"/>
  <c r="N262" i="1"/>
  <c r="K262" i="1"/>
  <c r="J262" i="1"/>
  <c r="Q261" i="1"/>
  <c r="O261" i="1"/>
  <c r="N261" i="1"/>
  <c r="K261" i="1"/>
  <c r="J261" i="1"/>
  <c r="Q260" i="1"/>
  <c r="O260" i="1"/>
  <c r="N260" i="1"/>
  <c r="K260" i="1"/>
  <c r="J260" i="1"/>
  <c r="Q259" i="1"/>
  <c r="O259" i="1"/>
  <c r="N259" i="1"/>
  <c r="K259" i="1"/>
  <c r="J259" i="1"/>
  <c r="Q258" i="1"/>
  <c r="O258" i="1"/>
  <c r="N258" i="1"/>
  <c r="K258" i="1"/>
  <c r="J258" i="1"/>
  <c r="Q257" i="1"/>
  <c r="O257" i="1"/>
  <c r="N257" i="1"/>
  <c r="K257" i="1"/>
  <c r="J257" i="1"/>
  <c r="Q256" i="1"/>
  <c r="O256" i="1"/>
  <c r="N256" i="1"/>
  <c r="K256" i="1"/>
  <c r="J256" i="1"/>
  <c r="Q255" i="1"/>
  <c r="O255" i="1"/>
  <c r="N255" i="1"/>
  <c r="K255" i="1"/>
  <c r="J255" i="1"/>
  <c r="Q254" i="1"/>
  <c r="O254" i="1"/>
  <c r="N254" i="1"/>
  <c r="K254" i="1"/>
  <c r="J254" i="1"/>
  <c r="Q253" i="1"/>
  <c r="O253" i="1"/>
  <c r="N253" i="1"/>
  <c r="K253" i="1"/>
  <c r="J253" i="1"/>
  <c r="Q252" i="1"/>
  <c r="O252" i="1"/>
  <c r="N252" i="1"/>
  <c r="K252" i="1"/>
  <c r="J252" i="1"/>
  <c r="Q251" i="1"/>
  <c r="O251" i="1"/>
  <c r="N251" i="1"/>
  <c r="K251" i="1"/>
  <c r="J251" i="1"/>
  <c r="Q250" i="1"/>
  <c r="O250" i="1"/>
  <c r="N250" i="1"/>
  <c r="K250" i="1"/>
  <c r="J250" i="1"/>
  <c r="Q249" i="1"/>
  <c r="O249" i="1"/>
  <c r="N249" i="1"/>
  <c r="K249" i="1"/>
  <c r="J249" i="1"/>
  <c r="Q248" i="1"/>
  <c r="O248" i="1"/>
  <c r="N248" i="1"/>
  <c r="K248" i="1"/>
  <c r="J248" i="1"/>
  <c r="Q247" i="1"/>
  <c r="O247" i="1"/>
  <c r="N247" i="1"/>
  <c r="K247" i="1"/>
  <c r="J247" i="1"/>
  <c r="Q246" i="1"/>
  <c r="O246" i="1"/>
  <c r="N246" i="1"/>
  <c r="K246" i="1"/>
  <c r="J246" i="1"/>
  <c r="Q245" i="1"/>
  <c r="O245" i="1"/>
  <c r="N245" i="1"/>
  <c r="K245" i="1"/>
  <c r="J245" i="1"/>
  <c r="Q244" i="1"/>
  <c r="O244" i="1"/>
  <c r="N244" i="1"/>
  <c r="K244" i="1"/>
  <c r="J244" i="1"/>
  <c r="Q243" i="1"/>
  <c r="O243" i="1"/>
  <c r="N243" i="1"/>
  <c r="K243" i="1"/>
  <c r="J243" i="1"/>
  <c r="Q242" i="1"/>
  <c r="O242" i="1"/>
  <c r="N242" i="1"/>
  <c r="K242" i="1"/>
  <c r="J242" i="1"/>
  <c r="Q241" i="1"/>
  <c r="O241" i="1"/>
  <c r="N241" i="1"/>
  <c r="K241" i="1"/>
  <c r="J241" i="1"/>
  <c r="Q240" i="1"/>
  <c r="O240" i="1"/>
  <c r="N240" i="1"/>
  <c r="K240" i="1"/>
  <c r="J240" i="1"/>
  <c r="Q239" i="1"/>
  <c r="O239" i="1"/>
  <c r="N239" i="1"/>
  <c r="K239" i="1"/>
  <c r="J239" i="1"/>
  <c r="Q238" i="1"/>
  <c r="O238" i="1"/>
  <c r="N238" i="1"/>
  <c r="K238" i="1"/>
  <c r="J238" i="1"/>
  <c r="Q237" i="1"/>
  <c r="O237" i="1"/>
  <c r="N237" i="1"/>
  <c r="K237" i="1"/>
  <c r="J237" i="1"/>
  <c r="Q236" i="1"/>
  <c r="O236" i="1"/>
  <c r="N236" i="1"/>
  <c r="K236" i="1"/>
  <c r="J236" i="1"/>
  <c r="Q235" i="1"/>
  <c r="O235" i="1"/>
  <c r="N235" i="1"/>
  <c r="K235" i="1"/>
  <c r="J235" i="1"/>
  <c r="Q234" i="1"/>
  <c r="O234" i="1"/>
  <c r="N234" i="1"/>
  <c r="K234" i="1"/>
  <c r="J234" i="1"/>
  <c r="Q233" i="1"/>
  <c r="O233" i="1"/>
  <c r="N233" i="1"/>
  <c r="K233" i="1"/>
  <c r="J233" i="1"/>
  <c r="Q232" i="1"/>
  <c r="O232" i="1"/>
  <c r="N232" i="1"/>
  <c r="K232" i="1"/>
  <c r="J232" i="1"/>
  <c r="Q231" i="1"/>
  <c r="O231" i="1"/>
  <c r="N231" i="1"/>
  <c r="K231" i="1"/>
  <c r="J231" i="1"/>
  <c r="Q230" i="1"/>
  <c r="O230" i="1"/>
  <c r="N230" i="1"/>
  <c r="K230" i="1"/>
  <c r="J230" i="1"/>
  <c r="Q229" i="1"/>
  <c r="O229" i="1"/>
  <c r="N229" i="1"/>
  <c r="K229" i="1"/>
  <c r="J229" i="1"/>
  <c r="Q228" i="1"/>
  <c r="O228" i="1"/>
  <c r="N228" i="1"/>
  <c r="K228" i="1"/>
  <c r="J228" i="1"/>
  <c r="Q227" i="1"/>
  <c r="O227" i="1"/>
  <c r="N227" i="1"/>
  <c r="K227" i="1"/>
  <c r="J227" i="1"/>
  <c r="Q226" i="1"/>
  <c r="O226" i="1"/>
  <c r="N226" i="1"/>
  <c r="K226" i="1"/>
  <c r="J226" i="1"/>
  <c r="Q225" i="1"/>
  <c r="O225" i="1"/>
  <c r="N225" i="1"/>
  <c r="K225" i="1"/>
  <c r="J225" i="1"/>
  <c r="Q224" i="1"/>
  <c r="O224" i="1"/>
  <c r="N224" i="1"/>
  <c r="K224" i="1"/>
  <c r="J224" i="1"/>
  <c r="Q223" i="1"/>
  <c r="O223" i="1"/>
  <c r="N223" i="1"/>
  <c r="K223" i="1"/>
  <c r="J223" i="1"/>
  <c r="Q222" i="1"/>
  <c r="O222" i="1"/>
  <c r="N222" i="1"/>
  <c r="K222" i="1"/>
  <c r="J222" i="1"/>
  <c r="Q221" i="1"/>
  <c r="O221" i="1"/>
  <c r="N221" i="1"/>
  <c r="K221" i="1"/>
  <c r="J221" i="1"/>
  <c r="Q220" i="1"/>
  <c r="O220" i="1"/>
  <c r="N220" i="1"/>
  <c r="K220" i="1"/>
  <c r="J220" i="1"/>
  <c r="Q219" i="1"/>
  <c r="O219" i="1"/>
  <c r="N219" i="1"/>
  <c r="K219" i="1"/>
  <c r="J219" i="1"/>
  <c r="Q218" i="1"/>
  <c r="O218" i="1"/>
  <c r="N218" i="1"/>
  <c r="K218" i="1"/>
  <c r="J218" i="1"/>
  <c r="Q217" i="1"/>
  <c r="O217" i="1"/>
  <c r="N217" i="1"/>
  <c r="K217" i="1"/>
  <c r="J217" i="1"/>
  <c r="Q216" i="1"/>
  <c r="O216" i="1"/>
  <c r="N216" i="1"/>
  <c r="K216" i="1"/>
  <c r="J216" i="1"/>
  <c r="Q215" i="1"/>
  <c r="O215" i="1"/>
  <c r="N215" i="1"/>
  <c r="K215" i="1"/>
  <c r="J215" i="1"/>
  <c r="Q214" i="1"/>
  <c r="O214" i="1"/>
  <c r="N214" i="1"/>
  <c r="K214" i="1"/>
  <c r="J214" i="1"/>
  <c r="Q213" i="1"/>
  <c r="O213" i="1"/>
  <c r="N213" i="1"/>
  <c r="K213" i="1"/>
  <c r="J213" i="1"/>
  <c r="Q212" i="1"/>
  <c r="O212" i="1"/>
  <c r="N212" i="1"/>
  <c r="K212" i="1"/>
  <c r="J212" i="1"/>
  <c r="Q211" i="1"/>
  <c r="O211" i="1"/>
  <c r="N211" i="1"/>
  <c r="K211" i="1"/>
  <c r="J211" i="1"/>
  <c r="Q210" i="1"/>
  <c r="O210" i="1"/>
  <c r="N210" i="1"/>
  <c r="K210" i="1"/>
  <c r="J210" i="1"/>
  <c r="Q209" i="1"/>
  <c r="O209" i="1"/>
  <c r="N209" i="1"/>
  <c r="K209" i="1"/>
  <c r="J209" i="1"/>
  <c r="Q208" i="1"/>
  <c r="O208" i="1"/>
  <c r="N208" i="1"/>
  <c r="K208" i="1"/>
  <c r="J208" i="1"/>
  <c r="Q207" i="1"/>
  <c r="O207" i="1"/>
  <c r="N207" i="1"/>
  <c r="K207" i="1"/>
  <c r="J207" i="1"/>
  <c r="Q206" i="1"/>
  <c r="O206" i="1"/>
  <c r="N206" i="1"/>
  <c r="K206" i="1"/>
  <c r="J206" i="1"/>
  <c r="Q205" i="1"/>
  <c r="O205" i="1"/>
  <c r="N205" i="1"/>
  <c r="K205" i="1"/>
  <c r="J205" i="1"/>
  <c r="Q204" i="1"/>
  <c r="O204" i="1"/>
  <c r="N204" i="1"/>
  <c r="K204" i="1"/>
  <c r="J204" i="1"/>
  <c r="Q203" i="1"/>
  <c r="O203" i="1"/>
  <c r="N203" i="1"/>
  <c r="K203" i="1"/>
  <c r="J203" i="1"/>
  <c r="Q202" i="1"/>
  <c r="O202" i="1"/>
  <c r="N202" i="1"/>
  <c r="K202" i="1"/>
  <c r="J202" i="1"/>
  <c r="Q201" i="1"/>
  <c r="O201" i="1"/>
  <c r="N201" i="1"/>
  <c r="K201" i="1"/>
  <c r="J201" i="1"/>
  <c r="Q200" i="1"/>
  <c r="O200" i="1"/>
  <c r="N200" i="1"/>
  <c r="K200" i="1"/>
  <c r="J200" i="1"/>
  <c r="Q199" i="1"/>
  <c r="O199" i="1"/>
  <c r="N199" i="1"/>
  <c r="K199" i="1"/>
  <c r="J199" i="1"/>
  <c r="Q198" i="1"/>
  <c r="O198" i="1"/>
  <c r="N198" i="1"/>
  <c r="K198" i="1"/>
  <c r="J198" i="1"/>
  <c r="Q197" i="1"/>
  <c r="O197" i="1"/>
  <c r="N197" i="1"/>
  <c r="K197" i="1"/>
  <c r="J197" i="1"/>
  <c r="Q196" i="1"/>
  <c r="O196" i="1"/>
  <c r="N196" i="1"/>
  <c r="K196" i="1"/>
  <c r="J196" i="1"/>
  <c r="Q195" i="1"/>
  <c r="O195" i="1"/>
  <c r="N195" i="1"/>
  <c r="K195" i="1"/>
  <c r="J195" i="1"/>
  <c r="Q194" i="1"/>
  <c r="O194" i="1"/>
  <c r="N194" i="1"/>
  <c r="K194" i="1"/>
  <c r="J194" i="1"/>
  <c r="Q193" i="1"/>
  <c r="O193" i="1"/>
  <c r="N193" i="1"/>
  <c r="K193" i="1"/>
  <c r="J193" i="1"/>
  <c r="Q192" i="1"/>
  <c r="O192" i="1"/>
  <c r="N192" i="1"/>
  <c r="K192" i="1"/>
  <c r="J192" i="1"/>
  <c r="Q191" i="1"/>
  <c r="O191" i="1"/>
  <c r="N191" i="1"/>
  <c r="K191" i="1"/>
  <c r="J191" i="1"/>
  <c r="Q190" i="1"/>
  <c r="O190" i="1"/>
  <c r="N190" i="1"/>
  <c r="K190" i="1"/>
  <c r="J190" i="1"/>
  <c r="Q189" i="1"/>
  <c r="O189" i="1"/>
  <c r="N189" i="1"/>
  <c r="K189" i="1"/>
  <c r="J189" i="1"/>
  <c r="Q188" i="1"/>
  <c r="O188" i="1"/>
  <c r="N188" i="1"/>
  <c r="K188" i="1"/>
  <c r="J188" i="1"/>
  <c r="Q187" i="1"/>
  <c r="O187" i="1"/>
  <c r="N187" i="1"/>
  <c r="K187" i="1"/>
  <c r="J187" i="1"/>
  <c r="Q186" i="1"/>
  <c r="O186" i="1"/>
  <c r="N186" i="1"/>
  <c r="K186" i="1"/>
  <c r="J186" i="1"/>
  <c r="Q185" i="1"/>
  <c r="O185" i="1"/>
  <c r="N185" i="1"/>
  <c r="K185" i="1"/>
  <c r="J185" i="1"/>
  <c r="Q184" i="1"/>
  <c r="O184" i="1"/>
  <c r="N184" i="1"/>
  <c r="K184" i="1"/>
  <c r="J184" i="1"/>
  <c r="Q183" i="1"/>
  <c r="O183" i="1"/>
  <c r="N183" i="1"/>
  <c r="K183" i="1"/>
  <c r="J183" i="1"/>
  <c r="Q182" i="1"/>
  <c r="O182" i="1"/>
  <c r="N182" i="1"/>
  <c r="K182" i="1"/>
  <c r="J182" i="1"/>
  <c r="Q181" i="1"/>
  <c r="O181" i="1"/>
  <c r="N181" i="1"/>
  <c r="K181" i="1"/>
  <c r="J181" i="1"/>
  <c r="Q180" i="1"/>
  <c r="O180" i="1"/>
  <c r="N180" i="1"/>
  <c r="K180" i="1"/>
  <c r="J180" i="1"/>
  <c r="Q179" i="1"/>
  <c r="O179" i="1"/>
  <c r="N179" i="1"/>
  <c r="K179" i="1"/>
  <c r="J179" i="1"/>
  <c r="Q178" i="1"/>
  <c r="O178" i="1"/>
  <c r="N178" i="1"/>
  <c r="K178" i="1"/>
  <c r="J178" i="1"/>
  <c r="Q177" i="1"/>
  <c r="O177" i="1"/>
  <c r="N177" i="1"/>
  <c r="K177" i="1"/>
  <c r="J177" i="1"/>
  <c r="Q176" i="1"/>
  <c r="O176" i="1"/>
  <c r="N176" i="1"/>
  <c r="K176" i="1"/>
  <c r="J176" i="1"/>
  <c r="Q175" i="1"/>
  <c r="O175" i="1"/>
  <c r="N175" i="1"/>
  <c r="K175" i="1"/>
  <c r="J175" i="1"/>
  <c r="Q174" i="1"/>
  <c r="O174" i="1"/>
  <c r="N174" i="1"/>
  <c r="K174" i="1"/>
  <c r="J174" i="1"/>
  <c r="Q173" i="1"/>
  <c r="O173" i="1"/>
  <c r="N173" i="1"/>
  <c r="K173" i="1"/>
  <c r="J173" i="1"/>
  <c r="Q172" i="1"/>
  <c r="O172" i="1"/>
  <c r="N172" i="1"/>
  <c r="K172" i="1"/>
  <c r="J172" i="1"/>
  <c r="Q171" i="1"/>
  <c r="O171" i="1"/>
  <c r="N171" i="1"/>
  <c r="K171" i="1"/>
  <c r="J171" i="1"/>
  <c r="Q170" i="1"/>
  <c r="O170" i="1"/>
  <c r="N170" i="1"/>
  <c r="K170" i="1"/>
  <c r="J170" i="1"/>
  <c r="Q169" i="1"/>
  <c r="O169" i="1"/>
  <c r="N169" i="1"/>
  <c r="K169" i="1"/>
  <c r="J169" i="1"/>
  <c r="Q168" i="1"/>
  <c r="O168" i="1"/>
  <c r="N168" i="1"/>
  <c r="K168" i="1"/>
  <c r="J168" i="1"/>
  <c r="Q167" i="1"/>
  <c r="O167" i="1"/>
  <c r="N167" i="1"/>
  <c r="K167" i="1"/>
  <c r="J167" i="1"/>
  <c r="Q166" i="1"/>
  <c r="O166" i="1"/>
  <c r="N166" i="1"/>
  <c r="K166" i="1"/>
  <c r="J166" i="1"/>
  <c r="Q165" i="1"/>
  <c r="O165" i="1"/>
  <c r="N165" i="1"/>
  <c r="K165" i="1"/>
  <c r="J165" i="1"/>
  <c r="Q164" i="1"/>
  <c r="O164" i="1"/>
  <c r="N164" i="1"/>
  <c r="K164" i="1"/>
  <c r="J164" i="1"/>
  <c r="Q163" i="1"/>
  <c r="O163" i="1"/>
  <c r="N163" i="1"/>
  <c r="K163" i="1"/>
  <c r="J163" i="1"/>
  <c r="Q162" i="1"/>
  <c r="O162" i="1"/>
  <c r="N162" i="1"/>
  <c r="K162" i="1"/>
  <c r="J162" i="1"/>
  <c r="Q161" i="1"/>
  <c r="O161" i="1"/>
  <c r="N161" i="1"/>
  <c r="K161" i="1"/>
  <c r="J161" i="1"/>
  <c r="Q160" i="1"/>
  <c r="O160" i="1"/>
  <c r="N160" i="1"/>
  <c r="K160" i="1"/>
  <c r="J160" i="1"/>
  <c r="Q159" i="1"/>
  <c r="O159" i="1"/>
  <c r="N159" i="1"/>
  <c r="K159" i="1"/>
  <c r="J159" i="1"/>
  <c r="Q158" i="1"/>
  <c r="O158" i="1"/>
  <c r="N158" i="1"/>
  <c r="K158" i="1"/>
  <c r="J158" i="1"/>
  <c r="Q157" i="1"/>
  <c r="O157" i="1"/>
  <c r="N157" i="1"/>
  <c r="K157" i="1"/>
  <c r="J157" i="1"/>
  <c r="Q156" i="1"/>
  <c r="O156" i="1"/>
  <c r="N156" i="1"/>
  <c r="K156" i="1"/>
  <c r="J156" i="1"/>
  <c r="Q155" i="1"/>
  <c r="O155" i="1"/>
  <c r="N155" i="1"/>
  <c r="K155" i="1"/>
  <c r="J155" i="1"/>
  <c r="Q154" i="1"/>
  <c r="O154" i="1"/>
  <c r="N154" i="1"/>
  <c r="K154" i="1"/>
  <c r="J154" i="1"/>
  <c r="Q153" i="1"/>
  <c r="O153" i="1"/>
  <c r="N153" i="1"/>
  <c r="K153" i="1"/>
  <c r="J153" i="1"/>
  <c r="Q152" i="1"/>
  <c r="O152" i="1"/>
  <c r="N152" i="1"/>
  <c r="K152" i="1"/>
  <c r="J152" i="1"/>
  <c r="Q151" i="1"/>
  <c r="O151" i="1"/>
  <c r="N151" i="1"/>
  <c r="K151" i="1"/>
  <c r="J151" i="1"/>
  <c r="Q150" i="1"/>
  <c r="O150" i="1"/>
  <c r="N150" i="1"/>
  <c r="K150" i="1"/>
  <c r="J150" i="1"/>
  <c r="Q149" i="1"/>
  <c r="O149" i="1"/>
  <c r="N149" i="1"/>
  <c r="K149" i="1"/>
  <c r="J149" i="1"/>
  <c r="Q148" i="1"/>
  <c r="O148" i="1"/>
  <c r="N148" i="1"/>
  <c r="K148" i="1"/>
  <c r="J148" i="1"/>
  <c r="Q147" i="1"/>
  <c r="O147" i="1"/>
  <c r="N147" i="1"/>
  <c r="K147" i="1"/>
  <c r="J147" i="1"/>
  <c r="Q146" i="1"/>
  <c r="O146" i="1"/>
  <c r="N146" i="1"/>
  <c r="K146" i="1"/>
  <c r="J146" i="1"/>
  <c r="Q145" i="1"/>
  <c r="O145" i="1"/>
  <c r="N145" i="1"/>
  <c r="K145" i="1"/>
  <c r="J145" i="1"/>
  <c r="Q144" i="1"/>
  <c r="O144" i="1"/>
  <c r="N144" i="1"/>
  <c r="K144" i="1"/>
  <c r="J144" i="1"/>
  <c r="Q143" i="1"/>
  <c r="O143" i="1"/>
  <c r="N143" i="1"/>
  <c r="K143" i="1"/>
  <c r="J143" i="1"/>
  <c r="Q142" i="1"/>
  <c r="O142" i="1"/>
  <c r="N142" i="1"/>
  <c r="K142" i="1"/>
  <c r="J142" i="1"/>
  <c r="Q141" i="1"/>
  <c r="O141" i="1"/>
  <c r="N141" i="1"/>
  <c r="K141" i="1"/>
  <c r="J141" i="1"/>
  <c r="Q140" i="1"/>
  <c r="O140" i="1"/>
  <c r="N140" i="1"/>
  <c r="K140" i="1"/>
  <c r="J140" i="1"/>
  <c r="Q139" i="1"/>
  <c r="O139" i="1"/>
  <c r="N139" i="1"/>
  <c r="K139" i="1"/>
  <c r="J139" i="1"/>
  <c r="Q138" i="1"/>
  <c r="O138" i="1"/>
  <c r="N138" i="1"/>
  <c r="K138" i="1"/>
  <c r="J138" i="1"/>
  <c r="Q137" i="1"/>
  <c r="O137" i="1"/>
  <c r="N137" i="1"/>
  <c r="K137" i="1"/>
  <c r="J137" i="1"/>
  <c r="Q136" i="1"/>
  <c r="O136" i="1"/>
  <c r="N136" i="1"/>
  <c r="K136" i="1"/>
  <c r="J136" i="1"/>
  <c r="Q135" i="1"/>
  <c r="O135" i="1"/>
  <c r="N135" i="1"/>
  <c r="K135" i="1"/>
  <c r="J135" i="1"/>
  <c r="Q134" i="1"/>
  <c r="O134" i="1"/>
  <c r="N134" i="1"/>
  <c r="K134" i="1"/>
  <c r="J134" i="1"/>
  <c r="Q133" i="1"/>
  <c r="O133" i="1"/>
  <c r="N133" i="1"/>
  <c r="K133" i="1"/>
  <c r="J133" i="1"/>
  <c r="Q132" i="1"/>
  <c r="O132" i="1"/>
  <c r="N132" i="1"/>
  <c r="K132" i="1"/>
  <c r="J132" i="1"/>
  <c r="Q131" i="1"/>
  <c r="O131" i="1"/>
  <c r="N131" i="1"/>
  <c r="K131" i="1"/>
  <c r="J131" i="1"/>
  <c r="Q130" i="1"/>
  <c r="O130" i="1"/>
  <c r="N130" i="1"/>
  <c r="K130" i="1"/>
  <c r="J130" i="1"/>
  <c r="Q129" i="1"/>
  <c r="O129" i="1"/>
  <c r="N129" i="1"/>
  <c r="K129" i="1"/>
  <c r="J129" i="1"/>
  <c r="Q128" i="1"/>
  <c r="O128" i="1"/>
  <c r="N128" i="1"/>
  <c r="K128" i="1"/>
  <c r="J128" i="1"/>
  <c r="Q127" i="1"/>
  <c r="O127" i="1"/>
  <c r="N127" i="1"/>
  <c r="K127" i="1"/>
  <c r="J127" i="1"/>
  <c r="Q126" i="1"/>
  <c r="O126" i="1"/>
  <c r="N126" i="1"/>
  <c r="K126" i="1"/>
  <c r="J126" i="1"/>
  <c r="Q125" i="1"/>
  <c r="O125" i="1"/>
  <c r="N125" i="1"/>
  <c r="K125" i="1"/>
  <c r="J125" i="1"/>
  <c r="Q124" i="1"/>
  <c r="O124" i="1"/>
  <c r="N124" i="1"/>
  <c r="K124" i="1"/>
  <c r="J124" i="1"/>
  <c r="Q123" i="1"/>
  <c r="O123" i="1"/>
  <c r="N123" i="1"/>
  <c r="K123" i="1"/>
  <c r="J123" i="1"/>
  <c r="Q122" i="1"/>
  <c r="O122" i="1"/>
  <c r="N122" i="1"/>
  <c r="K122" i="1"/>
  <c r="J122" i="1"/>
  <c r="Q121" i="1"/>
  <c r="O121" i="1"/>
  <c r="N121" i="1"/>
  <c r="K121" i="1"/>
  <c r="J121" i="1"/>
  <c r="Q120" i="1"/>
  <c r="O120" i="1"/>
  <c r="N120" i="1"/>
  <c r="K120" i="1"/>
  <c r="J120" i="1"/>
  <c r="Q119" i="1"/>
  <c r="O119" i="1"/>
  <c r="N119" i="1"/>
  <c r="K119" i="1"/>
  <c r="J119" i="1"/>
  <c r="Q118" i="1"/>
  <c r="O118" i="1"/>
  <c r="N118" i="1"/>
  <c r="K118" i="1"/>
  <c r="J118" i="1"/>
  <c r="Q117" i="1"/>
  <c r="O117" i="1"/>
  <c r="N117" i="1"/>
  <c r="K117" i="1"/>
  <c r="J117" i="1"/>
  <c r="Q116" i="1"/>
  <c r="O116" i="1"/>
  <c r="N116" i="1"/>
  <c r="K116" i="1"/>
  <c r="J116" i="1"/>
  <c r="Q115" i="1"/>
  <c r="O115" i="1"/>
  <c r="N115" i="1"/>
  <c r="K115" i="1"/>
  <c r="J115" i="1"/>
  <c r="Q114" i="1"/>
  <c r="O114" i="1"/>
  <c r="N114" i="1"/>
  <c r="K114" i="1"/>
  <c r="J114" i="1"/>
  <c r="Q113" i="1"/>
  <c r="O113" i="1"/>
  <c r="N113" i="1"/>
  <c r="K113" i="1"/>
  <c r="J113" i="1"/>
  <c r="Q112" i="1"/>
  <c r="O112" i="1"/>
  <c r="N112" i="1"/>
  <c r="K112" i="1"/>
  <c r="J112" i="1"/>
  <c r="Q111" i="1"/>
  <c r="O111" i="1"/>
  <c r="N111" i="1"/>
  <c r="K111" i="1"/>
  <c r="J111" i="1"/>
  <c r="Q110" i="1"/>
  <c r="O110" i="1"/>
  <c r="N110" i="1"/>
  <c r="K110" i="1"/>
  <c r="J110" i="1"/>
  <c r="Q109" i="1"/>
  <c r="O109" i="1"/>
  <c r="N109" i="1"/>
  <c r="K109" i="1"/>
  <c r="J109" i="1"/>
  <c r="Q108" i="1"/>
  <c r="O108" i="1"/>
  <c r="N108" i="1"/>
  <c r="K108" i="1"/>
  <c r="J108" i="1"/>
  <c r="Q107" i="1"/>
  <c r="O107" i="1"/>
  <c r="N107" i="1"/>
  <c r="K107" i="1"/>
  <c r="J107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103" i="1"/>
  <c r="O103" i="1"/>
  <c r="N103" i="1"/>
  <c r="K103" i="1"/>
  <c r="J103" i="1"/>
  <c r="Q102" i="1"/>
  <c r="O102" i="1"/>
  <c r="N102" i="1"/>
  <c r="K102" i="1"/>
  <c r="J102" i="1"/>
  <c r="Q101" i="1"/>
  <c r="O101" i="1"/>
  <c r="N101" i="1"/>
  <c r="K101" i="1"/>
  <c r="J101" i="1"/>
  <c r="Q100" i="1"/>
  <c r="O100" i="1"/>
  <c r="N100" i="1"/>
  <c r="K100" i="1"/>
  <c r="J100" i="1"/>
  <c r="Q99" i="1"/>
  <c r="O99" i="1"/>
  <c r="N99" i="1"/>
  <c r="K99" i="1"/>
  <c r="J99" i="1"/>
  <c r="Q98" i="1"/>
  <c r="O98" i="1"/>
  <c r="N98" i="1"/>
  <c r="K98" i="1"/>
  <c r="J98" i="1"/>
  <c r="Q97" i="1"/>
  <c r="O97" i="1"/>
  <c r="N97" i="1"/>
  <c r="K97" i="1"/>
  <c r="J97" i="1"/>
  <c r="Q96" i="1"/>
  <c r="O96" i="1"/>
  <c r="N96" i="1"/>
  <c r="K96" i="1"/>
  <c r="J96" i="1"/>
  <c r="Q95" i="1"/>
  <c r="O95" i="1"/>
  <c r="N95" i="1"/>
  <c r="K95" i="1"/>
  <c r="J95" i="1"/>
  <c r="Q94" i="1"/>
  <c r="O94" i="1"/>
  <c r="N94" i="1"/>
  <c r="K94" i="1"/>
  <c r="J94" i="1"/>
  <c r="Q93" i="1"/>
  <c r="O93" i="1"/>
  <c r="N93" i="1"/>
  <c r="K93" i="1"/>
  <c r="J93" i="1"/>
  <c r="Q92" i="1"/>
  <c r="O92" i="1"/>
  <c r="N92" i="1"/>
  <c r="K92" i="1"/>
  <c r="J92" i="1"/>
  <c r="Q91" i="1"/>
  <c r="O91" i="1"/>
  <c r="N91" i="1"/>
  <c r="K91" i="1"/>
  <c r="J91" i="1"/>
  <c r="Q90" i="1"/>
  <c r="O90" i="1"/>
  <c r="N90" i="1"/>
  <c r="K90" i="1"/>
  <c r="J90" i="1"/>
  <c r="Q89" i="1"/>
  <c r="O89" i="1"/>
  <c r="N89" i="1"/>
  <c r="K89" i="1"/>
  <c r="J89" i="1"/>
  <c r="Q88" i="1"/>
  <c r="O88" i="1"/>
  <c r="N88" i="1"/>
  <c r="K88" i="1"/>
  <c r="J88" i="1"/>
  <c r="Q87" i="1"/>
  <c r="O87" i="1"/>
  <c r="N87" i="1"/>
  <c r="K87" i="1"/>
  <c r="J87" i="1"/>
  <c r="Q86" i="1"/>
  <c r="O86" i="1"/>
  <c r="N86" i="1"/>
  <c r="K86" i="1"/>
  <c r="J86" i="1"/>
  <c r="Q85" i="1"/>
  <c r="O85" i="1"/>
  <c r="N85" i="1"/>
  <c r="K85" i="1"/>
  <c r="J85" i="1"/>
  <c r="Q84" i="1"/>
  <c r="O84" i="1"/>
  <c r="N84" i="1"/>
  <c r="K84" i="1"/>
  <c r="J84" i="1"/>
  <c r="Q83" i="1"/>
  <c r="O83" i="1"/>
  <c r="N83" i="1"/>
  <c r="K83" i="1"/>
  <c r="J83" i="1"/>
  <c r="Q82" i="1"/>
  <c r="O82" i="1"/>
  <c r="N82" i="1"/>
  <c r="K82" i="1"/>
  <c r="J82" i="1"/>
  <c r="Q81" i="1"/>
  <c r="O81" i="1"/>
  <c r="N81" i="1"/>
  <c r="K81" i="1"/>
  <c r="J81" i="1"/>
  <c r="Q80" i="1"/>
  <c r="O80" i="1"/>
  <c r="N80" i="1"/>
  <c r="K80" i="1"/>
  <c r="J80" i="1"/>
  <c r="Q79" i="1"/>
  <c r="O79" i="1"/>
  <c r="N79" i="1"/>
  <c r="K79" i="1"/>
  <c r="J79" i="1"/>
  <c r="Q78" i="1"/>
  <c r="O78" i="1"/>
  <c r="N78" i="1"/>
  <c r="K78" i="1"/>
  <c r="J78" i="1"/>
  <c r="Q77" i="1"/>
  <c r="O77" i="1"/>
  <c r="N77" i="1"/>
  <c r="K77" i="1"/>
  <c r="J77" i="1"/>
  <c r="Q76" i="1"/>
  <c r="O76" i="1"/>
  <c r="N76" i="1"/>
  <c r="K76" i="1"/>
  <c r="J76" i="1"/>
  <c r="Q75" i="1"/>
  <c r="O75" i="1"/>
  <c r="N75" i="1"/>
  <c r="K75" i="1"/>
  <c r="J75" i="1"/>
  <c r="Q74" i="1"/>
  <c r="O74" i="1"/>
  <c r="N74" i="1"/>
  <c r="K74" i="1"/>
  <c r="J74" i="1"/>
  <c r="Q73" i="1"/>
  <c r="O73" i="1"/>
  <c r="N73" i="1"/>
  <c r="K73" i="1"/>
  <c r="J73" i="1"/>
  <c r="Q72" i="1"/>
  <c r="O72" i="1"/>
  <c r="N72" i="1"/>
  <c r="K72" i="1"/>
  <c r="J72" i="1"/>
  <c r="Q71" i="1"/>
  <c r="O71" i="1"/>
  <c r="N71" i="1"/>
  <c r="K71" i="1"/>
  <c r="J71" i="1"/>
  <c r="Q70" i="1"/>
  <c r="O70" i="1"/>
  <c r="N70" i="1"/>
  <c r="K70" i="1"/>
  <c r="J70" i="1"/>
  <c r="Q69" i="1"/>
  <c r="O69" i="1"/>
  <c r="N69" i="1"/>
  <c r="K69" i="1"/>
  <c r="J69" i="1"/>
  <c r="Q68" i="1"/>
  <c r="O68" i="1"/>
  <c r="N68" i="1"/>
  <c r="K68" i="1"/>
  <c r="J68" i="1"/>
  <c r="Q67" i="1"/>
  <c r="O67" i="1"/>
  <c r="N67" i="1"/>
  <c r="K67" i="1"/>
  <c r="J67" i="1"/>
  <c r="Q66" i="1"/>
  <c r="O66" i="1"/>
  <c r="N66" i="1"/>
  <c r="K66" i="1"/>
  <c r="J66" i="1"/>
  <c r="Q65" i="1"/>
  <c r="O65" i="1"/>
  <c r="N65" i="1"/>
  <c r="K65" i="1"/>
  <c r="J65" i="1"/>
  <c r="Q64" i="1"/>
  <c r="O64" i="1"/>
  <c r="N64" i="1"/>
  <c r="K64" i="1"/>
  <c r="J64" i="1"/>
  <c r="Q63" i="1"/>
  <c r="O63" i="1"/>
  <c r="N63" i="1"/>
  <c r="K63" i="1"/>
  <c r="J63" i="1"/>
  <c r="Q62" i="1"/>
  <c r="O62" i="1"/>
  <c r="N62" i="1"/>
  <c r="K62" i="1"/>
  <c r="J62" i="1"/>
  <c r="Q61" i="1"/>
  <c r="O61" i="1"/>
  <c r="N61" i="1"/>
  <c r="K61" i="1"/>
  <c r="J61" i="1"/>
  <c r="Q60" i="1"/>
  <c r="O60" i="1"/>
  <c r="N60" i="1"/>
  <c r="K60" i="1"/>
  <c r="J60" i="1"/>
  <c r="Q59" i="1"/>
  <c r="O59" i="1"/>
  <c r="N59" i="1"/>
  <c r="K59" i="1"/>
  <c r="J59" i="1"/>
  <c r="Q58" i="1"/>
  <c r="O58" i="1"/>
  <c r="N58" i="1"/>
  <c r="K58" i="1"/>
  <c r="J58" i="1"/>
  <c r="Q57" i="1"/>
  <c r="O57" i="1"/>
  <c r="N57" i="1"/>
  <c r="K57" i="1"/>
  <c r="J57" i="1"/>
  <c r="Q56" i="1"/>
  <c r="O56" i="1"/>
  <c r="N56" i="1"/>
  <c r="K56" i="1"/>
  <c r="J56" i="1"/>
  <c r="Q55" i="1"/>
  <c r="O55" i="1"/>
  <c r="N55" i="1"/>
  <c r="K55" i="1"/>
  <c r="J55" i="1"/>
  <c r="Q54" i="1"/>
  <c r="O54" i="1"/>
  <c r="N54" i="1"/>
  <c r="K54" i="1"/>
  <c r="J54" i="1"/>
  <c r="Q53" i="1"/>
  <c r="O53" i="1"/>
  <c r="N53" i="1"/>
  <c r="K53" i="1"/>
  <c r="J53" i="1"/>
  <c r="Q52" i="1"/>
  <c r="O52" i="1"/>
  <c r="N52" i="1"/>
  <c r="K52" i="1"/>
  <c r="J52" i="1"/>
  <c r="Q51" i="1"/>
  <c r="O51" i="1"/>
  <c r="N51" i="1"/>
  <c r="K51" i="1"/>
  <c r="J51" i="1"/>
  <c r="Q50" i="1"/>
  <c r="O50" i="1"/>
  <c r="N50" i="1"/>
  <c r="K50" i="1"/>
  <c r="J50" i="1"/>
  <c r="Q49" i="1"/>
  <c r="O49" i="1"/>
  <c r="N49" i="1"/>
  <c r="K49" i="1"/>
  <c r="J49" i="1"/>
  <c r="Q48" i="1"/>
  <c r="O48" i="1"/>
  <c r="N48" i="1"/>
  <c r="K48" i="1"/>
  <c r="J48" i="1"/>
  <c r="Q47" i="1"/>
  <c r="O47" i="1"/>
  <c r="N47" i="1"/>
  <c r="K47" i="1"/>
  <c r="J47" i="1"/>
  <c r="Q46" i="1"/>
  <c r="O46" i="1"/>
  <c r="N46" i="1"/>
  <c r="K46" i="1"/>
  <c r="J46" i="1"/>
  <c r="Q45" i="1"/>
  <c r="O45" i="1"/>
  <c r="N45" i="1"/>
  <c r="K45" i="1"/>
  <c r="J45" i="1"/>
  <c r="Q44" i="1"/>
  <c r="O44" i="1"/>
  <c r="N44" i="1"/>
  <c r="K44" i="1"/>
  <c r="J44" i="1"/>
  <c r="Q43" i="1"/>
  <c r="O43" i="1"/>
  <c r="N43" i="1"/>
  <c r="K43" i="1"/>
  <c r="J43" i="1"/>
  <c r="Q42" i="1"/>
  <c r="O42" i="1"/>
  <c r="N42" i="1"/>
  <c r="K42" i="1"/>
  <c r="J42" i="1"/>
  <c r="Q41" i="1"/>
  <c r="O41" i="1"/>
  <c r="N41" i="1"/>
  <c r="K41" i="1"/>
  <c r="J41" i="1"/>
  <c r="Q40" i="1"/>
  <c r="O40" i="1"/>
  <c r="N40" i="1"/>
  <c r="K40" i="1"/>
  <c r="J40" i="1"/>
  <c r="Q39" i="1"/>
  <c r="O39" i="1"/>
  <c r="N39" i="1"/>
  <c r="K39" i="1"/>
  <c r="J39" i="1"/>
  <c r="Q38" i="1"/>
  <c r="O38" i="1"/>
  <c r="N38" i="1"/>
  <c r="K38" i="1"/>
  <c r="J38" i="1"/>
  <c r="Q37" i="1"/>
  <c r="O37" i="1"/>
  <c r="N37" i="1"/>
  <c r="K37" i="1"/>
  <c r="J37" i="1"/>
  <c r="Q36" i="1"/>
  <c r="O36" i="1"/>
  <c r="N36" i="1"/>
  <c r="K36" i="1"/>
  <c r="J36" i="1"/>
  <c r="Q35" i="1"/>
  <c r="O35" i="1"/>
  <c r="N35" i="1"/>
  <c r="K35" i="1"/>
  <c r="J35" i="1"/>
  <c r="Q34" i="1"/>
  <c r="O34" i="1"/>
  <c r="N34" i="1"/>
  <c r="K34" i="1"/>
  <c r="J34" i="1"/>
  <c r="Q33" i="1"/>
  <c r="O33" i="1"/>
  <c r="N33" i="1"/>
  <c r="K33" i="1"/>
  <c r="J33" i="1"/>
  <c r="Q32" i="1"/>
  <c r="O32" i="1"/>
  <c r="N32" i="1"/>
  <c r="K32" i="1"/>
  <c r="J32" i="1"/>
  <c r="Q31" i="1"/>
  <c r="O31" i="1"/>
  <c r="N31" i="1"/>
  <c r="K31" i="1"/>
  <c r="J31" i="1"/>
  <c r="Q30" i="1"/>
  <c r="O30" i="1"/>
  <c r="N30" i="1"/>
  <c r="K30" i="1"/>
  <c r="J30" i="1"/>
  <c r="Q29" i="1"/>
  <c r="O29" i="1"/>
  <c r="N29" i="1"/>
  <c r="K29" i="1"/>
  <c r="J29" i="1"/>
  <c r="Q28" i="1"/>
  <c r="O28" i="1"/>
  <c r="N28" i="1"/>
  <c r="K28" i="1"/>
  <c r="J28" i="1"/>
  <c r="Q27" i="1"/>
  <c r="O27" i="1"/>
  <c r="N27" i="1"/>
  <c r="K27" i="1"/>
  <c r="J27" i="1"/>
  <c r="Q26" i="1"/>
  <c r="O26" i="1"/>
  <c r="N26" i="1"/>
  <c r="K26" i="1"/>
  <c r="J26" i="1"/>
  <c r="Q25" i="1"/>
  <c r="O25" i="1"/>
  <c r="N25" i="1"/>
  <c r="K25" i="1"/>
  <c r="J25" i="1"/>
  <c r="Q24" i="1"/>
  <c r="O24" i="1"/>
  <c r="N24" i="1"/>
  <c r="K24" i="1"/>
  <c r="J24" i="1"/>
  <c r="Q23" i="1"/>
  <c r="O23" i="1"/>
  <c r="N23" i="1"/>
  <c r="K23" i="1"/>
  <c r="J23" i="1"/>
  <c r="Q22" i="1"/>
  <c r="O22" i="1"/>
  <c r="N22" i="1"/>
  <c r="K22" i="1"/>
  <c r="J22" i="1"/>
  <c r="Q21" i="1"/>
  <c r="O21" i="1"/>
  <c r="N21" i="1"/>
  <c r="K21" i="1"/>
  <c r="J21" i="1"/>
  <c r="Q20" i="1"/>
  <c r="O20" i="1"/>
  <c r="N20" i="1"/>
  <c r="K20" i="1"/>
  <c r="J20" i="1"/>
  <c r="Q19" i="1"/>
  <c r="O19" i="1"/>
  <c r="N19" i="1"/>
  <c r="K19" i="1"/>
  <c r="J19" i="1"/>
  <c r="Q18" i="1"/>
  <c r="O18" i="1"/>
  <c r="N18" i="1"/>
  <c r="K18" i="1"/>
  <c r="J18" i="1"/>
  <c r="Q17" i="1"/>
  <c r="O17" i="1"/>
  <c r="N17" i="1"/>
  <c r="K17" i="1"/>
  <c r="J17" i="1"/>
  <c r="Q16" i="1"/>
  <c r="O16" i="1"/>
  <c r="N16" i="1"/>
  <c r="K16" i="1"/>
  <c r="J16" i="1"/>
  <c r="Q15" i="1"/>
  <c r="O15" i="1"/>
  <c r="N15" i="1"/>
  <c r="K15" i="1"/>
  <c r="J15" i="1"/>
  <c r="Q14" i="1"/>
  <c r="O14" i="1"/>
  <c r="N14" i="1"/>
  <c r="K14" i="1"/>
  <c r="J14" i="1"/>
  <c r="Q13" i="1"/>
  <c r="O13" i="1"/>
  <c r="N13" i="1"/>
  <c r="K13" i="1"/>
  <c r="J13" i="1"/>
  <c r="Q12" i="1"/>
  <c r="O12" i="1"/>
  <c r="N12" i="1"/>
  <c r="K12" i="1"/>
  <c r="J12" i="1"/>
  <c r="Q11" i="1"/>
  <c r="O11" i="1"/>
  <c r="N11" i="1"/>
  <c r="K11" i="1"/>
  <c r="J11" i="1"/>
  <c r="Q10" i="1"/>
  <c r="O10" i="1"/>
  <c r="N10" i="1"/>
  <c r="K10" i="1"/>
  <c r="J10" i="1"/>
  <c r="Q9" i="1"/>
  <c r="O9" i="1"/>
  <c r="N9" i="1"/>
  <c r="K9" i="1"/>
  <c r="J9" i="1"/>
  <c r="Q8" i="1"/>
  <c r="O8" i="1"/>
  <c r="N8" i="1"/>
  <c r="K8" i="1"/>
  <c r="J8" i="1"/>
  <c r="Q7" i="1"/>
  <c r="O7" i="1"/>
  <c r="N7" i="1"/>
  <c r="K7" i="1"/>
  <c r="J7" i="1"/>
  <c r="Q6" i="1"/>
  <c r="O6" i="1"/>
  <c r="N6" i="1"/>
  <c r="K6" i="1"/>
  <c r="J6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<sst xmlns="http://schemas.openxmlformats.org/spreadsheetml/2006/main" count="1920" uniqueCount="448">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</sst>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N6" activePane="bottomRight" state="frozen"/>
      <selection pane="topRight" activeCell="D1" sqref="D1"/>
      <selection pane="bottomLeft" activeCell="A6" sqref="A6"/>
      <selection pane="bottomRight" activeCell="P6" sqref="P6:P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17717259</v>
      </c>
      <c r="B6" s="8" t="s">
        <v>20</v>
      </c>
      <c r="C6" s="8" t="s">
        <v>21</v>
      </c>
      <c r="D6" s="8" t="s">
        <v>409</v>
      </c>
      <c r="E6" s="8" t="s">
        <v>22</v>
      </c>
      <c r="F6" s="8" t="s">
        <v>23</v>
      </c>
      <c r="G6" s="12" t="s">
        <v>410</v>
      </c>
      <c r="H6" s="7">
        <v>2.9101390301797232</v>
      </c>
      <c r="I6" s="1">
        <v>3</v>
      </c>
      <c r="J6" s="1">
        <f t="shared" ref="J6:J69" si="0">IF(I6&gt;=3,1,0)</f>
        <v>1</v>
      </c>
      <c r="K6" s="5">
        <f t="shared" ref="K6:K69" si="1">I6/H6</f>
        <v>1.0308785830808664</v>
      </c>
      <c r="L6" s="2">
        <v>12908778</v>
      </c>
      <c r="M6" s="2">
        <v>260000</v>
      </c>
      <c r="N6" s="6">
        <f t="shared" ref="N6:N69" si="2">IF(M6&gt;=300000,1,0)</f>
        <v>0</v>
      </c>
      <c r="O6" s="9">
        <f t="shared" ref="O6:O69" si="3">M6/L6</f>
        <v>2.0141333284994133E-2</v>
      </c>
      <c r="P6" s="10">
        <v>2</v>
      </c>
      <c r="Q6" s="1">
        <f t="shared" ref="Q6:Q69" si="4">IF(P6&gt;=3,1,0)</f>
        <v>0</v>
      </c>
      <c r="R6" s="10">
        <v>5</v>
      </c>
      <c r="S6" s="10">
        <v>2</v>
      </c>
      <c r="T6" s="10">
        <v>0</v>
      </c>
      <c r="U6" s="3">
        <v>0</v>
      </c>
      <c r="V6" s="3">
        <v>1</v>
      </c>
      <c r="W6" s="3">
        <v>0</v>
      </c>
      <c r="X6" s="3">
        <v>1</v>
      </c>
      <c r="Y6" s="3">
        <v>0</v>
      </c>
      <c r="Z6" s="3">
        <v>0</v>
      </c>
    </row>
    <row r="7" spans="1:26" ht="26">
      <c r="A7" s="8">
        <v>17564305</v>
      </c>
      <c r="B7" s="8" t="s">
        <v>24</v>
      </c>
      <c r="C7" s="8" t="s">
        <v>25</v>
      </c>
      <c r="D7" s="8" t="s">
        <v>413</v>
      </c>
      <c r="E7" s="8" t="s">
        <v>26</v>
      </c>
      <c r="F7" s="8" t="s">
        <v>27</v>
      </c>
      <c r="G7" s="12" t="s">
        <v>412</v>
      </c>
      <c r="H7" s="7">
        <v>5</v>
      </c>
      <c r="I7" s="1">
        <v>0</v>
      </c>
      <c r="J7" s="4">
        <f t="shared" si="0"/>
        <v>0</v>
      </c>
      <c r="K7" s="5">
        <f t="shared" si="1"/>
        <v>0</v>
      </c>
      <c r="L7" s="2">
        <v>1129393.7903485449</v>
      </c>
      <c r="M7" s="2">
        <v>3190000</v>
      </c>
      <c r="N7" s="6">
        <f t="shared" si="2"/>
        <v>1</v>
      </c>
      <c r="O7" s="9">
        <f t="shared" si="3"/>
        <v>2.8245241183905629</v>
      </c>
      <c r="P7" s="10">
        <v>0</v>
      </c>
      <c r="Q7" s="1">
        <f t="shared" si="4"/>
        <v>0</v>
      </c>
      <c r="R7" s="10">
        <v>7</v>
      </c>
      <c r="S7" s="10">
        <v>2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17678795</v>
      </c>
      <c r="B8" s="8" t="s">
        <v>28</v>
      </c>
      <c r="C8" s="27" t="s">
        <v>57</v>
      </c>
      <c r="D8" s="8" t="s">
        <v>409</v>
      </c>
      <c r="E8" s="8" t="s">
        <v>26</v>
      </c>
      <c r="F8" s="8" t="s">
        <v>29</v>
      </c>
      <c r="G8" s="12" t="s">
        <v>412</v>
      </c>
      <c r="H8" s="7">
        <v>22</v>
      </c>
      <c r="I8" s="1">
        <v>0</v>
      </c>
      <c r="J8" s="4">
        <f t="shared" si="0"/>
        <v>0</v>
      </c>
      <c r="K8" s="5">
        <f t="shared" si="1"/>
        <v>0</v>
      </c>
      <c r="L8" s="2">
        <v>6305572.5166073563</v>
      </c>
      <c r="M8" s="2">
        <v>233000</v>
      </c>
      <c r="N8" s="6">
        <f t="shared" si="2"/>
        <v>0</v>
      </c>
      <c r="O8" s="9">
        <f t="shared" si="3"/>
        <v>3.6951442456071078E-2</v>
      </c>
      <c r="P8" s="10">
        <v>0</v>
      </c>
      <c r="Q8" s="1">
        <f t="shared" si="4"/>
        <v>0</v>
      </c>
      <c r="R8" s="10">
        <v>14</v>
      </c>
      <c r="S8" s="10">
        <v>0</v>
      </c>
      <c r="T8" s="10">
        <v>0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</row>
    <row r="9" spans="1:26" ht="26">
      <c r="A9" s="8">
        <v>17690510</v>
      </c>
      <c r="B9" s="8" t="s">
        <v>30</v>
      </c>
      <c r="C9" s="8" t="s">
        <v>31</v>
      </c>
      <c r="D9" s="8" t="s">
        <v>411</v>
      </c>
      <c r="E9" s="8" t="s">
        <v>26</v>
      </c>
      <c r="F9" s="8" t="s">
        <v>32</v>
      </c>
      <c r="G9" s="12" t="s">
        <v>410</v>
      </c>
      <c r="H9" s="7">
        <v>8</v>
      </c>
      <c r="I9" s="1">
        <v>0</v>
      </c>
      <c r="J9" s="4">
        <f t="shared" si="0"/>
        <v>0</v>
      </c>
      <c r="K9" s="5">
        <f t="shared" si="1"/>
        <v>0</v>
      </c>
      <c r="L9" s="2">
        <v>1233517.793070439</v>
      </c>
      <c r="M9" s="2">
        <v>302400</v>
      </c>
      <c r="N9" s="6">
        <f t="shared" si="2"/>
        <v>1</v>
      </c>
      <c r="O9" s="9">
        <f t="shared" si="3"/>
        <v>0.24515252369994123</v>
      </c>
      <c r="P9" s="10">
        <v>0</v>
      </c>
      <c r="Q9" s="1">
        <f t="shared" si="4"/>
        <v>0</v>
      </c>
      <c r="R9" s="10">
        <v>10</v>
      </c>
      <c r="S9" s="10">
        <v>0</v>
      </c>
      <c r="T9" s="10">
        <v>0</v>
      </c>
      <c r="U9" s="3">
        <v>0</v>
      </c>
      <c r="V9" s="3">
        <v>0</v>
      </c>
      <c r="W9" s="3">
        <v>0</v>
      </c>
      <c r="X9" s="3">
        <v>1</v>
      </c>
      <c r="Y9" s="3">
        <v>0</v>
      </c>
      <c r="Z9" s="3">
        <v>0</v>
      </c>
    </row>
    <row r="10" spans="1:26" ht="26">
      <c r="A10" s="8">
        <v>1545922</v>
      </c>
      <c r="B10" s="8" t="s">
        <v>33</v>
      </c>
      <c r="C10" s="8" t="s">
        <v>21</v>
      </c>
      <c r="D10" s="8" t="s">
        <v>409</v>
      </c>
      <c r="E10" s="8" t="s">
        <v>22</v>
      </c>
      <c r="F10" s="8" t="s">
        <v>23</v>
      </c>
      <c r="G10" s="12" t="s">
        <v>410</v>
      </c>
      <c r="H10" s="7">
        <v>5</v>
      </c>
      <c r="I10" s="1">
        <v>3</v>
      </c>
      <c r="J10" s="4">
        <f t="shared" si="0"/>
        <v>1</v>
      </c>
      <c r="K10" s="5">
        <f t="shared" si="1"/>
        <v>0.6</v>
      </c>
      <c r="L10" s="2">
        <v>19880654</v>
      </c>
      <c r="M10" s="2">
        <v>1090000</v>
      </c>
      <c r="N10" s="6">
        <f t="shared" si="2"/>
        <v>1</v>
      </c>
      <c r="O10" s="9">
        <f t="shared" si="3"/>
        <v>5.4827170172570779E-2</v>
      </c>
      <c r="P10" s="10">
        <v>2</v>
      </c>
      <c r="Q10" s="1">
        <f t="shared" si="4"/>
        <v>0</v>
      </c>
      <c r="R10" s="10">
        <v>7</v>
      </c>
      <c r="S10" s="10">
        <v>3</v>
      </c>
      <c r="T10" s="10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0</v>
      </c>
    </row>
    <row r="11" spans="1:26" ht="26">
      <c r="A11" s="8">
        <v>17611702</v>
      </c>
      <c r="B11" s="8" t="s">
        <v>34</v>
      </c>
      <c r="C11" s="8" t="s">
        <v>35</v>
      </c>
      <c r="D11" s="8" t="s">
        <v>411</v>
      </c>
      <c r="E11" s="8" t="s">
        <v>26</v>
      </c>
      <c r="F11" s="8" t="s">
        <v>36</v>
      </c>
      <c r="G11" s="12" t="s">
        <v>410</v>
      </c>
      <c r="H11" s="7">
        <v>7.2753475754493193</v>
      </c>
      <c r="I11" s="1">
        <v>0</v>
      </c>
      <c r="J11" s="4">
        <f t="shared" si="0"/>
        <v>0</v>
      </c>
      <c r="K11" s="5">
        <f t="shared" si="1"/>
        <v>0</v>
      </c>
      <c r="L11" s="2">
        <v>1233517.793070439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10</v>
      </c>
      <c r="S11" s="10">
        <v>1</v>
      </c>
      <c r="T11" s="10">
        <v>0</v>
      </c>
      <c r="U11" s="3">
        <v>0</v>
      </c>
      <c r="V11" s="3">
        <v>0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17754185</v>
      </c>
      <c r="B12" s="8" t="s">
        <v>37</v>
      </c>
      <c r="C12" s="8" t="s">
        <v>35</v>
      </c>
      <c r="D12" s="8" t="s">
        <v>409</v>
      </c>
      <c r="E12" s="8" t="s">
        <v>22</v>
      </c>
      <c r="F12" s="8" t="s">
        <v>38</v>
      </c>
      <c r="G12" s="12" t="s">
        <v>410</v>
      </c>
      <c r="H12" s="7">
        <v>3</v>
      </c>
      <c r="I12" s="1">
        <v>0</v>
      </c>
      <c r="J12" s="4">
        <f t="shared" si="0"/>
        <v>0</v>
      </c>
      <c r="K12" s="5">
        <f t="shared" si="1"/>
        <v>0</v>
      </c>
      <c r="L12" s="2">
        <v>12908778</v>
      </c>
      <c r="M12" s="2">
        <v>0</v>
      </c>
      <c r="N12" s="6">
        <f t="shared" si="2"/>
        <v>0</v>
      </c>
      <c r="O12" s="9">
        <f t="shared" si="3"/>
        <v>0</v>
      </c>
      <c r="P12" s="10">
        <v>0</v>
      </c>
      <c r="Q12" s="1">
        <f t="shared" si="4"/>
        <v>0</v>
      </c>
      <c r="R12" s="10">
        <v>5</v>
      </c>
      <c r="S12" s="10">
        <v>0</v>
      </c>
      <c r="T12" s="10">
        <v>0</v>
      </c>
      <c r="U12" s="3">
        <v>0</v>
      </c>
      <c r="V12" s="3">
        <v>0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17569102</v>
      </c>
      <c r="B13" s="8" t="s">
        <v>39</v>
      </c>
      <c r="C13" s="8" t="s">
        <v>21</v>
      </c>
      <c r="D13" s="8" t="s">
        <v>411</v>
      </c>
      <c r="E13" s="8" t="s">
        <v>26</v>
      </c>
      <c r="F13" s="8" t="s">
        <v>40</v>
      </c>
      <c r="G13" s="12" t="s">
        <v>410</v>
      </c>
      <c r="H13" s="7">
        <v>5</v>
      </c>
      <c r="I13" s="1">
        <v>0</v>
      </c>
      <c r="J13" s="4">
        <f t="shared" si="0"/>
        <v>0</v>
      </c>
      <c r="K13" s="5">
        <f t="shared" si="1"/>
        <v>0</v>
      </c>
      <c r="L13" s="2">
        <v>1233517.793070439</v>
      </c>
      <c r="M13" s="2">
        <v>85000</v>
      </c>
      <c r="N13" s="6">
        <f t="shared" si="2"/>
        <v>0</v>
      </c>
      <c r="O13" s="9">
        <f t="shared" si="3"/>
        <v>6.8908612812483477E-2</v>
      </c>
      <c r="P13" s="10">
        <v>0</v>
      </c>
      <c r="Q13" s="1">
        <f t="shared" si="4"/>
        <v>0</v>
      </c>
      <c r="R13" s="10">
        <v>7</v>
      </c>
      <c r="S13" s="10">
        <v>0</v>
      </c>
      <c r="T13" s="10">
        <v>0</v>
      </c>
      <c r="U13" s="3">
        <v>0</v>
      </c>
      <c r="V13" s="3">
        <v>0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17362939</v>
      </c>
      <c r="B14" s="8" t="s">
        <v>41</v>
      </c>
      <c r="C14" s="8" t="s">
        <v>25</v>
      </c>
      <c r="D14" s="8" t="s">
        <v>409</v>
      </c>
      <c r="E14" s="8" t="s">
        <v>22</v>
      </c>
      <c r="F14" s="8" t="s">
        <v>42</v>
      </c>
      <c r="G14" s="12" t="s">
        <v>412</v>
      </c>
      <c r="H14" s="7">
        <v>22</v>
      </c>
      <c r="I14" s="1">
        <v>0</v>
      </c>
      <c r="J14" s="4">
        <f t="shared" si="0"/>
        <v>0</v>
      </c>
      <c r="K14" s="5">
        <f t="shared" si="1"/>
        <v>0</v>
      </c>
      <c r="L14" s="2">
        <v>12700562.85636154</v>
      </c>
      <c r="M14" s="2">
        <v>660000</v>
      </c>
      <c r="N14" s="6">
        <f t="shared" si="2"/>
        <v>1</v>
      </c>
      <c r="O14" s="9">
        <f t="shared" si="3"/>
        <v>5.1966200826242509E-2</v>
      </c>
      <c r="P14" s="10">
        <v>0</v>
      </c>
      <c r="Q14" s="1">
        <f t="shared" si="4"/>
        <v>0</v>
      </c>
      <c r="R14" s="10">
        <v>14</v>
      </c>
      <c r="S14" s="10">
        <v>0</v>
      </c>
      <c r="T14" s="10">
        <v>0</v>
      </c>
      <c r="U14" s="3">
        <v>1</v>
      </c>
      <c r="V14" s="3">
        <v>0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17745417</v>
      </c>
      <c r="B15" s="8" t="s">
        <v>43</v>
      </c>
      <c r="C15" s="8" t="s">
        <v>25</v>
      </c>
      <c r="D15" s="8" t="s">
        <v>409</v>
      </c>
      <c r="E15" s="8" t="s">
        <v>22</v>
      </c>
      <c r="F15" s="8" t="s">
        <v>42</v>
      </c>
      <c r="G15" s="12" t="s">
        <v>412</v>
      </c>
      <c r="H15" s="7">
        <v>6.5077327108257919</v>
      </c>
      <c r="I15" s="1">
        <v>0</v>
      </c>
      <c r="J15" s="1">
        <f t="shared" si="0"/>
        <v>0</v>
      </c>
      <c r="K15" s="5">
        <f t="shared" si="1"/>
        <v>0</v>
      </c>
      <c r="L15" s="2">
        <v>2241909.517693473</v>
      </c>
      <c r="M15" s="2">
        <v>660000</v>
      </c>
      <c r="N15" s="6">
        <f t="shared" si="2"/>
        <v>1</v>
      </c>
      <c r="O15" s="9">
        <f t="shared" si="3"/>
        <v>0.29439189886620531</v>
      </c>
      <c r="P15" s="10">
        <v>0</v>
      </c>
      <c r="Q15" s="1">
        <f t="shared" si="4"/>
        <v>0</v>
      </c>
      <c r="R15" s="10">
        <v>9</v>
      </c>
      <c r="S15" s="10">
        <v>0</v>
      </c>
      <c r="T15" s="10">
        <v>0</v>
      </c>
      <c r="U15" s="3">
        <v>1</v>
      </c>
      <c r="V15" s="3">
        <v>0</v>
      </c>
      <c r="W15" s="3">
        <v>0</v>
      </c>
      <c r="X15" s="3">
        <v>1</v>
      </c>
      <c r="Y15" s="3">
        <v>0</v>
      </c>
      <c r="Z15" s="3">
        <v>0</v>
      </c>
    </row>
    <row r="16" spans="1:26" ht="26">
      <c r="A16" s="8">
        <v>17223145</v>
      </c>
      <c r="B16" s="8" t="s">
        <v>44</v>
      </c>
      <c r="C16" s="8" t="s">
        <v>25</v>
      </c>
      <c r="D16" s="8" t="s">
        <v>411</v>
      </c>
      <c r="E16" s="8" t="s">
        <v>26</v>
      </c>
      <c r="F16" s="8" t="s">
        <v>29</v>
      </c>
      <c r="G16" s="12" t="s">
        <v>412</v>
      </c>
      <c r="H16" s="7">
        <v>7.747300846221199</v>
      </c>
      <c r="I16" s="1">
        <v>5</v>
      </c>
      <c r="J16" s="4">
        <f t="shared" si="0"/>
        <v>1</v>
      </c>
      <c r="K16" s="5">
        <f t="shared" si="1"/>
        <v>0.64538606403013066</v>
      </c>
      <c r="L16" s="2">
        <v>33955430.79377</v>
      </c>
      <c r="M16" s="2">
        <v>3134000</v>
      </c>
      <c r="N16" s="6">
        <f t="shared" si="2"/>
        <v>1</v>
      </c>
      <c r="O16" s="9">
        <f t="shared" si="3"/>
        <v>9.2297459544380539E-2</v>
      </c>
      <c r="P16" s="10">
        <v>0</v>
      </c>
      <c r="Q16" s="1">
        <f t="shared" si="4"/>
        <v>0</v>
      </c>
      <c r="R16" s="10">
        <v>10</v>
      </c>
      <c r="S16" s="10">
        <v>0</v>
      </c>
      <c r="T16" s="10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</v>
      </c>
    </row>
    <row r="17" spans="1:26" ht="26">
      <c r="A17" s="8">
        <v>17611798</v>
      </c>
      <c r="B17" s="8" t="s">
        <v>45</v>
      </c>
      <c r="C17" s="8" t="s">
        <v>21</v>
      </c>
      <c r="D17" s="8" t="s">
        <v>411</v>
      </c>
      <c r="E17" s="8" t="s">
        <v>22</v>
      </c>
      <c r="F17" s="8" t="s">
        <v>46</v>
      </c>
      <c r="G17" s="12" t="s">
        <v>410</v>
      </c>
      <c r="H17" s="7">
        <v>5.612410986775159</v>
      </c>
      <c r="I17" s="1">
        <v>0</v>
      </c>
      <c r="J17" s="1">
        <f t="shared" si="0"/>
        <v>0</v>
      </c>
      <c r="K17" s="5">
        <f t="shared" si="1"/>
        <v>0</v>
      </c>
      <c r="L17" s="2">
        <v>1233517.793070439</v>
      </c>
      <c r="M17" s="2">
        <v>132000</v>
      </c>
      <c r="N17" s="6">
        <f t="shared" si="2"/>
        <v>0</v>
      </c>
      <c r="O17" s="9">
        <f t="shared" si="3"/>
        <v>0.10701102224997434</v>
      </c>
      <c r="P17" s="10">
        <v>0</v>
      </c>
      <c r="Q17" s="1">
        <f t="shared" si="4"/>
        <v>0</v>
      </c>
      <c r="R17" s="10">
        <v>8</v>
      </c>
      <c r="S17" s="10">
        <v>0</v>
      </c>
      <c r="T17" s="10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1</v>
      </c>
    </row>
    <row r="18" spans="1:26" ht="26">
      <c r="A18" s="8">
        <v>17774316</v>
      </c>
      <c r="B18" s="8" t="s">
        <v>47</v>
      </c>
      <c r="C18" s="8" t="s">
        <v>25</v>
      </c>
      <c r="D18" s="8" t="s">
        <v>411</v>
      </c>
      <c r="E18" s="8" t="s">
        <v>26</v>
      </c>
      <c r="F18" s="8" t="s">
        <v>48</v>
      </c>
      <c r="G18" s="12" t="s">
        <v>412</v>
      </c>
      <c r="H18" s="7">
        <v>8.0571928800700618</v>
      </c>
      <c r="I18" s="1">
        <v>0</v>
      </c>
      <c r="J18" s="4">
        <f t="shared" si="0"/>
        <v>0</v>
      </c>
      <c r="K18" s="5">
        <f t="shared" si="1"/>
        <v>0</v>
      </c>
      <c r="L18" s="2">
        <v>2158596.5258458201</v>
      </c>
      <c r="M18" s="2">
        <v>2350000</v>
      </c>
      <c r="N18" s="6">
        <f t="shared" si="2"/>
        <v>1</v>
      </c>
      <c r="O18" s="9">
        <f t="shared" si="3"/>
        <v>1.088670333646155</v>
      </c>
      <c r="P18" s="10">
        <v>0</v>
      </c>
      <c r="Q18" s="1">
        <f t="shared" si="4"/>
        <v>0</v>
      </c>
      <c r="R18" s="10">
        <v>11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1</v>
      </c>
    </row>
    <row r="19" spans="1:26" ht="26">
      <c r="A19" s="8">
        <v>17680832</v>
      </c>
      <c r="B19" s="8" t="s">
        <v>49</v>
      </c>
      <c r="C19" s="27" t="s">
        <v>57</v>
      </c>
      <c r="D19" s="8" t="s">
        <v>409</v>
      </c>
      <c r="E19" s="8" t="s">
        <v>22</v>
      </c>
      <c r="F19" s="8" t="s">
        <v>50</v>
      </c>
      <c r="G19" s="12" t="s">
        <v>412</v>
      </c>
      <c r="H19" s="7">
        <v>9.9165450831630899</v>
      </c>
      <c r="I19" s="1">
        <v>0</v>
      </c>
      <c r="J19" s="1">
        <f t="shared" si="0"/>
        <v>0</v>
      </c>
      <c r="K19" s="5">
        <f t="shared" si="1"/>
        <v>0</v>
      </c>
      <c r="L19" s="2">
        <v>1708993.6560472909</v>
      </c>
      <c r="M19" s="2">
        <v>3322000</v>
      </c>
      <c r="N19" s="6">
        <f t="shared" si="2"/>
        <v>1</v>
      </c>
      <c r="O19" s="9">
        <f t="shared" si="3"/>
        <v>1.9438340149742921</v>
      </c>
      <c r="P19" s="10">
        <v>0</v>
      </c>
      <c r="Q19" s="1">
        <f t="shared" si="4"/>
        <v>0</v>
      </c>
      <c r="R19" s="10">
        <v>12</v>
      </c>
      <c r="S19" s="10">
        <v>0</v>
      </c>
      <c r="T19" s="10">
        <v>0</v>
      </c>
      <c r="U19" s="3">
        <v>1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>
        <v>17654629</v>
      </c>
      <c r="B20" s="8" t="s">
        <v>51</v>
      </c>
      <c r="C20" s="8" t="s">
        <v>31</v>
      </c>
      <c r="D20" s="8" t="s">
        <v>411</v>
      </c>
      <c r="E20" s="8" t="s">
        <v>26</v>
      </c>
      <c r="F20" s="8" t="s">
        <v>32</v>
      </c>
      <c r="G20" s="12" t="s">
        <v>410</v>
      </c>
      <c r="H20" s="7">
        <v>3</v>
      </c>
      <c r="I20" s="1">
        <v>0</v>
      </c>
      <c r="J20" s="1">
        <f t="shared" si="0"/>
        <v>0</v>
      </c>
      <c r="K20" s="5">
        <f t="shared" si="1"/>
        <v>0</v>
      </c>
      <c r="L20" s="2">
        <v>1233517.793070439</v>
      </c>
      <c r="M20" s="2">
        <v>302400</v>
      </c>
      <c r="N20" s="6">
        <f t="shared" si="2"/>
        <v>1</v>
      </c>
      <c r="O20" s="9">
        <f t="shared" si="3"/>
        <v>0.24515252369994123</v>
      </c>
      <c r="P20" s="10">
        <v>0</v>
      </c>
      <c r="Q20" s="1">
        <f t="shared" si="4"/>
        <v>0</v>
      </c>
      <c r="R20" s="10">
        <v>5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1</v>
      </c>
      <c r="Y20" s="3">
        <v>0</v>
      </c>
      <c r="Z20" s="3">
        <v>0</v>
      </c>
    </row>
    <row r="21" spans="1:26" ht="26">
      <c r="A21" s="8" t="s">
        <v>419</v>
      </c>
      <c r="B21" s="8" t="s">
        <v>420</v>
      </c>
      <c r="C21" s="8" t="s">
        <v>31</v>
      </c>
      <c r="D21" s="8" t="s">
        <v>409</v>
      </c>
      <c r="E21" s="8" t="s">
        <v>22</v>
      </c>
      <c r="F21" s="11" t="s">
        <v>219</v>
      </c>
      <c r="G21" s="12" t="s">
        <v>410</v>
      </c>
      <c r="H21" s="7">
        <v>3</v>
      </c>
      <c r="I21" s="1">
        <v>0</v>
      </c>
      <c r="J21" s="1">
        <f t="shared" si="0"/>
        <v>0</v>
      </c>
      <c r="K21" s="5">
        <f t="shared" si="1"/>
        <v>0</v>
      </c>
      <c r="L21" s="2">
        <v>2549477.9785796599</v>
      </c>
      <c r="M21" s="2">
        <v>302400</v>
      </c>
      <c r="N21" s="6">
        <f t="shared" si="2"/>
        <v>1</v>
      </c>
      <c r="O21" s="9">
        <f t="shared" si="3"/>
        <v>0.11861251697042315</v>
      </c>
      <c r="P21" s="10">
        <v>0</v>
      </c>
      <c r="Q21" s="1">
        <f t="shared" si="4"/>
        <v>0</v>
      </c>
      <c r="R21" s="10">
        <v>5</v>
      </c>
      <c r="S21" s="10">
        <v>0</v>
      </c>
      <c r="T21" s="10">
        <v>0</v>
      </c>
      <c r="U21" s="3">
        <v>0</v>
      </c>
      <c r="V21" s="3">
        <v>0</v>
      </c>
      <c r="W21" s="3">
        <v>1</v>
      </c>
      <c r="X21" s="3">
        <v>0</v>
      </c>
      <c r="Y21" s="3">
        <v>0</v>
      </c>
      <c r="Z21" s="3">
        <v>0</v>
      </c>
    </row>
    <row r="22" spans="1:26" ht="26">
      <c r="A22" s="8">
        <v>17698994</v>
      </c>
      <c r="B22" s="8" t="s">
        <v>52</v>
      </c>
      <c r="C22" s="8" t="s">
        <v>21</v>
      </c>
      <c r="D22" s="8" t="s">
        <v>411</v>
      </c>
      <c r="E22" s="8" t="s">
        <v>22</v>
      </c>
      <c r="F22" s="8" t="s">
        <v>53</v>
      </c>
      <c r="G22" s="12" t="s">
        <v>410</v>
      </c>
      <c r="H22" s="7">
        <v>5.8202780603594357</v>
      </c>
      <c r="I22" s="1">
        <v>0</v>
      </c>
      <c r="J22" s="1">
        <f t="shared" si="0"/>
        <v>0</v>
      </c>
      <c r="K22" s="5">
        <f t="shared" si="1"/>
        <v>0</v>
      </c>
      <c r="L22" s="2">
        <v>1233517.793070439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8</v>
      </c>
      <c r="S22" s="10">
        <v>0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17693220</v>
      </c>
      <c r="B23" s="8" t="s">
        <v>54</v>
      </c>
      <c r="C23" s="8" t="s">
        <v>35</v>
      </c>
      <c r="D23" s="8" t="s">
        <v>411</v>
      </c>
      <c r="E23" s="8" t="s">
        <v>26</v>
      </c>
      <c r="F23" s="8" t="s">
        <v>55</v>
      </c>
      <c r="G23" s="12" t="s">
        <v>410</v>
      </c>
      <c r="H23" s="7">
        <v>5</v>
      </c>
      <c r="I23" s="1">
        <v>0</v>
      </c>
      <c r="J23" s="1">
        <f t="shared" si="0"/>
        <v>0</v>
      </c>
      <c r="K23" s="5">
        <f t="shared" si="1"/>
        <v>0</v>
      </c>
      <c r="L23" s="2">
        <v>1233517.793070439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7</v>
      </c>
      <c r="S23" s="10">
        <v>0</v>
      </c>
      <c r="T23" s="10">
        <v>2</v>
      </c>
      <c r="U23" s="3">
        <v>0</v>
      </c>
      <c r="V23" s="3">
        <v>0</v>
      </c>
      <c r="W23" s="3">
        <v>0</v>
      </c>
      <c r="X23" s="3">
        <v>1</v>
      </c>
      <c r="Y23" s="3">
        <v>0</v>
      </c>
      <c r="Z23" s="3">
        <v>0</v>
      </c>
    </row>
    <row r="24" spans="1:26" ht="26">
      <c r="A24" s="8">
        <v>17692185</v>
      </c>
      <c r="B24" s="8" t="s">
        <v>56</v>
      </c>
      <c r="C24" s="8" t="s">
        <v>57</v>
      </c>
      <c r="D24" s="8" t="s">
        <v>411</v>
      </c>
      <c r="E24" s="8" t="s">
        <v>26</v>
      </c>
      <c r="F24" s="8" t="s">
        <v>58</v>
      </c>
      <c r="G24" s="12" t="s">
        <v>412</v>
      </c>
      <c r="H24" s="7">
        <v>5</v>
      </c>
      <c r="I24" s="1">
        <v>0</v>
      </c>
      <c r="J24" s="4">
        <f t="shared" si="0"/>
        <v>0</v>
      </c>
      <c r="K24" s="5">
        <f t="shared" si="1"/>
        <v>0</v>
      </c>
      <c r="L24" s="2">
        <v>5352321.0646263557</v>
      </c>
      <c r="M24" s="2">
        <v>0</v>
      </c>
      <c r="N24" s="6">
        <f t="shared" si="2"/>
        <v>0</v>
      </c>
      <c r="O24" s="9">
        <f t="shared" si="3"/>
        <v>0</v>
      </c>
      <c r="P24" s="10">
        <v>3</v>
      </c>
      <c r="Q24" s="1">
        <f t="shared" si="4"/>
        <v>1</v>
      </c>
      <c r="R24" s="10">
        <v>7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1078285</v>
      </c>
      <c r="B25" s="8" t="s">
        <v>59</v>
      </c>
      <c r="C25" s="8" t="s">
        <v>31</v>
      </c>
      <c r="D25" s="8" t="s">
        <v>409</v>
      </c>
      <c r="E25" s="8" t="s">
        <v>22</v>
      </c>
      <c r="F25" s="8" t="s">
        <v>60</v>
      </c>
      <c r="G25" s="12" t="s">
        <v>410</v>
      </c>
      <c r="H25" s="7">
        <v>5</v>
      </c>
      <c r="I25" s="1">
        <v>0</v>
      </c>
      <c r="J25" s="4">
        <f t="shared" si="0"/>
        <v>0</v>
      </c>
      <c r="K25" s="5">
        <f t="shared" si="1"/>
        <v>0</v>
      </c>
      <c r="L25" s="2">
        <v>2549477.9785796599</v>
      </c>
      <c r="M25" s="2">
        <v>302400</v>
      </c>
      <c r="N25" s="6">
        <f t="shared" si="2"/>
        <v>1</v>
      </c>
      <c r="O25" s="9">
        <f t="shared" si="3"/>
        <v>0.11861251697042315</v>
      </c>
      <c r="P25" s="10">
        <v>0</v>
      </c>
      <c r="Q25" s="1">
        <f t="shared" si="4"/>
        <v>0</v>
      </c>
      <c r="R25" s="10">
        <v>7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</row>
    <row r="26" spans="1:26" ht="26">
      <c r="A26" s="8">
        <v>17651452</v>
      </c>
      <c r="B26" s="8" t="s">
        <v>61</v>
      </c>
      <c r="C26" s="8" t="s">
        <v>35</v>
      </c>
      <c r="D26" s="8" t="s">
        <v>411</v>
      </c>
      <c r="E26" s="8" t="s">
        <v>22</v>
      </c>
      <c r="F26" s="8" t="s">
        <v>62</v>
      </c>
      <c r="G26" s="12" t="s">
        <v>410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1233517.793070439</v>
      </c>
      <c r="M26" s="2">
        <v>300000</v>
      </c>
      <c r="N26" s="6">
        <f t="shared" si="2"/>
        <v>1</v>
      </c>
      <c r="O26" s="9">
        <f t="shared" si="3"/>
        <v>0.24320686874994168</v>
      </c>
      <c r="P26" s="10">
        <v>0</v>
      </c>
      <c r="Q26" s="1">
        <f t="shared" si="4"/>
        <v>0</v>
      </c>
      <c r="R26" s="10">
        <v>5</v>
      </c>
      <c r="S26" s="10">
        <v>0</v>
      </c>
      <c r="T26" s="10">
        <v>0</v>
      </c>
      <c r="U26" s="3">
        <v>0</v>
      </c>
      <c r="V26" s="3">
        <v>0</v>
      </c>
      <c r="W26" s="3">
        <v>1</v>
      </c>
      <c r="X26" s="3">
        <v>0</v>
      </c>
      <c r="Y26" s="3">
        <v>0</v>
      </c>
      <c r="Z26" s="3">
        <v>0</v>
      </c>
    </row>
    <row r="27" spans="1:26" ht="26">
      <c r="A27" s="8">
        <v>17244951</v>
      </c>
      <c r="B27" s="8" t="s">
        <v>63</v>
      </c>
      <c r="C27" s="8" t="s">
        <v>25</v>
      </c>
      <c r="D27" s="8" t="s">
        <v>413</v>
      </c>
      <c r="E27" s="8" t="s">
        <v>26</v>
      </c>
      <c r="F27" s="8" t="s">
        <v>42</v>
      </c>
      <c r="G27" s="12" t="s">
        <v>412</v>
      </c>
      <c r="H27" s="7">
        <v>4</v>
      </c>
      <c r="I27" s="1">
        <v>0</v>
      </c>
      <c r="J27" s="1">
        <f t="shared" si="0"/>
        <v>0</v>
      </c>
      <c r="K27" s="5">
        <f t="shared" si="1"/>
        <v>0</v>
      </c>
      <c r="L27" s="2">
        <v>8662935.1674000528</v>
      </c>
      <c r="M27" s="2">
        <v>3526000</v>
      </c>
      <c r="N27" s="6">
        <f t="shared" si="2"/>
        <v>1</v>
      </c>
      <c r="O27" s="9">
        <f t="shared" si="3"/>
        <v>0.40702140000641768</v>
      </c>
      <c r="P27" s="10">
        <v>0</v>
      </c>
      <c r="Q27" s="1">
        <f t="shared" si="4"/>
        <v>0</v>
      </c>
      <c r="R27" s="10">
        <v>6</v>
      </c>
      <c r="S27" s="10">
        <v>1</v>
      </c>
      <c r="T27" s="10">
        <v>0</v>
      </c>
      <c r="U27" s="3">
        <v>1</v>
      </c>
      <c r="V27" s="3">
        <v>0</v>
      </c>
      <c r="W27" s="3">
        <v>0</v>
      </c>
      <c r="X27" s="3">
        <v>1</v>
      </c>
      <c r="Y27" s="3">
        <v>0</v>
      </c>
      <c r="Z27" s="3">
        <v>0</v>
      </c>
    </row>
    <row r="28" spans="1:26" ht="26">
      <c r="A28" s="8">
        <v>1375440</v>
      </c>
      <c r="B28" s="8" t="s">
        <v>64</v>
      </c>
      <c r="C28" s="8" t="s">
        <v>31</v>
      </c>
      <c r="D28" s="8" t="s">
        <v>411</v>
      </c>
      <c r="E28" s="8" t="s">
        <v>22</v>
      </c>
      <c r="F28" s="8" t="s">
        <v>65</v>
      </c>
      <c r="G28" s="12" t="s">
        <v>410</v>
      </c>
      <c r="H28" s="7">
        <v>5.1966768396066563</v>
      </c>
      <c r="I28" s="1">
        <v>0</v>
      </c>
      <c r="J28" s="1">
        <f t="shared" si="0"/>
        <v>0</v>
      </c>
      <c r="K28" s="5">
        <f t="shared" si="1"/>
        <v>0</v>
      </c>
      <c r="L28" s="2">
        <v>1233517.793070439</v>
      </c>
      <c r="M28" s="2">
        <v>318000</v>
      </c>
      <c r="N28" s="6">
        <f t="shared" si="2"/>
        <v>1</v>
      </c>
      <c r="O28" s="9">
        <f t="shared" si="3"/>
        <v>0.2577992808749382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1</v>
      </c>
    </row>
    <row r="29" spans="1:26" ht="26">
      <c r="A29" s="8">
        <v>17705764</v>
      </c>
      <c r="B29" s="8" t="s">
        <v>66</v>
      </c>
      <c r="C29" s="8" t="s">
        <v>21</v>
      </c>
      <c r="D29" s="8" t="s">
        <v>411</v>
      </c>
      <c r="E29" s="8" t="s">
        <v>22</v>
      </c>
      <c r="F29" s="8" t="s">
        <v>40</v>
      </c>
      <c r="G29" s="12" t="s">
        <v>410</v>
      </c>
      <c r="H29" s="7">
        <v>3.1180061037639888</v>
      </c>
      <c r="I29" s="1">
        <v>0</v>
      </c>
      <c r="J29" s="1">
        <f t="shared" si="0"/>
        <v>0</v>
      </c>
      <c r="K29" s="5">
        <f t="shared" si="1"/>
        <v>0</v>
      </c>
      <c r="L29" s="2">
        <v>1233517.793070439</v>
      </c>
      <c r="M29" s="2">
        <v>85000</v>
      </c>
      <c r="N29" s="6">
        <f t="shared" si="2"/>
        <v>0</v>
      </c>
      <c r="O29" s="9">
        <f t="shared" si="3"/>
        <v>6.8908612812483477E-2</v>
      </c>
      <c r="P29" s="10">
        <v>0</v>
      </c>
      <c r="Q29" s="1">
        <f t="shared" si="4"/>
        <v>0</v>
      </c>
      <c r="R29" s="10">
        <v>6</v>
      </c>
      <c r="S29" s="10">
        <v>0</v>
      </c>
      <c r="T29" s="10">
        <v>0</v>
      </c>
      <c r="U29" s="3">
        <v>0</v>
      </c>
      <c r="V29" s="3">
        <v>0</v>
      </c>
      <c r="W29" s="3">
        <v>0</v>
      </c>
      <c r="X29" s="3">
        <v>1</v>
      </c>
      <c r="Y29" s="3">
        <v>0</v>
      </c>
      <c r="Z29" s="3">
        <v>0</v>
      </c>
    </row>
    <row r="30" spans="1:26" ht="26">
      <c r="A30" s="8">
        <v>17227194</v>
      </c>
      <c r="B30" s="8" t="s">
        <v>67</v>
      </c>
      <c r="C30" s="8" t="s">
        <v>21</v>
      </c>
      <c r="D30" s="8" t="s">
        <v>409</v>
      </c>
      <c r="E30" s="8" t="s">
        <v>22</v>
      </c>
      <c r="F30" s="8" t="s">
        <v>23</v>
      </c>
      <c r="G30" s="12" t="s">
        <v>410</v>
      </c>
      <c r="H30" s="7">
        <v>3.1180061037639888</v>
      </c>
      <c r="I30" s="1">
        <v>1</v>
      </c>
      <c r="J30" s="1">
        <f t="shared" si="0"/>
        <v>0</v>
      </c>
      <c r="K30" s="5">
        <f t="shared" si="1"/>
        <v>0.32071778140293628</v>
      </c>
      <c r="L30" s="2">
        <v>22463880</v>
      </c>
      <c r="M30" s="2">
        <v>470000</v>
      </c>
      <c r="N30" s="6">
        <f t="shared" si="2"/>
        <v>1</v>
      </c>
      <c r="O30" s="9">
        <f t="shared" si="3"/>
        <v>2.0922476437730257E-2</v>
      </c>
      <c r="P30" s="10">
        <v>0</v>
      </c>
      <c r="Q30" s="1">
        <f t="shared" si="4"/>
        <v>0</v>
      </c>
      <c r="R30" s="10">
        <v>6</v>
      </c>
      <c r="S30" s="10">
        <v>2</v>
      </c>
      <c r="T30" s="10">
        <v>0</v>
      </c>
      <c r="U30" s="3">
        <v>0</v>
      </c>
      <c r="V30" s="3">
        <v>1</v>
      </c>
      <c r="W30" s="3">
        <v>0</v>
      </c>
      <c r="X30" s="3">
        <v>0</v>
      </c>
      <c r="Y30" s="3">
        <v>0</v>
      </c>
      <c r="Z30" s="3">
        <v>0</v>
      </c>
    </row>
    <row r="31" spans="1:26" ht="26">
      <c r="A31" s="8">
        <v>17236843</v>
      </c>
      <c r="B31" s="8" t="s">
        <v>68</v>
      </c>
      <c r="C31" s="8" t="s">
        <v>57</v>
      </c>
      <c r="D31" s="8" t="s">
        <v>411</v>
      </c>
      <c r="E31" s="8" t="s">
        <v>26</v>
      </c>
      <c r="F31" s="8" t="s">
        <v>69</v>
      </c>
      <c r="G31" s="12" t="s">
        <v>412</v>
      </c>
      <c r="H31" s="7">
        <v>5.8879486431280963</v>
      </c>
      <c r="I31" s="1">
        <v>0</v>
      </c>
      <c r="J31" s="4">
        <f t="shared" si="0"/>
        <v>0</v>
      </c>
      <c r="K31" s="5">
        <f t="shared" si="1"/>
        <v>0</v>
      </c>
      <c r="L31" s="2">
        <v>7896060.6239058357</v>
      </c>
      <c r="M31" s="2">
        <v>0</v>
      </c>
      <c r="N31" s="6">
        <f t="shared" si="2"/>
        <v>0</v>
      </c>
      <c r="O31" s="9">
        <f t="shared" si="3"/>
        <v>0</v>
      </c>
      <c r="P31" s="10">
        <v>3</v>
      </c>
      <c r="Q31" s="1">
        <f t="shared" si="4"/>
        <v>1</v>
      </c>
      <c r="R31" s="10">
        <v>8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17444152</v>
      </c>
      <c r="B32" s="8" t="s">
        <v>70</v>
      </c>
      <c r="C32" s="8" t="s">
        <v>21</v>
      </c>
      <c r="D32" s="8" t="s">
        <v>411</v>
      </c>
      <c r="E32" s="8" t="s">
        <v>22</v>
      </c>
      <c r="F32" s="8" t="s">
        <v>23</v>
      </c>
      <c r="G32" s="12" t="s">
        <v>410</v>
      </c>
      <c r="H32" s="7">
        <v>3</v>
      </c>
      <c r="I32" s="1">
        <v>0</v>
      </c>
      <c r="J32" s="1">
        <f t="shared" si="0"/>
        <v>0</v>
      </c>
      <c r="K32" s="5">
        <f t="shared" si="1"/>
        <v>0</v>
      </c>
      <c r="L32" s="2">
        <v>1233517.793070439</v>
      </c>
      <c r="M32" s="2">
        <v>85000</v>
      </c>
      <c r="N32" s="6">
        <f t="shared" si="2"/>
        <v>0</v>
      </c>
      <c r="O32" s="9">
        <f t="shared" si="3"/>
        <v>6.8908612812483477E-2</v>
      </c>
      <c r="P32" s="10">
        <v>0</v>
      </c>
      <c r="Q32" s="1">
        <f t="shared" si="4"/>
        <v>0</v>
      </c>
      <c r="R32" s="10">
        <v>5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17681735</v>
      </c>
      <c r="B33" s="8" t="s">
        <v>72</v>
      </c>
      <c r="C33" s="8" t="s">
        <v>21</v>
      </c>
      <c r="D33" s="8" t="s">
        <v>411</v>
      </c>
      <c r="E33" s="8" t="s">
        <v>22</v>
      </c>
      <c r="F33" s="8" t="s">
        <v>73</v>
      </c>
      <c r="G33" s="12" t="s">
        <v>410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1233517.793070439</v>
      </c>
      <c r="M33" s="2">
        <v>650000</v>
      </c>
      <c r="N33" s="6">
        <f t="shared" si="2"/>
        <v>1</v>
      </c>
      <c r="O33" s="9">
        <f t="shared" si="3"/>
        <v>0.52694821562487371</v>
      </c>
      <c r="P33" s="10">
        <v>0</v>
      </c>
      <c r="Q33" s="1">
        <f t="shared" si="4"/>
        <v>0</v>
      </c>
      <c r="R33" s="10">
        <v>5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17570839</v>
      </c>
      <c r="B34" s="8" t="s">
        <v>74</v>
      </c>
      <c r="C34" s="8" t="s">
        <v>57</v>
      </c>
      <c r="D34" s="8" t="s">
        <v>413</v>
      </c>
      <c r="E34" s="8" t="s">
        <v>26</v>
      </c>
      <c r="F34" s="8" t="s">
        <v>75</v>
      </c>
      <c r="G34" s="12" t="s">
        <v>412</v>
      </c>
      <c r="H34" s="7">
        <v>5</v>
      </c>
      <c r="I34" s="1">
        <v>0</v>
      </c>
      <c r="J34" s="4">
        <f t="shared" si="0"/>
        <v>0</v>
      </c>
      <c r="K34" s="5">
        <f t="shared" si="1"/>
        <v>0</v>
      </c>
      <c r="L34" s="2">
        <v>1065113.5078454011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7</v>
      </c>
      <c r="S34" s="10">
        <v>0</v>
      </c>
      <c r="T34" s="10">
        <v>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</row>
    <row r="35" spans="1:26" ht="26">
      <c r="A35" s="8" t="s">
        <v>400</v>
      </c>
      <c r="B35" s="8" t="s">
        <v>416</v>
      </c>
      <c r="C35" s="8" t="s">
        <v>35</v>
      </c>
      <c r="D35" s="8" t="s">
        <v>409</v>
      </c>
      <c r="E35" s="8" t="s">
        <v>22</v>
      </c>
      <c r="F35" s="8" t="s">
        <v>102</v>
      </c>
      <c r="G35" s="12" t="s">
        <v>410</v>
      </c>
      <c r="H35" s="7">
        <v>5</v>
      </c>
      <c r="I35" s="1">
        <v>0</v>
      </c>
      <c r="J35" s="1">
        <f t="shared" si="0"/>
        <v>0</v>
      </c>
      <c r="K35" s="5">
        <f t="shared" si="1"/>
        <v>0</v>
      </c>
      <c r="L35" s="2">
        <v>29626053.564346101</v>
      </c>
      <c r="M35" s="2">
        <v>132000</v>
      </c>
      <c r="N35" s="6">
        <f t="shared" si="2"/>
        <v>0</v>
      </c>
      <c r="O35" s="9">
        <f t="shared" si="3"/>
        <v>4.4555377486678585E-3</v>
      </c>
      <c r="P35" s="10">
        <v>0</v>
      </c>
      <c r="Q35" s="1">
        <f t="shared" si="4"/>
        <v>0</v>
      </c>
      <c r="R35" s="10">
        <v>7</v>
      </c>
      <c r="S35" s="10">
        <v>0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1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6.5077327108257919</v>
      </c>
      <c r="I36" s="1">
        <v>0</v>
      </c>
      <c r="J36" s="1">
        <f t="shared" si="0"/>
        <v>0</v>
      </c>
      <c r="K36" s="5">
        <f t="shared" si="1"/>
        <v>0</v>
      </c>
      <c r="L36" s="2">
        <v>14129452.488093451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9</v>
      </c>
      <c r="S36" s="10">
        <v>0</v>
      </c>
      <c r="T36" s="10">
        <v>0</v>
      </c>
      <c r="U36" s="3">
        <v>0</v>
      </c>
      <c r="V36" s="3">
        <v>0</v>
      </c>
      <c r="W36" s="3">
        <v>1</v>
      </c>
      <c r="X36" s="3">
        <v>0</v>
      </c>
      <c r="Y36" s="3">
        <v>0</v>
      </c>
      <c r="Z36" s="3">
        <v>0</v>
      </c>
    </row>
    <row r="37" spans="1:26" ht="26">
      <c r="A37" s="8">
        <v>1291615</v>
      </c>
      <c r="B37" s="8" t="s">
        <v>78</v>
      </c>
      <c r="C37" s="8" t="s">
        <v>31</v>
      </c>
      <c r="D37" s="8" t="s">
        <v>411</v>
      </c>
      <c r="E37" s="8" t="s">
        <v>22</v>
      </c>
      <c r="F37" s="8" t="s">
        <v>60</v>
      </c>
      <c r="G37" s="12" t="s">
        <v>410</v>
      </c>
      <c r="H37" s="7">
        <v>9.3540183112919824</v>
      </c>
      <c r="I37" s="1">
        <v>0</v>
      </c>
      <c r="J37" s="4">
        <f t="shared" si="0"/>
        <v>0</v>
      </c>
      <c r="K37" s="5">
        <f t="shared" si="1"/>
        <v>0</v>
      </c>
      <c r="L37" s="2">
        <v>1233517.793070439</v>
      </c>
      <c r="M37" s="2">
        <v>302400</v>
      </c>
      <c r="N37" s="6">
        <f t="shared" si="2"/>
        <v>1</v>
      </c>
      <c r="O37" s="9">
        <f t="shared" si="3"/>
        <v>0.24515252369994123</v>
      </c>
      <c r="P37" s="10">
        <v>0</v>
      </c>
      <c r="Q37" s="1">
        <f t="shared" si="4"/>
        <v>0</v>
      </c>
      <c r="R37" s="10">
        <v>12</v>
      </c>
      <c r="S37" s="10">
        <v>0</v>
      </c>
      <c r="T37" s="10">
        <v>0</v>
      </c>
      <c r="U37" s="3">
        <v>0</v>
      </c>
      <c r="V37" s="3">
        <v>0</v>
      </c>
      <c r="W37" s="3">
        <v>1</v>
      </c>
      <c r="X37" s="3">
        <v>0</v>
      </c>
      <c r="Y37" s="3">
        <v>0</v>
      </c>
      <c r="Z37" s="3">
        <v>0</v>
      </c>
    </row>
    <row r="38" spans="1:26" ht="26">
      <c r="A38" s="8">
        <v>17546521</v>
      </c>
      <c r="B38" s="8" t="s">
        <v>79</v>
      </c>
      <c r="C38" s="8" t="s">
        <v>57</v>
      </c>
      <c r="D38" s="8" t="s">
        <v>409</v>
      </c>
      <c r="E38" s="8" t="s">
        <v>22</v>
      </c>
      <c r="F38" s="8" t="s">
        <v>80</v>
      </c>
      <c r="G38" s="12" t="s">
        <v>412</v>
      </c>
      <c r="H38" s="7">
        <v>30</v>
      </c>
      <c r="I38" s="1">
        <v>0</v>
      </c>
      <c r="J38" s="1">
        <f t="shared" si="0"/>
        <v>0</v>
      </c>
      <c r="K38" s="5">
        <f t="shared" si="1"/>
        <v>0</v>
      </c>
      <c r="L38" s="2">
        <v>4417024.9988194266</v>
      </c>
      <c r="M38" s="2">
        <v>0</v>
      </c>
      <c r="N38" s="6">
        <f t="shared" si="2"/>
        <v>0</v>
      </c>
      <c r="O38" s="9">
        <f t="shared" si="3"/>
        <v>0</v>
      </c>
      <c r="P38" s="10">
        <v>0</v>
      </c>
      <c r="Q38" s="1">
        <f t="shared" si="4"/>
        <v>0</v>
      </c>
      <c r="R38" s="10">
        <v>22</v>
      </c>
      <c r="S38" s="10">
        <v>0</v>
      </c>
      <c r="T38" s="10">
        <v>0</v>
      </c>
      <c r="U38" s="3">
        <v>0</v>
      </c>
      <c r="V38" s="3">
        <v>0</v>
      </c>
      <c r="W38" s="3">
        <v>1</v>
      </c>
      <c r="X38" s="3">
        <v>0</v>
      </c>
      <c r="Y38" s="3">
        <v>0</v>
      </c>
      <c r="Z38" s="3">
        <v>0</v>
      </c>
    </row>
    <row r="39" spans="1:26" ht="26">
      <c r="A39" s="8">
        <v>17120321</v>
      </c>
      <c r="B39" s="8" t="s">
        <v>81</v>
      </c>
      <c r="C39" s="8" t="s">
        <v>35</v>
      </c>
      <c r="D39" s="8" t="s">
        <v>409</v>
      </c>
      <c r="E39" s="8" t="s">
        <v>22</v>
      </c>
      <c r="F39" s="8" t="s">
        <v>82</v>
      </c>
      <c r="G39" s="12" t="s">
        <v>410</v>
      </c>
      <c r="H39" s="7">
        <v>5</v>
      </c>
      <c r="I39" s="1">
        <v>0</v>
      </c>
      <c r="J39" s="4">
        <f t="shared" si="0"/>
        <v>0</v>
      </c>
      <c r="K39" s="5">
        <f t="shared" si="1"/>
        <v>0</v>
      </c>
      <c r="L39" s="2">
        <v>29626053.564346101</v>
      </c>
      <c r="M39" s="2">
        <v>461500</v>
      </c>
      <c r="N39" s="6">
        <f t="shared" si="2"/>
        <v>1</v>
      </c>
      <c r="O39" s="9">
        <f t="shared" si="3"/>
        <v>1.5577505083410732E-2</v>
      </c>
      <c r="P39" s="10">
        <v>0</v>
      </c>
      <c r="Q39" s="1">
        <f t="shared" si="4"/>
        <v>0</v>
      </c>
      <c r="R39" s="10">
        <v>7</v>
      </c>
      <c r="S39" s="10">
        <v>0</v>
      </c>
      <c r="T39" s="10">
        <v>0</v>
      </c>
      <c r="U39" s="3">
        <v>0</v>
      </c>
      <c r="V39" s="3">
        <v>0</v>
      </c>
      <c r="W39" s="3">
        <v>1</v>
      </c>
      <c r="X39" s="3">
        <v>0</v>
      </c>
      <c r="Y39" s="3">
        <v>0</v>
      </c>
      <c r="Z39" s="3">
        <v>1</v>
      </c>
    </row>
    <row r="40" spans="1:26" ht="26">
      <c r="A40" s="8">
        <v>17342969</v>
      </c>
      <c r="B40" s="8" t="s">
        <v>83</v>
      </c>
      <c r="C40" s="8" t="s">
        <v>31</v>
      </c>
      <c r="D40" s="8" t="s">
        <v>409</v>
      </c>
      <c r="E40" s="8" t="s">
        <v>22</v>
      </c>
      <c r="F40" s="8" t="s">
        <v>60</v>
      </c>
      <c r="G40" s="12" t="s">
        <v>410</v>
      </c>
      <c r="H40" s="7">
        <v>3</v>
      </c>
      <c r="I40" s="1">
        <v>0</v>
      </c>
      <c r="J40" s="1">
        <f t="shared" si="0"/>
        <v>0</v>
      </c>
      <c r="K40" s="5">
        <f t="shared" si="1"/>
        <v>0</v>
      </c>
      <c r="L40" s="2">
        <v>12908778</v>
      </c>
      <c r="M40" s="2">
        <v>200000</v>
      </c>
      <c r="N40" s="6">
        <f t="shared" si="2"/>
        <v>0</v>
      </c>
      <c r="O40" s="9">
        <f t="shared" si="3"/>
        <v>1.5493333296149334E-2</v>
      </c>
      <c r="P40" s="10">
        <v>0</v>
      </c>
      <c r="Q40" s="1">
        <f t="shared" si="4"/>
        <v>0</v>
      </c>
      <c r="R40" s="10">
        <v>5</v>
      </c>
      <c r="S40" s="10">
        <v>0</v>
      </c>
      <c r="T40" s="10">
        <v>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17228835</v>
      </c>
      <c r="B41" s="8" t="s">
        <v>84</v>
      </c>
      <c r="C41" s="8" t="s">
        <v>35</v>
      </c>
      <c r="D41" s="8" t="s">
        <v>411</v>
      </c>
      <c r="E41" s="8" t="s">
        <v>22</v>
      </c>
      <c r="F41" s="8" t="s">
        <v>85</v>
      </c>
      <c r="G41" s="12" t="s">
        <v>410</v>
      </c>
      <c r="H41" s="7">
        <v>3</v>
      </c>
      <c r="I41" s="1">
        <v>0</v>
      </c>
      <c r="J41" s="1">
        <f t="shared" si="0"/>
        <v>0</v>
      </c>
      <c r="K41" s="5">
        <f t="shared" si="1"/>
        <v>0</v>
      </c>
      <c r="L41" s="2">
        <v>1233517.793070439</v>
      </c>
      <c r="M41" s="2">
        <v>500000</v>
      </c>
      <c r="N41" s="6">
        <f t="shared" si="2"/>
        <v>1</v>
      </c>
      <c r="O41" s="9">
        <f t="shared" si="3"/>
        <v>0.40534478124990281</v>
      </c>
      <c r="P41" s="10">
        <v>0</v>
      </c>
      <c r="Q41" s="1">
        <f t="shared" si="4"/>
        <v>0</v>
      </c>
      <c r="R41" s="10">
        <v>5</v>
      </c>
      <c r="S41" s="10">
        <v>0</v>
      </c>
      <c r="T41" s="10">
        <v>0</v>
      </c>
      <c r="U41" s="3">
        <v>0</v>
      </c>
      <c r="V41" s="3">
        <v>1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17689755</v>
      </c>
      <c r="B42" s="8" t="s">
        <v>86</v>
      </c>
      <c r="C42" s="8" t="s">
        <v>31</v>
      </c>
      <c r="D42" s="8" t="s">
        <v>409</v>
      </c>
      <c r="E42" s="8" t="s">
        <v>22</v>
      </c>
      <c r="F42" s="8" t="s">
        <v>87</v>
      </c>
      <c r="G42" s="12" t="s">
        <v>410</v>
      </c>
      <c r="H42" s="7">
        <v>4.5730756188538484</v>
      </c>
      <c r="I42" s="1">
        <v>0</v>
      </c>
      <c r="J42" s="4">
        <f t="shared" si="0"/>
        <v>0</v>
      </c>
      <c r="K42" s="5">
        <f t="shared" si="1"/>
        <v>0</v>
      </c>
      <c r="L42" s="2">
        <v>19880654</v>
      </c>
      <c r="M42" s="2">
        <v>324900</v>
      </c>
      <c r="N42" s="6">
        <f t="shared" si="2"/>
        <v>1</v>
      </c>
      <c r="O42" s="9">
        <f t="shared" si="3"/>
        <v>1.6342520723915822E-2</v>
      </c>
      <c r="P42" s="10">
        <v>0</v>
      </c>
      <c r="Q42" s="1">
        <f t="shared" si="4"/>
        <v>0</v>
      </c>
      <c r="R42" s="10">
        <v>7</v>
      </c>
      <c r="S42" s="10">
        <v>0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1296234</v>
      </c>
      <c r="B43" s="8" t="s">
        <v>88</v>
      </c>
      <c r="C43" s="8" t="s">
        <v>25</v>
      </c>
      <c r="D43" s="8" t="s">
        <v>409</v>
      </c>
      <c r="E43" s="8" t="s">
        <v>22</v>
      </c>
      <c r="F43" s="8" t="s">
        <v>89</v>
      </c>
      <c r="G43" s="12" t="s">
        <v>412</v>
      </c>
      <c r="H43" s="7">
        <v>10.536329150860819</v>
      </c>
      <c r="I43" s="1">
        <v>0</v>
      </c>
      <c r="J43" s="4">
        <f t="shared" si="0"/>
        <v>0</v>
      </c>
      <c r="K43" s="5">
        <f t="shared" si="1"/>
        <v>0</v>
      </c>
      <c r="L43" s="2">
        <v>8061250.1767072026</v>
      </c>
      <c r="M43" s="2">
        <v>747000</v>
      </c>
      <c r="N43" s="6">
        <f t="shared" si="2"/>
        <v>1</v>
      </c>
      <c r="O43" s="9">
        <f t="shared" si="3"/>
        <v>9.2665527508182216E-2</v>
      </c>
      <c r="P43" s="10">
        <v>0</v>
      </c>
      <c r="Q43" s="1">
        <f t="shared" si="4"/>
        <v>0</v>
      </c>
      <c r="R43" s="10">
        <v>13</v>
      </c>
      <c r="S43" s="10">
        <v>0</v>
      </c>
      <c r="T43" s="10">
        <v>0</v>
      </c>
      <c r="U43" s="3">
        <v>0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17227713</v>
      </c>
      <c r="B44" s="8" t="s">
        <v>90</v>
      </c>
      <c r="C44" s="8" t="s">
        <v>25</v>
      </c>
      <c r="D44" s="8" t="s">
        <v>411</v>
      </c>
      <c r="E44" s="8" t="s">
        <v>26</v>
      </c>
      <c r="F44" s="8" t="s">
        <v>91</v>
      </c>
      <c r="G44" s="12" t="s">
        <v>412</v>
      </c>
      <c r="H44" s="7">
        <v>4.9582725415815601</v>
      </c>
      <c r="I44" s="1">
        <v>0</v>
      </c>
      <c r="J44" s="1">
        <f t="shared" si="0"/>
        <v>0</v>
      </c>
      <c r="K44" s="5">
        <f t="shared" si="1"/>
        <v>0</v>
      </c>
      <c r="L44" s="2">
        <v>1065113.5078454011</v>
      </c>
      <c r="M44" s="2">
        <v>425000</v>
      </c>
      <c r="N44" s="6">
        <f t="shared" si="2"/>
        <v>1</v>
      </c>
      <c r="O44" s="9">
        <f t="shared" si="3"/>
        <v>0.39901850541706568</v>
      </c>
      <c r="P44" s="10">
        <v>0</v>
      </c>
      <c r="Q44" s="1">
        <f t="shared" si="4"/>
        <v>0</v>
      </c>
      <c r="R44" s="10">
        <v>7</v>
      </c>
      <c r="S44" s="10">
        <v>0</v>
      </c>
      <c r="T44" s="10">
        <v>0</v>
      </c>
      <c r="U44" s="3">
        <v>0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17006852</v>
      </c>
      <c r="B45" s="8" t="s">
        <v>92</v>
      </c>
      <c r="C45" s="8" t="s">
        <v>35</v>
      </c>
      <c r="D45" s="8" t="s">
        <v>409</v>
      </c>
      <c r="E45" s="8" t="s">
        <v>22</v>
      </c>
      <c r="F45" s="8" t="s">
        <v>93</v>
      </c>
      <c r="G45" s="12" t="s">
        <v>410</v>
      </c>
      <c r="H45" s="7">
        <v>7.2753475754493193</v>
      </c>
      <c r="I45" s="1">
        <v>3</v>
      </c>
      <c r="J45" s="4">
        <f t="shared" si="0"/>
        <v>1</v>
      </c>
      <c r="K45" s="5">
        <f t="shared" si="1"/>
        <v>0.41235143323234597</v>
      </c>
      <c r="L45" s="2">
        <v>19880654</v>
      </c>
      <c r="M45" s="2">
        <v>558000</v>
      </c>
      <c r="N45" s="6">
        <f t="shared" si="2"/>
        <v>1</v>
      </c>
      <c r="O45" s="9">
        <f t="shared" si="3"/>
        <v>2.8067487115866509E-2</v>
      </c>
      <c r="P45" s="10">
        <v>0</v>
      </c>
      <c r="Q45" s="1">
        <f t="shared" si="4"/>
        <v>0</v>
      </c>
      <c r="R45" s="10">
        <v>10</v>
      </c>
      <c r="S45" s="10">
        <v>0</v>
      </c>
      <c r="T45" s="10">
        <v>0</v>
      </c>
      <c r="U45" s="3">
        <v>1</v>
      </c>
      <c r="V45" s="3">
        <v>0</v>
      </c>
      <c r="W45" s="3">
        <v>0</v>
      </c>
      <c r="X45" s="3">
        <v>0</v>
      </c>
      <c r="Y45" s="3">
        <v>1</v>
      </c>
      <c r="Z45" s="3">
        <v>0</v>
      </c>
    </row>
    <row r="46" spans="1:26" ht="26">
      <c r="A46" s="8">
        <v>17703961</v>
      </c>
      <c r="B46" s="8" t="s">
        <v>94</v>
      </c>
      <c r="C46" s="8" t="s">
        <v>25</v>
      </c>
      <c r="D46" s="8" t="s">
        <v>411</v>
      </c>
      <c r="E46" s="8" t="s">
        <v>26</v>
      </c>
      <c r="F46" s="8" t="s">
        <v>95</v>
      </c>
      <c r="G46" s="12" t="s">
        <v>412</v>
      </c>
      <c r="H46" s="7">
        <v>5</v>
      </c>
      <c r="I46" s="1">
        <v>0</v>
      </c>
      <c r="J46" s="4">
        <f t="shared" si="0"/>
        <v>0</v>
      </c>
      <c r="K46" s="5">
        <f t="shared" si="1"/>
        <v>0</v>
      </c>
      <c r="L46" s="2">
        <v>1892497.7027462141</v>
      </c>
      <c r="M46" s="2">
        <v>3200000</v>
      </c>
      <c r="N46" s="6">
        <f t="shared" si="2"/>
        <v>1</v>
      </c>
      <c r="O46" s="9">
        <f t="shared" si="3"/>
        <v>1.6908871251766711</v>
      </c>
      <c r="P46" s="10">
        <v>0</v>
      </c>
      <c r="Q46" s="1">
        <f t="shared" si="4"/>
        <v>0</v>
      </c>
      <c r="R46" s="10">
        <v>7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17272708</v>
      </c>
      <c r="B47" s="8" t="s">
        <v>96</v>
      </c>
      <c r="C47" s="8" t="s">
        <v>57</v>
      </c>
      <c r="D47" s="8" t="s">
        <v>409</v>
      </c>
      <c r="E47" s="8" t="s">
        <v>22</v>
      </c>
      <c r="F47" s="8" t="s">
        <v>75</v>
      </c>
      <c r="G47" s="12" t="s">
        <v>412</v>
      </c>
      <c r="H47" s="7">
        <v>6.8176247446746396</v>
      </c>
      <c r="I47" s="1">
        <v>0</v>
      </c>
      <c r="J47" s="4">
        <f t="shared" si="0"/>
        <v>0</v>
      </c>
      <c r="K47" s="5">
        <f t="shared" si="1"/>
        <v>0</v>
      </c>
      <c r="L47" s="2">
        <v>15574501.967381969</v>
      </c>
      <c r="M47" s="2">
        <v>1000000</v>
      </c>
      <c r="N47" s="6">
        <f t="shared" si="2"/>
        <v>1</v>
      </c>
      <c r="O47" s="9">
        <f t="shared" si="3"/>
        <v>6.42075105897012E-2</v>
      </c>
      <c r="P47" s="10">
        <v>0</v>
      </c>
      <c r="Q47" s="1">
        <f t="shared" si="4"/>
        <v>0</v>
      </c>
      <c r="R47" s="10">
        <v>9</v>
      </c>
      <c r="S47" s="10">
        <v>0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17607319</v>
      </c>
      <c r="B48" s="8" t="s">
        <v>97</v>
      </c>
      <c r="C48" s="8" t="s">
        <v>31</v>
      </c>
      <c r="D48" s="8" t="s">
        <v>413</v>
      </c>
      <c r="E48" s="8" t="s">
        <v>26</v>
      </c>
      <c r="F48" s="8" t="s">
        <v>60</v>
      </c>
      <c r="G48" s="12" t="s">
        <v>410</v>
      </c>
      <c r="H48" s="7">
        <v>11.432689047134639</v>
      </c>
      <c r="I48" s="1">
        <v>0</v>
      </c>
      <c r="J48" s="1">
        <f t="shared" si="0"/>
        <v>0</v>
      </c>
      <c r="K48" s="5">
        <f t="shared" si="1"/>
        <v>0</v>
      </c>
      <c r="L48" s="2">
        <v>6018419.3717715694</v>
      </c>
      <c r="M48" s="2">
        <v>0</v>
      </c>
      <c r="N48" s="6">
        <f t="shared" si="2"/>
        <v>0</v>
      </c>
      <c r="O48" s="9">
        <f t="shared" si="3"/>
        <v>0</v>
      </c>
      <c r="P48" s="10">
        <v>0</v>
      </c>
      <c r="Q48" s="1">
        <f t="shared" si="4"/>
        <v>0</v>
      </c>
      <c r="R48" s="10">
        <v>14</v>
      </c>
      <c r="S48" s="10">
        <v>0</v>
      </c>
      <c r="T48" s="10">
        <v>0</v>
      </c>
      <c r="U48" s="3">
        <v>1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</row>
    <row r="49" spans="1:26" ht="26">
      <c r="A49" s="8">
        <v>1070922</v>
      </c>
      <c r="B49" s="8" t="s">
        <v>98</v>
      </c>
      <c r="C49" s="8" t="s">
        <v>35</v>
      </c>
      <c r="D49" s="8" t="s">
        <v>409</v>
      </c>
      <c r="E49" s="8" t="s">
        <v>22</v>
      </c>
      <c r="F49" s="8" t="s">
        <v>93</v>
      </c>
      <c r="G49" s="12" t="s">
        <v>410</v>
      </c>
      <c r="H49" s="7">
        <v>5.4045439131909321</v>
      </c>
      <c r="I49" s="1">
        <v>3</v>
      </c>
      <c r="J49" s="1">
        <f t="shared" si="0"/>
        <v>1</v>
      </c>
      <c r="K49" s="5">
        <f t="shared" si="1"/>
        <v>0.55508846781277243</v>
      </c>
      <c r="L49" s="2">
        <v>19880654</v>
      </c>
      <c r="M49" s="2">
        <v>3189200</v>
      </c>
      <c r="N49" s="6">
        <f t="shared" si="2"/>
        <v>1</v>
      </c>
      <c r="O49" s="9">
        <f t="shared" si="3"/>
        <v>0.16041725790308509</v>
      </c>
      <c r="P49" s="10">
        <v>0</v>
      </c>
      <c r="Q49" s="1">
        <f t="shared" si="4"/>
        <v>0</v>
      </c>
      <c r="R49" s="10">
        <v>8</v>
      </c>
      <c r="S49" s="10">
        <v>0</v>
      </c>
      <c r="T49" s="10">
        <v>0</v>
      </c>
      <c r="U49" s="3">
        <v>1</v>
      </c>
      <c r="V49" s="3">
        <v>0</v>
      </c>
      <c r="W49" s="3">
        <v>0</v>
      </c>
      <c r="X49" s="3">
        <v>0</v>
      </c>
      <c r="Y49" s="3">
        <v>1</v>
      </c>
      <c r="Z49" s="3">
        <v>0</v>
      </c>
    </row>
    <row r="50" spans="1:26" ht="26">
      <c r="A50" s="8">
        <v>17589390</v>
      </c>
      <c r="B50" s="8" t="s">
        <v>99</v>
      </c>
      <c r="C50" s="8" t="s">
        <v>57</v>
      </c>
      <c r="D50" s="8" t="s">
        <v>409</v>
      </c>
      <c r="E50" s="8" t="s">
        <v>22</v>
      </c>
      <c r="F50" s="8" t="s">
        <v>75</v>
      </c>
      <c r="G50" s="12" t="s">
        <v>412</v>
      </c>
      <c r="H50" s="7">
        <v>4</v>
      </c>
      <c r="I50" s="1">
        <v>0</v>
      </c>
      <c r="J50" s="1">
        <f t="shared" si="0"/>
        <v>0</v>
      </c>
      <c r="K50" s="5">
        <f t="shared" si="1"/>
        <v>0</v>
      </c>
      <c r="L50" s="2">
        <v>5323951.554471341</v>
      </c>
      <c r="M50" s="2">
        <v>1000000</v>
      </c>
      <c r="N50" s="6">
        <f t="shared" si="2"/>
        <v>1</v>
      </c>
      <c r="O50" s="9">
        <f t="shared" si="3"/>
        <v>0.18783040938081907</v>
      </c>
      <c r="P50" s="10">
        <v>1</v>
      </c>
      <c r="Q50" s="1">
        <f t="shared" si="4"/>
        <v>0</v>
      </c>
      <c r="R50" s="10">
        <v>6</v>
      </c>
      <c r="S50" s="10">
        <v>1</v>
      </c>
      <c r="T50" s="10">
        <v>0</v>
      </c>
      <c r="U50" s="3">
        <v>1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17622240</v>
      </c>
      <c r="B51" s="8" t="s">
        <v>100</v>
      </c>
      <c r="C51" s="8" t="s">
        <v>31</v>
      </c>
      <c r="D51" s="8" t="s">
        <v>409</v>
      </c>
      <c r="E51" s="8" t="s">
        <v>22</v>
      </c>
      <c r="F51" s="8" t="s">
        <v>101</v>
      </c>
      <c r="G51" s="12" t="s">
        <v>410</v>
      </c>
      <c r="H51" s="7">
        <v>3.3258731773482562</v>
      </c>
      <c r="I51" s="1">
        <v>0</v>
      </c>
      <c r="J51" s="4">
        <f t="shared" si="0"/>
        <v>0</v>
      </c>
      <c r="K51" s="5">
        <f t="shared" si="1"/>
        <v>0</v>
      </c>
      <c r="L51" s="2">
        <v>2549477.9785796599</v>
      </c>
      <c r="M51" s="2">
        <v>302400</v>
      </c>
      <c r="N51" s="6">
        <f t="shared" si="2"/>
        <v>1</v>
      </c>
      <c r="O51" s="9">
        <f t="shared" si="3"/>
        <v>0.11861251697042315</v>
      </c>
      <c r="P51" s="10">
        <v>0</v>
      </c>
      <c r="Q51" s="1">
        <f t="shared" si="4"/>
        <v>0</v>
      </c>
      <c r="R51" s="10">
        <v>6</v>
      </c>
      <c r="S51" s="10">
        <v>0</v>
      </c>
      <c r="T51" s="10">
        <v>0</v>
      </c>
      <c r="U51" s="3">
        <v>1</v>
      </c>
      <c r="V51" s="3">
        <v>0</v>
      </c>
      <c r="W51" s="3">
        <v>1</v>
      </c>
      <c r="X51" s="3">
        <v>0</v>
      </c>
      <c r="Y51" s="3">
        <v>0</v>
      </c>
      <c r="Z51" s="3">
        <v>0</v>
      </c>
    </row>
    <row r="52" spans="1:26" ht="26">
      <c r="A52" s="8">
        <v>17308382</v>
      </c>
      <c r="B52" s="8" t="s">
        <v>100</v>
      </c>
      <c r="C52" s="8" t="s">
        <v>31</v>
      </c>
      <c r="D52" s="8" t="s">
        <v>409</v>
      </c>
      <c r="E52" s="8" t="s">
        <v>22</v>
      </c>
      <c r="F52" s="8" t="s">
        <v>102</v>
      </c>
      <c r="G52" s="12" t="s">
        <v>410</v>
      </c>
      <c r="H52" s="7">
        <v>4.7809426924381153</v>
      </c>
      <c r="I52" s="1">
        <v>0</v>
      </c>
      <c r="J52" s="4">
        <f t="shared" si="0"/>
        <v>0</v>
      </c>
      <c r="K52" s="5">
        <f t="shared" si="1"/>
        <v>0</v>
      </c>
      <c r="L52" s="2">
        <v>2825491.6161999619</v>
      </c>
      <c r="M52" s="2">
        <v>0</v>
      </c>
      <c r="N52" s="6">
        <f t="shared" si="2"/>
        <v>0</v>
      </c>
      <c r="O52" s="9">
        <f t="shared" si="3"/>
        <v>0</v>
      </c>
      <c r="P52" s="10">
        <v>0</v>
      </c>
      <c r="Q52" s="1">
        <f t="shared" si="4"/>
        <v>0</v>
      </c>
      <c r="R52" s="10">
        <v>7</v>
      </c>
      <c r="S52" s="10">
        <v>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17373486</v>
      </c>
      <c r="B53" s="8" t="s">
        <v>103</v>
      </c>
      <c r="C53" s="8" t="s">
        <v>31</v>
      </c>
      <c r="D53" s="8" t="s">
        <v>411</v>
      </c>
      <c r="E53" s="8" t="s">
        <v>22</v>
      </c>
      <c r="F53" s="8" t="s">
        <v>104</v>
      </c>
      <c r="G53" s="12" t="s">
        <v>410</v>
      </c>
      <c r="H53" s="7">
        <v>3</v>
      </c>
      <c r="I53" s="1">
        <v>0</v>
      </c>
      <c r="J53" s="4">
        <f t="shared" si="0"/>
        <v>0</v>
      </c>
      <c r="K53" s="5">
        <f t="shared" si="1"/>
        <v>0</v>
      </c>
      <c r="L53" s="2">
        <v>1233517.793070439</v>
      </c>
      <c r="M53" s="2">
        <v>0</v>
      </c>
      <c r="N53" s="6">
        <f t="shared" si="2"/>
        <v>0</v>
      </c>
      <c r="O53" s="9">
        <f t="shared" si="3"/>
        <v>0</v>
      </c>
      <c r="P53" s="10">
        <v>0</v>
      </c>
      <c r="Q53" s="1">
        <f t="shared" si="4"/>
        <v>0</v>
      </c>
      <c r="R53" s="10">
        <v>5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17236778</v>
      </c>
      <c r="B54" s="8" t="s">
        <v>105</v>
      </c>
      <c r="C54" s="8" t="s">
        <v>35</v>
      </c>
      <c r="D54" s="8" t="s">
        <v>411</v>
      </c>
      <c r="E54" s="8" t="s">
        <v>22</v>
      </c>
      <c r="F54" s="8" t="s">
        <v>106</v>
      </c>
      <c r="G54" s="12" t="s">
        <v>410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1233517.793070439</v>
      </c>
      <c r="M54" s="2">
        <v>500000</v>
      </c>
      <c r="N54" s="6">
        <f t="shared" si="2"/>
        <v>1</v>
      </c>
      <c r="O54" s="9">
        <f t="shared" si="3"/>
        <v>0.40534478124990281</v>
      </c>
      <c r="P54" s="10">
        <v>0</v>
      </c>
      <c r="Q54" s="1">
        <f t="shared" si="4"/>
        <v>0</v>
      </c>
      <c r="R54" s="10">
        <v>7</v>
      </c>
      <c r="S54" s="10">
        <v>0</v>
      </c>
      <c r="T54" s="10">
        <v>0</v>
      </c>
      <c r="U54" s="3">
        <v>1</v>
      </c>
      <c r="V54" s="3">
        <v>0</v>
      </c>
      <c r="W54" s="3">
        <v>0</v>
      </c>
      <c r="X54" s="3">
        <v>0</v>
      </c>
      <c r="Y54" s="3">
        <v>0</v>
      </c>
      <c r="Z54" s="3">
        <v>1</v>
      </c>
    </row>
    <row r="55" spans="1:26" ht="26">
      <c r="A55" s="8">
        <v>507427</v>
      </c>
      <c r="B55" s="8" t="s">
        <v>107</v>
      </c>
      <c r="C55" s="8" t="s">
        <v>21</v>
      </c>
      <c r="D55" s="8" t="s">
        <v>409</v>
      </c>
      <c r="E55" s="8" t="s">
        <v>22</v>
      </c>
      <c r="F55" s="8" t="s">
        <v>108</v>
      </c>
      <c r="G55" s="12" t="s">
        <v>410</v>
      </c>
      <c r="H55" s="7">
        <v>8.938284164123429</v>
      </c>
      <c r="I55" s="1">
        <v>0</v>
      </c>
      <c r="J55" s="4">
        <f t="shared" si="0"/>
        <v>0</v>
      </c>
      <c r="K55" s="5">
        <f t="shared" si="1"/>
        <v>0</v>
      </c>
      <c r="L55" s="2">
        <v>22463880</v>
      </c>
      <c r="M55" s="2">
        <v>432000</v>
      </c>
      <c r="N55" s="6">
        <f t="shared" si="2"/>
        <v>1</v>
      </c>
      <c r="O55" s="9">
        <f t="shared" si="3"/>
        <v>1.9230871959786108E-2</v>
      </c>
      <c r="P55" s="10">
        <v>0</v>
      </c>
      <c r="Q55" s="1">
        <f t="shared" si="4"/>
        <v>0</v>
      </c>
      <c r="R55" s="10">
        <v>11</v>
      </c>
      <c r="S55" s="10">
        <v>0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1</v>
      </c>
    </row>
    <row r="56" spans="1:26" ht="26">
      <c r="A56" s="8">
        <v>17703880</v>
      </c>
      <c r="B56" s="8" t="s">
        <v>109</v>
      </c>
      <c r="C56" s="8" t="s">
        <v>25</v>
      </c>
      <c r="D56" s="8" t="s">
        <v>411</v>
      </c>
      <c r="E56" s="8" t="s">
        <v>26</v>
      </c>
      <c r="F56" s="8" t="s">
        <v>110</v>
      </c>
      <c r="G56" s="12" t="s">
        <v>412</v>
      </c>
      <c r="H56" s="7">
        <v>5.5780566092792556</v>
      </c>
      <c r="I56" s="1">
        <v>0</v>
      </c>
      <c r="J56" s="4">
        <f t="shared" si="0"/>
        <v>0</v>
      </c>
      <c r="K56" s="5">
        <f t="shared" si="1"/>
        <v>0</v>
      </c>
      <c r="L56" s="2">
        <v>6344894.8123285566</v>
      </c>
      <c r="M56" s="2">
        <v>840000</v>
      </c>
      <c r="N56" s="6">
        <f t="shared" si="2"/>
        <v>1</v>
      </c>
      <c r="O56" s="9">
        <f t="shared" si="3"/>
        <v>0.13238990162103612</v>
      </c>
      <c r="P56" s="10">
        <v>0</v>
      </c>
      <c r="Q56" s="1">
        <f t="shared" si="4"/>
        <v>0</v>
      </c>
      <c r="R56" s="10">
        <v>8</v>
      </c>
      <c r="S56" s="10">
        <v>0</v>
      </c>
      <c r="T56" s="10">
        <v>0</v>
      </c>
      <c r="U56" s="3">
        <v>0</v>
      </c>
      <c r="V56" s="3">
        <v>1</v>
      </c>
      <c r="W56" s="3">
        <v>0</v>
      </c>
      <c r="X56" s="3">
        <v>0</v>
      </c>
      <c r="Y56" s="3">
        <v>0</v>
      </c>
      <c r="Z56" s="3">
        <v>0</v>
      </c>
    </row>
    <row r="57" spans="1:26" ht="26">
      <c r="A57" s="8">
        <v>17699722</v>
      </c>
      <c r="B57" s="8" t="s">
        <v>111</v>
      </c>
      <c r="C57" s="8" t="s">
        <v>21</v>
      </c>
      <c r="D57" s="8" t="s">
        <v>411</v>
      </c>
      <c r="E57" s="8" t="s">
        <v>22</v>
      </c>
      <c r="F57" s="8" t="s">
        <v>46</v>
      </c>
      <c r="G57" s="12" t="s">
        <v>410</v>
      </c>
      <c r="H57" s="7">
        <v>5</v>
      </c>
      <c r="I57" s="1">
        <v>0</v>
      </c>
      <c r="J57" s="1">
        <f t="shared" si="0"/>
        <v>0</v>
      </c>
      <c r="K57" s="5">
        <f t="shared" si="1"/>
        <v>0</v>
      </c>
      <c r="L57" s="2">
        <v>1233517.793070439</v>
      </c>
      <c r="M57" s="2">
        <v>132000</v>
      </c>
      <c r="N57" s="6">
        <f t="shared" si="2"/>
        <v>0</v>
      </c>
      <c r="O57" s="9">
        <f t="shared" si="3"/>
        <v>0.10701102224997434</v>
      </c>
      <c r="P57" s="10">
        <v>0</v>
      </c>
      <c r="Q57" s="1">
        <f t="shared" si="4"/>
        <v>0</v>
      </c>
      <c r="R57" s="10">
        <v>7</v>
      </c>
      <c r="S57" s="10">
        <v>0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1</v>
      </c>
    </row>
    <row r="58" spans="1:26" ht="26">
      <c r="A58" s="8">
        <v>17745424</v>
      </c>
      <c r="B58" s="8" t="s">
        <v>112</v>
      </c>
      <c r="C58" s="8" t="s">
        <v>25</v>
      </c>
      <c r="D58" s="8" t="s">
        <v>409</v>
      </c>
      <c r="E58" s="8" t="s">
        <v>22</v>
      </c>
      <c r="F58" s="8" t="s">
        <v>42</v>
      </c>
      <c r="G58" s="12" t="s">
        <v>412</v>
      </c>
      <c r="H58" s="7">
        <v>6.8176247446746396</v>
      </c>
      <c r="I58" s="1">
        <v>0</v>
      </c>
      <c r="J58" s="4">
        <f t="shared" si="0"/>
        <v>0</v>
      </c>
      <c r="K58" s="5">
        <f t="shared" si="1"/>
        <v>0</v>
      </c>
      <c r="L58" s="2">
        <v>2473533.999338889</v>
      </c>
      <c r="M58" s="2">
        <v>3190000</v>
      </c>
      <c r="N58" s="6">
        <f t="shared" si="2"/>
        <v>1</v>
      </c>
      <c r="O58" s="9">
        <f t="shared" si="3"/>
        <v>1.2896527805369176</v>
      </c>
      <c r="P58" s="10">
        <v>0</v>
      </c>
      <c r="Q58" s="1">
        <f t="shared" si="4"/>
        <v>0</v>
      </c>
      <c r="R58" s="10">
        <v>9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1</v>
      </c>
      <c r="Y58" s="3">
        <v>0</v>
      </c>
      <c r="Z58" s="3">
        <v>0</v>
      </c>
    </row>
    <row r="59" spans="1:26" ht="26">
      <c r="A59" s="8">
        <v>17703891</v>
      </c>
      <c r="B59" s="8" t="s">
        <v>114</v>
      </c>
      <c r="C59" s="8" t="s">
        <v>25</v>
      </c>
      <c r="D59" s="8" t="s">
        <v>409</v>
      </c>
      <c r="E59" s="8" t="s">
        <v>22</v>
      </c>
      <c r="F59" s="8" t="s">
        <v>110</v>
      </c>
      <c r="G59" s="12" t="s">
        <v>412</v>
      </c>
      <c r="H59" s="7">
        <v>5</v>
      </c>
      <c r="I59" s="1">
        <v>0</v>
      </c>
      <c r="J59" s="1">
        <f t="shared" si="0"/>
        <v>0</v>
      </c>
      <c r="K59" s="5">
        <f t="shared" si="1"/>
        <v>0</v>
      </c>
      <c r="L59" s="2">
        <v>1065113.5078454011</v>
      </c>
      <c r="M59" s="2">
        <v>840000</v>
      </c>
      <c r="N59" s="6">
        <f t="shared" si="2"/>
        <v>1</v>
      </c>
      <c r="O59" s="9">
        <f t="shared" si="3"/>
        <v>0.78864834011843565</v>
      </c>
      <c r="P59" s="10">
        <v>0</v>
      </c>
      <c r="Q59" s="1">
        <f t="shared" si="4"/>
        <v>0</v>
      </c>
      <c r="R59" s="10">
        <v>7</v>
      </c>
      <c r="S59" s="10">
        <v>0</v>
      </c>
      <c r="T59" s="10">
        <v>0</v>
      </c>
      <c r="U59" s="3">
        <v>0</v>
      </c>
      <c r="V59" s="3">
        <v>1</v>
      </c>
      <c r="W59" s="3">
        <v>0</v>
      </c>
      <c r="X59" s="3">
        <v>0</v>
      </c>
      <c r="Y59" s="3">
        <v>0</v>
      </c>
      <c r="Z59" s="3">
        <v>0</v>
      </c>
    </row>
    <row r="60" spans="1:26" ht="26">
      <c r="A60" s="8">
        <v>17699495</v>
      </c>
      <c r="B60" s="8" t="s">
        <v>115</v>
      </c>
      <c r="C60" s="8" t="s">
        <v>21</v>
      </c>
      <c r="D60" s="8" t="s">
        <v>409</v>
      </c>
      <c r="E60" s="8" t="s">
        <v>22</v>
      </c>
      <c r="F60" s="8" t="s">
        <v>116</v>
      </c>
      <c r="G60" s="12" t="s">
        <v>410</v>
      </c>
      <c r="H60" s="7">
        <v>3</v>
      </c>
      <c r="I60" s="1">
        <v>3</v>
      </c>
      <c r="J60" s="4">
        <f t="shared" si="0"/>
        <v>1</v>
      </c>
      <c r="K60" s="5">
        <f t="shared" si="1"/>
        <v>1</v>
      </c>
      <c r="L60" s="2">
        <v>12908778</v>
      </c>
      <c r="M60" s="2">
        <v>692000</v>
      </c>
      <c r="N60" s="6">
        <f t="shared" si="2"/>
        <v>1</v>
      </c>
      <c r="O60" s="9">
        <f t="shared" si="3"/>
        <v>5.3606933204676695E-2</v>
      </c>
      <c r="P60" s="10">
        <v>0</v>
      </c>
      <c r="Q60" s="1">
        <f t="shared" si="4"/>
        <v>0</v>
      </c>
      <c r="R60" s="10">
        <v>5</v>
      </c>
      <c r="S60" s="10">
        <v>0</v>
      </c>
      <c r="T60" s="10">
        <v>0</v>
      </c>
      <c r="U60" s="3">
        <v>0</v>
      </c>
      <c r="V60" s="3">
        <v>0</v>
      </c>
      <c r="W60" s="3">
        <v>1</v>
      </c>
      <c r="X60" s="3">
        <v>0</v>
      </c>
      <c r="Y60" s="3">
        <v>1</v>
      </c>
      <c r="Z60" s="3">
        <v>0</v>
      </c>
    </row>
    <row r="61" spans="1:26" ht="26">
      <c r="A61" s="8">
        <v>17762645</v>
      </c>
      <c r="B61" s="8" t="s">
        <v>117</v>
      </c>
      <c r="C61" s="8" t="s">
        <v>21</v>
      </c>
      <c r="D61" s="8" t="s">
        <v>411</v>
      </c>
      <c r="E61" s="8" t="s">
        <v>22</v>
      </c>
      <c r="F61" s="8" t="s">
        <v>118</v>
      </c>
      <c r="G61" s="12" t="s">
        <v>410</v>
      </c>
      <c r="H61" s="7">
        <v>4.7809426924381153</v>
      </c>
      <c r="I61" s="1">
        <v>0</v>
      </c>
      <c r="J61" s="4">
        <f t="shared" si="0"/>
        <v>0</v>
      </c>
      <c r="K61" s="5">
        <f t="shared" si="1"/>
        <v>0</v>
      </c>
      <c r="L61" s="2">
        <v>1233517.793070439</v>
      </c>
      <c r="M61" s="2">
        <v>85000</v>
      </c>
      <c r="N61" s="6">
        <f t="shared" si="2"/>
        <v>0</v>
      </c>
      <c r="O61" s="9">
        <f t="shared" si="3"/>
        <v>6.8908612812483477E-2</v>
      </c>
      <c r="P61" s="10">
        <v>0</v>
      </c>
      <c r="Q61" s="1">
        <f t="shared" si="4"/>
        <v>0</v>
      </c>
      <c r="R61" s="10">
        <v>7</v>
      </c>
      <c r="S61" s="10">
        <v>1</v>
      </c>
      <c r="T61" s="10">
        <v>0</v>
      </c>
      <c r="U61" s="3">
        <v>0</v>
      </c>
      <c r="V61" s="3">
        <v>0</v>
      </c>
      <c r="W61" s="3">
        <v>1</v>
      </c>
      <c r="X61" s="3">
        <v>0</v>
      </c>
      <c r="Y61" s="3">
        <v>0</v>
      </c>
      <c r="Z61" s="3">
        <v>0</v>
      </c>
    </row>
    <row r="62" spans="1:26" ht="26">
      <c r="A62" s="8">
        <v>17232076</v>
      </c>
      <c r="B62" s="8" t="s">
        <v>119</v>
      </c>
      <c r="C62" s="8" t="s">
        <v>31</v>
      </c>
      <c r="D62" s="8" t="s">
        <v>411</v>
      </c>
      <c r="E62" s="8" t="s">
        <v>22</v>
      </c>
      <c r="F62" s="8" t="s">
        <v>101</v>
      </c>
      <c r="G62" s="12" t="s">
        <v>410</v>
      </c>
      <c r="H62" s="7">
        <v>5</v>
      </c>
      <c r="I62" s="1">
        <v>0</v>
      </c>
      <c r="J62" s="1">
        <f t="shared" si="0"/>
        <v>0</v>
      </c>
      <c r="K62" s="5">
        <f t="shared" si="1"/>
        <v>0</v>
      </c>
      <c r="L62" s="2">
        <v>1233517.793070439</v>
      </c>
      <c r="M62" s="2">
        <v>352800</v>
      </c>
      <c r="N62" s="6">
        <f t="shared" si="2"/>
        <v>1</v>
      </c>
      <c r="O62" s="9">
        <f t="shared" si="3"/>
        <v>0.28601127764993145</v>
      </c>
      <c r="P62" s="10">
        <v>0</v>
      </c>
      <c r="Q62" s="1">
        <f t="shared" si="4"/>
        <v>0</v>
      </c>
      <c r="R62" s="10">
        <v>7</v>
      </c>
      <c r="S62" s="10">
        <v>0</v>
      </c>
      <c r="T62" s="10">
        <v>0</v>
      </c>
      <c r="U62" s="3">
        <v>1</v>
      </c>
      <c r="V62" s="3">
        <v>0</v>
      </c>
      <c r="W62" s="3">
        <v>1</v>
      </c>
      <c r="X62" s="3">
        <v>0</v>
      </c>
      <c r="Y62" s="3">
        <v>0</v>
      </c>
      <c r="Z62" s="3">
        <v>0</v>
      </c>
    </row>
    <row r="63" spans="1:26" ht="26">
      <c r="A63" s="13">
        <v>17750171</v>
      </c>
      <c r="B63" s="13" t="s">
        <v>120</v>
      </c>
      <c r="C63" s="8" t="s">
        <v>35</v>
      </c>
      <c r="D63" s="8" t="s">
        <v>411</v>
      </c>
      <c r="E63" s="8" t="s">
        <v>26</v>
      </c>
      <c r="F63" s="26" t="s">
        <v>122</v>
      </c>
      <c r="G63" s="25" t="s">
        <v>410</v>
      </c>
      <c r="H63" s="7">
        <v>2.7022719565954572</v>
      </c>
      <c r="I63" s="1">
        <v>0</v>
      </c>
      <c r="J63" s="1">
        <f t="shared" si="0"/>
        <v>0</v>
      </c>
      <c r="K63" s="5">
        <f t="shared" si="1"/>
        <v>0</v>
      </c>
      <c r="L63" s="2">
        <v>300000</v>
      </c>
      <c r="M63" s="2">
        <v>0</v>
      </c>
      <c r="N63" s="6">
        <f t="shared" si="2"/>
        <v>0</v>
      </c>
      <c r="O63" s="9">
        <f t="shared" si="3"/>
        <v>0</v>
      </c>
      <c r="P63" s="10">
        <v>0</v>
      </c>
      <c r="Q63" s="1">
        <f t="shared" si="4"/>
        <v>0</v>
      </c>
      <c r="R63" s="10">
        <v>5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17764380</v>
      </c>
      <c r="B64" s="8" t="s">
        <v>120</v>
      </c>
      <c r="C64" s="8" t="s">
        <v>31</v>
      </c>
      <c r="D64" s="8" t="s">
        <v>411</v>
      </c>
      <c r="E64" s="8" t="s">
        <v>26</v>
      </c>
      <c r="F64" s="8" t="s">
        <v>121</v>
      </c>
      <c r="G64" s="12" t="s">
        <v>410</v>
      </c>
      <c r="H64" s="7">
        <v>10.185486605629039</v>
      </c>
      <c r="I64" s="1">
        <v>0</v>
      </c>
      <c r="J64" s="4">
        <f t="shared" si="0"/>
        <v>0</v>
      </c>
      <c r="K64" s="5">
        <f t="shared" si="1"/>
        <v>0</v>
      </c>
      <c r="L64" s="2">
        <v>1233517.793070439</v>
      </c>
      <c r="M64" s="2">
        <v>0</v>
      </c>
      <c r="N64" s="6">
        <f t="shared" si="2"/>
        <v>0</v>
      </c>
      <c r="O64" s="9">
        <f t="shared" si="3"/>
        <v>0</v>
      </c>
      <c r="P64" s="10">
        <v>0</v>
      </c>
      <c r="Q64" s="1">
        <f t="shared" si="4"/>
        <v>0</v>
      </c>
      <c r="R64" s="10">
        <v>13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17654507</v>
      </c>
      <c r="B65" s="8" t="s">
        <v>123</v>
      </c>
      <c r="C65" s="8" t="s">
        <v>35</v>
      </c>
      <c r="D65" s="8" t="s">
        <v>411</v>
      </c>
      <c r="E65" s="8" t="s">
        <v>26</v>
      </c>
      <c r="F65" s="8" t="s">
        <v>62</v>
      </c>
      <c r="G65" s="12" t="s">
        <v>410</v>
      </c>
      <c r="H65" s="7">
        <v>3</v>
      </c>
      <c r="I65" s="1">
        <v>0</v>
      </c>
      <c r="J65" s="4">
        <f t="shared" si="0"/>
        <v>0</v>
      </c>
      <c r="K65" s="5">
        <f t="shared" si="1"/>
        <v>0</v>
      </c>
      <c r="L65" s="2">
        <v>1233517.793070439</v>
      </c>
      <c r="M65" s="2">
        <v>234000</v>
      </c>
      <c r="N65" s="6">
        <f t="shared" si="2"/>
        <v>0</v>
      </c>
      <c r="O65" s="9">
        <f t="shared" si="3"/>
        <v>0.18970135762495452</v>
      </c>
      <c r="P65" s="10">
        <v>0</v>
      </c>
      <c r="Q65" s="1">
        <f t="shared" si="4"/>
        <v>0</v>
      </c>
      <c r="R65" s="10">
        <v>5</v>
      </c>
      <c r="S65" s="10">
        <v>0</v>
      </c>
      <c r="T65" s="10">
        <v>0</v>
      </c>
      <c r="U65" s="3">
        <v>0</v>
      </c>
      <c r="V65" s="3">
        <v>0</v>
      </c>
      <c r="W65" s="3">
        <v>1</v>
      </c>
      <c r="X65" s="3">
        <v>0</v>
      </c>
      <c r="Y65" s="3">
        <v>0</v>
      </c>
      <c r="Z65" s="3">
        <v>0</v>
      </c>
    </row>
    <row r="66" spans="1:26" ht="26">
      <c r="A66" s="8">
        <v>17239588</v>
      </c>
      <c r="B66" s="8" t="s">
        <v>124</v>
      </c>
      <c r="C66" s="8" t="s">
        <v>21</v>
      </c>
      <c r="D66" s="8" t="s">
        <v>411</v>
      </c>
      <c r="E66" s="8" t="s">
        <v>26</v>
      </c>
      <c r="F66" s="8" t="s">
        <v>125</v>
      </c>
      <c r="G66" s="12" t="s">
        <v>410</v>
      </c>
      <c r="H66" s="7">
        <v>5.8202780603594357</v>
      </c>
      <c r="I66" s="1">
        <v>0</v>
      </c>
      <c r="J66" s="4">
        <f t="shared" si="0"/>
        <v>0</v>
      </c>
      <c r="K66" s="5">
        <f t="shared" si="1"/>
        <v>0</v>
      </c>
      <c r="L66" s="2">
        <v>1233517.793070439</v>
      </c>
      <c r="M66" s="2">
        <v>2875000</v>
      </c>
      <c r="N66" s="6">
        <f t="shared" si="2"/>
        <v>1</v>
      </c>
      <c r="O66" s="9">
        <f t="shared" si="3"/>
        <v>2.3307324921869412</v>
      </c>
      <c r="P66" s="10">
        <v>0</v>
      </c>
      <c r="Q66" s="1">
        <f t="shared" si="4"/>
        <v>0</v>
      </c>
      <c r="R66" s="10">
        <v>8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</row>
    <row r="67" spans="1:26" ht="26">
      <c r="A67" s="8">
        <v>658571</v>
      </c>
      <c r="B67" s="8" t="s">
        <v>127</v>
      </c>
      <c r="C67" s="8" t="s">
        <v>31</v>
      </c>
      <c r="D67" s="8" t="s">
        <v>411</v>
      </c>
      <c r="E67" s="8" t="s">
        <v>22</v>
      </c>
      <c r="F67" s="8" t="s">
        <v>60</v>
      </c>
      <c r="G67" s="12" t="s">
        <v>410</v>
      </c>
      <c r="H67" s="7">
        <v>5.4045439131909321</v>
      </c>
      <c r="I67" s="1">
        <v>0</v>
      </c>
      <c r="J67" s="1">
        <f t="shared" si="0"/>
        <v>0</v>
      </c>
      <c r="K67" s="5">
        <f t="shared" si="1"/>
        <v>0</v>
      </c>
      <c r="L67" s="2">
        <v>1233517.793070439</v>
      </c>
      <c r="M67" s="2">
        <v>302400</v>
      </c>
      <c r="N67" s="6">
        <f t="shared" si="2"/>
        <v>1</v>
      </c>
      <c r="O67" s="9">
        <f t="shared" si="3"/>
        <v>0.24515252369994123</v>
      </c>
      <c r="P67" s="10">
        <v>0</v>
      </c>
      <c r="Q67" s="1">
        <f t="shared" si="4"/>
        <v>0</v>
      </c>
      <c r="R67" s="10">
        <v>8</v>
      </c>
      <c r="S67" s="10">
        <v>0</v>
      </c>
      <c r="T67" s="10">
        <v>0</v>
      </c>
      <c r="U67" s="3">
        <v>0</v>
      </c>
      <c r="V67" s="3">
        <v>0</v>
      </c>
      <c r="W67" s="3">
        <v>1</v>
      </c>
      <c r="X67" s="3">
        <v>0</v>
      </c>
      <c r="Y67" s="3">
        <v>0</v>
      </c>
      <c r="Z67" s="3">
        <v>0</v>
      </c>
    </row>
    <row r="68" spans="1:26" ht="26">
      <c r="A68" s="8">
        <v>971296</v>
      </c>
      <c r="B68" s="8" t="s">
        <v>128</v>
      </c>
      <c r="C68" s="8" t="s">
        <v>35</v>
      </c>
      <c r="D68" s="8" t="s">
        <v>409</v>
      </c>
      <c r="E68" s="8" t="s">
        <v>22</v>
      </c>
      <c r="F68" s="8" t="s">
        <v>85</v>
      </c>
      <c r="G68" s="12" t="s">
        <v>410</v>
      </c>
      <c r="H68" s="7">
        <v>5</v>
      </c>
      <c r="I68" s="1">
        <v>0</v>
      </c>
      <c r="J68" s="1">
        <f t="shared" si="0"/>
        <v>0</v>
      </c>
      <c r="K68" s="5">
        <f t="shared" si="1"/>
        <v>0</v>
      </c>
      <c r="L68" s="2">
        <v>3447239.462353264</v>
      </c>
      <c r="M68" s="2">
        <v>500000</v>
      </c>
      <c r="N68" s="6">
        <f t="shared" si="2"/>
        <v>1</v>
      </c>
      <c r="O68" s="9">
        <f t="shared" si="3"/>
        <v>0.14504359371039288</v>
      </c>
      <c r="P68" s="10">
        <v>1</v>
      </c>
      <c r="Q68" s="1">
        <f t="shared" si="4"/>
        <v>0</v>
      </c>
      <c r="R68" s="10">
        <v>7</v>
      </c>
      <c r="S68" s="10">
        <v>1</v>
      </c>
      <c r="T68" s="10">
        <v>0</v>
      </c>
      <c r="U68" s="3">
        <v>0</v>
      </c>
      <c r="V68" s="3">
        <v>1</v>
      </c>
      <c r="W68" s="3">
        <v>0</v>
      </c>
      <c r="X68" s="3">
        <v>0</v>
      </c>
      <c r="Y68" s="3">
        <v>0</v>
      </c>
      <c r="Z68" s="3">
        <v>0</v>
      </c>
    </row>
    <row r="69" spans="1:26" ht="26">
      <c r="A69" s="8">
        <v>507409</v>
      </c>
      <c r="B69" s="8" t="s">
        <v>129</v>
      </c>
      <c r="C69" s="8" t="s">
        <v>35</v>
      </c>
      <c r="D69" s="8" t="s">
        <v>411</v>
      </c>
      <c r="E69" s="8" t="s">
        <v>22</v>
      </c>
      <c r="F69" s="8" t="s">
        <v>130</v>
      </c>
      <c r="G69" s="12" t="s">
        <v>410</v>
      </c>
      <c r="H69" s="7">
        <v>7.4832146490335463</v>
      </c>
      <c r="I69" s="1">
        <v>0</v>
      </c>
      <c r="J69" s="1">
        <f t="shared" si="0"/>
        <v>0</v>
      </c>
      <c r="K69" s="5">
        <f t="shared" si="1"/>
        <v>0</v>
      </c>
      <c r="L69" s="2">
        <v>1233517.793070439</v>
      </c>
      <c r="M69" s="2">
        <v>800000</v>
      </c>
      <c r="N69" s="6">
        <f t="shared" si="2"/>
        <v>1</v>
      </c>
      <c r="O69" s="9">
        <f t="shared" si="3"/>
        <v>0.64855164999984449</v>
      </c>
      <c r="P69" s="10">
        <v>0</v>
      </c>
      <c r="Q69" s="1">
        <f t="shared" si="4"/>
        <v>0</v>
      </c>
      <c r="R69" s="10">
        <v>10</v>
      </c>
      <c r="S69" s="10">
        <v>0</v>
      </c>
      <c r="T69" s="10">
        <v>0</v>
      </c>
      <c r="U69" s="3">
        <v>0</v>
      </c>
      <c r="V69" s="3">
        <v>1</v>
      </c>
      <c r="W69" s="3">
        <v>0</v>
      </c>
      <c r="X69" s="3">
        <v>0</v>
      </c>
      <c r="Y69" s="3">
        <v>0</v>
      </c>
      <c r="Z69" s="3">
        <v>0</v>
      </c>
    </row>
    <row r="70" spans="1:26" ht="26">
      <c r="A70" s="8">
        <v>17764364</v>
      </c>
      <c r="B70" s="8" t="s">
        <v>131</v>
      </c>
      <c r="C70" s="8" t="s">
        <v>25</v>
      </c>
      <c r="D70" s="8" t="s">
        <v>413</v>
      </c>
      <c r="E70" s="8" t="s">
        <v>26</v>
      </c>
      <c r="F70" s="8" t="s">
        <v>132</v>
      </c>
      <c r="G70" s="12" t="s">
        <v>412</v>
      </c>
      <c r="H70" s="7">
        <v>5</v>
      </c>
      <c r="I70" s="1">
        <v>0</v>
      </c>
      <c r="J70" s="4">
        <f t="shared" ref="J70:J133" si="5">IF(I70&gt;=3,1,0)</f>
        <v>0</v>
      </c>
      <c r="K70" s="5">
        <f t="shared" ref="K70:K133" si="6">I70/H70</f>
        <v>0</v>
      </c>
      <c r="L70" s="2">
        <v>4178038.8088426539</v>
      </c>
      <c r="M70" s="2">
        <v>840000</v>
      </c>
      <c r="N70" s="6">
        <f t="shared" ref="N70:N133" si="7">IF(M70&gt;=300000,1,0)</f>
        <v>1</v>
      </c>
      <c r="O70" s="9">
        <f t="shared" ref="O70:O133" si="8">M70/L70</f>
        <v>0.20105126793513101</v>
      </c>
      <c r="P70" s="10">
        <v>0</v>
      </c>
      <c r="Q70" s="1">
        <f t="shared" ref="Q70:Q133" si="9">IF(P70&gt;=3,1,0)</f>
        <v>0</v>
      </c>
      <c r="R70" s="10">
        <v>7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0</v>
      </c>
      <c r="Y70" s="3">
        <v>0</v>
      </c>
      <c r="Z70" s="3">
        <v>0</v>
      </c>
    </row>
    <row r="71" spans="1:26" ht="26">
      <c r="A71" s="8">
        <v>17779134</v>
      </c>
      <c r="B71" s="8" t="s">
        <v>133</v>
      </c>
      <c r="C71" s="8" t="s">
        <v>25</v>
      </c>
      <c r="D71" s="8" t="s">
        <v>411</v>
      </c>
      <c r="E71" s="8" t="s">
        <v>26</v>
      </c>
      <c r="F71" s="8" t="s">
        <v>134</v>
      </c>
      <c r="G71" s="12" t="s">
        <v>412</v>
      </c>
      <c r="H71" s="7">
        <v>8.0571928800700618</v>
      </c>
      <c r="I71" s="1">
        <v>0</v>
      </c>
      <c r="J71" s="4">
        <f t="shared" si="5"/>
        <v>0</v>
      </c>
      <c r="K71" s="5">
        <f t="shared" si="6"/>
        <v>0</v>
      </c>
      <c r="L71" s="2">
        <v>2158596.5258458201</v>
      </c>
      <c r="M71" s="2">
        <v>840000</v>
      </c>
      <c r="N71" s="6">
        <f t="shared" si="7"/>
        <v>1</v>
      </c>
      <c r="O71" s="9">
        <f t="shared" si="8"/>
        <v>0.38914173628202986</v>
      </c>
      <c r="P71" s="10">
        <v>0</v>
      </c>
      <c r="Q71" s="1">
        <f t="shared" si="9"/>
        <v>0</v>
      </c>
      <c r="R71" s="10">
        <v>11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0</v>
      </c>
      <c r="Y71" s="3">
        <v>0</v>
      </c>
      <c r="Z71" s="3">
        <v>0</v>
      </c>
    </row>
    <row r="72" spans="1:26" ht="26">
      <c r="A72" s="8">
        <v>17783845</v>
      </c>
      <c r="B72" s="8" t="s">
        <v>135</v>
      </c>
      <c r="C72" s="8" t="s">
        <v>21</v>
      </c>
      <c r="D72" s="8" t="s">
        <v>409</v>
      </c>
      <c r="E72" s="8" t="s">
        <v>22</v>
      </c>
      <c r="F72" s="8" t="s">
        <v>116</v>
      </c>
      <c r="G72" s="12" t="s">
        <v>410</v>
      </c>
      <c r="H72" s="7">
        <v>5.8202780603594357</v>
      </c>
      <c r="I72" s="1">
        <v>2</v>
      </c>
      <c r="J72" s="4">
        <f t="shared" si="5"/>
        <v>0</v>
      </c>
      <c r="K72" s="5">
        <f t="shared" si="6"/>
        <v>0.34362619436028946</v>
      </c>
      <c r="L72" s="2">
        <v>2549477.9785796599</v>
      </c>
      <c r="M72" s="2">
        <v>1000000</v>
      </c>
      <c r="N72" s="6">
        <f t="shared" si="7"/>
        <v>1</v>
      </c>
      <c r="O72" s="9">
        <f t="shared" si="8"/>
        <v>0.39223715929372732</v>
      </c>
      <c r="P72" s="10">
        <v>1</v>
      </c>
      <c r="Q72" s="1">
        <f t="shared" si="9"/>
        <v>0</v>
      </c>
      <c r="R72" s="10">
        <v>8</v>
      </c>
      <c r="S72" s="10">
        <v>1</v>
      </c>
      <c r="T72" s="10">
        <v>0</v>
      </c>
      <c r="U72" s="3">
        <v>0</v>
      </c>
      <c r="V72" s="3">
        <v>0</v>
      </c>
      <c r="W72" s="3">
        <v>1</v>
      </c>
      <c r="X72" s="3">
        <v>0</v>
      </c>
      <c r="Y72" s="3">
        <v>0</v>
      </c>
      <c r="Z72" s="3">
        <v>0</v>
      </c>
    </row>
    <row r="73" spans="1:26" ht="26">
      <c r="A73" s="8">
        <v>17053268</v>
      </c>
      <c r="B73" s="8" t="s">
        <v>136</v>
      </c>
      <c r="C73" s="8" t="s">
        <v>57</v>
      </c>
      <c r="D73" s="8" t="s">
        <v>409</v>
      </c>
      <c r="E73" s="8" t="s">
        <v>22</v>
      </c>
      <c r="F73" s="8" t="s">
        <v>75</v>
      </c>
      <c r="G73" s="12" t="s">
        <v>412</v>
      </c>
      <c r="H73" s="7">
        <v>6.1978406769769432</v>
      </c>
      <c r="I73" s="1">
        <v>0</v>
      </c>
      <c r="J73" s="4">
        <f t="shared" si="5"/>
        <v>0</v>
      </c>
      <c r="K73" s="5">
        <f t="shared" si="6"/>
        <v>0</v>
      </c>
      <c r="L73" s="2">
        <v>2183374.9587660348</v>
      </c>
      <c r="M73" s="2">
        <v>0</v>
      </c>
      <c r="N73" s="6">
        <f t="shared" si="7"/>
        <v>0</v>
      </c>
      <c r="O73" s="9">
        <f t="shared" si="8"/>
        <v>0</v>
      </c>
      <c r="P73" s="10">
        <v>0</v>
      </c>
      <c r="Q73" s="1">
        <f t="shared" si="9"/>
        <v>0</v>
      </c>
      <c r="R73" s="10">
        <v>9</v>
      </c>
      <c r="S73" s="10">
        <v>0</v>
      </c>
      <c r="T73" s="10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1</v>
      </c>
    </row>
    <row r="74" spans="1:26" ht="26">
      <c r="A74" s="8">
        <v>17799381</v>
      </c>
      <c r="B74" s="8" t="s">
        <v>137</v>
      </c>
      <c r="C74" s="8" t="s">
        <v>35</v>
      </c>
      <c r="D74" s="8" t="s">
        <v>409</v>
      </c>
      <c r="E74" s="8" t="s">
        <v>22</v>
      </c>
      <c r="F74" s="8" t="s">
        <v>82</v>
      </c>
      <c r="G74" s="12" t="s">
        <v>410</v>
      </c>
      <c r="H74" s="7">
        <v>3</v>
      </c>
      <c r="I74" s="1">
        <v>0</v>
      </c>
      <c r="J74" s="4">
        <f t="shared" si="5"/>
        <v>0</v>
      </c>
      <c r="K74" s="5">
        <f t="shared" si="6"/>
        <v>0</v>
      </c>
      <c r="L74" s="2">
        <v>3917572.6875978149</v>
      </c>
      <c r="M74" s="2">
        <v>313000</v>
      </c>
      <c r="N74" s="6">
        <f t="shared" si="7"/>
        <v>1</v>
      </c>
      <c r="O74" s="9">
        <f t="shared" si="8"/>
        <v>7.9896411620106009E-2</v>
      </c>
      <c r="P74" s="10">
        <v>0</v>
      </c>
      <c r="Q74" s="1">
        <f t="shared" si="9"/>
        <v>0</v>
      </c>
      <c r="R74" s="10">
        <v>5</v>
      </c>
      <c r="S74" s="10">
        <v>0</v>
      </c>
      <c r="T74" s="10">
        <v>0</v>
      </c>
      <c r="U74" s="3">
        <v>0</v>
      </c>
      <c r="V74" s="3">
        <v>0</v>
      </c>
      <c r="W74" s="3">
        <v>1</v>
      </c>
      <c r="X74" s="3">
        <v>0</v>
      </c>
      <c r="Y74" s="3">
        <v>0</v>
      </c>
      <c r="Z74" s="3">
        <v>1</v>
      </c>
    </row>
    <row r="75" spans="1:26" ht="26">
      <c r="A75" s="8">
        <v>17211864</v>
      </c>
      <c r="B75" s="8" t="s">
        <v>138</v>
      </c>
      <c r="C75" s="8" t="s">
        <v>31</v>
      </c>
      <c r="D75" s="8" t="s">
        <v>411</v>
      </c>
      <c r="E75" s="8" t="s">
        <v>22</v>
      </c>
      <c r="F75" s="8" t="s">
        <v>65</v>
      </c>
      <c r="G75" s="12" t="s">
        <v>410</v>
      </c>
      <c r="H75" s="7">
        <v>22.241776873516461</v>
      </c>
      <c r="I75" s="1">
        <v>0</v>
      </c>
      <c r="J75" s="4">
        <f t="shared" si="5"/>
        <v>0</v>
      </c>
      <c r="K75" s="5">
        <f t="shared" si="6"/>
        <v>0</v>
      </c>
      <c r="L75" s="2">
        <v>1233517.793070439</v>
      </c>
      <c r="M75" s="2">
        <v>168000</v>
      </c>
      <c r="N75" s="6">
        <f t="shared" si="7"/>
        <v>0</v>
      </c>
      <c r="O75" s="9">
        <f t="shared" si="8"/>
        <v>0.13619584649996735</v>
      </c>
      <c r="P75" s="10">
        <v>0</v>
      </c>
      <c r="Q75" s="1">
        <f t="shared" si="9"/>
        <v>0</v>
      </c>
      <c r="R75" s="10">
        <v>14</v>
      </c>
      <c r="S75" s="10">
        <v>0</v>
      </c>
      <c r="T75" s="10">
        <v>0</v>
      </c>
      <c r="U75" s="3">
        <v>1</v>
      </c>
      <c r="V75" s="3">
        <v>0</v>
      </c>
      <c r="W75" s="3">
        <v>0</v>
      </c>
      <c r="X75" s="3">
        <v>0</v>
      </c>
      <c r="Y75" s="3">
        <v>0</v>
      </c>
      <c r="Z75" s="3">
        <v>1</v>
      </c>
    </row>
    <row r="76" spans="1:26" ht="26">
      <c r="A76" s="8">
        <v>17692924</v>
      </c>
      <c r="B76" s="8" t="s">
        <v>139</v>
      </c>
      <c r="C76" s="8" t="s">
        <v>31</v>
      </c>
      <c r="D76" s="8" t="s">
        <v>409</v>
      </c>
      <c r="E76" s="8" t="s">
        <v>22</v>
      </c>
      <c r="F76" s="8" t="s">
        <v>140</v>
      </c>
      <c r="G76" s="12" t="s">
        <v>410</v>
      </c>
      <c r="H76" s="7">
        <v>5</v>
      </c>
      <c r="I76" s="1">
        <v>0</v>
      </c>
      <c r="J76" s="1">
        <f t="shared" si="5"/>
        <v>0</v>
      </c>
      <c r="K76" s="5">
        <f t="shared" si="6"/>
        <v>0</v>
      </c>
      <c r="L76" s="2">
        <v>29626053.564346101</v>
      </c>
      <c r="M76" s="2">
        <v>324900</v>
      </c>
      <c r="N76" s="6">
        <f t="shared" si="7"/>
        <v>1</v>
      </c>
      <c r="O76" s="9">
        <f t="shared" si="8"/>
        <v>1.0966698595016569E-2</v>
      </c>
      <c r="P76" s="10">
        <v>0</v>
      </c>
      <c r="Q76" s="1">
        <f t="shared" si="9"/>
        <v>0</v>
      </c>
      <c r="R76" s="10">
        <v>7</v>
      </c>
      <c r="S76" s="10">
        <v>0</v>
      </c>
      <c r="T76" s="10">
        <v>0</v>
      </c>
      <c r="U76" s="3">
        <v>0</v>
      </c>
      <c r="V76" s="3">
        <v>0</v>
      </c>
      <c r="W76" s="3">
        <v>0</v>
      </c>
      <c r="X76" s="3">
        <v>0</v>
      </c>
      <c r="Y76" s="3">
        <v>1</v>
      </c>
      <c r="Z76" s="3">
        <v>0</v>
      </c>
    </row>
    <row r="77" spans="1:26" ht="26">
      <c r="A77" s="8">
        <v>17746504</v>
      </c>
      <c r="B77" s="8" t="s">
        <v>141</v>
      </c>
      <c r="C77" s="8" t="s">
        <v>21</v>
      </c>
      <c r="D77" s="8" t="s">
        <v>409</v>
      </c>
      <c r="E77" s="8" t="s">
        <v>22</v>
      </c>
      <c r="F77" s="8" t="s">
        <v>142</v>
      </c>
      <c r="G77" s="12" t="s">
        <v>410</v>
      </c>
      <c r="H77" s="7">
        <v>2.7022719565954572</v>
      </c>
      <c r="I77" s="1">
        <v>3</v>
      </c>
      <c r="J77" s="1">
        <f t="shared" si="5"/>
        <v>1</v>
      </c>
      <c r="K77" s="5">
        <f t="shared" si="6"/>
        <v>1.1101769356255486</v>
      </c>
      <c r="L77" s="2">
        <v>3485404.9269315852</v>
      </c>
      <c r="M77" s="2">
        <v>422000</v>
      </c>
      <c r="N77" s="6">
        <f t="shared" si="7"/>
        <v>1</v>
      </c>
      <c r="O77" s="9">
        <f t="shared" si="8"/>
        <v>0.12107631935079416</v>
      </c>
      <c r="P77" s="10">
        <v>0</v>
      </c>
      <c r="Q77" s="1">
        <f t="shared" si="9"/>
        <v>0</v>
      </c>
      <c r="R77" s="10">
        <v>5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1</v>
      </c>
      <c r="Z77" s="3">
        <v>0</v>
      </c>
    </row>
    <row r="78" spans="1:26" ht="26">
      <c r="A78" s="8">
        <v>17634230</v>
      </c>
      <c r="B78" s="8" t="s">
        <v>143</v>
      </c>
      <c r="C78" s="8" t="s">
        <v>35</v>
      </c>
      <c r="D78" s="8" t="s">
        <v>411</v>
      </c>
      <c r="E78" s="8" t="s">
        <v>26</v>
      </c>
      <c r="F78" s="8" t="s">
        <v>38</v>
      </c>
      <c r="G78" s="12" t="s">
        <v>410</v>
      </c>
      <c r="H78" s="7">
        <v>5.8202780603594357</v>
      </c>
      <c r="I78" s="1">
        <v>0</v>
      </c>
      <c r="J78" s="4">
        <f t="shared" si="5"/>
        <v>0</v>
      </c>
      <c r="K78" s="5">
        <f t="shared" si="6"/>
        <v>0</v>
      </c>
      <c r="L78" s="2">
        <v>1233517.793070439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8</v>
      </c>
      <c r="S78" s="10">
        <v>0</v>
      </c>
      <c r="T78" s="10">
        <v>0</v>
      </c>
      <c r="U78" s="3">
        <v>0</v>
      </c>
      <c r="V78" s="3">
        <v>0</v>
      </c>
      <c r="W78" s="3">
        <v>0</v>
      </c>
      <c r="X78" s="3">
        <v>1</v>
      </c>
      <c r="Y78" s="3">
        <v>0</v>
      </c>
      <c r="Z78" s="3">
        <v>0</v>
      </c>
    </row>
    <row r="79" spans="1:26" ht="26">
      <c r="A79" s="8">
        <v>17685979</v>
      </c>
      <c r="B79" s="8" t="s">
        <v>144</v>
      </c>
      <c r="C79" s="8" t="s">
        <v>21</v>
      </c>
      <c r="D79" s="8" t="s">
        <v>411</v>
      </c>
      <c r="E79" s="8" t="s">
        <v>22</v>
      </c>
      <c r="F79" s="8" t="s">
        <v>23</v>
      </c>
      <c r="G79" s="12" t="s">
        <v>410</v>
      </c>
      <c r="H79" s="7">
        <v>3.1180061037639888</v>
      </c>
      <c r="I79" s="1">
        <v>0</v>
      </c>
      <c r="J79" s="4">
        <f t="shared" si="5"/>
        <v>0</v>
      </c>
      <c r="K79" s="5">
        <f t="shared" si="6"/>
        <v>0</v>
      </c>
      <c r="L79" s="2">
        <v>1233517.793070439</v>
      </c>
      <c r="M79" s="2">
        <v>2695000</v>
      </c>
      <c r="N79" s="6">
        <f t="shared" si="7"/>
        <v>1</v>
      </c>
      <c r="O79" s="9">
        <f t="shared" si="8"/>
        <v>2.1848083709369761</v>
      </c>
      <c r="P79" s="10">
        <v>1</v>
      </c>
      <c r="Q79" s="1">
        <f t="shared" si="9"/>
        <v>0</v>
      </c>
      <c r="R79" s="10">
        <v>6</v>
      </c>
      <c r="S79" s="10">
        <v>0</v>
      </c>
      <c r="T79" s="10">
        <v>0</v>
      </c>
      <c r="U79" s="3">
        <v>0</v>
      </c>
      <c r="V79" s="3">
        <v>0</v>
      </c>
      <c r="W79" s="3">
        <v>0</v>
      </c>
      <c r="X79" s="3">
        <v>1</v>
      </c>
      <c r="Y79" s="3">
        <v>0</v>
      </c>
      <c r="Z79" s="3">
        <v>0</v>
      </c>
    </row>
    <row r="80" spans="1:26" ht="26">
      <c r="A80" s="8">
        <v>1486638</v>
      </c>
      <c r="B80" s="8" t="s">
        <v>146</v>
      </c>
      <c r="C80" s="8" t="s">
        <v>35</v>
      </c>
      <c r="D80" s="8" t="s">
        <v>409</v>
      </c>
      <c r="E80" s="8" t="s">
        <v>22</v>
      </c>
      <c r="F80" s="8" t="s">
        <v>93</v>
      </c>
      <c r="G80" s="12" t="s">
        <v>410</v>
      </c>
      <c r="H80" s="7">
        <v>2.7022719565954572</v>
      </c>
      <c r="I80" s="1">
        <v>0</v>
      </c>
      <c r="J80" s="4">
        <f t="shared" si="5"/>
        <v>0</v>
      </c>
      <c r="K80" s="5">
        <f t="shared" si="6"/>
        <v>0</v>
      </c>
      <c r="L80" s="2">
        <v>19880654</v>
      </c>
      <c r="M80" s="2">
        <v>234000</v>
      </c>
      <c r="N80" s="6">
        <f t="shared" si="7"/>
        <v>0</v>
      </c>
      <c r="O80" s="9">
        <f t="shared" si="8"/>
        <v>1.1770236532460149E-2</v>
      </c>
      <c r="P80" s="10">
        <v>0</v>
      </c>
      <c r="Q80" s="1">
        <f t="shared" si="9"/>
        <v>0</v>
      </c>
      <c r="R80" s="10">
        <v>5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17717812</v>
      </c>
      <c r="B81" s="8" t="s">
        <v>147</v>
      </c>
      <c r="C81" s="8" t="s">
        <v>31</v>
      </c>
      <c r="D81" s="8" t="s">
        <v>409</v>
      </c>
      <c r="E81" s="8" t="s">
        <v>22</v>
      </c>
      <c r="F81" s="8" t="s">
        <v>60</v>
      </c>
      <c r="G81" s="12" t="s">
        <v>410</v>
      </c>
      <c r="H81" s="7">
        <v>7.0674805018650426</v>
      </c>
      <c r="I81" s="1">
        <v>0</v>
      </c>
      <c r="J81" s="4">
        <f t="shared" si="5"/>
        <v>0</v>
      </c>
      <c r="K81" s="5">
        <f t="shared" si="6"/>
        <v>0</v>
      </c>
      <c r="L81" s="2">
        <v>2549477.9785796599</v>
      </c>
      <c r="M81" s="2">
        <v>0</v>
      </c>
      <c r="N81" s="6">
        <f t="shared" si="7"/>
        <v>0</v>
      </c>
      <c r="O81" s="9">
        <f t="shared" si="8"/>
        <v>0</v>
      </c>
      <c r="P81" s="10">
        <v>1</v>
      </c>
      <c r="Q81" s="1">
        <f t="shared" si="9"/>
        <v>0</v>
      </c>
      <c r="R81" s="10">
        <v>10</v>
      </c>
      <c r="S81" s="10">
        <v>0</v>
      </c>
      <c r="T81" s="10">
        <v>0</v>
      </c>
      <c r="U81" s="3">
        <v>1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</row>
    <row r="82" spans="1:26" ht="26">
      <c r="A82" s="8">
        <v>17459755</v>
      </c>
      <c r="B82" s="8" t="s">
        <v>148</v>
      </c>
      <c r="C82" s="8" t="s">
        <v>21</v>
      </c>
      <c r="D82" s="8" t="s">
        <v>418</v>
      </c>
      <c r="E82" s="8" t="s">
        <v>22</v>
      </c>
      <c r="F82" s="8" t="s">
        <v>40</v>
      </c>
      <c r="G82" s="12" t="s">
        <v>410</v>
      </c>
      <c r="H82" s="7">
        <v>3</v>
      </c>
      <c r="I82" s="1">
        <v>3</v>
      </c>
      <c r="J82" s="4">
        <f t="shared" si="5"/>
        <v>1</v>
      </c>
      <c r="K82" s="5">
        <f t="shared" si="6"/>
        <v>1</v>
      </c>
      <c r="L82" s="2">
        <v>22463880</v>
      </c>
      <c r="M82" s="2">
        <v>90000</v>
      </c>
      <c r="N82" s="6">
        <f t="shared" si="7"/>
        <v>0</v>
      </c>
      <c r="O82" s="9">
        <f t="shared" si="8"/>
        <v>4.0064316582887729E-3</v>
      </c>
      <c r="P82" s="10">
        <v>1</v>
      </c>
      <c r="Q82" s="1">
        <f t="shared" si="9"/>
        <v>0</v>
      </c>
      <c r="R82" s="10">
        <v>5</v>
      </c>
      <c r="S82" s="10">
        <v>1</v>
      </c>
      <c r="T82" s="10">
        <v>0</v>
      </c>
      <c r="U82" s="3">
        <v>0</v>
      </c>
      <c r="V82" s="3">
        <v>0</v>
      </c>
      <c r="W82" s="3">
        <v>0</v>
      </c>
      <c r="X82" s="3">
        <v>1</v>
      </c>
      <c r="Y82" s="3">
        <v>0</v>
      </c>
      <c r="Z82" s="3">
        <v>0</v>
      </c>
    </row>
    <row r="83" spans="1:26" ht="26">
      <c r="A83" s="8" t="s">
        <v>149</v>
      </c>
      <c r="B83" s="8" t="s">
        <v>150</v>
      </c>
      <c r="C83" s="8" t="s">
        <v>31</v>
      </c>
      <c r="D83" s="8" t="s">
        <v>409</v>
      </c>
      <c r="E83" s="8" t="s">
        <v>26</v>
      </c>
      <c r="F83" s="8" t="s">
        <v>60</v>
      </c>
      <c r="G83" s="12" t="s">
        <v>410</v>
      </c>
      <c r="H83" s="7">
        <v>3.3258731773482562</v>
      </c>
      <c r="I83" s="1">
        <v>3</v>
      </c>
      <c r="J83" s="1">
        <f t="shared" si="5"/>
        <v>1</v>
      </c>
      <c r="K83" s="5">
        <f t="shared" si="6"/>
        <v>0.90201876019575788</v>
      </c>
      <c r="L83" s="2">
        <v>29626053.564346101</v>
      </c>
      <c r="M83" s="2">
        <v>325200</v>
      </c>
      <c r="N83" s="6">
        <f t="shared" si="7"/>
        <v>1</v>
      </c>
      <c r="O83" s="9">
        <f t="shared" si="8"/>
        <v>1.0976824817172633E-2</v>
      </c>
      <c r="P83" s="10">
        <v>0</v>
      </c>
      <c r="Q83" s="1">
        <f t="shared" si="9"/>
        <v>0</v>
      </c>
      <c r="R83" s="10">
        <v>6</v>
      </c>
      <c r="S83" s="10">
        <v>1</v>
      </c>
      <c r="T83" s="10">
        <v>0</v>
      </c>
      <c r="U83" s="3">
        <v>0</v>
      </c>
      <c r="V83" s="3">
        <v>0</v>
      </c>
      <c r="W83" s="3">
        <v>0</v>
      </c>
      <c r="X83" s="3">
        <v>1</v>
      </c>
      <c r="Y83" s="3">
        <v>0</v>
      </c>
      <c r="Z83" s="3">
        <v>0</v>
      </c>
    </row>
    <row r="84" spans="1:26" ht="26">
      <c r="A84" s="8">
        <v>1496057</v>
      </c>
      <c r="B84" s="8" t="s">
        <v>151</v>
      </c>
      <c r="C84" s="8" t="s">
        <v>31</v>
      </c>
      <c r="D84" s="8" t="s">
        <v>409</v>
      </c>
      <c r="E84" s="8" t="s">
        <v>22</v>
      </c>
      <c r="F84" s="8" t="s">
        <v>102</v>
      </c>
      <c r="G84" s="12" t="s">
        <v>410</v>
      </c>
      <c r="H84" s="7">
        <v>3.1180061037639888</v>
      </c>
      <c r="I84" s="1">
        <v>0</v>
      </c>
      <c r="J84" s="4">
        <f t="shared" si="5"/>
        <v>0</v>
      </c>
      <c r="K84" s="5">
        <f t="shared" si="6"/>
        <v>0</v>
      </c>
      <c r="L84" s="2">
        <v>3274995.9767890298</v>
      </c>
      <c r="M84" s="2">
        <v>832800</v>
      </c>
      <c r="N84" s="6">
        <f t="shared" si="7"/>
        <v>1</v>
      </c>
      <c r="O84" s="9">
        <f t="shared" si="8"/>
        <v>0.25429038872179588</v>
      </c>
      <c r="P84" s="10">
        <v>0</v>
      </c>
      <c r="Q84" s="1">
        <f t="shared" si="9"/>
        <v>0</v>
      </c>
      <c r="R84" s="10">
        <v>6</v>
      </c>
      <c r="S84" s="10">
        <v>0</v>
      </c>
      <c r="T84" s="10">
        <v>0</v>
      </c>
      <c r="U84" s="3">
        <v>1</v>
      </c>
      <c r="V84" s="3">
        <v>1</v>
      </c>
      <c r="W84" s="3">
        <v>1</v>
      </c>
      <c r="X84" s="3">
        <v>1</v>
      </c>
      <c r="Y84" s="3">
        <v>1</v>
      </c>
      <c r="Z84" s="3">
        <v>1</v>
      </c>
    </row>
    <row r="85" spans="1:26" ht="26">
      <c r="A85" s="8">
        <v>17614624</v>
      </c>
      <c r="B85" s="8" t="s">
        <v>152</v>
      </c>
      <c r="C85" s="8" t="s">
        <v>57</v>
      </c>
      <c r="D85" s="8" t="s">
        <v>413</v>
      </c>
      <c r="E85" s="8" t="s">
        <v>26</v>
      </c>
      <c r="F85" s="8" t="s">
        <v>153</v>
      </c>
      <c r="G85" s="12" t="s">
        <v>412</v>
      </c>
      <c r="H85" s="7">
        <v>6.1978406769769432</v>
      </c>
      <c r="I85" s="1">
        <v>0</v>
      </c>
      <c r="J85" s="1">
        <f t="shared" si="5"/>
        <v>0</v>
      </c>
      <c r="K85" s="5">
        <f t="shared" si="6"/>
        <v>0</v>
      </c>
      <c r="L85" s="2">
        <v>9618161.7118601874</v>
      </c>
      <c r="M85" s="2">
        <v>0</v>
      </c>
      <c r="N85" s="6">
        <f t="shared" si="7"/>
        <v>0</v>
      </c>
      <c r="O85" s="9">
        <f t="shared" si="8"/>
        <v>0</v>
      </c>
      <c r="P85" s="10">
        <v>3</v>
      </c>
      <c r="Q85" s="1">
        <f t="shared" si="9"/>
        <v>1</v>
      </c>
      <c r="R85" s="10">
        <v>9</v>
      </c>
      <c r="S85" s="10">
        <v>0</v>
      </c>
      <c r="T85" s="10">
        <v>0</v>
      </c>
      <c r="U85" s="3">
        <v>0</v>
      </c>
      <c r="V85" s="3">
        <v>0</v>
      </c>
      <c r="W85" s="3">
        <v>0</v>
      </c>
      <c r="X85" s="3">
        <v>1</v>
      </c>
      <c r="Y85" s="3">
        <v>0</v>
      </c>
      <c r="Z85" s="3">
        <v>0</v>
      </c>
    </row>
    <row r="86" spans="1:26" ht="26">
      <c r="A86" s="8">
        <v>17564519</v>
      </c>
      <c r="B86" s="8" t="s">
        <v>154</v>
      </c>
      <c r="C86" s="27" t="s">
        <v>57</v>
      </c>
      <c r="D86" s="8" t="s">
        <v>411</v>
      </c>
      <c r="E86" s="8" t="s">
        <v>26</v>
      </c>
      <c r="F86" s="8" t="s">
        <v>50</v>
      </c>
      <c r="G86" s="12" t="s">
        <v>412</v>
      </c>
      <c r="H86" s="7">
        <v>6.5077327108257919</v>
      </c>
      <c r="I86" s="1">
        <v>0</v>
      </c>
      <c r="J86" s="1">
        <f t="shared" si="5"/>
        <v>0</v>
      </c>
      <c r="K86" s="5">
        <f t="shared" si="6"/>
        <v>0</v>
      </c>
      <c r="L86" s="2">
        <v>8778029.1927757934</v>
      </c>
      <c r="M86" s="2">
        <v>3164000</v>
      </c>
      <c r="N86" s="6">
        <f t="shared" si="7"/>
        <v>1</v>
      </c>
      <c r="O86" s="9">
        <f t="shared" si="8"/>
        <v>0.36044537224869699</v>
      </c>
      <c r="P86" s="10">
        <v>0</v>
      </c>
      <c r="Q86" s="1">
        <f t="shared" si="9"/>
        <v>0</v>
      </c>
      <c r="R86" s="10">
        <v>9</v>
      </c>
      <c r="S86" s="10">
        <v>0</v>
      </c>
      <c r="T86" s="10">
        <v>0</v>
      </c>
      <c r="U86" s="3">
        <v>1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17564430</v>
      </c>
      <c r="B87" s="8" t="s">
        <v>155</v>
      </c>
      <c r="C87" s="8" t="s">
        <v>57</v>
      </c>
      <c r="D87" s="8" t="s">
        <v>413</v>
      </c>
      <c r="E87" s="8" t="s">
        <v>26</v>
      </c>
      <c r="F87" s="8" t="s">
        <v>156</v>
      </c>
      <c r="G87" s="12" t="s">
        <v>412</v>
      </c>
      <c r="H87" s="7">
        <v>20.142982200175041</v>
      </c>
      <c r="I87" s="1">
        <v>0</v>
      </c>
      <c r="J87" s="1">
        <f t="shared" si="5"/>
        <v>0</v>
      </c>
      <c r="K87" s="5">
        <f t="shared" si="6"/>
        <v>0</v>
      </c>
      <c r="L87" s="2">
        <v>1065113.5078454011</v>
      </c>
      <c r="M87" s="2">
        <v>0</v>
      </c>
      <c r="N87" s="6">
        <f t="shared" si="7"/>
        <v>0</v>
      </c>
      <c r="O87" s="9">
        <f t="shared" si="8"/>
        <v>0</v>
      </c>
      <c r="P87" s="10">
        <v>3</v>
      </c>
      <c r="Q87" s="1">
        <f t="shared" si="9"/>
        <v>1</v>
      </c>
      <c r="R87" s="10">
        <v>12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1335665</v>
      </c>
      <c r="B88" s="8" t="s">
        <v>157</v>
      </c>
      <c r="C88" s="8" t="s">
        <v>35</v>
      </c>
      <c r="D88" s="8" t="s">
        <v>409</v>
      </c>
      <c r="E88" s="8" t="s">
        <v>22</v>
      </c>
      <c r="F88" s="8" t="s">
        <v>60</v>
      </c>
      <c r="G88" s="12" t="s">
        <v>410</v>
      </c>
      <c r="H88" s="7">
        <v>22.449643947100689</v>
      </c>
      <c r="I88" s="1">
        <v>0</v>
      </c>
      <c r="J88" s="1">
        <f t="shared" si="5"/>
        <v>0</v>
      </c>
      <c r="K88" s="5">
        <f t="shared" si="6"/>
        <v>0</v>
      </c>
      <c r="L88" s="2">
        <v>22463880</v>
      </c>
      <c r="M88" s="2">
        <v>838000</v>
      </c>
      <c r="N88" s="6">
        <f t="shared" si="7"/>
        <v>1</v>
      </c>
      <c r="O88" s="9">
        <f t="shared" si="8"/>
        <v>3.7304330329399907E-2</v>
      </c>
      <c r="P88" s="10">
        <v>0</v>
      </c>
      <c r="Q88" s="1">
        <f t="shared" si="9"/>
        <v>0</v>
      </c>
      <c r="R88" s="10">
        <v>14</v>
      </c>
      <c r="S88" s="10">
        <v>1</v>
      </c>
      <c r="T88" s="10">
        <v>1</v>
      </c>
      <c r="U88" s="3">
        <v>1</v>
      </c>
      <c r="V88" s="3">
        <v>0</v>
      </c>
      <c r="W88" s="3">
        <v>0</v>
      </c>
      <c r="X88" s="3">
        <v>0</v>
      </c>
      <c r="Y88" s="3">
        <v>0</v>
      </c>
      <c r="Z88" s="3">
        <v>1</v>
      </c>
    </row>
    <row r="89" spans="1:26" ht="26">
      <c r="A89" s="8">
        <v>659110</v>
      </c>
      <c r="B89" s="8" t="s">
        <v>158</v>
      </c>
      <c r="C89" s="8" t="s">
        <v>21</v>
      </c>
      <c r="D89" s="8" t="s">
        <v>409</v>
      </c>
      <c r="E89" s="8" t="s">
        <v>22</v>
      </c>
      <c r="F89" s="8" t="s">
        <v>108</v>
      </c>
      <c r="G89" s="12" t="s">
        <v>410</v>
      </c>
      <c r="H89" s="7">
        <v>5.1966768396066563</v>
      </c>
      <c r="I89" s="1">
        <v>3</v>
      </c>
      <c r="J89" s="4">
        <f t="shared" si="5"/>
        <v>1</v>
      </c>
      <c r="K89" s="5">
        <f t="shared" si="6"/>
        <v>0.57729200652528434</v>
      </c>
      <c r="L89" s="2">
        <v>2574298.0029296018</v>
      </c>
      <c r="M89" s="2">
        <v>854000</v>
      </c>
      <c r="N89" s="6">
        <f t="shared" si="7"/>
        <v>1</v>
      </c>
      <c r="O89" s="9">
        <f t="shared" si="8"/>
        <v>0.33174092472127592</v>
      </c>
      <c r="P89" s="10">
        <v>1</v>
      </c>
      <c r="Q89" s="1">
        <f t="shared" si="9"/>
        <v>0</v>
      </c>
      <c r="R89" s="10">
        <v>8</v>
      </c>
      <c r="S89" s="10">
        <v>5</v>
      </c>
      <c r="T89" s="10">
        <v>1</v>
      </c>
      <c r="U89" s="3">
        <v>0</v>
      </c>
      <c r="V89" s="3">
        <v>0</v>
      </c>
      <c r="W89" s="3">
        <v>1</v>
      </c>
      <c r="X89" s="3">
        <v>0</v>
      </c>
      <c r="Y89" s="3">
        <v>1</v>
      </c>
      <c r="Z89" s="3">
        <v>1</v>
      </c>
    </row>
    <row r="90" spans="1:26" ht="26">
      <c r="A90" s="8">
        <v>17552372</v>
      </c>
      <c r="B90" s="8" t="s">
        <v>159</v>
      </c>
      <c r="C90" s="8" t="s">
        <v>21</v>
      </c>
      <c r="D90" s="8" t="s">
        <v>409</v>
      </c>
      <c r="E90" s="8" t="s">
        <v>22</v>
      </c>
      <c r="F90" s="8" t="s">
        <v>46</v>
      </c>
      <c r="G90" s="12" t="s">
        <v>410</v>
      </c>
      <c r="H90" s="7">
        <v>5</v>
      </c>
      <c r="I90" s="1">
        <v>1</v>
      </c>
      <c r="J90" s="1">
        <f t="shared" si="5"/>
        <v>0</v>
      </c>
      <c r="K90" s="5">
        <f t="shared" si="6"/>
        <v>0.2</v>
      </c>
      <c r="L90" s="2">
        <v>12908778</v>
      </c>
      <c r="M90" s="2">
        <v>4000000</v>
      </c>
      <c r="N90" s="6">
        <f t="shared" si="7"/>
        <v>1</v>
      </c>
      <c r="O90" s="9">
        <f t="shared" si="8"/>
        <v>0.30986666592298667</v>
      </c>
      <c r="P90" s="10">
        <v>0</v>
      </c>
      <c r="Q90" s="1">
        <f t="shared" si="9"/>
        <v>0</v>
      </c>
      <c r="R90" s="10">
        <v>7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1</v>
      </c>
    </row>
    <row r="91" spans="1:26" ht="26">
      <c r="A91" s="8">
        <v>17681325</v>
      </c>
      <c r="B91" s="8" t="s">
        <v>160</v>
      </c>
      <c r="C91" s="8" t="s">
        <v>25</v>
      </c>
      <c r="D91" s="8" t="s">
        <v>411</v>
      </c>
      <c r="E91" s="8" t="s">
        <v>26</v>
      </c>
      <c r="F91" s="8" t="s">
        <v>27</v>
      </c>
      <c r="G91" s="12" t="s">
        <v>412</v>
      </c>
      <c r="H91" s="7">
        <v>14.25503355704695</v>
      </c>
      <c r="I91" s="1">
        <v>0</v>
      </c>
      <c r="J91" s="1">
        <f t="shared" si="5"/>
        <v>0</v>
      </c>
      <c r="K91" s="5">
        <f t="shared" si="6"/>
        <v>0</v>
      </c>
      <c r="L91" s="2">
        <v>11753595.78954147</v>
      </c>
      <c r="M91" s="2">
        <v>2900000</v>
      </c>
      <c r="N91" s="6">
        <f t="shared" si="7"/>
        <v>1</v>
      </c>
      <c r="O91" s="9">
        <f t="shared" si="8"/>
        <v>0.24673300425904254</v>
      </c>
      <c r="P91" s="10">
        <v>0</v>
      </c>
      <c r="Q91" s="1">
        <f t="shared" si="9"/>
        <v>0</v>
      </c>
      <c r="R91" s="10">
        <v>9</v>
      </c>
      <c r="S91" s="10">
        <v>0</v>
      </c>
      <c r="T91" s="10">
        <v>0</v>
      </c>
      <c r="U91" s="3">
        <v>0</v>
      </c>
      <c r="V91" s="3">
        <v>1</v>
      </c>
      <c r="W91" s="3">
        <v>0</v>
      </c>
      <c r="X91" s="3">
        <v>0</v>
      </c>
      <c r="Y91" s="3">
        <v>0</v>
      </c>
      <c r="Z91" s="3">
        <v>0</v>
      </c>
    </row>
    <row r="92" spans="1:26" ht="26">
      <c r="A92" s="8" t="s">
        <v>161</v>
      </c>
      <c r="B92" s="8" t="s">
        <v>162</v>
      </c>
      <c r="C92" s="8" t="s">
        <v>31</v>
      </c>
      <c r="D92" s="8" t="s">
        <v>409</v>
      </c>
      <c r="E92" s="8" t="s">
        <v>26</v>
      </c>
      <c r="F92" s="8" t="s">
        <v>60</v>
      </c>
      <c r="G92" s="12" t="s">
        <v>410</v>
      </c>
      <c r="H92" s="7">
        <v>7.2753475754493193</v>
      </c>
      <c r="I92" s="1">
        <v>3</v>
      </c>
      <c r="J92" s="4">
        <f t="shared" si="5"/>
        <v>1</v>
      </c>
      <c r="K92" s="5">
        <f t="shared" si="6"/>
        <v>0.41235143323234597</v>
      </c>
      <c r="L92" s="2">
        <v>3197916.7051896802</v>
      </c>
      <c r="M92" s="2">
        <v>308400</v>
      </c>
      <c r="N92" s="6">
        <f t="shared" si="7"/>
        <v>1</v>
      </c>
      <c r="O92" s="9">
        <f t="shared" si="8"/>
        <v>9.6437783854569678E-2</v>
      </c>
      <c r="P92" s="10">
        <v>0</v>
      </c>
      <c r="Q92" s="1">
        <f t="shared" si="9"/>
        <v>0</v>
      </c>
      <c r="R92" s="10">
        <v>10</v>
      </c>
      <c r="S92" s="10">
        <v>0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17232965</v>
      </c>
      <c r="B93" s="8" t="s">
        <v>163</v>
      </c>
      <c r="C93" s="8" t="s">
        <v>25</v>
      </c>
      <c r="D93" s="8" t="s">
        <v>409</v>
      </c>
      <c r="E93" s="8" t="s">
        <v>22</v>
      </c>
      <c r="F93" s="8" t="s">
        <v>42</v>
      </c>
      <c r="G93" s="12" t="s">
        <v>412</v>
      </c>
      <c r="H93" s="7">
        <v>4</v>
      </c>
      <c r="I93" s="1">
        <v>0</v>
      </c>
      <c r="J93" s="4">
        <f t="shared" si="5"/>
        <v>0</v>
      </c>
      <c r="K93" s="5">
        <f t="shared" si="6"/>
        <v>0</v>
      </c>
      <c r="L93" s="2">
        <v>5655946.6448297696</v>
      </c>
      <c r="M93" s="2">
        <v>660000</v>
      </c>
      <c r="N93" s="6">
        <f t="shared" si="7"/>
        <v>1</v>
      </c>
      <c r="O93" s="9">
        <f t="shared" si="8"/>
        <v>0.1166913412458233</v>
      </c>
      <c r="P93" s="10">
        <v>0</v>
      </c>
      <c r="Q93" s="1">
        <f t="shared" si="9"/>
        <v>0</v>
      </c>
      <c r="R93" s="10">
        <v>6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1</v>
      </c>
      <c r="Y93" s="3">
        <v>0</v>
      </c>
      <c r="Z93" s="3">
        <v>0</v>
      </c>
    </row>
    <row r="94" spans="1:26" ht="26">
      <c r="A94" s="8">
        <v>1073854</v>
      </c>
      <c r="B94" s="8" t="s">
        <v>164</v>
      </c>
      <c r="C94" s="8" t="s">
        <v>25</v>
      </c>
      <c r="D94" s="8" t="s">
        <v>409</v>
      </c>
      <c r="E94" s="8" t="s">
        <v>22</v>
      </c>
      <c r="F94" s="8" t="s">
        <v>89</v>
      </c>
      <c r="G94" s="12" t="s">
        <v>412</v>
      </c>
      <c r="H94" s="7">
        <v>5.5780566092792556</v>
      </c>
      <c r="I94" s="1">
        <v>0</v>
      </c>
      <c r="J94" s="1">
        <f t="shared" si="5"/>
        <v>0</v>
      </c>
      <c r="K94" s="5">
        <f t="shared" si="6"/>
        <v>0</v>
      </c>
      <c r="L94" s="2">
        <v>7224888.2887193644</v>
      </c>
      <c r="M94" s="2">
        <v>592000</v>
      </c>
      <c r="N94" s="6">
        <f t="shared" si="7"/>
        <v>1</v>
      </c>
      <c r="O94" s="9">
        <f t="shared" si="8"/>
        <v>8.1938983184601452E-2</v>
      </c>
      <c r="P94" s="10">
        <v>0</v>
      </c>
      <c r="Q94" s="1">
        <f t="shared" si="9"/>
        <v>0</v>
      </c>
      <c r="R94" s="10">
        <v>8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 t="s">
        <v>165</v>
      </c>
      <c r="B95" s="8" t="s">
        <v>166</v>
      </c>
      <c r="C95" s="8" t="s">
        <v>31</v>
      </c>
      <c r="D95" s="8" t="s">
        <v>409</v>
      </c>
      <c r="E95" s="8" t="s">
        <v>22</v>
      </c>
      <c r="F95" s="8" t="s">
        <v>60</v>
      </c>
      <c r="G95" s="12" t="s">
        <v>410</v>
      </c>
      <c r="H95" s="7">
        <v>16.83723296032553</v>
      </c>
      <c r="I95" s="1">
        <v>3</v>
      </c>
      <c r="J95" s="4">
        <f t="shared" si="5"/>
        <v>1</v>
      </c>
      <c r="K95" s="5">
        <f t="shared" si="6"/>
        <v>0.17817654522385359</v>
      </c>
      <c r="L95" s="2">
        <v>22463880</v>
      </c>
      <c r="M95" s="2">
        <v>308400</v>
      </c>
      <c r="N95" s="6">
        <f t="shared" si="7"/>
        <v>1</v>
      </c>
      <c r="O95" s="9">
        <f t="shared" si="8"/>
        <v>1.3728705815736195E-2</v>
      </c>
      <c r="P95" s="10">
        <v>0</v>
      </c>
      <c r="Q95" s="1">
        <f t="shared" si="9"/>
        <v>0</v>
      </c>
      <c r="R95" s="10">
        <v>9</v>
      </c>
      <c r="S95" s="10">
        <v>0</v>
      </c>
      <c r="T95" s="10">
        <v>0</v>
      </c>
      <c r="U95" s="3">
        <v>0</v>
      </c>
      <c r="V95" s="3">
        <v>0</v>
      </c>
      <c r="W95" s="3">
        <v>0</v>
      </c>
      <c r="X95" s="3">
        <v>1</v>
      </c>
      <c r="Y95" s="3">
        <v>0</v>
      </c>
      <c r="Z95" s="3">
        <v>0</v>
      </c>
    </row>
    <row r="96" spans="1:26" ht="26">
      <c r="A96" s="8">
        <v>17674665</v>
      </c>
      <c r="B96" s="8" t="s">
        <v>167</v>
      </c>
      <c r="C96" s="8" t="s">
        <v>21</v>
      </c>
      <c r="D96" s="8" t="s">
        <v>411</v>
      </c>
      <c r="E96" s="8" t="s">
        <v>26</v>
      </c>
      <c r="F96" s="8" t="s">
        <v>125</v>
      </c>
      <c r="G96" s="12" t="s">
        <v>410</v>
      </c>
      <c r="H96" s="7">
        <v>2.7022719565954572</v>
      </c>
      <c r="I96" s="1">
        <v>0</v>
      </c>
      <c r="J96" s="1">
        <f t="shared" si="5"/>
        <v>0</v>
      </c>
      <c r="K96" s="5">
        <f t="shared" si="6"/>
        <v>0</v>
      </c>
      <c r="L96" s="2">
        <v>300000</v>
      </c>
      <c r="M96" s="2">
        <v>0</v>
      </c>
      <c r="N96" s="6">
        <f t="shared" si="7"/>
        <v>0</v>
      </c>
      <c r="O96" s="9">
        <f t="shared" si="8"/>
        <v>0</v>
      </c>
      <c r="P96" s="10">
        <v>0</v>
      </c>
      <c r="Q96" s="1">
        <f t="shared" si="9"/>
        <v>0</v>
      </c>
      <c r="R96" s="10">
        <v>5</v>
      </c>
      <c r="S96" s="10">
        <v>0</v>
      </c>
      <c r="T96" s="10">
        <v>0</v>
      </c>
      <c r="U96" s="3">
        <v>1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17224859</v>
      </c>
      <c r="B97" s="8" t="s">
        <v>168</v>
      </c>
      <c r="C97" s="8" t="s">
        <v>57</v>
      </c>
      <c r="D97" s="8" t="s">
        <v>409</v>
      </c>
      <c r="E97" s="8" t="s">
        <v>22</v>
      </c>
      <c r="F97" s="8" t="s">
        <v>169</v>
      </c>
      <c r="G97" s="12" t="s">
        <v>412</v>
      </c>
      <c r="H97" s="7">
        <v>6.1978406769769432</v>
      </c>
      <c r="I97" s="1">
        <v>0</v>
      </c>
      <c r="J97" s="1">
        <f t="shared" si="5"/>
        <v>0</v>
      </c>
      <c r="K97" s="5">
        <f t="shared" si="6"/>
        <v>0</v>
      </c>
      <c r="L97" s="2">
        <v>3881954.490832367</v>
      </c>
      <c r="M97" s="2">
        <v>0</v>
      </c>
      <c r="N97" s="6">
        <f t="shared" si="7"/>
        <v>0</v>
      </c>
      <c r="O97" s="9">
        <f t="shared" si="8"/>
        <v>0</v>
      </c>
      <c r="P97" s="10">
        <v>0</v>
      </c>
      <c r="Q97" s="1">
        <f t="shared" si="9"/>
        <v>0</v>
      </c>
      <c r="R97" s="10">
        <v>9</v>
      </c>
      <c r="S97" s="10">
        <v>0</v>
      </c>
      <c r="T97" s="10">
        <v>0</v>
      </c>
      <c r="U97" s="3">
        <v>0</v>
      </c>
      <c r="V97" s="3">
        <v>1</v>
      </c>
      <c r="W97" s="3">
        <v>0</v>
      </c>
      <c r="X97" s="3">
        <v>0</v>
      </c>
      <c r="Y97" s="3">
        <v>0</v>
      </c>
      <c r="Z97" s="3">
        <v>0</v>
      </c>
    </row>
    <row r="98" spans="1:26" ht="26">
      <c r="A98" s="8">
        <v>17811480</v>
      </c>
      <c r="B98" s="8" t="s">
        <v>170</v>
      </c>
      <c r="C98" s="8" t="s">
        <v>21</v>
      </c>
      <c r="D98" s="8" t="s">
        <v>411</v>
      </c>
      <c r="E98" s="8" t="s">
        <v>26</v>
      </c>
      <c r="F98" s="8" t="s">
        <v>171</v>
      </c>
      <c r="G98" s="12" t="s">
        <v>410</v>
      </c>
      <c r="H98" s="7">
        <v>5.1966768396066563</v>
      </c>
      <c r="I98" s="1">
        <v>0</v>
      </c>
      <c r="J98" s="4">
        <f t="shared" si="5"/>
        <v>0</v>
      </c>
      <c r="K98" s="5">
        <f t="shared" si="6"/>
        <v>0</v>
      </c>
      <c r="L98" s="2">
        <v>1233517.793070439</v>
      </c>
      <c r="M98" s="2">
        <v>217000</v>
      </c>
      <c r="N98" s="6">
        <f t="shared" si="7"/>
        <v>0</v>
      </c>
      <c r="O98" s="9">
        <f t="shared" si="8"/>
        <v>0.17591963506245784</v>
      </c>
      <c r="P98" s="10">
        <v>0</v>
      </c>
      <c r="Q98" s="1">
        <f t="shared" si="9"/>
        <v>0</v>
      </c>
      <c r="R98" s="10">
        <v>8</v>
      </c>
      <c r="S98" s="10">
        <v>0</v>
      </c>
      <c r="T98" s="10">
        <v>0</v>
      </c>
      <c r="U98" s="3">
        <v>0</v>
      </c>
      <c r="V98" s="3">
        <v>0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17783930</v>
      </c>
      <c r="B99" s="8" t="s">
        <v>172</v>
      </c>
      <c r="C99" s="8" t="s">
        <v>21</v>
      </c>
      <c r="D99" s="8" t="s">
        <v>409</v>
      </c>
      <c r="E99" s="8" t="s">
        <v>22</v>
      </c>
      <c r="F99" s="8" t="s">
        <v>142</v>
      </c>
      <c r="G99" s="12" t="s">
        <v>410</v>
      </c>
      <c r="H99" s="7">
        <v>5</v>
      </c>
      <c r="I99" s="1">
        <v>3</v>
      </c>
      <c r="J99" s="1">
        <f t="shared" si="5"/>
        <v>1</v>
      </c>
      <c r="K99" s="5">
        <f t="shared" si="6"/>
        <v>0.6</v>
      </c>
      <c r="L99" s="2">
        <v>3486028.5456338399</v>
      </c>
      <c r="M99" s="2">
        <v>522000</v>
      </c>
      <c r="N99" s="6">
        <f t="shared" si="7"/>
        <v>1</v>
      </c>
      <c r="O99" s="9">
        <f t="shared" si="8"/>
        <v>0.14974059826727221</v>
      </c>
      <c r="P99" s="10">
        <v>0</v>
      </c>
      <c r="Q99" s="1">
        <f t="shared" si="9"/>
        <v>0</v>
      </c>
      <c r="R99" s="10">
        <v>7</v>
      </c>
      <c r="S99" s="10">
        <v>1</v>
      </c>
      <c r="T99" s="10">
        <v>0</v>
      </c>
      <c r="U99" s="3">
        <v>0</v>
      </c>
      <c r="V99" s="3">
        <v>0</v>
      </c>
      <c r="W99" s="3">
        <v>1</v>
      </c>
      <c r="X99" s="3">
        <v>0</v>
      </c>
      <c r="Y99" s="3">
        <v>1</v>
      </c>
      <c r="Z99" s="3">
        <v>0</v>
      </c>
    </row>
    <row r="100" spans="1:26" ht="26">
      <c r="A100" s="8">
        <v>17707977</v>
      </c>
      <c r="B100" s="8" t="s">
        <v>173</v>
      </c>
      <c r="C100" s="8" t="s">
        <v>21</v>
      </c>
      <c r="D100" s="8" t="s">
        <v>409</v>
      </c>
      <c r="E100" s="8" t="s">
        <v>22</v>
      </c>
      <c r="F100" s="8" t="s">
        <v>142</v>
      </c>
      <c r="G100" s="12" t="s">
        <v>410</v>
      </c>
      <c r="H100" s="7">
        <v>3.3258731773482562</v>
      </c>
      <c r="I100" s="1">
        <v>3</v>
      </c>
      <c r="J100" s="4">
        <f t="shared" si="5"/>
        <v>1</v>
      </c>
      <c r="K100" s="5">
        <f t="shared" si="6"/>
        <v>0.90201876019575788</v>
      </c>
      <c r="L100" s="2">
        <v>2549477.9785796599</v>
      </c>
      <c r="M100" s="2">
        <v>175000</v>
      </c>
      <c r="N100" s="6">
        <f t="shared" si="7"/>
        <v>0</v>
      </c>
      <c r="O100" s="9">
        <f t="shared" si="8"/>
        <v>6.8641502876402277E-2</v>
      </c>
      <c r="P100" s="10">
        <v>0</v>
      </c>
      <c r="Q100" s="1">
        <f t="shared" si="9"/>
        <v>0</v>
      </c>
      <c r="R100" s="10">
        <v>6</v>
      </c>
      <c r="S100" s="10">
        <v>0</v>
      </c>
      <c r="T100" s="10">
        <v>0</v>
      </c>
      <c r="U100" s="3">
        <v>0</v>
      </c>
      <c r="V100" s="3">
        <v>0</v>
      </c>
      <c r="W100" s="3">
        <v>1</v>
      </c>
      <c r="X100" s="3">
        <v>0</v>
      </c>
      <c r="Y100" s="3">
        <v>0</v>
      </c>
      <c r="Z100" s="3">
        <v>0</v>
      </c>
    </row>
    <row r="101" spans="1:26" ht="26">
      <c r="A101" s="8">
        <v>17245632</v>
      </c>
      <c r="B101" s="8" t="s">
        <v>174</v>
      </c>
      <c r="C101" s="8" t="s">
        <v>35</v>
      </c>
      <c r="D101" s="8" t="s">
        <v>409</v>
      </c>
      <c r="E101" s="8" t="s">
        <v>22</v>
      </c>
      <c r="F101" s="8" t="s">
        <v>38</v>
      </c>
      <c r="G101" s="12" t="s">
        <v>410</v>
      </c>
      <c r="H101" s="7">
        <v>3</v>
      </c>
      <c r="I101" s="1">
        <v>0</v>
      </c>
      <c r="J101" s="4">
        <f t="shared" si="5"/>
        <v>0</v>
      </c>
      <c r="K101" s="5">
        <f t="shared" si="6"/>
        <v>0</v>
      </c>
      <c r="L101" s="2">
        <v>2572302.4230823722</v>
      </c>
      <c r="M101" s="2">
        <v>0</v>
      </c>
      <c r="N101" s="6">
        <f t="shared" si="7"/>
        <v>0</v>
      </c>
      <c r="O101" s="9">
        <f t="shared" si="8"/>
        <v>0</v>
      </c>
      <c r="P101" s="10">
        <v>0</v>
      </c>
      <c r="Q101" s="1">
        <f t="shared" si="9"/>
        <v>0</v>
      </c>
      <c r="R101" s="10">
        <v>5</v>
      </c>
      <c r="S101" s="10">
        <v>0</v>
      </c>
      <c r="T101" s="10">
        <v>0</v>
      </c>
      <c r="U101" s="3">
        <v>0</v>
      </c>
      <c r="V101" s="3">
        <v>0</v>
      </c>
      <c r="W101" s="3">
        <v>0</v>
      </c>
      <c r="X101" s="3">
        <v>1</v>
      </c>
      <c r="Y101" s="3">
        <v>0</v>
      </c>
      <c r="Z101" s="3">
        <v>0</v>
      </c>
    </row>
    <row r="102" spans="1:26" ht="26">
      <c r="A102" s="8">
        <v>17579363</v>
      </c>
      <c r="B102" s="8" t="s">
        <v>175</v>
      </c>
      <c r="C102" s="8" t="s">
        <v>57</v>
      </c>
      <c r="D102" s="8" t="s">
        <v>413</v>
      </c>
      <c r="E102" s="8" t="s">
        <v>26</v>
      </c>
      <c r="F102" s="8" t="s">
        <v>58</v>
      </c>
      <c r="G102" s="12" t="s">
        <v>412</v>
      </c>
      <c r="H102" s="7">
        <v>4.9582725415815601</v>
      </c>
      <c r="I102" s="1">
        <v>0</v>
      </c>
      <c r="J102" s="4">
        <f t="shared" si="5"/>
        <v>0</v>
      </c>
      <c r="K102" s="5">
        <f t="shared" si="6"/>
        <v>0</v>
      </c>
      <c r="L102" s="2">
        <v>10243368.258441061</v>
      </c>
      <c r="M102" s="2">
        <v>0</v>
      </c>
      <c r="N102" s="6">
        <f t="shared" si="7"/>
        <v>0</v>
      </c>
      <c r="O102" s="9">
        <f t="shared" si="8"/>
        <v>0</v>
      </c>
      <c r="P102" s="10">
        <v>0</v>
      </c>
      <c r="Q102" s="1">
        <f t="shared" si="9"/>
        <v>0</v>
      </c>
      <c r="R102" s="10">
        <v>7</v>
      </c>
      <c r="S102" s="10">
        <v>0</v>
      </c>
      <c r="T102" s="10">
        <v>0</v>
      </c>
      <c r="U102" s="3"/>
      <c r="V102" s="3">
        <v>0</v>
      </c>
      <c r="W102" s="3">
        <v>0</v>
      </c>
      <c r="X102" s="3">
        <v>0</v>
      </c>
      <c r="Y102" s="3">
        <v>0</v>
      </c>
      <c r="Z102" s="3">
        <v>1</v>
      </c>
    </row>
    <row r="103" spans="1:26" ht="26">
      <c r="A103" s="8">
        <v>17693806</v>
      </c>
      <c r="B103" s="8" t="s">
        <v>176</v>
      </c>
      <c r="C103" s="8" t="s">
        <v>57</v>
      </c>
      <c r="D103" s="8" t="s">
        <v>413</v>
      </c>
      <c r="E103" s="8" t="s">
        <v>22</v>
      </c>
      <c r="F103" s="8" t="s">
        <v>77</v>
      </c>
      <c r="G103" s="12" t="s">
        <v>412</v>
      </c>
      <c r="H103" s="7">
        <v>6.5077327108257919</v>
      </c>
      <c r="I103" s="1">
        <v>0</v>
      </c>
      <c r="J103" s="1">
        <f t="shared" si="5"/>
        <v>0</v>
      </c>
      <c r="K103" s="5">
        <f t="shared" si="6"/>
        <v>0</v>
      </c>
      <c r="L103" s="2">
        <v>2861729.4484221209</v>
      </c>
      <c r="M103" s="2">
        <v>0</v>
      </c>
      <c r="N103" s="6">
        <f t="shared" si="7"/>
        <v>0</v>
      </c>
      <c r="O103" s="9">
        <f t="shared" si="8"/>
        <v>0</v>
      </c>
      <c r="P103" s="10">
        <v>4</v>
      </c>
      <c r="Q103" s="1">
        <f t="shared" si="9"/>
        <v>1</v>
      </c>
      <c r="R103" s="10">
        <v>9</v>
      </c>
      <c r="S103" s="10">
        <v>0</v>
      </c>
      <c r="T103" s="10">
        <v>0</v>
      </c>
      <c r="U103" s="3">
        <v>1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8">
        <v>17692277</v>
      </c>
      <c r="B104" s="8" t="s">
        <v>177</v>
      </c>
      <c r="C104" s="8" t="s">
        <v>57</v>
      </c>
      <c r="D104" s="8" t="s">
        <v>409</v>
      </c>
      <c r="E104" s="8" t="s">
        <v>22</v>
      </c>
      <c r="F104" s="8" t="s">
        <v>77</v>
      </c>
      <c r="G104" s="12" t="s">
        <v>412</v>
      </c>
      <c r="H104" s="7">
        <v>5</v>
      </c>
      <c r="I104" s="1">
        <v>0</v>
      </c>
      <c r="J104" s="1">
        <f t="shared" si="5"/>
        <v>0</v>
      </c>
      <c r="K104" s="5">
        <f t="shared" si="6"/>
        <v>0</v>
      </c>
      <c r="L104" s="2">
        <v>6438801.4820188954</v>
      </c>
      <c r="M104" s="2">
        <v>0</v>
      </c>
      <c r="N104" s="6">
        <f t="shared" si="7"/>
        <v>0</v>
      </c>
      <c r="O104" s="9">
        <f t="shared" si="8"/>
        <v>0</v>
      </c>
      <c r="P104" s="10">
        <v>0</v>
      </c>
      <c r="Q104" s="1">
        <f t="shared" si="9"/>
        <v>0</v>
      </c>
      <c r="R104" s="10">
        <v>7</v>
      </c>
      <c r="S104" s="10">
        <v>0</v>
      </c>
      <c r="T104" s="10">
        <v>0</v>
      </c>
      <c r="U104" s="3">
        <v>0</v>
      </c>
      <c r="V104" s="3">
        <v>0</v>
      </c>
      <c r="W104" s="3">
        <v>1</v>
      </c>
      <c r="X104" s="3">
        <v>0</v>
      </c>
      <c r="Y104" s="3">
        <v>0</v>
      </c>
      <c r="Z104" s="3">
        <v>0</v>
      </c>
    </row>
    <row r="105" spans="1:26" ht="26">
      <c r="A105" s="8">
        <v>966775</v>
      </c>
      <c r="B105" s="8" t="s">
        <v>178</v>
      </c>
      <c r="C105" s="8" t="s">
        <v>31</v>
      </c>
      <c r="D105" s="8" t="s">
        <v>411</v>
      </c>
      <c r="E105" s="8" t="s">
        <v>22</v>
      </c>
      <c r="F105" s="8" t="s">
        <v>179</v>
      </c>
      <c r="G105" s="12" t="s">
        <v>410</v>
      </c>
      <c r="H105" s="7">
        <v>5</v>
      </c>
      <c r="I105" s="1">
        <v>0</v>
      </c>
      <c r="J105" s="1">
        <f t="shared" si="5"/>
        <v>0</v>
      </c>
      <c r="K105" s="5">
        <f t="shared" si="6"/>
        <v>0</v>
      </c>
      <c r="L105" s="2">
        <v>1233517.793070439</v>
      </c>
      <c r="M105" s="2">
        <v>0</v>
      </c>
      <c r="N105" s="6">
        <f t="shared" si="7"/>
        <v>0</v>
      </c>
      <c r="O105" s="9">
        <f t="shared" si="8"/>
        <v>0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17588929</v>
      </c>
      <c r="B106" s="8" t="s">
        <v>180</v>
      </c>
      <c r="C106" s="8" t="s">
        <v>57</v>
      </c>
      <c r="D106" s="8" t="s">
        <v>413</v>
      </c>
      <c r="E106" s="8" t="s">
        <v>26</v>
      </c>
      <c r="F106" s="8" t="s">
        <v>153</v>
      </c>
      <c r="G106" s="12" t="s">
        <v>412</v>
      </c>
      <c r="H106" s="7">
        <v>13.015465421651569</v>
      </c>
      <c r="I106" s="1">
        <v>0</v>
      </c>
      <c r="J106" s="1">
        <f t="shared" si="5"/>
        <v>0</v>
      </c>
      <c r="K106" s="5">
        <f t="shared" si="6"/>
        <v>0</v>
      </c>
      <c r="L106" s="2">
        <v>11470259.79571476</v>
      </c>
      <c r="M106" s="2">
        <v>0</v>
      </c>
      <c r="N106" s="6">
        <f t="shared" si="7"/>
        <v>0</v>
      </c>
      <c r="O106" s="9">
        <f t="shared" si="8"/>
        <v>0</v>
      </c>
      <c r="P106" s="10">
        <v>3</v>
      </c>
      <c r="Q106" s="1">
        <f t="shared" si="9"/>
        <v>1</v>
      </c>
      <c r="R106" s="10">
        <v>9</v>
      </c>
      <c r="S106" s="10">
        <v>0</v>
      </c>
      <c r="T106" s="10">
        <v>0</v>
      </c>
      <c r="U106" s="3">
        <v>0</v>
      </c>
      <c r="V106" s="3">
        <v>0</v>
      </c>
      <c r="W106" s="3">
        <v>0</v>
      </c>
      <c r="X106" s="3">
        <v>1</v>
      </c>
      <c r="Y106" s="3">
        <v>0</v>
      </c>
      <c r="Z106" s="3">
        <v>0</v>
      </c>
    </row>
    <row r="107" spans="1:26" ht="26">
      <c r="A107" s="8">
        <v>17741887</v>
      </c>
      <c r="B107" s="8" t="s">
        <v>181</v>
      </c>
      <c r="C107" s="8" t="s">
        <v>21</v>
      </c>
      <c r="D107" s="8" t="s">
        <v>413</v>
      </c>
      <c r="E107" s="8" t="s">
        <v>26</v>
      </c>
      <c r="F107" s="8" t="s">
        <v>23</v>
      </c>
      <c r="G107" s="12" t="s">
        <v>410</v>
      </c>
      <c r="H107" s="7">
        <v>10.80908782638182</v>
      </c>
      <c r="I107" s="1">
        <v>0</v>
      </c>
      <c r="J107" s="4">
        <f t="shared" si="5"/>
        <v>0</v>
      </c>
      <c r="K107" s="5">
        <f t="shared" si="6"/>
        <v>0</v>
      </c>
      <c r="L107" s="2">
        <v>6018419.3717715694</v>
      </c>
      <c r="M107" s="2">
        <v>85000</v>
      </c>
      <c r="N107" s="6">
        <f t="shared" si="7"/>
        <v>0</v>
      </c>
      <c r="O107" s="9">
        <f t="shared" si="8"/>
        <v>1.4123309585018097E-2</v>
      </c>
      <c r="P107" s="10">
        <v>0</v>
      </c>
      <c r="Q107" s="1">
        <f t="shared" si="9"/>
        <v>0</v>
      </c>
      <c r="R107" s="10">
        <v>13</v>
      </c>
      <c r="S107" s="10">
        <v>0</v>
      </c>
      <c r="T107" s="10">
        <v>0</v>
      </c>
      <c r="U107" s="3">
        <v>0</v>
      </c>
      <c r="V107" s="3">
        <v>0</v>
      </c>
      <c r="W107" s="3">
        <v>0</v>
      </c>
      <c r="X107" s="3">
        <v>1</v>
      </c>
      <c r="Y107" s="3">
        <v>0</v>
      </c>
      <c r="Z107" s="3">
        <v>0</v>
      </c>
    </row>
    <row r="108" spans="1:26" ht="26">
      <c r="A108" s="8">
        <v>17799029</v>
      </c>
      <c r="B108" s="8" t="s">
        <v>182</v>
      </c>
      <c r="C108" s="8" t="s">
        <v>57</v>
      </c>
      <c r="D108" s="8" t="s">
        <v>409</v>
      </c>
      <c r="E108" s="8" t="s">
        <v>22</v>
      </c>
      <c r="F108" s="8" t="s">
        <v>75</v>
      </c>
      <c r="G108" s="12" t="s">
        <v>412</v>
      </c>
      <c r="H108" s="7">
        <v>28</v>
      </c>
      <c r="I108" s="1">
        <v>0</v>
      </c>
      <c r="J108" s="4">
        <f t="shared" si="5"/>
        <v>0</v>
      </c>
      <c r="K108" s="5">
        <f t="shared" si="6"/>
        <v>0</v>
      </c>
      <c r="L108" s="2">
        <v>3412421.142380618</v>
      </c>
      <c r="M108" s="2">
        <v>0</v>
      </c>
      <c r="N108" s="6">
        <f t="shared" si="7"/>
        <v>0</v>
      </c>
      <c r="O108" s="9">
        <f t="shared" si="8"/>
        <v>0</v>
      </c>
      <c r="P108" s="10">
        <v>0</v>
      </c>
      <c r="Q108" s="1">
        <f t="shared" si="9"/>
        <v>0</v>
      </c>
      <c r="R108" s="10">
        <v>20</v>
      </c>
      <c r="S108" s="10">
        <v>0</v>
      </c>
      <c r="T108" s="10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17571864</v>
      </c>
      <c r="B109" s="8" t="s">
        <v>183</v>
      </c>
      <c r="C109" s="8" t="s">
        <v>21</v>
      </c>
      <c r="D109" s="8" t="s">
        <v>411</v>
      </c>
      <c r="E109" s="8" t="s">
        <v>26</v>
      </c>
      <c r="F109" s="8" t="s">
        <v>184</v>
      </c>
      <c r="G109" s="12" t="s">
        <v>410</v>
      </c>
      <c r="H109" s="7">
        <v>5.4045439131909321</v>
      </c>
      <c r="I109" s="1">
        <v>0</v>
      </c>
      <c r="J109" s="1">
        <f t="shared" si="5"/>
        <v>0</v>
      </c>
      <c r="K109" s="5">
        <f t="shared" si="6"/>
        <v>0</v>
      </c>
      <c r="L109" s="2">
        <v>1233517.793070439</v>
      </c>
      <c r="M109" s="2">
        <v>85000</v>
      </c>
      <c r="N109" s="6">
        <f t="shared" si="7"/>
        <v>0</v>
      </c>
      <c r="O109" s="9">
        <f t="shared" si="8"/>
        <v>6.8908612812483477E-2</v>
      </c>
      <c r="P109" s="10">
        <v>0</v>
      </c>
      <c r="Q109" s="1">
        <f t="shared" si="9"/>
        <v>0</v>
      </c>
      <c r="R109" s="10">
        <v>8</v>
      </c>
      <c r="S109" s="10">
        <v>0</v>
      </c>
      <c r="T109" s="10">
        <v>0</v>
      </c>
      <c r="U109" s="3">
        <v>0</v>
      </c>
      <c r="V109" s="3">
        <v>0</v>
      </c>
      <c r="W109" s="3">
        <v>0</v>
      </c>
      <c r="X109" s="3">
        <v>1</v>
      </c>
      <c r="Y109" s="3">
        <v>0</v>
      </c>
      <c r="Z109" s="3">
        <v>0</v>
      </c>
    </row>
    <row r="110" spans="1:26" ht="26">
      <c r="A110" s="8">
        <v>17664400</v>
      </c>
      <c r="B110" s="8" t="s">
        <v>185</v>
      </c>
      <c r="C110" s="8" t="s">
        <v>21</v>
      </c>
      <c r="D110" s="8" t="s">
        <v>411</v>
      </c>
      <c r="E110" s="8" t="s">
        <v>26</v>
      </c>
      <c r="F110" s="8" t="s">
        <v>184</v>
      </c>
      <c r="G110" s="12" t="s">
        <v>410</v>
      </c>
      <c r="H110" s="7">
        <v>11.84842319430315</v>
      </c>
      <c r="I110" s="1">
        <v>0</v>
      </c>
      <c r="J110" s="4">
        <f t="shared" si="5"/>
        <v>0</v>
      </c>
      <c r="K110" s="5">
        <f t="shared" si="6"/>
        <v>0</v>
      </c>
      <c r="L110" s="2">
        <v>1233517.793070439</v>
      </c>
      <c r="M110" s="2">
        <v>285000</v>
      </c>
      <c r="N110" s="6">
        <f t="shared" si="7"/>
        <v>0</v>
      </c>
      <c r="O110" s="9">
        <f t="shared" si="8"/>
        <v>0.2310465253124446</v>
      </c>
      <c r="P110" s="10">
        <v>0</v>
      </c>
      <c r="Q110" s="1">
        <f t="shared" si="9"/>
        <v>0</v>
      </c>
      <c r="R110" s="10">
        <v>14</v>
      </c>
      <c r="S110" s="10">
        <v>0</v>
      </c>
      <c r="T110" s="10">
        <v>0</v>
      </c>
      <c r="U110" s="3">
        <v>0</v>
      </c>
      <c r="V110" s="3">
        <v>0</v>
      </c>
      <c r="W110" s="3">
        <v>0</v>
      </c>
      <c r="X110" s="3">
        <v>1</v>
      </c>
      <c r="Y110" s="3">
        <v>0</v>
      </c>
      <c r="Z110" s="3">
        <v>0</v>
      </c>
    </row>
    <row r="111" spans="1:26" ht="26">
      <c r="A111" s="8" t="s">
        <v>186</v>
      </c>
      <c r="B111" s="8" t="s">
        <v>187</v>
      </c>
      <c r="C111" s="8" t="s">
        <v>31</v>
      </c>
      <c r="D111" s="8" t="s">
        <v>409</v>
      </c>
      <c r="E111" s="8" t="s">
        <v>22</v>
      </c>
      <c r="F111" s="8" t="s">
        <v>60</v>
      </c>
      <c r="G111" s="12" t="s">
        <v>410</v>
      </c>
      <c r="H111" s="7">
        <v>6.0281451339437124</v>
      </c>
      <c r="I111" s="1">
        <v>4</v>
      </c>
      <c r="J111" s="1">
        <f t="shared" si="5"/>
        <v>1</v>
      </c>
      <c r="K111" s="5">
        <f t="shared" si="6"/>
        <v>0.66355403048883355</v>
      </c>
      <c r="L111" s="2">
        <v>29626053.564346101</v>
      </c>
      <c r="M111" s="2">
        <v>325200</v>
      </c>
      <c r="N111" s="6">
        <f t="shared" si="7"/>
        <v>1</v>
      </c>
      <c r="O111" s="9">
        <f t="shared" si="8"/>
        <v>1.0976824817172633E-2</v>
      </c>
      <c r="P111" s="10">
        <v>1</v>
      </c>
      <c r="Q111" s="1">
        <f t="shared" si="9"/>
        <v>0</v>
      </c>
      <c r="R111" s="10">
        <v>9</v>
      </c>
      <c r="S111" s="10">
        <v>0</v>
      </c>
      <c r="T111" s="10">
        <v>0</v>
      </c>
      <c r="U111" s="3">
        <v>0</v>
      </c>
      <c r="V111" s="3">
        <v>0</v>
      </c>
      <c r="W111" s="3">
        <v>0</v>
      </c>
      <c r="X111" s="3">
        <v>1</v>
      </c>
      <c r="Y111" s="3">
        <v>0</v>
      </c>
      <c r="Z111" s="3">
        <v>0</v>
      </c>
    </row>
    <row r="112" spans="1:26" ht="26">
      <c r="A112" s="8">
        <v>17664125</v>
      </c>
      <c r="B112" s="8" t="s">
        <v>188</v>
      </c>
      <c r="C112" s="8" t="s">
        <v>21</v>
      </c>
      <c r="D112" s="8" t="s">
        <v>411</v>
      </c>
      <c r="E112" s="8" t="s">
        <v>22</v>
      </c>
      <c r="F112" s="8" t="s">
        <v>171</v>
      </c>
      <c r="G112" s="12" t="s">
        <v>410</v>
      </c>
      <c r="H112" s="7">
        <v>5</v>
      </c>
      <c r="I112" s="1">
        <v>0</v>
      </c>
      <c r="J112" s="1">
        <f t="shared" si="5"/>
        <v>0</v>
      </c>
      <c r="K112" s="5">
        <f t="shared" si="6"/>
        <v>0</v>
      </c>
      <c r="L112" s="2">
        <v>1233517.793070439</v>
      </c>
      <c r="M112" s="2">
        <v>132000</v>
      </c>
      <c r="N112" s="6">
        <f t="shared" si="7"/>
        <v>0</v>
      </c>
      <c r="O112" s="9">
        <f t="shared" si="8"/>
        <v>0.10701102224997434</v>
      </c>
      <c r="P112" s="10">
        <v>0</v>
      </c>
      <c r="Q112" s="1">
        <f t="shared" si="9"/>
        <v>0</v>
      </c>
      <c r="R112" s="10">
        <v>7</v>
      </c>
      <c r="S112" s="10">
        <v>0</v>
      </c>
      <c r="T112" s="10">
        <v>0</v>
      </c>
      <c r="U112" s="3">
        <v>0</v>
      </c>
      <c r="V112" s="3">
        <v>0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13" t="s">
        <v>444</v>
      </c>
      <c r="B113" s="13" t="s">
        <v>445</v>
      </c>
      <c r="C113" s="8" t="s">
        <v>21</v>
      </c>
      <c r="D113" s="8" t="s">
        <v>411</v>
      </c>
      <c r="E113" s="8" t="s">
        <v>26</v>
      </c>
      <c r="F113" s="14" t="s">
        <v>53</v>
      </c>
      <c r="G113" s="13" t="s">
        <v>410</v>
      </c>
      <c r="H113" s="7">
        <v>2.7022719565954572</v>
      </c>
      <c r="I113" s="1">
        <v>0</v>
      </c>
      <c r="J113" s="1">
        <f t="shared" si="5"/>
        <v>0</v>
      </c>
      <c r="K113" s="5">
        <f t="shared" si="6"/>
        <v>0</v>
      </c>
      <c r="L113" s="2">
        <v>300000</v>
      </c>
      <c r="M113" s="2">
        <v>170000</v>
      </c>
      <c r="N113" s="6">
        <f t="shared" si="7"/>
        <v>0</v>
      </c>
      <c r="O113" s="9">
        <f t="shared" si="8"/>
        <v>0.56666666666666665</v>
      </c>
      <c r="P113" s="10">
        <v>0</v>
      </c>
      <c r="Q113" s="1">
        <f t="shared" si="9"/>
        <v>0</v>
      </c>
      <c r="R113" s="10">
        <v>5</v>
      </c>
      <c r="S113" s="10">
        <v>0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0</v>
      </c>
      <c r="Z113" s="3">
        <v>0</v>
      </c>
    </row>
    <row r="114" spans="1:26" ht="26">
      <c r="A114" s="13">
        <v>17741675</v>
      </c>
      <c r="B114" s="13" t="s">
        <v>442</v>
      </c>
      <c r="C114" s="8" t="s">
        <v>21</v>
      </c>
      <c r="D114" s="8" t="s">
        <v>411</v>
      </c>
      <c r="E114" s="8" t="s">
        <v>26</v>
      </c>
      <c r="F114" s="14" t="s">
        <v>125</v>
      </c>
      <c r="G114" s="13" t="s">
        <v>410</v>
      </c>
      <c r="H114" s="7">
        <v>2.7022719565954572</v>
      </c>
      <c r="I114" s="1">
        <v>0</v>
      </c>
      <c r="J114" s="1">
        <f t="shared" si="5"/>
        <v>0</v>
      </c>
      <c r="K114" s="5">
        <f t="shared" si="6"/>
        <v>0</v>
      </c>
      <c r="L114" s="2">
        <v>300000</v>
      </c>
      <c r="M114" s="2">
        <v>0</v>
      </c>
      <c r="N114" s="6">
        <f t="shared" si="7"/>
        <v>0</v>
      </c>
      <c r="O114" s="9">
        <f t="shared" si="8"/>
        <v>0</v>
      </c>
      <c r="P114" s="10">
        <v>0</v>
      </c>
      <c r="Q114" s="1">
        <f t="shared" si="9"/>
        <v>0</v>
      </c>
      <c r="R114" s="10">
        <v>5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17133724</v>
      </c>
      <c r="B115" s="8" t="s">
        <v>189</v>
      </c>
      <c r="C115" s="8" t="s">
        <v>25</v>
      </c>
      <c r="D115" s="8" t="s">
        <v>409</v>
      </c>
      <c r="E115" s="8" t="s">
        <v>22</v>
      </c>
      <c r="F115" s="8" t="s">
        <v>71</v>
      </c>
      <c r="G115" s="12" t="s">
        <v>412</v>
      </c>
      <c r="H115" s="7">
        <v>4.6483805077327114</v>
      </c>
      <c r="I115" s="1">
        <v>2</v>
      </c>
      <c r="J115" s="1">
        <f t="shared" si="5"/>
        <v>0</v>
      </c>
      <c r="K115" s="5">
        <f t="shared" si="6"/>
        <v>0.43025737602008784</v>
      </c>
      <c r="L115" s="2">
        <v>3846582.3800694668</v>
      </c>
      <c r="M115" s="2">
        <v>277000</v>
      </c>
      <c r="N115" s="6">
        <f t="shared" si="7"/>
        <v>0</v>
      </c>
      <c r="O115" s="9">
        <f t="shared" si="8"/>
        <v>7.2011976510690912E-2</v>
      </c>
      <c r="P115" s="10">
        <v>2</v>
      </c>
      <c r="Q115" s="1">
        <f t="shared" si="9"/>
        <v>0</v>
      </c>
      <c r="R115" s="10">
        <v>7</v>
      </c>
      <c r="S115" s="10">
        <v>2</v>
      </c>
      <c r="T115" s="10">
        <v>0</v>
      </c>
      <c r="U115" s="3">
        <v>0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17209980</v>
      </c>
      <c r="B116" s="8" t="s">
        <v>190</v>
      </c>
      <c r="C116" s="8" t="s">
        <v>31</v>
      </c>
      <c r="D116" s="8" t="s">
        <v>411</v>
      </c>
      <c r="E116" s="8" t="s">
        <v>22</v>
      </c>
      <c r="F116" s="8" t="s">
        <v>104</v>
      </c>
      <c r="G116" s="12" t="s">
        <v>410</v>
      </c>
      <c r="H116" s="7">
        <v>3</v>
      </c>
      <c r="I116" s="1">
        <v>0</v>
      </c>
      <c r="J116" s="1">
        <f t="shared" si="5"/>
        <v>0</v>
      </c>
      <c r="K116" s="5">
        <f t="shared" si="6"/>
        <v>0</v>
      </c>
      <c r="L116" s="2">
        <v>1233517.793070439</v>
      </c>
      <c r="M116" s="2">
        <v>0</v>
      </c>
      <c r="N116" s="6">
        <f t="shared" si="7"/>
        <v>0</v>
      </c>
      <c r="O116" s="9">
        <f t="shared" si="8"/>
        <v>0</v>
      </c>
      <c r="P116" s="10">
        <v>0</v>
      </c>
      <c r="Q116" s="1">
        <f t="shared" si="9"/>
        <v>0</v>
      </c>
      <c r="R116" s="10">
        <v>5</v>
      </c>
      <c r="S116" s="10">
        <v>0</v>
      </c>
      <c r="T116" s="10">
        <v>0</v>
      </c>
      <c r="U116" s="3">
        <v>0</v>
      </c>
      <c r="V116" s="3">
        <v>0</v>
      </c>
      <c r="W116" s="3">
        <v>0</v>
      </c>
      <c r="X116" s="3">
        <v>0</v>
      </c>
      <c r="Y116" s="3">
        <v>1</v>
      </c>
      <c r="Z116" s="3">
        <v>0</v>
      </c>
    </row>
    <row r="117" spans="1:26" ht="26">
      <c r="A117" s="8">
        <v>17754764</v>
      </c>
      <c r="B117" s="8" t="s">
        <v>191</v>
      </c>
      <c r="C117" s="8" t="s">
        <v>25</v>
      </c>
      <c r="D117" s="8" t="s">
        <v>411</v>
      </c>
      <c r="E117" s="8" t="s">
        <v>26</v>
      </c>
      <c r="F117" s="8" t="s">
        <v>71</v>
      </c>
      <c r="G117" s="12" t="s">
        <v>412</v>
      </c>
      <c r="H117" s="7">
        <v>5</v>
      </c>
      <c r="I117" s="1">
        <v>0</v>
      </c>
      <c r="J117" s="1">
        <f t="shared" si="5"/>
        <v>0</v>
      </c>
      <c r="K117" s="5">
        <f t="shared" si="6"/>
        <v>0</v>
      </c>
      <c r="L117" s="2">
        <v>8987209.4417036269</v>
      </c>
      <c r="M117" s="2">
        <v>300000</v>
      </c>
      <c r="N117" s="6">
        <f t="shared" si="7"/>
        <v>1</v>
      </c>
      <c r="O117" s="9">
        <f t="shared" si="8"/>
        <v>3.3380773191720746E-2</v>
      </c>
      <c r="P117" s="10">
        <v>0</v>
      </c>
      <c r="Q117" s="1">
        <f t="shared" si="9"/>
        <v>0</v>
      </c>
      <c r="R117" s="10">
        <v>7</v>
      </c>
      <c r="S117" s="10">
        <v>0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17766037</v>
      </c>
      <c r="B118" s="8" t="s">
        <v>192</v>
      </c>
      <c r="C118" s="8" t="s">
        <v>21</v>
      </c>
      <c r="D118" s="8" t="s">
        <v>411</v>
      </c>
      <c r="E118" s="8" t="s">
        <v>22</v>
      </c>
      <c r="F118" s="8" t="s">
        <v>193</v>
      </c>
      <c r="G118" s="12" t="s">
        <v>410</v>
      </c>
      <c r="H118" s="7">
        <v>5.8202780603594357</v>
      </c>
      <c r="I118" s="1">
        <v>0</v>
      </c>
      <c r="J118" s="4">
        <f t="shared" si="5"/>
        <v>0</v>
      </c>
      <c r="K118" s="5">
        <f t="shared" si="6"/>
        <v>0</v>
      </c>
      <c r="L118" s="2">
        <v>1233517.793070439</v>
      </c>
      <c r="M118" s="2">
        <v>170000</v>
      </c>
      <c r="N118" s="6">
        <f t="shared" si="7"/>
        <v>0</v>
      </c>
      <c r="O118" s="9">
        <f t="shared" si="8"/>
        <v>0.13781722562496695</v>
      </c>
      <c r="P118" s="10">
        <v>0</v>
      </c>
      <c r="Q118" s="1">
        <f t="shared" si="9"/>
        <v>0</v>
      </c>
      <c r="R118" s="10">
        <v>8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17259641</v>
      </c>
      <c r="B119" s="8" t="s">
        <v>194</v>
      </c>
      <c r="C119" s="27" t="s">
        <v>57</v>
      </c>
      <c r="D119" s="8" t="s">
        <v>413</v>
      </c>
      <c r="E119" s="8" t="s">
        <v>26</v>
      </c>
      <c r="F119" s="8" t="s">
        <v>29</v>
      </c>
      <c r="G119" s="12" t="s">
        <v>412</v>
      </c>
      <c r="H119" s="7">
        <v>8.676976947767713</v>
      </c>
      <c r="I119" s="1">
        <v>0</v>
      </c>
      <c r="J119" s="1">
        <f t="shared" si="5"/>
        <v>0</v>
      </c>
      <c r="K119" s="5">
        <f t="shared" si="6"/>
        <v>0</v>
      </c>
      <c r="L119" s="2">
        <v>5800307.9496692214</v>
      </c>
      <c r="M119" s="2">
        <v>3133000</v>
      </c>
      <c r="N119" s="6">
        <f t="shared" si="7"/>
        <v>1</v>
      </c>
      <c r="O119" s="9">
        <f t="shared" si="8"/>
        <v>0.54014373498542745</v>
      </c>
      <c r="P119" s="10">
        <v>0</v>
      </c>
      <c r="Q119" s="1">
        <f t="shared" si="9"/>
        <v>0</v>
      </c>
      <c r="R119" s="10">
        <v>11</v>
      </c>
      <c r="S119" s="10">
        <v>0</v>
      </c>
      <c r="T119" s="10">
        <v>0</v>
      </c>
      <c r="U119" s="3">
        <v>1</v>
      </c>
      <c r="V119" s="3">
        <v>1</v>
      </c>
      <c r="W119" s="3">
        <v>1</v>
      </c>
      <c r="X119" s="3">
        <v>1</v>
      </c>
      <c r="Y119" s="3">
        <v>1</v>
      </c>
      <c r="Z119" s="3">
        <v>1</v>
      </c>
    </row>
    <row r="120" spans="1:26" ht="26">
      <c r="A120" s="8">
        <v>17679733</v>
      </c>
      <c r="B120" s="8" t="s">
        <v>195</v>
      </c>
      <c r="C120" s="8" t="s">
        <v>31</v>
      </c>
      <c r="D120" s="8" t="s">
        <v>409</v>
      </c>
      <c r="E120" s="8" t="s">
        <v>26</v>
      </c>
      <c r="F120" s="8" t="s">
        <v>32</v>
      </c>
      <c r="G120" s="12" t="s">
        <v>410</v>
      </c>
      <c r="H120" s="7">
        <v>21.202441505595129</v>
      </c>
      <c r="I120" s="1">
        <v>0</v>
      </c>
      <c r="J120" s="4">
        <f t="shared" si="5"/>
        <v>0</v>
      </c>
      <c r="K120" s="5">
        <f t="shared" si="6"/>
        <v>0</v>
      </c>
      <c r="L120" s="2">
        <v>2549477.9785796599</v>
      </c>
      <c r="M120" s="2">
        <v>302400</v>
      </c>
      <c r="N120" s="6">
        <f t="shared" si="7"/>
        <v>1</v>
      </c>
      <c r="O120" s="9">
        <f t="shared" si="8"/>
        <v>0.11861251697042315</v>
      </c>
      <c r="P120" s="10">
        <v>0</v>
      </c>
      <c r="Q120" s="1">
        <f t="shared" si="9"/>
        <v>0</v>
      </c>
      <c r="R120" s="10">
        <v>13</v>
      </c>
      <c r="S120" s="10">
        <v>0</v>
      </c>
      <c r="T120" s="10">
        <v>0</v>
      </c>
      <c r="U120" s="3">
        <v>0</v>
      </c>
      <c r="V120" s="3">
        <v>0</v>
      </c>
      <c r="W120" s="3">
        <v>0</v>
      </c>
      <c r="X120" s="3">
        <v>1</v>
      </c>
      <c r="Y120" s="3">
        <v>0</v>
      </c>
      <c r="Z120" s="3">
        <v>0</v>
      </c>
    </row>
    <row r="121" spans="1:26" ht="26">
      <c r="A121" s="8">
        <v>17255305</v>
      </c>
      <c r="B121" s="8" t="s">
        <v>196</v>
      </c>
      <c r="C121" s="8" t="s">
        <v>21</v>
      </c>
      <c r="D121" s="8" t="s">
        <v>409</v>
      </c>
      <c r="E121" s="8" t="s">
        <v>22</v>
      </c>
      <c r="F121" s="8" t="s">
        <v>125</v>
      </c>
      <c r="G121" s="12" t="s">
        <v>410</v>
      </c>
      <c r="H121" s="7">
        <v>5</v>
      </c>
      <c r="I121" s="1">
        <v>0</v>
      </c>
      <c r="J121" s="1">
        <f t="shared" si="5"/>
        <v>0</v>
      </c>
      <c r="K121" s="5">
        <f t="shared" si="6"/>
        <v>0</v>
      </c>
      <c r="L121" s="2">
        <v>29626053.564346101</v>
      </c>
      <c r="M121" s="2">
        <v>0</v>
      </c>
      <c r="N121" s="6">
        <f t="shared" si="7"/>
        <v>0</v>
      </c>
      <c r="O121" s="9">
        <f t="shared" si="8"/>
        <v>0</v>
      </c>
      <c r="P121" s="10">
        <v>0</v>
      </c>
      <c r="Q121" s="1">
        <f t="shared" si="9"/>
        <v>0</v>
      </c>
      <c r="R121" s="10">
        <v>7</v>
      </c>
      <c r="S121" s="10">
        <v>0</v>
      </c>
      <c r="T121" s="10">
        <v>0</v>
      </c>
      <c r="U121" s="3">
        <v>1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</row>
    <row r="122" spans="1:26" ht="26">
      <c r="A122" s="8">
        <v>17664687</v>
      </c>
      <c r="B122" s="8" t="s">
        <v>197</v>
      </c>
      <c r="C122" s="8" t="s">
        <v>21</v>
      </c>
      <c r="D122" s="8" t="s">
        <v>411</v>
      </c>
      <c r="E122" s="8" t="s">
        <v>22</v>
      </c>
      <c r="F122" s="8" t="s">
        <v>198</v>
      </c>
      <c r="G122" s="12" t="s">
        <v>410</v>
      </c>
      <c r="H122" s="7">
        <v>6.0281451339437124</v>
      </c>
      <c r="I122" s="1">
        <v>0</v>
      </c>
      <c r="J122" s="1">
        <f t="shared" si="5"/>
        <v>0</v>
      </c>
      <c r="K122" s="5">
        <f t="shared" si="6"/>
        <v>0</v>
      </c>
      <c r="L122" s="2">
        <v>1233517.793070439</v>
      </c>
      <c r="M122" s="2">
        <v>0</v>
      </c>
      <c r="N122" s="6">
        <f t="shared" si="7"/>
        <v>0</v>
      </c>
      <c r="O122" s="9">
        <f t="shared" si="8"/>
        <v>0</v>
      </c>
      <c r="P122" s="10">
        <v>0</v>
      </c>
      <c r="Q122" s="1">
        <f t="shared" si="9"/>
        <v>0</v>
      </c>
      <c r="R122" s="10">
        <v>9</v>
      </c>
      <c r="S122" s="10">
        <v>0</v>
      </c>
      <c r="T122" s="10">
        <v>0</v>
      </c>
      <c r="U122" s="3">
        <v>1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1546472</v>
      </c>
      <c r="B123" s="8" t="s">
        <v>199</v>
      </c>
      <c r="C123" s="8" t="s">
        <v>21</v>
      </c>
      <c r="D123" s="8" t="s">
        <v>409</v>
      </c>
      <c r="E123" s="8" t="s">
        <v>22</v>
      </c>
      <c r="F123" s="8" t="s">
        <v>108</v>
      </c>
      <c r="G123" s="12" t="s">
        <v>410</v>
      </c>
      <c r="H123" s="7">
        <v>5</v>
      </c>
      <c r="I123" s="1">
        <v>0</v>
      </c>
      <c r="J123" s="1">
        <f t="shared" si="5"/>
        <v>0</v>
      </c>
      <c r="K123" s="5">
        <f t="shared" si="6"/>
        <v>0</v>
      </c>
      <c r="L123" s="2">
        <v>2905564.257570155</v>
      </c>
      <c r="M123" s="2">
        <v>300000</v>
      </c>
      <c r="N123" s="6">
        <f t="shared" si="7"/>
        <v>1</v>
      </c>
      <c r="O123" s="9">
        <f t="shared" si="8"/>
        <v>0.10325016878163346</v>
      </c>
      <c r="P123" s="10">
        <v>0</v>
      </c>
      <c r="Q123" s="1">
        <f t="shared" si="9"/>
        <v>0</v>
      </c>
      <c r="R123" s="10">
        <v>7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>
        <v>17666078</v>
      </c>
      <c r="B124" s="8" t="s">
        <v>200</v>
      </c>
      <c r="C124" s="8" t="s">
        <v>25</v>
      </c>
      <c r="D124" s="8" t="s">
        <v>409</v>
      </c>
      <c r="E124" s="8" t="s">
        <v>22</v>
      </c>
      <c r="F124" s="8" t="s">
        <v>201</v>
      </c>
      <c r="G124" s="12" t="s">
        <v>412</v>
      </c>
      <c r="H124" s="7">
        <v>5.8879486431280963</v>
      </c>
      <c r="I124" s="1">
        <v>0</v>
      </c>
      <c r="J124" s="1">
        <f t="shared" si="5"/>
        <v>0</v>
      </c>
      <c r="K124" s="5">
        <f t="shared" si="6"/>
        <v>0</v>
      </c>
      <c r="L124" s="2">
        <v>2151055.2636527219</v>
      </c>
      <c r="M124" s="2">
        <v>566000</v>
      </c>
      <c r="N124" s="6">
        <f t="shared" si="7"/>
        <v>1</v>
      </c>
      <c r="O124" s="9">
        <f t="shared" si="8"/>
        <v>0.26312666604337792</v>
      </c>
      <c r="P124" s="10">
        <v>0</v>
      </c>
      <c r="Q124" s="1">
        <f t="shared" si="9"/>
        <v>0</v>
      </c>
      <c r="R124" s="10">
        <v>8</v>
      </c>
      <c r="S124" s="10">
        <v>1</v>
      </c>
      <c r="T124" s="10">
        <v>1</v>
      </c>
      <c r="U124" s="3">
        <v>1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>
        <v>17723382</v>
      </c>
      <c r="B125" s="8" t="s">
        <v>202</v>
      </c>
      <c r="C125" s="8" t="s">
        <v>21</v>
      </c>
      <c r="D125" s="8" t="s">
        <v>411</v>
      </c>
      <c r="E125" s="8" t="s">
        <v>26</v>
      </c>
      <c r="F125" s="8" t="s">
        <v>125</v>
      </c>
      <c r="G125" s="12" t="s">
        <v>410</v>
      </c>
      <c r="H125" s="7">
        <v>3</v>
      </c>
      <c r="I125" s="1">
        <v>0</v>
      </c>
      <c r="J125" s="1">
        <f t="shared" si="5"/>
        <v>0</v>
      </c>
      <c r="K125" s="5">
        <f t="shared" si="6"/>
        <v>0</v>
      </c>
      <c r="L125" s="2">
        <v>1233517.793070439</v>
      </c>
      <c r="M125" s="2">
        <v>0</v>
      </c>
      <c r="N125" s="6">
        <f t="shared" si="7"/>
        <v>0</v>
      </c>
      <c r="O125" s="9">
        <f t="shared" si="8"/>
        <v>0</v>
      </c>
      <c r="P125" s="10">
        <v>0</v>
      </c>
      <c r="Q125" s="1">
        <f t="shared" si="9"/>
        <v>0</v>
      </c>
      <c r="R125" s="10">
        <v>5</v>
      </c>
      <c r="S125" s="10">
        <v>0</v>
      </c>
      <c r="T125" s="10">
        <v>0</v>
      </c>
      <c r="U125" s="3">
        <v>1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9.5618853848762093</v>
      </c>
      <c r="I126" s="1">
        <v>0</v>
      </c>
      <c r="J126" s="1">
        <f t="shared" si="5"/>
        <v>0</v>
      </c>
      <c r="K126" s="5">
        <f t="shared" si="6"/>
        <v>0</v>
      </c>
      <c r="L126" s="2">
        <v>22463880</v>
      </c>
      <c r="M126" s="2">
        <v>338000</v>
      </c>
      <c r="N126" s="6">
        <f t="shared" si="7"/>
        <v>1</v>
      </c>
      <c r="O126" s="9">
        <f t="shared" si="8"/>
        <v>1.5046376672240059E-2</v>
      </c>
      <c r="P126" s="10">
        <v>0</v>
      </c>
      <c r="Q126" s="1">
        <f t="shared" si="9"/>
        <v>0</v>
      </c>
      <c r="R126" s="10">
        <v>12</v>
      </c>
      <c r="S126" s="10">
        <v>0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0</v>
      </c>
      <c r="Z126" s="3">
        <v>1</v>
      </c>
    </row>
    <row r="127" spans="1:26" ht="26">
      <c r="A127" s="8">
        <v>17407927</v>
      </c>
      <c r="B127" s="8" t="s">
        <v>204</v>
      </c>
      <c r="C127" s="8" t="s">
        <v>57</v>
      </c>
      <c r="D127" s="8" t="s">
        <v>409</v>
      </c>
      <c r="E127" s="8" t="s">
        <v>22</v>
      </c>
      <c r="F127" s="8" t="s">
        <v>205</v>
      </c>
      <c r="G127" s="12" t="s">
        <v>412</v>
      </c>
      <c r="H127" s="7">
        <v>5.8879486431280963</v>
      </c>
      <c r="I127" s="1">
        <v>0</v>
      </c>
      <c r="J127" s="4">
        <f t="shared" si="5"/>
        <v>0</v>
      </c>
      <c r="K127" s="5">
        <f t="shared" si="6"/>
        <v>0</v>
      </c>
      <c r="L127" s="2">
        <v>3484422.240938616</v>
      </c>
      <c r="M127" s="2">
        <v>0</v>
      </c>
      <c r="N127" s="6">
        <f t="shared" si="7"/>
        <v>0</v>
      </c>
      <c r="O127" s="9">
        <f t="shared" si="8"/>
        <v>0</v>
      </c>
      <c r="P127" s="10">
        <v>0</v>
      </c>
      <c r="Q127" s="1">
        <f t="shared" si="9"/>
        <v>0</v>
      </c>
      <c r="R127" s="10">
        <v>8</v>
      </c>
      <c r="S127" s="10">
        <v>0</v>
      </c>
      <c r="T127" s="10">
        <v>0</v>
      </c>
      <c r="U127" s="3">
        <v>0</v>
      </c>
      <c r="V127" s="3">
        <v>0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 t="s">
        <v>398</v>
      </c>
      <c r="B128" s="8" t="s">
        <v>402</v>
      </c>
      <c r="C128" s="8" t="s">
        <v>25</v>
      </c>
      <c r="D128" s="8" t="s">
        <v>409</v>
      </c>
      <c r="E128" s="8" t="s">
        <v>22</v>
      </c>
      <c r="F128" s="8" t="s">
        <v>29</v>
      </c>
      <c r="G128" s="12" t="s">
        <v>412</v>
      </c>
      <c r="H128" s="7">
        <v>5.5780566092792494</v>
      </c>
      <c r="I128" s="1">
        <v>5</v>
      </c>
      <c r="J128" s="4">
        <f t="shared" si="5"/>
        <v>1</v>
      </c>
      <c r="K128" s="5">
        <f t="shared" si="6"/>
        <v>0.89636953337518366</v>
      </c>
      <c r="L128" s="2">
        <v>11830444.84236645</v>
      </c>
      <c r="M128" s="2">
        <v>659000</v>
      </c>
      <c r="N128" s="6">
        <f t="shared" si="7"/>
        <v>1</v>
      </c>
      <c r="O128" s="9">
        <f t="shared" si="8"/>
        <v>5.5703738006539737E-2</v>
      </c>
      <c r="P128" s="10">
        <v>0</v>
      </c>
      <c r="Q128" s="1">
        <f t="shared" si="9"/>
        <v>0</v>
      </c>
      <c r="R128" s="10">
        <v>8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1</v>
      </c>
    </row>
    <row r="129" spans="1:26" ht="26">
      <c r="A129" s="8">
        <v>507357</v>
      </c>
      <c r="B129" s="8" t="s">
        <v>206</v>
      </c>
      <c r="C129" s="8" t="s">
        <v>31</v>
      </c>
      <c r="D129" s="8" t="s">
        <v>411</v>
      </c>
      <c r="E129" s="8" t="s">
        <v>26</v>
      </c>
      <c r="F129" s="8" t="s">
        <v>65</v>
      </c>
      <c r="G129" s="12" t="s">
        <v>410</v>
      </c>
      <c r="H129" s="7">
        <v>5.8202780603594357</v>
      </c>
      <c r="I129" s="1">
        <v>0</v>
      </c>
      <c r="J129" s="1">
        <f t="shared" si="5"/>
        <v>0</v>
      </c>
      <c r="K129" s="5">
        <f t="shared" si="6"/>
        <v>0</v>
      </c>
      <c r="L129" s="2">
        <v>1233517.793070439</v>
      </c>
      <c r="M129" s="2">
        <v>218400</v>
      </c>
      <c r="N129" s="6">
        <f t="shared" si="7"/>
        <v>0</v>
      </c>
      <c r="O129" s="9">
        <f t="shared" si="8"/>
        <v>0.17705460044995755</v>
      </c>
      <c r="P129" s="10">
        <v>0</v>
      </c>
      <c r="Q129" s="1">
        <f t="shared" si="9"/>
        <v>0</v>
      </c>
      <c r="R129" s="10">
        <v>8</v>
      </c>
      <c r="S129" s="10">
        <v>0</v>
      </c>
      <c r="T129" s="10">
        <v>0</v>
      </c>
      <c r="U129" s="3">
        <v>1</v>
      </c>
      <c r="V129" s="3">
        <v>0</v>
      </c>
      <c r="W129" s="3">
        <v>0</v>
      </c>
      <c r="X129" s="3">
        <v>0</v>
      </c>
      <c r="Y129" s="3">
        <v>0</v>
      </c>
      <c r="Z129" s="3">
        <v>1</v>
      </c>
    </row>
    <row r="130" spans="1:26" ht="26">
      <c r="A130" s="8">
        <v>17635487</v>
      </c>
      <c r="B130" s="8" t="s">
        <v>207</v>
      </c>
      <c r="C130" s="8" t="s">
        <v>57</v>
      </c>
      <c r="D130" s="8" t="s">
        <v>411</v>
      </c>
      <c r="E130" s="8" t="s">
        <v>26</v>
      </c>
      <c r="F130" s="8" t="s">
        <v>58</v>
      </c>
      <c r="G130" s="12" t="s">
        <v>412</v>
      </c>
      <c r="H130" s="7">
        <v>5.8879486431281034</v>
      </c>
      <c r="I130" s="1">
        <v>0</v>
      </c>
      <c r="J130" s="4">
        <f t="shared" si="5"/>
        <v>0</v>
      </c>
      <c r="K130" s="5">
        <f t="shared" si="6"/>
        <v>0</v>
      </c>
      <c r="L130" s="2">
        <v>2545714.651758614</v>
      </c>
      <c r="M130" s="2">
        <v>0</v>
      </c>
      <c r="N130" s="6">
        <f t="shared" si="7"/>
        <v>0</v>
      </c>
      <c r="O130" s="9">
        <f t="shared" si="8"/>
        <v>0</v>
      </c>
      <c r="P130" s="10">
        <v>0</v>
      </c>
      <c r="Q130" s="1">
        <f t="shared" si="9"/>
        <v>0</v>
      </c>
      <c r="R130" s="10">
        <v>8</v>
      </c>
      <c r="S130" s="10">
        <v>0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1448552</v>
      </c>
      <c r="B131" s="8" t="s">
        <v>208</v>
      </c>
      <c r="C131" s="8" t="s">
        <v>57</v>
      </c>
      <c r="D131" s="8" t="s">
        <v>409</v>
      </c>
      <c r="E131" s="8" t="s">
        <v>22</v>
      </c>
      <c r="F131" s="8" t="s">
        <v>75</v>
      </c>
      <c r="G131" s="12" t="s">
        <v>412</v>
      </c>
      <c r="H131" s="7">
        <v>5.2681645754304078</v>
      </c>
      <c r="I131" s="1">
        <v>0</v>
      </c>
      <c r="J131" s="4">
        <f t="shared" si="5"/>
        <v>0</v>
      </c>
      <c r="K131" s="5">
        <f t="shared" si="6"/>
        <v>0</v>
      </c>
      <c r="L131" s="2">
        <v>3823060.8241814319</v>
      </c>
      <c r="M131" s="2">
        <v>0</v>
      </c>
      <c r="N131" s="6">
        <f t="shared" si="7"/>
        <v>0</v>
      </c>
      <c r="O131" s="9">
        <f t="shared" si="8"/>
        <v>0</v>
      </c>
      <c r="P131" s="10">
        <v>0</v>
      </c>
      <c r="Q131" s="1">
        <f t="shared" si="9"/>
        <v>0</v>
      </c>
      <c r="R131" s="10">
        <v>8</v>
      </c>
      <c r="S131" s="10">
        <v>0</v>
      </c>
      <c r="T131" s="10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1</v>
      </c>
    </row>
    <row r="132" spans="1:26" ht="26">
      <c r="A132" s="8">
        <v>504933</v>
      </c>
      <c r="B132" s="8" t="s">
        <v>209</v>
      </c>
      <c r="C132" s="8" t="s">
        <v>31</v>
      </c>
      <c r="D132" s="8" t="s">
        <v>409</v>
      </c>
      <c r="E132" s="8" t="s">
        <v>22</v>
      </c>
      <c r="F132" s="8" t="s">
        <v>102</v>
      </c>
      <c r="G132" s="12" t="s">
        <v>410</v>
      </c>
      <c r="H132" s="7">
        <v>5</v>
      </c>
      <c r="I132" s="1">
        <v>0</v>
      </c>
      <c r="J132" s="1">
        <f t="shared" si="5"/>
        <v>0</v>
      </c>
      <c r="K132" s="5">
        <f t="shared" si="6"/>
        <v>0</v>
      </c>
      <c r="L132" s="2">
        <v>22463880</v>
      </c>
      <c r="M132" s="2">
        <v>1500000</v>
      </c>
      <c r="N132" s="6">
        <f t="shared" si="7"/>
        <v>1</v>
      </c>
      <c r="O132" s="9">
        <f t="shared" si="8"/>
        <v>6.6773860971479554E-2</v>
      </c>
      <c r="P132" s="10">
        <v>0</v>
      </c>
      <c r="Q132" s="1">
        <f t="shared" si="9"/>
        <v>0</v>
      </c>
      <c r="R132" s="10">
        <v>7</v>
      </c>
      <c r="S132" s="10">
        <v>0</v>
      </c>
      <c r="T132" s="10">
        <v>0</v>
      </c>
      <c r="U132" s="3">
        <v>0</v>
      </c>
      <c r="V132" s="3">
        <v>1</v>
      </c>
      <c r="W132" s="3">
        <v>0</v>
      </c>
      <c r="X132" s="3">
        <v>0</v>
      </c>
      <c r="Y132" s="3">
        <v>0</v>
      </c>
      <c r="Z132" s="3">
        <v>1</v>
      </c>
    </row>
    <row r="133" spans="1:26" ht="26">
      <c r="A133" s="8">
        <v>1370953</v>
      </c>
      <c r="B133" s="8" t="s">
        <v>210</v>
      </c>
      <c r="C133" s="8" t="s">
        <v>31</v>
      </c>
      <c r="D133" s="8" t="s">
        <v>411</v>
      </c>
      <c r="E133" s="8" t="s">
        <v>22</v>
      </c>
      <c r="F133" s="8" t="s">
        <v>102</v>
      </c>
      <c r="G133" s="12" t="s">
        <v>410</v>
      </c>
      <c r="H133" s="7">
        <v>3</v>
      </c>
      <c r="I133" s="1">
        <v>0</v>
      </c>
      <c r="J133" s="1">
        <f t="shared" si="5"/>
        <v>0</v>
      </c>
      <c r="K133" s="5">
        <f t="shared" si="6"/>
        <v>0</v>
      </c>
      <c r="L133" s="2">
        <v>1233517.793070439</v>
      </c>
      <c r="M133" s="2">
        <v>116400</v>
      </c>
      <c r="N133" s="6">
        <f t="shared" si="7"/>
        <v>0</v>
      </c>
      <c r="O133" s="9">
        <f t="shared" si="8"/>
        <v>9.4364265074977374E-2</v>
      </c>
      <c r="P133" s="10">
        <v>0</v>
      </c>
      <c r="Q133" s="1">
        <f t="shared" si="9"/>
        <v>0</v>
      </c>
      <c r="R133" s="10">
        <v>5</v>
      </c>
      <c r="S133" s="10">
        <v>0</v>
      </c>
      <c r="T133" s="10">
        <v>0</v>
      </c>
      <c r="U133" s="3">
        <v>0</v>
      </c>
      <c r="V133" s="3">
        <v>1</v>
      </c>
      <c r="W133" s="3">
        <v>0</v>
      </c>
      <c r="X133" s="3">
        <v>0</v>
      </c>
      <c r="Y133" s="3">
        <v>0</v>
      </c>
      <c r="Z133" s="3">
        <v>1</v>
      </c>
    </row>
    <row r="134" spans="1:26" ht="26">
      <c r="A134" s="8">
        <v>17774309</v>
      </c>
      <c r="B134" s="8" t="s">
        <v>211</v>
      </c>
      <c r="C134" s="8" t="s">
        <v>25</v>
      </c>
      <c r="D134" s="8" t="s">
        <v>411</v>
      </c>
      <c r="E134" s="8" t="s">
        <v>26</v>
      </c>
      <c r="F134" s="8" t="s">
        <v>48</v>
      </c>
      <c r="G134" s="12" t="s">
        <v>412</v>
      </c>
      <c r="H134" s="7">
        <v>7.747300846221199</v>
      </c>
      <c r="I134" s="1">
        <v>0</v>
      </c>
      <c r="J134" s="1">
        <f t="shared" ref="J134:J197" si="10">IF(I134&gt;=3,1,0)</f>
        <v>0</v>
      </c>
      <c r="K134" s="5">
        <f t="shared" ref="K134:K197" si="11">I134/H134</f>
        <v>0</v>
      </c>
      <c r="L134" s="2">
        <v>20436102.327871229</v>
      </c>
      <c r="M134" s="2">
        <v>2350000</v>
      </c>
      <c r="N134" s="6">
        <f t="shared" ref="N134:N197" si="12">IF(M134&gt;=300000,1,0)</f>
        <v>1</v>
      </c>
      <c r="O134" s="9">
        <f t="shared" ref="O134:O197" si="13">M134/L134</f>
        <v>0.114992573549361</v>
      </c>
      <c r="P134" s="10">
        <v>0</v>
      </c>
      <c r="Q134" s="1">
        <f t="shared" ref="Q134:Q197" si="14">IF(P134&gt;=3,1,0)</f>
        <v>0</v>
      </c>
      <c r="R134" s="10">
        <v>10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1</v>
      </c>
    </row>
    <row r="135" spans="1:26" ht="26">
      <c r="A135" s="8">
        <v>17746582</v>
      </c>
      <c r="B135" s="8" t="s">
        <v>212</v>
      </c>
      <c r="C135" s="8" t="s">
        <v>21</v>
      </c>
      <c r="D135" s="8" t="s">
        <v>413</v>
      </c>
      <c r="E135" s="8" t="s">
        <v>26</v>
      </c>
      <c r="F135" s="8" t="s">
        <v>108</v>
      </c>
      <c r="G135" s="12" t="s">
        <v>410</v>
      </c>
      <c r="H135" s="7">
        <v>3</v>
      </c>
      <c r="I135" s="1">
        <v>0</v>
      </c>
      <c r="J135" s="4">
        <f t="shared" si="10"/>
        <v>0</v>
      </c>
      <c r="K135" s="5">
        <f t="shared" si="11"/>
        <v>0</v>
      </c>
      <c r="L135" s="2">
        <v>6018419.3717715694</v>
      </c>
      <c r="M135" s="2">
        <v>170000</v>
      </c>
      <c r="N135" s="6">
        <f t="shared" si="12"/>
        <v>0</v>
      </c>
      <c r="O135" s="9">
        <f t="shared" si="13"/>
        <v>2.8246619170036194E-2</v>
      </c>
      <c r="P135" s="10">
        <v>0</v>
      </c>
      <c r="Q135" s="1">
        <f t="shared" si="14"/>
        <v>0</v>
      </c>
      <c r="R135" s="10">
        <v>5</v>
      </c>
      <c r="S135" s="10">
        <v>0</v>
      </c>
      <c r="T135" s="10">
        <v>0</v>
      </c>
      <c r="U135" s="3">
        <v>0</v>
      </c>
      <c r="V135" s="3">
        <v>0</v>
      </c>
      <c r="W135" s="3">
        <v>1</v>
      </c>
      <c r="X135" s="3">
        <v>0</v>
      </c>
      <c r="Y135" s="3">
        <v>0</v>
      </c>
      <c r="Z135" s="3">
        <v>0</v>
      </c>
    </row>
    <row r="136" spans="1:26" ht="26">
      <c r="A136" s="8">
        <v>17546493</v>
      </c>
      <c r="B136" s="8" t="s">
        <v>213</v>
      </c>
      <c r="C136" s="8" t="s">
        <v>35</v>
      </c>
      <c r="D136" s="8" t="s">
        <v>409</v>
      </c>
      <c r="E136" s="8" t="s">
        <v>22</v>
      </c>
      <c r="F136" s="8" t="s">
        <v>60</v>
      </c>
      <c r="G136" s="12" t="s">
        <v>410</v>
      </c>
      <c r="H136" s="7">
        <v>4.7809426924381153</v>
      </c>
      <c r="I136" s="1">
        <v>0</v>
      </c>
      <c r="J136" s="4">
        <f t="shared" si="10"/>
        <v>0</v>
      </c>
      <c r="K136" s="5">
        <f t="shared" si="11"/>
        <v>0</v>
      </c>
      <c r="L136" s="2">
        <v>2549477.9785796599</v>
      </c>
      <c r="M136" s="2">
        <v>3151000</v>
      </c>
      <c r="N136" s="6">
        <f t="shared" si="12"/>
        <v>1</v>
      </c>
      <c r="O136" s="9">
        <f t="shared" si="13"/>
        <v>1.2359392889345349</v>
      </c>
      <c r="P136" s="10">
        <v>0</v>
      </c>
      <c r="Q136" s="1">
        <f t="shared" si="14"/>
        <v>0</v>
      </c>
      <c r="R136" s="10">
        <v>7</v>
      </c>
      <c r="S136" s="10">
        <v>0</v>
      </c>
      <c r="T136" s="10">
        <v>0</v>
      </c>
      <c r="U136" s="3">
        <v>1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17588948</v>
      </c>
      <c r="B137" s="8" t="s">
        <v>214</v>
      </c>
      <c r="C137" s="8" t="s">
        <v>57</v>
      </c>
      <c r="D137" s="8" t="s">
        <v>413</v>
      </c>
      <c r="E137" s="8" t="s">
        <v>26</v>
      </c>
      <c r="F137" s="8" t="s">
        <v>153</v>
      </c>
      <c r="G137" s="12" t="s">
        <v>412</v>
      </c>
      <c r="H137" s="7">
        <v>5.5780566092792556</v>
      </c>
      <c r="I137" s="1">
        <v>0</v>
      </c>
      <c r="J137" s="4">
        <f t="shared" si="10"/>
        <v>0</v>
      </c>
      <c r="K137" s="5">
        <f t="shared" si="11"/>
        <v>0</v>
      </c>
      <c r="L137" s="2">
        <v>2126635.938455991</v>
      </c>
      <c r="M137" s="2">
        <v>0</v>
      </c>
      <c r="N137" s="6">
        <f t="shared" si="12"/>
        <v>0</v>
      </c>
      <c r="O137" s="9">
        <f t="shared" si="13"/>
        <v>0</v>
      </c>
      <c r="P137" s="10">
        <v>4</v>
      </c>
      <c r="Q137" s="1">
        <f t="shared" si="14"/>
        <v>1</v>
      </c>
      <c r="R137" s="10">
        <v>8</v>
      </c>
      <c r="S137" s="10">
        <v>0</v>
      </c>
      <c r="T137" s="10">
        <v>0</v>
      </c>
      <c r="U137" s="3">
        <v>0</v>
      </c>
      <c r="V137" s="3">
        <v>0</v>
      </c>
      <c r="W137" s="3">
        <v>0</v>
      </c>
      <c r="X137" s="3">
        <v>1</v>
      </c>
      <c r="Y137" s="3">
        <v>0</v>
      </c>
      <c r="Z137" s="3">
        <v>0</v>
      </c>
    </row>
    <row r="138" spans="1:26" ht="26">
      <c r="A138" s="8">
        <v>698921</v>
      </c>
      <c r="B138" s="8" t="s">
        <v>215</v>
      </c>
      <c r="C138" s="8" t="s">
        <v>57</v>
      </c>
      <c r="D138" s="8" t="s">
        <v>409</v>
      </c>
      <c r="E138" s="8" t="s">
        <v>22</v>
      </c>
      <c r="F138" s="8" t="s">
        <v>75</v>
      </c>
      <c r="G138" s="12" t="s">
        <v>412</v>
      </c>
      <c r="H138" s="7">
        <v>9.9165450831630899</v>
      </c>
      <c r="I138" s="1">
        <v>0</v>
      </c>
      <c r="J138" s="1">
        <f t="shared" si="10"/>
        <v>0</v>
      </c>
      <c r="K138" s="5">
        <f t="shared" si="11"/>
        <v>0</v>
      </c>
      <c r="L138" s="2">
        <v>8058736.422642841</v>
      </c>
      <c r="M138" s="2">
        <v>0</v>
      </c>
      <c r="N138" s="6">
        <f t="shared" si="12"/>
        <v>0</v>
      </c>
      <c r="O138" s="9">
        <f t="shared" si="13"/>
        <v>0</v>
      </c>
      <c r="P138" s="10">
        <v>0</v>
      </c>
      <c r="Q138" s="1">
        <f t="shared" si="14"/>
        <v>0</v>
      </c>
      <c r="R138" s="10">
        <v>12</v>
      </c>
      <c r="S138" s="10">
        <v>0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3">
        <v>17677945</v>
      </c>
      <c r="B139" s="13" t="s">
        <v>439</v>
      </c>
      <c r="C139" s="8" t="s">
        <v>31</v>
      </c>
      <c r="D139" s="8" t="s">
        <v>411</v>
      </c>
      <c r="E139" s="8" t="s">
        <v>26</v>
      </c>
      <c r="F139" s="14" t="s">
        <v>87</v>
      </c>
      <c r="G139" s="13" t="s">
        <v>410</v>
      </c>
      <c r="H139" s="7">
        <v>2.7022719565954572</v>
      </c>
      <c r="I139" s="1">
        <v>0</v>
      </c>
      <c r="J139" s="1">
        <f t="shared" si="10"/>
        <v>0</v>
      </c>
      <c r="K139" s="5">
        <f t="shared" si="11"/>
        <v>0</v>
      </c>
      <c r="L139" s="2">
        <v>300000</v>
      </c>
      <c r="M139" s="2">
        <v>302400</v>
      </c>
      <c r="N139" s="6">
        <f t="shared" si="12"/>
        <v>1</v>
      </c>
      <c r="O139" s="9">
        <f t="shared" si="13"/>
        <v>1.008</v>
      </c>
      <c r="P139" s="10">
        <v>0</v>
      </c>
      <c r="Q139" s="1">
        <f t="shared" si="14"/>
        <v>0</v>
      </c>
      <c r="R139" s="10">
        <v>5</v>
      </c>
      <c r="S139" s="10">
        <v>0</v>
      </c>
      <c r="T139" s="10">
        <v>0</v>
      </c>
      <c r="U139" s="3">
        <v>0</v>
      </c>
      <c r="V139" s="3">
        <v>0</v>
      </c>
      <c r="W139" s="3">
        <v>0</v>
      </c>
      <c r="X139" s="3">
        <v>0</v>
      </c>
      <c r="Y139" s="3">
        <v>1</v>
      </c>
      <c r="Z139" s="3">
        <v>0</v>
      </c>
    </row>
    <row r="140" spans="1:26" ht="26">
      <c r="A140" s="8">
        <v>1375110</v>
      </c>
      <c r="B140" s="8" t="s">
        <v>216</v>
      </c>
      <c r="C140" s="8" t="s">
        <v>31</v>
      </c>
      <c r="D140" s="8" t="s">
        <v>411</v>
      </c>
      <c r="E140" s="8" t="s">
        <v>22</v>
      </c>
      <c r="F140" s="8" t="s">
        <v>60</v>
      </c>
      <c r="G140" s="12" t="s">
        <v>410</v>
      </c>
      <c r="H140" s="7">
        <v>7.691081722617823</v>
      </c>
      <c r="I140" s="1">
        <v>0</v>
      </c>
      <c r="J140" s="1">
        <f t="shared" si="10"/>
        <v>0</v>
      </c>
      <c r="K140" s="5">
        <f t="shared" si="11"/>
        <v>0</v>
      </c>
      <c r="L140" s="2">
        <v>1233517.793070439</v>
      </c>
      <c r="M140" s="2">
        <v>302400</v>
      </c>
      <c r="N140" s="6">
        <f t="shared" si="12"/>
        <v>1</v>
      </c>
      <c r="O140" s="9">
        <f t="shared" si="13"/>
        <v>0.24515252369994123</v>
      </c>
      <c r="P140" s="10">
        <v>0</v>
      </c>
      <c r="Q140" s="1">
        <f t="shared" si="14"/>
        <v>0</v>
      </c>
      <c r="R140" s="10">
        <v>10</v>
      </c>
      <c r="S140" s="10">
        <v>0</v>
      </c>
      <c r="T140" s="10">
        <v>0</v>
      </c>
      <c r="U140" s="3">
        <v>0</v>
      </c>
      <c r="V140" s="3">
        <v>0</v>
      </c>
      <c r="W140" s="3">
        <v>1</v>
      </c>
      <c r="X140" s="3">
        <v>0</v>
      </c>
      <c r="Y140" s="3">
        <v>0</v>
      </c>
      <c r="Z140" s="3">
        <v>0</v>
      </c>
    </row>
    <row r="141" spans="1:26" ht="26">
      <c r="A141" s="8">
        <v>17562513</v>
      </c>
      <c r="B141" s="8" t="s">
        <v>217</v>
      </c>
      <c r="C141" s="8" t="s">
        <v>21</v>
      </c>
      <c r="D141" s="8" t="s">
        <v>409</v>
      </c>
      <c r="E141" s="8" t="s">
        <v>22</v>
      </c>
      <c r="F141" s="8" t="s">
        <v>193</v>
      </c>
      <c r="G141" s="12" t="s">
        <v>410</v>
      </c>
      <c r="H141" s="7">
        <v>5.1966768396066563</v>
      </c>
      <c r="I141" s="1">
        <v>0</v>
      </c>
      <c r="J141" s="4">
        <f t="shared" si="10"/>
        <v>0</v>
      </c>
      <c r="K141" s="5">
        <f t="shared" si="11"/>
        <v>0</v>
      </c>
      <c r="L141" s="2">
        <v>2549477.9785796599</v>
      </c>
      <c r="M141" s="2">
        <v>170000</v>
      </c>
      <c r="N141" s="6">
        <f t="shared" si="12"/>
        <v>0</v>
      </c>
      <c r="O141" s="9">
        <f t="shared" si="13"/>
        <v>6.6680317079933646E-2</v>
      </c>
      <c r="P141" s="10">
        <v>0</v>
      </c>
      <c r="Q141" s="1">
        <f t="shared" si="14"/>
        <v>0</v>
      </c>
      <c r="R141" s="10">
        <v>8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17564330</v>
      </c>
      <c r="B142" s="8" t="s">
        <v>218</v>
      </c>
      <c r="C142" s="8" t="s">
        <v>31</v>
      </c>
      <c r="D142" s="8" t="s">
        <v>411</v>
      </c>
      <c r="E142" s="8" t="s">
        <v>22</v>
      </c>
      <c r="F142" s="8" t="s">
        <v>219</v>
      </c>
      <c r="G142" s="12" t="s">
        <v>410</v>
      </c>
      <c r="H142" s="7">
        <v>5</v>
      </c>
      <c r="I142" s="1">
        <v>3</v>
      </c>
      <c r="J142" s="4">
        <f t="shared" si="10"/>
        <v>1</v>
      </c>
      <c r="K142" s="5">
        <f t="shared" si="11"/>
        <v>0.6</v>
      </c>
      <c r="L142" s="2">
        <v>1233517.793070439</v>
      </c>
      <c r="M142" s="2">
        <v>325200</v>
      </c>
      <c r="N142" s="6">
        <f t="shared" si="12"/>
        <v>1</v>
      </c>
      <c r="O142" s="9">
        <f t="shared" si="13"/>
        <v>0.26363624572493682</v>
      </c>
      <c r="P142" s="10">
        <v>0</v>
      </c>
      <c r="Q142" s="1">
        <f t="shared" si="14"/>
        <v>0</v>
      </c>
      <c r="R142" s="10">
        <v>7</v>
      </c>
      <c r="S142" s="10">
        <v>0</v>
      </c>
      <c r="T142" s="10">
        <v>0</v>
      </c>
      <c r="U142" s="3">
        <v>0</v>
      </c>
      <c r="V142" s="3">
        <v>1</v>
      </c>
      <c r="W142" s="3">
        <v>0</v>
      </c>
      <c r="X142" s="3">
        <v>1</v>
      </c>
      <c r="Y142" s="3">
        <v>0</v>
      </c>
      <c r="Z142" s="3">
        <v>0</v>
      </c>
    </row>
    <row r="143" spans="1:26" ht="26">
      <c r="A143" s="8">
        <v>17834487</v>
      </c>
      <c r="B143" s="8" t="s">
        <v>220</v>
      </c>
      <c r="C143" s="8" t="s">
        <v>57</v>
      </c>
      <c r="D143" s="8" t="s">
        <v>411</v>
      </c>
      <c r="E143" s="8" t="s">
        <v>22</v>
      </c>
      <c r="F143" s="8" t="s">
        <v>77</v>
      </c>
      <c r="G143" s="12" t="s">
        <v>412</v>
      </c>
      <c r="H143" s="7">
        <v>10.226437117011949</v>
      </c>
      <c r="I143" s="1">
        <v>0</v>
      </c>
      <c r="J143" s="1">
        <f t="shared" si="10"/>
        <v>0</v>
      </c>
      <c r="K143" s="5">
        <f t="shared" si="11"/>
        <v>0</v>
      </c>
      <c r="L143" s="2">
        <v>2352335.1426639589</v>
      </c>
      <c r="M143" s="2">
        <v>0</v>
      </c>
      <c r="N143" s="6">
        <f t="shared" si="12"/>
        <v>0</v>
      </c>
      <c r="O143" s="9">
        <f t="shared" si="13"/>
        <v>0</v>
      </c>
      <c r="P143" s="10">
        <v>0</v>
      </c>
      <c r="Q143" s="1">
        <f t="shared" si="14"/>
        <v>0</v>
      </c>
      <c r="R143" s="10">
        <v>13</v>
      </c>
      <c r="S143" s="10">
        <v>0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17666253</v>
      </c>
      <c r="B144" s="8" t="s">
        <v>221</v>
      </c>
      <c r="C144" s="8" t="s">
        <v>21</v>
      </c>
      <c r="D144" s="8" t="s">
        <v>418</v>
      </c>
      <c r="E144" s="8" t="s">
        <v>22</v>
      </c>
      <c r="F144" s="8" t="s">
        <v>108</v>
      </c>
      <c r="G144" s="12" t="s">
        <v>410</v>
      </c>
      <c r="H144" s="7">
        <v>3.3258731773482562</v>
      </c>
      <c r="I144" s="1">
        <v>0</v>
      </c>
      <c r="J144" s="4">
        <f t="shared" si="10"/>
        <v>0</v>
      </c>
      <c r="K144" s="5">
        <f t="shared" si="11"/>
        <v>0</v>
      </c>
      <c r="L144" s="2">
        <v>34799719.042036198</v>
      </c>
      <c r="M144" s="2">
        <v>3320000</v>
      </c>
      <c r="N144" s="6">
        <f t="shared" si="12"/>
        <v>1</v>
      </c>
      <c r="O144" s="9">
        <f t="shared" si="13"/>
        <v>9.5403069087702047E-2</v>
      </c>
      <c r="P144" s="10">
        <v>0</v>
      </c>
      <c r="Q144" s="1">
        <f t="shared" si="14"/>
        <v>0</v>
      </c>
      <c r="R144" s="10">
        <v>6</v>
      </c>
      <c r="S144" s="10">
        <v>1</v>
      </c>
      <c r="T144" s="10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8">
        <v>17033536</v>
      </c>
      <c r="B145" s="8" t="s">
        <v>222</v>
      </c>
      <c r="C145" s="8" t="s">
        <v>31</v>
      </c>
      <c r="D145" s="8" t="s">
        <v>409</v>
      </c>
      <c r="E145" s="8" t="s">
        <v>22</v>
      </c>
      <c r="F145" s="8" t="s">
        <v>102</v>
      </c>
      <c r="G145" s="12" t="s">
        <v>410</v>
      </c>
      <c r="H145" s="7">
        <v>30</v>
      </c>
      <c r="I145" s="1">
        <v>0</v>
      </c>
      <c r="J145" s="4">
        <f t="shared" si="10"/>
        <v>0</v>
      </c>
      <c r="K145" s="5">
        <f t="shared" si="11"/>
        <v>0</v>
      </c>
      <c r="L145" s="2">
        <v>25626053.564346101</v>
      </c>
      <c r="M145" s="2">
        <v>0</v>
      </c>
      <c r="N145" s="6">
        <f t="shared" si="12"/>
        <v>0</v>
      </c>
      <c r="O145" s="9">
        <f t="shared" si="13"/>
        <v>0</v>
      </c>
      <c r="P145" s="10">
        <v>1</v>
      </c>
      <c r="Q145" s="1">
        <f t="shared" si="14"/>
        <v>0</v>
      </c>
      <c r="R145" s="10">
        <v>23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17663066</v>
      </c>
      <c r="B146" s="8" t="s">
        <v>223</v>
      </c>
      <c r="C146" s="8" t="s">
        <v>21</v>
      </c>
      <c r="D146" s="8" t="s">
        <v>409</v>
      </c>
      <c r="E146" s="8" t="s">
        <v>22</v>
      </c>
      <c r="F146" s="8" t="s">
        <v>108</v>
      </c>
      <c r="G146" s="12" t="s">
        <v>410</v>
      </c>
      <c r="H146" s="7">
        <v>3.1180061037639888</v>
      </c>
      <c r="I146" s="1">
        <v>0</v>
      </c>
      <c r="J146" s="4">
        <f t="shared" si="10"/>
        <v>0</v>
      </c>
      <c r="K146" s="5">
        <f t="shared" si="11"/>
        <v>0</v>
      </c>
      <c r="L146" s="2">
        <v>22463880</v>
      </c>
      <c r="M146" s="2">
        <v>1320000</v>
      </c>
      <c r="N146" s="6">
        <f t="shared" si="12"/>
        <v>1</v>
      </c>
      <c r="O146" s="9">
        <f t="shared" si="13"/>
        <v>5.8760997654902003E-2</v>
      </c>
      <c r="P146" s="10">
        <v>0</v>
      </c>
      <c r="Q146" s="1">
        <f t="shared" si="14"/>
        <v>0</v>
      </c>
      <c r="R146" s="10">
        <v>6</v>
      </c>
      <c r="S146" s="10">
        <v>0</v>
      </c>
      <c r="T146" s="10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5.8202780603594357</v>
      </c>
      <c r="I147" s="1">
        <v>0</v>
      </c>
      <c r="J147" s="4">
        <f t="shared" si="10"/>
        <v>0</v>
      </c>
      <c r="K147" s="5">
        <f t="shared" si="11"/>
        <v>0</v>
      </c>
      <c r="L147" s="2">
        <v>1233517.793070439</v>
      </c>
      <c r="M147" s="2">
        <v>324900</v>
      </c>
      <c r="N147" s="6">
        <f t="shared" si="12"/>
        <v>1</v>
      </c>
      <c r="O147" s="9">
        <f t="shared" si="13"/>
        <v>0.26339303885618687</v>
      </c>
      <c r="P147" s="10">
        <v>0</v>
      </c>
      <c r="Q147" s="1">
        <f t="shared" si="14"/>
        <v>0</v>
      </c>
      <c r="R147" s="10">
        <v>8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1541579</v>
      </c>
      <c r="B148" s="8" t="s">
        <v>225</v>
      </c>
      <c r="C148" s="8" t="s">
        <v>25</v>
      </c>
      <c r="D148" s="8" t="s">
        <v>411</v>
      </c>
      <c r="E148" s="8" t="s">
        <v>26</v>
      </c>
      <c r="F148" s="8" t="s">
        <v>226</v>
      </c>
      <c r="G148" s="12" t="s">
        <v>412</v>
      </c>
      <c r="H148" s="7">
        <v>4.9582725415815601</v>
      </c>
      <c r="I148" s="1">
        <v>0</v>
      </c>
      <c r="J148" s="1">
        <f t="shared" si="10"/>
        <v>0</v>
      </c>
      <c r="K148" s="5">
        <f t="shared" si="11"/>
        <v>0</v>
      </c>
      <c r="L148" s="2">
        <v>2520936.2188384128</v>
      </c>
      <c r="M148" s="2">
        <v>425000</v>
      </c>
      <c r="N148" s="6">
        <f t="shared" si="12"/>
        <v>1</v>
      </c>
      <c r="O148" s="9">
        <f t="shared" si="13"/>
        <v>0.16858816055085671</v>
      </c>
      <c r="P148" s="10">
        <v>0</v>
      </c>
      <c r="Q148" s="1">
        <f t="shared" si="14"/>
        <v>0</v>
      </c>
      <c r="R148" s="10">
        <v>7</v>
      </c>
      <c r="S148" s="10">
        <v>0</v>
      </c>
      <c r="T148" s="10">
        <v>0</v>
      </c>
      <c r="U148" s="3">
        <v>0</v>
      </c>
      <c r="V148" s="3">
        <v>0</v>
      </c>
      <c r="W148" s="3">
        <v>1</v>
      </c>
      <c r="X148" s="3">
        <v>0</v>
      </c>
      <c r="Y148" s="3">
        <v>0</v>
      </c>
      <c r="Z148" s="3">
        <v>0</v>
      </c>
    </row>
    <row r="149" spans="1:26" ht="26">
      <c r="A149" s="8">
        <v>818388</v>
      </c>
      <c r="B149" s="8" t="s">
        <v>227</v>
      </c>
      <c r="C149" s="8" t="s">
        <v>31</v>
      </c>
      <c r="D149" s="8" t="s">
        <v>413</v>
      </c>
      <c r="E149" s="8" t="s">
        <v>26</v>
      </c>
      <c r="F149" s="8" t="s">
        <v>228</v>
      </c>
      <c r="G149" s="12" t="s">
        <v>410</v>
      </c>
      <c r="H149" s="7">
        <v>7.0674805018650426</v>
      </c>
      <c r="I149" s="1">
        <v>0</v>
      </c>
      <c r="J149" s="4">
        <f t="shared" si="10"/>
        <v>0</v>
      </c>
      <c r="K149" s="5">
        <f t="shared" si="11"/>
        <v>0</v>
      </c>
      <c r="L149" s="2">
        <v>6018419.3717715694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10</v>
      </c>
      <c r="S149" s="10">
        <v>0</v>
      </c>
      <c r="T149" s="10">
        <v>0</v>
      </c>
      <c r="U149" s="3">
        <v>0</v>
      </c>
      <c r="V149" s="3">
        <v>0</v>
      </c>
      <c r="W149" s="3">
        <v>1</v>
      </c>
      <c r="X149" s="3">
        <v>0</v>
      </c>
      <c r="Y149" s="3">
        <v>0</v>
      </c>
      <c r="Z149" s="3">
        <v>0</v>
      </c>
    </row>
    <row r="150" spans="1:26" ht="26">
      <c r="A150" s="8">
        <v>17724158</v>
      </c>
      <c r="B150" s="8" t="s">
        <v>229</v>
      </c>
      <c r="C150" s="8" t="s">
        <v>21</v>
      </c>
      <c r="D150" s="8" t="s">
        <v>411</v>
      </c>
      <c r="E150" s="8" t="s">
        <v>26</v>
      </c>
      <c r="F150" s="8" t="s">
        <v>171</v>
      </c>
      <c r="G150" s="12" t="s">
        <v>410</v>
      </c>
      <c r="H150" s="7">
        <v>3</v>
      </c>
      <c r="I150" s="1">
        <v>0</v>
      </c>
      <c r="J150" s="4">
        <f t="shared" si="10"/>
        <v>0</v>
      </c>
      <c r="K150" s="5">
        <f t="shared" si="11"/>
        <v>0</v>
      </c>
      <c r="L150" s="2">
        <v>1233517.793070439</v>
      </c>
      <c r="M150" s="2">
        <v>2795000</v>
      </c>
      <c r="N150" s="6">
        <f t="shared" si="12"/>
        <v>1</v>
      </c>
      <c r="O150" s="9">
        <f t="shared" si="13"/>
        <v>2.2658773271869568</v>
      </c>
      <c r="P150" s="10">
        <v>0</v>
      </c>
      <c r="Q150" s="1">
        <f t="shared" si="14"/>
        <v>0</v>
      </c>
      <c r="R150" s="10">
        <v>5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1</v>
      </c>
      <c r="Z150" s="3">
        <v>0</v>
      </c>
    </row>
    <row r="151" spans="1:26" ht="26">
      <c r="A151" s="8">
        <v>17347639</v>
      </c>
      <c r="B151" s="8" t="s">
        <v>230</v>
      </c>
      <c r="C151" s="8" t="s">
        <v>35</v>
      </c>
      <c r="D151" s="8" t="s">
        <v>409</v>
      </c>
      <c r="E151" s="8" t="s">
        <v>22</v>
      </c>
      <c r="F151" s="8" t="s">
        <v>60</v>
      </c>
      <c r="G151" s="12" t="s">
        <v>410</v>
      </c>
      <c r="H151" s="7">
        <v>5</v>
      </c>
      <c r="I151" s="1">
        <v>6</v>
      </c>
      <c r="J151" s="1">
        <f t="shared" si="10"/>
        <v>1</v>
      </c>
      <c r="K151" s="5">
        <f t="shared" si="11"/>
        <v>1.2</v>
      </c>
      <c r="L151" s="2">
        <v>29626053.564346101</v>
      </c>
      <c r="M151" s="2">
        <v>1339900</v>
      </c>
      <c r="N151" s="6">
        <f t="shared" si="12"/>
        <v>1</v>
      </c>
      <c r="O151" s="9">
        <f t="shared" si="13"/>
        <v>4.5227083556364116E-2</v>
      </c>
      <c r="P151" s="10">
        <v>0</v>
      </c>
      <c r="Q151" s="1">
        <f t="shared" si="14"/>
        <v>0</v>
      </c>
      <c r="R151" s="10">
        <v>7</v>
      </c>
      <c r="S151" s="10">
        <v>0</v>
      </c>
      <c r="T151" s="10">
        <v>0</v>
      </c>
      <c r="U151" s="3">
        <v>1</v>
      </c>
      <c r="V151" s="3">
        <v>0</v>
      </c>
      <c r="W151" s="3">
        <v>0</v>
      </c>
      <c r="X151" s="3">
        <v>0</v>
      </c>
      <c r="Y151" s="3">
        <v>0</v>
      </c>
      <c r="Z151" s="3">
        <v>1</v>
      </c>
    </row>
    <row r="152" spans="1:26" ht="26">
      <c r="A152" s="8">
        <v>17692826</v>
      </c>
      <c r="B152" s="8" t="s">
        <v>231</v>
      </c>
      <c r="C152" s="8" t="s">
        <v>21</v>
      </c>
      <c r="D152" s="8" t="s">
        <v>411</v>
      </c>
      <c r="E152" s="8" t="s">
        <v>22</v>
      </c>
      <c r="F152" s="8" t="s">
        <v>171</v>
      </c>
      <c r="G152" s="12" t="s">
        <v>410</v>
      </c>
      <c r="H152" s="7">
        <v>12.47202441505593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217000</v>
      </c>
      <c r="N152" s="6">
        <f t="shared" si="12"/>
        <v>0</v>
      </c>
      <c r="O152" s="9">
        <f t="shared" si="13"/>
        <v>0.17591963506245784</v>
      </c>
      <c r="P152" s="10">
        <v>0</v>
      </c>
      <c r="Q152" s="1">
        <f t="shared" si="14"/>
        <v>0</v>
      </c>
      <c r="R152" s="10">
        <v>15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1</v>
      </c>
      <c r="Z152" s="3">
        <v>0</v>
      </c>
    </row>
    <row r="153" spans="1:26" ht="26">
      <c r="A153" s="8">
        <v>1529317</v>
      </c>
      <c r="B153" s="8" t="s">
        <v>232</v>
      </c>
      <c r="C153" s="8" t="s">
        <v>25</v>
      </c>
      <c r="D153" s="8" t="s">
        <v>409</v>
      </c>
      <c r="E153" s="8" t="s">
        <v>22</v>
      </c>
      <c r="F153" s="8" t="s">
        <v>226</v>
      </c>
      <c r="G153" s="12" t="s">
        <v>412</v>
      </c>
      <c r="H153" s="7">
        <v>7.4374088123723361</v>
      </c>
      <c r="I153" s="1">
        <v>0</v>
      </c>
      <c r="J153" s="1">
        <f t="shared" si="10"/>
        <v>0</v>
      </c>
      <c r="K153" s="5">
        <f t="shared" si="11"/>
        <v>0</v>
      </c>
      <c r="L153" s="2">
        <v>16163438.633891329</v>
      </c>
      <c r="M153" s="2">
        <v>840000</v>
      </c>
      <c r="N153" s="6">
        <f t="shared" si="12"/>
        <v>1</v>
      </c>
      <c r="O153" s="9">
        <f t="shared" si="13"/>
        <v>5.1969139675433713E-2</v>
      </c>
      <c r="P153" s="10">
        <v>0</v>
      </c>
      <c r="Q153" s="1">
        <f t="shared" si="14"/>
        <v>0</v>
      </c>
      <c r="R153" s="10">
        <v>10</v>
      </c>
      <c r="S153" s="10">
        <v>0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17706331</v>
      </c>
      <c r="B154" s="8" t="s">
        <v>233</v>
      </c>
      <c r="C154" s="8" t="s">
        <v>25</v>
      </c>
      <c r="D154" s="8" t="s">
        <v>409</v>
      </c>
      <c r="E154" s="8" t="s">
        <v>22</v>
      </c>
      <c r="F154" s="8" t="s">
        <v>226</v>
      </c>
      <c r="G154" s="12" t="s">
        <v>412</v>
      </c>
      <c r="H154" s="7">
        <v>5.8879486431280963</v>
      </c>
      <c r="I154" s="1">
        <v>0</v>
      </c>
      <c r="J154" s="1">
        <f t="shared" si="10"/>
        <v>0</v>
      </c>
      <c r="K154" s="5">
        <f t="shared" si="11"/>
        <v>0</v>
      </c>
      <c r="L154" s="2">
        <v>4970050.8929805709</v>
      </c>
      <c r="M154" s="2">
        <v>840000</v>
      </c>
      <c r="N154" s="6">
        <f t="shared" si="12"/>
        <v>1</v>
      </c>
      <c r="O154" s="9">
        <f t="shared" si="13"/>
        <v>0.16901235381439861</v>
      </c>
      <c r="P154" s="10">
        <v>0</v>
      </c>
      <c r="Q154" s="1">
        <f t="shared" si="14"/>
        <v>0</v>
      </c>
      <c r="R154" s="10">
        <v>8</v>
      </c>
      <c r="S154" s="10">
        <v>0</v>
      </c>
      <c r="T154" s="10">
        <v>0</v>
      </c>
      <c r="U154" s="3">
        <v>0</v>
      </c>
      <c r="V154" s="3">
        <v>0</v>
      </c>
      <c r="W154" s="3">
        <v>1</v>
      </c>
      <c r="X154" s="3">
        <v>0</v>
      </c>
      <c r="Y154" s="3">
        <v>0</v>
      </c>
      <c r="Z154" s="3">
        <v>0</v>
      </c>
    </row>
    <row r="155" spans="1:26" ht="26">
      <c r="A155" s="8">
        <v>17221170</v>
      </c>
      <c r="B155" s="8" t="s">
        <v>234</v>
      </c>
      <c r="C155" s="8" t="s">
        <v>31</v>
      </c>
      <c r="D155" s="8" t="s">
        <v>413</v>
      </c>
      <c r="E155" s="8" t="s">
        <v>26</v>
      </c>
      <c r="F155" s="8" t="s">
        <v>219</v>
      </c>
      <c r="G155" s="12" t="s">
        <v>410</v>
      </c>
      <c r="H155" s="7">
        <v>2.7022719565954572</v>
      </c>
      <c r="I155" s="1">
        <v>3</v>
      </c>
      <c r="J155" s="1">
        <f t="shared" si="10"/>
        <v>1</v>
      </c>
      <c r="K155" s="5">
        <f t="shared" si="11"/>
        <v>1.1101769356255486</v>
      </c>
      <c r="L155" s="2">
        <v>6018419.3717715694</v>
      </c>
      <c r="M155" s="2">
        <v>375200</v>
      </c>
      <c r="N155" s="6">
        <f t="shared" si="12"/>
        <v>1</v>
      </c>
      <c r="O155" s="9">
        <f t="shared" si="13"/>
        <v>6.2341950074103411E-2</v>
      </c>
      <c r="P155" s="10">
        <v>0</v>
      </c>
      <c r="Q155" s="1">
        <f t="shared" si="14"/>
        <v>0</v>
      </c>
      <c r="R155" s="10">
        <v>5</v>
      </c>
      <c r="S155" s="10">
        <v>0</v>
      </c>
      <c r="T155" s="10">
        <v>0</v>
      </c>
      <c r="U155" s="3">
        <v>0</v>
      </c>
      <c r="V155" s="3">
        <v>1</v>
      </c>
      <c r="W155" s="3">
        <v>0</v>
      </c>
      <c r="X155" s="3">
        <v>1</v>
      </c>
      <c r="Y155" s="3">
        <v>0</v>
      </c>
      <c r="Z155" s="3">
        <v>0</v>
      </c>
    </row>
    <row r="156" spans="1:26" ht="26">
      <c r="A156" s="8">
        <v>17689411</v>
      </c>
      <c r="B156" s="8" t="s">
        <v>235</v>
      </c>
      <c r="C156" s="8" t="s">
        <v>25</v>
      </c>
      <c r="D156" s="8" t="s">
        <v>413</v>
      </c>
      <c r="E156" s="8" t="s">
        <v>26</v>
      </c>
      <c r="F156" s="8" t="s">
        <v>226</v>
      </c>
      <c r="G156" s="12" t="s">
        <v>412</v>
      </c>
      <c r="H156" s="7">
        <v>5</v>
      </c>
      <c r="I156" s="1">
        <v>0</v>
      </c>
      <c r="J156" s="1">
        <f t="shared" si="10"/>
        <v>0</v>
      </c>
      <c r="K156" s="5">
        <f t="shared" si="11"/>
        <v>0</v>
      </c>
      <c r="L156" s="2">
        <v>8652341.4895573519</v>
      </c>
      <c r="M156" s="2">
        <v>702000</v>
      </c>
      <c r="N156" s="6">
        <f t="shared" si="12"/>
        <v>1</v>
      </c>
      <c r="O156" s="9">
        <f t="shared" si="13"/>
        <v>8.1134106975233808E-2</v>
      </c>
      <c r="P156" s="10">
        <v>0</v>
      </c>
      <c r="Q156" s="1">
        <f t="shared" si="14"/>
        <v>0</v>
      </c>
      <c r="R156" s="10">
        <v>7</v>
      </c>
      <c r="S156" s="10">
        <v>0</v>
      </c>
      <c r="T156" s="10">
        <v>0</v>
      </c>
      <c r="U156" s="3">
        <v>0</v>
      </c>
      <c r="V156" s="3">
        <v>0</v>
      </c>
      <c r="W156" s="3">
        <v>1</v>
      </c>
      <c r="X156" s="3">
        <v>0</v>
      </c>
      <c r="Y156" s="3">
        <v>0</v>
      </c>
      <c r="Z156" s="3">
        <v>0</v>
      </c>
    </row>
    <row r="157" spans="1:26" ht="26">
      <c r="A157" s="8">
        <v>17256272</v>
      </c>
      <c r="B157" s="8" t="s">
        <v>236</v>
      </c>
      <c r="C157" s="8" t="s">
        <v>57</v>
      </c>
      <c r="D157" s="8" t="s">
        <v>409</v>
      </c>
      <c r="E157" s="8" t="s">
        <v>22</v>
      </c>
      <c r="F157" s="8" t="s">
        <v>75</v>
      </c>
      <c r="G157" s="12" t="s">
        <v>412</v>
      </c>
      <c r="H157" s="7">
        <v>5.5780566092792556</v>
      </c>
      <c r="I157" s="1">
        <v>0</v>
      </c>
      <c r="J157" s="1">
        <f t="shared" si="10"/>
        <v>0</v>
      </c>
      <c r="K157" s="5">
        <f t="shared" si="11"/>
        <v>0</v>
      </c>
      <c r="L157" s="2">
        <v>17741896.63245308</v>
      </c>
      <c r="M157" s="2">
        <v>0</v>
      </c>
      <c r="N157" s="6">
        <f t="shared" si="12"/>
        <v>0</v>
      </c>
      <c r="O157" s="9">
        <f t="shared" si="13"/>
        <v>0</v>
      </c>
      <c r="P157" s="10">
        <v>0</v>
      </c>
      <c r="Q157" s="1">
        <f t="shared" si="14"/>
        <v>0</v>
      </c>
      <c r="R157" s="10">
        <v>8</v>
      </c>
      <c r="S157" s="10">
        <v>0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1</v>
      </c>
    </row>
    <row r="158" spans="1:26" ht="26">
      <c r="A158" s="8">
        <v>17562101</v>
      </c>
      <c r="B158" s="8" t="s">
        <v>237</v>
      </c>
      <c r="C158" s="27" t="s">
        <v>57</v>
      </c>
      <c r="D158" s="8" t="s">
        <v>413</v>
      </c>
      <c r="E158" s="8" t="s">
        <v>26</v>
      </c>
      <c r="F158" s="8" t="s">
        <v>29</v>
      </c>
      <c r="G158" s="12" t="s">
        <v>412</v>
      </c>
      <c r="H158" s="7">
        <v>5.2681645754304078</v>
      </c>
      <c r="I158" s="1">
        <v>0</v>
      </c>
      <c r="J158" s="1">
        <f t="shared" si="10"/>
        <v>0</v>
      </c>
      <c r="K158" s="5">
        <f t="shared" si="11"/>
        <v>0</v>
      </c>
      <c r="L158" s="2">
        <v>16648593.16831439</v>
      </c>
      <c r="M158" s="2">
        <v>247000</v>
      </c>
      <c r="N158" s="6">
        <f t="shared" si="12"/>
        <v>0</v>
      </c>
      <c r="O158" s="9">
        <f t="shared" si="13"/>
        <v>1.4836088401156352E-2</v>
      </c>
      <c r="P158" s="10">
        <v>0</v>
      </c>
      <c r="Q158" s="1">
        <f t="shared" si="14"/>
        <v>0</v>
      </c>
      <c r="R158" s="10">
        <v>8</v>
      </c>
      <c r="S158" s="10">
        <v>0</v>
      </c>
      <c r="T158" s="10">
        <v>0</v>
      </c>
      <c r="U158" s="3">
        <v>1</v>
      </c>
      <c r="V158" s="3">
        <v>1</v>
      </c>
      <c r="W158" s="3">
        <v>1</v>
      </c>
      <c r="X158" s="3">
        <v>1</v>
      </c>
      <c r="Y158" s="3">
        <v>1</v>
      </c>
      <c r="Z158" s="3">
        <v>1</v>
      </c>
    </row>
    <row r="159" spans="1:26" ht="26">
      <c r="A159" s="8">
        <v>1570103</v>
      </c>
      <c r="B159" s="8" t="s">
        <v>238</v>
      </c>
      <c r="C159" s="8" t="s">
        <v>31</v>
      </c>
      <c r="D159" s="8" t="s">
        <v>409</v>
      </c>
      <c r="E159" s="8" t="s">
        <v>22</v>
      </c>
      <c r="F159" s="8" t="s">
        <v>60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19880654</v>
      </c>
      <c r="M159" s="2">
        <v>0</v>
      </c>
      <c r="N159" s="6">
        <f t="shared" si="12"/>
        <v>0</v>
      </c>
      <c r="O159" s="9">
        <f t="shared" si="13"/>
        <v>0</v>
      </c>
      <c r="P159" s="10">
        <v>0</v>
      </c>
      <c r="Q159" s="1">
        <f t="shared" si="14"/>
        <v>0</v>
      </c>
      <c r="R159" s="10">
        <v>5</v>
      </c>
      <c r="S159" s="10">
        <v>0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8">
        <v>17282971</v>
      </c>
      <c r="B160" s="8" t="s">
        <v>239</v>
      </c>
      <c r="C160" s="8" t="s">
        <v>21</v>
      </c>
      <c r="D160" s="8" t="s">
        <v>409</v>
      </c>
      <c r="E160" s="8" t="s">
        <v>22</v>
      </c>
      <c r="F160" s="8" t="s">
        <v>40</v>
      </c>
      <c r="G160" s="12" t="s">
        <v>410</v>
      </c>
      <c r="H160" s="7">
        <v>3.3258731773482562</v>
      </c>
      <c r="I160" s="1">
        <v>3</v>
      </c>
      <c r="J160" s="1">
        <f t="shared" si="10"/>
        <v>1</v>
      </c>
      <c r="K160" s="5">
        <f t="shared" si="11"/>
        <v>0.90201876019575788</v>
      </c>
      <c r="L160" s="2">
        <v>2549477.9785796599</v>
      </c>
      <c r="M160" s="2">
        <v>90000</v>
      </c>
      <c r="N160" s="6">
        <f t="shared" si="12"/>
        <v>0</v>
      </c>
      <c r="O160" s="9">
        <f t="shared" si="13"/>
        <v>3.5301344336435461E-2</v>
      </c>
      <c r="P160" s="10">
        <v>0</v>
      </c>
      <c r="Q160" s="1">
        <f t="shared" si="14"/>
        <v>0</v>
      </c>
      <c r="R160" s="10">
        <v>6</v>
      </c>
      <c r="S160" s="10">
        <v>0</v>
      </c>
      <c r="T160" s="10">
        <v>0</v>
      </c>
      <c r="U160" s="3">
        <v>0</v>
      </c>
      <c r="V160" s="3">
        <v>0</v>
      </c>
      <c r="W160" s="3">
        <v>0</v>
      </c>
      <c r="X160" s="3">
        <v>1</v>
      </c>
      <c r="Y160" s="3">
        <v>0</v>
      </c>
      <c r="Z160" s="3">
        <v>0</v>
      </c>
    </row>
    <row r="161" spans="1:26" ht="26">
      <c r="A161" s="13">
        <v>17565276</v>
      </c>
      <c r="B161" s="13" t="s">
        <v>438</v>
      </c>
      <c r="C161" s="8" t="s">
        <v>21</v>
      </c>
      <c r="D161" s="8" t="s">
        <v>411</v>
      </c>
      <c r="E161" s="8" t="s">
        <v>26</v>
      </c>
      <c r="F161" s="14" t="s">
        <v>46</v>
      </c>
      <c r="G161" s="13" t="s">
        <v>410</v>
      </c>
      <c r="H161" s="7">
        <v>2.7022719565954572</v>
      </c>
      <c r="I161" s="1">
        <v>0</v>
      </c>
      <c r="J161" s="1">
        <f t="shared" si="10"/>
        <v>0</v>
      </c>
      <c r="K161" s="5">
        <f t="shared" si="11"/>
        <v>0</v>
      </c>
      <c r="L161" s="2">
        <v>300000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0</v>
      </c>
      <c r="Q161" s="1">
        <f t="shared" si="14"/>
        <v>0</v>
      </c>
      <c r="R161" s="10">
        <v>5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1</v>
      </c>
    </row>
    <row r="162" spans="1:26" ht="26">
      <c r="A162" s="8">
        <v>17232911</v>
      </c>
      <c r="B162" s="8" t="s">
        <v>240</v>
      </c>
      <c r="C162" s="8" t="s">
        <v>25</v>
      </c>
      <c r="D162" s="8" t="s">
        <v>409</v>
      </c>
      <c r="E162" s="8" t="s">
        <v>22</v>
      </c>
      <c r="F162" s="8" t="s">
        <v>42</v>
      </c>
      <c r="G162" s="12" t="s">
        <v>412</v>
      </c>
      <c r="H162" s="7">
        <v>4.6483805077327114</v>
      </c>
      <c r="I162" s="1">
        <v>0</v>
      </c>
      <c r="J162" s="1">
        <f t="shared" si="10"/>
        <v>0</v>
      </c>
      <c r="K162" s="5">
        <f t="shared" si="11"/>
        <v>0</v>
      </c>
      <c r="L162" s="2">
        <v>13704268.94349164</v>
      </c>
      <c r="M162" s="2">
        <v>5000000</v>
      </c>
      <c r="N162" s="6">
        <f t="shared" si="12"/>
        <v>1</v>
      </c>
      <c r="O162" s="9">
        <f t="shared" si="13"/>
        <v>0.36484981582141046</v>
      </c>
      <c r="P162" s="10">
        <v>1</v>
      </c>
      <c r="Q162" s="1">
        <f t="shared" si="14"/>
        <v>0</v>
      </c>
      <c r="R162" s="10">
        <v>7</v>
      </c>
      <c r="S162" s="10">
        <v>0</v>
      </c>
      <c r="T162" s="10">
        <v>0</v>
      </c>
      <c r="U162" s="3">
        <v>1</v>
      </c>
      <c r="V162" s="3">
        <v>0</v>
      </c>
      <c r="W162" s="3">
        <v>0</v>
      </c>
      <c r="X162" s="3">
        <v>1</v>
      </c>
      <c r="Y162" s="3">
        <v>0</v>
      </c>
      <c r="Z162" s="3">
        <v>0</v>
      </c>
    </row>
    <row r="163" spans="1:26" ht="26">
      <c r="A163" s="8">
        <v>17771119</v>
      </c>
      <c r="B163" s="8" t="s">
        <v>241</v>
      </c>
      <c r="C163" s="8" t="s">
        <v>25</v>
      </c>
      <c r="D163" s="8" t="s">
        <v>409</v>
      </c>
      <c r="E163" s="8" t="s">
        <v>22</v>
      </c>
      <c r="F163" s="8" t="s">
        <v>50</v>
      </c>
      <c r="G163" s="12" t="s">
        <v>412</v>
      </c>
      <c r="H163" s="7">
        <v>5.8879486431280963</v>
      </c>
      <c r="I163" s="1">
        <v>0</v>
      </c>
      <c r="J163" s="4">
        <f t="shared" si="10"/>
        <v>0</v>
      </c>
      <c r="K163" s="5">
        <f t="shared" si="11"/>
        <v>0</v>
      </c>
      <c r="L163" s="2">
        <v>11459486.56401032</v>
      </c>
      <c r="M163" s="2">
        <v>0</v>
      </c>
      <c r="N163" s="6">
        <f t="shared" si="12"/>
        <v>0</v>
      </c>
      <c r="O163" s="9">
        <f t="shared" si="13"/>
        <v>0</v>
      </c>
      <c r="P163" s="10">
        <v>0</v>
      </c>
      <c r="Q163" s="1">
        <f t="shared" si="14"/>
        <v>0</v>
      </c>
      <c r="R163" s="10">
        <v>8</v>
      </c>
      <c r="S163" s="10">
        <v>0</v>
      </c>
      <c r="T163" s="10">
        <v>0</v>
      </c>
      <c r="U163" s="3">
        <v>0</v>
      </c>
      <c r="V163" s="3">
        <v>1</v>
      </c>
      <c r="W163" s="3">
        <v>0</v>
      </c>
      <c r="X163" s="3">
        <v>0</v>
      </c>
      <c r="Y163" s="3">
        <v>0</v>
      </c>
      <c r="Z163" s="3">
        <v>0</v>
      </c>
    </row>
    <row r="164" spans="1:26" ht="26">
      <c r="A164" s="8">
        <v>17626277</v>
      </c>
      <c r="B164" s="8" t="s">
        <v>242</v>
      </c>
      <c r="C164" s="8" t="s">
        <v>35</v>
      </c>
      <c r="D164" s="8" t="s">
        <v>413</v>
      </c>
      <c r="E164" s="8" t="s">
        <v>26</v>
      </c>
      <c r="F164" s="8" t="s">
        <v>93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6018419.3717715694</v>
      </c>
      <c r="M164" s="2">
        <v>379000</v>
      </c>
      <c r="N164" s="6">
        <f t="shared" si="12"/>
        <v>1</v>
      </c>
      <c r="O164" s="9">
        <f t="shared" si="13"/>
        <v>6.2973345090845401E-2</v>
      </c>
      <c r="P164" s="10">
        <v>0</v>
      </c>
      <c r="Q164" s="1">
        <f t="shared" si="14"/>
        <v>0</v>
      </c>
      <c r="R164" s="10">
        <v>5</v>
      </c>
      <c r="S164" s="10">
        <v>0</v>
      </c>
      <c r="T164" s="10">
        <v>0</v>
      </c>
      <c r="U164" s="3">
        <v>0</v>
      </c>
      <c r="V164" s="3">
        <v>1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17768830</v>
      </c>
      <c r="B165" s="8" t="s">
        <v>243</v>
      </c>
      <c r="C165" s="8" t="s">
        <v>25</v>
      </c>
      <c r="D165" s="8" t="s">
        <v>413</v>
      </c>
      <c r="E165" s="8" t="s">
        <v>26</v>
      </c>
      <c r="F165" s="8" t="s">
        <v>134</v>
      </c>
      <c r="G165" s="12" t="s">
        <v>412</v>
      </c>
      <c r="H165" s="7">
        <v>5</v>
      </c>
      <c r="I165" s="1">
        <v>0</v>
      </c>
      <c r="J165" s="1">
        <f t="shared" si="10"/>
        <v>0</v>
      </c>
      <c r="K165" s="5">
        <f t="shared" si="11"/>
        <v>0</v>
      </c>
      <c r="L165" s="2">
        <v>1687447.19263842</v>
      </c>
      <c r="M165" s="2">
        <v>840000</v>
      </c>
      <c r="N165" s="6">
        <f t="shared" si="12"/>
        <v>1</v>
      </c>
      <c r="O165" s="9">
        <f t="shared" si="13"/>
        <v>0.49779335535034552</v>
      </c>
      <c r="P165" s="10">
        <v>0</v>
      </c>
      <c r="Q165" s="1">
        <f t="shared" si="14"/>
        <v>0</v>
      </c>
      <c r="R165" s="10">
        <v>7</v>
      </c>
      <c r="S165" s="10">
        <v>0</v>
      </c>
      <c r="T165" s="10">
        <v>0</v>
      </c>
      <c r="U165" s="3">
        <v>0</v>
      </c>
      <c r="V165" s="3">
        <v>0</v>
      </c>
      <c r="W165" s="3">
        <v>1</v>
      </c>
      <c r="X165" s="3">
        <v>0</v>
      </c>
      <c r="Y165" s="3">
        <v>0</v>
      </c>
      <c r="Z165" s="3">
        <v>0</v>
      </c>
    </row>
    <row r="166" spans="1:26" ht="26">
      <c r="A166" s="8">
        <v>17745379</v>
      </c>
      <c r="B166" s="8" t="s">
        <v>244</v>
      </c>
      <c r="C166" s="8" t="s">
        <v>25</v>
      </c>
      <c r="D166" s="8" t="s">
        <v>409</v>
      </c>
      <c r="E166" s="8" t="s">
        <v>22</v>
      </c>
      <c r="F166" s="8" t="s">
        <v>50</v>
      </c>
      <c r="G166" s="12" t="s">
        <v>412</v>
      </c>
      <c r="H166" s="7">
        <v>4</v>
      </c>
      <c r="I166" s="1">
        <v>0</v>
      </c>
      <c r="J166" s="4">
        <f t="shared" si="10"/>
        <v>0</v>
      </c>
      <c r="K166" s="5">
        <f t="shared" si="11"/>
        <v>0</v>
      </c>
      <c r="L166" s="2">
        <v>2092161.5970017861</v>
      </c>
      <c r="M166" s="2">
        <v>0</v>
      </c>
      <c r="N166" s="6">
        <f t="shared" si="12"/>
        <v>0</v>
      </c>
      <c r="O166" s="9">
        <f t="shared" si="13"/>
        <v>0</v>
      </c>
      <c r="P166" s="10">
        <v>0</v>
      </c>
      <c r="Q166" s="1">
        <f t="shared" si="14"/>
        <v>0</v>
      </c>
      <c r="R166" s="10">
        <v>6</v>
      </c>
      <c r="S166" s="10">
        <v>0</v>
      </c>
      <c r="T166" s="10">
        <v>0</v>
      </c>
      <c r="U166" s="3">
        <v>0</v>
      </c>
      <c r="V166" s="3">
        <v>1</v>
      </c>
      <c r="W166" s="3">
        <v>0</v>
      </c>
      <c r="X166" s="3">
        <v>0</v>
      </c>
      <c r="Y166" s="3">
        <v>0</v>
      </c>
      <c r="Z166" s="3">
        <v>0</v>
      </c>
    </row>
    <row r="167" spans="1:26" ht="26">
      <c r="A167" s="8">
        <v>17628338</v>
      </c>
      <c r="B167" s="8" t="s">
        <v>245</v>
      </c>
      <c r="C167" s="8" t="s">
        <v>35</v>
      </c>
      <c r="D167" s="8" t="s">
        <v>411</v>
      </c>
      <c r="E167" s="8" t="s">
        <v>22</v>
      </c>
      <c r="F167" s="8" t="s">
        <v>106</v>
      </c>
      <c r="G167" s="12" t="s">
        <v>410</v>
      </c>
      <c r="H167" s="7">
        <v>3.3258731773482562</v>
      </c>
      <c r="I167" s="1">
        <v>0</v>
      </c>
      <c r="J167" s="4">
        <f t="shared" si="10"/>
        <v>0</v>
      </c>
      <c r="K167" s="5">
        <f t="shared" si="11"/>
        <v>0</v>
      </c>
      <c r="L167" s="2">
        <v>1233517.793070439</v>
      </c>
      <c r="M167" s="2">
        <v>2170000</v>
      </c>
      <c r="N167" s="6">
        <f t="shared" si="12"/>
        <v>1</v>
      </c>
      <c r="O167" s="9">
        <f t="shared" si="13"/>
        <v>1.7591963506245782</v>
      </c>
      <c r="P167" s="10">
        <v>0</v>
      </c>
      <c r="Q167" s="1">
        <f t="shared" si="14"/>
        <v>0</v>
      </c>
      <c r="R167" s="10">
        <v>6</v>
      </c>
      <c r="S167" s="10">
        <v>1</v>
      </c>
      <c r="T167" s="10">
        <v>0</v>
      </c>
      <c r="U167" s="3">
        <v>1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17434670</v>
      </c>
      <c r="B168" s="8" t="s">
        <v>246</v>
      </c>
      <c r="C168" s="8" t="s">
        <v>57</v>
      </c>
      <c r="D168" s="8" t="s">
        <v>409</v>
      </c>
      <c r="E168" s="8" t="s">
        <v>22</v>
      </c>
      <c r="F168" s="8" t="s">
        <v>77</v>
      </c>
      <c r="G168" s="12" t="s">
        <v>412</v>
      </c>
      <c r="H168" s="7">
        <v>9.9165450831630899</v>
      </c>
      <c r="I168" s="1">
        <v>0</v>
      </c>
      <c r="J168" s="4">
        <f t="shared" si="10"/>
        <v>0</v>
      </c>
      <c r="K168" s="5">
        <f t="shared" si="11"/>
        <v>0</v>
      </c>
      <c r="L168" s="2">
        <v>16535833.34314141</v>
      </c>
      <c r="M168" s="2">
        <v>1000000</v>
      </c>
      <c r="N168" s="6">
        <f t="shared" si="12"/>
        <v>1</v>
      </c>
      <c r="O168" s="9">
        <f t="shared" si="13"/>
        <v>6.0474726567970122E-2</v>
      </c>
      <c r="P168" s="10">
        <v>0</v>
      </c>
      <c r="Q168" s="1">
        <f t="shared" si="14"/>
        <v>0</v>
      </c>
      <c r="R168" s="10">
        <v>12</v>
      </c>
      <c r="S168" s="10">
        <v>0</v>
      </c>
      <c r="T168" s="10">
        <v>0</v>
      </c>
      <c r="U168" s="3">
        <v>0</v>
      </c>
      <c r="V168" s="3">
        <v>0</v>
      </c>
      <c r="W168" s="3">
        <v>1</v>
      </c>
      <c r="X168" s="3">
        <v>0</v>
      </c>
      <c r="Y168" s="3">
        <v>0</v>
      </c>
      <c r="Z168" s="3">
        <v>0</v>
      </c>
    </row>
    <row r="169" spans="1:26" ht="26">
      <c r="A169" s="8">
        <v>17242821</v>
      </c>
      <c r="B169" s="8" t="s">
        <v>247</v>
      </c>
      <c r="C169" s="8" t="s">
        <v>31</v>
      </c>
      <c r="D169" s="8" t="s">
        <v>411</v>
      </c>
      <c r="E169" s="8" t="s">
        <v>22</v>
      </c>
      <c r="F169" s="8" t="s">
        <v>179</v>
      </c>
      <c r="G169" s="12" t="s">
        <v>410</v>
      </c>
      <c r="H169" s="7">
        <v>7.691081722617823</v>
      </c>
      <c r="I169" s="1">
        <v>0</v>
      </c>
      <c r="J169" s="1">
        <f t="shared" si="10"/>
        <v>0</v>
      </c>
      <c r="K169" s="5">
        <f t="shared" si="11"/>
        <v>0</v>
      </c>
      <c r="L169" s="2">
        <v>1233517.793070439</v>
      </c>
      <c r="M169" s="2">
        <v>0</v>
      </c>
      <c r="N169" s="6">
        <f t="shared" si="12"/>
        <v>0</v>
      </c>
      <c r="O169" s="9">
        <f t="shared" si="13"/>
        <v>0</v>
      </c>
      <c r="P169" s="10">
        <v>0</v>
      </c>
      <c r="Q169" s="1">
        <f t="shared" si="14"/>
        <v>0</v>
      </c>
      <c r="R169" s="10">
        <v>10</v>
      </c>
      <c r="S169" s="10">
        <v>0</v>
      </c>
      <c r="T169" s="10">
        <v>0</v>
      </c>
      <c r="U169" s="3">
        <v>1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</row>
    <row r="170" spans="1:26" ht="26">
      <c r="A170" s="8">
        <v>1329385</v>
      </c>
      <c r="B170" s="8" t="s">
        <v>248</v>
      </c>
      <c r="C170" s="8" t="s">
        <v>31</v>
      </c>
      <c r="D170" s="8" t="s">
        <v>418</v>
      </c>
      <c r="E170" s="8" t="s">
        <v>22</v>
      </c>
      <c r="F170" s="8" t="s">
        <v>102</v>
      </c>
      <c r="G170" s="12" t="s">
        <v>410</v>
      </c>
      <c r="H170" s="7">
        <v>2.9101390301797232</v>
      </c>
      <c r="I170" s="1">
        <v>0</v>
      </c>
      <c r="J170" s="4">
        <f t="shared" si="10"/>
        <v>0</v>
      </c>
      <c r="K170" s="5">
        <f t="shared" si="11"/>
        <v>0</v>
      </c>
      <c r="L170" s="2">
        <v>29626053.564346101</v>
      </c>
      <c r="M170" s="2">
        <v>168000</v>
      </c>
      <c r="N170" s="6">
        <f t="shared" si="12"/>
        <v>0</v>
      </c>
      <c r="O170" s="9">
        <f t="shared" si="13"/>
        <v>5.6706844073954555E-3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1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1483993</v>
      </c>
      <c r="B171" s="8" t="s">
        <v>249</v>
      </c>
      <c r="C171" s="8" t="s">
        <v>35</v>
      </c>
      <c r="D171" s="8" t="s">
        <v>409</v>
      </c>
      <c r="E171" s="8" t="s">
        <v>22</v>
      </c>
      <c r="F171" s="8" t="s">
        <v>102</v>
      </c>
      <c r="G171" s="12" t="s">
        <v>410</v>
      </c>
      <c r="H171" s="7">
        <v>29</v>
      </c>
      <c r="I171" s="1">
        <v>3</v>
      </c>
      <c r="J171" s="1">
        <f t="shared" si="10"/>
        <v>1</v>
      </c>
      <c r="K171" s="5">
        <f t="shared" si="11"/>
        <v>0.10344827586206896</v>
      </c>
      <c r="L171" s="2">
        <v>3282105.2299947948</v>
      </c>
      <c r="M171" s="2">
        <v>285500</v>
      </c>
      <c r="N171" s="6">
        <f t="shared" si="12"/>
        <v>0</v>
      </c>
      <c r="O171" s="9">
        <f t="shared" si="13"/>
        <v>8.6986851424155215E-2</v>
      </c>
      <c r="P171" s="10">
        <v>0</v>
      </c>
      <c r="Q171" s="1">
        <f t="shared" si="14"/>
        <v>0</v>
      </c>
      <c r="R171" s="10">
        <v>21</v>
      </c>
      <c r="S171" s="10">
        <v>0</v>
      </c>
      <c r="T171" s="10">
        <v>0</v>
      </c>
      <c r="U171" s="3">
        <v>1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658632</v>
      </c>
      <c r="B172" s="8" t="s">
        <v>250</v>
      </c>
      <c r="C172" s="8" t="s">
        <v>31</v>
      </c>
      <c r="D172" s="8" t="s">
        <v>409</v>
      </c>
      <c r="E172" s="8" t="s">
        <v>22</v>
      </c>
      <c r="F172" s="8" t="s">
        <v>102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2649506.4184221751</v>
      </c>
      <c r="M172" s="2">
        <v>168000</v>
      </c>
      <c r="N172" s="6">
        <f t="shared" si="12"/>
        <v>0</v>
      </c>
      <c r="O172" s="9">
        <f t="shared" si="13"/>
        <v>6.3408036618400332E-2</v>
      </c>
      <c r="P172" s="10">
        <v>0</v>
      </c>
      <c r="Q172" s="1">
        <f t="shared" si="14"/>
        <v>0</v>
      </c>
      <c r="R172" s="10">
        <v>5</v>
      </c>
      <c r="S172" s="10">
        <v>0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17647227</v>
      </c>
      <c r="B173" s="8" t="s">
        <v>251</v>
      </c>
      <c r="C173" s="8" t="s">
        <v>21</v>
      </c>
      <c r="D173" s="8" t="s">
        <v>411</v>
      </c>
      <c r="E173" s="8" t="s">
        <v>26</v>
      </c>
      <c r="F173" s="8" t="s">
        <v>252</v>
      </c>
      <c r="G173" s="12" t="s">
        <v>410</v>
      </c>
      <c r="H173" s="7">
        <v>4.7809426924381153</v>
      </c>
      <c r="I173" s="1">
        <v>0</v>
      </c>
      <c r="J173" s="1">
        <f t="shared" si="10"/>
        <v>0</v>
      </c>
      <c r="K173" s="5">
        <f t="shared" si="11"/>
        <v>0</v>
      </c>
      <c r="L173" s="2">
        <v>1233517.793070439</v>
      </c>
      <c r="M173" s="2">
        <v>3020000</v>
      </c>
      <c r="N173" s="6">
        <f t="shared" si="12"/>
        <v>1</v>
      </c>
      <c r="O173" s="9">
        <f t="shared" si="13"/>
        <v>2.4482824787494128</v>
      </c>
      <c r="P173" s="10">
        <v>0</v>
      </c>
      <c r="Q173" s="1">
        <f t="shared" si="14"/>
        <v>0</v>
      </c>
      <c r="R173" s="10">
        <v>7</v>
      </c>
      <c r="S173" s="10">
        <v>0</v>
      </c>
      <c r="T173" s="10">
        <v>0</v>
      </c>
      <c r="U173" s="3">
        <v>0</v>
      </c>
      <c r="V173" s="3">
        <v>1</v>
      </c>
      <c r="W173" s="3">
        <v>0</v>
      </c>
      <c r="X173" s="3">
        <v>0</v>
      </c>
      <c r="Y173" s="3">
        <v>0</v>
      </c>
      <c r="Z173" s="3">
        <v>0</v>
      </c>
    </row>
    <row r="174" spans="1:26" ht="26">
      <c r="A174" s="8">
        <v>17524586</v>
      </c>
      <c r="B174" s="8" t="s">
        <v>253</v>
      </c>
      <c r="C174" s="8" t="s">
        <v>31</v>
      </c>
      <c r="D174" s="8" t="s">
        <v>409</v>
      </c>
      <c r="E174" s="8" t="s">
        <v>22</v>
      </c>
      <c r="F174" s="8" t="s">
        <v>102</v>
      </c>
      <c r="G174" s="12" t="s">
        <v>410</v>
      </c>
      <c r="H174" s="7">
        <v>5</v>
      </c>
      <c r="I174" s="1">
        <v>0</v>
      </c>
      <c r="J174" s="1">
        <f t="shared" si="10"/>
        <v>0</v>
      </c>
      <c r="K174" s="5">
        <f t="shared" si="11"/>
        <v>0</v>
      </c>
      <c r="L174" s="2">
        <v>19880654</v>
      </c>
      <c r="M174" s="2">
        <v>117600</v>
      </c>
      <c r="N174" s="6">
        <f t="shared" si="12"/>
        <v>0</v>
      </c>
      <c r="O174" s="9">
        <f t="shared" si="13"/>
        <v>5.9152983599030495E-3</v>
      </c>
      <c r="P174" s="10">
        <v>0</v>
      </c>
      <c r="Q174" s="1">
        <f t="shared" si="14"/>
        <v>0</v>
      </c>
      <c r="R174" s="10">
        <v>7</v>
      </c>
      <c r="S174" s="10">
        <v>0</v>
      </c>
      <c r="T174" s="10">
        <v>0</v>
      </c>
      <c r="U174" s="3">
        <v>0</v>
      </c>
      <c r="V174" s="3">
        <v>1</v>
      </c>
      <c r="W174" s="3">
        <v>1</v>
      </c>
      <c r="X174" s="3">
        <v>0</v>
      </c>
      <c r="Y174" s="3">
        <v>0</v>
      </c>
      <c r="Z174" s="3">
        <v>0</v>
      </c>
    </row>
    <row r="175" spans="1:26" ht="26">
      <c r="A175" s="8" t="s">
        <v>401</v>
      </c>
      <c r="B175" s="8" t="s">
        <v>404</v>
      </c>
      <c r="C175" s="8" t="s">
        <v>35</v>
      </c>
      <c r="D175" s="8" t="s">
        <v>409</v>
      </c>
      <c r="E175" s="8" t="s">
        <v>22</v>
      </c>
      <c r="F175" s="11" t="s">
        <v>219</v>
      </c>
      <c r="G175" s="12" t="s">
        <v>410</v>
      </c>
      <c r="H175" s="7">
        <v>6.0281451339437124</v>
      </c>
      <c r="I175" s="1">
        <v>3</v>
      </c>
      <c r="J175" s="4">
        <f t="shared" si="10"/>
        <v>1</v>
      </c>
      <c r="K175" s="5">
        <f t="shared" si="11"/>
        <v>0.49766552286662519</v>
      </c>
      <c r="L175" s="2">
        <v>2549477.9785796599</v>
      </c>
      <c r="M175" s="2">
        <v>238800</v>
      </c>
      <c r="N175" s="6">
        <f t="shared" si="12"/>
        <v>0</v>
      </c>
      <c r="O175" s="9">
        <f t="shared" si="13"/>
        <v>9.3666233639342081E-2</v>
      </c>
      <c r="P175" s="10">
        <v>1</v>
      </c>
      <c r="Q175" s="1">
        <f t="shared" si="14"/>
        <v>0</v>
      </c>
      <c r="R175" s="10">
        <v>9</v>
      </c>
      <c r="S175" s="10">
        <v>0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1</v>
      </c>
      <c r="Z175" s="3">
        <v>0</v>
      </c>
    </row>
    <row r="176" spans="1:26" ht="26">
      <c r="A176" s="8">
        <v>17775710</v>
      </c>
      <c r="B176" s="8" t="s">
        <v>254</v>
      </c>
      <c r="C176" s="8" t="s">
        <v>35</v>
      </c>
      <c r="D176" s="8" t="s">
        <v>411</v>
      </c>
      <c r="E176" s="8" t="s">
        <v>26</v>
      </c>
      <c r="F176" s="8" t="s">
        <v>62</v>
      </c>
      <c r="G176" s="12" t="s">
        <v>410</v>
      </c>
      <c r="H176" s="7">
        <v>4.7809426924381153</v>
      </c>
      <c r="I176" s="1">
        <v>0</v>
      </c>
      <c r="J176" s="1">
        <f t="shared" si="10"/>
        <v>0</v>
      </c>
      <c r="K176" s="5">
        <f t="shared" si="11"/>
        <v>0</v>
      </c>
      <c r="L176" s="2">
        <v>1233517.793070439</v>
      </c>
      <c r="M176" s="2">
        <v>168000</v>
      </c>
      <c r="N176" s="6">
        <f t="shared" si="12"/>
        <v>0</v>
      </c>
      <c r="O176" s="9">
        <f t="shared" si="13"/>
        <v>0.13619584649996735</v>
      </c>
      <c r="P176" s="10">
        <v>0</v>
      </c>
      <c r="Q176" s="1">
        <f t="shared" si="14"/>
        <v>0</v>
      </c>
      <c r="R176" s="10">
        <v>7</v>
      </c>
      <c r="S176" s="10">
        <v>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17674081</v>
      </c>
      <c r="B177" s="8" t="s">
        <v>255</v>
      </c>
      <c r="C177" s="8" t="s">
        <v>35</v>
      </c>
      <c r="D177" s="8" t="s">
        <v>411</v>
      </c>
      <c r="E177" s="8" t="s">
        <v>26</v>
      </c>
      <c r="F177" s="8" t="s">
        <v>82</v>
      </c>
      <c r="G177" s="12" t="s">
        <v>410</v>
      </c>
      <c r="H177" s="7">
        <v>4.9888097660223796</v>
      </c>
      <c r="I177" s="1">
        <v>0</v>
      </c>
      <c r="J177" s="4">
        <f t="shared" si="10"/>
        <v>0</v>
      </c>
      <c r="K177" s="5">
        <f t="shared" si="11"/>
        <v>0</v>
      </c>
      <c r="L177" s="2">
        <v>1233517.793070439</v>
      </c>
      <c r="M177" s="2">
        <v>0</v>
      </c>
      <c r="N177" s="6">
        <f t="shared" si="12"/>
        <v>0</v>
      </c>
      <c r="O177" s="9">
        <f t="shared" si="13"/>
        <v>0</v>
      </c>
      <c r="P177" s="10">
        <v>1</v>
      </c>
      <c r="Q177" s="1">
        <f t="shared" si="14"/>
        <v>0</v>
      </c>
      <c r="R177" s="10">
        <v>7</v>
      </c>
      <c r="S177" s="10">
        <v>0</v>
      </c>
      <c r="T177" s="10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0</v>
      </c>
    </row>
    <row r="178" spans="1:26" ht="26">
      <c r="A178" s="8">
        <v>17582760</v>
      </c>
      <c r="B178" s="8" t="s">
        <v>256</v>
      </c>
      <c r="C178" s="8" t="s">
        <v>21</v>
      </c>
      <c r="D178" s="8" t="s">
        <v>413</v>
      </c>
      <c r="E178" s="8" t="s">
        <v>26</v>
      </c>
      <c r="F178" s="8" t="s">
        <v>108</v>
      </c>
      <c r="G178" s="12" t="s">
        <v>410</v>
      </c>
      <c r="H178" s="7">
        <v>3</v>
      </c>
      <c r="I178" s="1">
        <v>0</v>
      </c>
      <c r="J178" s="4">
        <f t="shared" si="10"/>
        <v>0</v>
      </c>
      <c r="K178" s="5">
        <f t="shared" si="11"/>
        <v>0</v>
      </c>
      <c r="L178" s="2">
        <v>6018419.3717715694</v>
      </c>
      <c r="M178" s="2">
        <v>170000</v>
      </c>
      <c r="N178" s="6">
        <f t="shared" si="12"/>
        <v>0</v>
      </c>
      <c r="O178" s="9">
        <f t="shared" si="13"/>
        <v>2.8246619170036194E-2</v>
      </c>
      <c r="P178" s="10">
        <v>0</v>
      </c>
      <c r="Q178" s="1">
        <f t="shared" si="14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8">
        <v>17694207</v>
      </c>
      <c r="B179" s="8" t="s">
        <v>257</v>
      </c>
      <c r="C179" s="8" t="s">
        <v>25</v>
      </c>
      <c r="D179" s="8" t="s">
        <v>413</v>
      </c>
      <c r="E179" s="8" t="s">
        <v>26</v>
      </c>
      <c r="F179" s="8" t="s">
        <v>226</v>
      </c>
      <c r="G179" s="12" t="s">
        <v>412</v>
      </c>
      <c r="H179" s="7">
        <v>5.2681645754304078</v>
      </c>
      <c r="I179" s="1">
        <v>0</v>
      </c>
      <c r="J179" s="4">
        <f t="shared" si="10"/>
        <v>0</v>
      </c>
      <c r="K179" s="5">
        <f t="shared" si="11"/>
        <v>0</v>
      </c>
      <c r="L179" s="2">
        <v>24528493.944663569</v>
      </c>
      <c r="M179" s="2">
        <v>425000</v>
      </c>
      <c r="N179" s="6">
        <f t="shared" si="12"/>
        <v>1</v>
      </c>
      <c r="O179" s="9">
        <f t="shared" si="13"/>
        <v>1.7326787407282426E-2</v>
      </c>
      <c r="P179" s="10">
        <v>0</v>
      </c>
      <c r="Q179" s="1">
        <f t="shared" si="14"/>
        <v>0</v>
      </c>
      <c r="R179" s="10">
        <v>8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0</v>
      </c>
    </row>
    <row r="180" spans="1:26" ht="26">
      <c r="A180" s="8">
        <v>766491</v>
      </c>
      <c r="B180" s="8" t="s">
        <v>258</v>
      </c>
      <c r="C180" s="27" t="s">
        <v>57</v>
      </c>
      <c r="D180" s="8" t="s">
        <v>409</v>
      </c>
      <c r="E180" s="8" t="s">
        <v>22</v>
      </c>
      <c r="F180" s="8" t="s">
        <v>29</v>
      </c>
      <c r="G180" s="12" t="s">
        <v>412</v>
      </c>
      <c r="H180" s="7">
        <v>5.5780566092792494</v>
      </c>
      <c r="I180" s="1">
        <v>0</v>
      </c>
      <c r="J180" s="4">
        <f t="shared" si="10"/>
        <v>0</v>
      </c>
      <c r="K180" s="5">
        <f t="shared" si="11"/>
        <v>0</v>
      </c>
      <c r="L180" s="2">
        <v>11830444.84236645</v>
      </c>
      <c r="M180" s="2">
        <v>258500</v>
      </c>
      <c r="N180" s="6">
        <f t="shared" si="12"/>
        <v>0</v>
      </c>
      <c r="O180" s="9">
        <f t="shared" si="13"/>
        <v>2.185040405871096E-2</v>
      </c>
      <c r="P180" s="10">
        <v>3</v>
      </c>
      <c r="Q180" s="1">
        <f t="shared" si="14"/>
        <v>1</v>
      </c>
      <c r="R180" s="10">
        <v>8</v>
      </c>
      <c r="S180" s="10">
        <v>5</v>
      </c>
      <c r="T180" s="10">
        <v>0</v>
      </c>
      <c r="U180" s="3">
        <v>1</v>
      </c>
      <c r="V180" s="3">
        <v>1</v>
      </c>
      <c r="W180" s="3">
        <v>1</v>
      </c>
      <c r="X180" s="3">
        <v>1</v>
      </c>
      <c r="Y180" s="3">
        <v>1</v>
      </c>
      <c r="Z180" s="3">
        <v>1</v>
      </c>
    </row>
    <row r="181" spans="1:26" ht="26">
      <c r="A181" s="8">
        <v>17612187</v>
      </c>
      <c r="B181" s="8" t="s">
        <v>259</v>
      </c>
      <c r="C181" s="8" t="s">
        <v>21</v>
      </c>
      <c r="D181" s="8" t="s">
        <v>411</v>
      </c>
      <c r="E181" s="8" t="s">
        <v>26</v>
      </c>
      <c r="F181" s="8" t="s">
        <v>73</v>
      </c>
      <c r="G181" s="12" t="s">
        <v>410</v>
      </c>
      <c r="H181" s="7">
        <v>6.651746354696491</v>
      </c>
      <c r="I181" s="1">
        <v>0</v>
      </c>
      <c r="J181" s="4">
        <f t="shared" si="10"/>
        <v>0</v>
      </c>
      <c r="K181" s="5">
        <f t="shared" si="11"/>
        <v>0</v>
      </c>
      <c r="L181" s="2">
        <v>1233517.793070439</v>
      </c>
      <c r="M181" s="2">
        <v>85000</v>
      </c>
      <c r="N181" s="6">
        <f t="shared" si="12"/>
        <v>0</v>
      </c>
      <c r="O181" s="9">
        <f t="shared" si="13"/>
        <v>6.8908612812483477E-2</v>
      </c>
      <c r="P181" s="10">
        <v>0</v>
      </c>
      <c r="Q181" s="1">
        <f t="shared" si="14"/>
        <v>0</v>
      </c>
      <c r="R181" s="10">
        <v>9</v>
      </c>
      <c r="S181" s="10">
        <v>0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17518440</v>
      </c>
      <c r="B182" s="8" t="s">
        <v>260</v>
      </c>
      <c r="C182" s="8" t="s">
        <v>25</v>
      </c>
      <c r="D182" s="8" t="s">
        <v>411</v>
      </c>
      <c r="E182" s="8" t="s">
        <v>26</v>
      </c>
      <c r="F182" s="8" t="s">
        <v>89</v>
      </c>
      <c r="G182" s="12" t="s">
        <v>412</v>
      </c>
      <c r="H182" s="7">
        <v>5</v>
      </c>
      <c r="I182" s="1">
        <v>0</v>
      </c>
      <c r="J182" s="1">
        <f t="shared" si="10"/>
        <v>0</v>
      </c>
      <c r="K182" s="5">
        <f t="shared" si="11"/>
        <v>0</v>
      </c>
      <c r="L182" s="2">
        <v>1750470.598109382</v>
      </c>
      <c r="M182" s="2">
        <v>0</v>
      </c>
      <c r="N182" s="6">
        <f t="shared" si="12"/>
        <v>0</v>
      </c>
      <c r="O182" s="9">
        <f t="shared" si="13"/>
        <v>0</v>
      </c>
      <c r="P182" s="10">
        <v>0</v>
      </c>
      <c r="Q182" s="1">
        <f t="shared" si="14"/>
        <v>0</v>
      </c>
      <c r="R182" s="10">
        <v>7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1</v>
      </c>
      <c r="Y182" s="3">
        <v>0</v>
      </c>
      <c r="Z182" s="3">
        <v>0</v>
      </c>
    </row>
    <row r="183" spans="1:26" ht="26">
      <c r="A183" s="13">
        <v>17768632</v>
      </c>
      <c r="B183" s="13" t="s">
        <v>443</v>
      </c>
      <c r="C183" s="8" t="s">
        <v>31</v>
      </c>
      <c r="D183" s="8" t="s">
        <v>411</v>
      </c>
      <c r="E183" s="8" t="s">
        <v>26</v>
      </c>
      <c r="F183" s="26" t="s">
        <v>121</v>
      </c>
      <c r="G183" s="25" t="s">
        <v>410</v>
      </c>
      <c r="H183" s="7">
        <v>2.7022719565954572</v>
      </c>
      <c r="I183" s="1">
        <v>0</v>
      </c>
      <c r="J183" s="1">
        <f t="shared" si="10"/>
        <v>0</v>
      </c>
      <c r="K183" s="5">
        <f t="shared" si="11"/>
        <v>0</v>
      </c>
      <c r="L183" s="2">
        <v>300000</v>
      </c>
      <c r="M183" s="2">
        <v>0</v>
      </c>
      <c r="N183" s="6">
        <f t="shared" si="12"/>
        <v>0</v>
      </c>
      <c r="O183" s="9">
        <f t="shared" si="13"/>
        <v>0</v>
      </c>
      <c r="P183" s="10">
        <v>0</v>
      </c>
      <c r="Q183" s="1">
        <f t="shared" si="14"/>
        <v>0</v>
      </c>
      <c r="R183" s="10">
        <v>5</v>
      </c>
      <c r="S183" s="10">
        <v>0</v>
      </c>
      <c r="T183" s="10">
        <v>0</v>
      </c>
      <c r="U183" s="3">
        <v>0</v>
      </c>
      <c r="V183" s="3">
        <v>0</v>
      </c>
      <c r="W183" s="3">
        <v>1</v>
      </c>
      <c r="X183" s="3">
        <v>0</v>
      </c>
      <c r="Y183" s="3">
        <v>0</v>
      </c>
      <c r="Z183" s="3">
        <v>0</v>
      </c>
    </row>
    <row r="184" spans="1:26" ht="26">
      <c r="A184" s="8">
        <v>17446543</v>
      </c>
      <c r="B184" s="8" t="s">
        <v>261</v>
      </c>
      <c r="C184" s="8" t="s">
        <v>35</v>
      </c>
      <c r="D184" s="8" t="s">
        <v>411</v>
      </c>
      <c r="E184" s="8" t="s">
        <v>26</v>
      </c>
      <c r="F184" s="8" t="s">
        <v>262</v>
      </c>
      <c r="G184" s="12" t="s">
        <v>410</v>
      </c>
      <c r="H184" s="7">
        <v>5</v>
      </c>
      <c r="I184" s="1">
        <v>0</v>
      </c>
      <c r="J184" s="1">
        <f t="shared" si="10"/>
        <v>0</v>
      </c>
      <c r="K184" s="5">
        <f t="shared" si="11"/>
        <v>0</v>
      </c>
      <c r="L184" s="2">
        <v>1233517.793070439</v>
      </c>
      <c r="M184" s="2">
        <v>0</v>
      </c>
      <c r="N184" s="6">
        <f t="shared" si="12"/>
        <v>0</v>
      </c>
      <c r="O184" s="9">
        <f t="shared" si="13"/>
        <v>0</v>
      </c>
      <c r="P184" s="10">
        <v>0</v>
      </c>
      <c r="Q184" s="1">
        <f t="shared" si="14"/>
        <v>0</v>
      </c>
      <c r="R184" s="10">
        <v>7</v>
      </c>
      <c r="S184" s="10">
        <v>0</v>
      </c>
      <c r="T184" s="10">
        <v>0</v>
      </c>
      <c r="U184" s="3">
        <v>0</v>
      </c>
      <c r="V184" s="3">
        <v>0</v>
      </c>
      <c r="W184" s="3">
        <v>0</v>
      </c>
      <c r="X184" s="3">
        <v>1</v>
      </c>
      <c r="Y184" s="3">
        <v>0</v>
      </c>
      <c r="Z184" s="3">
        <v>0</v>
      </c>
    </row>
    <row r="185" spans="1:26" ht="26">
      <c r="A185" s="8">
        <v>17692760</v>
      </c>
      <c r="B185" s="8" t="s">
        <v>263</v>
      </c>
      <c r="C185" s="8" t="s">
        <v>57</v>
      </c>
      <c r="D185" s="8" t="s">
        <v>409</v>
      </c>
      <c r="E185" s="8" t="s">
        <v>22</v>
      </c>
      <c r="F185" s="8" t="s">
        <v>169</v>
      </c>
      <c r="G185" s="12" t="s">
        <v>412</v>
      </c>
      <c r="H185" s="7">
        <v>9.9165450831630899</v>
      </c>
      <c r="I185" s="1">
        <v>0</v>
      </c>
      <c r="J185" s="1">
        <f t="shared" si="10"/>
        <v>0</v>
      </c>
      <c r="K185" s="5">
        <f t="shared" si="11"/>
        <v>0</v>
      </c>
      <c r="L185" s="2">
        <v>17114355.885669671</v>
      </c>
      <c r="M185" s="2">
        <v>0</v>
      </c>
      <c r="N185" s="6">
        <f t="shared" si="12"/>
        <v>0</v>
      </c>
      <c r="O185" s="9">
        <f t="shared" si="13"/>
        <v>0</v>
      </c>
      <c r="P185" s="10">
        <v>0</v>
      </c>
      <c r="Q185" s="1">
        <f t="shared" si="14"/>
        <v>0</v>
      </c>
      <c r="R185" s="10">
        <v>12</v>
      </c>
      <c r="S185" s="10">
        <v>0</v>
      </c>
      <c r="T185" s="10">
        <v>0</v>
      </c>
      <c r="U185" s="3">
        <v>0</v>
      </c>
      <c r="V185" s="3">
        <v>1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17764704</v>
      </c>
      <c r="B186" s="8" t="s">
        <v>264</v>
      </c>
      <c r="C186" s="8" t="s">
        <v>57</v>
      </c>
      <c r="D186" s="8" t="s">
        <v>411</v>
      </c>
      <c r="E186" s="8" t="s">
        <v>26</v>
      </c>
      <c r="F186" s="8" t="s">
        <v>265</v>
      </c>
      <c r="G186" s="12" t="s">
        <v>412</v>
      </c>
      <c r="H186" s="7">
        <v>6.1978406769769432</v>
      </c>
      <c r="I186" s="1">
        <v>0</v>
      </c>
      <c r="J186" s="4">
        <f t="shared" si="10"/>
        <v>0</v>
      </c>
      <c r="K186" s="5">
        <f t="shared" si="11"/>
        <v>0</v>
      </c>
      <c r="L186" s="2">
        <v>1810800.695654226</v>
      </c>
      <c r="M186" s="2">
        <v>0</v>
      </c>
      <c r="N186" s="6">
        <f t="shared" si="12"/>
        <v>0</v>
      </c>
      <c r="O186" s="9">
        <f t="shared" si="13"/>
        <v>0</v>
      </c>
      <c r="P186" s="10">
        <v>0</v>
      </c>
      <c r="Q186" s="1">
        <f t="shared" si="14"/>
        <v>0</v>
      </c>
      <c r="R186" s="10">
        <v>9</v>
      </c>
      <c r="S186" s="10">
        <v>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17742643</v>
      </c>
      <c r="B187" s="8" t="s">
        <v>266</v>
      </c>
      <c r="C187" s="8" t="s">
        <v>57</v>
      </c>
      <c r="D187" s="8" t="s">
        <v>411</v>
      </c>
      <c r="E187" s="8" t="s">
        <v>26</v>
      </c>
      <c r="F187" s="8" t="s">
        <v>267</v>
      </c>
      <c r="G187" s="12" t="s">
        <v>412</v>
      </c>
      <c r="H187" s="7">
        <v>9.9165450831630899</v>
      </c>
      <c r="I187" s="1">
        <v>0</v>
      </c>
      <c r="J187" s="4">
        <f t="shared" si="10"/>
        <v>0</v>
      </c>
      <c r="K187" s="5">
        <f t="shared" si="11"/>
        <v>0</v>
      </c>
      <c r="L187" s="2">
        <v>13620955.951644</v>
      </c>
      <c r="M187" s="2">
        <v>0</v>
      </c>
      <c r="N187" s="6">
        <f t="shared" si="12"/>
        <v>0</v>
      </c>
      <c r="O187" s="9">
        <f t="shared" si="13"/>
        <v>0</v>
      </c>
      <c r="P187" s="10">
        <v>3</v>
      </c>
      <c r="Q187" s="1">
        <f t="shared" si="14"/>
        <v>1</v>
      </c>
      <c r="R187" s="10">
        <v>12</v>
      </c>
      <c r="S187" s="10">
        <v>0</v>
      </c>
      <c r="T187" s="10">
        <v>0</v>
      </c>
      <c r="U187" s="3">
        <v>0</v>
      </c>
      <c r="V187" s="3">
        <v>0</v>
      </c>
      <c r="W187" s="3">
        <v>0</v>
      </c>
      <c r="X187" s="3">
        <v>1</v>
      </c>
      <c r="Y187" s="3">
        <v>0</v>
      </c>
      <c r="Z187" s="3">
        <v>0</v>
      </c>
    </row>
    <row r="188" spans="1:26" ht="26">
      <c r="A188" s="8">
        <v>17668458</v>
      </c>
      <c r="B188" s="8" t="s">
        <v>268</v>
      </c>
      <c r="C188" s="8" t="s">
        <v>35</v>
      </c>
      <c r="D188" s="8" t="s">
        <v>411</v>
      </c>
      <c r="E188" s="8" t="s">
        <v>22</v>
      </c>
      <c r="F188" s="8" t="s">
        <v>85</v>
      </c>
      <c r="G188" s="12" t="s">
        <v>410</v>
      </c>
      <c r="H188" s="7">
        <v>3</v>
      </c>
      <c r="I188" s="1">
        <v>0</v>
      </c>
      <c r="J188" s="1">
        <f t="shared" si="10"/>
        <v>0</v>
      </c>
      <c r="K188" s="5">
        <f t="shared" si="11"/>
        <v>0</v>
      </c>
      <c r="L188" s="2">
        <v>1233517.793070439</v>
      </c>
      <c r="M188" s="2">
        <v>300000</v>
      </c>
      <c r="N188" s="6">
        <f t="shared" si="12"/>
        <v>1</v>
      </c>
      <c r="O188" s="9">
        <f t="shared" si="13"/>
        <v>0.24320686874994168</v>
      </c>
      <c r="P188" s="10">
        <v>0</v>
      </c>
      <c r="Q188" s="1">
        <f t="shared" si="14"/>
        <v>0</v>
      </c>
      <c r="R188" s="10">
        <v>5</v>
      </c>
      <c r="S188" s="10">
        <v>0</v>
      </c>
      <c r="T188" s="10">
        <v>0</v>
      </c>
      <c r="U188" s="3">
        <v>0</v>
      </c>
      <c r="V188" s="3">
        <v>1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17681290</v>
      </c>
      <c r="B189" s="8" t="s">
        <v>269</v>
      </c>
      <c r="C189" s="8" t="s">
        <v>25</v>
      </c>
      <c r="D189" s="8" t="s">
        <v>411</v>
      </c>
      <c r="E189" s="8" t="s">
        <v>26</v>
      </c>
      <c r="F189" s="8" t="s">
        <v>270</v>
      </c>
      <c r="G189" s="12" t="s">
        <v>412</v>
      </c>
      <c r="H189" s="7">
        <v>7.4374088123723361</v>
      </c>
      <c r="I189" s="1">
        <v>0</v>
      </c>
      <c r="J189" s="1">
        <f t="shared" si="10"/>
        <v>0</v>
      </c>
      <c r="K189" s="5">
        <f t="shared" si="11"/>
        <v>0</v>
      </c>
      <c r="L189" s="2">
        <v>4750636.0739335204</v>
      </c>
      <c r="M189" s="2">
        <v>145000</v>
      </c>
      <c r="N189" s="6">
        <f t="shared" si="12"/>
        <v>0</v>
      </c>
      <c r="O189" s="9">
        <f t="shared" si="13"/>
        <v>3.0522228548637318E-2</v>
      </c>
      <c r="P189" s="10">
        <v>0</v>
      </c>
      <c r="Q189" s="1">
        <f t="shared" si="14"/>
        <v>0</v>
      </c>
      <c r="R189" s="10">
        <v>10</v>
      </c>
      <c r="S189" s="10">
        <v>0</v>
      </c>
      <c r="T189" s="10">
        <v>0</v>
      </c>
      <c r="U189" s="3">
        <v>1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697740</v>
      </c>
      <c r="B190" s="8" t="s">
        <v>271</v>
      </c>
      <c r="C190" s="27" t="s">
        <v>57</v>
      </c>
      <c r="D190" s="8" t="s">
        <v>409</v>
      </c>
      <c r="E190" s="8" t="s">
        <v>22</v>
      </c>
      <c r="F190" s="8" t="s">
        <v>29</v>
      </c>
      <c r="G190" s="12" t="s">
        <v>412</v>
      </c>
      <c r="H190" s="7">
        <v>13.325357455500431</v>
      </c>
      <c r="I190" s="1">
        <v>0</v>
      </c>
      <c r="J190" s="1">
        <f t="shared" si="10"/>
        <v>0</v>
      </c>
      <c r="K190" s="5">
        <f t="shared" si="11"/>
        <v>0</v>
      </c>
      <c r="L190" s="2">
        <v>2979157.6740004942</v>
      </c>
      <c r="M190" s="2">
        <v>3133000</v>
      </c>
      <c r="N190" s="6">
        <f t="shared" si="12"/>
        <v>1</v>
      </c>
      <c r="O190" s="9">
        <f t="shared" si="13"/>
        <v>1.0516395380285199</v>
      </c>
      <c r="P190" s="10">
        <v>0</v>
      </c>
      <c r="Q190" s="1">
        <f t="shared" si="14"/>
        <v>0</v>
      </c>
      <c r="R190" s="10">
        <v>9</v>
      </c>
      <c r="S190" s="10">
        <v>0</v>
      </c>
      <c r="T190" s="10">
        <v>0</v>
      </c>
      <c r="U190" s="3">
        <v>1</v>
      </c>
      <c r="V190" s="3">
        <v>1</v>
      </c>
      <c r="W190" s="3">
        <v>1</v>
      </c>
      <c r="X190" s="3">
        <v>1</v>
      </c>
      <c r="Y190" s="3">
        <v>1</v>
      </c>
      <c r="Z190" s="3">
        <v>1</v>
      </c>
    </row>
    <row r="191" spans="1:26" ht="26">
      <c r="A191" s="8">
        <v>17612149</v>
      </c>
      <c r="B191" s="8" t="s">
        <v>272</v>
      </c>
      <c r="C191" s="8" t="s">
        <v>57</v>
      </c>
      <c r="D191" s="8" t="s">
        <v>411</v>
      </c>
      <c r="E191" s="8" t="s">
        <v>26</v>
      </c>
      <c r="F191" s="8" t="s">
        <v>273</v>
      </c>
      <c r="G191" s="12" t="s">
        <v>412</v>
      </c>
      <c r="H191" s="7">
        <v>8.676976947767713</v>
      </c>
      <c r="I191" s="1">
        <v>0</v>
      </c>
      <c r="J191" s="1">
        <f t="shared" si="10"/>
        <v>0</v>
      </c>
      <c r="K191" s="5">
        <f t="shared" si="11"/>
        <v>0</v>
      </c>
      <c r="L191" s="2">
        <v>8918440.3126569595</v>
      </c>
      <c r="M191" s="2">
        <v>0</v>
      </c>
      <c r="N191" s="6">
        <f t="shared" si="12"/>
        <v>0</v>
      </c>
      <c r="O191" s="9">
        <f t="shared" si="13"/>
        <v>0</v>
      </c>
      <c r="P191" s="10">
        <v>0</v>
      </c>
      <c r="Q191" s="1">
        <f t="shared" si="14"/>
        <v>0</v>
      </c>
      <c r="R191" s="10">
        <v>11</v>
      </c>
      <c r="S191" s="10">
        <v>0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17608447</v>
      </c>
      <c r="B192" s="8" t="s">
        <v>274</v>
      </c>
      <c r="C192" s="8" t="s">
        <v>21</v>
      </c>
      <c r="D192" s="8" t="s">
        <v>411</v>
      </c>
      <c r="E192" s="8" t="s">
        <v>22</v>
      </c>
      <c r="F192" s="8" t="s">
        <v>108</v>
      </c>
      <c r="G192" s="12" t="s">
        <v>410</v>
      </c>
      <c r="H192" s="7">
        <v>7.2753475754493193</v>
      </c>
      <c r="I192" s="1">
        <v>0</v>
      </c>
      <c r="J192" s="4">
        <f t="shared" si="10"/>
        <v>0</v>
      </c>
      <c r="K192" s="5">
        <f t="shared" si="11"/>
        <v>0</v>
      </c>
      <c r="L192" s="2">
        <v>1233517.793070439</v>
      </c>
      <c r="M192" s="2">
        <v>100000</v>
      </c>
      <c r="N192" s="6">
        <f t="shared" si="12"/>
        <v>0</v>
      </c>
      <c r="O192" s="9">
        <f t="shared" si="13"/>
        <v>8.1068956249980562E-2</v>
      </c>
      <c r="P192" s="10">
        <v>0</v>
      </c>
      <c r="Q192" s="1">
        <f t="shared" si="14"/>
        <v>0</v>
      </c>
      <c r="R192" s="10">
        <v>10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17449128</v>
      </c>
      <c r="B193" s="8" t="s">
        <v>275</v>
      </c>
      <c r="C193" s="8" t="s">
        <v>35</v>
      </c>
      <c r="D193" s="8" t="s">
        <v>411</v>
      </c>
      <c r="E193" s="8" t="s">
        <v>22</v>
      </c>
      <c r="F193" s="8" t="s">
        <v>145</v>
      </c>
      <c r="G193" s="12" t="s">
        <v>410</v>
      </c>
      <c r="H193" s="7">
        <v>4.9888097660223796</v>
      </c>
      <c r="I193" s="1">
        <v>2</v>
      </c>
      <c r="J193" s="4">
        <f t="shared" si="10"/>
        <v>0</v>
      </c>
      <c r="K193" s="5">
        <f t="shared" si="11"/>
        <v>0.40089722675367057</v>
      </c>
      <c r="L193" s="2">
        <v>1233517.793070439</v>
      </c>
      <c r="M193" s="2">
        <v>2000000</v>
      </c>
      <c r="N193" s="6">
        <f t="shared" si="12"/>
        <v>1</v>
      </c>
      <c r="O193" s="9">
        <f t="shared" si="13"/>
        <v>1.6213791249996112</v>
      </c>
      <c r="P193" s="10">
        <v>0</v>
      </c>
      <c r="Q193" s="1">
        <f t="shared" si="14"/>
        <v>0</v>
      </c>
      <c r="R193" s="10">
        <v>7</v>
      </c>
      <c r="S193" s="10">
        <v>0</v>
      </c>
      <c r="T193" s="10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17736369</v>
      </c>
      <c r="B194" s="8" t="s">
        <v>276</v>
      </c>
      <c r="C194" s="8" t="s">
        <v>21</v>
      </c>
      <c r="D194" s="8" t="s">
        <v>411</v>
      </c>
      <c r="E194" s="8" t="s">
        <v>22</v>
      </c>
      <c r="F194" s="8" t="s">
        <v>23</v>
      </c>
      <c r="G194" s="12" t="s">
        <v>410</v>
      </c>
      <c r="H194" s="7">
        <v>5</v>
      </c>
      <c r="I194" s="1">
        <v>0</v>
      </c>
      <c r="J194" s="1">
        <f t="shared" si="10"/>
        <v>0</v>
      </c>
      <c r="K194" s="5">
        <f t="shared" si="11"/>
        <v>0</v>
      </c>
      <c r="L194" s="2">
        <v>1233517.793070439</v>
      </c>
      <c r="M194" s="2">
        <v>1000000</v>
      </c>
      <c r="N194" s="6">
        <f t="shared" si="12"/>
        <v>1</v>
      </c>
      <c r="O194" s="9">
        <f t="shared" si="13"/>
        <v>0.81068956249980562</v>
      </c>
      <c r="P194" s="10">
        <v>0</v>
      </c>
      <c r="Q194" s="1">
        <f t="shared" si="14"/>
        <v>0</v>
      </c>
      <c r="R194" s="10">
        <v>7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17613077</v>
      </c>
      <c r="B195" s="8" t="s">
        <v>277</v>
      </c>
      <c r="C195" s="8" t="s">
        <v>57</v>
      </c>
      <c r="D195" s="8" t="s">
        <v>411</v>
      </c>
      <c r="E195" s="8" t="s">
        <v>26</v>
      </c>
      <c r="F195" s="8" t="s">
        <v>156</v>
      </c>
      <c r="G195" s="12" t="s">
        <v>412</v>
      </c>
      <c r="H195" s="7">
        <v>8.0571928800700618</v>
      </c>
      <c r="I195" s="1">
        <v>0</v>
      </c>
      <c r="J195" s="4">
        <f t="shared" si="10"/>
        <v>0</v>
      </c>
      <c r="K195" s="5">
        <f t="shared" si="11"/>
        <v>0</v>
      </c>
      <c r="L195" s="2">
        <v>1673082.8836991631</v>
      </c>
      <c r="M195" s="2">
        <v>0</v>
      </c>
      <c r="N195" s="6">
        <f t="shared" si="12"/>
        <v>0</v>
      </c>
      <c r="O195" s="9">
        <f t="shared" si="13"/>
        <v>0</v>
      </c>
      <c r="P195" s="10">
        <v>3</v>
      </c>
      <c r="Q195" s="1">
        <f t="shared" si="14"/>
        <v>1</v>
      </c>
      <c r="R195" s="10">
        <v>11</v>
      </c>
      <c r="S195" s="10">
        <v>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17690318</v>
      </c>
      <c r="B196" s="8" t="s">
        <v>278</v>
      </c>
      <c r="C196" s="8" t="s">
        <v>31</v>
      </c>
      <c r="D196" s="8" t="s">
        <v>413</v>
      </c>
      <c r="E196" s="8" t="s">
        <v>26</v>
      </c>
      <c r="F196" s="8" t="s">
        <v>279</v>
      </c>
      <c r="G196" s="12" t="s">
        <v>410</v>
      </c>
      <c r="H196" s="7">
        <v>5</v>
      </c>
      <c r="I196" s="1">
        <v>3</v>
      </c>
      <c r="J196" s="1">
        <f t="shared" si="10"/>
        <v>1</v>
      </c>
      <c r="K196" s="5">
        <f t="shared" si="11"/>
        <v>0.6</v>
      </c>
      <c r="L196" s="2">
        <v>6018419.3717715694</v>
      </c>
      <c r="M196" s="2">
        <v>308400</v>
      </c>
      <c r="N196" s="6">
        <f t="shared" si="12"/>
        <v>1</v>
      </c>
      <c r="O196" s="9">
        <f t="shared" si="13"/>
        <v>5.1242690306112719E-2</v>
      </c>
      <c r="P196" s="10">
        <v>0</v>
      </c>
      <c r="Q196" s="1">
        <f t="shared" si="14"/>
        <v>0</v>
      </c>
      <c r="R196" s="10">
        <v>7</v>
      </c>
      <c r="S196" s="10">
        <v>0</v>
      </c>
      <c r="T196" s="10">
        <v>0</v>
      </c>
      <c r="U196" s="3">
        <v>0</v>
      </c>
      <c r="V196" s="3">
        <v>0</v>
      </c>
      <c r="W196" s="3">
        <v>0</v>
      </c>
      <c r="X196" s="3">
        <v>1</v>
      </c>
      <c r="Y196" s="3">
        <v>0</v>
      </c>
      <c r="Z196" s="3">
        <v>0</v>
      </c>
    </row>
    <row r="197" spans="1:26" ht="26">
      <c r="A197" s="8">
        <v>17569366</v>
      </c>
      <c r="B197" s="8" t="s">
        <v>280</v>
      </c>
      <c r="C197" s="8" t="s">
        <v>31</v>
      </c>
      <c r="D197" s="8" t="s">
        <v>409</v>
      </c>
      <c r="E197" s="8" t="s">
        <v>22</v>
      </c>
      <c r="F197" s="8" t="s">
        <v>179</v>
      </c>
      <c r="G197" s="12" t="s">
        <v>410</v>
      </c>
      <c r="H197" s="7">
        <v>5</v>
      </c>
      <c r="I197" s="1">
        <v>0</v>
      </c>
      <c r="J197" s="1">
        <f t="shared" si="10"/>
        <v>0</v>
      </c>
      <c r="K197" s="5">
        <f t="shared" si="11"/>
        <v>0</v>
      </c>
      <c r="L197" s="2">
        <v>22463880</v>
      </c>
      <c r="M197" s="2">
        <v>0</v>
      </c>
      <c r="N197" s="6">
        <f t="shared" si="12"/>
        <v>0</v>
      </c>
      <c r="O197" s="9">
        <f t="shared" si="13"/>
        <v>0</v>
      </c>
      <c r="P197" s="10">
        <v>0</v>
      </c>
      <c r="Q197" s="1">
        <f t="shared" si="14"/>
        <v>0</v>
      </c>
      <c r="R197" s="10">
        <v>7</v>
      </c>
      <c r="S197" s="10">
        <v>0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1069320</v>
      </c>
      <c r="B198" s="8" t="s">
        <v>281</v>
      </c>
      <c r="C198" s="8" t="s">
        <v>35</v>
      </c>
      <c r="D198" s="8" t="s">
        <v>409</v>
      </c>
      <c r="E198" s="8" t="s">
        <v>22</v>
      </c>
      <c r="F198" s="8" t="s">
        <v>130</v>
      </c>
      <c r="G198" s="12" t="s">
        <v>410</v>
      </c>
      <c r="H198" s="7">
        <v>5</v>
      </c>
      <c r="I198" s="1">
        <v>0</v>
      </c>
      <c r="J198" s="4">
        <f t="shared" ref="J198:J261" si="15">IF(I198&gt;=3,1,0)</f>
        <v>0</v>
      </c>
      <c r="K198" s="5">
        <f t="shared" ref="K198:K261" si="16">I198/H198</f>
        <v>0</v>
      </c>
      <c r="L198" s="2">
        <v>3959230.4169087922</v>
      </c>
      <c r="M198" s="2">
        <v>0</v>
      </c>
      <c r="N198" s="6">
        <f t="shared" ref="N198:N261" si="17">IF(M198&gt;=300000,1,0)</f>
        <v>0</v>
      </c>
      <c r="O198" s="9">
        <f t="shared" ref="O198:O261" si="18">M198/L198</f>
        <v>0</v>
      </c>
      <c r="P198" s="10">
        <v>0</v>
      </c>
      <c r="Q198" s="1">
        <f t="shared" ref="Q198:Q261" si="19">IF(P198&gt;=3,1,0)</f>
        <v>0</v>
      </c>
      <c r="R198" s="10">
        <v>7</v>
      </c>
      <c r="S198" s="10">
        <v>0</v>
      </c>
      <c r="T198" s="10">
        <v>0</v>
      </c>
      <c r="U198" s="3">
        <v>0</v>
      </c>
      <c r="V198" s="3">
        <v>1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17478838</v>
      </c>
      <c r="B199" s="8" t="s">
        <v>282</v>
      </c>
      <c r="C199" s="8" t="s">
        <v>35</v>
      </c>
      <c r="D199" s="8" t="s">
        <v>409</v>
      </c>
      <c r="E199" s="8" t="s">
        <v>22</v>
      </c>
      <c r="F199" s="8" t="s">
        <v>145</v>
      </c>
      <c r="G199" s="12" t="s">
        <v>410</v>
      </c>
      <c r="H199" s="7">
        <v>16.213631739572751</v>
      </c>
      <c r="I199" s="1">
        <v>0</v>
      </c>
      <c r="J199" s="4">
        <f t="shared" si="15"/>
        <v>0</v>
      </c>
      <c r="K199" s="5">
        <f t="shared" si="16"/>
        <v>0</v>
      </c>
      <c r="L199" s="2">
        <v>3114725.9703081902</v>
      </c>
      <c r="M199" s="2">
        <v>1000000</v>
      </c>
      <c r="N199" s="6">
        <f t="shared" si="17"/>
        <v>1</v>
      </c>
      <c r="O199" s="9">
        <f t="shared" si="18"/>
        <v>0.32105553089829403</v>
      </c>
      <c r="P199" s="10">
        <v>0</v>
      </c>
      <c r="Q199" s="1">
        <f t="shared" si="19"/>
        <v>0</v>
      </c>
      <c r="R199" s="10">
        <v>9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1</v>
      </c>
      <c r="Y199" s="3">
        <v>0</v>
      </c>
      <c r="Z199" s="3">
        <v>0</v>
      </c>
    </row>
    <row r="200" spans="1:26" ht="26">
      <c r="A200" s="8">
        <v>17675844</v>
      </c>
      <c r="B200" s="8" t="s">
        <v>283</v>
      </c>
      <c r="C200" s="8" t="s">
        <v>21</v>
      </c>
      <c r="D200" s="8" t="s">
        <v>411</v>
      </c>
      <c r="E200" s="8" t="s">
        <v>22</v>
      </c>
      <c r="F200" s="8" t="s">
        <v>53</v>
      </c>
      <c r="G200" s="12" t="s">
        <v>410</v>
      </c>
      <c r="H200" s="7">
        <v>3.3258731773482562</v>
      </c>
      <c r="I200" s="1">
        <v>0</v>
      </c>
      <c r="J200" s="4">
        <f t="shared" si="15"/>
        <v>0</v>
      </c>
      <c r="K200" s="5">
        <f t="shared" si="16"/>
        <v>0</v>
      </c>
      <c r="L200" s="2">
        <v>1233517.793070439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6</v>
      </c>
      <c r="S200" s="10">
        <v>0</v>
      </c>
      <c r="T200" s="10">
        <v>0</v>
      </c>
      <c r="U200" s="3">
        <v>1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</row>
    <row r="201" spans="1:26" ht="26">
      <c r="A201" s="8">
        <v>17694204</v>
      </c>
      <c r="B201" s="8" t="s">
        <v>284</v>
      </c>
      <c r="C201" s="8" t="s">
        <v>35</v>
      </c>
      <c r="D201" s="8" t="s">
        <v>409</v>
      </c>
      <c r="E201" s="8" t="s">
        <v>22</v>
      </c>
      <c r="F201" s="8" t="s">
        <v>285</v>
      </c>
      <c r="G201" s="12" t="s">
        <v>410</v>
      </c>
      <c r="H201" s="7">
        <v>6.443879281112264</v>
      </c>
      <c r="I201" s="1">
        <v>0</v>
      </c>
      <c r="J201" s="1">
        <f t="shared" si="15"/>
        <v>0</v>
      </c>
      <c r="K201" s="5">
        <f t="shared" si="16"/>
        <v>0</v>
      </c>
      <c r="L201" s="2">
        <v>12908778</v>
      </c>
      <c r="M201" s="2">
        <v>168000</v>
      </c>
      <c r="N201" s="6">
        <f t="shared" si="17"/>
        <v>0</v>
      </c>
      <c r="O201" s="9">
        <f t="shared" si="18"/>
        <v>1.3014399968765441E-2</v>
      </c>
      <c r="P201" s="10">
        <v>0</v>
      </c>
      <c r="Q201" s="1">
        <f t="shared" si="19"/>
        <v>0</v>
      </c>
      <c r="R201" s="10">
        <v>9</v>
      </c>
      <c r="S201" s="10">
        <v>0</v>
      </c>
      <c r="T201" s="10">
        <v>0</v>
      </c>
      <c r="U201" s="3">
        <v>1</v>
      </c>
      <c r="V201" s="3">
        <v>0</v>
      </c>
      <c r="W201" s="3">
        <v>0</v>
      </c>
      <c r="X201" s="3">
        <v>0</v>
      </c>
      <c r="Y201" s="3">
        <v>1</v>
      </c>
      <c r="Z201" s="3">
        <v>0</v>
      </c>
    </row>
    <row r="202" spans="1:26" ht="26">
      <c r="A202" s="8">
        <v>17667161</v>
      </c>
      <c r="B202" s="8" t="s">
        <v>286</v>
      </c>
      <c r="C202" s="8" t="s">
        <v>31</v>
      </c>
      <c r="D202" s="8" t="s">
        <v>411</v>
      </c>
      <c r="E202" s="8" t="s">
        <v>22</v>
      </c>
      <c r="F202" s="8" t="s">
        <v>285</v>
      </c>
      <c r="G202" s="12" t="s">
        <v>410</v>
      </c>
      <c r="H202" s="7">
        <v>14.134961003730091</v>
      </c>
      <c r="I202" s="1">
        <v>0</v>
      </c>
      <c r="J202" s="1">
        <f t="shared" si="15"/>
        <v>0</v>
      </c>
      <c r="K202" s="5">
        <f t="shared" si="16"/>
        <v>0</v>
      </c>
      <c r="L202" s="2">
        <v>1233517.793070439</v>
      </c>
      <c r="M202" s="2">
        <v>0</v>
      </c>
      <c r="N202" s="6">
        <f t="shared" si="17"/>
        <v>0</v>
      </c>
      <c r="O202" s="9">
        <f t="shared" si="18"/>
        <v>0</v>
      </c>
      <c r="P202" s="10">
        <v>0</v>
      </c>
      <c r="Q202" s="1">
        <f t="shared" si="19"/>
        <v>0</v>
      </c>
      <c r="R202" s="10">
        <v>9</v>
      </c>
      <c r="S202" s="10">
        <v>0</v>
      </c>
      <c r="T202" s="10">
        <v>0</v>
      </c>
      <c r="U202" s="3">
        <v>0</v>
      </c>
      <c r="V202" s="3">
        <v>0</v>
      </c>
      <c r="W202" s="3">
        <v>1</v>
      </c>
      <c r="X202" s="3">
        <v>0</v>
      </c>
      <c r="Y202" s="3">
        <v>0</v>
      </c>
      <c r="Z202" s="3">
        <v>0</v>
      </c>
    </row>
    <row r="203" spans="1:26" ht="26">
      <c r="A203" s="8">
        <v>515112</v>
      </c>
      <c r="B203" s="8" t="s">
        <v>287</v>
      </c>
      <c r="C203" s="8" t="s">
        <v>31</v>
      </c>
      <c r="D203" s="8" t="s">
        <v>409</v>
      </c>
      <c r="E203" s="8" t="s">
        <v>22</v>
      </c>
      <c r="F203" s="8" t="s">
        <v>102</v>
      </c>
      <c r="G203" s="12" t="s">
        <v>410</v>
      </c>
      <c r="H203" s="7">
        <v>18.50016954899969</v>
      </c>
      <c r="I203" s="1">
        <v>0</v>
      </c>
      <c r="J203" s="4">
        <f t="shared" si="15"/>
        <v>0</v>
      </c>
      <c r="K203" s="5">
        <f t="shared" si="16"/>
        <v>0</v>
      </c>
      <c r="L203" s="2">
        <v>22463880</v>
      </c>
      <c r="M203" s="2">
        <v>1168000</v>
      </c>
      <c r="N203" s="6">
        <f t="shared" si="17"/>
        <v>1</v>
      </c>
      <c r="O203" s="9">
        <f t="shared" si="18"/>
        <v>5.1994579743125408E-2</v>
      </c>
      <c r="P203" s="10">
        <v>0</v>
      </c>
      <c r="Q203" s="1">
        <f t="shared" si="19"/>
        <v>0</v>
      </c>
      <c r="R203" s="10">
        <v>21</v>
      </c>
      <c r="S203" s="10">
        <v>0</v>
      </c>
      <c r="T203" s="10">
        <v>0</v>
      </c>
      <c r="U203" s="3">
        <v>0</v>
      </c>
      <c r="V203" s="3">
        <v>1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1077160</v>
      </c>
      <c r="B204" s="8" t="s">
        <v>288</v>
      </c>
      <c r="C204" s="8" t="s">
        <v>57</v>
      </c>
      <c r="D204" s="8" t="s">
        <v>409</v>
      </c>
      <c r="E204" s="8" t="s">
        <v>22</v>
      </c>
      <c r="F204" s="8" t="s">
        <v>75</v>
      </c>
      <c r="G204" s="12" t="s">
        <v>412</v>
      </c>
      <c r="H204" s="7">
        <v>10.84622118470968</v>
      </c>
      <c r="I204" s="1">
        <v>0</v>
      </c>
      <c r="J204" s="4">
        <f t="shared" si="15"/>
        <v>0</v>
      </c>
      <c r="K204" s="5">
        <f t="shared" si="16"/>
        <v>0</v>
      </c>
      <c r="L204" s="2">
        <v>23997732.729358271</v>
      </c>
      <c r="M204" s="2">
        <v>1000000</v>
      </c>
      <c r="N204" s="6">
        <f t="shared" si="17"/>
        <v>1</v>
      </c>
      <c r="O204" s="9">
        <f t="shared" si="18"/>
        <v>4.1670603272309266E-2</v>
      </c>
      <c r="P204" s="10">
        <v>0</v>
      </c>
      <c r="Q204" s="1">
        <f t="shared" si="19"/>
        <v>0</v>
      </c>
      <c r="R204" s="10">
        <v>13</v>
      </c>
      <c r="S204" s="10">
        <v>0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17210724</v>
      </c>
      <c r="B205" s="8" t="s">
        <v>289</v>
      </c>
      <c r="C205" s="8" t="s">
        <v>25</v>
      </c>
      <c r="D205" s="8" t="s">
        <v>411</v>
      </c>
      <c r="E205" s="8" t="s">
        <v>22</v>
      </c>
      <c r="F205" s="8" t="s">
        <v>91</v>
      </c>
      <c r="G205" s="12" t="s">
        <v>412</v>
      </c>
      <c r="H205" s="7">
        <v>5</v>
      </c>
      <c r="I205" s="1">
        <v>0</v>
      </c>
      <c r="J205" s="4">
        <f t="shared" si="15"/>
        <v>0</v>
      </c>
      <c r="K205" s="5">
        <f t="shared" si="16"/>
        <v>0</v>
      </c>
      <c r="L205" s="2">
        <v>10486663.7410996</v>
      </c>
      <c r="M205" s="2">
        <v>0</v>
      </c>
      <c r="N205" s="6">
        <f t="shared" si="17"/>
        <v>0</v>
      </c>
      <c r="O205" s="9">
        <f t="shared" si="18"/>
        <v>0</v>
      </c>
      <c r="P205" s="10">
        <v>0</v>
      </c>
      <c r="Q205" s="1">
        <f t="shared" si="19"/>
        <v>0</v>
      </c>
      <c r="R205" s="10">
        <v>7</v>
      </c>
      <c r="S205" s="10">
        <v>0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17497275</v>
      </c>
      <c r="B206" s="8" t="s">
        <v>290</v>
      </c>
      <c r="C206" s="8" t="s">
        <v>25</v>
      </c>
      <c r="D206" s="8" t="s">
        <v>409</v>
      </c>
      <c r="E206" s="8" t="s">
        <v>22</v>
      </c>
      <c r="F206" s="8" t="s">
        <v>71</v>
      </c>
      <c r="G206" s="12" t="s">
        <v>412</v>
      </c>
      <c r="H206" s="7">
        <v>6.1978406769769432</v>
      </c>
      <c r="I206" s="1">
        <v>0</v>
      </c>
      <c r="J206" s="4">
        <f t="shared" si="15"/>
        <v>0</v>
      </c>
      <c r="K206" s="5">
        <f t="shared" si="16"/>
        <v>0</v>
      </c>
      <c r="L206" s="2">
        <v>10825661.4320659</v>
      </c>
      <c r="M206" s="2">
        <v>145000</v>
      </c>
      <c r="N206" s="6">
        <f t="shared" si="17"/>
        <v>0</v>
      </c>
      <c r="O206" s="9">
        <f t="shared" si="18"/>
        <v>1.3394100758638738E-2</v>
      </c>
      <c r="P206" s="10">
        <v>0</v>
      </c>
      <c r="Q206" s="1">
        <f t="shared" si="19"/>
        <v>0</v>
      </c>
      <c r="R206" s="10">
        <v>9</v>
      </c>
      <c r="S206" s="10">
        <v>0</v>
      </c>
      <c r="T206" s="10">
        <v>0</v>
      </c>
      <c r="U206" s="3">
        <v>0</v>
      </c>
      <c r="V206" s="3">
        <v>0</v>
      </c>
      <c r="W206" s="3">
        <v>0</v>
      </c>
      <c r="X206" s="3">
        <v>0</v>
      </c>
      <c r="Y206" s="3">
        <v>1</v>
      </c>
      <c r="Z206" s="3">
        <v>0</v>
      </c>
    </row>
    <row r="207" spans="1:26" ht="26">
      <c r="A207" s="8">
        <v>17232998</v>
      </c>
      <c r="B207" s="8" t="s">
        <v>291</v>
      </c>
      <c r="C207" s="8" t="s">
        <v>31</v>
      </c>
      <c r="D207" s="8" t="s">
        <v>411</v>
      </c>
      <c r="E207" s="8" t="s">
        <v>22</v>
      </c>
      <c r="F207" s="8" t="s">
        <v>102</v>
      </c>
      <c r="G207" s="12" t="s">
        <v>410</v>
      </c>
      <c r="H207" s="7">
        <v>3</v>
      </c>
      <c r="I207" s="1">
        <v>0</v>
      </c>
      <c r="J207" s="4">
        <f t="shared" si="15"/>
        <v>0</v>
      </c>
      <c r="K207" s="5">
        <f t="shared" si="16"/>
        <v>0</v>
      </c>
      <c r="L207" s="2">
        <v>1233517.793070439</v>
      </c>
      <c r="M207" s="2">
        <v>0</v>
      </c>
      <c r="N207" s="6">
        <f t="shared" si="17"/>
        <v>0</v>
      </c>
      <c r="O207" s="9">
        <f t="shared" si="18"/>
        <v>0</v>
      </c>
      <c r="P207" s="10">
        <v>0</v>
      </c>
      <c r="Q207" s="1">
        <f t="shared" si="19"/>
        <v>0</v>
      </c>
      <c r="R207" s="10">
        <v>5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17667163</v>
      </c>
      <c r="B208" s="8" t="s">
        <v>292</v>
      </c>
      <c r="C208" s="8" t="s">
        <v>35</v>
      </c>
      <c r="D208" s="8" t="s">
        <v>409</v>
      </c>
      <c r="E208" s="8" t="s">
        <v>22</v>
      </c>
      <c r="F208" s="8" t="s">
        <v>130</v>
      </c>
      <c r="G208" s="12" t="s">
        <v>410</v>
      </c>
      <c r="H208" s="7">
        <v>7.8989487962020979</v>
      </c>
      <c r="I208" s="1">
        <v>0</v>
      </c>
      <c r="J208" s="1">
        <f t="shared" si="15"/>
        <v>0</v>
      </c>
      <c r="K208" s="5">
        <f t="shared" si="16"/>
        <v>0</v>
      </c>
      <c r="L208" s="2">
        <v>4815583.6188523257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10</v>
      </c>
      <c r="S208" s="10">
        <v>1</v>
      </c>
      <c r="T208" s="10">
        <v>0</v>
      </c>
      <c r="U208" s="3">
        <v>0</v>
      </c>
      <c r="V208" s="3">
        <v>1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17659124</v>
      </c>
      <c r="B209" s="8" t="s">
        <v>293</v>
      </c>
      <c r="C209" s="8" t="s">
        <v>57</v>
      </c>
      <c r="D209" s="8" t="s">
        <v>411</v>
      </c>
      <c r="E209" s="8" t="s">
        <v>26</v>
      </c>
      <c r="F209" s="8" t="s">
        <v>294</v>
      </c>
      <c r="G209" s="12" t="s">
        <v>412</v>
      </c>
      <c r="H209" s="7">
        <v>9.2967610154654388</v>
      </c>
      <c r="I209" s="1">
        <v>0</v>
      </c>
      <c r="J209" s="1">
        <f t="shared" si="15"/>
        <v>0</v>
      </c>
      <c r="K209" s="5">
        <f t="shared" si="16"/>
        <v>0</v>
      </c>
      <c r="L209" s="2">
        <v>13569244.439462701</v>
      </c>
      <c r="M209" s="2">
        <v>0</v>
      </c>
      <c r="N209" s="6">
        <f t="shared" si="17"/>
        <v>0</v>
      </c>
      <c r="O209" s="9">
        <f t="shared" si="18"/>
        <v>0</v>
      </c>
      <c r="P209" s="10">
        <v>4</v>
      </c>
      <c r="Q209" s="1">
        <f t="shared" si="19"/>
        <v>1</v>
      </c>
      <c r="R209" s="10">
        <v>12</v>
      </c>
      <c r="S209" s="10">
        <v>0</v>
      </c>
      <c r="T209" s="10">
        <v>0</v>
      </c>
      <c r="U209" s="3">
        <v>0</v>
      </c>
      <c r="V209" s="3">
        <v>1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17691756</v>
      </c>
      <c r="B210" s="8" t="s">
        <v>295</v>
      </c>
      <c r="C210" s="8" t="s">
        <v>35</v>
      </c>
      <c r="D210" s="8" t="s">
        <v>411</v>
      </c>
      <c r="E210" s="8" t="s">
        <v>26</v>
      </c>
      <c r="F210" s="8" t="s">
        <v>62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1233517.793070439</v>
      </c>
      <c r="M210" s="2">
        <v>234000</v>
      </c>
      <c r="N210" s="6">
        <f t="shared" si="17"/>
        <v>0</v>
      </c>
      <c r="O210" s="9">
        <f t="shared" si="18"/>
        <v>0.18970135762495452</v>
      </c>
      <c r="P210" s="10">
        <v>0</v>
      </c>
      <c r="Q210" s="1">
        <f t="shared" si="19"/>
        <v>0</v>
      </c>
      <c r="R210" s="10">
        <v>5</v>
      </c>
      <c r="S210" s="10">
        <v>0</v>
      </c>
      <c r="T210" s="10">
        <v>0</v>
      </c>
      <c r="U210" s="3">
        <v>0</v>
      </c>
      <c r="V210" s="3">
        <v>0</v>
      </c>
      <c r="W210" s="3">
        <v>1</v>
      </c>
      <c r="X210" s="3">
        <v>0</v>
      </c>
      <c r="Y210" s="3">
        <v>0</v>
      </c>
      <c r="Z210" s="3">
        <v>0</v>
      </c>
    </row>
    <row r="211" spans="1:26" ht="26">
      <c r="A211" s="8">
        <v>17771261</v>
      </c>
      <c r="B211" s="8" t="s">
        <v>296</v>
      </c>
      <c r="C211" s="8" t="s">
        <v>57</v>
      </c>
      <c r="D211" s="8" t="s">
        <v>411</v>
      </c>
      <c r="E211" s="8" t="s">
        <v>26</v>
      </c>
      <c r="F211" s="8" t="s">
        <v>297</v>
      </c>
      <c r="G211" s="12" t="s">
        <v>412</v>
      </c>
      <c r="H211" s="7">
        <v>10.536329150860819</v>
      </c>
      <c r="I211" s="1">
        <v>0</v>
      </c>
      <c r="J211" s="1">
        <f t="shared" si="15"/>
        <v>0</v>
      </c>
      <c r="K211" s="5">
        <f t="shared" si="16"/>
        <v>0</v>
      </c>
      <c r="L211" s="2">
        <v>12975280.2648247</v>
      </c>
      <c r="M211" s="2">
        <v>0</v>
      </c>
      <c r="N211" s="6">
        <f t="shared" si="17"/>
        <v>0</v>
      </c>
      <c r="O211" s="9">
        <f t="shared" si="18"/>
        <v>0</v>
      </c>
      <c r="P211" s="10">
        <v>3</v>
      </c>
      <c r="Q211" s="1">
        <f t="shared" si="19"/>
        <v>1</v>
      </c>
      <c r="R211" s="10">
        <v>13</v>
      </c>
      <c r="S211" s="10">
        <v>0</v>
      </c>
      <c r="T211" s="10">
        <v>0</v>
      </c>
      <c r="U211" s="3">
        <v>0</v>
      </c>
      <c r="V211" s="3">
        <v>0</v>
      </c>
      <c r="W211" s="3">
        <v>1</v>
      </c>
      <c r="X211" s="3">
        <v>0</v>
      </c>
      <c r="Y211" s="3">
        <v>0</v>
      </c>
      <c r="Z211" s="3">
        <v>0</v>
      </c>
    </row>
    <row r="212" spans="1:26" ht="26">
      <c r="A212" s="8">
        <v>17742351</v>
      </c>
      <c r="B212" s="8" t="s">
        <v>298</v>
      </c>
      <c r="C212" s="8" t="s">
        <v>21</v>
      </c>
      <c r="D212" s="8" t="s">
        <v>411</v>
      </c>
      <c r="E212" s="8" t="s">
        <v>26</v>
      </c>
      <c r="F212" s="8" t="s">
        <v>40</v>
      </c>
      <c r="G212" s="12" t="s">
        <v>410</v>
      </c>
      <c r="H212" s="7">
        <v>3.1180061037639888</v>
      </c>
      <c r="I212" s="1">
        <v>0</v>
      </c>
      <c r="J212" s="1">
        <f t="shared" si="15"/>
        <v>0</v>
      </c>
      <c r="K212" s="5">
        <f t="shared" si="16"/>
        <v>0</v>
      </c>
      <c r="L212" s="2">
        <v>1233517.793070439</v>
      </c>
      <c r="M212" s="2">
        <v>2935000</v>
      </c>
      <c r="N212" s="6">
        <f t="shared" si="17"/>
        <v>1</v>
      </c>
      <c r="O212" s="9">
        <f t="shared" si="18"/>
        <v>2.3793738659369295</v>
      </c>
      <c r="P212" s="10">
        <v>0</v>
      </c>
      <c r="Q212" s="1">
        <f t="shared" si="19"/>
        <v>0</v>
      </c>
      <c r="R212" s="10">
        <v>6</v>
      </c>
      <c r="S212" s="10">
        <v>0</v>
      </c>
      <c r="T212" s="10">
        <v>0</v>
      </c>
      <c r="U212" s="3">
        <v>0</v>
      </c>
      <c r="V212" s="3">
        <v>0</v>
      </c>
      <c r="W212" s="3">
        <v>0</v>
      </c>
      <c r="X212" s="3">
        <v>1</v>
      </c>
      <c r="Y212" s="3">
        <v>0</v>
      </c>
      <c r="Z212" s="3">
        <v>0</v>
      </c>
    </row>
    <row r="213" spans="1:26" ht="26">
      <c r="A213" s="8">
        <v>17790525</v>
      </c>
      <c r="B213" s="8" t="s">
        <v>299</v>
      </c>
      <c r="C213" s="8" t="s">
        <v>21</v>
      </c>
      <c r="D213" s="8" t="s">
        <v>411</v>
      </c>
      <c r="E213" s="8" t="s">
        <v>22</v>
      </c>
      <c r="F213" s="8" t="s">
        <v>23</v>
      </c>
      <c r="G213" s="12" t="s">
        <v>410</v>
      </c>
      <c r="H213" s="7">
        <v>3</v>
      </c>
      <c r="I213" s="1">
        <v>0</v>
      </c>
      <c r="J213" s="1">
        <f t="shared" si="15"/>
        <v>0</v>
      </c>
      <c r="K213" s="5">
        <f t="shared" si="16"/>
        <v>0</v>
      </c>
      <c r="L213" s="2">
        <v>1233517.793070439</v>
      </c>
      <c r="M213" s="2">
        <v>500000</v>
      </c>
      <c r="N213" s="6">
        <f t="shared" si="17"/>
        <v>1</v>
      </c>
      <c r="O213" s="9">
        <f t="shared" si="18"/>
        <v>0.40534478124990281</v>
      </c>
      <c r="P213" s="10">
        <v>1</v>
      </c>
      <c r="Q213" s="1">
        <f t="shared" si="19"/>
        <v>0</v>
      </c>
      <c r="R213" s="10">
        <v>5</v>
      </c>
      <c r="S213" s="10">
        <v>1</v>
      </c>
      <c r="T213" s="10">
        <v>0</v>
      </c>
      <c r="U213" s="3">
        <v>0</v>
      </c>
      <c r="V213" s="3">
        <v>1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17754071</v>
      </c>
      <c r="B214" s="8" t="s">
        <v>300</v>
      </c>
      <c r="C214" s="8" t="s">
        <v>21</v>
      </c>
      <c r="D214" s="8" t="s">
        <v>411</v>
      </c>
      <c r="E214" s="8" t="s">
        <v>26</v>
      </c>
      <c r="F214" s="8" t="s">
        <v>193</v>
      </c>
      <c r="G214" s="12" t="s">
        <v>410</v>
      </c>
      <c r="H214" s="7">
        <v>5.1966768396066563</v>
      </c>
      <c r="I214" s="1">
        <v>0</v>
      </c>
      <c r="J214" s="1">
        <f t="shared" si="15"/>
        <v>0</v>
      </c>
      <c r="K214" s="5">
        <f t="shared" si="16"/>
        <v>0</v>
      </c>
      <c r="L214" s="2">
        <v>1233517.793070439</v>
      </c>
      <c r="M214" s="2">
        <v>170000</v>
      </c>
      <c r="N214" s="6">
        <f t="shared" si="17"/>
        <v>0</v>
      </c>
      <c r="O214" s="9">
        <f t="shared" si="18"/>
        <v>0.13781722562496695</v>
      </c>
      <c r="P214" s="10">
        <v>0</v>
      </c>
      <c r="Q214" s="1">
        <f t="shared" si="19"/>
        <v>0</v>
      </c>
      <c r="R214" s="10">
        <v>8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17763664</v>
      </c>
      <c r="B215" s="8" t="s">
        <v>301</v>
      </c>
      <c r="C215" s="8" t="s">
        <v>21</v>
      </c>
      <c r="D215" s="8" t="s">
        <v>411</v>
      </c>
      <c r="E215" s="8" t="s">
        <v>22</v>
      </c>
      <c r="F215" s="8" t="s">
        <v>302</v>
      </c>
      <c r="G215" s="12" t="s">
        <v>410</v>
      </c>
      <c r="H215" s="7">
        <v>5</v>
      </c>
      <c r="I215" s="1">
        <v>0</v>
      </c>
      <c r="J215" s="4">
        <f t="shared" si="15"/>
        <v>0</v>
      </c>
      <c r="K215" s="5">
        <f t="shared" si="16"/>
        <v>0</v>
      </c>
      <c r="L215" s="2">
        <v>1233517.793070439</v>
      </c>
      <c r="M215" s="2">
        <v>132000</v>
      </c>
      <c r="N215" s="6">
        <f t="shared" si="17"/>
        <v>0</v>
      </c>
      <c r="O215" s="9">
        <f t="shared" si="18"/>
        <v>0.10701102224997434</v>
      </c>
      <c r="P215" s="10">
        <v>0</v>
      </c>
      <c r="Q215" s="1">
        <f t="shared" si="19"/>
        <v>0</v>
      </c>
      <c r="R215" s="10">
        <v>7</v>
      </c>
      <c r="S215" s="10">
        <v>0</v>
      </c>
      <c r="T215" s="10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1</v>
      </c>
    </row>
    <row r="216" spans="1:26" ht="26">
      <c r="A216" s="8">
        <v>17612210</v>
      </c>
      <c r="B216" s="8" t="s">
        <v>303</v>
      </c>
      <c r="C216" s="8" t="s">
        <v>35</v>
      </c>
      <c r="D216" s="8" t="s">
        <v>411</v>
      </c>
      <c r="E216" s="8" t="s">
        <v>26</v>
      </c>
      <c r="F216" s="8" t="s">
        <v>106</v>
      </c>
      <c r="G216" s="12" t="s">
        <v>410</v>
      </c>
      <c r="H216" s="7">
        <v>3</v>
      </c>
      <c r="I216" s="1">
        <v>0</v>
      </c>
      <c r="J216" s="4">
        <f t="shared" si="15"/>
        <v>0</v>
      </c>
      <c r="K216" s="5">
        <f t="shared" si="16"/>
        <v>0</v>
      </c>
      <c r="L216" s="2">
        <v>1233517.793070439</v>
      </c>
      <c r="M216" s="2">
        <v>0</v>
      </c>
      <c r="N216" s="6">
        <f t="shared" si="17"/>
        <v>0</v>
      </c>
      <c r="O216" s="9">
        <f t="shared" si="18"/>
        <v>0</v>
      </c>
      <c r="P216" s="10">
        <v>0</v>
      </c>
      <c r="Q216" s="1">
        <f t="shared" si="19"/>
        <v>0</v>
      </c>
      <c r="R216" s="10">
        <v>5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17565415</v>
      </c>
      <c r="B217" s="8" t="s">
        <v>304</v>
      </c>
      <c r="C217" s="8" t="s">
        <v>21</v>
      </c>
      <c r="D217" s="8" t="s">
        <v>411</v>
      </c>
      <c r="E217" s="8" t="s">
        <v>26</v>
      </c>
      <c r="F217" s="8" t="s">
        <v>53</v>
      </c>
      <c r="G217" s="12" t="s">
        <v>410</v>
      </c>
      <c r="H217" s="7">
        <v>4.5730756188538484</v>
      </c>
      <c r="I217" s="1">
        <v>0</v>
      </c>
      <c r="J217" s="4">
        <f t="shared" si="15"/>
        <v>0</v>
      </c>
      <c r="K217" s="5">
        <f t="shared" si="16"/>
        <v>0</v>
      </c>
      <c r="L217" s="2">
        <v>1233517.793070439</v>
      </c>
      <c r="M217" s="2">
        <v>170000</v>
      </c>
      <c r="N217" s="6">
        <f t="shared" si="17"/>
        <v>0</v>
      </c>
      <c r="O217" s="9">
        <f t="shared" si="18"/>
        <v>0.13781722562496695</v>
      </c>
      <c r="P217" s="10">
        <v>0</v>
      </c>
      <c r="Q217" s="1">
        <f t="shared" si="19"/>
        <v>0</v>
      </c>
      <c r="R217" s="10">
        <v>7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17680842</v>
      </c>
      <c r="B218" s="8" t="s">
        <v>305</v>
      </c>
      <c r="C218" s="8" t="s">
        <v>25</v>
      </c>
      <c r="D218" s="8" t="s">
        <v>409</v>
      </c>
      <c r="E218" s="8" t="s">
        <v>26</v>
      </c>
      <c r="F218" s="8" t="s">
        <v>50</v>
      </c>
      <c r="G218" s="12" t="s">
        <v>412</v>
      </c>
      <c r="H218" s="7">
        <v>4.9582725415815601</v>
      </c>
      <c r="I218" s="1">
        <v>0</v>
      </c>
      <c r="J218" s="4">
        <f t="shared" si="15"/>
        <v>0</v>
      </c>
      <c r="K218" s="5">
        <f t="shared" si="16"/>
        <v>0</v>
      </c>
      <c r="L218" s="2">
        <v>4394401.2122401176</v>
      </c>
      <c r="M218" s="2">
        <v>840000</v>
      </c>
      <c r="N218" s="6">
        <f t="shared" si="17"/>
        <v>1</v>
      </c>
      <c r="O218" s="9">
        <f t="shared" si="18"/>
        <v>0.19115232301963533</v>
      </c>
      <c r="P218" s="10">
        <v>0</v>
      </c>
      <c r="Q218" s="1">
        <f t="shared" si="19"/>
        <v>0</v>
      </c>
      <c r="R218" s="10">
        <v>7</v>
      </c>
      <c r="S218" s="10">
        <v>0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17747746</v>
      </c>
      <c r="B219" s="8" t="s">
        <v>306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6.8596134282807677</v>
      </c>
      <c r="I219" s="1">
        <v>0</v>
      </c>
      <c r="J219" s="4">
        <f t="shared" si="15"/>
        <v>0</v>
      </c>
      <c r="K219" s="5">
        <f t="shared" si="16"/>
        <v>0</v>
      </c>
      <c r="L219" s="2">
        <v>1233517.793070439</v>
      </c>
      <c r="M219" s="2">
        <v>170000</v>
      </c>
      <c r="N219" s="6">
        <f t="shared" si="17"/>
        <v>0</v>
      </c>
      <c r="O219" s="9">
        <f t="shared" si="18"/>
        <v>0.13781722562496695</v>
      </c>
      <c r="P219" s="10">
        <v>0</v>
      </c>
      <c r="Q219" s="1">
        <f t="shared" si="19"/>
        <v>0</v>
      </c>
      <c r="R219" s="10">
        <v>9</v>
      </c>
      <c r="S219" s="10">
        <v>0</v>
      </c>
      <c r="T219" s="10">
        <v>0</v>
      </c>
      <c r="U219" s="3">
        <v>0</v>
      </c>
      <c r="V219" s="3">
        <v>1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17563421</v>
      </c>
      <c r="B220" s="8" t="s">
        <v>307</v>
      </c>
      <c r="C220" s="8" t="s">
        <v>35</v>
      </c>
      <c r="D220" s="8" t="s">
        <v>411</v>
      </c>
      <c r="E220" s="8" t="s">
        <v>26</v>
      </c>
      <c r="F220" s="8" t="s">
        <v>126</v>
      </c>
      <c r="G220" s="12" t="s">
        <v>410</v>
      </c>
      <c r="H220" s="7">
        <v>2.7022719565954572</v>
      </c>
      <c r="I220" s="1">
        <v>0</v>
      </c>
      <c r="J220" s="1">
        <f t="shared" si="15"/>
        <v>0</v>
      </c>
      <c r="K220" s="5">
        <f t="shared" si="16"/>
        <v>0</v>
      </c>
      <c r="L220" s="2">
        <v>1233517.793070439</v>
      </c>
      <c r="M220" s="2">
        <v>0</v>
      </c>
      <c r="N220" s="6">
        <f t="shared" si="17"/>
        <v>0</v>
      </c>
      <c r="O220" s="9">
        <f t="shared" si="18"/>
        <v>0</v>
      </c>
      <c r="P220" s="10">
        <v>0</v>
      </c>
      <c r="Q220" s="1">
        <f t="shared" si="19"/>
        <v>0</v>
      </c>
      <c r="R220" s="10">
        <v>5</v>
      </c>
      <c r="S220" s="10">
        <v>0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17714371</v>
      </c>
      <c r="B221" s="8" t="s">
        <v>308</v>
      </c>
      <c r="C221" s="8" t="s">
        <v>21</v>
      </c>
      <c r="D221" s="8" t="s">
        <v>411</v>
      </c>
      <c r="E221" s="8" t="s">
        <v>26</v>
      </c>
      <c r="F221" s="8" t="s">
        <v>184</v>
      </c>
      <c r="G221" s="12" t="s">
        <v>410</v>
      </c>
      <c r="H221" s="7">
        <v>9.769752458460486</v>
      </c>
      <c r="I221" s="1">
        <v>0</v>
      </c>
      <c r="J221" s="4">
        <f t="shared" si="15"/>
        <v>0</v>
      </c>
      <c r="K221" s="5">
        <f t="shared" si="16"/>
        <v>0</v>
      </c>
      <c r="L221" s="2">
        <v>1233517.793070439</v>
      </c>
      <c r="M221" s="2">
        <v>85000</v>
      </c>
      <c r="N221" s="6">
        <f t="shared" si="17"/>
        <v>0</v>
      </c>
      <c r="O221" s="9">
        <f t="shared" si="18"/>
        <v>6.8908612812483477E-2</v>
      </c>
      <c r="P221" s="10">
        <v>0</v>
      </c>
      <c r="Q221" s="1">
        <f t="shared" si="19"/>
        <v>0</v>
      </c>
      <c r="R221" s="10">
        <v>12</v>
      </c>
      <c r="S221" s="10">
        <v>0</v>
      </c>
      <c r="T221" s="10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3">
        <v>17707600</v>
      </c>
      <c r="B222" s="13" t="s">
        <v>441</v>
      </c>
      <c r="C222" s="8" t="s">
        <v>21</v>
      </c>
      <c r="D222" s="8" t="s">
        <v>411</v>
      </c>
      <c r="E222" s="8" t="s">
        <v>26</v>
      </c>
      <c r="F222" s="14" t="s">
        <v>53</v>
      </c>
      <c r="G222" s="13" t="s">
        <v>410</v>
      </c>
      <c r="H222" s="7">
        <v>2.7022719565954572</v>
      </c>
      <c r="I222" s="1">
        <v>0</v>
      </c>
      <c r="J222" s="1">
        <f t="shared" si="15"/>
        <v>0</v>
      </c>
      <c r="K222" s="5">
        <f t="shared" si="16"/>
        <v>0</v>
      </c>
      <c r="L222" s="2">
        <v>300000</v>
      </c>
      <c r="M222" s="2">
        <v>0</v>
      </c>
      <c r="N222" s="6">
        <f t="shared" si="17"/>
        <v>0</v>
      </c>
      <c r="O222" s="9">
        <f t="shared" si="18"/>
        <v>0</v>
      </c>
      <c r="P222" s="10">
        <v>0</v>
      </c>
      <c r="Q222" s="1">
        <f t="shared" si="19"/>
        <v>0</v>
      </c>
      <c r="R222" s="10">
        <v>5</v>
      </c>
      <c r="S222" s="10">
        <v>0</v>
      </c>
      <c r="T222" s="10">
        <v>0</v>
      </c>
      <c r="U222" s="3">
        <v>1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17796939</v>
      </c>
      <c r="B223" s="8" t="s">
        <v>309</v>
      </c>
      <c r="C223" s="8" t="s">
        <v>57</v>
      </c>
      <c r="D223" s="8" t="s">
        <v>411</v>
      </c>
      <c r="E223" s="8" t="s">
        <v>26</v>
      </c>
      <c r="F223" s="8" t="s">
        <v>80</v>
      </c>
      <c r="G223" s="12" t="s">
        <v>412</v>
      </c>
      <c r="H223" s="7">
        <v>18.283629997082009</v>
      </c>
      <c r="I223" s="1">
        <v>0</v>
      </c>
      <c r="J223" s="1">
        <f t="shared" si="15"/>
        <v>0</v>
      </c>
      <c r="K223" s="5">
        <f t="shared" si="16"/>
        <v>0</v>
      </c>
      <c r="L223" s="2">
        <v>4753329.3818596238</v>
      </c>
      <c r="M223" s="2">
        <v>0</v>
      </c>
      <c r="N223" s="6">
        <f t="shared" si="17"/>
        <v>0</v>
      </c>
      <c r="O223" s="9">
        <f t="shared" si="18"/>
        <v>0</v>
      </c>
      <c r="P223" s="10">
        <v>0</v>
      </c>
      <c r="Q223" s="1">
        <f t="shared" si="19"/>
        <v>0</v>
      </c>
      <c r="R223" s="10">
        <v>21</v>
      </c>
      <c r="S223" s="10">
        <v>0</v>
      </c>
      <c r="T223" s="10">
        <v>0</v>
      </c>
      <c r="U223" s="3">
        <v>0</v>
      </c>
      <c r="V223" s="3">
        <v>0</v>
      </c>
      <c r="W223" s="3">
        <v>1</v>
      </c>
      <c r="X223" s="3">
        <v>0</v>
      </c>
      <c r="Y223" s="3">
        <v>0</v>
      </c>
      <c r="Z223" s="3">
        <v>0</v>
      </c>
    </row>
    <row r="224" spans="1:26" ht="26">
      <c r="A224" s="8">
        <v>17438394</v>
      </c>
      <c r="B224" s="8" t="s">
        <v>310</v>
      </c>
      <c r="C224" s="8" t="s">
        <v>35</v>
      </c>
      <c r="D224" s="8" t="s">
        <v>411</v>
      </c>
      <c r="E224" s="8" t="s">
        <v>26</v>
      </c>
      <c r="F224" s="8" t="s">
        <v>262</v>
      </c>
      <c r="G224" s="12" t="s">
        <v>410</v>
      </c>
      <c r="H224" s="7">
        <v>5</v>
      </c>
      <c r="I224" s="1">
        <v>0</v>
      </c>
      <c r="J224" s="4">
        <f t="shared" si="15"/>
        <v>0</v>
      </c>
      <c r="K224" s="5">
        <f t="shared" si="16"/>
        <v>0</v>
      </c>
      <c r="L224" s="2">
        <v>1233517.793070439</v>
      </c>
      <c r="M224" s="2">
        <v>0</v>
      </c>
      <c r="N224" s="6">
        <f t="shared" si="17"/>
        <v>0</v>
      </c>
      <c r="O224" s="9">
        <f t="shared" si="18"/>
        <v>0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1</v>
      </c>
      <c r="Y224" s="3">
        <v>0</v>
      </c>
      <c r="Z224" s="3">
        <v>0</v>
      </c>
    </row>
    <row r="225" spans="1:26" ht="26">
      <c r="A225" s="8">
        <v>17646638</v>
      </c>
      <c r="B225" s="8" t="s">
        <v>311</v>
      </c>
      <c r="C225" s="8" t="s">
        <v>35</v>
      </c>
      <c r="D225" s="8" t="s">
        <v>411</v>
      </c>
      <c r="E225" s="8" t="s">
        <v>22</v>
      </c>
      <c r="F225" s="8" t="s">
        <v>279</v>
      </c>
      <c r="G225" s="12" t="s">
        <v>410</v>
      </c>
      <c r="H225" s="7">
        <v>4.5730756188538484</v>
      </c>
      <c r="I225" s="1">
        <v>0</v>
      </c>
      <c r="J225" s="4">
        <f t="shared" si="15"/>
        <v>0</v>
      </c>
      <c r="K225" s="5">
        <f t="shared" si="16"/>
        <v>0</v>
      </c>
      <c r="L225" s="2">
        <v>1233517.793070439</v>
      </c>
      <c r="M225" s="2">
        <v>0</v>
      </c>
      <c r="N225" s="6">
        <f t="shared" si="17"/>
        <v>0</v>
      </c>
      <c r="O225" s="9">
        <f t="shared" si="18"/>
        <v>0</v>
      </c>
      <c r="P225" s="10">
        <v>0</v>
      </c>
      <c r="Q225" s="1">
        <f t="shared" si="19"/>
        <v>0</v>
      </c>
      <c r="R225" s="10">
        <v>7</v>
      </c>
      <c r="S225" s="10">
        <v>0</v>
      </c>
      <c r="T225" s="10">
        <v>0</v>
      </c>
      <c r="U225" s="3">
        <v>1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17612118</v>
      </c>
      <c r="B226" s="8" t="s">
        <v>312</v>
      </c>
      <c r="C226" s="8" t="s">
        <v>57</v>
      </c>
      <c r="D226" s="8" t="s">
        <v>411</v>
      </c>
      <c r="E226" s="8" t="s">
        <v>26</v>
      </c>
      <c r="F226" s="8" t="s">
        <v>273</v>
      </c>
      <c r="G226" s="12" t="s">
        <v>412</v>
      </c>
      <c r="H226" s="7">
        <v>7.1275167785234892</v>
      </c>
      <c r="I226" s="1">
        <v>0</v>
      </c>
      <c r="J226" s="4">
        <f t="shared" si="15"/>
        <v>0</v>
      </c>
      <c r="K226" s="5">
        <f t="shared" si="16"/>
        <v>0</v>
      </c>
      <c r="L226" s="2">
        <v>9560884.0299649313</v>
      </c>
      <c r="M226" s="2">
        <v>0</v>
      </c>
      <c r="N226" s="6">
        <f t="shared" si="17"/>
        <v>0</v>
      </c>
      <c r="O226" s="9">
        <f t="shared" si="18"/>
        <v>0</v>
      </c>
      <c r="P226" s="10">
        <v>0</v>
      </c>
      <c r="Q226" s="1">
        <f t="shared" si="19"/>
        <v>0</v>
      </c>
      <c r="R226" s="10">
        <v>10</v>
      </c>
      <c r="S226" s="10">
        <v>0</v>
      </c>
      <c r="T226" s="10">
        <v>0</v>
      </c>
      <c r="U226" s="3">
        <v>0</v>
      </c>
      <c r="V226" s="3">
        <v>1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>
        <v>17440382</v>
      </c>
      <c r="B227" s="8" t="s">
        <v>313</v>
      </c>
      <c r="C227" s="8" t="s">
        <v>21</v>
      </c>
      <c r="D227" s="8" t="s">
        <v>411</v>
      </c>
      <c r="E227" s="8" t="s">
        <v>22</v>
      </c>
      <c r="F227" s="8" t="s">
        <v>53</v>
      </c>
      <c r="G227" s="12" t="s">
        <v>410</v>
      </c>
      <c r="H227" s="7">
        <v>5</v>
      </c>
      <c r="I227" s="1">
        <v>0</v>
      </c>
      <c r="J227" s="4">
        <f t="shared" si="15"/>
        <v>0</v>
      </c>
      <c r="K227" s="5">
        <f t="shared" si="16"/>
        <v>0</v>
      </c>
      <c r="L227" s="2">
        <v>1233517.793070439</v>
      </c>
      <c r="M227" s="2">
        <v>0</v>
      </c>
      <c r="N227" s="6">
        <f t="shared" si="17"/>
        <v>0</v>
      </c>
      <c r="O227" s="9">
        <f t="shared" si="18"/>
        <v>0</v>
      </c>
      <c r="P227" s="10">
        <v>0</v>
      </c>
      <c r="Q227" s="1">
        <f t="shared" si="19"/>
        <v>0</v>
      </c>
      <c r="R227" s="10">
        <v>7</v>
      </c>
      <c r="S227" s="10">
        <v>0</v>
      </c>
      <c r="T227" s="10">
        <v>0</v>
      </c>
      <c r="U227" s="3">
        <v>1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17750165</v>
      </c>
      <c r="B228" s="8" t="s">
        <v>314</v>
      </c>
      <c r="C228" s="8" t="s">
        <v>21</v>
      </c>
      <c r="D228" s="8" t="s">
        <v>411</v>
      </c>
      <c r="E228" s="8" t="s">
        <v>26</v>
      </c>
      <c r="F228" s="8" t="s">
        <v>125</v>
      </c>
      <c r="G228" s="12" t="s">
        <v>410</v>
      </c>
      <c r="H228" s="7">
        <v>3</v>
      </c>
      <c r="I228" s="1">
        <v>0</v>
      </c>
      <c r="J228" s="1">
        <f t="shared" si="15"/>
        <v>0</v>
      </c>
      <c r="K228" s="5">
        <f t="shared" si="16"/>
        <v>0</v>
      </c>
      <c r="L228" s="2">
        <v>1233517.793070439</v>
      </c>
      <c r="M228" s="2">
        <v>0</v>
      </c>
      <c r="N228" s="6">
        <f t="shared" si="17"/>
        <v>0</v>
      </c>
      <c r="O228" s="9">
        <f t="shared" si="18"/>
        <v>0</v>
      </c>
      <c r="P228" s="10">
        <v>0</v>
      </c>
      <c r="Q228" s="1">
        <f t="shared" si="19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17779344</v>
      </c>
      <c r="B229" s="8" t="s">
        <v>315</v>
      </c>
      <c r="C229" s="8" t="s">
        <v>21</v>
      </c>
      <c r="D229" s="8" t="s">
        <v>411</v>
      </c>
      <c r="E229" s="8" t="s">
        <v>26</v>
      </c>
      <c r="F229" s="8" t="s">
        <v>142</v>
      </c>
      <c r="G229" s="12" t="s">
        <v>410</v>
      </c>
      <c r="H229" s="7">
        <v>3.3258731773482562</v>
      </c>
      <c r="I229" s="1">
        <v>0</v>
      </c>
      <c r="J229" s="1">
        <f t="shared" si="15"/>
        <v>0</v>
      </c>
      <c r="K229" s="5">
        <f t="shared" si="16"/>
        <v>0</v>
      </c>
      <c r="L229" s="2">
        <v>1233517.793070439</v>
      </c>
      <c r="M229" s="2">
        <v>85000</v>
      </c>
      <c r="N229" s="6">
        <f t="shared" si="17"/>
        <v>0</v>
      </c>
      <c r="O229" s="9">
        <f t="shared" si="18"/>
        <v>6.8908612812483477E-2</v>
      </c>
      <c r="P229" s="10">
        <v>0</v>
      </c>
      <c r="Q229" s="1">
        <f t="shared" si="19"/>
        <v>0</v>
      </c>
      <c r="R229" s="10">
        <v>6</v>
      </c>
      <c r="S229" s="10">
        <v>0</v>
      </c>
      <c r="T229" s="10">
        <v>0</v>
      </c>
      <c r="U229" s="3">
        <v>0</v>
      </c>
      <c r="V229" s="3">
        <v>0</v>
      </c>
      <c r="W229" s="3">
        <v>1</v>
      </c>
      <c r="X229" s="3">
        <v>0</v>
      </c>
      <c r="Y229" s="3">
        <v>0</v>
      </c>
      <c r="Z229" s="3">
        <v>0</v>
      </c>
    </row>
    <row r="230" spans="1:26" ht="26">
      <c r="A230" s="8">
        <v>17744463</v>
      </c>
      <c r="B230" s="8" t="s">
        <v>316</v>
      </c>
      <c r="C230" s="8" t="s">
        <v>21</v>
      </c>
      <c r="D230" s="8" t="s">
        <v>411</v>
      </c>
      <c r="E230" s="8" t="s">
        <v>26</v>
      </c>
      <c r="F230" s="8" t="s">
        <v>142</v>
      </c>
      <c r="G230" s="12" t="s">
        <v>410</v>
      </c>
      <c r="H230" s="7">
        <v>3</v>
      </c>
      <c r="I230" s="1">
        <v>0</v>
      </c>
      <c r="J230" s="4">
        <f t="shared" si="15"/>
        <v>0</v>
      </c>
      <c r="K230" s="5">
        <f t="shared" si="16"/>
        <v>0</v>
      </c>
      <c r="L230" s="2">
        <v>1233517.793070439</v>
      </c>
      <c r="M230" s="2">
        <v>3020000</v>
      </c>
      <c r="N230" s="6">
        <f t="shared" si="17"/>
        <v>1</v>
      </c>
      <c r="O230" s="9">
        <f t="shared" si="18"/>
        <v>2.4482824787494128</v>
      </c>
      <c r="P230" s="10">
        <v>0</v>
      </c>
      <c r="Q230" s="1">
        <f t="shared" si="19"/>
        <v>0</v>
      </c>
      <c r="R230" s="10">
        <v>5</v>
      </c>
      <c r="S230" s="10">
        <v>0</v>
      </c>
      <c r="T230" s="10">
        <v>0</v>
      </c>
      <c r="U230" s="3">
        <v>0</v>
      </c>
      <c r="V230" s="3">
        <v>0</v>
      </c>
      <c r="W230" s="3">
        <v>1</v>
      </c>
      <c r="X230" s="3">
        <v>0</v>
      </c>
      <c r="Y230" s="3">
        <v>0</v>
      </c>
      <c r="Z230" s="3">
        <v>0</v>
      </c>
    </row>
    <row r="231" spans="1:26" ht="26">
      <c r="A231" s="8">
        <v>17694192</v>
      </c>
      <c r="B231" s="8" t="s">
        <v>317</v>
      </c>
      <c r="C231" s="8" t="s">
        <v>35</v>
      </c>
      <c r="D231" s="8" t="s">
        <v>411</v>
      </c>
      <c r="E231" s="8" t="s">
        <v>22</v>
      </c>
      <c r="F231" s="8" t="s">
        <v>130</v>
      </c>
      <c r="G231" s="12" t="s">
        <v>410</v>
      </c>
      <c r="H231" s="7">
        <v>7.0674805018650426</v>
      </c>
      <c r="I231" s="1">
        <v>0</v>
      </c>
      <c r="J231" s="4">
        <f t="shared" si="15"/>
        <v>0</v>
      </c>
      <c r="K231" s="5">
        <f t="shared" si="16"/>
        <v>0</v>
      </c>
      <c r="L231" s="2">
        <v>1233517.793070439</v>
      </c>
      <c r="M231" s="2">
        <v>0</v>
      </c>
      <c r="N231" s="6">
        <f t="shared" si="17"/>
        <v>0</v>
      </c>
      <c r="O231" s="9">
        <f t="shared" si="18"/>
        <v>0</v>
      </c>
      <c r="P231" s="10">
        <v>0</v>
      </c>
      <c r="Q231" s="1">
        <f t="shared" si="19"/>
        <v>0</v>
      </c>
      <c r="R231" s="10">
        <v>10</v>
      </c>
      <c r="S231" s="10">
        <v>0</v>
      </c>
      <c r="T231" s="10">
        <v>0</v>
      </c>
      <c r="U231" s="3">
        <v>0</v>
      </c>
      <c r="V231" s="3">
        <v>1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17595029</v>
      </c>
      <c r="B232" s="8" t="s">
        <v>318</v>
      </c>
      <c r="C232" s="8" t="s">
        <v>21</v>
      </c>
      <c r="D232" s="8" t="s">
        <v>411</v>
      </c>
      <c r="E232" s="8" t="s">
        <v>26</v>
      </c>
      <c r="F232" s="8" t="s">
        <v>116</v>
      </c>
      <c r="G232" s="12" t="s">
        <v>410</v>
      </c>
      <c r="H232" s="7">
        <v>7.2753475754493193</v>
      </c>
      <c r="I232" s="1">
        <v>0</v>
      </c>
      <c r="J232" s="1">
        <f t="shared" si="15"/>
        <v>0</v>
      </c>
      <c r="K232" s="5">
        <f t="shared" si="16"/>
        <v>0</v>
      </c>
      <c r="L232" s="2">
        <v>1233517.793070439</v>
      </c>
      <c r="M232" s="2">
        <v>170000</v>
      </c>
      <c r="N232" s="6">
        <f t="shared" si="17"/>
        <v>0</v>
      </c>
      <c r="O232" s="9">
        <f t="shared" si="18"/>
        <v>0.13781722562496695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1</v>
      </c>
      <c r="X232" s="3">
        <v>0</v>
      </c>
      <c r="Y232" s="3">
        <v>0</v>
      </c>
      <c r="Z232" s="3">
        <v>0</v>
      </c>
    </row>
    <row r="233" spans="1:26" ht="26">
      <c r="A233" s="8">
        <v>17746764</v>
      </c>
      <c r="B233" s="8" t="s">
        <v>319</v>
      </c>
      <c r="C233" s="8" t="s">
        <v>21</v>
      </c>
      <c r="D233" s="8" t="s">
        <v>411</v>
      </c>
      <c r="E233" s="8" t="s">
        <v>22</v>
      </c>
      <c r="F233" s="8" t="s">
        <v>171</v>
      </c>
      <c r="G233" s="12" t="s">
        <v>410</v>
      </c>
      <c r="H233" s="7">
        <v>3.1180061037639888</v>
      </c>
      <c r="I233" s="1">
        <v>0</v>
      </c>
      <c r="J233" s="1">
        <f t="shared" si="15"/>
        <v>0</v>
      </c>
      <c r="K233" s="5">
        <f t="shared" si="16"/>
        <v>0</v>
      </c>
      <c r="L233" s="2">
        <v>1233517.793070439</v>
      </c>
      <c r="M233" s="2">
        <v>385000</v>
      </c>
      <c r="N233" s="6">
        <f t="shared" si="17"/>
        <v>1</v>
      </c>
      <c r="O233" s="9">
        <f t="shared" si="18"/>
        <v>0.31211548156242519</v>
      </c>
      <c r="P233" s="10">
        <v>0</v>
      </c>
      <c r="Q233" s="1">
        <f t="shared" si="19"/>
        <v>0</v>
      </c>
      <c r="R233" s="10">
        <v>6</v>
      </c>
      <c r="S233" s="10">
        <v>0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17768983</v>
      </c>
      <c r="B234" s="8" t="s">
        <v>320</v>
      </c>
      <c r="C234" s="8" t="s">
        <v>21</v>
      </c>
      <c r="D234" s="8" t="s">
        <v>411</v>
      </c>
      <c r="E234" s="8" t="s">
        <v>26</v>
      </c>
      <c r="F234" s="8" t="s">
        <v>302</v>
      </c>
      <c r="G234" s="12" t="s">
        <v>410</v>
      </c>
      <c r="H234" s="7">
        <v>5</v>
      </c>
      <c r="I234" s="1">
        <v>0</v>
      </c>
      <c r="J234" s="4">
        <f t="shared" si="15"/>
        <v>0</v>
      </c>
      <c r="K234" s="5">
        <f t="shared" si="16"/>
        <v>0</v>
      </c>
      <c r="L234" s="2">
        <v>1233517.793070439</v>
      </c>
      <c r="M234" s="2">
        <v>132000</v>
      </c>
      <c r="N234" s="6">
        <f t="shared" si="17"/>
        <v>0</v>
      </c>
      <c r="O234" s="9">
        <f t="shared" si="18"/>
        <v>0.10701102224997434</v>
      </c>
      <c r="P234" s="10">
        <v>0</v>
      </c>
      <c r="Q234" s="1">
        <f t="shared" si="19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1</v>
      </c>
    </row>
    <row r="235" spans="1:26" ht="26">
      <c r="A235" s="8">
        <v>17768735</v>
      </c>
      <c r="B235" s="8" t="s">
        <v>321</v>
      </c>
      <c r="C235" s="8" t="s">
        <v>25</v>
      </c>
      <c r="D235" s="8" t="s">
        <v>409</v>
      </c>
      <c r="E235" s="8" t="s">
        <v>22</v>
      </c>
      <c r="F235" s="8" t="s">
        <v>322</v>
      </c>
      <c r="G235" s="12" t="s">
        <v>412</v>
      </c>
      <c r="H235" s="7">
        <v>6.1978406769769432</v>
      </c>
      <c r="I235" s="1">
        <v>0</v>
      </c>
      <c r="J235" s="4">
        <f t="shared" si="15"/>
        <v>0</v>
      </c>
      <c r="K235" s="5">
        <f t="shared" si="16"/>
        <v>0</v>
      </c>
      <c r="L235" s="2">
        <v>2607481.1801973949</v>
      </c>
      <c r="M235" s="2">
        <v>0</v>
      </c>
      <c r="N235" s="6">
        <f t="shared" si="17"/>
        <v>0</v>
      </c>
      <c r="O235" s="9">
        <f t="shared" si="18"/>
        <v>0</v>
      </c>
      <c r="P235" s="10">
        <v>0</v>
      </c>
      <c r="Q235" s="1">
        <f t="shared" si="19"/>
        <v>0</v>
      </c>
      <c r="R235" s="10">
        <v>9</v>
      </c>
      <c r="S235" s="10">
        <v>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1</v>
      </c>
    </row>
    <row r="236" spans="1:26" ht="26">
      <c r="A236" s="8">
        <v>17783359</v>
      </c>
      <c r="B236" s="8" t="s">
        <v>323</v>
      </c>
      <c r="C236" s="8" t="s">
        <v>21</v>
      </c>
      <c r="D236" s="8" t="s">
        <v>411</v>
      </c>
      <c r="E236" s="8" t="s">
        <v>26</v>
      </c>
      <c r="F236" s="8" t="s">
        <v>198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1233517.793070439</v>
      </c>
      <c r="M236" s="2">
        <v>0</v>
      </c>
      <c r="N236" s="6">
        <f t="shared" si="17"/>
        <v>0</v>
      </c>
      <c r="O236" s="9">
        <f t="shared" si="18"/>
        <v>0</v>
      </c>
      <c r="P236" s="10">
        <v>0</v>
      </c>
      <c r="Q236" s="1">
        <f t="shared" si="19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8">
        <v>17707702</v>
      </c>
      <c r="B237" s="8" t="s">
        <v>324</v>
      </c>
      <c r="C237" s="8" t="s">
        <v>31</v>
      </c>
      <c r="D237" s="8" t="s">
        <v>411</v>
      </c>
      <c r="E237" s="8" t="s">
        <v>22</v>
      </c>
      <c r="F237" s="8" t="s">
        <v>228</v>
      </c>
      <c r="G237" s="12" t="s">
        <v>410</v>
      </c>
      <c r="H237" s="7">
        <v>13.719226856561541</v>
      </c>
      <c r="I237" s="1">
        <v>3</v>
      </c>
      <c r="J237" s="1">
        <f t="shared" si="15"/>
        <v>1</v>
      </c>
      <c r="K237" s="5">
        <f t="shared" si="16"/>
        <v>0.21867121459291125</v>
      </c>
      <c r="L237" s="2">
        <v>1233517.793070439</v>
      </c>
      <c r="M237" s="2">
        <v>308400</v>
      </c>
      <c r="N237" s="6">
        <f t="shared" si="17"/>
        <v>1</v>
      </c>
      <c r="O237" s="9">
        <f t="shared" si="18"/>
        <v>0.25001666107494008</v>
      </c>
      <c r="P237" s="10">
        <v>0</v>
      </c>
      <c r="Q237" s="1">
        <f t="shared" si="19"/>
        <v>0</v>
      </c>
      <c r="R237" s="10">
        <v>9</v>
      </c>
      <c r="S237" s="10">
        <v>0</v>
      </c>
      <c r="T237" s="10">
        <v>0</v>
      </c>
      <c r="U237" s="3">
        <v>0</v>
      </c>
      <c r="V237" s="3">
        <v>0</v>
      </c>
      <c r="W237" s="3">
        <v>0</v>
      </c>
      <c r="X237" s="3">
        <v>1</v>
      </c>
      <c r="Y237" s="3">
        <v>0</v>
      </c>
      <c r="Z237" s="3">
        <v>0</v>
      </c>
    </row>
    <row r="238" spans="1:26" ht="26">
      <c r="A238" s="8">
        <v>17774312</v>
      </c>
      <c r="B238" s="8" t="s">
        <v>325</v>
      </c>
      <c r="C238" s="8" t="s">
        <v>25</v>
      </c>
      <c r="D238" s="8" t="s">
        <v>411</v>
      </c>
      <c r="E238" s="8" t="s">
        <v>26</v>
      </c>
      <c r="F238" s="8" t="s">
        <v>48</v>
      </c>
      <c r="G238" s="12" t="s">
        <v>412</v>
      </c>
      <c r="H238" s="7">
        <v>8.0571928800700618</v>
      </c>
      <c r="I238" s="1">
        <v>0</v>
      </c>
      <c r="J238" s="4">
        <f t="shared" si="15"/>
        <v>0</v>
      </c>
      <c r="K238" s="5">
        <f t="shared" si="16"/>
        <v>0</v>
      </c>
      <c r="L238" s="2">
        <v>2158596.5258458201</v>
      </c>
      <c r="M238" s="2">
        <v>2350000</v>
      </c>
      <c r="N238" s="6">
        <f t="shared" si="17"/>
        <v>1</v>
      </c>
      <c r="O238" s="9">
        <f t="shared" si="18"/>
        <v>1.088670333646155</v>
      </c>
      <c r="P238" s="10">
        <v>0</v>
      </c>
      <c r="Q238" s="1">
        <f t="shared" si="19"/>
        <v>0</v>
      </c>
      <c r="R238" s="10">
        <v>11</v>
      </c>
      <c r="S238" s="10">
        <v>0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1</v>
      </c>
    </row>
    <row r="239" spans="1:26" ht="26">
      <c r="A239" s="8">
        <v>17764101</v>
      </c>
      <c r="B239" s="8" t="s">
        <v>326</v>
      </c>
      <c r="C239" s="8" t="s">
        <v>21</v>
      </c>
      <c r="D239" s="8" t="s">
        <v>411</v>
      </c>
      <c r="E239" s="8" t="s">
        <v>22</v>
      </c>
      <c r="F239" s="8" t="s">
        <v>118</v>
      </c>
      <c r="G239" s="12" t="s">
        <v>410</v>
      </c>
      <c r="H239" s="7">
        <v>2.7022719565954572</v>
      </c>
      <c r="I239" s="1">
        <v>0</v>
      </c>
      <c r="J239" s="4">
        <f t="shared" si="15"/>
        <v>0</v>
      </c>
      <c r="K239" s="5">
        <f t="shared" si="16"/>
        <v>0</v>
      </c>
      <c r="L239" s="2">
        <v>300000</v>
      </c>
      <c r="M239" s="2">
        <v>170000</v>
      </c>
      <c r="N239" s="6">
        <f t="shared" si="17"/>
        <v>0</v>
      </c>
      <c r="O239" s="9">
        <f t="shared" si="18"/>
        <v>0.56666666666666665</v>
      </c>
      <c r="P239" s="10">
        <v>0</v>
      </c>
      <c r="Q239" s="1">
        <f t="shared" si="19"/>
        <v>0</v>
      </c>
      <c r="R239" s="10">
        <v>5</v>
      </c>
      <c r="S239" s="10">
        <v>0</v>
      </c>
      <c r="T239" s="10">
        <v>0</v>
      </c>
      <c r="U239" s="3">
        <v>0</v>
      </c>
      <c r="V239" s="3">
        <v>0</v>
      </c>
      <c r="W239" s="3">
        <v>1</v>
      </c>
      <c r="X239" s="3">
        <v>0</v>
      </c>
      <c r="Y239" s="3">
        <v>0</v>
      </c>
      <c r="Z239" s="3">
        <v>0</v>
      </c>
    </row>
    <row r="240" spans="1:26" ht="26">
      <c r="A240" s="8">
        <v>17712252</v>
      </c>
      <c r="B240" s="8" t="s">
        <v>327</v>
      </c>
      <c r="C240" s="8" t="s">
        <v>21</v>
      </c>
      <c r="D240" s="8" t="s">
        <v>411</v>
      </c>
      <c r="E240" s="8" t="s">
        <v>26</v>
      </c>
      <c r="F240" s="8" t="s">
        <v>252</v>
      </c>
      <c r="G240" s="12" t="s">
        <v>410</v>
      </c>
      <c r="H240" s="7">
        <v>7.2753475754493193</v>
      </c>
      <c r="I240" s="1">
        <v>0</v>
      </c>
      <c r="J240" s="1">
        <f t="shared" si="15"/>
        <v>0</v>
      </c>
      <c r="K240" s="5">
        <f t="shared" si="16"/>
        <v>0</v>
      </c>
      <c r="L240" s="2">
        <v>1233517.793070439</v>
      </c>
      <c r="M240" s="2">
        <v>170000</v>
      </c>
      <c r="N240" s="6">
        <f t="shared" si="17"/>
        <v>0</v>
      </c>
      <c r="O240" s="9">
        <f t="shared" si="18"/>
        <v>0.13781722562496695</v>
      </c>
      <c r="P240" s="10">
        <v>0</v>
      </c>
      <c r="Q240" s="1">
        <f t="shared" si="19"/>
        <v>0</v>
      </c>
      <c r="R240" s="10">
        <v>10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17750177</v>
      </c>
      <c r="B241" s="8" t="s">
        <v>328</v>
      </c>
      <c r="C241" s="8" t="s">
        <v>35</v>
      </c>
      <c r="D241" s="8" t="s">
        <v>411</v>
      </c>
      <c r="E241" s="8" t="s">
        <v>26</v>
      </c>
      <c r="F241" s="8" t="s">
        <v>122</v>
      </c>
      <c r="G241" s="12" t="s">
        <v>410</v>
      </c>
      <c r="H241" s="7">
        <v>3.3258731773482562</v>
      </c>
      <c r="I241" s="1">
        <v>0</v>
      </c>
      <c r="J241" s="4">
        <f t="shared" si="15"/>
        <v>0</v>
      </c>
      <c r="K241" s="5">
        <f t="shared" si="16"/>
        <v>0</v>
      </c>
      <c r="L241" s="2">
        <v>1233517.793070439</v>
      </c>
      <c r="M241" s="2">
        <v>0</v>
      </c>
      <c r="N241" s="6">
        <f t="shared" si="17"/>
        <v>0</v>
      </c>
      <c r="O241" s="9">
        <f t="shared" si="18"/>
        <v>0</v>
      </c>
      <c r="P241" s="10">
        <v>0</v>
      </c>
      <c r="Q241" s="1">
        <f t="shared" si="19"/>
        <v>0</v>
      </c>
      <c r="R241" s="10">
        <v>6</v>
      </c>
      <c r="S241" s="10">
        <v>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17678771</v>
      </c>
      <c r="B242" s="8" t="s">
        <v>329</v>
      </c>
      <c r="C242" s="8" t="s">
        <v>25</v>
      </c>
      <c r="D242" s="8" t="s">
        <v>413</v>
      </c>
      <c r="E242" s="8" t="s">
        <v>26</v>
      </c>
      <c r="F242" s="8" t="s">
        <v>42</v>
      </c>
      <c r="G242" s="12" t="s">
        <v>412</v>
      </c>
      <c r="H242" s="7">
        <v>8.3670849139188501</v>
      </c>
      <c r="I242" s="1">
        <v>0</v>
      </c>
      <c r="J242" s="1">
        <f t="shared" si="15"/>
        <v>0</v>
      </c>
      <c r="K242" s="5">
        <f t="shared" si="16"/>
        <v>0</v>
      </c>
      <c r="L242" s="2">
        <v>11418548.28353346</v>
      </c>
      <c r="M242" s="2">
        <v>2795000</v>
      </c>
      <c r="N242" s="6">
        <f t="shared" si="17"/>
        <v>1</v>
      </c>
      <c r="O242" s="9">
        <f t="shared" si="18"/>
        <v>0.24477717574927044</v>
      </c>
      <c r="P242" s="10">
        <v>0</v>
      </c>
      <c r="Q242" s="1">
        <f t="shared" si="19"/>
        <v>0</v>
      </c>
      <c r="R242" s="10">
        <v>11</v>
      </c>
      <c r="S242" s="10">
        <v>0</v>
      </c>
      <c r="T242" s="10">
        <v>0</v>
      </c>
      <c r="U242" s="3">
        <v>1</v>
      </c>
      <c r="V242" s="3">
        <v>0</v>
      </c>
      <c r="W242" s="3">
        <v>0</v>
      </c>
      <c r="X242" s="3">
        <v>1</v>
      </c>
      <c r="Y242" s="3">
        <v>0</v>
      </c>
      <c r="Z242" s="3">
        <v>0</v>
      </c>
    </row>
    <row r="243" spans="1:26" ht="26">
      <c r="A243" s="8">
        <v>17706862</v>
      </c>
      <c r="B243" s="8" t="s">
        <v>330</v>
      </c>
      <c r="C243" s="8" t="s">
        <v>21</v>
      </c>
      <c r="D243" s="8" t="s">
        <v>409</v>
      </c>
      <c r="E243" s="8" t="s">
        <v>22</v>
      </c>
      <c r="F243" s="8" t="s">
        <v>40</v>
      </c>
      <c r="G243" s="12" t="s">
        <v>410</v>
      </c>
      <c r="H243" s="7">
        <v>4.5730756188538484</v>
      </c>
      <c r="I243" s="1">
        <v>0</v>
      </c>
      <c r="J243" s="1">
        <f t="shared" si="15"/>
        <v>0</v>
      </c>
      <c r="K243" s="5">
        <f t="shared" si="16"/>
        <v>0</v>
      </c>
      <c r="L243" s="2">
        <v>2781339.4120799541</v>
      </c>
      <c r="M243" s="2">
        <v>0</v>
      </c>
      <c r="N243" s="6">
        <f t="shared" si="17"/>
        <v>0</v>
      </c>
      <c r="O243" s="9">
        <f t="shared" si="18"/>
        <v>0</v>
      </c>
      <c r="P243" s="10">
        <v>0</v>
      </c>
      <c r="Q243" s="1">
        <f t="shared" si="19"/>
        <v>0</v>
      </c>
      <c r="R243" s="10">
        <v>7</v>
      </c>
      <c r="S243" s="10">
        <v>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17765205</v>
      </c>
      <c r="B244" s="8" t="s">
        <v>331</v>
      </c>
      <c r="C244" s="8" t="s">
        <v>21</v>
      </c>
      <c r="D244" s="8" t="s">
        <v>411</v>
      </c>
      <c r="E244" s="8" t="s">
        <v>26</v>
      </c>
      <c r="F244" s="8" t="s">
        <v>40</v>
      </c>
      <c r="G244" s="12" t="s">
        <v>410</v>
      </c>
      <c r="H244" s="7">
        <v>4.9888097660223796</v>
      </c>
      <c r="I244" s="1">
        <v>0</v>
      </c>
      <c r="J244" s="1">
        <f t="shared" si="15"/>
        <v>0</v>
      </c>
      <c r="K244" s="5">
        <f t="shared" si="16"/>
        <v>0</v>
      </c>
      <c r="L244" s="2">
        <v>1233517.793070439</v>
      </c>
      <c r="M244" s="2">
        <v>85000</v>
      </c>
      <c r="N244" s="6">
        <f t="shared" si="17"/>
        <v>0</v>
      </c>
      <c r="O244" s="9">
        <f t="shared" si="18"/>
        <v>6.8908612812483477E-2</v>
      </c>
      <c r="P244" s="10">
        <v>0</v>
      </c>
      <c r="Q244" s="1">
        <f t="shared" si="19"/>
        <v>0</v>
      </c>
      <c r="R244" s="10">
        <v>7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1</v>
      </c>
      <c r="Y244" s="3">
        <v>0</v>
      </c>
      <c r="Z244" s="3">
        <v>0</v>
      </c>
    </row>
    <row r="245" spans="1:26" ht="26">
      <c r="A245" s="8">
        <v>17569071</v>
      </c>
      <c r="B245" s="8" t="s">
        <v>332</v>
      </c>
      <c r="C245" s="8" t="s">
        <v>21</v>
      </c>
      <c r="D245" s="8" t="s">
        <v>411</v>
      </c>
      <c r="E245" s="8" t="s">
        <v>26</v>
      </c>
      <c r="F245" s="8" t="s">
        <v>53</v>
      </c>
      <c r="G245" s="12" t="s">
        <v>410</v>
      </c>
      <c r="H245" s="7">
        <v>3</v>
      </c>
      <c r="I245" s="1">
        <v>0</v>
      </c>
      <c r="J245" s="1">
        <f t="shared" si="15"/>
        <v>0</v>
      </c>
      <c r="K245" s="5">
        <f t="shared" si="16"/>
        <v>0</v>
      </c>
      <c r="L245" s="2">
        <v>1233517.793070439</v>
      </c>
      <c r="M245" s="2">
        <v>0</v>
      </c>
      <c r="N245" s="6">
        <f t="shared" si="17"/>
        <v>0</v>
      </c>
      <c r="O245" s="9">
        <f t="shared" si="18"/>
        <v>0</v>
      </c>
      <c r="P245" s="10">
        <v>0</v>
      </c>
      <c r="Q245" s="1">
        <f t="shared" si="19"/>
        <v>0</v>
      </c>
      <c r="R245" s="10">
        <v>5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17696373</v>
      </c>
      <c r="B246" s="8" t="s">
        <v>333</v>
      </c>
      <c r="C246" s="8" t="s">
        <v>31</v>
      </c>
      <c r="D246" s="8" t="s">
        <v>411</v>
      </c>
      <c r="E246" s="8" t="s">
        <v>26</v>
      </c>
      <c r="F246" s="8" t="s">
        <v>279</v>
      </c>
      <c r="G246" s="12" t="s">
        <v>410</v>
      </c>
      <c r="H246" s="7">
        <v>11.432689047134639</v>
      </c>
      <c r="I246" s="1">
        <v>3</v>
      </c>
      <c r="J246" s="4">
        <f t="shared" si="15"/>
        <v>1</v>
      </c>
      <c r="K246" s="5">
        <f t="shared" si="16"/>
        <v>0.26240545751149302</v>
      </c>
      <c r="L246" s="2">
        <v>1233517.793070439</v>
      </c>
      <c r="M246" s="2">
        <v>308400</v>
      </c>
      <c r="N246" s="6">
        <f t="shared" si="17"/>
        <v>1</v>
      </c>
      <c r="O246" s="9">
        <f t="shared" si="18"/>
        <v>0.25001666107494008</v>
      </c>
      <c r="P246" s="10">
        <v>0</v>
      </c>
      <c r="Q246" s="1">
        <f t="shared" si="19"/>
        <v>0</v>
      </c>
      <c r="R246" s="10">
        <v>14</v>
      </c>
      <c r="S246" s="10">
        <v>0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17705470</v>
      </c>
      <c r="B247" s="8" t="s">
        <v>334</v>
      </c>
      <c r="C247" s="8" t="s">
        <v>21</v>
      </c>
      <c r="D247" s="8" t="s">
        <v>411</v>
      </c>
      <c r="E247" s="8" t="s">
        <v>22</v>
      </c>
      <c r="F247" s="8" t="s">
        <v>46</v>
      </c>
      <c r="G247" s="12" t="s">
        <v>410</v>
      </c>
      <c r="H247" s="7">
        <v>3</v>
      </c>
      <c r="I247" s="1">
        <v>0</v>
      </c>
      <c r="J247" s="4">
        <f t="shared" si="15"/>
        <v>0</v>
      </c>
      <c r="K247" s="5">
        <f t="shared" si="16"/>
        <v>0</v>
      </c>
      <c r="L247" s="2">
        <v>1233517.793070439</v>
      </c>
      <c r="M247" s="2">
        <v>132000</v>
      </c>
      <c r="N247" s="6">
        <f t="shared" si="17"/>
        <v>0</v>
      </c>
      <c r="O247" s="9">
        <f t="shared" si="18"/>
        <v>0.10701102224997434</v>
      </c>
      <c r="P247" s="10">
        <v>0</v>
      </c>
      <c r="Q247" s="1">
        <f t="shared" si="19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1</v>
      </c>
    </row>
    <row r="248" spans="1:26" ht="26">
      <c r="A248" s="8">
        <v>17804899</v>
      </c>
      <c r="B248" s="8" t="s">
        <v>335</v>
      </c>
      <c r="C248" s="8" t="s">
        <v>21</v>
      </c>
      <c r="D248" s="8" t="s">
        <v>411</v>
      </c>
      <c r="E248" s="8" t="s">
        <v>26</v>
      </c>
      <c r="F248" s="8" t="s">
        <v>23</v>
      </c>
      <c r="G248" s="12" t="s">
        <v>410</v>
      </c>
      <c r="H248" s="7">
        <v>10.185486605629039</v>
      </c>
      <c r="I248" s="1">
        <v>0</v>
      </c>
      <c r="J248" s="1">
        <f t="shared" si="15"/>
        <v>0</v>
      </c>
      <c r="K248" s="5">
        <f t="shared" si="16"/>
        <v>0</v>
      </c>
      <c r="L248" s="2">
        <v>1233517.793070439</v>
      </c>
      <c r="M248" s="2">
        <v>170000</v>
      </c>
      <c r="N248" s="6">
        <f t="shared" si="17"/>
        <v>0</v>
      </c>
      <c r="O248" s="9">
        <f t="shared" si="18"/>
        <v>0.13781722562496695</v>
      </c>
      <c r="P248" s="10">
        <v>0</v>
      </c>
      <c r="Q248" s="1">
        <f t="shared" si="19"/>
        <v>0</v>
      </c>
      <c r="R248" s="10">
        <v>13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0</v>
      </c>
      <c r="Z248" s="3">
        <v>0</v>
      </c>
    </row>
    <row r="249" spans="1:26" ht="26">
      <c r="A249" s="8">
        <v>17803417</v>
      </c>
      <c r="B249" s="8" t="s">
        <v>336</v>
      </c>
      <c r="C249" s="8" t="s">
        <v>21</v>
      </c>
      <c r="D249" s="8" t="s">
        <v>411</v>
      </c>
      <c r="E249" s="8" t="s">
        <v>26</v>
      </c>
      <c r="F249" s="8" t="s">
        <v>73</v>
      </c>
      <c r="G249" s="12" t="s">
        <v>410</v>
      </c>
      <c r="H249" s="7">
        <v>5.1966768396066563</v>
      </c>
      <c r="I249" s="1">
        <v>0</v>
      </c>
      <c r="J249" s="4">
        <f t="shared" si="15"/>
        <v>0</v>
      </c>
      <c r="K249" s="5">
        <f t="shared" si="16"/>
        <v>0</v>
      </c>
      <c r="L249" s="2">
        <v>1233517.793070439</v>
      </c>
      <c r="M249" s="2">
        <v>85000</v>
      </c>
      <c r="N249" s="6">
        <f t="shared" si="17"/>
        <v>0</v>
      </c>
      <c r="O249" s="9">
        <f t="shared" si="18"/>
        <v>6.8908612812483477E-2</v>
      </c>
      <c r="P249" s="10">
        <v>0</v>
      </c>
      <c r="Q249" s="1">
        <f t="shared" si="19"/>
        <v>0</v>
      </c>
      <c r="R249" s="10">
        <v>8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0</v>
      </c>
      <c r="Y249" s="3">
        <v>1</v>
      </c>
      <c r="Z249" s="3">
        <v>0</v>
      </c>
    </row>
    <row r="250" spans="1:26" ht="26">
      <c r="A250" s="8">
        <v>17634262</v>
      </c>
      <c r="B250" s="8" t="s">
        <v>337</v>
      </c>
      <c r="C250" s="8" t="s">
        <v>35</v>
      </c>
      <c r="D250" s="8" t="s">
        <v>411</v>
      </c>
      <c r="E250" s="8" t="s">
        <v>26</v>
      </c>
      <c r="F250" s="8" t="s">
        <v>130</v>
      </c>
      <c r="G250" s="12" t="s">
        <v>410</v>
      </c>
      <c r="H250" s="7">
        <v>5.4045439131909321</v>
      </c>
      <c r="I250" s="1">
        <v>0</v>
      </c>
      <c r="J250" s="1">
        <f t="shared" si="15"/>
        <v>0</v>
      </c>
      <c r="K250" s="5">
        <f t="shared" si="16"/>
        <v>0</v>
      </c>
      <c r="L250" s="2">
        <v>1233517.793070439</v>
      </c>
      <c r="M250" s="2">
        <v>0</v>
      </c>
      <c r="N250" s="6">
        <f t="shared" si="17"/>
        <v>0</v>
      </c>
      <c r="O250" s="9">
        <f t="shared" si="18"/>
        <v>0</v>
      </c>
      <c r="P250" s="10">
        <v>0</v>
      </c>
      <c r="Q250" s="1">
        <f t="shared" si="19"/>
        <v>0</v>
      </c>
      <c r="R250" s="10">
        <v>8</v>
      </c>
      <c r="S250" s="10">
        <v>0</v>
      </c>
      <c r="T250" s="10">
        <v>0</v>
      </c>
      <c r="U250" s="3">
        <v>0</v>
      </c>
      <c r="V250" s="3">
        <v>1</v>
      </c>
      <c r="W250" s="3">
        <v>0</v>
      </c>
      <c r="X250" s="3">
        <v>0</v>
      </c>
      <c r="Y250" s="3">
        <v>0</v>
      </c>
      <c r="Z250" s="3">
        <v>0</v>
      </c>
    </row>
    <row r="251" spans="1:26" ht="26">
      <c r="A251" s="8">
        <v>17707156</v>
      </c>
      <c r="B251" s="8" t="s">
        <v>338</v>
      </c>
      <c r="C251" s="8" t="s">
        <v>21</v>
      </c>
      <c r="D251" s="8" t="s">
        <v>411</v>
      </c>
      <c r="E251" s="8" t="s">
        <v>22</v>
      </c>
      <c r="F251" s="8" t="s">
        <v>73</v>
      </c>
      <c r="G251" s="12" t="s">
        <v>410</v>
      </c>
      <c r="H251" s="7">
        <v>4.7809426924381153</v>
      </c>
      <c r="I251" s="1">
        <v>0</v>
      </c>
      <c r="J251" s="4">
        <f t="shared" si="15"/>
        <v>0</v>
      </c>
      <c r="K251" s="5">
        <f t="shared" si="16"/>
        <v>0</v>
      </c>
      <c r="L251" s="2">
        <v>1233517.793070439</v>
      </c>
      <c r="M251" s="2">
        <v>85000</v>
      </c>
      <c r="N251" s="6">
        <f t="shared" si="17"/>
        <v>0</v>
      </c>
      <c r="O251" s="9">
        <f t="shared" si="18"/>
        <v>6.8908612812483477E-2</v>
      </c>
      <c r="P251" s="10">
        <v>0</v>
      </c>
      <c r="Q251" s="1">
        <f t="shared" si="19"/>
        <v>0</v>
      </c>
      <c r="R251" s="10">
        <v>7</v>
      </c>
      <c r="S251" s="10">
        <v>0</v>
      </c>
      <c r="T251" s="10">
        <v>0</v>
      </c>
      <c r="U251" s="3">
        <v>0</v>
      </c>
      <c r="V251" s="3">
        <v>0</v>
      </c>
      <c r="W251" s="3">
        <v>0</v>
      </c>
      <c r="X251" s="3">
        <v>0</v>
      </c>
      <c r="Y251" s="3">
        <v>1</v>
      </c>
      <c r="Z251" s="3">
        <v>0</v>
      </c>
    </row>
    <row r="252" spans="1:26" ht="26">
      <c r="A252" s="8">
        <v>17379579</v>
      </c>
      <c r="B252" s="8" t="s">
        <v>339</v>
      </c>
      <c r="C252" s="8" t="s">
        <v>35</v>
      </c>
      <c r="D252" s="8" t="s">
        <v>411</v>
      </c>
      <c r="E252" s="8" t="s">
        <v>22</v>
      </c>
      <c r="F252" s="8" t="s">
        <v>38</v>
      </c>
      <c r="G252" s="12" t="s">
        <v>410</v>
      </c>
      <c r="H252" s="7">
        <v>13.30349270939303</v>
      </c>
      <c r="I252" s="1">
        <v>0</v>
      </c>
      <c r="J252" s="1">
        <f t="shared" si="15"/>
        <v>0</v>
      </c>
      <c r="K252" s="5">
        <f t="shared" si="16"/>
        <v>0</v>
      </c>
      <c r="L252" s="2">
        <v>1233517.793070439</v>
      </c>
      <c r="M252" s="2">
        <v>0</v>
      </c>
      <c r="N252" s="6">
        <f t="shared" si="17"/>
        <v>0</v>
      </c>
      <c r="O252" s="9">
        <f t="shared" si="18"/>
        <v>0</v>
      </c>
      <c r="P252" s="10">
        <v>0</v>
      </c>
      <c r="Q252" s="1">
        <f t="shared" si="19"/>
        <v>0</v>
      </c>
      <c r="R252" s="10">
        <v>9</v>
      </c>
      <c r="S252" s="10">
        <v>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751422</v>
      </c>
      <c r="B253" s="8" t="s">
        <v>340</v>
      </c>
      <c r="C253" s="8" t="s">
        <v>31</v>
      </c>
      <c r="D253" s="8" t="s">
        <v>411</v>
      </c>
      <c r="E253" s="8" t="s">
        <v>22</v>
      </c>
      <c r="F253" s="8" t="s">
        <v>87</v>
      </c>
      <c r="G253" s="12" t="s">
        <v>410</v>
      </c>
      <c r="H253" s="7">
        <v>6.651746354696491</v>
      </c>
      <c r="I253" s="1">
        <v>0</v>
      </c>
      <c r="J253" s="1">
        <f t="shared" si="15"/>
        <v>0</v>
      </c>
      <c r="K253" s="5">
        <f t="shared" si="16"/>
        <v>0</v>
      </c>
      <c r="L253" s="2">
        <v>1233517.793070439</v>
      </c>
      <c r="M253" s="2">
        <v>300000</v>
      </c>
      <c r="N253" s="6">
        <f t="shared" si="17"/>
        <v>1</v>
      </c>
      <c r="O253" s="9">
        <f t="shared" si="18"/>
        <v>0.24320686874994168</v>
      </c>
      <c r="P253" s="10">
        <v>0</v>
      </c>
      <c r="Q253" s="1">
        <f t="shared" si="19"/>
        <v>0</v>
      </c>
      <c r="R253" s="10">
        <v>9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1</v>
      </c>
      <c r="Z253" s="3">
        <v>0</v>
      </c>
    </row>
    <row r="254" spans="1:26" ht="26">
      <c r="A254" s="8">
        <v>17673837</v>
      </c>
      <c r="B254" s="8" t="s">
        <v>341</v>
      </c>
      <c r="C254" s="8" t="s">
        <v>25</v>
      </c>
      <c r="D254" s="8" t="s">
        <v>409</v>
      </c>
      <c r="E254" s="8" t="s">
        <v>22</v>
      </c>
      <c r="F254" s="8" t="s">
        <v>29</v>
      </c>
      <c r="G254" s="12" t="s">
        <v>412</v>
      </c>
      <c r="H254" s="7">
        <v>5</v>
      </c>
      <c r="I254" s="1">
        <v>0</v>
      </c>
      <c r="J254" s="4">
        <f t="shared" si="15"/>
        <v>0</v>
      </c>
      <c r="K254" s="5">
        <f t="shared" si="16"/>
        <v>0</v>
      </c>
      <c r="L254" s="2">
        <v>6043962.54005126</v>
      </c>
      <c r="M254" s="2">
        <v>0</v>
      </c>
      <c r="N254" s="6">
        <f t="shared" si="17"/>
        <v>0</v>
      </c>
      <c r="O254" s="9">
        <f t="shared" si="18"/>
        <v>0</v>
      </c>
      <c r="P254" s="10">
        <v>0</v>
      </c>
      <c r="Q254" s="1">
        <f t="shared" si="19"/>
        <v>0</v>
      </c>
      <c r="R254" s="10">
        <v>7</v>
      </c>
      <c r="S254" s="10">
        <v>0</v>
      </c>
      <c r="T254" s="10">
        <v>0</v>
      </c>
      <c r="U254" s="3">
        <v>1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</row>
    <row r="255" spans="1:26" ht="26">
      <c r="A255" s="8">
        <v>658678</v>
      </c>
      <c r="B255" s="8" t="s">
        <v>342</v>
      </c>
      <c r="C255" s="8" t="s">
        <v>35</v>
      </c>
      <c r="D255" s="8" t="s">
        <v>409</v>
      </c>
      <c r="E255" s="8" t="s">
        <v>22</v>
      </c>
      <c r="F255" s="8" t="s">
        <v>82</v>
      </c>
      <c r="G255" s="12" t="s">
        <v>410</v>
      </c>
      <c r="H255" s="7">
        <v>50</v>
      </c>
      <c r="I255" s="1">
        <v>0</v>
      </c>
      <c r="J255" s="4">
        <f t="shared" si="15"/>
        <v>0</v>
      </c>
      <c r="K255" s="5">
        <f t="shared" si="16"/>
        <v>0</v>
      </c>
      <c r="L255" s="2">
        <v>23626053.564346101</v>
      </c>
      <c r="M255" s="2">
        <v>5813000</v>
      </c>
      <c r="N255" s="6">
        <f t="shared" si="17"/>
        <v>1</v>
      </c>
      <c r="O255" s="9">
        <f t="shared" si="18"/>
        <v>0.24604193773488919</v>
      </c>
      <c r="P255" s="10">
        <v>0</v>
      </c>
      <c r="Q255" s="1">
        <f t="shared" si="19"/>
        <v>0</v>
      </c>
      <c r="R255" s="10">
        <v>38</v>
      </c>
      <c r="S255" s="10">
        <v>0</v>
      </c>
      <c r="T255" s="10">
        <v>0</v>
      </c>
      <c r="U255" s="3">
        <v>0</v>
      </c>
      <c r="V255" s="3">
        <v>0</v>
      </c>
      <c r="W255" s="3">
        <v>1</v>
      </c>
      <c r="X255" s="3">
        <v>0</v>
      </c>
      <c r="Y255" s="3">
        <v>0</v>
      </c>
      <c r="Z255" s="3">
        <v>1</v>
      </c>
    </row>
    <row r="256" spans="1:26" ht="26">
      <c r="A256" s="8">
        <v>17721015</v>
      </c>
      <c r="B256" s="8" t="s">
        <v>343</v>
      </c>
      <c r="C256" s="8" t="s">
        <v>21</v>
      </c>
      <c r="D256" s="8" t="s">
        <v>409</v>
      </c>
      <c r="E256" s="8" t="s">
        <v>22</v>
      </c>
      <c r="F256" s="8" t="s">
        <v>142</v>
      </c>
      <c r="G256" s="12" t="s">
        <v>410</v>
      </c>
      <c r="H256" s="7">
        <v>2.7022719565954572</v>
      </c>
      <c r="I256" s="1">
        <v>0</v>
      </c>
      <c r="J256" s="4">
        <f t="shared" si="15"/>
        <v>0</v>
      </c>
      <c r="K256" s="5">
        <f t="shared" si="16"/>
        <v>0</v>
      </c>
      <c r="L256" s="2">
        <v>19880654</v>
      </c>
      <c r="M256" s="2">
        <v>0</v>
      </c>
      <c r="N256" s="6">
        <f t="shared" si="17"/>
        <v>0</v>
      </c>
      <c r="O256" s="9">
        <f t="shared" si="18"/>
        <v>0</v>
      </c>
      <c r="P256" s="10">
        <v>0</v>
      </c>
      <c r="Q256" s="1">
        <f t="shared" si="19"/>
        <v>0</v>
      </c>
      <c r="R256" s="10">
        <v>5</v>
      </c>
      <c r="S256" s="10">
        <v>0</v>
      </c>
      <c r="T256" s="10">
        <v>0</v>
      </c>
      <c r="U256" s="3">
        <v>0</v>
      </c>
      <c r="V256" s="3">
        <v>0</v>
      </c>
      <c r="W256" s="3">
        <v>0</v>
      </c>
      <c r="X256" s="3">
        <v>0</v>
      </c>
      <c r="Y256" s="3">
        <v>1</v>
      </c>
      <c r="Z256" s="3">
        <v>0</v>
      </c>
    </row>
    <row r="257" spans="1:26" ht="26">
      <c r="A257" s="8">
        <v>17708464</v>
      </c>
      <c r="B257" s="8" t="s">
        <v>344</v>
      </c>
      <c r="C257" s="8" t="s">
        <v>21</v>
      </c>
      <c r="D257" s="8" t="s">
        <v>411</v>
      </c>
      <c r="E257" s="8" t="s">
        <v>26</v>
      </c>
      <c r="F257" s="8" t="s">
        <v>53</v>
      </c>
      <c r="G257" s="12" t="s">
        <v>410</v>
      </c>
      <c r="H257" s="7">
        <v>7.0674805018650426</v>
      </c>
      <c r="I257" s="1">
        <v>0</v>
      </c>
      <c r="J257" s="1">
        <f t="shared" si="15"/>
        <v>0</v>
      </c>
      <c r="K257" s="5">
        <f t="shared" si="16"/>
        <v>0</v>
      </c>
      <c r="L257" s="2">
        <v>1233517.793070439</v>
      </c>
      <c r="M257" s="2">
        <v>0</v>
      </c>
      <c r="N257" s="6">
        <f t="shared" si="17"/>
        <v>0</v>
      </c>
      <c r="O257" s="9">
        <f t="shared" si="18"/>
        <v>0</v>
      </c>
      <c r="P257" s="10">
        <v>0</v>
      </c>
      <c r="Q257" s="1">
        <f t="shared" si="19"/>
        <v>0</v>
      </c>
      <c r="R257" s="10">
        <v>10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17609597</v>
      </c>
      <c r="B258" s="8" t="s">
        <v>345</v>
      </c>
      <c r="C258" s="8" t="s">
        <v>31</v>
      </c>
      <c r="D258" s="8" t="s">
        <v>411</v>
      </c>
      <c r="E258" s="8" t="s">
        <v>26</v>
      </c>
      <c r="F258" s="8" t="s">
        <v>65</v>
      </c>
      <c r="G258" s="12" t="s">
        <v>410</v>
      </c>
      <c r="H258" s="7">
        <v>4.9888097660223796</v>
      </c>
      <c r="I258" s="1">
        <v>0</v>
      </c>
      <c r="J258" s="4">
        <f t="shared" si="15"/>
        <v>0</v>
      </c>
      <c r="K258" s="5">
        <f t="shared" si="16"/>
        <v>0</v>
      </c>
      <c r="L258" s="2">
        <v>1233517.793070439</v>
      </c>
      <c r="M258" s="2">
        <v>220800</v>
      </c>
      <c r="N258" s="6">
        <f t="shared" si="17"/>
        <v>0</v>
      </c>
      <c r="O258" s="9">
        <f t="shared" si="18"/>
        <v>0.17900025539995709</v>
      </c>
      <c r="P258" s="10">
        <v>0</v>
      </c>
      <c r="Q258" s="1">
        <f t="shared" si="19"/>
        <v>0</v>
      </c>
      <c r="R258" s="10">
        <v>7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1</v>
      </c>
    </row>
    <row r="259" spans="1:26" ht="26">
      <c r="A259" s="8">
        <v>17222435</v>
      </c>
      <c r="B259" s="8" t="s">
        <v>346</v>
      </c>
      <c r="C259" s="8" t="s">
        <v>25</v>
      </c>
      <c r="D259" s="8" t="s">
        <v>409</v>
      </c>
      <c r="E259" s="8" t="s">
        <v>22</v>
      </c>
      <c r="F259" s="8" t="s">
        <v>226</v>
      </c>
      <c r="G259" s="12" t="s">
        <v>412</v>
      </c>
      <c r="H259" s="7">
        <v>10.536329150860819</v>
      </c>
      <c r="I259" s="1">
        <v>0</v>
      </c>
      <c r="J259" s="1">
        <f t="shared" si="15"/>
        <v>0</v>
      </c>
      <c r="K259" s="5">
        <f t="shared" si="16"/>
        <v>0</v>
      </c>
      <c r="L259" s="2">
        <v>3680495.057959374</v>
      </c>
      <c r="M259" s="2">
        <v>840000</v>
      </c>
      <c r="N259" s="6">
        <f t="shared" si="17"/>
        <v>1</v>
      </c>
      <c r="O259" s="9">
        <f t="shared" si="18"/>
        <v>0.2282301665324698</v>
      </c>
      <c r="P259" s="10">
        <v>0</v>
      </c>
      <c r="Q259" s="1">
        <f t="shared" si="19"/>
        <v>0</v>
      </c>
      <c r="R259" s="10">
        <v>13</v>
      </c>
      <c r="S259" s="10">
        <v>0</v>
      </c>
      <c r="T259" s="10">
        <v>0</v>
      </c>
      <c r="U259" s="3">
        <v>0</v>
      </c>
      <c r="V259" s="3">
        <v>0</v>
      </c>
      <c r="W259" s="3">
        <v>1</v>
      </c>
      <c r="X259" s="3">
        <v>0</v>
      </c>
      <c r="Y259" s="3">
        <v>0</v>
      </c>
      <c r="Z259" s="3">
        <v>0</v>
      </c>
    </row>
    <row r="260" spans="1:26" ht="26">
      <c r="A260" s="8">
        <v>698993</v>
      </c>
      <c r="B260" s="8" t="s">
        <v>347</v>
      </c>
      <c r="C260" s="8" t="s">
        <v>57</v>
      </c>
      <c r="D260" s="8" t="s">
        <v>411</v>
      </c>
      <c r="E260" s="8" t="s">
        <v>22</v>
      </c>
      <c r="F260" s="8" t="s">
        <v>113</v>
      </c>
      <c r="G260" s="12" t="s">
        <v>412</v>
      </c>
      <c r="H260" s="7">
        <v>10.226437117011949</v>
      </c>
      <c r="I260" s="1">
        <v>0</v>
      </c>
      <c r="J260" s="1">
        <f t="shared" si="15"/>
        <v>0</v>
      </c>
      <c r="K260" s="5">
        <f t="shared" si="16"/>
        <v>0</v>
      </c>
      <c r="L260" s="2">
        <v>20640793.730255559</v>
      </c>
      <c r="M260" s="2">
        <v>0</v>
      </c>
      <c r="N260" s="6">
        <f t="shared" si="17"/>
        <v>0</v>
      </c>
      <c r="O260" s="9">
        <f t="shared" si="18"/>
        <v>0</v>
      </c>
      <c r="P260" s="10">
        <v>0</v>
      </c>
      <c r="Q260" s="1">
        <f t="shared" si="19"/>
        <v>0</v>
      </c>
      <c r="R260" s="10">
        <v>13</v>
      </c>
      <c r="S260" s="10">
        <v>0</v>
      </c>
      <c r="T260" s="10">
        <v>0</v>
      </c>
      <c r="U260" s="3">
        <v>0</v>
      </c>
      <c r="V260" s="3">
        <v>1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664096</v>
      </c>
      <c r="B261" s="8" t="s">
        <v>348</v>
      </c>
      <c r="C261" s="8" t="s">
        <v>31</v>
      </c>
      <c r="D261" s="8" t="s">
        <v>409</v>
      </c>
      <c r="E261" s="8" t="s">
        <v>22</v>
      </c>
      <c r="F261" s="8" t="s">
        <v>102</v>
      </c>
      <c r="G261" s="12" t="s">
        <v>410</v>
      </c>
      <c r="H261" s="7">
        <v>3</v>
      </c>
      <c r="I261" s="1">
        <v>0</v>
      </c>
      <c r="J261" s="1">
        <f t="shared" si="15"/>
        <v>0</v>
      </c>
      <c r="K261" s="5">
        <f t="shared" si="16"/>
        <v>0</v>
      </c>
      <c r="L261" s="2">
        <v>4382792.2394838315</v>
      </c>
      <c r="M261" s="2">
        <v>168000</v>
      </c>
      <c r="N261" s="6">
        <f t="shared" si="17"/>
        <v>0</v>
      </c>
      <c r="O261" s="9">
        <f t="shared" si="18"/>
        <v>3.8331727998994911E-2</v>
      </c>
      <c r="P261" s="10">
        <v>0</v>
      </c>
      <c r="Q261" s="1">
        <f t="shared" si="19"/>
        <v>0</v>
      </c>
      <c r="R261" s="10">
        <v>5</v>
      </c>
      <c r="S261" s="10">
        <v>0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0</v>
      </c>
      <c r="Z261" s="3">
        <v>1</v>
      </c>
    </row>
    <row r="262" spans="1:26" ht="26">
      <c r="A262" s="8">
        <v>17753641</v>
      </c>
      <c r="B262" s="8" t="s">
        <v>349</v>
      </c>
      <c r="C262" s="8" t="s">
        <v>21</v>
      </c>
      <c r="D262" s="8" t="s">
        <v>411</v>
      </c>
      <c r="E262" s="8" t="s">
        <v>26</v>
      </c>
      <c r="F262" s="8" t="s">
        <v>53</v>
      </c>
      <c r="G262" s="12" t="s">
        <v>410</v>
      </c>
      <c r="H262" s="7">
        <v>5</v>
      </c>
      <c r="I262" s="1">
        <v>0</v>
      </c>
      <c r="J262" s="4">
        <f t="shared" ref="J262:J314" si="20">IF(I262&gt;=3,1,0)</f>
        <v>0</v>
      </c>
      <c r="K262" s="5">
        <f t="shared" ref="K262:K314" si="21">I262/H262</f>
        <v>0</v>
      </c>
      <c r="L262" s="2">
        <v>1233517.793070439</v>
      </c>
      <c r="M262" s="2">
        <v>170000</v>
      </c>
      <c r="N262" s="6">
        <f t="shared" ref="N262:N314" si="22">IF(M262&gt;=300000,1,0)</f>
        <v>0</v>
      </c>
      <c r="O262" s="9">
        <f t="shared" ref="O262:O314" si="23">M262/L262</f>
        <v>0.13781722562496695</v>
      </c>
      <c r="P262" s="10">
        <v>1</v>
      </c>
      <c r="Q262" s="1">
        <f t="shared" ref="Q262:Q314" si="24">IF(P262&gt;=3,1,0)</f>
        <v>0</v>
      </c>
      <c r="R262" s="10">
        <v>7</v>
      </c>
      <c r="S262" s="10">
        <v>0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17422989</v>
      </c>
      <c r="B263" s="8" t="s">
        <v>350</v>
      </c>
      <c r="C263" s="8" t="s">
        <v>21</v>
      </c>
      <c r="D263" s="8" t="s">
        <v>409</v>
      </c>
      <c r="E263" s="8" t="s">
        <v>22</v>
      </c>
      <c r="F263" s="8" t="s">
        <v>23</v>
      </c>
      <c r="G263" s="12" t="s">
        <v>410</v>
      </c>
      <c r="H263" s="7">
        <v>4.7809426924381153</v>
      </c>
      <c r="I263" s="1">
        <v>3</v>
      </c>
      <c r="J263" s="1">
        <f t="shared" si="20"/>
        <v>1</v>
      </c>
      <c r="K263" s="5">
        <f t="shared" si="21"/>
        <v>0.62749131144052761</v>
      </c>
      <c r="L263" s="2">
        <v>2549477.9785796599</v>
      </c>
      <c r="M263" s="2">
        <v>3090000</v>
      </c>
      <c r="N263" s="6">
        <f t="shared" si="22"/>
        <v>1</v>
      </c>
      <c r="O263" s="9">
        <f t="shared" si="23"/>
        <v>1.2120128222176174</v>
      </c>
      <c r="P263" s="10">
        <v>0</v>
      </c>
      <c r="Q263" s="1">
        <f t="shared" si="24"/>
        <v>0</v>
      </c>
      <c r="R263" s="10">
        <v>7</v>
      </c>
      <c r="S263" s="10">
        <v>0</v>
      </c>
      <c r="T263" s="10">
        <v>0</v>
      </c>
      <c r="U263" s="3">
        <v>0</v>
      </c>
      <c r="V263" s="3">
        <v>0</v>
      </c>
      <c r="W263" s="3">
        <v>0</v>
      </c>
      <c r="X263" s="3">
        <v>1</v>
      </c>
      <c r="Y263" s="3">
        <v>0</v>
      </c>
      <c r="Z263" s="3">
        <v>0</v>
      </c>
    </row>
    <row r="264" spans="1:26" ht="26">
      <c r="A264" s="8">
        <v>17575257</v>
      </c>
      <c r="B264" s="8" t="s">
        <v>351</v>
      </c>
      <c r="C264" s="8" t="s">
        <v>57</v>
      </c>
      <c r="D264" s="8" t="s">
        <v>409</v>
      </c>
      <c r="E264" s="8" t="s">
        <v>22</v>
      </c>
      <c r="F264" s="8" t="s">
        <v>58</v>
      </c>
      <c r="G264" s="12" t="s">
        <v>412</v>
      </c>
      <c r="H264" s="7">
        <v>4.6483805077327114</v>
      </c>
      <c r="I264" s="1">
        <v>0</v>
      </c>
      <c r="J264" s="1">
        <f t="shared" si="20"/>
        <v>0</v>
      </c>
      <c r="K264" s="5">
        <f t="shared" si="21"/>
        <v>0</v>
      </c>
      <c r="L264" s="2">
        <v>2724550.2980522839</v>
      </c>
      <c r="M264" s="2">
        <v>0</v>
      </c>
      <c r="N264" s="6">
        <f t="shared" si="22"/>
        <v>0</v>
      </c>
      <c r="O264" s="9">
        <f t="shared" si="23"/>
        <v>0</v>
      </c>
      <c r="P264" s="10">
        <v>0</v>
      </c>
      <c r="Q264" s="1">
        <f t="shared" si="24"/>
        <v>0</v>
      </c>
      <c r="R264" s="10">
        <v>7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17611830</v>
      </c>
      <c r="B265" s="8" t="s">
        <v>352</v>
      </c>
      <c r="C265" s="8" t="s">
        <v>35</v>
      </c>
      <c r="D265" s="8" t="s">
        <v>411</v>
      </c>
      <c r="E265" s="8" t="s">
        <v>22</v>
      </c>
      <c r="F265" s="8" t="s">
        <v>93</v>
      </c>
      <c r="G265" s="12" t="s">
        <v>410</v>
      </c>
      <c r="H265" s="7">
        <v>5.8202780603594357</v>
      </c>
      <c r="I265" s="1">
        <v>0</v>
      </c>
      <c r="J265" s="1">
        <f t="shared" si="20"/>
        <v>0</v>
      </c>
      <c r="K265" s="5">
        <f t="shared" si="21"/>
        <v>0</v>
      </c>
      <c r="L265" s="2">
        <v>1233517.793070439</v>
      </c>
      <c r="M265" s="2">
        <v>336000</v>
      </c>
      <c r="N265" s="6">
        <f t="shared" si="22"/>
        <v>1</v>
      </c>
      <c r="O265" s="9">
        <f t="shared" si="23"/>
        <v>0.27239169299993471</v>
      </c>
      <c r="P265" s="10">
        <v>0</v>
      </c>
      <c r="Q265" s="1">
        <f t="shared" si="24"/>
        <v>0</v>
      </c>
      <c r="R265" s="10">
        <v>8</v>
      </c>
      <c r="S265" s="10">
        <v>0</v>
      </c>
      <c r="T265" s="10">
        <v>0</v>
      </c>
      <c r="U265" s="3">
        <v>0</v>
      </c>
      <c r="V265" s="3">
        <v>1</v>
      </c>
      <c r="W265" s="3">
        <v>0</v>
      </c>
      <c r="X265" s="3">
        <v>0</v>
      </c>
      <c r="Y265" s="3">
        <v>1</v>
      </c>
      <c r="Z265" s="3">
        <v>0</v>
      </c>
    </row>
    <row r="266" spans="1:26" ht="26">
      <c r="A266" s="8">
        <v>17707547</v>
      </c>
      <c r="B266" s="8" t="s">
        <v>353</v>
      </c>
      <c r="C266" s="8" t="s">
        <v>21</v>
      </c>
      <c r="D266" s="8" t="s">
        <v>411</v>
      </c>
      <c r="E266" s="8" t="s">
        <v>22</v>
      </c>
      <c r="F266" s="8" t="s">
        <v>125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1233517.793070439</v>
      </c>
      <c r="M266" s="2">
        <v>0</v>
      </c>
      <c r="N266" s="6">
        <f t="shared" si="22"/>
        <v>0</v>
      </c>
      <c r="O266" s="9">
        <f t="shared" si="23"/>
        <v>0</v>
      </c>
      <c r="P266" s="10">
        <v>0</v>
      </c>
      <c r="Q266" s="1">
        <f t="shared" si="24"/>
        <v>0</v>
      </c>
      <c r="R266" s="10">
        <v>5</v>
      </c>
      <c r="S266" s="10">
        <v>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</row>
    <row r="267" spans="1:26" ht="26">
      <c r="A267" s="8">
        <v>17766225</v>
      </c>
      <c r="B267" s="8" t="s">
        <v>354</v>
      </c>
      <c r="C267" s="8" t="s">
        <v>21</v>
      </c>
      <c r="D267" s="8" t="s">
        <v>411</v>
      </c>
      <c r="E267" s="8" t="s">
        <v>22</v>
      </c>
      <c r="F267" s="8" t="s">
        <v>116</v>
      </c>
      <c r="G267" s="12" t="s">
        <v>410</v>
      </c>
      <c r="H267" s="7">
        <v>6.651746354696491</v>
      </c>
      <c r="I267" s="1">
        <v>0</v>
      </c>
      <c r="J267" s="1">
        <f t="shared" si="20"/>
        <v>0</v>
      </c>
      <c r="K267" s="5">
        <f t="shared" si="21"/>
        <v>0</v>
      </c>
      <c r="L267" s="2">
        <v>1233517.793070439</v>
      </c>
      <c r="M267" s="2">
        <v>85000</v>
      </c>
      <c r="N267" s="6">
        <f t="shared" si="22"/>
        <v>0</v>
      </c>
      <c r="O267" s="9">
        <f t="shared" si="23"/>
        <v>6.8908612812483477E-2</v>
      </c>
      <c r="P267" s="10">
        <v>0</v>
      </c>
      <c r="Q267" s="1">
        <f t="shared" si="24"/>
        <v>0</v>
      </c>
      <c r="R267" s="10">
        <v>9</v>
      </c>
      <c r="S267" s="10">
        <v>0</v>
      </c>
      <c r="T267" s="10">
        <v>0</v>
      </c>
      <c r="U267" s="3">
        <v>0</v>
      </c>
      <c r="V267" s="3">
        <v>0</v>
      </c>
      <c r="W267" s="3">
        <v>1</v>
      </c>
      <c r="X267" s="3">
        <v>0</v>
      </c>
      <c r="Y267" s="3">
        <v>0</v>
      </c>
      <c r="Z267" s="3">
        <v>0</v>
      </c>
    </row>
    <row r="268" spans="1:26" ht="26">
      <c r="A268" s="8">
        <v>17764294</v>
      </c>
      <c r="B268" s="8" t="s">
        <v>355</v>
      </c>
      <c r="C268" s="27" t="s">
        <v>57</v>
      </c>
      <c r="D268" s="8" t="s">
        <v>411</v>
      </c>
      <c r="E268" s="8" t="s">
        <v>26</v>
      </c>
      <c r="F268" s="8" t="s">
        <v>29</v>
      </c>
      <c r="G268" s="12" t="s">
        <v>412</v>
      </c>
      <c r="H268" s="7">
        <v>21</v>
      </c>
      <c r="I268" s="1">
        <v>0</v>
      </c>
      <c r="J268" s="4">
        <f t="shared" si="20"/>
        <v>0</v>
      </c>
      <c r="K268" s="5">
        <f t="shared" si="21"/>
        <v>0</v>
      </c>
      <c r="L268" s="2">
        <v>2198816.5908757159</v>
      </c>
      <c r="M268" s="2">
        <v>3681000</v>
      </c>
      <c r="N268" s="6">
        <f t="shared" si="22"/>
        <v>1</v>
      </c>
      <c r="O268" s="9">
        <f t="shared" si="23"/>
        <v>1.6740823292287328</v>
      </c>
      <c r="P268" s="10">
        <v>0</v>
      </c>
      <c r="Q268" s="1">
        <f t="shared" si="24"/>
        <v>0</v>
      </c>
      <c r="R268" s="10">
        <v>13</v>
      </c>
      <c r="S268" s="10">
        <v>0</v>
      </c>
      <c r="T268" s="10">
        <v>0</v>
      </c>
      <c r="U268" s="3">
        <v>1</v>
      </c>
      <c r="V268" s="3">
        <v>1</v>
      </c>
      <c r="W268" s="3">
        <v>1</v>
      </c>
      <c r="X268" s="3">
        <v>1</v>
      </c>
      <c r="Y268" s="3">
        <v>1</v>
      </c>
      <c r="Z268" s="3">
        <v>1</v>
      </c>
    </row>
    <row r="269" spans="1:26" ht="26">
      <c r="A269" s="8">
        <v>17681335</v>
      </c>
      <c r="B269" s="8" t="s">
        <v>356</v>
      </c>
      <c r="C269" s="8" t="s">
        <v>25</v>
      </c>
      <c r="D269" s="8" t="s">
        <v>411</v>
      </c>
      <c r="E269" s="8" t="s">
        <v>26</v>
      </c>
      <c r="F269" s="8" t="s">
        <v>27</v>
      </c>
      <c r="G269" s="12" t="s">
        <v>412</v>
      </c>
      <c r="H269" s="7">
        <v>5.8879486431280963</v>
      </c>
      <c r="I269" s="1">
        <v>0</v>
      </c>
      <c r="J269" s="4">
        <f t="shared" si="20"/>
        <v>0</v>
      </c>
      <c r="K269" s="5">
        <f t="shared" si="21"/>
        <v>0</v>
      </c>
      <c r="L269" s="2">
        <v>5113334.8746495834</v>
      </c>
      <c r="M269" s="2">
        <v>2900000</v>
      </c>
      <c r="N269" s="6">
        <f t="shared" si="22"/>
        <v>1</v>
      </c>
      <c r="O269" s="9">
        <f t="shared" si="23"/>
        <v>0.56714454873224729</v>
      </c>
      <c r="P269" s="10">
        <v>0</v>
      </c>
      <c r="Q269" s="1">
        <f t="shared" si="24"/>
        <v>0</v>
      </c>
      <c r="R269" s="10">
        <v>8</v>
      </c>
      <c r="S269" s="10">
        <v>0</v>
      </c>
      <c r="T269" s="10">
        <v>0</v>
      </c>
      <c r="U269" s="3">
        <v>0</v>
      </c>
      <c r="V269" s="3">
        <v>1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17774332</v>
      </c>
      <c r="B270" s="8" t="s">
        <v>357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8.0571928800700618</v>
      </c>
      <c r="I270" s="1">
        <v>0</v>
      </c>
      <c r="J270" s="4">
        <f t="shared" si="20"/>
        <v>0</v>
      </c>
      <c r="K270" s="5">
        <f t="shared" si="21"/>
        <v>0</v>
      </c>
      <c r="L270" s="2">
        <v>2158596.5258458201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11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</v>
      </c>
    </row>
    <row r="271" spans="1:26" ht="26">
      <c r="A271" s="8">
        <v>17628917</v>
      </c>
      <c r="B271" s="8" t="s">
        <v>358</v>
      </c>
      <c r="C271" s="8" t="s">
        <v>57</v>
      </c>
      <c r="D271" s="8" t="s">
        <v>411</v>
      </c>
      <c r="E271" s="8" t="s">
        <v>26</v>
      </c>
      <c r="F271" s="8" t="s">
        <v>169</v>
      </c>
      <c r="G271" s="12" t="s">
        <v>412</v>
      </c>
      <c r="H271" s="7">
        <v>4</v>
      </c>
      <c r="I271" s="1">
        <v>0</v>
      </c>
      <c r="J271" s="1">
        <f t="shared" si="20"/>
        <v>0</v>
      </c>
      <c r="K271" s="5">
        <f t="shared" si="21"/>
        <v>0</v>
      </c>
      <c r="L271" s="2">
        <v>1556013.7658442741</v>
      </c>
      <c r="M271" s="2">
        <v>0</v>
      </c>
      <c r="N271" s="6">
        <f t="shared" si="22"/>
        <v>0</v>
      </c>
      <c r="O271" s="9">
        <f t="shared" si="23"/>
        <v>0</v>
      </c>
      <c r="P271" s="10">
        <v>3</v>
      </c>
      <c r="Q271" s="1">
        <f t="shared" si="24"/>
        <v>1</v>
      </c>
      <c r="R271" s="10">
        <v>6</v>
      </c>
      <c r="S271" s="10">
        <v>0</v>
      </c>
      <c r="T271" s="10">
        <v>0</v>
      </c>
      <c r="U271" s="3">
        <v>0</v>
      </c>
      <c r="V271" s="3">
        <v>1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17703945</v>
      </c>
      <c r="B272" s="8" t="s">
        <v>359</v>
      </c>
      <c r="C272" s="8" t="s">
        <v>25</v>
      </c>
      <c r="D272" s="8" t="s">
        <v>409</v>
      </c>
      <c r="E272" s="8" t="s">
        <v>26</v>
      </c>
      <c r="F272" s="8" t="s">
        <v>95</v>
      </c>
      <c r="G272" s="12" t="s">
        <v>412</v>
      </c>
      <c r="H272" s="7">
        <v>8.676976947767713</v>
      </c>
      <c r="I272" s="1">
        <v>0</v>
      </c>
      <c r="J272" s="4">
        <f t="shared" si="20"/>
        <v>0</v>
      </c>
      <c r="K272" s="5">
        <f t="shared" si="21"/>
        <v>0</v>
      </c>
      <c r="L272" s="2">
        <v>1893575.0259166521</v>
      </c>
      <c r="M272" s="2">
        <v>2650000</v>
      </c>
      <c r="N272" s="6">
        <f t="shared" si="22"/>
        <v>1</v>
      </c>
      <c r="O272" s="9">
        <f t="shared" si="23"/>
        <v>1.3994692387312055</v>
      </c>
      <c r="P272" s="10">
        <v>0</v>
      </c>
      <c r="Q272" s="1">
        <f t="shared" si="24"/>
        <v>0</v>
      </c>
      <c r="R272" s="10">
        <v>11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 t="s">
        <v>399</v>
      </c>
      <c r="B273" s="8" t="s">
        <v>403</v>
      </c>
      <c r="C273" s="8" t="s">
        <v>21</v>
      </c>
      <c r="D273" s="8" t="s">
        <v>411</v>
      </c>
      <c r="E273" s="8" t="s">
        <v>22</v>
      </c>
      <c r="F273" s="8" t="s">
        <v>198</v>
      </c>
      <c r="G273" s="12" t="s">
        <v>410</v>
      </c>
      <c r="H273" s="7">
        <v>5</v>
      </c>
      <c r="I273" s="1">
        <v>0</v>
      </c>
      <c r="J273" s="1">
        <f t="shared" si="20"/>
        <v>0</v>
      </c>
      <c r="K273" s="5">
        <f t="shared" si="21"/>
        <v>0</v>
      </c>
      <c r="L273" s="2">
        <v>1233517.793070439</v>
      </c>
      <c r="M273" s="2">
        <v>0</v>
      </c>
      <c r="N273" s="6">
        <f t="shared" si="22"/>
        <v>0</v>
      </c>
      <c r="O273" s="9">
        <f t="shared" si="23"/>
        <v>0</v>
      </c>
      <c r="P273" s="10">
        <v>0</v>
      </c>
      <c r="Q273" s="1">
        <f t="shared" si="24"/>
        <v>0</v>
      </c>
      <c r="R273" s="10">
        <v>7</v>
      </c>
      <c r="S273" s="10">
        <v>0</v>
      </c>
      <c r="T273" s="10">
        <v>0</v>
      </c>
      <c r="U273" s="3">
        <v>0</v>
      </c>
      <c r="V273" s="3">
        <v>0</v>
      </c>
      <c r="W273" s="3">
        <v>0</v>
      </c>
      <c r="X273" s="3">
        <v>1</v>
      </c>
      <c r="Y273" s="3">
        <v>0</v>
      </c>
      <c r="Z273" s="3">
        <v>0</v>
      </c>
    </row>
    <row r="274" spans="1:26" ht="26">
      <c r="A274" s="8">
        <v>17703860</v>
      </c>
      <c r="B274" s="8" t="s">
        <v>360</v>
      </c>
      <c r="C274" s="8" t="s">
        <v>25</v>
      </c>
      <c r="D274" s="8" t="s">
        <v>409</v>
      </c>
      <c r="E274" s="8" t="s">
        <v>26</v>
      </c>
      <c r="F274" s="8" t="s">
        <v>110</v>
      </c>
      <c r="G274" s="12" t="s">
        <v>412</v>
      </c>
      <c r="H274" s="7">
        <v>4</v>
      </c>
      <c r="I274" s="1">
        <v>0</v>
      </c>
      <c r="J274" s="1">
        <f t="shared" si="20"/>
        <v>0</v>
      </c>
      <c r="K274" s="5">
        <f t="shared" si="21"/>
        <v>0</v>
      </c>
      <c r="L274" s="2">
        <v>1560682.1662495269</v>
      </c>
      <c r="M274" s="2">
        <v>3740000</v>
      </c>
      <c r="N274" s="6">
        <f t="shared" si="22"/>
        <v>1</v>
      </c>
      <c r="O274" s="9">
        <f t="shared" si="23"/>
        <v>2.3963879903796097</v>
      </c>
      <c r="P274" s="10">
        <v>0</v>
      </c>
      <c r="Q274" s="1">
        <f t="shared" si="24"/>
        <v>0</v>
      </c>
      <c r="R274" s="10">
        <v>6</v>
      </c>
      <c r="S274" s="10">
        <v>0</v>
      </c>
      <c r="T274" s="10">
        <v>0</v>
      </c>
      <c r="U274" s="3">
        <v>0</v>
      </c>
      <c r="V274" s="3">
        <v>1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17763874</v>
      </c>
      <c r="B275" s="8" t="s">
        <v>417</v>
      </c>
      <c r="C275" s="8" t="s">
        <v>21</v>
      </c>
      <c r="D275" s="8" t="s">
        <v>411</v>
      </c>
      <c r="E275" s="8" t="s">
        <v>26</v>
      </c>
      <c r="F275" s="8" t="s">
        <v>252</v>
      </c>
      <c r="G275" s="12" t="s">
        <v>410</v>
      </c>
      <c r="H275" s="7">
        <v>5</v>
      </c>
      <c r="I275" s="1">
        <v>0</v>
      </c>
      <c r="J275" s="1">
        <f t="shared" si="20"/>
        <v>0</v>
      </c>
      <c r="K275" s="5">
        <f t="shared" si="21"/>
        <v>0</v>
      </c>
      <c r="L275" s="2">
        <v>1233517.793070439</v>
      </c>
      <c r="M275" s="2">
        <v>170000</v>
      </c>
      <c r="N275" s="6">
        <f t="shared" si="22"/>
        <v>0</v>
      </c>
      <c r="O275" s="9">
        <f t="shared" si="23"/>
        <v>0.13781722562496695</v>
      </c>
      <c r="P275" s="10">
        <v>0</v>
      </c>
      <c r="Q275" s="1">
        <f t="shared" si="24"/>
        <v>0</v>
      </c>
      <c r="R275" s="10">
        <v>7</v>
      </c>
      <c r="S275" s="10">
        <v>0</v>
      </c>
      <c r="T275" s="10">
        <v>0</v>
      </c>
      <c r="U275" s="3">
        <v>0</v>
      </c>
      <c r="V275" s="3">
        <v>1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17703957</v>
      </c>
      <c r="B276" s="8" t="s">
        <v>361</v>
      </c>
      <c r="C276" s="8" t="s">
        <v>25</v>
      </c>
      <c r="D276" s="8" t="s">
        <v>409</v>
      </c>
      <c r="E276" s="8" t="s">
        <v>26</v>
      </c>
      <c r="F276" s="8" t="s">
        <v>95</v>
      </c>
      <c r="G276" s="12" t="s">
        <v>412</v>
      </c>
      <c r="H276" s="7">
        <v>5.2681645754304078</v>
      </c>
      <c r="I276" s="1">
        <v>0</v>
      </c>
      <c r="J276" s="1">
        <f t="shared" si="20"/>
        <v>0</v>
      </c>
      <c r="K276" s="5">
        <f t="shared" si="21"/>
        <v>0</v>
      </c>
      <c r="L276" s="2">
        <v>5325208.4315035222</v>
      </c>
      <c r="M276" s="2">
        <v>2495000</v>
      </c>
      <c r="N276" s="6">
        <f t="shared" si="22"/>
        <v>1</v>
      </c>
      <c r="O276" s="9">
        <f t="shared" si="23"/>
        <v>0.46852626185292062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17774583</v>
      </c>
      <c r="B277" s="8" t="s">
        <v>362</v>
      </c>
      <c r="C277" s="8" t="s">
        <v>25</v>
      </c>
      <c r="D277" s="8" t="s">
        <v>411</v>
      </c>
      <c r="E277" s="8" t="s">
        <v>26</v>
      </c>
      <c r="F277" s="8" t="s">
        <v>322</v>
      </c>
      <c r="G277" s="12" t="s">
        <v>412</v>
      </c>
      <c r="H277" s="7">
        <v>8.0571928800700618</v>
      </c>
      <c r="I277" s="1">
        <v>0</v>
      </c>
      <c r="J277" s="4">
        <f t="shared" si="20"/>
        <v>0</v>
      </c>
      <c r="K277" s="5">
        <f t="shared" si="21"/>
        <v>0</v>
      </c>
      <c r="L277" s="2">
        <v>2158596.5258458201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11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17692847</v>
      </c>
      <c r="B278" s="8" t="s">
        <v>363</v>
      </c>
      <c r="C278" s="8" t="s">
        <v>35</v>
      </c>
      <c r="D278" s="8" t="s">
        <v>411</v>
      </c>
      <c r="E278" s="8" t="s">
        <v>26</v>
      </c>
      <c r="F278" s="8" t="s">
        <v>38</v>
      </c>
      <c r="G278" s="12" t="s">
        <v>410</v>
      </c>
      <c r="H278" s="7">
        <v>5.4045439131909321</v>
      </c>
      <c r="I278" s="1">
        <v>0</v>
      </c>
      <c r="J278" s="4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1</v>
      </c>
      <c r="Q278" s="1">
        <f t="shared" si="24"/>
        <v>0</v>
      </c>
      <c r="R278" s="10">
        <v>8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1</v>
      </c>
      <c r="Y278" s="3">
        <v>0</v>
      </c>
      <c r="Z278" s="3">
        <v>0</v>
      </c>
    </row>
    <row r="279" spans="1:26" ht="26">
      <c r="A279" s="8">
        <v>17705774</v>
      </c>
      <c r="B279" s="8" t="s">
        <v>364</v>
      </c>
      <c r="C279" s="8" t="s">
        <v>21</v>
      </c>
      <c r="D279" s="8" t="s">
        <v>411</v>
      </c>
      <c r="E279" s="8" t="s">
        <v>26</v>
      </c>
      <c r="F279" s="8" t="s">
        <v>40</v>
      </c>
      <c r="G279" s="12" t="s">
        <v>410</v>
      </c>
      <c r="H279" s="7">
        <v>6.651746354696491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85000</v>
      </c>
      <c r="N279" s="6">
        <f t="shared" si="22"/>
        <v>0</v>
      </c>
      <c r="O279" s="9">
        <f t="shared" si="23"/>
        <v>6.8908612812483477E-2</v>
      </c>
      <c r="P279" s="10">
        <v>0</v>
      </c>
      <c r="Q279" s="1">
        <f t="shared" si="24"/>
        <v>0</v>
      </c>
      <c r="R279" s="10">
        <v>9</v>
      </c>
      <c r="S279" s="10">
        <v>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17232381</v>
      </c>
      <c r="B280" s="8" t="s">
        <v>365</v>
      </c>
      <c r="C280" s="8" t="s">
        <v>35</v>
      </c>
      <c r="D280" s="8" t="s">
        <v>411</v>
      </c>
      <c r="E280" s="8" t="s">
        <v>22</v>
      </c>
      <c r="F280" s="8" t="s">
        <v>279</v>
      </c>
      <c r="G280" s="12" t="s">
        <v>410</v>
      </c>
      <c r="H280" s="7">
        <v>5</v>
      </c>
      <c r="I280" s="1">
        <v>6</v>
      </c>
      <c r="J280" s="4">
        <f t="shared" si="20"/>
        <v>1</v>
      </c>
      <c r="K280" s="5">
        <f t="shared" si="21"/>
        <v>1.2</v>
      </c>
      <c r="L280" s="2">
        <v>1233517.793070439</v>
      </c>
      <c r="M280" s="2">
        <v>630000</v>
      </c>
      <c r="N280" s="6">
        <f t="shared" si="22"/>
        <v>1</v>
      </c>
      <c r="O280" s="9">
        <f t="shared" si="23"/>
        <v>0.51073442437487759</v>
      </c>
      <c r="P280" s="10">
        <v>4</v>
      </c>
      <c r="Q280" s="1">
        <f t="shared" si="24"/>
        <v>1</v>
      </c>
      <c r="R280" s="10">
        <v>7</v>
      </c>
      <c r="S280" s="10">
        <v>3</v>
      </c>
      <c r="T280" s="10">
        <v>0</v>
      </c>
      <c r="U280" s="3">
        <v>1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17703858</v>
      </c>
      <c r="B281" s="8" t="s">
        <v>366</v>
      </c>
      <c r="C281" s="8" t="s">
        <v>25</v>
      </c>
      <c r="D281" s="8" t="s">
        <v>411</v>
      </c>
      <c r="E281" s="8" t="s">
        <v>26</v>
      </c>
      <c r="F281" s="8" t="s">
        <v>110</v>
      </c>
      <c r="G281" s="12" t="s">
        <v>412</v>
      </c>
      <c r="H281" s="7">
        <v>4.9582725415815601</v>
      </c>
      <c r="I281" s="1">
        <v>0</v>
      </c>
      <c r="J281" s="4">
        <f t="shared" si="20"/>
        <v>0</v>
      </c>
      <c r="K281" s="5">
        <f t="shared" si="21"/>
        <v>0</v>
      </c>
      <c r="L281" s="2">
        <v>1814391.7728890399</v>
      </c>
      <c r="M281" s="2">
        <v>3740000</v>
      </c>
      <c r="N281" s="6">
        <f t="shared" si="22"/>
        <v>1</v>
      </c>
      <c r="O281" s="9">
        <f t="shared" si="23"/>
        <v>2.0612968245798595</v>
      </c>
      <c r="P281" s="10">
        <v>0</v>
      </c>
      <c r="Q281" s="1">
        <f t="shared" si="24"/>
        <v>0</v>
      </c>
      <c r="R281" s="10">
        <v>7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13">
        <v>17691426</v>
      </c>
      <c r="B282" s="13" t="s">
        <v>440</v>
      </c>
      <c r="C282" s="8" t="s">
        <v>57</v>
      </c>
      <c r="D282" s="8" t="s">
        <v>411</v>
      </c>
      <c r="E282" s="8" t="s">
        <v>26</v>
      </c>
      <c r="F282" s="14" t="s">
        <v>69</v>
      </c>
      <c r="G282" s="13" t="s">
        <v>412</v>
      </c>
      <c r="H282" s="7">
        <v>2.7022719565954572</v>
      </c>
      <c r="I282" s="1">
        <v>0</v>
      </c>
      <c r="J282" s="1">
        <f t="shared" si="20"/>
        <v>0</v>
      </c>
      <c r="K282" s="5">
        <f t="shared" si="21"/>
        <v>0</v>
      </c>
      <c r="L282" s="2">
        <v>300000</v>
      </c>
      <c r="M282" s="2">
        <v>0</v>
      </c>
      <c r="N282" s="6">
        <f t="shared" si="22"/>
        <v>0</v>
      </c>
      <c r="O282" s="9">
        <f t="shared" si="23"/>
        <v>0</v>
      </c>
      <c r="P282" s="10">
        <v>3</v>
      </c>
      <c r="Q282" s="1">
        <f t="shared" si="24"/>
        <v>1</v>
      </c>
      <c r="R282" s="10">
        <v>5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17763651</v>
      </c>
      <c r="B283" s="8" t="s">
        <v>367</v>
      </c>
      <c r="C283" s="8" t="s">
        <v>21</v>
      </c>
      <c r="D283" s="8" t="s">
        <v>411</v>
      </c>
      <c r="E283" s="8" t="s">
        <v>22</v>
      </c>
      <c r="F283" s="8" t="s">
        <v>302</v>
      </c>
      <c r="G283" s="12" t="s">
        <v>410</v>
      </c>
      <c r="H283" s="7">
        <v>3</v>
      </c>
      <c r="I283" s="1">
        <v>0</v>
      </c>
      <c r="J283" s="1">
        <f t="shared" si="20"/>
        <v>0</v>
      </c>
      <c r="K283" s="5">
        <f t="shared" si="21"/>
        <v>0</v>
      </c>
      <c r="L283" s="2">
        <v>1233517.793070439</v>
      </c>
      <c r="M283" s="2">
        <v>132000</v>
      </c>
      <c r="N283" s="6">
        <f t="shared" si="22"/>
        <v>0</v>
      </c>
      <c r="O283" s="9">
        <f t="shared" si="23"/>
        <v>0.10701102224997434</v>
      </c>
      <c r="P283" s="10">
        <v>0</v>
      </c>
      <c r="Q283" s="1">
        <f t="shared" si="24"/>
        <v>0</v>
      </c>
      <c r="R283" s="10">
        <v>5</v>
      </c>
      <c r="S283" s="10">
        <v>0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</v>
      </c>
    </row>
    <row r="284" spans="1:26" ht="26">
      <c r="A284" s="8">
        <v>17572210</v>
      </c>
      <c r="B284" s="8" t="s">
        <v>368</v>
      </c>
      <c r="C284" s="8" t="s">
        <v>35</v>
      </c>
      <c r="D284" s="8" t="s">
        <v>409</v>
      </c>
      <c r="E284" s="8" t="s">
        <v>22</v>
      </c>
      <c r="F284" s="8" t="s">
        <v>36</v>
      </c>
      <c r="G284" s="12" t="s">
        <v>410</v>
      </c>
      <c r="H284" s="7">
        <v>6.0281451339437124</v>
      </c>
      <c r="I284" s="1">
        <v>0</v>
      </c>
      <c r="J284" s="1">
        <f t="shared" si="20"/>
        <v>0</v>
      </c>
      <c r="K284" s="5">
        <f t="shared" si="21"/>
        <v>0</v>
      </c>
      <c r="L284" s="2">
        <v>19880654</v>
      </c>
      <c r="M284" s="2">
        <v>600000</v>
      </c>
      <c r="N284" s="6">
        <f t="shared" si="22"/>
        <v>1</v>
      </c>
      <c r="O284" s="9">
        <f t="shared" si="23"/>
        <v>3.0180093672974743E-2</v>
      </c>
      <c r="P284" s="10">
        <v>0</v>
      </c>
      <c r="Q284" s="1">
        <f t="shared" si="24"/>
        <v>0</v>
      </c>
      <c r="R284" s="10">
        <v>9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1</v>
      </c>
      <c r="Y284" s="3">
        <v>0</v>
      </c>
      <c r="Z284" s="3">
        <v>0</v>
      </c>
    </row>
    <row r="285" spans="1:26" ht="26">
      <c r="A285" s="8">
        <v>17708668</v>
      </c>
      <c r="B285" s="8" t="s">
        <v>369</v>
      </c>
      <c r="C285" s="8" t="s">
        <v>21</v>
      </c>
      <c r="D285" s="8" t="s">
        <v>411</v>
      </c>
      <c r="E285" s="8" t="s">
        <v>22</v>
      </c>
      <c r="F285" s="8" t="s">
        <v>193</v>
      </c>
      <c r="G285" s="12" t="s">
        <v>410</v>
      </c>
      <c r="H285" s="7">
        <v>5</v>
      </c>
      <c r="I285" s="1">
        <v>0</v>
      </c>
      <c r="J285" s="4">
        <f t="shared" si="20"/>
        <v>0</v>
      </c>
      <c r="K285" s="5">
        <f t="shared" si="21"/>
        <v>0</v>
      </c>
      <c r="L285" s="2">
        <v>1233517.793070439</v>
      </c>
      <c r="M285" s="2">
        <v>170000</v>
      </c>
      <c r="N285" s="6">
        <f t="shared" si="22"/>
        <v>0</v>
      </c>
      <c r="O285" s="9">
        <f t="shared" si="23"/>
        <v>0.13781722562496695</v>
      </c>
      <c r="P285" s="10">
        <v>0</v>
      </c>
      <c r="Q285" s="1">
        <f t="shared" si="24"/>
        <v>0</v>
      </c>
      <c r="R285" s="10">
        <v>7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17691033</v>
      </c>
      <c r="B286" s="8" t="s">
        <v>370</v>
      </c>
      <c r="C286" s="8" t="s">
        <v>21</v>
      </c>
      <c r="D286" s="8" t="s">
        <v>411</v>
      </c>
      <c r="E286" s="8" t="s">
        <v>22</v>
      </c>
      <c r="F286" s="8" t="s">
        <v>252</v>
      </c>
      <c r="G286" s="12" t="s">
        <v>410</v>
      </c>
      <c r="H286" s="7">
        <v>4.5730756188538484</v>
      </c>
      <c r="I286" s="1">
        <v>0</v>
      </c>
      <c r="J286" s="1">
        <f t="shared" si="20"/>
        <v>0</v>
      </c>
      <c r="K286" s="5">
        <f t="shared" si="21"/>
        <v>0</v>
      </c>
      <c r="L286" s="2">
        <v>1233517.793070439</v>
      </c>
      <c r="M286" s="2">
        <v>170000</v>
      </c>
      <c r="N286" s="6">
        <f t="shared" si="22"/>
        <v>0</v>
      </c>
      <c r="O286" s="9">
        <f t="shared" si="23"/>
        <v>0.13781722562496695</v>
      </c>
      <c r="P286" s="10">
        <v>0</v>
      </c>
      <c r="Q286" s="1">
        <f t="shared" si="24"/>
        <v>0</v>
      </c>
      <c r="R286" s="10">
        <v>7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17703866</v>
      </c>
      <c r="B287" s="8" t="s">
        <v>371</v>
      </c>
      <c r="C287" s="8" t="s">
        <v>25</v>
      </c>
      <c r="D287" s="8" t="s">
        <v>409</v>
      </c>
      <c r="E287" s="8" t="s">
        <v>26</v>
      </c>
      <c r="F287" s="8" t="s">
        <v>110</v>
      </c>
      <c r="G287" s="12" t="s">
        <v>412</v>
      </c>
      <c r="H287" s="7">
        <v>30</v>
      </c>
      <c r="I287" s="1">
        <v>0</v>
      </c>
      <c r="J287" s="4">
        <f t="shared" si="20"/>
        <v>0</v>
      </c>
      <c r="K287" s="5">
        <f t="shared" si="21"/>
        <v>0</v>
      </c>
      <c r="L287" s="2">
        <v>15023810.27342353</v>
      </c>
      <c r="M287" s="2">
        <v>2350000</v>
      </c>
      <c r="N287" s="6">
        <f t="shared" si="22"/>
        <v>1</v>
      </c>
      <c r="O287" s="9">
        <f t="shared" si="23"/>
        <v>0.15641837571371947</v>
      </c>
      <c r="P287" s="10">
        <v>0</v>
      </c>
      <c r="Q287" s="1">
        <f t="shared" si="24"/>
        <v>0</v>
      </c>
      <c r="R287" s="10">
        <v>22</v>
      </c>
      <c r="S287" s="10">
        <v>0</v>
      </c>
      <c r="T287" s="10">
        <v>0</v>
      </c>
      <c r="U287" s="3">
        <v>0</v>
      </c>
      <c r="V287" s="3">
        <v>1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17704148</v>
      </c>
      <c r="B288" s="8" t="s">
        <v>372</v>
      </c>
      <c r="C288" s="8" t="s">
        <v>25</v>
      </c>
      <c r="D288" s="8" t="s">
        <v>411</v>
      </c>
      <c r="E288" s="8" t="s">
        <v>26</v>
      </c>
      <c r="F288" s="8" t="s">
        <v>201</v>
      </c>
      <c r="G288" s="12" t="s">
        <v>412</v>
      </c>
      <c r="H288" s="7">
        <v>4.9582725415815601</v>
      </c>
      <c r="I288" s="1">
        <v>0</v>
      </c>
      <c r="J288" s="4">
        <f t="shared" si="20"/>
        <v>0</v>
      </c>
      <c r="K288" s="5">
        <f t="shared" si="21"/>
        <v>0</v>
      </c>
      <c r="L288" s="2">
        <v>2101677.9516740479</v>
      </c>
      <c r="M288" s="2">
        <v>145000</v>
      </c>
      <c r="N288" s="6">
        <f t="shared" si="22"/>
        <v>0</v>
      </c>
      <c r="O288" s="9">
        <f t="shared" si="23"/>
        <v>6.8992492348555715E-2</v>
      </c>
      <c r="P288" s="10">
        <v>1</v>
      </c>
      <c r="Q288" s="1">
        <f t="shared" si="24"/>
        <v>0</v>
      </c>
      <c r="R288" s="10">
        <v>7</v>
      </c>
      <c r="S288" s="10">
        <v>0</v>
      </c>
      <c r="T288" s="10">
        <v>0</v>
      </c>
      <c r="U288" s="3">
        <v>1</v>
      </c>
      <c r="V288" s="3">
        <v>0</v>
      </c>
      <c r="W288" s="3">
        <v>0</v>
      </c>
      <c r="X288" s="3">
        <v>0</v>
      </c>
      <c r="Y288" s="3">
        <v>1</v>
      </c>
      <c r="Z288" s="3">
        <v>0</v>
      </c>
    </row>
    <row r="289" spans="1:26" ht="26">
      <c r="A289" s="8">
        <v>17785546</v>
      </c>
      <c r="B289" s="8" t="s">
        <v>373</v>
      </c>
      <c r="C289" s="8" t="s">
        <v>21</v>
      </c>
      <c r="D289" s="8" t="s">
        <v>411</v>
      </c>
      <c r="E289" s="8" t="s">
        <v>22</v>
      </c>
      <c r="F289" s="8" t="s">
        <v>142</v>
      </c>
      <c r="G289" s="12" t="s">
        <v>410</v>
      </c>
      <c r="H289" s="7">
        <v>4.5730756188538484</v>
      </c>
      <c r="I289" s="1">
        <v>0</v>
      </c>
      <c r="J289" s="4">
        <f t="shared" si="20"/>
        <v>0</v>
      </c>
      <c r="K289" s="5">
        <f t="shared" si="21"/>
        <v>0</v>
      </c>
      <c r="L289" s="2">
        <v>1233517.793070439</v>
      </c>
      <c r="M289" s="2">
        <v>0</v>
      </c>
      <c r="N289" s="6">
        <f t="shared" si="22"/>
        <v>0</v>
      </c>
      <c r="O289" s="9">
        <f t="shared" si="23"/>
        <v>0</v>
      </c>
      <c r="P289" s="10">
        <v>0</v>
      </c>
      <c r="Q289" s="1">
        <f t="shared" si="24"/>
        <v>0</v>
      </c>
      <c r="R289" s="10">
        <v>7</v>
      </c>
      <c r="S289" s="10">
        <v>0</v>
      </c>
      <c r="T289" s="10">
        <v>0</v>
      </c>
      <c r="U289" s="3">
        <v>0</v>
      </c>
      <c r="V289" s="3">
        <v>0</v>
      </c>
      <c r="W289" s="3">
        <v>0</v>
      </c>
      <c r="X289" s="3">
        <v>1</v>
      </c>
      <c r="Y289" s="3">
        <v>0</v>
      </c>
      <c r="Z289" s="3">
        <v>0</v>
      </c>
    </row>
    <row r="290" spans="1:26" ht="26">
      <c r="A290" s="8">
        <v>17703938</v>
      </c>
      <c r="B290" s="8" t="s">
        <v>374</v>
      </c>
      <c r="C290" s="8" t="s">
        <v>25</v>
      </c>
      <c r="D290" s="8" t="s">
        <v>411</v>
      </c>
      <c r="E290" s="8" t="s">
        <v>26</v>
      </c>
      <c r="F290" s="8" t="s">
        <v>95</v>
      </c>
      <c r="G290" s="12" t="s">
        <v>412</v>
      </c>
      <c r="H290" s="7">
        <v>13.635249489349301</v>
      </c>
      <c r="I290" s="1">
        <v>0</v>
      </c>
      <c r="J290" s="1">
        <f t="shared" si="20"/>
        <v>0</v>
      </c>
      <c r="K290" s="5">
        <f t="shared" si="21"/>
        <v>0</v>
      </c>
      <c r="L290" s="2">
        <v>15160091.65448463</v>
      </c>
      <c r="M290" s="2">
        <v>2650000</v>
      </c>
      <c r="N290" s="6">
        <f t="shared" si="22"/>
        <v>1</v>
      </c>
      <c r="O290" s="9">
        <f t="shared" si="23"/>
        <v>0.17480105400392365</v>
      </c>
      <c r="P290" s="10">
        <v>0</v>
      </c>
      <c r="Q290" s="1">
        <f t="shared" si="24"/>
        <v>0</v>
      </c>
      <c r="R290" s="10">
        <v>9</v>
      </c>
      <c r="S290" s="10">
        <v>0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17646915</v>
      </c>
      <c r="B291" s="8" t="s">
        <v>375</v>
      </c>
      <c r="C291" s="8" t="s">
        <v>35</v>
      </c>
      <c r="D291" s="8" t="s">
        <v>411</v>
      </c>
      <c r="E291" s="8" t="s">
        <v>26</v>
      </c>
      <c r="F291" s="8" t="s">
        <v>55</v>
      </c>
      <c r="G291" s="12" t="s">
        <v>410</v>
      </c>
      <c r="H291" s="7">
        <v>3</v>
      </c>
      <c r="I291" s="1">
        <v>0</v>
      </c>
      <c r="J291" s="1">
        <f t="shared" si="20"/>
        <v>0</v>
      </c>
      <c r="K291" s="5">
        <f t="shared" si="21"/>
        <v>0</v>
      </c>
      <c r="L291" s="2">
        <v>1233517.793070439</v>
      </c>
      <c r="M291" s="2">
        <v>0</v>
      </c>
      <c r="N291" s="6">
        <f t="shared" si="22"/>
        <v>0</v>
      </c>
      <c r="O291" s="9">
        <f t="shared" si="23"/>
        <v>0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0</v>
      </c>
      <c r="W291" s="3">
        <v>0</v>
      </c>
      <c r="X291" s="3">
        <v>1</v>
      </c>
      <c r="Y291" s="3">
        <v>0</v>
      </c>
      <c r="Z291" s="3">
        <v>0</v>
      </c>
    </row>
    <row r="292" spans="1:26" ht="26">
      <c r="A292" s="8" t="s">
        <v>414</v>
      </c>
      <c r="B292" s="8" t="s">
        <v>415</v>
      </c>
      <c r="C292" s="8" t="s">
        <v>57</v>
      </c>
      <c r="D292" s="8" t="s">
        <v>411</v>
      </c>
      <c r="E292" s="8" t="s">
        <v>26</v>
      </c>
      <c r="F292" s="8" t="s">
        <v>80</v>
      </c>
      <c r="G292" s="12" t="s">
        <v>412</v>
      </c>
      <c r="H292" s="7">
        <v>8.9868689816165759</v>
      </c>
      <c r="I292" s="1">
        <v>0</v>
      </c>
      <c r="J292" s="4">
        <f t="shared" si="20"/>
        <v>0</v>
      </c>
      <c r="K292" s="5">
        <f t="shared" si="21"/>
        <v>0</v>
      </c>
      <c r="L292" s="2">
        <v>9233916.4477352388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11</v>
      </c>
      <c r="S292" s="10">
        <v>0</v>
      </c>
      <c r="T292" s="10">
        <v>0</v>
      </c>
      <c r="U292" s="3">
        <v>0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17703900</v>
      </c>
      <c r="B293" s="8" t="s">
        <v>376</v>
      </c>
      <c r="C293" s="8" t="s">
        <v>25</v>
      </c>
      <c r="D293" s="8" t="s">
        <v>411</v>
      </c>
      <c r="E293" s="8" t="s">
        <v>26</v>
      </c>
      <c r="F293" s="8" t="s">
        <v>110</v>
      </c>
      <c r="G293" s="12" t="s">
        <v>412</v>
      </c>
      <c r="H293" s="7">
        <v>6.8176247446746396</v>
      </c>
      <c r="I293" s="1">
        <v>0</v>
      </c>
      <c r="J293" s="4">
        <f t="shared" si="20"/>
        <v>0</v>
      </c>
      <c r="K293" s="5">
        <f t="shared" si="21"/>
        <v>0</v>
      </c>
      <c r="L293" s="2">
        <v>8369903.2650393397</v>
      </c>
      <c r="M293" s="2">
        <v>840000</v>
      </c>
      <c r="N293" s="6">
        <f t="shared" si="22"/>
        <v>1</v>
      </c>
      <c r="O293" s="9">
        <f t="shared" si="23"/>
        <v>0.10035958282918719</v>
      </c>
      <c r="P293" s="10">
        <v>0</v>
      </c>
      <c r="Q293" s="1">
        <f t="shared" si="24"/>
        <v>0</v>
      </c>
      <c r="R293" s="10">
        <v>9</v>
      </c>
      <c r="S293" s="10">
        <v>0</v>
      </c>
      <c r="T293" s="10">
        <v>0</v>
      </c>
      <c r="U293" s="3">
        <v>0</v>
      </c>
      <c r="V293" s="3">
        <v>1</v>
      </c>
      <c r="W293" s="3">
        <v>0</v>
      </c>
      <c r="X293" s="3">
        <v>0</v>
      </c>
      <c r="Y293" s="3">
        <v>0</v>
      </c>
      <c r="Z293" s="3">
        <v>1</v>
      </c>
    </row>
    <row r="294" spans="1:26" ht="26">
      <c r="A294" s="8">
        <v>17628858</v>
      </c>
      <c r="B294" s="8" t="s">
        <v>377</v>
      </c>
      <c r="C294" s="8" t="s">
        <v>57</v>
      </c>
      <c r="D294" s="8" t="s">
        <v>411</v>
      </c>
      <c r="E294" s="8" t="s">
        <v>26</v>
      </c>
      <c r="F294" s="8" t="s">
        <v>69</v>
      </c>
      <c r="G294" s="12" t="s">
        <v>412</v>
      </c>
      <c r="H294" s="7">
        <v>5.2681645754304078</v>
      </c>
      <c r="I294" s="1">
        <v>0</v>
      </c>
      <c r="J294" s="4">
        <f t="shared" si="20"/>
        <v>0</v>
      </c>
      <c r="K294" s="5">
        <f t="shared" si="21"/>
        <v>0</v>
      </c>
      <c r="L294" s="2">
        <v>1194033.180575171</v>
      </c>
      <c r="M294" s="2">
        <v>0</v>
      </c>
      <c r="N294" s="6">
        <f t="shared" si="22"/>
        <v>0</v>
      </c>
      <c r="O294" s="9">
        <f t="shared" si="23"/>
        <v>0</v>
      </c>
      <c r="P294" s="10">
        <v>3</v>
      </c>
      <c r="Q294" s="1">
        <f t="shared" si="24"/>
        <v>1</v>
      </c>
      <c r="R294" s="10">
        <v>8</v>
      </c>
      <c r="S294" s="10">
        <v>0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17703872</v>
      </c>
      <c r="B295" s="8" t="s">
        <v>378</v>
      </c>
      <c r="C295" s="8" t="s">
        <v>25</v>
      </c>
      <c r="D295" s="8" t="s">
        <v>409</v>
      </c>
      <c r="E295" s="8" t="s">
        <v>26</v>
      </c>
      <c r="F295" s="8" t="s">
        <v>110</v>
      </c>
      <c r="G295" s="12" t="s">
        <v>412</v>
      </c>
      <c r="H295" s="7">
        <v>21.692442369419279</v>
      </c>
      <c r="I295" s="1">
        <v>0</v>
      </c>
      <c r="J295" s="1">
        <f t="shared" si="20"/>
        <v>0</v>
      </c>
      <c r="K295" s="5">
        <f t="shared" si="21"/>
        <v>0</v>
      </c>
      <c r="L295" s="2">
        <v>2091802.489278316</v>
      </c>
      <c r="M295" s="2">
        <v>3190000</v>
      </c>
      <c r="N295" s="6">
        <f t="shared" si="22"/>
        <v>1</v>
      </c>
      <c r="O295" s="9">
        <f t="shared" si="23"/>
        <v>1.5250005755087175</v>
      </c>
      <c r="P295" s="10">
        <v>0</v>
      </c>
      <c r="Q295" s="1">
        <f t="shared" si="24"/>
        <v>0</v>
      </c>
      <c r="R295" s="10">
        <v>14</v>
      </c>
      <c r="S295" s="10">
        <v>0</v>
      </c>
      <c r="T295" s="10">
        <v>0</v>
      </c>
      <c r="U295" s="3">
        <v>0</v>
      </c>
      <c r="V295" s="3">
        <v>1</v>
      </c>
      <c r="W295" s="3">
        <v>0</v>
      </c>
      <c r="X295" s="3">
        <v>0</v>
      </c>
      <c r="Y295" s="3">
        <v>0</v>
      </c>
      <c r="Z295" s="3">
        <v>1</v>
      </c>
    </row>
    <row r="296" spans="1:26" ht="26">
      <c r="A296" s="8">
        <v>17704140</v>
      </c>
      <c r="B296" s="8" t="s">
        <v>379</v>
      </c>
      <c r="C296" s="8" t="s">
        <v>25</v>
      </c>
      <c r="D296" s="8" t="s">
        <v>411</v>
      </c>
      <c r="E296" s="8" t="s">
        <v>26</v>
      </c>
      <c r="F296" s="8" t="s">
        <v>201</v>
      </c>
      <c r="G296" s="12" t="s">
        <v>412</v>
      </c>
      <c r="H296" s="7">
        <v>6.1978406769769432</v>
      </c>
      <c r="I296" s="1">
        <v>0</v>
      </c>
      <c r="J296" s="1">
        <f t="shared" si="20"/>
        <v>0</v>
      </c>
      <c r="K296" s="5">
        <f t="shared" si="21"/>
        <v>0</v>
      </c>
      <c r="L296" s="2">
        <v>6826278.7156551722</v>
      </c>
      <c r="M296" s="2">
        <v>2350000</v>
      </c>
      <c r="N296" s="6">
        <f t="shared" si="22"/>
        <v>1</v>
      </c>
      <c r="O296" s="9">
        <f t="shared" si="23"/>
        <v>0.34425784499695039</v>
      </c>
      <c r="P296" s="10">
        <v>0</v>
      </c>
      <c r="Q296" s="1">
        <f t="shared" si="24"/>
        <v>0</v>
      </c>
      <c r="R296" s="10">
        <v>9</v>
      </c>
      <c r="S296" s="10">
        <v>1</v>
      </c>
      <c r="T296" s="10">
        <v>0</v>
      </c>
      <c r="U296" s="3">
        <v>1</v>
      </c>
      <c r="V296" s="3">
        <v>0</v>
      </c>
      <c r="W296" s="3">
        <v>0</v>
      </c>
      <c r="X296" s="3">
        <v>0</v>
      </c>
      <c r="Y296" s="3">
        <v>0</v>
      </c>
      <c r="Z296" s="3">
        <v>1</v>
      </c>
    </row>
    <row r="297" spans="1:26" ht="26">
      <c r="A297" s="8">
        <v>17622706</v>
      </c>
      <c r="B297" s="8" t="s">
        <v>380</v>
      </c>
      <c r="C297" s="8" t="s">
        <v>57</v>
      </c>
      <c r="D297" s="8" t="s">
        <v>411</v>
      </c>
      <c r="E297" s="8" t="s">
        <v>26</v>
      </c>
      <c r="F297" s="8" t="s">
        <v>265</v>
      </c>
      <c r="G297" s="12" t="s">
        <v>412</v>
      </c>
      <c r="H297" s="7">
        <v>7.747300846221199</v>
      </c>
      <c r="I297" s="1">
        <v>0</v>
      </c>
      <c r="J297" s="1">
        <f t="shared" si="20"/>
        <v>0</v>
      </c>
      <c r="K297" s="5">
        <f t="shared" si="21"/>
        <v>0</v>
      </c>
      <c r="L297" s="2">
        <v>7211242.1952270754</v>
      </c>
      <c r="M297" s="2">
        <v>0</v>
      </c>
      <c r="N297" s="6">
        <f t="shared" si="22"/>
        <v>0</v>
      </c>
      <c r="O297" s="9">
        <f t="shared" si="23"/>
        <v>0</v>
      </c>
      <c r="P297" s="10">
        <v>3</v>
      </c>
      <c r="Q297" s="1">
        <f t="shared" si="24"/>
        <v>1</v>
      </c>
      <c r="R297" s="10">
        <v>10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1</v>
      </c>
      <c r="Z297" s="3">
        <v>0</v>
      </c>
    </row>
    <row r="298" spans="1:26" ht="26">
      <c r="A298" s="8">
        <v>17774580</v>
      </c>
      <c r="B298" s="8" t="s">
        <v>381</v>
      </c>
      <c r="C298" s="8" t="s">
        <v>25</v>
      </c>
      <c r="D298" s="8" t="s">
        <v>411</v>
      </c>
      <c r="E298" s="8" t="s">
        <v>22</v>
      </c>
      <c r="F298" s="8" t="s">
        <v>322</v>
      </c>
      <c r="G298" s="12" t="s">
        <v>412</v>
      </c>
      <c r="H298" s="7">
        <v>8.0571928800700618</v>
      </c>
      <c r="I298" s="1">
        <v>0</v>
      </c>
      <c r="J298" s="4">
        <f t="shared" si="20"/>
        <v>0</v>
      </c>
      <c r="K298" s="5">
        <f t="shared" si="21"/>
        <v>0</v>
      </c>
      <c r="L298" s="2">
        <v>2158596.5258458201</v>
      </c>
      <c r="M298" s="2">
        <v>2350000</v>
      </c>
      <c r="N298" s="6">
        <f t="shared" si="22"/>
        <v>1</v>
      </c>
      <c r="O298" s="9">
        <f t="shared" si="23"/>
        <v>1.088670333646155</v>
      </c>
      <c r="P298" s="10">
        <v>0</v>
      </c>
      <c r="Q298" s="1">
        <f t="shared" si="24"/>
        <v>0</v>
      </c>
      <c r="R298" s="10">
        <v>11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1</v>
      </c>
    </row>
    <row r="299" spans="1:26" ht="26">
      <c r="A299" s="8">
        <v>17768623</v>
      </c>
      <c r="B299" s="8" t="s">
        <v>382</v>
      </c>
      <c r="C299" s="8" t="s">
        <v>25</v>
      </c>
      <c r="D299" s="8" t="s">
        <v>411</v>
      </c>
      <c r="E299" s="8" t="s">
        <v>26</v>
      </c>
      <c r="F299" s="8" t="s">
        <v>134</v>
      </c>
      <c r="G299" s="12" t="s">
        <v>412</v>
      </c>
      <c r="H299" s="7">
        <v>19.52319813247739</v>
      </c>
      <c r="I299" s="1">
        <v>0</v>
      </c>
      <c r="J299" s="1">
        <f t="shared" si="20"/>
        <v>0</v>
      </c>
      <c r="K299" s="5">
        <f t="shared" si="21"/>
        <v>0</v>
      </c>
      <c r="L299" s="2">
        <v>3997946.2855168041</v>
      </c>
      <c r="M299" s="2">
        <v>840000</v>
      </c>
      <c r="N299" s="6">
        <f t="shared" si="22"/>
        <v>1</v>
      </c>
      <c r="O299" s="9">
        <f t="shared" si="23"/>
        <v>0.21010787539668394</v>
      </c>
      <c r="P299" s="10">
        <v>3</v>
      </c>
      <c r="Q299" s="1">
        <f t="shared" si="24"/>
        <v>1</v>
      </c>
      <c r="R299" s="10">
        <v>22</v>
      </c>
      <c r="S299" s="10">
        <v>0</v>
      </c>
      <c r="T299" s="10">
        <v>0</v>
      </c>
      <c r="U299" s="3">
        <v>0</v>
      </c>
      <c r="V299" s="3">
        <v>0</v>
      </c>
      <c r="W299" s="3">
        <v>1</v>
      </c>
      <c r="X299" s="3">
        <v>0</v>
      </c>
      <c r="Y299" s="3">
        <v>0</v>
      </c>
      <c r="Z299" s="3">
        <v>0</v>
      </c>
    </row>
    <row r="300" spans="1:26" ht="26">
      <c r="A300" s="8">
        <v>17630100</v>
      </c>
      <c r="B300" s="8" t="s">
        <v>383</v>
      </c>
      <c r="C300" s="8" t="s">
        <v>21</v>
      </c>
      <c r="D300" s="8" t="s">
        <v>411</v>
      </c>
      <c r="E300" s="8" t="s">
        <v>26</v>
      </c>
      <c r="F300" s="8" t="s">
        <v>384</v>
      </c>
      <c r="G300" s="12" t="s">
        <v>410</v>
      </c>
      <c r="H300" s="7">
        <v>6.0281451339437124</v>
      </c>
      <c r="I300" s="1">
        <v>0</v>
      </c>
      <c r="J300" s="1">
        <f t="shared" si="20"/>
        <v>0</v>
      </c>
      <c r="K300" s="5">
        <f t="shared" si="21"/>
        <v>0</v>
      </c>
      <c r="L300" s="2">
        <v>1233517.793070439</v>
      </c>
      <c r="M300" s="2">
        <v>132000</v>
      </c>
      <c r="N300" s="6">
        <f t="shared" si="22"/>
        <v>0</v>
      </c>
      <c r="O300" s="9">
        <f t="shared" si="23"/>
        <v>0.10701102224997434</v>
      </c>
      <c r="P300" s="10">
        <v>0</v>
      </c>
      <c r="Q300" s="1">
        <f t="shared" si="24"/>
        <v>0</v>
      </c>
      <c r="R300" s="10">
        <v>9</v>
      </c>
      <c r="S300" s="10">
        <v>0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1</v>
      </c>
      <c r="Z300" s="3">
        <v>0</v>
      </c>
    </row>
    <row r="301" spans="1:26" ht="26">
      <c r="A301" s="8">
        <v>17648919</v>
      </c>
      <c r="B301" s="8" t="s">
        <v>385</v>
      </c>
      <c r="C301" s="8" t="s">
        <v>35</v>
      </c>
      <c r="D301" s="8" t="s">
        <v>411</v>
      </c>
      <c r="E301" s="8" t="s">
        <v>26</v>
      </c>
      <c r="F301" s="8" t="s">
        <v>55</v>
      </c>
      <c r="G301" s="12" t="s">
        <v>410</v>
      </c>
      <c r="H301" s="7">
        <v>5</v>
      </c>
      <c r="I301" s="1">
        <v>0</v>
      </c>
      <c r="J301" s="4">
        <f t="shared" si="20"/>
        <v>0</v>
      </c>
      <c r="K301" s="5">
        <f t="shared" si="21"/>
        <v>0</v>
      </c>
      <c r="L301" s="2">
        <v>1233517.793070439</v>
      </c>
      <c r="M301" s="2">
        <v>0</v>
      </c>
      <c r="N301" s="6">
        <f t="shared" si="22"/>
        <v>0</v>
      </c>
      <c r="O301" s="9">
        <f t="shared" si="23"/>
        <v>0</v>
      </c>
      <c r="P301" s="10">
        <v>0</v>
      </c>
      <c r="Q301" s="1">
        <f t="shared" si="24"/>
        <v>0</v>
      </c>
      <c r="R301" s="10">
        <v>7</v>
      </c>
      <c r="S301" s="10">
        <v>0</v>
      </c>
      <c r="T301" s="10">
        <v>0</v>
      </c>
      <c r="U301" s="3">
        <v>0</v>
      </c>
      <c r="V301" s="3">
        <v>0</v>
      </c>
      <c r="W301" s="3">
        <v>0</v>
      </c>
      <c r="X301" s="3">
        <v>1</v>
      </c>
      <c r="Y301" s="3">
        <v>0</v>
      </c>
      <c r="Z301" s="3">
        <v>0</v>
      </c>
    </row>
    <row r="302" spans="1:26" ht="26">
      <c r="A302" s="8">
        <v>17602077</v>
      </c>
      <c r="B302" s="8" t="s">
        <v>386</v>
      </c>
      <c r="C302" s="8" t="s">
        <v>25</v>
      </c>
      <c r="D302" s="8" t="s">
        <v>409</v>
      </c>
      <c r="E302" s="8" t="s">
        <v>22</v>
      </c>
      <c r="F302" s="8" t="s">
        <v>226</v>
      </c>
      <c r="G302" s="12" t="s">
        <v>412</v>
      </c>
      <c r="H302" s="7">
        <v>5.8879486431280963</v>
      </c>
      <c r="I302" s="1">
        <v>0</v>
      </c>
      <c r="J302" s="1">
        <f t="shared" si="20"/>
        <v>0</v>
      </c>
      <c r="K302" s="5">
        <f t="shared" si="21"/>
        <v>0</v>
      </c>
      <c r="L302" s="2">
        <v>5493091.2922310065</v>
      </c>
      <c r="M302" s="2">
        <v>1072000</v>
      </c>
      <c r="N302" s="6">
        <f t="shared" si="22"/>
        <v>1</v>
      </c>
      <c r="O302" s="9">
        <f t="shared" si="23"/>
        <v>0.19515422973511326</v>
      </c>
      <c r="P302" s="10">
        <v>2</v>
      </c>
      <c r="Q302" s="1">
        <f t="shared" si="24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0</v>
      </c>
      <c r="W302" s="3">
        <v>1</v>
      </c>
      <c r="X302" s="3">
        <v>0</v>
      </c>
      <c r="Y302" s="3">
        <v>0</v>
      </c>
      <c r="Z302" s="3">
        <v>0</v>
      </c>
    </row>
    <row r="303" spans="1:26" ht="26">
      <c r="A303" s="8">
        <v>17689734</v>
      </c>
      <c r="B303" s="8" t="s">
        <v>387</v>
      </c>
      <c r="C303" s="8" t="s">
        <v>31</v>
      </c>
      <c r="D303" s="8" t="s">
        <v>411</v>
      </c>
      <c r="E303" s="8" t="s">
        <v>26</v>
      </c>
      <c r="F303" s="8" t="s">
        <v>228</v>
      </c>
      <c r="G303" s="12" t="s">
        <v>410</v>
      </c>
      <c r="H303" s="7">
        <v>3.1180061037639888</v>
      </c>
      <c r="I303" s="1">
        <v>3</v>
      </c>
      <c r="J303" s="1">
        <f t="shared" si="20"/>
        <v>1</v>
      </c>
      <c r="K303" s="5">
        <f t="shared" si="21"/>
        <v>0.96215334420880883</v>
      </c>
      <c r="L303" s="2">
        <v>1233517.793070439</v>
      </c>
      <c r="M303" s="2">
        <v>308400</v>
      </c>
      <c r="N303" s="6">
        <f t="shared" si="22"/>
        <v>1</v>
      </c>
      <c r="O303" s="9">
        <f t="shared" si="23"/>
        <v>0.25001666107494008</v>
      </c>
      <c r="P303" s="10">
        <v>0</v>
      </c>
      <c r="Q303" s="1">
        <f t="shared" si="24"/>
        <v>0</v>
      </c>
      <c r="R303" s="10">
        <v>6</v>
      </c>
      <c r="S303" s="10">
        <v>0</v>
      </c>
      <c r="T303" s="10">
        <v>0</v>
      </c>
      <c r="U303" s="3">
        <v>0</v>
      </c>
      <c r="V303" s="3">
        <v>0</v>
      </c>
      <c r="W303" s="3">
        <v>0</v>
      </c>
      <c r="X303" s="3">
        <v>1</v>
      </c>
      <c r="Y303" s="3">
        <v>0</v>
      </c>
      <c r="Z303" s="3">
        <v>0</v>
      </c>
    </row>
    <row r="304" spans="1:26" ht="26">
      <c r="A304" s="8">
        <v>17689754</v>
      </c>
      <c r="B304" s="8" t="s">
        <v>388</v>
      </c>
      <c r="C304" s="8" t="s">
        <v>31</v>
      </c>
      <c r="D304" s="8" t="s">
        <v>411</v>
      </c>
      <c r="E304" s="8" t="s">
        <v>26</v>
      </c>
      <c r="F304" s="8" t="s">
        <v>228</v>
      </c>
      <c r="G304" s="12" t="s">
        <v>410</v>
      </c>
      <c r="H304" s="7">
        <v>4.9888097660223796</v>
      </c>
      <c r="I304" s="1">
        <v>3</v>
      </c>
      <c r="J304" s="1">
        <f t="shared" si="20"/>
        <v>1</v>
      </c>
      <c r="K304" s="5">
        <f t="shared" si="21"/>
        <v>0.60134584013050585</v>
      </c>
      <c r="L304" s="2">
        <v>1233517.793070439</v>
      </c>
      <c r="M304" s="2">
        <v>308400</v>
      </c>
      <c r="N304" s="6">
        <f t="shared" si="22"/>
        <v>1</v>
      </c>
      <c r="O304" s="9">
        <f t="shared" si="23"/>
        <v>0.25001666107494008</v>
      </c>
      <c r="P304" s="10">
        <v>0</v>
      </c>
      <c r="Q304" s="1">
        <f t="shared" si="24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0</v>
      </c>
      <c r="W304" s="3">
        <v>0</v>
      </c>
      <c r="X304" s="3">
        <v>1</v>
      </c>
      <c r="Y304" s="3">
        <v>0</v>
      </c>
      <c r="Z304" s="3">
        <v>0</v>
      </c>
    </row>
    <row r="305" spans="1:26" ht="26">
      <c r="A305" s="8">
        <v>17634234</v>
      </c>
      <c r="B305" s="8" t="s">
        <v>389</v>
      </c>
      <c r="C305" s="8" t="s">
        <v>21</v>
      </c>
      <c r="D305" s="8" t="s">
        <v>411</v>
      </c>
      <c r="E305" s="8" t="s">
        <v>26</v>
      </c>
      <c r="F305" s="8" t="s">
        <v>184</v>
      </c>
      <c r="G305" s="12" t="s">
        <v>410</v>
      </c>
      <c r="H305" s="7">
        <v>8.938284164123429</v>
      </c>
      <c r="I305" s="1">
        <v>0</v>
      </c>
      <c r="J305" s="4">
        <f t="shared" si="20"/>
        <v>0</v>
      </c>
      <c r="K305" s="5">
        <f t="shared" si="21"/>
        <v>0</v>
      </c>
      <c r="L305" s="2">
        <v>1233517.793070439</v>
      </c>
      <c r="M305" s="2">
        <v>85000</v>
      </c>
      <c r="N305" s="6">
        <f t="shared" si="22"/>
        <v>0</v>
      </c>
      <c r="O305" s="9">
        <f t="shared" si="23"/>
        <v>6.8908612812483477E-2</v>
      </c>
      <c r="P305" s="10">
        <v>4</v>
      </c>
      <c r="Q305" s="1">
        <f t="shared" si="24"/>
        <v>1</v>
      </c>
      <c r="R305" s="10">
        <v>11</v>
      </c>
      <c r="S305" s="10">
        <v>2</v>
      </c>
      <c r="T305" s="10">
        <v>0</v>
      </c>
      <c r="U305" s="3">
        <v>0</v>
      </c>
      <c r="V305" s="3">
        <v>0</v>
      </c>
      <c r="W305" s="3">
        <v>0</v>
      </c>
      <c r="X305" s="3">
        <v>1</v>
      </c>
      <c r="Y305" s="3">
        <v>0</v>
      </c>
      <c r="Z305" s="3">
        <v>0</v>
      </c>
    </row>
    <row r="306" spans="1:26" ht="26">
      <c r="A306" s="8">
        <v>17664158</v>
      </c>
      <c r="B306" s="8" t="s">
        <v>390</v>
      </c>
      <c r="C306" s="8" t="s">
        <v>31</v>
      </c>
      <c r="D306" s="8" t="s">
        <v>411</v>
      </c>
      <c r="E306" s="8" t="s">
        <v>26</v>
      </c>
      <c r="F306" s="8" t="s">
        <v>285</v>
      </c>
      <c r="G306" s="12" t="s">
        <v>410</v>
      </c>
      <c r="H306" s="7">
        <v>12.05629026788742</v>
      </c>
      <c r="I306" s="1">
        <v>0</v>
      </c>
      <c r="J306" s="4">
        <f t="shared" si="20"/>
        <v>0</v>
      </c>
      <c r="K306" s="5">
        <f t="shared" si="21"/>
        <v>0</v>
      </c>
      <c r="L306" s="2">
        <v>1233517.793070439</v>
      </c>
      <c r="M306" s="2">
        <v>0</v>
      </c>
      <c r="N306" s="6">
        <f t="shared" si="22"/>
        <v>0</v>
      </c>
      <c r="O306" s="9">
        <f t="shared" si="23"/>
        <v>0</v>
      </c>
      <c r="P306" s="10">
        <v>0</v>
      </c>
      <c r="Q306" s="1">
        <f t="shared" si="24"/>
        <v>0</v>
      </c>
      <c r="R306" s="10">
        <v>15</v>
      </c>
      <c r="S306" s="10">
        <v>0</v>
      </c>
      <c r="T306" s="10">
        <v>0</v>
      </c>
      <c r="U306" s="3">
        <v>0</v>
      </c>
      <c r="V306" s="3">
        <v>0</v>
      </c>
      <c r="W306" s="3">
        <v>1</v>
      </c>
      <c r="X306" s="3">
        <v>0</v>
      </c>
      <c r="Y306" s="3">
        <v>0</v>
      </c>
      <c r="Z306" s="3">
        <v>0</v>
      </c>
    </row>
    <row r="307" spans="1:26" ht="26">
      <c r="A307" s="8">
        <v>17612215</v>
      </c>
      <c r="B307" s="8" t="s">
        <v>391</v>
      </c>
      <c r="C307" s="8" t="s">
        <v>31</v>
      </c>
      <c r="D307" s="8" t="s">
        <v>411</v>
      </c>
      <c r="E307" s="8" t="s">
        <v>26</v>
      </c>
      <c r="F307" s="8" t="s">
        <v>285</v>
      </c>
      <c r="G307" s="12" t="s">
        <v>410</v>
      </c>
      <c r="H307" s="7">
        <v>4.5730756188538484</v>
      </c>
      <c r="I307" s="1">
        <v>0</v>
      </c>
      <c r="J307" s="1">
        <f t="shared" si="20"/>
        <v>0</v>
      </c>
      <c r="K307" s="5">
        <f t="shared" si="21"/>
        <v>0</v>
      </c>
      <c r="L307" s="2">
        <v>1233517.793070439</v>
      </c>
      <c r="M307" s="2">
        <v>302400</v>
      </c>
      <c r="N307" s="6">
        <f t="shared" si="22"/>
        <v>1</v>
      </c>
      <c r="O307" s="9">
        <f t="shared" si="23"/>
        <v>0.24515252369994123</v>
      </c>
      <c r="P307" s="10">
        <v>0</v>
      </c>
      <c r="Q307" s="1">
        <f t="shared" si="24"/>
        <v>0</v>
      </c>
      <c r="R307" s="10">
        <v>7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0</v>
      </c>
      <c r="Y307" s="3">
        <v>0</v>
      </c>
      <c r="Z307" s="3">
        <v>0</v>
      </c>
    </row>
    <row r="308" spans="1:26" ht="26">
      <c r="A308" s="8">
        <v>17631792</v>
      </c>
      <c r="B308" s="8" t="s">
        <v>392</v>
      </c>
      <c r="C308" s="8" t="s">
        <v>35</v>
      </c>
      <c r="D308" s="8" t="s">
        <v>411</v>
      </c>
      <c r="E308" s="8" t="s">
        <v>26</v>
      </c>
      <c r="F308" s="8" t="s">
        <v>93</v>
      </c>
      <c r="G308" s="12" t="s">
        <v>410</v>
      </c>
      <c r="H308" s="7">
        <v>7.4832146490335951</v>
      </c>
      <c r="I308" s="1">
        <v>4</v>
      </c>
      <c r="J308" s="1">
        <f t="shared" si="20"/>
        <v>1</v>
      </c>
      <c r="K308" s="5">
        <f t="shared" si="21"/>
        <v>0.53452963567155887</v>
      </c>
      <c r="L308" s="2">
        <v>1233517.793070439</v>
      </c>
      <c r="M308" s="2">
        <v>522000</v>
      </c>
      <c r="N308" s="6">
        <f t="shared" si="22"/>
        <v>1</v>
      </c>
      <c r="O308" s="9">
        <f t="shared" si="23"/>
        <v>0.42317995162489852</v>
      </c>
      <c r="P308" s="10">
        <v>0</v>
      </c>
      <c r="Q308" s="1">
        <f t="shared" si="24"/>
        <v>0</v>
      </c>
      <c r="R308" s="10">
        <v>10</v>
      </c>
      <c r="S308" s="10">
        <v>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8">
        <v>17741642</v>
      </c>
      <c r="B309" s="8" t="s">
        <v>393</v>
      </c>
      <c r="C309" s="8" t="s">
        <v>31</v>
      </c>
      <c r="D309" s="8" t="s">
        <v>411</v>
      </c>
      <c r="E309" s="8" t="s">
        <v>26</v>
      </c>
      <c r="F309" s="8" t="s">
        <v>101</v>
      </c>
      <c r="G309" s="12" t="s">
        <v>410</v>
      </c>
      <c r="H309" s="7">
        <v>5.8202780603594357</v>
      </c>
      <c r="I309" s="1">
        <v>0</v>
      </c>
      <c r="J309" s="1">
        <f t="shared" si="20"/>
        <v>0</v>
      </c>
      <c r="K309" s="5">
        <f t="shared" si="21"/>
        <v>0</v>
      </c>
      <c r="L309" s="2">
        <v>1233517.793070439</v>
      </c>
      <c r="M309" s="2">
        <v>0</v>
      </c>
      <c r="N309" s="6">
        <f t="shared" si="22"/>
        <v>0</v>
      </c>
      <c r="O309" s="9">
        <f t="shared" si="23"/>
        <v>0</v>
      </c>
      <c r="P309" s="10">
        <v>1</v>
      </c>
      <c r="Q309" s="1">
        <f t="shared" si="24"/>
        <v>0</v>
      </c>
      <c r="R309" s="10">
        <v>8</v>
      </c>
      <c r="S309" s="10">
        <v>1</v>
      </c>
      <c r="T309" s="10">
        <v>0</v>
      </c>
      <c r="U309" s="3">
        <v>1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17689741</v>
      </c>
      <c r="B310" s="8" t="s">
        <v>394</v>
      </c>
      <c r="C310" s="8" t="s">
        <v>31</v>
      </c>
      <c r="D310" s="8" t="s">
        <v>413</v>
      </c>
      <c r="E310" s="8" t="s">
        <v>26</v>
      </c>
      <c r="F310" s="8" t="s">
        <v>87</v>
      </c>
      <c r="G310" s="12" t="s">
        <v>410</v>
      </c>
      <c r="H310" s="7">
        <v>5</v>
      </c>
      <c r="I310" s="1">
        <v>0</v>
      </c>
      <c r="J310" s="4">
        <f t="shared" si="20"/>
        <v>0</v>
      </c>
      <c r="K310" s="5">
        <f t="shared" si="21"/>
        <v>0</v>
      </c>
      <c r="L310" s="2">
        <v>6018419.3717715694</v>
      </c>
      <c r="M310" s="2">
        <v>324900</v>
      </c>
      <c r="N310" s="6">
        <f t="shared" si="22"/>
        <v>1</v>
      </c>
      <c r="O310" s="9">
        <f t="shared" si="23"/>
        <v>5.3984273931439765E-2</v>
      </c>
      <c r="P310" s="10">
        <v>0</v>
      </c>
      <c r="Q310" s="1">
        <f t="shared" si="24"/>
        <v>0</v>
      </c>
      <c r="R310" s="10">
        <v>7</v>
      </c>
      <c r="S310" s="10">
        <v>0</v>
      </c>
      <c r="T310" s="10">
        <v>0</v>
      </c>
      <c r="U310" s="3">
        <v>0</v>
      </c>
      <c r="V310" s="3">
        <v>0</v>
      </c>
      <c r="W310" s="3">
        <v>0</v>
      </c>
      <c r="X310" s="3">
        <v>0</v>
      </c>
      <c r="Y310" s="3">
        <v>1</v>
      </c>
      <c r="Z310" s="3">
        <v>0</v>
      </c>
    </row>
    <row r="311" spans="1:26" ht="26">
      <c r="A311" s="8">
        <v>17400773</v>
      </c>
      <c r="B311" s="8" t="s">
        <v>395</v>
      </c>
      <c r="C311" s="8" t="s">
        <v>57</v>
      </c>
      <c r="D311" s="8" t="s">
        <v>413</v>
      </c>
      <c r="E311" s="8" t="s">
        <v>26</v>
      </c>
      <c r="F311" s="8" t="s">
        <v>153</v>
      </c>
      <c r="G311" s="12" t="s">
        <v>412</v>
      </c>
      <c r="H311" s="7">
        <v>7.4374088123723361</v>
      </c>
      <c r="I311" s="1">
        <v>0</v>
      </c>
      <c r="J311" s="1">
        <f t="shared" si="20"/>
        <v>0</v>
      </c>
      <c r="K311" s="5">
        <f t="shared" si="21"/>
        <v>0</v>
      </c>
      <c r="L311" s="2">
        <v>10418971.93522338</v>
      </c>
      <c r="M311" s="2">
        <v>0</v>
      </c>
      <c r="N311" s="6">
        <f t="shared" si="22"/>
        <v>0</v>
      </c>
      <c r="O311" s="9">
        <f t="shared" si="23"/>
        <v>0</v>
      </c>
      <c r="P311" s="10">
        <v>200</v>
      </c>
      <c r="Q311" s="1">
        <f t="shared" si="24"/>
        <v>1</v>
      </c>
      <c r="R311" s="10">
        <v>10</v>
      </c>
      <c r="S311" s="10">
        <v>200</v>
      </c>
      <c r="T311" s="10">
        <v>0</v>
      </c>
      <c r="U311" s="3">
        <v>0</v>
      </c>
      <c r="V311" s="3">
        <v>0</v>
      </c>
      <c r="W311" s="3">
        <v>0</v>
      </c>
      <c r="X311" s="3">
        <v>1</v>
      </c>
      <c r="Y311" s="3">
        <v>0</v>
      </c>
      <c r="Z311" s="3">
        <v>0</v>
      </c>
    </row>
    <row r="312" spans="1:26" ht="26">
      <c r="A312" s="8">
        <v>17483035</v>
      </c>
      <c r="B312" s="8" t="s">
        <v>396</v>
      </c>
      <c r="C312" s="8" t="s">
        <v>25</v>
      </c>
      <c r="D312" s="8" t="s">
        <v>409</v>
      </c>
      <c r="E312" s="8" t="s">
        <v>22</v>
      </c>
      <c r="F312" s="8" t="s">
        <v>42</v>
      </c>
      <c r="G312" s="12" t="s">
        <v>412</v>
      </c>
      <c r="H312" s="7">
        <v>6.8176247446746396</v>
      </c>
      <c r="I312" s="1">
        <v>0</v>
      </c>
      <c r="J312" s="1">
        <f t="shared" si="20"/>
        <v>0</v>
      </c>
      <c r="K312" s="5">
        <f t="shared" si="21"/>
        <v>0</v>
      </c>
      <c r="L312" s="2">
        <v>8134149.0445738966</v>
      </c>
      <c r="M312" s="2">
        <v>660000</v>
      </c>
      <c r="N312" s="6">
        <f t="shared" si="22"/>
        <v>1</v>
      </c>
      <c r="O312" s="9">
        <f t="shared" si="23"/>
        <v>8.1139403320900638E-2</v>
      </c>
      <c r="P312" s="10">
        <v>0</v>
      </c>
      <c r="Q312" s="1">
        <f t="shared" si="24"/>
        <v>0</v>
      </c>
      <c r="R312" s="10">
        <v>9</v>
      </c>
      <c r="S312" s="10">
        <v>0</v>
      </c>
      <c r="T312" s="10">
        <v>0</v>
      </c>
      <c r="U312" s="3">
        <v>1</v>
      </c>
      <c r="V312" s="3">
        <v>0</v>
      </c>
      <c r="W312" s="3">
        <v>0</v>
      </c>
      <c r="X312" s="3">
        <v>1</v>
      </c>
      <c r="Y312" s="3">
        <v>0</v>
      </c>
      <c r="Z312" s="3">
        <v>0</v>
      </c>
    </row>
    <row r="313" spans="1:26" ht="26">
      <c r="A313" s="8">
        <v>17061867</v>
      </c>
      <c r="B313" s="8" t="s">
        <v>397</v>
      </c>
      <c r="C313" s="8" t="s">
        <v>35</v>
      </c>
      <c r="D313" s="8" t="s">
        <v>409</v>
      </c>
      <c r="E313" s="8" t="s">
        <v>22</v>
      </c>
      <c r="F313" s="8" t="s">
        <v>82</v>
      </c>
      <c r="G313" s="12" t="s">
        <v>410</v>
      </c>
      <c r="H313" s="7">
        <v>3.3258731773482562</v>
      </c>
      <c r="I313" s="1">
        <v>0</v>
      </c>
      <c r="J313" s="1">
        <f t="shared" si="20"/>
        <v>0</v>
      </c>
      <c r="K313" s="5">
        <f t="shared" si="21"/>
        <v>0</v>
      </c>
      <c r="L313" s="2">
        <v>2864155.9757400951</v>
      </c>
      <c r="M313" s="2">
        <v>1670000</v>
      </c>
      <c r="N313" s="6">
        <f t="shared" si="22"/>
        <v>1</v>
      </c>
      <c r="O313" s="9">
        <f t="shared" si="23"/>
        <v>0.58306880426387175</v>
      </c>
      <c r="P313" s="10">
        <v>0</v>
      </c>
      <c r="Q313" s="1">
        <f t="shared" si="24"/>
        <v>0</v>
      </c>
      <c r="R313" s="10">
        <v>6</v>
      </c>
      <c r="S313" s="10">
        <v>0</v>
      </c>
      <c r="T313" s="10">
        <v>0</v>
      </c>
      <c r="U313" s="3">
        <v>0</v>
      </c>
      <c r="V313" s="3">
        <v>0</v>
      </c>
      <c r="W313" s="3">
        <v>1</v>
      </c>
      <c r="X313" s="3">
        <v>0</v>
      </c>
      <c r="Y313" s="3">
        <v>0</v>
      </c>
      <c r="Z313" s="3">
        <v>1</v>
      </c>
    </row>
    <row r="314" spans="1:26" ht="26">
      <c r="A314" s="14">
        <v>17269327</v>
      </c>
      <c r="B314" s="14" t="s">
        <v>446</v>
      </c>
      <c r="C314" s="8" t="s">
        <v>21</v>
      </c>
      <c r="D314" s="8" t="s">
        <v>409</v>
      </c>
      <c r="E314" s="8" t="s">
        <v>22</v>
      </c>
      <c r="F314" s="8" t="s">
        <v>40</v>
      </c>
      <c r="G314" s="12" t="s">
        <v>410</v>
      </c>
      <c r="H314" s="7">
        <v>3</v>
      </c>
      <c r="I314" s="1">
        <v>4</v>
      </c>
      <c r="J314" s="4">
        <f t="shared" si="20"/>
        <v>1</v>
      </c>
      <c r="K314" s="5">
        <f t="shared" si="21"/>
        <v>1.3333333333333333</v>
      </c>
      <c r="L314" s="2">
        <v>22463880</v>
      </c>
      <c r="M314" s="2">
        <v>590000</v>
      </c>
      <c r="N314" s="6">
        <f t="shared" si="22"/>
        <v>1</v>
      </c>
      <c r="O314" s="9">
        <f t="shared" si="23"/>
        <v>2.6264385315448623E-2</v>
      </c>
      <c r="P314" s="10">
        <v>1</v>
      </c>
      <c r="Q314" s="1">
        <f t="shared" si="24"/>
        <v>0</v>
      </c>
      <c r="R314" s="10">
        <v>5</v>
      </c>
      <c r="S314" s="10">
        <v>1</v>
      </c>
      <c r="T314" s="10">
        <v>0</v>
      </c>
      <c r="U314" s="3">
        <v>0</v>
      </c>
      <c r="V314" s="3">
        <v>0</v>
      </c>
      <c r="W314" s="3">
        <v>0</v>
      </c>
      <c r="X314" s="3">
        <v>1</v>
      </c>
      <c r="Y314" s="3">
        <v>0</v>
      </c>
      <c r="Z314" s="3">
        <v>0</v>
      </c>
    </row>
    <row r="315" spans="1:26" ht="26">
      <c r="A315" s="14">
        <v>17764352</v>
      </c>
      <c r="B315" s="14" t="s">
        <v>447</v>
      </c>
      <c r="C315" s="8" t="s">
        <v>25</v>
      </c>
      <c r="D315" s="8" t="s">
        <v>411</v>
      </c>
      <c r="E315" s="8" t="s">
        <v>26</v>
      </c>
      <c r="F315" s="8" t="s">
        <v>201</v>
      </c>
      <c r="G315" s="12" t="s">
        <v>412</v>
      </c>
      <c r="H315" s="7">
        <v>4.9582725415815601</v>
      </c>
      <c r="I315" s="1">
        <v>0</v>
      </c>
      <c r="J315" s="4">
        <f t="shared" ref="J315" si="25">IF(I315&gt;=3,1,0)</f>
        <v>0</v>
      </c>
      <c r="K315" s="5">
        <f t="shared" ref="K315" si="26">I315/H315</f>
        <v>0</v>
      </c>
      <c r="L315" s="2">
        <v>2101677.9516740479</v>
      </c>
      <c r="M315" s="2">
        <v>0</v>
      </c>
      <c r="N315" s="6">
        <f t="shared" ref="N315" si="27">IF(M315&gt;=300000,1,0)</f>
        <v>0</v>
      </c>
      <c r="O315" s="9">
        <f t="shared" ref="O315" si="28">M315/L315</f>
        <v>0</v>
      </c>
      <c r="P315" s="10">
        <v>0</v>
      </c>
      <c r="Q315" s="1">
        <f t="shared" ref="Q315" si="29">IF(P315&gt;=3,1,0)</f>
        <v>0</v>
      </c>
      <c r="R315" s="10">
        <v>7</v>
      </c>
      <c r="S315" s="10">
        <v>1</v>
      </c>
      <c r="T315" s="10">
        <v>0</v>
      </c>
      <c r="U315" s="3">
        <v>1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</sheetData>
  <conditionalFormatting sqref="E6:E302">
    <cfRule type="cellIs" dxfId="8" priority="7" operator="equal">
      <formula>"NO"</formula>
    </cfRule>
  </conditionalFormatting>
  <conditionalFormatting sqref="M6:M315">
    <cfRule type="cellIs" dxfId="7" priority="9" operator="lessThan">
      <formula>300000</formula>
    </cfRule>
  </conditionalFormatting>
  <conditionalFormatting sqref="I6:Z6 L7:L313 J7:K303 N7:O303 Q7:R303 T7:Z303 I7:I315 M7:M315 S7:S315 T85:T315 P7:P315">
    <cfRule type="cellIs" dxfId="6" priority="8" operator="lessThan">
      <formula>1</formula>
    </cfRule>
  </conditionalFormatting>
  <conditionalFormatting sqref="J304:L313 N304:O313 Q304:R313 T304:Z313">
    <cfRule type="cellIs" dxfId="5" priority="6" operator="lessThan">
      <formula>1</formula>
    </cfRule>
  </conditionalFormatting>
  <conditionalFormatting sqref="J314:L314 N314:O314 T314:Z314 Q314:R314">
    <cfRule type="cellIs" dxfId="3" priority="4" operator="lessThan">
      <formula>1</formula>
    </cfRule>
  </conditionalFormatting>
  <conditionalFormatting sqref="E315">
    <cfRule type="cellIs" dxfId="2" priority="1" operator="equal">
      <formula>"NO"</formula>
    </cfRule>
  </conditionalFormatting>
  <conditionalFormatting sqref="J315:L315 N315:O315 T315:Z315 Q315:R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2026-09-06T07:11:21Z</dcterms:modified>
</cp:coreProperties>
</file>