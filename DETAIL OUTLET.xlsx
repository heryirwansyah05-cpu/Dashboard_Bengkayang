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<sst xmlns="http://schemas.openxmlformats.org/spreadsheetml/2006/main" count="1920" uniqueCount="448">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</sst>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93" zoomScaleNormal="85" workbookViewId="0">
      <pane xSplit="3" ySplit="5" topLeftCell="Z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1490000</v>
      </c>
      <c r="N16" s="6">
        <f t="shared" si="2"/>
        <v>1</v>
      </c>
      <c r="O16" s="9">
        <f t="shared" si="3"/>
        <v>0.46562500000000001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2090000</v>
      </c>
      <c r="N19" s="6">
        <f t="shared" si="2"/>
        <v>1</v>
      </c>
      <c r="O19" s="9">
        <f t="shared" si="3"/>
        <v>0.46444444444444444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2150000</v>
      </c>
      <c r="N22" s="6">
        <f t="shared" si="2"/>
        <v>1</v>
      </c>
      <c r="O22" s="9">
        <f t="shared" si="3"/>
        <v>0.4777777777777778</v>
      </c>
      <c r="P22" s="10">
        <v>7</v>
      </c>
      <c r="Q22" s="1">
        <f t="shared" si="4"/>
        <v>1</v>
      </c>
      <c r="R22" s="10">
        <v>6</v>
      </c>
      <c r="S22" s="10">
        <v>8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1</v>
      </c>
      <c r="Q26" s="1">
        <f t="shared" si="4"/>
        <v>0</v>
      </c>
      <c r="R26" s="10">
        <v>3</v>
      </c>
      <c r="S26" s="10">
        <v>1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3120000</v>
      </c>
      <c r="N28" s="6">
        <f t="shared" si="2"/>
        <v>1</v>
      </c>
      <c r="O28" s="9">
        <f t="shared" si="3"/>
        <v>1.7095890410958905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6856000</v>
      </c>
      <c r="N44" s="6">
        <f t="shared" si="2"/>
        <v>1</v>
      </c>
      <c r="O44" s="9">
        <f t="shared" si="3"/>
        <v>1.2781506338553319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5596000</v>
      </c>
      <c r="N45" s="6">
        <f t="shared" si="2"/>
        <v>1</v>
      </c>
      <c r="O45" s="9">
        <f t="shared" si="3"/>
        <v>1.3439000960614793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6051000</v>
      </c>
      <c r="N46" s="6">
        <f t="shared" si="2"/>
        <v>1</v>
      </c>
      <c r="O46" s="9">
        <f t="shared" si="3"/>
        <v>1.3301824576830072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2515000</v>
      </c>
      <c r="N47" s="6">
        <f t="shared" si="2"/>
        <v>1</v>
      </c>
      <c r="O47" s="9">
        <f t="shared" si="3"/>
        <v>0.44596152141147266</v>
      </c>
      <c r="P47" s="10">
        <v>8</v>
      </c>
      <c r="Q47" s="1">
        <f t="shared" si="4"/>
        <v>1</v>
      </c>
      <c r="R47" s="10">
        <v>5</v>
      </c>
      <c r="S47" s="10">
        <v>8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2355000</v>
      </c>
      <c r="N48" s="6">
        <f t="shared" si="2"/>
        <v>1</v>
      </c>
      <c r="O48" s="9">
        <f t="shared" si="3"/>
        <v>0.20732458843208029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2103000</v>
      </c>
      <c r="N49" s="6">
        <f t="shared" si="2"/>
        <v>1</v>
      </c>
      <c r="O49" s="9">
        <f t="shared" si="3"/>
        <v>0.41158626088658379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6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8866000</v>
      </c>
      <c r="N51" s="6">
        <f t="shared" si="2"/>
        <v>1</v>
      </c>
      <c r="O51" s="9">
        <f t="shared" si="3"/>
        <v>1.1030793157076206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7194000</v>
      </c>
      <c r="N52" s="6">
        <f t="shared" si="2"/>
        <v>1</v>
      </c>
      <c r="O52" s="9">
        <f t="shared" si="3"/>
        <v>0.922425952045134</v>
      </c>
      <c r="P52" s="10">
        <v>4</v>
      </c>
      <c r="Q52" s="1">
        <f t="shared" si="4"/>
        <v>1</v>
      </c>
      <c r="R52" s="10">
        <v>3</v>
      </c>
      <c r="S52" s="10">
        <v>5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4873000</v>
      </c>
      <c r="N53" s="6">
        <f t="shared" si="2"/>
        <v>1</v>
      </c>
      <c r="O53" s="9">
        <f t="shared" si="3"/>
        <v>0.79435976852229195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4999000</v>
      </c>
      <c r="N54" s="6">
        <f t="shared" si="2"/>
        <v>1</v>
      </c>
      <c r="O54" s="9">
        <f t="shared" si="3"/>
        <v>0.86301251618472163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4725000</v>
      </c>
      <c r="N55" s="6">
        <f t="shared" si="2"/>
        <v>1</v>
      </c>
      <c r="O55" s="9">
        <f t="shared" si="3"/>
        <v>0.85995085995085996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48</v>
      </c>
      <c r="J56" s="4">
        <f t="shared" si="0"/>
        <v>1</v>
      </c>
      <c r="K56" s="5">
        <f t="shared" si="1"/>
        <v>9.6</v>
      </c>
      <c r="L56" s="2">
        <v>4069000</v>
      </c>
      <c r="M56" s="2">
        <v>4426000</v>
      </c>
      <c r="N56" s="6">
        <f t="shared" si="2"/>
        <v>1</v>
      </c>
      <c r="O56" s="9">
        <f t="shared" si="3"/>
        <v>1.0877365446055542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4</v>
      </c>
      <c r="Q57" s="1">
        <f t="shared" si="4"/>
        <v>1</v>
      </c>
      <c r="R57" s="10">
        <v>3</v>
      </c>
      <c r="S57" s="10">
        <v>4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2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5468000</v>
      </c>
      <c r="N59" s="6">
        <f t="shared" si="2"/>
        <v>1</v>
      </c>
      <c r="O59" s="9">
        <f t="shared" si="3"/>
        <v>0.53636764922262004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10</v>
      </c>
      <c r="J60" s="4">
        <f t="shared" si="0"/>
        <v>1</v>
      </c>
      <c r="K60" s="5">
        <f t="shared" si="1"/>
        <v>0.17857142857142858</v>
      </c>
      <c r="L60" s="2">
        <v>7436500</v>
      </c>
      <c r="M60" s="2">
        <v>2535000</v>
      </c>
      <c r="N60" s="6">
        <f t="shared" si="2"/>
        <v>1</v>
      </c>
      <c r="O60" s="9">
        <f t="shared" si="3"/>
        <v>0.34088616956901768</v>
      </c>
      <c r="P60" s="10">
        <v>0</v>
      </c>
      <c r="Q60" s="1">
        <f t="shared" si="4"/>
        <v>0</v>
      </c>
      <c r="R60" s="10">
        <v>3</v>
      </c>
      <c r="S60" s="10">
        <v>9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20</v>
      </c>
      <c r="J61" s="1">
        <f t="shared" si="0"/>
        <v>1</v>
      </c>
      <c r="K61" s="5">
        <f t="shared" si="1"/>
        <v>0.76923076923076927</v>
      </c>
      <c r="L61" s="2">
        <v>6849500</v>
      </c>
      <c r="M61" s="2">
        <v>2835000</v>
      </c>
      <c r="N61" s="6">
        <f t="shared" si="2"/>
        <v>1</v>
      </c>
      <c r="O61" s="9">
        <f t="shared" si="3"/>
        <v>0.41389882473173223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4237000</v>
      </c>
      <c r="N63" s="6">
        <f t="shared" si="2"/>
        <v>1</v>
      </c>
      <c r="O63" s="9">
        <f t="shared" si="3"/>
        <v>0.45802929571374518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23</v>
      </c>
      <c r="J65" s="1">
        <f t="shared" si="0"/>
        <v>1</v>
      </c>
      <c r="K65" s="5">
        <f t="shared" si="1"/>
        <v>0.39655172413793105</v>
      </c>
      <c r="L65" s="2">
        <v>26056500</v>
      </c>
      <c r="M65" s="2">
        <v>14105000</v>
      </c>
      <c r="N65" s="6">
        <f t="shared" si="2"/>
        <v>1</v>
      </c>
      <c r="O65" s="9">
        <f t="shared" si="3"/>
        <v>0.54132366204210081</v>
      </c>
      <c r="P65" s="10">
        <v>10</v>
      </c>
      <c r="Q65" s="1">
        <f t="shared" si="4"/>
        <v>1</v>
      </c>
      <c r="R65" s="10">
        <v>3</v>
      </c>
      <c r="S65" s="10">
        <v>11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10</v>
      </c>
      <c r="J67" s="1">
        <f t="shared" si="0"/>
        <v>1</v>
      </c>
      <c r="K67" s="5">
        <f t="shared" si="1"/>
        <v>0.17857142857142858</v>
      </c>
      <c r="L67" s="2">
        <v>7741500</v>
      </c>
      <c r="M67" s="2">
        <v>2535000</v>
      </c>
      <c r="N67" s="6">
        <f t="shared" si="2"/>
        <v>1</v>
      </c>
      <c r="O67" s="9">
        <f t="shared" si="3"/>
        <v>0.32745591939546598</v>
      </c>
      <c r="P67" s="10">
        <v>0</v>
      </c>
      <c r="Q67" s="1">
        <f t="shared" si="4"/>
        <v>0</v>
      </c>
      <c r="R67" s="10">
        <v>3</v>
      </c>
      <c r="S67" s="10">
        <v>3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23</v>
      </c>
      <c r="J68" s="4">
        <f t="shared" si="0"/>
        <v>1</v>
      </c>
      <c r="K68" s="5">
        <f t="shared" si="1"/>
        <v>7.666666666666667</v>
      </c>
      <c r="L68" s="2">
        <v>4069000</v>
      </c>
      <c r="M68" s="2">
        <v>4476000</v>
      </c>
      <c r="N68" s="6">
        <f t="shared" si="2"/>
        <v>1</v>
      </c>
      <c r="O68" s="9">
        <f t="shared" si="3"/>
        <v>1.1000245760629148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13</v>
      </c>
      <c r="J69" s="1">
        <f t="shared" si="0"/>
        <v>1</v>
      </c>
      <c r="K69" s="5">
        <f t="shared" si="1"/>
        <v>1</v>
      </c>
      <c r="L69" s="2">
        <v>4752500</v>
      </c>
      <c r="M69" s="2">
        <v>3689000</v>
      </c>
      <c r="N69" s="6">
        <f t="shared" si="2"/>
        <v>1</v>
      </c>
      <c r="O69" s="9">
        <f t="shared" si="3"/>
        <v>0.77622304050499735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23</v>
      </c>
      <c r="J70" s="1">
        <f t="shared" ref="J70:J133" si="5">IF(I70&gt;=3,1,0)</f>
        <v>1</v>
      </c>
      <c r="K70" s="5">
        <f t="shared" ref="K70:K133" si="6">I70/H70</f>
        <v>1.7692307692307692</v>
      </c>
      <c r="L70" s="2">
        <v>7406500</v>
      </c>
      <c r="M70" s="2">
        <v>7911000</v>
      </c>
      <c r="N70" s="6">
        <f t="shared" ref="N70:N133" si="7">IF(M70&gt;=300000,1,0)</f>
        <v>1</v>
      </c>
      <c r="O70" s="9">
        <f t="shared" ref="O70:O133" si="8">M70/L70</f>
        <v>1.0681158441909133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23</v>
      </c>
      <c r="J71" s="1">
        <f t="shared" si="5"/>
        <v>1</v>
      </c>
      <c r="K71" s="5">
        <f t="shared" si="6"/>
        <v>1.7692307692307692</v>
      </c>
      <c r="L71" s="2">
        <v>19818814</v>
      </c>
      <c r="M71" s="2">
        <v>8415000</v>
      </c>
      <c r="N71" s="6">
        <f t="shared" si="7"/>
        <v>1</v>
      </c>
      <c r="O71" s="9">
        <f t="shared" si="8"/>
        <v>0.42459654750279202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23</v>
      </c>
      <c r="J72" s="1">
        <f t="shared" si="5"/>
        <v>1</v>
      </c>
      <c r="K72" s="5">
        <f t="shared" si="6"/>
        <v>1.7692307692307692</v>
      </c>
      <c r="L72" s="2">
        <v>5486500</v>
      </c>
      <c r="M72" s="2">
        <v>3103000</v>
      </c>
      <c r="N72" s="6">
        <f t="shared" si="7"/>
        <v>1</v>
      </c>
      <c r="O72" s="9">
        <f t="shared" si="8"/>
        <v>0.56557003554178442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10</v>
      </c>
      <c r="J73" s="4">
        <f t="shared" si="5"/>
        <v>1</v>
      </c>
      <c r="K73" s="5">
        <f t="shared" si="6"/>
        <v>0.76923076923076927</v>
      </c>
      <c r="L73" s="2">
        <v>4261500</v>
      </c>
      <c r="M73" s="2">
        <v>1385000</v>
      </c>
      <c r="N73" s="6">
        <f t="shared" si="7"/>
        <v>1</v>
      </c>
      <c r="O73" s="9">
        <f t="shared" si="8"/>
        <v>0.32500293323946966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23</v>
      </c>
      <c r="J74" s="1">
        <f t="shared" si="5"/>
        <v>1</v>
      </c>
      <c r="K74" s="5">
        <f t="shared" si="6"/>
        <v>1.7692307692307692</v>
      </c>
      <c r="L74" s="2">
        <v>5761500</v>
      </c>
      <c r="M74" s="2">
        <v>3241000</v>
      </c>
      <c r="N74" s="6">
        <f t="shared" si="7"/>
        <v>1</v>
      </c>
      <c r="O74" s="9">
        <f t="shared" si="8"/>
        <v>0.56252711967369606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23</v>
      </c>
      <c r="J75" s="1">
        <f t="shared" si="5"/>
        <v>1</v>
      </c>
      <c r="K75" s="5">
        <f t="shared" si="6"/>
        <v>1.7692307692307692</v>
      </c>
      <c r="L75" s="2">
        <v>5269000</v>
      </c>
      <c r="M75" s="2">
        <v>4243000</v>
      </c>
      <c r="N75" s="6">
        <f t="shared" si="7"/>
        <v>1</v>
      </c>
      <c r="O75" s="9">
        <f t="shared" si="8"/>
        <v>0.80527614348073639</v>
      </c>
      <c r="P75" s="10">
        <v>19</v>
      </c>
      <c r="Q75" s="1">
        <f t="shared" si="9"/>
        <v>1</v>
      </c>
      <c r="R75" s="10">
        <v>15</v>
      </c>
      <c r="S75" s="10">
        <v>19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23</v>
      </c>
      <c r="J76" s="4">
        <f t="shared" si="5"/>
        <v>1</v>
      </c>
      <c r="K76" s="5">
        <f t="shared" si="6"/>
        <v>0.85185185185185186</v>
      </c>
      <c r="L76" s="2">
        <v>5071500</v>
      </c>
      <c r="M76" s="2">
        <v>2650000</v>
      </c>
      <c r="N76" s="6">
        <f t="shared" si="7"/>
        <v>1</v>
      </c>
      <c r="O76" s="9">
        <f t="shared" si="8"/>
        <v>0.52252785172039828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23</v>
      </c>
      <c r="J77" s="1">
        <f t="shared" si="5"/>
        <v>1</v>
      </c>
      <c r="K77" s="5">
        <f t="shared" si="6"/>
        <v>1.7692307692307692</v>
      </c>
      <c r="L77" s="2">
        <v>4586500</v>
      </c>
      <c r="M77" s="2">
        <v>2663000</v>
      </c>
      <c r="N77" s="6">
        <f t="shared" si="7"/>
        <v>1</v>
      </c>
      <c r="O77" s="9">
        <f t="shared" si="8"/>
        <v>0.58061702823503758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10</v>
      </c>
      <c r="J78" s="1">
        <f t="shared" si="5"/>
        <v>1</v>
      </c>
      <c r="K78" s="5">
        <f t="shared" si="6"/>
        <v>3.3333333333333335</v>
      </c>
      <c r="L78" s="2">
        <v>3335000</v>
      </c>
      <c r="M78" s="2">
        <v>1296000</v>
      </c>
      <c r="N78" s="6">
        <f t="shared" si="7"/>
        <v>1</v>
      </c>
      <c r="O78" s="9">
        <f t="shared" si="8"/>
        <v>0.38860569715142429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1195000</v>
      </c>
      <c r="N79" s="6">
        <f t="shared" si="7"/>
        <v>1</v>
      </c>
      <c r="O79" s="9">
        <f t="shared" si="8"/>
        <v>0.26336088154269971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4</v>
      </c>
      <c r="J80" s="1">
        <f t="shared" si="5"/>
        <v>1</v>
      </c>
      <c r="K80" s="5">
        <f t="shared" si="6"/>
        <v>1.3333333333333333</v>
      </c>
      <c r="L80" s="2">
        <v>3809100</v>
      </c>
      <c r="M80" s="2">
        <v>406800</v>
      </c>
      <c r="N80" s="6">
        <f t="shared" si="7"/>
        <v>1</v>
      </c>
      <c r="O80" s="9">
        <f t="shared" si="8"/>
        <v>0.10679688115302828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4</v>
      </c>
      <c r="J81" s="4">
        <f t="shared" si="5"/>
        <v>1</v>
      </c>
      <c r="K81" s="5">
        <f t="shared" si="6"/>
        <v>1.3333333333333333</v>
      </c>
      <c r="L81" s="2">
        <v>3511273</v>
      </c>
      <c r="M81" s="2">
        <v>406800</v>
      </c>
      <c r="N81" s="6">
        <f t="shared" si="7"/>
        <v>1</v>
      </c>
      <c r="O81" s="9">
        <f t="shared" si="8"/>
        <v>0.11585541767900132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515400</v>
      </c>
      <c r="N82" s="6">
        <f t="shared" si="7"/>
        <v>1</v>
      </c>
      <c r="O82" s="9">
        <f t="shared" si="8"/>
        <v>0.10856011458421097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1037200</v>
      </c>
      <c r="N83" s="6">
        <f t="shared" si="7"/>
        <v>1</v>
      </c>
      <c r="O83" s="9">
        <f t="shared" si="8"/>
        <v>0.3901594944327415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9</v>
      </c>
      <c r="J84" s="1">
        <f t="shared" si="5"/>
        <v>1</v>
      </c>
      <c r="K84" s="5">
        <f t="shared" si="6"/>
        <v>0.3</v>
      </c>
      <c r="L84" s="2">
        <v>4341400</v>
      </c>
      <c r="M84" s="2">
        <v>1754800</v>
      </c>
      <c r="N84" s="6">
        <f t="shared" si="7"/>
        <v>1</v>
      </c>
      <c r="O84" s="9">
        <f t="shared" si="8"/>
        <v>0.40420140968351226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14</v>
      </c>
      <c r="J85" s="1">
        <f t="shared" si="5"/>
        <v>1</v>
      </c>
      <c r="K85" s="5">
        <f t="shared" si="6"/>
        <v>0.4</v>
      </c>
      <c r="L85" s="2">
        <v>4171000</v>
      </c>
      <c r="M85" s="2">
        <v>2625400</v>
      </c>
      <c r="N85" s="6">
        <f t="shared" si="7"/>
        <v>1</v>
      </c>
      <c r="O85" s="9">
        <f t="shared" si="8"/>
        <v>0.62944138096379765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7480800</v>
      </c>
      <c r="N86" s="6">
        <f t="shared" si="7"/>
        <v>1</v>
      </c>
      <c r="O86" s="9">
        <f t="shared" si="8"/>
        <v>0.59617468919349692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1980000</v>
      </c>
      <c r="N87" s="6">
        <f t="shared" si="7"/>
        <v>1</v>
      </c>
      <c r="O87" s="9">
        <f t="shared" si="8"/>
        <v>0.33788395904436858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2102400</v>
      </c>
      <c r="N88" s="6">
        <f t="shared" si="7"/>
        <v>1</v>
      </c>
      <c r="O88" s="9">
        <f t="shared" si="8"/>
        <v>0.58644351464435152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11</v>
      </c>
      <c r="J91" s="1">
        <f t="shared" si="5"/>
        <v>1</v>
      </c>
      <c r="K91" s="5">
        <f t="shared" si="6"/>
        <v>3.6666666666666665</v>
      </c>
      <c r="L91" s="2">
        <v>2194000</v>
      </c>
      <c r="M91" s="2">
        <v>1156200</v>
      </c>
      <c r="N91" s="6">
        <f t="shared" si="7"/>
        <v>1</v>
      </c>
      <c r="O91" s="9">
        <f t="shared" si="8"/>
        <v>0.52698268003646309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13</v>
      </c>
      <c r="J92" s="1">
        <f t="shared" si="5"/>
        <v>1</v>
      </c>
      <c r="K92" s="5">
        <f t="shared" si="6"/>
        <v>4.333333333333333</v>
      </c>
      <c r="L92" s="2">
        <v>2357600</v>
      </c>
      <c r="M92" s="2">
        <v>1918000</v>
      </c>
      <c r="N92" s="6">
        <f t="shared" si="7"/>
        <v>1</v>
      </c>
      <c r="O92" s="9">
        <f t="shared" si="8"/>
        <v>0.81353919239904993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30</v>
      </c>
      <c r="J93" s="1">
        <f t="shared" si="5"/>
        <v>1</v>
      </c>
      <c r="K93" s="5">
        <f t="shared" si="6"/>
        <v>3.75</v>
      </c>
      <c r="L93" s="2">
        <v>2134000</v>
      </c>
      <c r="M93" s="2">
        <v>1496200</v>
      </c>
      <c r="N93" s="6">
        <f t="shared" si="7"/>
        <v>1</v>
      </c>
      <c r="O93" s="9">
        <f t="shared" si="8"/>
        <v>0.70112464854732892</v>
      </c>
      <c r="P93" s="10">
        <v>52</v>
      </c>
      <c r="Q93" s="1">
        <f t="shared" si="9"/>
        <v>1</v>
      </c>
      <c r="R93" s="10">
        <v>22</v>
      </c>
      <c r="S93" s="10">
        <v>71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1858600</v>
      </c>
      <c r="N94" s="6">
        <f t="shared" si="7"/>
        <v>1</v>
      </c>
      <c r="O94" s="9">
        <f t="shared" si="8"/>
        <v>0.12854633228666676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1228600</v>
      </c>
      <c r="N95" s="6">
        <f t="shared" si="7"/>
        <v>1</v>
      </c>
      <c r="O95" s="9">
        <f t="shared" si="8"/>
        <v>0.15369795836669337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6</v>
      </c>
      <c r="J96" s="1">
        <f t="shared" si="5"/>
        <v>1</v>
      </c>
      <c r="K96" s="5">
        <f t="shared" si="6"/>
        <v>0.2608695652173913</v>
      </c>
      <c r="L96" s="2">
        <v>15003400</v>
      </c>
      <c r="M96" s="2">
        <v>1380200</v>
      </c>
      <c r="N96" s="6">
        <f t="shared" si="7"/>
        <v>1</v>
      </c>
      <c r="O96" s="9">
        <f t="shared" si="8"/>
        <v>9.1992481704147061E-2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1168200</v>
      </c>
      <c r="N97" s="6">
        <f t="shared" si="7"/>
        <v>1</v>
      </c>
      <c r="O97" s="9">
        <f t="shared" si="8"/>
        <v>0.1114311877599298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1775000</v>
      </c>
      <c r="N98" s="6">
        <f t="shared" si="7"/>
        <v>1</v>
      </c>
      <c r="O98" s="9">
        <f t="shared" si="8"/>
        <v>0.36106590724165988</v>
      </c>
      <c r="P98" s="10">
        <v>4</v>
      </c>
      <c r="Q98" s="1">
        <f t="shared" si="9"/>
        <v>1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885000</v>
      </c>
      <c r="N99" s="6">
        <f t="shared" si="7"/>
        <v>1</v>
      </c>
      <c r="O99" s="9">
        <f t="shared" si="8"/>
        <v>0.43708020545239035</v>
      </c>
      <c r="P99" s="10">
        <v>72</v>
      </c>
      <c r="Q99" s="1">
        <f t="shared" si="9"/>
        <v>1</v>
      </c>
      <c r="R99" s="10">
        <v>20</v>
      </c>
      <c r="S99" s="10">
        <v>92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14</v>
      </c>
      <c r="J100" s="4">
        <f t="shared" si="5"/>
        <v>1</v>
      </c>
      <c r="K100" s="5">
        <f t="shared" si="6"/>
        <v>4.666666666666667</v>
      </c>
      <c r="L100" s="2">
        <v>9562400</v>
      </c>
      <c r="M100" s="2">
        <v>5750400</v>
      </c>
      <c r="N100" s="6">
        <f t="shared" si="7"/>
        <v>1</v>
      </c>
      <c r="O100" s="9">
        <f t="shared" si="8"/>
        <v>0.60135530829080563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3203600</v>
      </c>
      <c r="N101" s="6">
        <f t="shared" si="7"/>
        <v>1</v>
      </c>
      <c r="O101" s="9">
        <f t="shared" si="8"/>
        <v>0.34169546482358465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2362000</v>
      </c>
      <c r="N102" s="6">
        <f t="shared" si="7"/>
        <v>1</v>
      </c>
      <c r="O102" s="9">
        <f t="shared" si="8"/>
        <v>0.3174560507499597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2434200</v>
      </c>
      <c r="N103" s="6">
        <f t="shared" si="7"/>
        <v>1</v>
      </c>
      <c r="O103" s="9">
        <f t="shared" si="8"/>
        <v>0.75680885462007208</v>
      </c>
      <c r="P103" s="10">
        <v>6</v>
      </c>
      <c r="Q103" s="1">
        <f t="shared" si="9"/>
        <v>1</v>
      </c>
      <c r="R103" s="10">
        <v>3</v>
      </c>
      <c r="S103" s="10">
        <v>6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2949200</v>
      </c>
      <c r="N104" s="6">
        <f t="shared" si="7"/>
        <v>1</v>
      </c>
      <c r="O104" s="9">
        <f t="shared" si="8"/>
        <v>0.88098936551559326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5013500</v>
      </c>
      <c r="N105" s="6">
        <f t="shared" si="7"/>
        <v>1</v>
      </c>
      <c r="O105" s="9">
        <f t="shared" si="8"/>
        <v>0.38009855951478394</v>
      </c>
      <c r="P105" s="10">
        <v>4</v>
      </c>
      <c r="Q105" s="1">
        <f t="shared" si="9"/>
        <v>1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1087000</v>
      </c>
      <c r="N106" s="6">
        <f t="shared" si="7"/>
        <v>1</v>
      </c>
      <c r="O106" s="9">
        <f t="shared" si="8"/>
        <v>0.24459945994599461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1042400</v>
      </c>
      <c r="N107" s="6">
        <f t="shared" si="7"/>
        <v>1</v>
      </c>
      <c r="O107" s="9">
        <f t="shared" si="8"/>
        <v>0.40318712771718107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3984800</v>
      </c>
      <c r="N108" s="6">
        <f t="shared" si="7"/>
        <v>1</v>
      </c>
      <c r="O108" s="9">
        <f t="shared" si="8"/>
        <v>0.74343283582089548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715800</v>
      </c>
      <c r="N109" s="6">
        <f t="shared" si="7"/>
        <v>1</v>
      </c>
      <c r="O109" s="9">
        <f t="shared" si="8"/>
        <v>0.33280639761949043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1183600</v>
      </c>
      <c r="N110" s="6">
        <f t="shared" si="7"/>
        <v>1</v>
      </c>
      <c r="O110" s="9">
        <f t="shared" si="8"/>
        <v>0.13041849395067986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1192000</v>
      </c>
      <c r="N111" s="6">
        <f t="shared" si="7"/>
        <v>1</v>
      </c>
      <c r="O111" s="9">
        <f t="shared" si="8"/>
        <v>4.9071874652647701E-2</v>
      </c>
      <c r="P111" s="10">
        <v>128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11</v>
      </c>
      <c r="J112" s="4">
        <f t="shared" si="5"/>
        <v>1</v>
      </c>
      <c r="K112" s="5">
        <f t="shared" si="6"/>
        <v>1.8333333333333333</v>
      </c>
      <c r="L112" s="2">
        <v>2530000</v>
      </c>
      <c r="M112" s="2">
        <v>1323200</v>
      </c>
      <c r="N112" s="6">
        <f t="shared" si="7"/>
        <v>1</v>
      </c>
      <c r="O112" s="9">
        <f t="shared" si="8"/>
        <v>0.52300395256916998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3530400</v>
      </c>
      <c r="N113" s="6">
        <f t="shared" si="7"/>
        <v>1</v>
      </c>
      <c r="O113" s="9">
        <f t="shared" si="8"/>
        <v>0.59602917341977313</v>
      </c>
      <c r="P113" s="10">
        <v>1</v>
      </c>
      <c r="Q113" s="1">
        <f t="shared" si="9"/>
        <v>0</v>
      </c>
      <c r="R113" s="10">
        <v>3</v>
      </c>
      <c r="S113" s="10">
        <v>6</v>
      </c>
      <c r="T113" s="10">
        <v>2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11</v>
      </c>
      <c r="J114" s="4">
        <f t="shared" si="5"/>
        <v>1</v>
      </c>
      <c r="K114" s="5">
        <f t="shared" si="6"/>
        <v>3.6666666666666665</v>
      </c>
      <c r="L114" s="2">
        <v>6223000</v>
      </c>
      <c r="M114" s="2">
        <v>3655200</v>
      </c>
      <c r="N114" s="6">
        <f t="shared" si="7"/>
        <v>1</v>
      </c>
      <c r="O114" s="9">
        <f t="shared" si="8"/>
        <v>0.58736943596336177</v>
      </c>
      <c r="P114" s="10">
        <v>8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1701600</v>
      </c>
      <c r="N115" s="6">
        <f t="shared" si="7"/>
        <v>1</v>
      </c>
      <c r="O115" s="9">
        <f t="shared" si="8"/>
        <v>0.66120069943656501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555000</v>
      </c>
      <c r="N116" s="6">
        <f t="shared" si="7"/>
        <v>1</v>
      </c>
      <c r="O116" s="9">
        <f t="shared" si="8"/>
        <v>0.25215810995002269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1907800</v>
      </c>
      <c r="N117" s="6">
        <f t="shared" si="7"/>
        <v>1</v>
      </c>
      <c r="O117" s="9">
        <f t="shared" si="8"/>
        <v>0.3510340766909546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885800</v>
      </c>
      <c r="N118" s="6">
        <f t="shared" si="7"/>
        <v>1</v>
      </c>
      <c r="O118" s="9">
        <f t="shared" si="8"/>
        <v>0.30125153040402669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3</v>
      </c>
      <c r="J119" s="1">
        <f t="shared" si="5"/>
        <v>1</v>
      </c>
      <c r="K119" s="5">
        <f t="shared" si="6"/>
        <v>1</v>
      </c>
      <c r="L119" s="2">
        <v>1914500</v>
      </c>
      <c r="M119" s="2">
        <v>1077200</v>
      </c>
      <c r="N119" s="6">
        <f t="shared" si="7"/>
        <v>1</v>
      </c>
      <c r="O119" s="9">
        <f t="shared" si="8"/>
        <v>0.56265343431705406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716800</v>
      </c>
      <c r="N120" s="6">
        <f t="shared" si="7"/>
        <v>1</v>
      </c>
      <c r="O120" s="9">
        <f t="shared" si="8"/>
        <v>8.0579162732137236E-2</v>
      </c>
      <c r="P120" s="10">
        <v>11</v>
      </c>
      <c r="Q120" s="1">
        <f t="shared" si="9"/>
        <v>1</v>
      </c>
      <c r="R120" s="10">
        <v>12</v>
      </c>
      <c r="S120" s="10">
        <v>11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1052000</v>
      </c>
      <c r="N121" s="6">
        <f t="shared" si="7"/>
        <v>1</v>
      </c>
      <c r="O121" s="9">
        <f t="shared" si="8"/>
        <v>0.29336307863915229</v>
      </c>
      <c r="P121" s="10">
        <v>8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3060500</v>
      </c>
      <c r="N122" s="6">
        <f t="shared" si="7"/>
        <v>1</v>
      </c>
      <c r="O122" s="9">
        <f t="shared" si="8"/>
        <v>0.38499276684068179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599400</v>
      </c>
      <c r="N123" s="6">
        <f t="shared" si="7"/>
        <v>1</v>
      </c>
      <c r="O123" s="9">
        <f t="shared" si="8"/>
        <v>0.15111940298507462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1078400</v>
      </c>
      <c r="N124" s="6">
        <f t="shared" si="7"/>
        <v>1</v>
      </c>
      <c r="O124" s="9">
        <f t="shared" si="8"/>
        <v>0.29105041563208461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1731400</v>
      </c>
      <c r="N125" s="6">
        <f t="shared" si="7"/>
        <v>1</v>
      </c>
      <c r="O125" s="9">
        <f t="shared" si="8"/>
        <v>0.44674373000309631</v>
      </c>
      <c r="P125" s="10">
        <v>6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2068200</v>
      </c>
      <c r="N126" s="6">
        <f t="shared" si="7"/>
        <v>1</v>
      </c>
      <c r="O126" s="9">
        <f t="shared" si="8"/>
        <v>0.27618348133805171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6979800</v>
      </c>
      <c r="N127" s="6">
        <f t="shared" si="7"/>
        <v>1</v>
      </c>
      <c r="O127" s="9">
        <f t="shared" si="8"/>
        <v>0.56414960900402111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957400</v>
      </c>
      <c r="N128" s="6">
        <f t="shared" si="7"/>
        <v>1</v>
      </c>
      <c r="O128" s="9">
        <f t="shared" si="8"/>
        <v>0.40986343593475749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3457900</v>
      </c>
      <c r="N129" s="6">
        <f t="shared" si="7"/>
        <v>1</v>
      </c>
      <c r="O129" s="9">
        <f t="shared" si="8"/>
        <v>0.27660987121030317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3345000</v>
      </c>
      <c r="N130" s="6">
        <f t="shared" si="7"/>
        <v>1</v>
      </c>
      <c r="O130" s="9">
        <f t="shared" si="8"/>
        <v>0.58458580915763714</v>
      </c>
      <c r="P130" s="10">
        <v>4</v>
      </c>
      <c r="Q130" s="1">
        <f t="shared" si="9"/>
        <v>1</v>
      </c>
      <c r="R130" s="10">
        <v>3</v>
      </c>
      <c r="S130" s="10">
        <v>4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2390000</v>
      </c>
      <c r="N131" s="6">
        <f t="shared" si="7"/>
        <v>1</v>
      </c>
      <c r="O131" s="9">
        <f t="shared" si="8"/>
        <v>0.3788839568801522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10161000</v>
      </c>
      <c r="N132" s="6">
        <f t="shared" si="7"/>
        <v>1</v>
      </c>
      <c r="O132" s="9">
        <f t="shared" si="8"/>
        <v>0.53943142303506486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9</v>
      </c>
      <c r="J134" s="4">
        <f t="shared" ref="J134:J197" si="10">IF(I134&gt;=3,1,0)</f>
        <v>1</v>
      </c>
      <c r="K134" s="5">
        <f t="shared" ref="K134:K197" si="11">I134/H134</f>
        <v>3</v>
      </c>
      <c r="L134" s="2">
        <v>1426000</v>
      </c>
      <c r="M134" s="2">
        <v>1940400</v>
      </c>
      <c r="N134" s="6">
        <f t="shared" ref="N134:N197" si="12">IF(M134&gt;=300000,1,0)</f>
        <v>1</v>
      </c>
      <c r="O134" s="9">
        <f t="shared" ref="O134:O197" si="13">M134/L134</f>
        <v>1.3607293127629734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6</v>
      </c>
      <c r="J135" s="1">
        <f t="shared" si="10"/>
        <v>1</v>
      </c>
      <c r="K135" s="5">
        <f t="shared" si="11"/>
        <v>0.75</v>
      </c>
      <c r="L135" s="2">
        <v>1902400</v>
      </c>
      <c r="M135" s="2">
        <v>1729000</v>
      </c>
      <c r="N135" s="6">
        <f t="shared" si="12"/>
        <v>1</v>
      </c>
      <c r="O135" s="9">
        <f t="shared" si="13"/>
        <v>0.90885197645079896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8</v>
      </c>
      <c r="J136" s="1">
        <f t="shared" si="10"/>
        <v>1</v>
      </c>
      <c r="K136" s="5">
        <f t="shared" si="11"/>
        <v>2.6666666666666665</v>
      </c>
      <c r="L136" s="2">
        <v>1899400</v>
      </c>
      <c r="M136" s="2">
        <v>2091000</v>
      </c>
      <c r="N136" s="6">
        <f t="shared" si="12"/>
        <v>1</v>
      </c>
      <c r="O136" s="9">
        <f t="shared" si="13"/>
        <v>1.1008739601979574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8</v>
      </c>
      <c r="J137" s="1">
        <f t="shared" si="10"/>
        <v>1</v>
      </c>
      <c r="K137" s="5">
        <f t="shared" si="11"/>
        <v>1</v>
      </c>
      <c r="L137" s="2">
        <v>1902400</v>
      </c>
      <c r="M137" s="2">
        <v>1316800</v>
      </c>
      <c r="N137" s="6">
        <f t="shared" si="12"/>
        <v>1</v>
      </c>
      <c r="O137" s="9">
        <f t="shared" si="13"/>
        <v>0.69217830109335576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2600000</v>
      </c>
      <c r="N138" s="6">
        <f t="shared" si="12"/>
        <v>1</v>
      </c>
      <c r="O138" s="9">
        <f t="shared" si="13"/>
        <v>0.4531195538515162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5</v>
      </c>
      <c r="J139" s="1">
        <f t="shared" si="10"/>
        <v>1</v>
      </c>
      <c r="K139" s="5">
        <f t="shared" si="11"/>
        <v>0.83333333333333337</v>
      </c>
      <c r="L139" s="2">
        <v>4278000</v>
      </c>
      <c r="M139" s="2">
        <v>2301000</v>
      </c>
      <c r="N139" s="6">
        <f t="shared" si="12"/>
        <v>1</v>
      </c>
      <c r="O139" s="9">
        <f t="shared" si="13"/>
        <v>0.5378681626928471</v>
      </c>
      <c r="P139" s="10">
        <v>4</v>
      </c>
      <c r="Q139" s="1">
        <f t="shared" si="14"/>
        <v>1</v>
      </c>
      <c r="R139" s="10">
        <v>6</v>
      </c>
      <c r="S139" s="10">
        <v>4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1429000</v>
      </c>
      <c r="N140" s="6">
        <f t="shared" si="12"/>
        <v>1</v>
      </c>
      <c r="O140" s="9">
        <f t="shared" si="13"/>
        <v>0.26076642335766426</v>
      </c>
      <c r="P140" s="10">
        <v>1</v>
      </c>
      <c r="Q140" s="1">
        <f t="shared" si="14"/>
        <v>0</v>
      </c>
      <c r="R140" s="10">
        <v>3</v>
      </c>
      <c r="S140" s="10">
        <v>1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599400</v>
      </c>
      <c r="N141" s="6">
        <f t="shared" si="12"/>
        <v>1</v>
      </c>
      <c r="O141" s="9">
        <f t="shared" si="13"/>
        <v>0.32576086956521738</v>
      </c>
      <c r="P141" s="10">
        <v>1</v>
      </c>
      <c r="Q141" s="1">
        <f t="shared" si="14"/>
        <v>0</v>
      </c>
      <c r="R141" s="10">
        <v>3</v>
      </c>
      <c r="S141" s="10">
        <v>1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609000</v>
      </c>
      <c r="N142" s="6">
        <f t="shared" si="12"/>
        <v>1</v>
      </c>
      <c r="O142" s="9">
        <f t="shared" si="13"/>
        <v>0.15967488201363397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8</v>
      </c>
      <c r="J143" s="4">
        <f t="shared" si="10"/>
        <v>1</v>
      </c>
      <c r="K143" s="5">
        <f t="shared" si="11"/>
        <v>1</v>
      </c>
      <c r="L143" s="2">
        <v>1840000</v>
      </c>
      <c r="M143" s="2">
        <v>1819100</v>
      </c>
      <c r="N143" s="6">
        <f t="shared" si="12"/>
        <v>1</v>
      </c>
      <c r="O143" s="9">
        <f t="shared" si="13"/>
        <v>0.98864130434782604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7</v>
      </c>
      <c r="J144" s="4">
        <f t="shared" si="10"/>
        <v>1</v>
      </c>
      <c r="K144" s="5">
        <f t="shared" si="11"/>
        <v>0.53846153846153844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11</v>
      </c>
      <c r="J146" s="1">
        <f t="shared" si="10"/>
        <v>1</v>
      </c>
      <c r="K146" s="5">
        <f t="shared" si="11"/>
        <v>3.6666666666666665</v>
      </c>
      <c r="L146" s="2">
        <v>1706800</v>
      </c>
      <c r="M146" s="2">
        <v>1796100</v>
      </c>
      <c r="N146" s="6">
        <f t="shared" si="12"/>
        <v>1</v>
      </c>
      <c r="O146" s="9">
        <f t="shared" si="13"/>
        <v>1.052320131239747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1243500</v>
      </c>
      <c r="N147" s="6">
        <f t="shared" si="12"/>
        <v>1</v>
      </c>
      <c r="O147" s="9">
        <f t="shared" si="13"/>
        <v>0.46545141488246744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10</v>
      </c>
      <c r="J148" s="4">
        <f t="shared" si="10"/>
        <v>1</v>
      </c>
      <c r="K148" s="5">
        <f t="shared" si="11"/>
        <v>1.6666666666666667</v>
      </c>
      <c r="L148" s="2">
        <v>2608000</v>
      </c>
      <c r="M148" s="2">
        <v>978000</v>
      </c>
      <c r="N148" s="6">
        <f t="shared" si="12"/>
        <v>1</v>
      </c>
      <c r="O148" s="9">
        <f t="shared" si="13"/>
        <v>0.375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10</v>
      </c>
      <c r="J149" s="1">
        <f t="shared" si="10"/>
        <v>1</v>
      </c>
      <c r="K149" s="5">
        <f t="shared" si="11"/>
        <v>1.6666666666666667</v>
      </c>
      <c r="L149" s="2">
        <v>2882800</v>
      </c>
      <c r="M149" s="2">
        <v>1991200</v>
      </c>
      <c r="N149" s="6">
        <f t="shared" si="12"/>
        <v>1</v>
      </c>
      <c r="O149" s="9">
        <f t="shared" si="13"/>
        <v>0.69071735812404611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3</v>
      </c>
      <c r="Q150" s="1">
        <f t="shared" si="14"/>
        <v>1</v>
      </c>
      <c r="R150" s="10">
        <v>4</v>
      </c>
      <c r="S150" s="10">
        <v>3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17210000</v>
      </c>
      <c r="N152" s="6">
        <f t="shared" si="12"/>
        <v>1</v>
      </c>
      <c r="O152" s="9">
        <f t="shared" si="13"/>
        <v>0.92816298908823325</v>
      </c>
      <c r="P152" s="10">
        <v>10</v>
      </c>
      <c r="Q152" s="1">
        <f t="shared" si="14"/>
        <v>1</v>
      </c>
      <c r="R152" s="10">
        <v>6</v>
      </c>
      <c r="S152" s="10">
        <v>10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8</v>
      </c>
      <c r="J155" s="1">
        <f t="shared" si="10"/>
        <v>1</v>
      </c>
      <c r="K155" s="5">
        <f t="shared" si="11"/>
        <v>2.6666666666666665</v>
      </c>
      <c r="L155" s="2">
        <v>3585000</v>
      </c>
      <c r="M155" s="2">
        <v>625000</v>
      </c>
      <c r="N155" s="6">
        <f t="shared" si="12"/>
        <v>1</v>
      </c>
      <c r="O155" s="9">
        <f t="shared" si="13"/>
        <v>0.17433751743375175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9</v>
      </c>
      <c r="Q156" s="1">
        <f t="shared" si="14"/>
        <v>1</v>
      </c>
      <c r="R156" s="10">
        <v>5</v>
      </c>
      <c r="S156" s="10">
        <v>28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69</v>
      </c>
      <c r="Q158" s="1">
        <f t="shared" si="14"/>
        <v>1</v>
      </c>
      <c r="R158" s="10">
        <v>7</v>
      </c>
      <c r="S158" s="10">
        <v>89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13</v>
      </c>
      <c r="J159" s="4">
        <f t="shared" si="10"/>
        <v>1</v>
      </c>
      <c r="K159" s="5">
        <f t="shared" si="11"/>
        <v>4.333333333333333</v>
      </c>
      <c r="L159" s="2">
        <v>12265000</v>
      </c>
      <c r="M159" s="2">
        <v>3621500</v>
      </c>
      <c r="N159" s="6">
        <f t="shared" si="12"/>
        <v>1</v>
      </c>
      <c r="O159" s="9">
        <f t="shared" si="13"/>
        <v>0.29527109661638812</v>
      </c>
      <c r="P159" s="10">
        <v>3</v>
      </c>
      <c r="Q159" s="1">
        <f t="shared" si="14"/>
        <v>1</v>
      </c>
      <c r="R159" s="10">
        <v>3</v>
      </c>
      <c r="S159" s="10">
        <v>3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13</v>
      </c>
      <c r="J160" s="4">
        <f t="shared" si="10"/>
        <v>1</v>
      </c>
      <c r="K160" s="5">
        <f t="shared" si="11"/>
        <v>2.1666666666666665</v>
      </c>
      <c r="L160" s="2">
        <v>17240000</v>
      </c>
      <c r="M160" s="2">
        <v>6973000</v>
      </c>
      <c r="N160" s="6">
        <f t="shared" si="12"/>
        <v>1</v>
      </c>
      <c r="O160" s="9">
        <f t="shared" si="13"/>
        <v>0.40446635730858471</v>
      </c>
      <c r="P160" s="10">
        <v>3</v>
      </c>
      <c r="Q160" s="1">
        <f t="shared" si="14"/>
        <v>1</v>
      </c>
      <c r="R160" s="10">
        <v>4</v>
      </c>
      <c r="S160" s="10">
        <v>3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11</v>
      </c>
      <c r="J161" s="4">
        <f t="shared" si="10"/>
        <v>1</v>
      </c>
      <c r="K161" s="5">
        <f t="shared" si="11"/>
        <v>0.25</v>
      </c>
      <c r="L161" s="2">
        <v>11620000</v>
      </c>
      <c r="M161" s="2">
        <v>415000</v>
      </c>
      <c r="N161" s="6">
        <f t="shared" si="12"/>
        <v>1</v>
      </c>
      <c r="O161" s="9">
        <f t="shared" si="13"/>
        <v>3.5714285714285712E-2</v>
      </c>
      <c r="P161" s="10">
        <v>15</v>
      </c>
      <c r="Q161" s="1">
        <f t="shared" si="14"/>
        <v>1</v>
      </c>
      <c r="R161" s="10">
        <v>6</v>
      </c>
      <c r="S161" s="10">
        <v>17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18</v>
      </c>
      <c r="J162" s="4">
        <f t="shared" si="10"/>
        <v>1</v>
      </c>
      <c r="K162" s="5">
        <f t="shared" si="11"/>
        <v>2.5714285714285716</v>
      </c>
      <c r="L162" s="2">
        <v>11414000</v>
      </c>
      <c r="M162" s="2">
        <v>16757000</v>
      </c>
      <c r="N162" s="6">
        <f t="shared" si="12"/>
        <v>1</v>
      </c>
      <c r="O162" s="9">
        <f t="shared" si="13"/>
        <v>1.4681093394077449</v>
      </c>
      <c r="P162" s="10">
        <v>3</v>
      </c>
      <c r="Q162" s="1">
        <f t="shared" si="14"/>
        <v>1</v>
      </c>
      <c r="R162" s="10">
        <v>3</v>
      </c>
      <c r="S162" s="10">
        <v>3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13</v>
      </c>
      <c r="J163" s="1">
        <f t="shared" si="10"/>
        <v>1</v>
      </c>
      <c r="K163" s="5">
        <f t="shared" si="11"/>
        <v>4.333333333333333</v>
      </c>
      <c r="L163" s="2">
        <v>9875548</v>
      </c>
      <c r="M163" s="2">
        <v>6230000</v>
      </c>
      <c r="N163" s="6">
        <f t="shared" si="12"/>
        <v>1</v>
      </c>
      <c r="O163" s="9">
        <f t="shared" si="13"/>
        <v>0.63085106770783761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6</v>
      </c>
      <c r="J164" s="1">
        <f t="shared" si="10"/>
        <v>1</v>
      </c>
      <c r="K164" s="5">
        <f t="shared" si="11"/>
        <v>2</v>
      </c>
      <c r="L164" s="2">
        <v>2398000</v>
      </c>
      <c r="M164" s="2">
        <v>1584000</v>
      </c>
      <c r="N164" s="6">
        <f t="shared" si="12"/>
        <v>1</v>
      </c>
      <c r="O164" s="9">
        <f t="shared" si="13"/>
        <v>0.66055045871559637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6</v>
      </c>
      <c r="J165" s="4">
        <f t="shared" si="10"/>
        <v>1</v>
      </c>
      <c r="K165" s="5">
        <f t="shared" si="11"/>
        <v>2</v>
      </c>
      <c r="L165" s="2">
        <v>2577000</v>
      </c>
      <c r="M165" s="2">
        <v>1501000</v>
      </c>
      <c r="N165" s="6">
        <f t="shared" si="12"/>
        <v>1</v>
      </c>
      <c r="O165" s="9">
        <f t="shared" si="13"/>
        <v>0.5824602250679084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6</v>
      </c>
      <c r="J166" s="1">
        <f t="shared" si="10"/>
        <v>1</v>
      </c>
      <c r="K166" s="5">
        <f t="shared" si="11"/>
        <v>2</v>
      </c>
      <c r="L166" s="2">
        <v>2884000</v>
      </c>
      <c r="M166" s="2">
        <v>2308000</v>
      </c>
      <c r="N166" s="6">
        <f t="shared" si="12"/>
        <v>1</v>
      </c>
      <c r="O166" s="9">
        <f t="shared" si="13"/>
        <v>0.8002773925104022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6</v>
      </c>
      <c r="J168" s="4">
        <f t="shared" si="10"/>
        <v>1</v>
      </c>
      <c r="K168" s="5">
        <f t="shared" si="11"/>
        <v>2</v>
      </c>
      <c r="L168" s="2">
        <v>3833000</v>
      </c>
      <c r="M168" s="2">
        <v>1831000</v>
      </c>
      <c r="N168" s="6">
        <f t="shared" si="12"/>
        <v>1</v>
      </c>
      <c r="O168" s="9">
        <f t="shared" si="13"/>
        <v>0.47769371249673886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6</v>
      </c>
      <c r="J170" s="1">
        <f t="shared" si="10"/>
        <v>1</v>
      </c>
      <c r="K170" s="5">
        <f t="shared" si="11"/>
        <v>2</v>
      </c>
      <c r="L170" s="2">
        <v>5174500</v>
      </c>
      <c r="M170" s="2">
        <v>3297500</v>
      </c>
      <c r="N170" s="6">
        <f t="shared" si="12"/>
        <v>1</v>
      </c>
      <c r="O170" s="9">
        <f t="shared" si="13"/>
        <v>0.63725963861242629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6</v>
      </c>
      <c r="J171" s="4">
        <f t="shared" si="10"/>
        <v>1</v>
      </c>
      <c r="K171" s="5">
        <f t="shared" si="11"/>
        <v>0.75</v>
      </c>
      <c r="L171" s="2">
        <v>5024500</v>
      </c>
      <c r="M171" s="2">
        <v>769000</v>
      </c>
      <c r="N171" s="6">
        <f t="shared" si="12"/>
        <v>1</v>
      </c>
      <c r="O171" s="9">
        <f t="shared" si="13"/>
        <v>0.1530500547318141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6</v>
      </c>
      <c r="J172" s="4">
        <f t="shared" si="10"/>
        <v>1</v>
      </c>
      <c r="K172" s="5">
        <f t="shared" si="11"/>
        <v>2</v>
      </c>
      <c r="L172" s="2">
        <v>3571000</v>
      </c>
      <c r="M172" s="2">
        <v>1567000</v>
      </c>
      <c r="N172" s="6">
        <f t="shared" si="12"/>
        <v>1</v>
      </c>
      <c r="O172" s="9">
        <f t="shared" si="13"/>
        <v>0.43881265751890225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6</v>
      </c>
      <c r="J173" s="4">
        <f t="shared" si="10"/>
        <v>1</v>
      </c>
      <c r="K173" s="5">
        <f t="shared" si="11"/>
        <v>0.75</v>
      </c>
      <c r="L173" s="2">
        <v>5396500</v>
      </c>
      <c r="M173" s="2">
        <v>601000</v>
      </c>
      <c r="N173" s="6">
        <f t="shared" si="12"/>
        <v>1</v>
      </c>
      <c r="O173" s="9">
        <f t="shared" si="13"/>
        <v>0.11136847957009173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20</v>
      </c>
      <c r="J174" s="4">
        <f t="shared" si="10"/>
        <v>1</v>
      </c>
      <c r="K174" s="5">
        <f t="shared" si="11"/>
        <v>6.666666666666667</v>
      </c>
      <c r="L174" s="2">
        <v>4600000</v>
      </c>
      <c r="M174" s="2">
        <v>1834000</v>
      </c>
      <c r="N174" s="6">
        <f t="shared" si="12"/>
        <v>1</v>
      </c>
      <c r="O174" s="9">
        <f t="shared" si="13"/>
        <v>0.39869565217391306</v>
      </c>
      <c r="P174" s="10">
        <v>0</v>
      </c>
      <c r="Q174" s="1">
        <f t="shared" si="14"/>
        <v>0</v>
      </c>
      <c r="R174" s="10">
        <v>9</v>
      </c>
      <c r="S174" s="10">
        <v>2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10</v>
      </c>
      <c r="J175" s="4">
        <f t="shared" si="10"/>
        <v>1</v>
      </c>
      <c r="K175" s="5">
        <f t="shared" si="11"/>
        <v>1.6666666666666667</v>
      </c>
      <c r="L175" s="2">
        <v>9658000</v>
      </c>
      <c r="M175" s="2">
        <v>861600</v>
      </c>
      <c r="N175" s="6">
        <f t="shared" si="12"/>
        <v>1</v>
      </c>
      <c r="O175" s="9">
        <f t="shared" si="13"/>
        <v>8.9211016773659141E-2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20</v>
      </c>
      <c r="J176" s="4">
        <f t="shared" si="10"/>
        <v>1</v>
      </c>
      <c r="K176" s="5">
        <f t="shared" si="11"/>
        <v>6.666666666666667</v>
      </c>
      <c r="L176" s="2">
        <v>17180000</v>
      </c>
      <c r="M176" s="2">
        <v>3747000</v>
      </c>
      <c r="N176" s="6">
        <f t="shared" si="12"/>
        <v>1</v>
      </c>
      <c r="O176" s="9">
        <f t="shared" si="13"/>
        <v>0.21810244470314319</v>
      </c>
      <c r="P176" s="10">
        <v>3</v>
      </c>
      <c r="Q176" s="1">
        <f t="shared" si="14"/>
        <v>1</v>
      </c>
      <c r="R176" s="10">
        <v>5</v>
      </c>
      <c r="S176" s="10">
        <v>3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20</v>
      </c>
      <c r="J177" s="1">
        <f t="shared" si="10"/>
        <v>1</v>
      </c>
      <c r="K177" s="5">
        <f t="shared" si="11"/>
        <v>6.666666666666667</v>
      </c>
      <c r="L177" s="2">
        <v>5180000</v>
      </c>
      <c r="M177" s="2">
        <v>927600</v>
      </c>
      <c r="N177" s="6">
        <f t="shared" si="12"/>
        <v>1</v>
      </c>
      <c r="O177" s="9">
        <f t="shared" si="13"/>
        <v>0.17907335907335908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40</v>
      </c>
      <c r="J178" s="4">
        <f t="shared" si="10"/>
        <v>1</v>
      </c>
      <c r="K178" s="5">
        <f t="shared" si="11"/>
        <v>0.90909090909090906</v>
      </c>
      <c r="L178" s="2">
        <v>9235000</v>
      </c>
      <c r="M178" s="2">
        <v>904200</v>
      </c>
      <c r="N178" s="6">
        <f t="shared" si="12"/>
        <v>1</v>
      </c>
      <c r="O178" s="9">
        <f t="shared" si="13"/>
        <v>9.7910124526258802E-2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9</v>
      </c>
      <c r="J179" s="4">
        <f t="shared" si="10"/>
        <v>1</v>
      </c>
      <c r="K179" s="5">
        <f t="shared" si="11"/>
        <v>3</v>
      </c>
      <c r="L179" s="2">
        <v>6459500</v>
      </c>
      <c r="M179" s="2">
        <v>4916000</v>
      </c>
      <c r="N179" s="6">
        <f t="shared" si="12"/>
        <v>1</v>
      </c>
      <c r="O179" s="9">
        <f t="shared" si="13"/>
        <v>0.76104961684340888</v>
      </c>
      <c r="P179" s="10">
        <v>3</v>
      </c>
      <c r="Q179" s="1">
        <f t="shared" si="14"/>
        <v>1</v>
      </c>
      <c r="R179" s="10">
        <v>3</v>
      </c>
      <c r="S179" s="10">
        <v>3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4090000</v>
      </c>
      <c r="N180" s="6">
        <f t="shared" si="12"/>
        <v>1</v>
      </c>
      <c r="O180" s="9">
        <f t="shared" si="13"/>
        <v>0.43722272702977177</v>
      </c>
      <c r="P180" s="10">
        <v>6</v>
      </c>
      <c r="Q180" s="1">
        <f t="shared" si="14"/>
        <v>1</v>
      </c>
      <c r="R180" s="10">
        <v>3</v>
      </c>
      <c r="S180" s="10">
        <v>6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704000</v>
      </c>
      <c r="N181" s="6">
        <f t="shared" si="12"/>
        <v>1</v>
      </c>
      <c r="O181" s="9">
        <f t="shared" si="13"/>
        <v>0.42796352583586628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385000</v>
      </c>
      <c r="N182" s="6">
        <f t="shared" si="12"/>
        <v>1</v>
      </c>
      <c r="O182" s="9">
        <f t="shared" si="13"/>
        <v>0.2866716306775875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7</v>
      </c>
      <c r="Q183" s="1">
        <f t="shared" si="14"/>
        <v>1</v>
      </c>
      <c r="R183" s="10">
        <v>26</v>
      </c>
      <c r="S183" s="10">
        <v>7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19</v>
      </c>
      <c r="J184" s="4">
        <f t="shared" si="10"/>
        <v>1</v>
      </c>
      <c r="K184" s="5">
        <f t="shared" si="11"/>
        <v>2.1111111111111112</v>
      </c>
      <c r="L184" s="2">
        <v>16804000</v>
      </c>
      <c r="M184" s="2">
        <v>6642000</v>
      </c>
      <c r="N184" s="6">
        <f t="shared" si="12"/>
        <v>1</v>
      </c>
      <c r="O184" s="9">
        <f t="shared" si="13"/>
        <v>0.39526303261128304</v>
      </c>
      <c r="P184" s="10">
        <v>27</v>
      </c>
      <c r="Q184" s="1">
        <f t="shared" si="14"/>
        <v>1</v>
      </c>
      <c r="R184" s="10">
        <v>39</v>
      </c>
      <c r="S184" s="10">
        <v>31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3</v>
      </c>
      <c r="Q185" s="1">
        <f t="shared" si="14"/>
        <v>1</v>
      </c>
      <c r="R185" s="10">
        <v>23</v>
      </c>
      <c r="S185" s="10">
        <v>3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1028000</v>
      </c>
      <c r="N186" s="6">
        <f t="shared" si="12"/>
        <v>1</v>
      </c>
      <c r="O186" s="9">
        <f t="shared" si="13"/>
        <v>0.32780612244897961</v>
      </c>
      <c r="P186" s="10">
        <v>8</v>
      </c>
      <c r="Q186" s="1">
        <f t="shared" si="14"/>
        <v>1</v>
      </c>
      <c r="R186" s="10">
        <v>7</v>
      </c>
      <c r="S186" s="10">
        <v>8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4</v>
      </c>
      <c r="Q187" s="1">
        <f t="shared" si="14"/>
        <v>1</v>
      </c>
      <c r="R187" s="10">
        <v>62</v>
      </c>
      <c r="S187" s="10">
        <v>5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10</v>
      </c>
      <c r="Q188" s="1">
        <f t="shared" si="14"/>
        <v>1</v>
      </c>
      <c r="R188" s="10">
        <v>64</v>
      </c>
      <c r="S188" s="10">
        <v>10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3038000</v>
      </c>
      <c r="N189" s="6">
        <f t="shared" si="12"/>
        <v>1</v>
      </c>
      <c r="O189" s="9">
        <f t="shared" si="13"/>
        <v>0.15827038291221673</v>
      </c>
      <c r="P189" s="10">
        <v>7</v>
      </c>
      <c r="Q189" s="1">
        <f t="shared" si="14"/>
        <v>1</v>
      </c>
      <c r="R189" s="10">
        <v>5</v>
      </c>
      <c r="S189" s="10">
        <v>7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9</v>
      </c>
      <c r="Q190" s="1">
        <f t="shared" si="14"/>
        <v>1</v>
      </c>
      <c r="R190" s="10">
        <v>7</v>
      </c>
      <c r="S190" s="10">
        <v>9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10</v>
      </c>
      <c r="J191" s="4">
        <f t="shared" si="10"/>
        <v>1</v>
      </c>
      <c r="K191" s="5">
        <f t="shared" si="11"/>
        <v>2</v>
      </c>
      <c r="L191" s="2">
        <v>4750000</v>
      </c>
      <c r="M191" s="2">
        <v>604200</v>
      </c>
      <c r="N191" s="6">
        <f t="shared" si="12"/>
        <v>1</v>
      </c>
      <c r="O191" s="9">
        <f t="shared" si="13"/>
        <v>0.12720000000000001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2354200</v>
      </c>
      <c r="N192" s="6">
        <f t="shared" si="12"/>
        <v>1</v>
      </c>
      <c r="O192" s="9">
        <f t="shared" si="13"/>
        <v>0.27028702640642938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8</v>
      </c>
      <c r="J193" s="4">
        <f t="shared" si="10"/>
        <v>1</v>
      </c>
      <c r="K193" s="5">
        <f t="shared" si="11"/>
        <v>2</v>
      </c>
      <c r="L193" s="2">
        <v>5675500</v>
      </c>
      <c r="M193" s="2">
        <v>4483000</v>
      </c>
      <c r="N193" s="6">
        <f t="shared" si="12"/>
        <v>1</v>
      </c>
      <c r="O193" s="9">
        <f t="shared" si="13"/>
        <v>0.7898863536252313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11</v>
      </c>
      <c r="J194" s="1">
        <f t="shared" si="10"/>
        <v>1</v>
      </c>
      <c r="K194" s="5">
        <f t="shared" si="11"/>
        <v>3.6666666666666665</v>
      </c>
      <c r="L194" s="2">
        <v>1724000</v>
      </c>
      <c r="M194" s="2">
        <v>1332000</v>
      </c>
      <c r="N194" s="6">
        <f t="shared" si="12"/>
        <v>1</v>
      </c>
      <c r="O194" s="9">
        <f t="shared" si="13"/>
        <v>0.77262180974477956</v>
      </c>
      <c r="P194" s="10">
        <v>3</v>
      </c>
      <c r="Q194" s="1">
        <f t="shared" si="14"/>
        <v>1</v>
      </c>
      <c r="R194" s="10">
        <v>11</v>
      </c>
      <c r="S194" s="10">
        <v>3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11</v>
      </c>
      <c r="J195" s="1">
        <f t="shared" si="10"/>
        <v>1</v>
      </c>
      <c r="K195" s="5">
        <f t="shared" si="11"/>
        <v>3.6666666666666665</v>
      </c>
      <c r="L195" s="2">
        <v>1562000</v>
      </c>
      <c r="M195" s="2">
        <v>1200000</v>
      </c>
      <c r="N195" s="6">
        <f t="shared" si="12"/>
        <v>1</v>
      </c>
      <c r="O195" s="9">
        <f t="shared" si="13"/>
        <v>0.76824583866837393</v>
      </c>
      <c r="P195" s="10">
        <v>5</v>
      </c>
      <c r="Q195" s="1">
        <f t="shared" si="14"/>
        <v>1</v>
      </c>
      <c r="R195" s="10">
        <v>3</v>
      </c>
      <c r="S195" s="10">
        <v>5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13</v>
      </c>
      <c r="J196" s="1">
        <f t="shared" si="10"/>
        <v>1</v>
      </c>
      <c r="K196" s="5">
        <f t="shared" si="11"/>
        <v>4.333333333333333</v>
      </c>
      <c r="L196" s="2">
        <v>5324500</v>
      </c>
      <c r="M196" s="2">
        <v>3480000</v>
      </c>
      <c r="N196" s="6">
        <f t="shared" si="12"/>
        <v>1</v>
      </c>
      <c r="O196" s="9">
        <f t="shared" si="13"/>
        <v>0.65358249600901497</v>
      </c>
      <c r="P196" s="10">
        <v>3</v>
      </c>
      <c r="Q196" s="1">
        <f t="shared" si="14"/>
        <v>1</v>
      </c>
      <c r="R196" s="10">
        <v>3</v>
      </c>
      <c r="S196" s="10">
        <v>3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11</v>
      </c>
      <c r="J197" s="1">
        <f t="shared" si="10"/>
        <v>1</v>
      </c>
      <c r="K197" s="5">
        <f t="shared" si="11"/>
        <v>1.375</v>
      </c>
      <c r="L197" s="2">
        <v>5390500</v>
      </c>
      <c r="M197" s="2">
        <v>1352000</v>
      </c>
      <c r="N197" s="6">
        <f t="shared" si="12"/>
        <v>1</v>
      </c>
      <c r="O197" s="9">
        <f t="shared" si="13"/>
        <v>0.25081161302291066</v>
      </c>
      <c r="P197" s="10">
        <v>7</v>
      </c>
      <c r="Q197" s="1">
        <f t="shared" si="14"/>
        <v>1</v>
      </c>
      <c r="R197" s="10">
        <v>5</v>
      </c>
      <c r="S197" s="10">
        <v>7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11</v>
      </c>
      <c r="J198" s="1">
        <f t="shared" ref="J198:J261" si="15">IF(I198&gt;=3,1,0)</f>
        <v>1</v>
      </c>
      <c r="K198" s="5">
        <f t="shared" ref="K198:K261" si="16">I198/H198</f>
        <v>3.6666666666666665</v>
      </c>
      <c r="L198" s="2">
        <v>1690000</v>
      </c>
      <c r="M198" s="2">
        <v>1431000</v>
      </c>
      <c r="N198" s="6">
        <f t="shared" ref="N198:N261" si="17">IF(M198&gt;=300000,1,0)</f>
        <v>1</v>
      </c>
      <c r="O198" s="9">
        <f t="shared" ref="O198:O261" si="18">M198/L198</f>
        <v>0.84674556213017749</v>
      </c>
      <c r="P198" s="10">
        <v>3</v>
      </c>
      <c r="Q198" s="1">
        <f t="shared" ref="Q198:Q261" si="19">IF(P198&gt;=3,1,0)</f>
        <v>1</v>
      </c>
      <c r="R198" s="10">
        <v>3</v>
      </c>
      <c r="S198" s="10">
        <v>3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8</v>
      </c>
      <c r="J199" s="1">
        <f t="shared" si="15"/>
        <v>1</v>
      </c>
      <c r="K199" s="5">
        <f t="shared" si="16"/>
        <v>2.6666666666666665</v>
      </c>
      <c r="L199" s="2">
        <v>1392000</v>
      </c>
      <c r="M199" s="2">
        <v>1087000</v>
      </c>
      <c r="N199" s="6">
        <f t="shared" si="17"/>
        <v>1</v>
      </c>
      <c r="O199" s="9">
        <f t="shared" si="18"/>
        <v>0.7808908045977011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5</v>
      </c>
      <c r="Q200" s="1">
        <f t="shared" si="19"/>
        <v>1</v>
      </c>
      <c r="R200" s="10">
        <v>5</v>
      </c>
      <c r="S200" s="10">
        <v>5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7844200</v>
      </c>
      <c r="N203" s="6">
        <f t="shared" si="17"/>
        <v>1</v>
      </c>
      <c r="O203" s="9">
        <f t="shared" si="18"/>
        <v>0.69726222222222223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6</v>
      </c>
      <c r="J204" s="1">
        <f t="shared" si="15"/>
        <v>1</v>
      </c>
      <c r="K204" s="5">
        <f t="shared" si="16"/>
        <v>0.33333333333333331</v>
      </c>
      <c r="L204" s="2">
        <v>1335000</v>
      </c>
      <c r="M204" s="2">
        <v>6981000</v>
      </c>
      <c r="N204" s="6">
        <f t="shared" si="17"/>
        <v>1</v>
      </c>
      <c r="O204" s="9">
        <f t="shared" si="18"/>
        <v>5.2292134831460677</v>
      </c>
      <c r="P204" s="10">
        <v>7</v>
      </c>
      <c r="Q204" s="1">
        <f t="shared" si="19"/>
        <v>1</v>
      </c>
      <c r="R204" s="10">
        <v>21</v>
      </c>
      <c r="S204" s="10">
        <v>7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3</v>
      </c>
      <c r="J205" s="1">
        <f t="shared" si="15"/>
        <v>1</v>
      </c>
      <c r="K205" s="5">
        <f t="shared" si="16"/>
        <v>0.375</v>
      </c>
      <c r="L205" s="2">
        <v>14690000</v>
      </c>
      <c r="M205" s="2">
        <v>392000</v>
      </c>
      <c r="N205" s="6">
        <f t="shared" si="17"/>
        <v>1</v>
      </c>
      <c r="O205" s="9">
        <f t="shared" si="18"/>
        <v>2.6684819605173587E-2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3</v>
      </c>
      <c r="J206" s="1">
        <f t="shared" si="15"/>
        <v>1</v>
      </c>
      <c r="K206" s="5">
        <f t="shared" si="16"/>
        <v>1</v>
      </c>
      <c r="L206" s="2">
        <v>1390000</v>
      </c>
      <c r="M206" s="2">
        <v>537000</v>
      </c>
      <c r="N206" s="6">
        <f t="shared" si="17"/>
        <v>1</v>
      </c>
      <c r="O206" s="9">
        <f t="shared" si="18"/>
        <v>0.38633093525179857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6</v>
      </c>
      <c r="J207" s="1">
        <f t="shared" si="15"/>
        <v>1</v>
      </c>
      <c r="K207" s="5">
        <f t="shared" si="16"/>
        <v>0.8571428571428571</v>
      </c>
      <c r="L207" s="2">
        <v>1792000</v>
      </c>
      <c r="M207" s="2">
        <v>1161000</v>
      </c>
      <c r="N207" s="6">
        <f t="shared" si="17"/>
        <v>1</v>
      </c>
      <c r="O207" s="9">
        <f t="shared" si="18"/>
        <v>0.6478794642857143</v>
      </c>
      <c r="P207" s="10">
        <v>3</v>
      </c>
      <c r="Q207" s="1">
        <f t="shared" si="19"/>
        <v>1</v>
      </c>
      <c r="R207" s="10">
        <v>7</v>
      </c>
      <c r="S207" s="10">
        <v>3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10</v>
      </c>
      <c r="J208" s="1">
        <f t="shared" si="15"/>
        <v>1</v>
      </c>
      <c r="K208" s="5">
        <f t="shared" si="16"/>
        <v>1.4285714285714286</v>
      </c>
      <c r="L208" s="2">
        <v>1771000</v>
      </c>
      <c r="M208" s="2">
        <v>1230000</v>
      </c>
      <c r="N208" s="6">
        <f t="shared" si="17"/>
        <v>1</v>
      </c>
      <c r="O208" s="9">
        <f t="shared" si="18"/>
        <v>0.69452286843591193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11</v>
      </c>
      <c r="J209" s="1">
        <f t="shared" si="15"/>
        <v>1</v>
      </c>
      <c r="K209" s="5">
        <f t="shared" si="16"/>
        <v>3.6666666666666665</v>
      </c>
      <c r="L209" s="2">
        <v>1555000</v>
      </c>
      <c r="M209" s="2">
        <v>894000</v>
      </c>
      <c r="N209" s="6">
        <f t="shared" si="17"/>
        <v>1</v>
      </c>
      <c r="O209" s="9">
        <f t="shared" si="18"/>
        <v>0.57491961414790993</v>
      </c>
      <c r="P209" s="10">
        <v>3</v>
      </c>
      <c r="Q209" s="1">
        <f t="shared" si="19"/>
        <v>1</v>
      </c>
      <c r="R209" s="10">
        <v>3</v>
      </c>
      <c r="S209" s="10">
        <v>3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8</v>
      </c>
      <c r="J210" s="1">
        <f t="shared" si="15"/>
        <v>1</v>
      </c>
      <c r="K210" s="5">
        <f t="shared" si="16"/>
        <v>2.6666666666666665</v>
      </c>
      <c r="L210" s="2">
        <v>1558000</v>
      </c>
      <c r="M210" s="2">
        <v>840000</v>
      </c>
      <c r="N210" s="6">
        <f t="shared" si="17"/>
        <v>1</v>
      </c>
      <c r="O210" s="9">
        <f t="shared" si="18"/>
        <v>0.53915275994865208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11</v>
      </c>
      <c r="J211" s="1">
        <f t="shared" si="15"/>
        <v>1</v>
      </c>
      <c r="K211" s="5">
        <f t="shared" si="16"/>
        <v>1.5714285714285714</v>
      </c>
      <c r="L211" s="2">
        <v>3181000</v>
      </c>
      <c r="M211" s="2">
        <v>1632000</v>
      </c>
      <c r="N211" s="6">
        <f t="shared" si="17"/>
        <v>1</v>
      </c>
      <c r="O211" s="9">
        <f t="shared" si="18"/>
        <v>0.51304621188305566</v>
      </c>
      <c r="P211" s="10">
        <v>5</v>
      </c>
      <c r="Q211" s="1">
        <f t="shared" si="19"/>
        <v>1</v>
      </c>
      <c r="R211" s="10">
        <v>4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6</v>
      </c>
      <c r="J212" s="1">
        <f t="shared" si="15"/>
        <v>1</v>
      </c>
      <c r="K212" s="5">
        <f t="shared" si="16"/>
        <v>2</v>
      </c>
      <c r="L212" s="2">
        <v>1571000</v>
      </c>
      <c r="M212" s="2">
        <v>1342000</v>
      </c>
      <c r="N212" s="6">
        <f t="shared" si="17"/>
        <v>1</v>
      </c>
      <c r="O212" s="9">
        <f t="shared" si="18"/>
        <v>0.85423297262889875</v>
      </c>
      <c r="P212" s="10">
        <v>3</v>
      </c>
      <c r="Q212" s="1">
        <f t="shared" si="19"/>
        <v>1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8</v>
      </c>
      <c r="J213" s="4">
        <f t="shared" si="15"/>
        <v>1</v>
      </c>
      <c r="K213" s="5">
        <f t="shared" si="16"/>
        <v>1.3333333333333333</v>
      </c>
      <c r="L213" s="2">
        <v>15607000</v>
      </c>
      <c r="M213" s="2">
        <v>7221000</v>
      </c>
      <c r="N213" s="6">
        <f t="shared" si="17"/>
        <v>1</v>
      </c>
      <c r="O213" s="9">
        <f t="shared" si="18"/>
        <v>0.46267700390850258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3</v>
      </c>
      <c r="Q214" s="1">
        <f t="shared" si="19"/>
        <v>1</v>
      </c>
      <c r="R214" s="10">
        <v>3</v>
      </c>
      <c r="S214" s="10">
        <v>3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6</v>
      </c>
      <c r="J215" s="4">
        <f t="shared" si="15"/>
        <v>1</v>
      </c>
      <c r="K215" s="5">
        <f t="shared" si="16"/>
        <v>0.75</v>
      </c>
      <c r="L215" s="2">
        <v>1992000</v>
      </c>
      <c r="M215" s="2">
        <v>1616000</v>
      </c>
      <c r="N215" s="6">
        <f t="shared" si="17"/>
        <v>1</v>
      </c>
      <c r="O215" s="9">
        <f t="shared" si="18"/>
        <v>0.8112449799196787</v>
      </c>
      <c r="P215" s="10">
        <v>8</v>
      </c>
      <c r="Q215" s="1">
        <f t="shared" si="19"/>
        <v>1</v>
      </c>
      <c r="R215" s="10">
        <v>8</v>
      </c>
      <c r="S215" s="10">
        <v>8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11</v>
      </c>
      <c r="J216" s="1">
        <f t="shared" si="15"/>
        <v>1</v>
      </c>
      <c r="K216" s="5">
        <f t="shared" si="16"/>
        <v>3.6666666666666665</v>
      </c>
      <c r="L216" s="2">
        <v>2538000</v>
      </c>
      <c r="M216" s="2">
        <v>3108000</v>
      </c>
      <c r="N216" s="6">
        <f t="shared" si="17"/>
        <v>1</v>
      </c>
      <c r="O216" s="9">
        <f t="shared" si="18"/>
        <v>1.2245862884160756</v>
      </c>
      <c r="P216" s="10">
        <v>3</v>
      </c>
      <c r="Q216" s="1">
        <f t="shared" si="19"/>
        <v>1</v>
      </c>
      <c r="R216" s="10">
        <v>3</v>
      </c>
      <c r="S216" s="10">
        <v>3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16</v>
      </c>
      <c r="J217" s="4">
        <f t="shared" si="15"/>
        <v>1</v>
      </c>
      <c r="K217" s="5">
        <f t="shared" si="16"/>
        <v>5.333333333333333</v>
      </c>
      <c r="L217" s="2">
        <v>2198000</v>
      </c>
      <c r="M217" s="2">
        <v>1182000</v>
      </c>
      <c r="N217" s="6">
        <f t="shared" si="17"/>
        <v>1</v>
      </c>
      <c r="O217" s="9">
        <f t="shared" si="18"/>
        <v>0.53776160145586893</v>
      </c>
      <c r="P217" s="10">
        <v>3</v>
      </c>
      <c r="Q217" s="1">
        <f t="shared" si="19"/>
        <v>1</v>
      </c>
      <c r="R217" s="10">
        <v>3</v>
      </c>
      <c r="S217" s="10">
        <v>3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11</v>
      </c>
      <c r="J218" s="1">
        <f t="shared" si="15"/>
        <v>1</v>
      </c>
      <c r="K218" s="5">
        <f t="shared" si="16"/>
        <v>3.6666666666666665</v>
      </c>
      <c r="L218" s="2">
        <v>1728000</v>
      </c>
      <c r="M218" s="2">
        <v>2160000</v>
      </c>
      <c r="N218" s="6">
        <f t="shared" si="17"/>
        <v>1</v>
      </c>
      <c r="O218" s="9">
        <f t="shared" si="18"/>
        <v>1.25</v>
      </c>
      <c r="P218" s="10">
        <v>3</v>
      </c>
      <c r="Q218" s="1">
        <f t="shared" si="19"/>
        <v>1</v>
      </c>
      <c r="R218" s="10">
        <v>3</v>
      </c>
      <c r="S218" s="10">
        <v>3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11</v>
      </c>
      <c r="J219" s="1">
        <f t="shared" si="15"/>
        <v>1</v>
      </c>
      <c r="K219" s="5">
        <f t="shared" si="16"/>
        <v>3.6666666666666665</v>
      </c>
      <c r="L219" s="2">
        <v>2873000</v>
      </c>
      <c r="M219" s="2">
        <v>3588000</v>
      </c>
      <c r="N219" s="6">
        <f t="shared" si="17"/>
        <v>1</v>
      </c>
      <c r="O219" s="9">
        <f t="shared" si="18"/>
        <v>1.248868778280543</v>
      </c>
      <c r="P219" s="10">
        <v>3</v>
      </c>
      <c r="Q219" s="1">
        <f t="shared" si="19"/>
        <v>1</v>
      </c>
      <c r="R219" s="10">
        <v>3</v>
      </c>
      <c r="S219" s="10">
        <v>3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3</v>
      </c>
      <c r="J220" s="4">
        <f t="shared" si="15"/>
        <v>1</v>
      </c>
      <c r="K220" s="5">
        <f t="shared" si="16"/>
        <v>1</v>
      </c>
      <c r="L220" s="2">
        <v>1890000</v>
      </c>
      <c r="M220" s="2">
        <v>692000</v>
      </c>
      <c r="N220" s="6">
        <f t="shared" si="17"/>
        <v>1</v>
      </c>
      <c r="O220" s="9">
        <f t="shared" si="18"/>
        <v>0.36613756613756615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16</v>
      </c>
      <c r="J221" s="1">
        <f t="shared" si="15"/>
        <v>1</v>
      </c>
      <c r="K221" s="5">
        <f t="shared" si="16"/>
        <v>5.333333333333333</v>
      </c>
      <c r="L221" s="2">
        <v>5017500</v>
      </c>
      <c r="M221" s="2">
        <v>3836000</v>
      </c>
      <c r="N221" s="6">
        <f t="shared" si="17"/>
        <v>1</v>
      </c>
      <c r="O221" s="9">
        <f t="shared" si="18"/>
        <v>0.76452416542102641</v>
      </c>
      <c r="P221" s="10">
        <v>31</v>
      </c>
      <c r="Q221" s="1">
        <f t="shared" si="19"/>
        <v>1</v>
      </c>
      <c r="R221" s="10">
        <v>32</v>
      </c>
      <c r="S221" s="10">
        <v>31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5654000</v>
      </c>
      <c r="N222" s="6">
        <f t="shared" si="17"/>
        <v>1</v>
      </c>
      <c r="O222" s="9">
        <f t="shared" si="18"/>
        <v>0.29594347029573409</v>
      </c>
      <c r="P222" s="10">
        <v>8</v>
      </c>
      <c r="Q222" s="1">
        <f t="shared" si="19"/>
        <v>1</v>
      </c>
      <c r="R222" s="10">
        <v>3</v>
      </c>
      <c r="S222" s="10">
        <v>8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6</v>
      </c>
      <c r="J223" s="1">
        <f t="shared" si="15"/>
        <v>1</v>
      </c>
      <c r="K223" s="5">
        <f t="shared" si="16"/>
        <v>1.5</v>
      </c>
      <c r="L223" s="2">
        <v>3961000</v>
      </c>
      <c r="M223" s="2">
        <v>2259000</v>
      </c>
      <c r="N223" s="6">
        <f t="shared" si="17"/>
        <v>1</v>
      </c>
      <c r="O223" s="9">
        <f t="shared" si="18"/>
        <v>0.57031052764453416</v>
      </c>
      <c r="P223" s="10">
        <v>5</v>
      </c>
      <c r="Q223" s="1">
        <f t="shared" si="19"/>
        <v>1</v>
      </c>
      <c r="R223" s="10">
        <v>3</v>
      </c>
      <c r="S223" s="10">
        <v>5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811000</v>
      </c>
      <c r="N224" s="6">
        <f t="shared" si="17"/>
        <v>1</v>
      </c>
      <c r="O224" s="9">
        <f t="shared" si="18"/>
        <v>0.35414847161572055</v>
      </c>
      <c r="P224" s="10">
        <v>3</v>
      </c>
      <c r="Q224" s="1">
        <f t="shared" si="19"/>
        <v>1</v>
      </c>
      <c r="R224" s="10">
        <v>7</v>
      </c>
      <c r="S224" s="10">
        <v>3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3030000</v>
      </c>
      <c r="N225" s="6">
        <f t="shared" si="17"/>
        <v>1</v>
      </c>
      <c r="O225" s="9">
        <f t="shared" si="18"/>
        <v>0.58207664969743544</v>
      </c>
      <c r="P225" s="10">
        <v>3</v>
      </c>
      <c r="Q225" s="1">
        <f t="shared" si="19"/>
        <v>1</v>
      </c>
      <c r="R225" s="10">
        <v>17</v>
      </c>
      <c r="S225" s="10">
        <v>3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13</v>
      </c>
      <c r="J227" s="1">
        <f t="shared" si="15"/>
        <v>1</v>
      </c>
      <c r="K227" s="5">
        <f t="shared" si="16"/>
        <v>4.333333333333333</v>
      </c>
      <c r="L227" s="2">
        <v>3211000</v>
      </c>
      <c r="M227" s="2">
        <v>2567000</v>
      </c>
      <c r="N227" s="6">
        <f t="shared" si="17"/>
        <v>1</v>
      </c>
      <c r="O227" s="9">
        <f t="shared" si="18"/>
        <v>0.79943942696979131</v>
      </c>
      <c r="P227" s="10">
        <v>5</v>
      </c>
      <c r="Q227" s="1">
        <f t="shared" si="19"/>
        <v>1</v>
      </c>
      <c r="R227" s="10">
        <v>8</v>
      </c>
      <c r="S227" s="10">
        <v>5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13</v>
      </c>
      <c r="J228" s="1">
        <f t="shared" si="15"/>
        <v>1</v>
      </c>
      <c r="K228" s="5">
        <f t="shared" si="16"/>
        <v>3.25</v>
      </c>
      <c r="L228" s="2">
        <v>3865000</v>
      </c>
      <c r="M228" s="2">
        <v>4060000</v>
      </c>
      <c r="N228" s="6">
        <f t="shared" si="17"/>
        <v>1</v>
      </c>
      <c r="O228" s="9">
        <f t="shared" si="18"/>
        <v>1.0504527813712807</v>
      </c>
      <c r="P228" s="10">
        <v>5</v>
      </c>
      <c r="Q228" s="1">
        <f t="shared" si="19"/>
        <v>1</v>
      </c>
      <c r="R228" s="10">
        <v>3</v>
      </c>
      <c r="S228" s="10">
        <v>5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6</v>
      </c>
      <c r="J229" s="1">
        <f t="shared" si="15"/>
        <v>1</v>
      </c>
      <c r="K229" s="5">
        <f t="shared" si="16"/>
        <v>2</v>
      </c>
      <c r="L229" s="2">
        <v>1805000</v>
      </c>
      <c r="M229" s="2">
        <v>1174000</v>
      </c>
      <c r="N229" s="6">
        <f t="shared" si="17"/>
        <v>1</v>
      </c>
      <c r="O229" s="9">
        <f t="shared" si="18"/>
        <v>0.65041551246537399</v>
      </c>
      <c r="P229" s="10">
        <v>3</v>
      </c>
      <c r="Q229" s="1">
        <f t="shared" si="19"/>
        <v>1</v>
      </c>
      <c r="R229" s="10">
        <v>3</v>
      </c>
      <c r="S229" s="10">
        <v>3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15225000</v>
      </c>
      <c r="N230" s="6">
        <f t="shared" si="17"/>
        <v>1</v>
      </c>
      <c r="O230" s="9">
        <f t="shared" si="18"/>
        <v>0.8123032598836899</v>
      </c>
      <c r="P230" s="10">
        <v>11</v>
      </c>
      <c r="Q230" s="1">
        <f t="shared" si="19"/>
        <v>1</v>
      </c>
      <c r="R230" s="10">
        <v>19</v>
      </c>
      <c r="S230" s="10">
        <v>11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656000</v>
      </c>
      <c r="N231" s="6">
        <f t="shared" si="17"/>
        <v>1</v>
      </c>
      <c r="O231" s="9">
        <f t="shared" si="18"/>
        <v>0.39781685870224376</v>
      </c>
      <c r="P231" s="10">
        <v>59</v>
      </c>
      <c r="Q231" s="1">
        <f t="shared" si="19"/>
        <v>1</v>
      </c>
      <c r="R231" s="10">
        <v>8</v>
      </c>
      <c r="S231" s="10">
        <v>59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1737000</v>
      </c>
      <c r="N232" s="6">
        <f t="shared" si="17"/>
        <v>1</v>
      </c>
      <c r="O232" s="9">
        <f t="shared" si="18"/>
        <v>0.45710526315789474</v>
      </c>
      <c r="P232" s="10">
        <v>4</v>
      </c>
      <c r="Q232" s="1">
        <f t="shared" si="19"/>
        <v>1</v>
      </c>
      <c r="R232" s="10">
        <v>10</v>
      </c>
      <c r="S232" s="10">
        <v>5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9326000</v>
      </c>
      <c r="N233" s="6">
        <f t="shared" si="17"/>
        <v>1</v>
      </c>
      <c r="O233" s="9">
        <f t="shared" si="18"/>
        <v>0.47933799342105265</v>
      </c>
      <c r="P233" s="10">
        <v>15</v>
      </c>
      <c r="Q233" s="1">
        <f t="shared" si="19"/>
        <v>1</v>
      </c>
      <c r="R233" s="10">
        <v>33</v>
      </c>
      <c r="S233" s="10">
        <v>15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1850000</v>
      </c>
      <c r="N234" s="6">
        <f t="shared" si="17"/>
        <v>1</v>
      </c>
      <c r="O234" s="9">
        <f t="shared" si="18"/>
        <v>0.69340329835082459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6541000</v>
      </c>
      <c r="N235" s="6">
        <f t="shared" si="17"/>
        <v>1</v>
      </c>
      <c r="O235" s="9">
        <f t="shared" si="18"/>
        <v>1.1358860814448206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2250000</v>
      </c>
      <c r="N236" s="6">
        <f t="shared" si="17"/>
        <v>1</v>
      </c>
      <c r="O236" s="9">
        <f t="shared" si="18"/>
        <v>0.37027894347074797</v>
      </c>
      <c r="P236" s="10">
        <v>6</v>
      </c>
      <c r="Q236" s="1">
        <f t="shared" si="19"/>
        <v>1</v>
      </c>
      <c r="R236" s="10">
        <v>10</v>
      </c>
      <c r="S236" s="10">
        <v>6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788000</v>
      </c>
      <c r="N237" s="6">
        <f t="shared" si="17"/>
        <v>1</v>
      </c>
      <c r="O237" s="9">
        <f t="shared" si="18"/>
        <v>0.46054938632378728</v>
      </c>
      <c r="P237" s="10">
        <v>7</v>
      </c>
      <c r="Q237" s="1">
        <f t="shared" si="19"/>
        <v>1</v>
      </c>
      <c r="R237" s="10">
        <v>8</v>
      </c>
      <c r="S237" s="10">
        <v>7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722000</v>
      </c>
      <c r="N238" s="6">
        <f t="shared" si="17"/>
        <v>1</v>
      </c>
      <c r="O238" s="9">
        <f t="shared" si="18"/>
        <v>0.49724517906336091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4126000</v>
      </c>
      <c r="N239" s="6">
        <f t="shared" si="17"/>
        <v>1</v>
      </c>
      <c r="O239" s="9">
        <f t="shared" si="18"/>
        <v>3.1139622641509432</v>
      </c>
      <c r="P239" s="10">
        <v>9</v>
      </c>
      <c r="Q239" s="1">
        <f t="shared" si="19"/>
        <v>1</v>
      </c>
      <c r="R239" s="10">
        <v>3</v>
      </c>
      <c r="S239" s="10">
        <v>10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1022000</v>
      </c>
      <c r="N240" s="6">
        <f t="shared" si="17"/>
        <v>1</v>
      </c>
      <c r="O240" s="9">
        <f t="shared" si="18"/>
        <v>0.45181255526083114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4036000</v>
      </c>
      <c r="N241" s="6">
        <f t="shared" si="17"/>
        <v>1</v>
      </c>
      <c r="O241" s="9">
        <f t="shared" si="18"/>
        <v>1.5613152804642165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656000</v>
      </c>
      <c r="N242" s="6">
        <f t="shared" si="17"/>
        <v>1</v>
      </c>
      <c r="O242" s="9">
        <f t="shared" si="18"/>
        <v>0.37593123209169055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800000</v>
      </c>
      <c r="N243" s="6">
        <f t="shared" si="17"/>
        <v>1</v>
      </c>
      <c r="O243" s="9">
        <f t="shared" si="18"/>
        <v>0.28308563340410475</v>
      </c>
      <c r="P243" s="10">
        <v>55</v>
      </c>
      <c r="Q243" s="1">
        <f t="shared" si="19"/>
        <v>1</v>
      </c>
      <c r="R243" s="10">
        <v>56</v>
      </c>
      <c r="S243" s="10">
        <v>67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1542000</v>
      </c>
      <c r="N244" s="6">
        <f t="shared" si="17"/>
        <v>1</v>
      </c>
      <c r="O244" s="9">
        <f t="shared" si="18"/>
        <v>0.13190761334473911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4716000</v>
      </c>
      <c r="N245" s="6">
        <f t="shared" si="17"/>
        <v>1</v>
      </c>
      <c r="O245" s="9">
        <f t="shared" si="18"/>
        <v>1.0041520281060363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4981000</v>
      </c>
      <c r="N246" s="6">
        <f t="shared" si="17"/>
        <v>1</v>
      </c>
      <c r="O246" s="9">
        <f t="shared" si="18"/>
        <v>0.71839619239922115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8584000</v>
      </c>
      <c r="N247" s="6">
        <f t="shared" si="17"/>
        <v>1</v>
      </c>
      <c r="O247" s="9">
        <f t="shared" si="18"/>
        <v>2.5816541353383458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1443500</v>
      </c>
      <c r="N248" s="6">
        <f t="shared" si="17"/>
        <v>1</v>
      </c>
      <c r="O248" s="9">
        <f t="shared" si="18"/>
        <v>0.32203011712214163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3874500</v>
      </c>
      <c r="N249" s="6">
        <f t="shared" si="17"/>
        <v>1</v>
      </c>
      <c r="O249" s="9">
        <f t="shared" si="18"/>
        <v>0.50406556950497627</v>
      </c>
      <c r="P249" s="10">
        <v>12</v>
      </c>
      <c r="Q249" s="1">
        <f t="shared" si="19"/>
        <v>1</v>
      </c>
      <c r="R249" s="10">
        <v>19</v>
      </c>
      <c r="S249" s="10">
        <v>13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5227500</v>
      </c>
      <c r="N250" s="6">
        <f t="shared" si="17"/>
        <v>1</v>
      </c>
      <c r="O250" s="9">
        <f t="shared" si="18"/>
        <v>0.84738207164856538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43</v>
      </c>
      <c r="J251" s="4">
        <f t="shared" si="15"/>
        <v>1</v>
      </c>
      <c r="K251" s="5">
        <f t="shared" si="16"/>
        <v>14.333333333333334</v>
      </c>
      <c r="L251" s="2">
        <v>6035000</v>
      </c>
      <c r="M251" s="2">
        <v>10238000</v>
      </c>
      <c r="N251" s="6">
        <f t="shared" si="17"/>
        <v>1</v>
      </c>
      <c r="O251" s="9">
        <f t="shared" si="18"/>
        <v>1.6964374482187241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5514500</v>
      </c>
      <c r="N252" s="6">
        <f t="shared" si="17"/>
        <v>1</v>
      </c>
      <c r="O252" s="9">
        <f t="shared" si="18"/>
        <v>1.3179971319311663</v>
      </c>
      <c r="P252" s="10">
        <v>2</v>
      </c>
      <c r="Q252" s="1">
        <f t="shared" si="19"/>
        <v>0</v>
      </c>
      <c r="R252" s="10">
        <v>4</v>
      </c>
      <c r="S252" s="10">
        <v>2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6351000</v>
      </c>
      <c r="N255" s="6">
        <f t="shared" si="17"/>
        <v>1</v>
      </c>
      <c r="O255" s="9">
        <f t="shared" si="18"/>
        <v>0.67036098796706778</v>
      </c>
      <c r="P255" s="10">
        <v>4</v>
      </c>
      <c r="Q255" s="1">
        <f t="shared" si="19"/>
        <v>1</v>
      </c>
      <c r="R255" s="10">
        <v>3</v>
      </c>
      <c r="S255" s="10">
        <v>4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5539200</v>
      </c>
      <c r="N256" s="6">
        <f t="shared" si="17"/>
        <v>1</v>
      </c>
      <c r="O256" s="9">
        <f t="shared" si="18"/>
        <v>0.55924400290768117</v>
      </c>
      <c r="P256" s="10">
        <v>7</v>
      </c>
      <c r="Q256" s="1">
        <f t="shared" si="19"/>
        <v>1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2</v>
      </c>
      <c r="Q257" s="1">
        <f t="shared" si="19"/>
        <v>0</v>
      </c>
      <c r="R257" s="10">
        <v>3</v>
      </c>
      <c r="S257" s="10">
        <v>2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5337000</v>
      </c>
      <c r="N258" s="6">
        <f t="shared" si="17"/>
        <v>1</v>
      </c>
      <c r="O258" s="9">
        <f t="shared" si="18"/>
        <v>1.1719367588932805</v>
      </c>
      <c r="P258" s="10">
        <v>3</v>
      </c>
      <c r="Q258" s="1">
        <f t="shared" si="19"/>
        <v>1</v>
      </c>
      <c r="R258" s="10">
        <v>62</v>
      </c>
      <c r="S258" s="10">
        <v>4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3704000</v>
      </c>
      <c r="N259" s="6">
        <f t="shared" si="17"/>
        <v>1</v>
      </c>
      <c r="O259" s="9">
        <f t="shared" si="18"/>
        <v>0.85621821544151644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925200</v>
      </c>
      <c r="N261" s="6">
        <f t="shared" si="17"/>
        <v>1</v>
      </c>
      <c r="O261" s="9">
        <f t="shared" si="18"/>
        <v>0.4938087105038429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11</v>
      </c>
      <c r="J262" s="1">
        <f t="shared" ref="J262:J315" si="20">IF(I262&gt;=3,1,0)</f>
        <v>1</v>
      </c>
      <c r="K262" s="5">
        <f t="shared" ref="K262:K315" si="21">I262/H262</f>
        <v>3.6666666666666665</v>
      </c>
      <c r="L262" s="2">
        <v>1840000</v>
      </c>
      <c r="M262" s="2">
        <v>1557600</v>
      </c>
      <c r="N262" s="6">
        <f t="shared" ref="N262:N315" si="22">IF(M262&gt;=300000,1,0)</f>
        <v>1</v>
      </c>
      <c r="O262" s="9">
        <f t="shared" ref="O262:O315" si="23">M262/L262</f>
        <v>0.84652173913043482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932400</v>
      </c>
      <c r="N263" s="6">
        <f t="shared" si="22"/>
        <v>1</v>
      </c>
      <c r="O263" s="9">
        <f t="shared" si="23"/>
        <v>0.50673913043478258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8</v>
      </c>
      <c r="J264" s="4">
        <f t="shared" si="20"/>
        <v>1</v>
      </c>
      <c r="K264" s="5">
        <f t="shared" si="21"/>
        <v>2.6666666666666665</v>
      </c>
      <c r="L264" s="2">
        <v>1820000</v>
      </c>
      <c r="M264" s="2">
        <v>1235100</v>
      </c>
      <c r="N264" s="6">
        <f t="shared" si="22"/>
        <v>1</v>
      </c>
      <c r="O264" s="9">
        <f t="shared" si="23"/>
        <v>0.67862637362637368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14</v>
      </c>
      <c r="J265" s="1">
        <f t="shared" si="20"/>
        <v>1</v>
      </c>
      <c r="K265" s="5">
        <f t="shared" si="21"/>
        <v>0.60869565217391308</v>
      </c>
      <c r="L265" s="2">
        <v>2549200</v>
      </c>
      <c r="M265" s="2">
        <v>2781100</v>
      </c>
      <c r="N265" s="6">
        <f t="shared" si="22"/>
        <v>1</v>
      </c>
      <c r="O265" s="9">
        <f t="shared" si="23"/>
        <v>1.0909697159893299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8</v>
      </c>
      <c r="J266" s="1">
        <f t="shared" si="20"/>
        <v>1</v>
      </c>
      <c r="K266" s="5">
        <f t="shared" si="21"/>
        <v>2.6666666666666665</v>
      </c>
      <c r="L266" s="2">
        <v>4785200</v>
      </c>
      <c r="M266" s="2">
        <v>2097000</v>
      </c>
      <c r="N266" s="6">
        <f t="shared" si="22"/>
        <v>1</v>
      </c>
      <c r="O266" s="9">
        <f t="shared" si="23"/>
        <v>0.43822619744211316</v>
      </c>
      <c r="P266" s="10">
        <v>1</v>
      </c>
      <c r="Q266" s="1">
        <f t="shared" si="24"/>
        <v>0</v>
      </c>
      <c r="R266" s="10">
        <v>3</v>
      </c>
      <c r="S266" s="10">
        <v>1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11</v>
      </c>
      <c r="J267" s="4">
        <f t="shared" si="20"/>
        <v>1</v>
      </c>
      <c r="K267" s="5">
        <f t="shared" si="21"/>
        <v>3.6666666666666665</v>
      </c>
      <c r="L267" s="2">
        <v>2918800</v>
      </c>
      <c r="M267" s="2">
        <v>2718400</v>
      </c>
      <c r="N267" s="6">
        <f t="shared" si="22"/>
        <v>1</v>
      </c>
      <c r="O267" s="9">
        <f t="shared" si="23"/>
        <v>0.93134164725229551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10</v>
      </c>
      <c r="J268" s="4">
        <f t="shared" si="20"/>
        <v>1</v>
      </c>
      <c r="K268" s="5">
        <f t="shared" si="21"/>
        <v>2.5</v>
      </c>
      <c r="L268" s="2">
        <v>10595000</v>
      </c>
      <c r="M268" s="2">
        <v>3395000</v>
      </c>
      <c r="N268" s="6">
        <f t="shared" si="22"/>
        <v>1</v>
      </c>
      <c r="O268" s="9">
        <f t="shared" si="23"/>
        <v>0.32043416705993394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10</v>
      </c>
      <c r="J269" s="1">
        <f t="shared" si="20"/>
        <v>1</v>
      </c>
      <c r="K269" s="5">
        <f t="shared" si="21"/>
        <v>3.3333333333333335</v>
      </c>
      <c r="L269" s="2">
        <v>6865000</v>
      </c>
      <c r="M269" s="2">
        <v>3995000</v>
      </c>
      <c r="N269" s="6">
        <f t="shared" si="22"/>
        <v>1</v>
      </c>
      <c r="O269" s="9">
        <f t="shared" si="23"/>
        <v>0.58193736343772762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10</v>
      </c>
      <c r="J271" s="4">
        <f t="shared" si="20"/>
        <v>1</v>
      </c>
      <c r="K271" s="5">
        <f t="shared" si="21"/>
        <v>3.3333333333333335</v>
      </c>
      <c r="L271" s="2">
        <v>17267500</v>
      </c>
      <c r="M271" s="2">
        <v>1440000</v>
      </c>
      <c r="N271" s="6">
        <f t="shared" si="22"/>
        <v>1</v>
      </c>
      <c r="O271" s="9">
        <f t="shared" si="23"/>
        <v>8.3393658607210083E-2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9354000</v>
      </c>
      <c r="N272" s="6">
        <f t="shared" si="22"/>
        <v>1</v>
      </c>
      <c r="O272" s="9">
        <f t="shared" si="23"/>
        <v>0.48085128257852261</v>
      </c>
      <c r="P272" s="10">
        <v>6</v>
      </c>
      <c r="Q272" s="1">
        <f t="shared" si="24"/>
        <v>1</v>
      </c>
      <c r="R272" s="10">
        <v>3</v>
      </c>
      <c r="S272" s="10">
        <v>8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23</v>
      </c>
      <c r="J273" s="4">
        <f t="shared" si="20"/>
        <v>1</v>
      </c>
      <c r="K273" s="5">
        <f t="shared" si="21"/>
        <v>3.8333333333333335</v>
      </c>
      <c r="L273" s="2">
        <v>9640000</v>
      </c>
      <c r="M273" s="2">
        <v>5858000</v>
      </c>
      <c r="N273" s="6">
        <f t="shared" si="22"/>
        <v>1</v>
      </c>
      <c r="O273" s="9">
        <f t="shared" si="23"/>
        <v>0.60767634854771779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13</v>
      </c>
      <c r="J274" s="1">
        <f t="shared" si="20"/>
        <v>1</v>
      </c>
      <c r="K274" s="5">
        <f t="shared" si="21"/>
        <v>4.333333333333333</v>
      </c>
      <c r="L274" s="2">
        <v>5819000</v>
      </c>
      <c r="M274" s="2">
        <v>5633000</v>
      </c>
      <c r="N274" s="6">
        <f t="shared" si="22"/>
        <v>1</v>
      </c>
      <c r="O274" s="9">
        <f t="shared" si="23"/>
        <v>0.96803574497336309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20</v>
      </c>
      <c r="J277" s="1">
        <f t="shared" si="20"/>
        <v>1</v>
      </c>
      <c r="K277" s="5">
        <f t="shared" si="21"/>
        <v>0.83333333333333337</v>
      </c>
      <c r="L277" s="2">
        <v>5654000</v>
      </c>
      <c r="M277" s="2">
        <v>904200</v>
      </c>
      <c r="N277" s="6">
        <f t="shared" si="22"/>
        <v>1</v>
      </c>
      <c r="O277" s="9">
        <f t="shared" si="23"/>
        <v>0.15992217898832684</v>
      </c>
      <c r="P277" s="10">
        <v>2</v>
      </c>
      <c r="Q277" s="1">
        <f t="shared" si="24"/>
        <v>0</v>
      </c>
      <c r="R277" s="10">
        <v>3</v>
      </c>
      <c r="S277" s="10">
        <v>3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20</v>
      </c>
      <c r="J278" s="1">
        <f t="shared" si="20"/>
        <v>1</v>
      </c>
      <c r="K278" s="5">
        <f t="shared" si="21"/>
        <v>1.5384615384615385</v>
      </c>
      <c r="L278" s="2">
        <v>4600000</v>
      </c>
      <c r="M278" s="2">
        <v>904200</v>
      </c>
      <c r="N278" s="6">
        <f t="shared" si="22"/>
        <v>1</v>
      </c>
      <c r="O278" s="9">
        <f t="shared" si="23"/>
        <v>0.19656521739130434</v>
      </c>
      <c r="P278" s="10">
        <v>10</v>
      </c>
      <c r="Q278" s="1">
        <f t="shared" si="24"/>
        <v>1</v>
      </c>
      <c r="R278" s="10">
        <v>5</v>
      </c>
      <c r="S278" s="10">
        <v>10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20</v>
      </c>
      <c r="J279" s="4">
        <f t="shared" si="20"/>
        <v>1</v>
      </c>
      <c r="K279" s="5">
        <f t="shared" si="21"/>
        <v>2.5</v>
      </c>
      <c r="L279" s="2">
        <v>6190000</v>
      </c>
      <c r="M279" s="2">
        <v>904200</v>
      </c>
      <c r="N279" s="6">
        <f t="shared" si="22"/>
        <v>1</v>
      </c>
      <c r="O279" s="9">
        <f t="shared" si="23"/>
        <v>0.14607431340872376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4022000</v>
      </c>
      <c r="N280" s="6">
        <f t="shared" si="22"/>
        <v>1</v>
      </c>
      <c r="O280" s="9">
        <f t="shared" si="23"/>
        <v>0.41013613419670625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4338000</v>
      </c>
      <c r="N284" s="6">
        <f t="shared" si="22"/>
        <v>1</v>
      </c>
      <c r="O284" s="9">
        <f t="shared" si="23"/>
        <v>0.8981366459627329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3241000</v>
      </c>
      <c r="N285" s="6">
        <f t="shared" si="22"/>
        <v>1</v>
      </c>
      <c r="O285" s="9">
        <f t="shared" si="23"/>
        <v>0.268895710611466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6779000</v>
      </c>
      <c r="N286" s="6">
        <f t="shared" si="22"/>
        <v>1</v>
      </c>
      <c r="O286" s="9">
        <f t="shared" si="23"/>
        <v>1.5034375693058328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6</v>
      </c>
      <c r="J288" s="4">
        <f t="shared" si="20"/>
        <v>1</v>
      </c>
      <c r="K288" s="5">
        <f t="shared" si="21"/>
        <v>1.5</v>
      </c>
      <c r="L288" s="2">
        <v>1790000</v>
      </c>
      <c r="M288" s="2">
        <v>1028000</v>
      </c>
      <c r="N288" s="6">
        <f t="shared" si="22"/>
        <v>1</v>
      </c>
      <c r="O288" s="9">
        <f t="shared" si="23"/>
        <v>0.57430167597765358</v>
      </c>
      <c r="P288" s="10">
        <v>5</v>
      </c>
      <c r="Q288" s="1">
        <f t="shared" si="24"/>
        <v>1</v>
      </c>
      <c r="R288" s="10">
        <v>4</v>
      </c>
      <c r="S288" s="10">
        <v>5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6</v>
      </c>
      <c r="J289" s="4">
        <f t="shared" si="20"/>
        <v>1</v>
      </c>
      <c r="K289" s="5">
        <f t="shared" si="21"/>
        <v>2</v>
      </c>
      <c r="L289" s="2">
        <v>3098000</v>
      </c>
      <c r="M289" s="2">
        <v>2172000</v>
      </c>
      <c r="N289" s="6">
        <f t="shared" si="22"/>
        <v>1</v>
      </c>
      <c r="O289" s="9">
        <f t="shared" si="23"/>
        <v>0.70109748224661073</v>
      </c>
      <c r="P289" s="10">
        <v>8</v>
      </c>
      <c r="Q289" s="1">
        <f t="shared" si="24"/>
        <v>1</v>
      </c>
      <c r="R289" s="10">
        <v>6</v>
      </c>
      <c r="S289" s="10">
        <v>8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6</v>
      </c>
      <c r="J290" s="1">
        <f t="shared" si="20"/>
        <v>1</v>
      </c>
      <c r="K290" s="5">
        <f t="shared" si="21"/>
        <v>0.75</v>
      </c>
      <c r="L290" s="2">
        <v>1535000</v>
      </c>
      <c r="M290" s="2">
        <v>1497000</v>
      </c>
      <c r="N290" s="6">
        <f t="shared" si="22"/>
        <v>1</v>
      </c>
      <c r="O290" s="9">
        <f t="shared" si="23"/>
        <v>0.97524429967426707</v>
      </c>
      <c r="P290" s="10">
        <v>9</v>
      </c>
      <c r="Q290" s="1">
        <f t="shared" si="24"/>
        <v>1</v>
      </c>
      <c r="R290" s="10">
        <v>5</v>
      </c>
      <c r="S290" s="10">
        <v>9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6</v>
      </c>
      <c r="J291" s="4">
        <f t="shared" si="20"/>
        <v>1</v>
      </c>
      <c r="K291" s="5">
        <f t="shared" si="21"/>
        <v>2</v>
      </c>
      <c r="L291" s="2">
        <v>2016000</v>
      </c>
      <c r="M291" s="2">
        <v>4226000</v>
      </c>
      <c r="N291" s="6">
        <f t="shared" si="22"/>
        <v>1</v>
      </c>
      <c r="O291" s="9">
        <f t="shared" si="23"/>
        <v>2.0962301587301586</v>
      </c>
      <c r="P291" s="10">
        <v>3</v>
      </c>
      <c r="Q291" s="1">
        <f t="shared" si="24"/>
        <v>1</v>
      </c>
      <c r="R291" s="10">
        <v>5</v>
      </c>
      <c r="S291" s="10">
        <v>3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23</v>
      </c>
      <c r="J295" s="1">
        <f t="shared" si="20"/>
        <v>1</v>
      </c>
      <c r="K295" s="5">
        <f t="shared" si="21"/>
        <v>7.666666666666667</v>
      </c>
      <c r="L295" s="2">
        <v>4765000</v>
      </c>
      <c r="M295" s="2">
        <v>4476000</v>
      </c>
      <c r="N295" s="6">
        <f t="shared" si="22"/>
        <v>1</v>
      </c>
      <c r="O295" s="9">
        <f t="shared" si="23"/>
        <v>0.93934942287513112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2</v>
      </c>
      <c r="Q297" s="1">
        <f t="shared" si="24"/>
        <v>0</v>
      </c>
      <c r="R297" s="10">
        <v>3</v>
      </c>
      <c r="S297" s="10">
        <v>2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3</v>
      </c>
      <c r="Q302" s="1">
        <f t="shared" si="24"/>
        <v>1</v>
      </c>
      <c r="R302" s="10">
        <v>3</v>
      </c>
      <c r="S302" s="10">
        <v>3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841000</v>
      </c>
      <c r="N305" s="6">
        <f t="shared" si="22"/>
        <v>1</v>
      </c>
      <c r="O305" s="9">
        <f t="shared" si="23"/>
        <v>0.50601684717208184</v>
      </c>
      <c r="P305" s="10">
        <v>16</v>
      </c>
      <c r="Q305" s="1">
        <f t="shared" si="24"/>
        <v>1</v>
      </c>
      <c r="R305" s="10">
        <v>20</v>
      </c>
      <c r="S305" s="10">
        <v>36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860000</v>
      </c>
      <c r="N306" s="6">
        <f t="shared" si="22"/>
        <v>1</v>
      </c>
      <c r="O306" s="9">
        <f t="shared" si="23"/>
        <v>0.51932367149758452</v>
      </c>
      <c r="P306" s="10">
        <v>7</v>
      </c>
      <c r="Q306" s="1">
        <f t="shared" si="24"/>
        <v>1</v>
      </c>
      <c r="R306" s="10">
        <v>15</v>
      </c>
      <c r="S306" s="10">
        <v>7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9</v>
      </c>
      <c r="J307" s="1">
        <f t="shared" si="20"/>
        <v>1</v>
      </c>
      <c r="K307" s="5">
        <f t="shared" si="21"/>
        <v>3</v>
      </c>
      <c r="L307" s="2">
        <v>2532000</v>
      </c>
      <c r="M307" s="2">
        <v>2548000</v>
      </c>
      <c r="N307" s="6">
        <f t="shared" si="22"/>
        <v>1</v>
      </c>
      <c r="O307" s="9">
        <f t="shared" si="23"/>
        <v>1.0063191153238547</v>
      </c>
      <c r="P307" s="10">
        <v>8</v>
      </c>
      <c r="Q307" s="1">
        <f t="shared" si="24"/>
        <v>1</v>
      </c>
      <c r="R307" s="10">
        <v>3</v>
      </c>
      <c r="S307" s="10">
        <v>8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9</v>
      </c>
      <c r="J308" s="1">
        <f t="shared" si="20"/>
        <v>1</v>
      </c>
      <c r="K308" s="5">
        <f t="shared" si="21"/>
        <v>3</v>
      </c>
      <c r="L308" s="2">
        <v>2457000</v>
      </c>
      <c r="M308" s="2">
        <v>1871000</v>
      </c>
      <c r="N308" s="6">
        <f t="shared" si="22"/>
        <v>1</v>
      </c>
      <c r="O308" s="9">
        <f t="shared" si="23"/>
        <v>0.76149776149776149</v>
      </c>
      <c r="P308" s="10">
        <v>6</v>
      </c>
      <c r="Q308" s="1">
        <f t="shared" si="24"/>
        <v>1</v>
      </c>
      <c r="R308" s="10">
        <v>3</v>
      </c>
      <c r="S308" s="10">
        <v>6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1935000</v>
      </c>
      <c r="N309" s="6">
        <f t="shared" si="22"/>
        <v>1</v>
      </c>
      <c r="O309" s="9">
        <f t="shared" si="23"/>
        <v>0.65995907230559347</v>
      </c>
      <c r="P309" s="10">
        <v>3</v>
      </c>
      <c r="Q309" s="1">
        <f t="shared" si="24"/>
        <v>1</v>
      </c>
      <c r="R309" s="10">
        <v>3</v>
      </c>
      <c r="S309" s="10">
        <v>3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745000</v>
      </c>
      <c r="N310" s="6">
        <f t="shared" si="22"/>
        <v>1</v>
      </c>
      <c r="O310" s="9">
        <f t="shared" si="23"/>
        <v>0.43541788427819988</v>
      </c>
      <c r="P310" s="10">
        <v>3</v>
      </c>
      <c r="Q310" s="1">
        <f t="shared" si="24"/>
        <v>1</v>
      </c>
      <c r="R310" s="10">
        <v>3</v>
      </c>
      <c r="S310" s="10">
        <v>3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8056000</v>
      </c>
      <c r="N311" s="6">
        <f t="shared" si="22"/>
        <v>1</v>
      </c>
      <c r="O311" s="9">
        <f t="shared" si="23"/>
        <v>0.79892894332325082</v>
      </c>
      <c r="P311" s="10">
        <v>5</v>
      </c>
      <c r="Q311" s="1">
        <f t="shared" si="24"/>
        <v>1</v>
      </c>
      <c r="R311" s="10">
        <v>5</v>
      </c>
      <c r="S311" s="10">
        <v>24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6</v>
      </c>
      <c r="J312" s="4">
        <f t="shared" si="20"/>
        <v>1</v>
      </c>
      <c r="K312" s="5">
        <f t="shared" si="21"/>
        <v>2</v>
      </c>
      <c r="L312" s="2">
        <v>12120600</v>
      </c>
      <c r="M312" s="2">
        <v>3225000</v>
      </c>
      <c r="N312" s="6">
        <f t="shared" si="22"/>
        <v>1</v>
      </c>
      <c r="O312" s="9">
        <f t="shared" si="23"/>
        <v>0.26607593683481018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2026-09-30T09:20:41Z</dcterms:modified>
</cp:coreProperties>
</file>