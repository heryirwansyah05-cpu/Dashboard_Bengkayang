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<sst xmlns="http://schemas.openxmlformats.org/spreadsheetml/2006/main" count="1920" uniqueCount="448">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</sst>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93" zoomScaleNormal="85" workbookViewId="0">
      <pane xSplit="3" ySplit="5" topLeftCell="S6" activePane="bottomRight" state="frozen"/>
      <selection pane="topRight" activeCell="D1" sqref="D1"/>
      <selection pane="bottomLeft" activeCell="A6" sqref="A6"/>
      <selection pane="bottomRight" activeCell="Q6" sqref="Q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1090000</v>
      </c>
      <c r="N15" s="6">
        <f t="shared" si="2"/>
        <v>1</v>
      </c>
      <c r="O15" s="9">
        <f t="shared" si="3"/>
        <v>0.436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1490000</v>
      </c>
      <c r="N16" s="6">
        <f t="shared" si="2"/>
        <v>1</v>
      </c>
      <c r="O16" s="9">
        <f t="shared" si="3"/>
        <v>0.46562500000000001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2090000</v>
      </c>
      <c r="N19" s="6">
        <f t="shared" si="2"/>
        <v>1</v>
      </c>
      <c r="O19" s="9">
        <f t="shared" si="3"/>
        <v>0.46444444444444444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5</v>
      </c>
      <c r="J22" s="1">
        <f t="shared" si="0"/>
        <v>1</v>
      </c>
      <c r="K22" s="5">
        <f t="shared" si="1"/>
        <v>1.6666666666666667</v>
      </c>
      <c r="L22" s="2">
        <v>4500000</v>
      </c>
      <c r="M22" s="2">
        <v>2150000</v>
      </c>
      <c r="N22" s="6">
        <f t="shared" si="2"/>
        <v>1</v>
      </c>
      <c r="O22" s="9">
        <f t="shared" si="3"/>
        <v>0.4777777777777778</v>
      </c>
      <c r="P22" s="10">
        <v>6</v>
      </c>
      <c r="Q22" s="1">
        <f t="shared" si="4"/>
        <v>1</v>
      </c>
      <c r="R22" s="10">
        <v>6</v>
      </c>
      <c r="S22" s="10">
        <v>7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3120000</v>
      </c>
      <c r="N28" s="6">
        <f t="shared" si="2"/>
        <v>1</v>
      </c>
      <c r="O28" s="9">
        <f t="shared" si="3"/>
        <v>1.7095890410958905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23</v>
      </c>
      <c r="J44" s="4">
        <f t="shared" si="0"/>
        <v>1</v>
      </c>
      <c r="K44" s="5">
        <f t="shared" si="1"/>
        <v>2.875</v>
      </c>
      <c r="L44" s="2">
        <v>5364000</v>
      </c>
      <c r="M44" s="2">
        <v>6016000</v>
      </c>
      <c r="N44" s="6">
        <f t="shared" si="2"/>
        <v>1</v>
      </c>
      <c r="O44" s="9">
        <f t="shared" si="3"/>
        <v>1.1215510812826248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5211000</v>
      </c>
      <c r="N45" s="6">
        <f t="shared" si="2"/>
        <v>1</v>
      </c>
      <c r="O45" s="9">
        <f t="shared" si="3"/>
        <v>1.2514409221902016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5211000</v>
      </c>
      <c r="N46" s="6">
        <f t="shared" si="2"/>
        <v>1</v>
      </c>
      <c r="O46" s="9">
        <f t="shared" si="3"/>
        <v>1.1455264893383161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10</v>
      </c>
      <c r="J47" s="1">
        <f t="shared" si="0"/>
        <v>1</v>
      </c>
      <c r="K47" s="5">
        <f t="shared" si="1"/>
        <v>1.6666666666666667</v>
      </c>
      <c r="L47" s="2">
        <v>5639500</v>
      </c>
      <c r="M47" s="2">
        <v>2515000</v>
      </c>
      <c r="N47" s="6">
        <f t="shared" si="2"/>
        <v>1</v>
      </c>
      <c r="O47" s="9">
        <f t="shared" si="3"/>
        <v>0.44596152141147266</v>
      </c>
      <c r="P47" s="10">
        <v>8</v>
      </c>
      <c r="Q47" s="1">
        <f t="shared" si="4"/>
        <v>1</v>
      </c>
      <c r="R47" s="10">
        <v>5</v>
      </c>
      <c r="S47" s="10">
        <v>8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2355000</v>
      </c>
      <c r="N48" s="6">
        <f t="shared" si="2"/>
        <v>1</v>
      </c>
      <c r="O48" s="9">
        <f t="shared" si="3"/>
        <v>0.20732458843208029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2103000</v>
      </c>
      <c r="N49" s="6">
        <f t="shared" si="2"/>
        <v>1</v>
      </c>
      <c r="O49" s="9">
        <f t="shared" si="3"/>
        <v>0.41158626088658379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8866000</v>
      </c>
      <c r="N51" s="6">
        <f t="shared" si="2"/>
        <v>1</v>
      </c>
      <c r="O51" s="9">
        <f t="shared" si="3"/>
        <v>1.1030793157076206</v>
      </c>
      <c r="P51" s="10">
        <v>1</v>
      </c>
      <c r="Q51" s="1">
        <f t="shared" si="4"/>
        <v>0</v>
      </c>
      <c r="R51" s="10">
        <v>3</v>
      </c>
      <c r="S51" s="10">
        <v>2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7194000</v>
      </c>
      <c r="N52" s="6">
        <f t="shared" si="2"/>
        <v>1</v>
      </c>
      <c r="O52" s="9">
        <f t="shared" si="3"/>
        <v>0.922425952045134</v>
      </c>
      <c r="P52" s="10">
        <v>3</v>
      </c>
      <c r="Q52" s="1">
        <f t="shared" si="4"/>
        <v>1</v>
      </c>
      <c r="R52" s="10">
        <v>3</v>
      </c>
      <c r="S52" s="10">
        <v>3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4873000</v>
      </c>
      <c r="N53" s="6">
        <f t="shared" si="2"/>
        <v>1</v>
      </c>
      <c r="O53" s="9">
        <f t="shared" si="3"/>
        <v>0.79435976852229195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4831000</v>
      </c>
      <c r="N54" s="6">
        <f t="shared" si="2"/>
        <v>1</v>
      </c>
      <c r="O54" s="9">
        <f t="shared" si="3"/>
        <v>0.83400949503668542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4557000</v>
      </c>
      <c r="N55" s="6">
        <f t="shared" si="2"/>
        <v>1</v>
      </c>
      <c r="O55" s="9">
        <f t="shared" si="3"/>
        <v>0.82937482937482943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48</v>
      </c>
      <c r="J56" s="4">
        <f t="shared" si="0"/>
        <v>1</v>
      </c>
      <c r="K56" s="5">
        <f t="shared" si="1"/>
        <v>9.6</v>
      </c>
      <c r="L56" s="2">
        <v>4069000</v>
      </c>
      <c r="M56" s="2">
        <v>4426000</v>
      </c>
      <c r="N56" s="6">
        <f t="shared" si="2"/>
        <v>1</v>
      </c>
      <c r="O56" s="9">
        <f t="shared" si="3"/>
        <v>1.0877365446055542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10</v>
      </c>
      <c r="J57" s="4">
        <f t="shared" si="0"/>
        <v>1</v>
      </c>
      <c r="K57" s="5">
        <f t="shared" si="1"/>
        <v>2</v>
      </c>
      <c r="L57" s="2">
        <v>11625000</v>
      </c>
      <c r="M57" s="2">
        <v>4340000</v>
      </c>
      <c r="N57" s="6">
        <f t="shared" si="2"/>
        <v>1</v>
      </c>
      <c r="O57" s="9">
        <f t="shared" si="3"/>
        <v>0.37333333333333335</v>
      </c>
      <c r="P57" s="10">
        <v>4</v>
      </c>
      <c r="Q57" s="1">
        <f t="shared" si="4"/>
        <v>1</v>
      </c>
      <c r="R57" s="10">
        <v>3</v>
      </c>
      <c r="S57" s="10">
        <v>4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1</v>
      </c>
      <c r="Q58" s="1">
        <f t="shared" si="4"/>
        <v>0</v>
      </c>
      <c r="R58" s="10">
        <v>3</v>
      </c>
      <c r="S58" s="10">
        <v>1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20</v>
      </c>
      <c r="J59" s="1">
        <f t="shared" si="0"/>
        <v>1</v>
      </c>
      <c r="K59" s="5">
        <f t="shared" si="1"/>
        <v>3.3333333333333335</v>
      </c>
      <c r="L59" s="2">
        <v>10194500</v>
      </c>
      <c r="M59" s="2">
        <v>5468000</v>
      </c>
      <c r="N59" s="6">
        <f t="shared" si="2"/>
        <v>1</v>
      </c>
      <c r="O59" s="9">
        <f t="shared" si="3"/>
        <v>0.53636764922262004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10</v>
      </c>
      <c r="J60" s="4">
        <f t="shared" si="0"/>
        <v>1</v>
      </c>
      <c r="K60" s="5">
        <f t="shared" si="1"/>
        <v>0.17857142857142858</v>
      </c>
      <c r="L60" s="2">
        <v>7436500</v>
      </c>
      <c r="M60" s="2">
        <v>2535000</v>
      </c>
      <c r="N60" s="6">
        <f t="shared" si="2"/>
        <v>1</v>
      </c>
      <c r="O60" s="9">
        <f t="shared" si="3"/>
        <v>0.34088616956901768</v>
      </c>
      <c r="P60" s="10">
        <v>0</v>
      </c>
      <c r="Q60" s="1">
        <f t="shared" si="4"/>
        <v>0</v>
      </c>
      <c r="R60" s="10">
        <v>3</v>
      </c>
      <c r="S60" s="10">
        <v>7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20</v>
      </c>
      <c r="J61" s="1">
        <f t="shared" si="0"/>
        <v>1</v>
      </c>
      <c r="K61" s="5">
        <f t="shared" si="1"/>
        <v>0.76923076923076927</v>
      </c>
      <c r="L61" s="2">
        <v>6849500</v>
      </c>
      <c r="M61" s="2">
        <v>2835000</v>
      </c>
      <c r="N61" s="6">
        <f t="shared" si="2"/>
        <v>1</v>
      </c>
      <c r="O61" s="9">
        <f t="shared" si="3"/>
        <v>0.41389882473173223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9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4237000</v>
      </c>
      <c r="N63" s="6">
        <f t="shared" si="2"/>
        <v>1</v>
      </c>
      <c r="O63" s="9">
        <f t="shared" si="3"/>
        <v>0.45802929571374518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23</v>
      </c>
      <c r="J65" s="1">
        <f t="shared" si="0"/>
        <v>1</v>
      </c>
      <c r="K65" s="5">
        <f t="shared" si="1"/>
        <v>0.39655172413793105</v>
      </c>
      <c r="L65" s="2">
        <v>26056500</v>
      </c>
      <c r="M65" s="2">
        <v>14105000</v>
      </c>
      <c r="N65" s="6">
        <f t="shared" si="2"/>
        <v>1</v>
      </c>
      <c r="O65" s="9">
        <f t="shared" si="3"/>
        <v>0.54132366204210081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10</v>
      </c>
      <c r="J67" s="1">
        <f t="shared" si="0"/>
        <v>1</v>
      </c>
      <c r="K67" s="5">
        <f t="shared" si="1"/>
        <v>0.17857142857142858</v>
      </c>
      <c r="L67" s="2">
        <v>7741500</v>
      </c>
      <c r="M67" s="2">
        <v>2535000</v>
      </c>
      <c r="N67" s="6">
        <f t="shared" si="2"/>
        <v>1</v>
      </c>
      <c r="O67" s="9">
        <f t="shared" si="3"/>
        <v>0.32745591939546598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23</v>
      </c>
      <c r="J68" s="4">
        <f t="shared" si="0"/>
        <v>1</v>
      </c>
      <c r="K68" s="5">
        <f t="shared" si="1"/>
        <v>7.666666666666667</v>
      </c>
      <c r="L68" s="2">
        <v>4069000</v>
      </c>
      <c r="M68" s="2">
        <v>4476000</v>
      </c>
      <c r="N68" s="6">
        <f t="shared" si="2"/>
        <v>1</v>
      </c>
      <c r="O68" s="9">
        <f t="shared" si="3"/>
        <v>1.1000245760629148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13</v>
      </c>
      <c r="J69" s="1">
        <f t="shared" si="0"/>
        <v>1</v>
      </c>
      <c r="K69" s="5">
        <f t="shared" si="1"/>
        <v>1</v>
      </c>
      <c r="L69" s="2">
        <v>4752500</v>
      </c>
      <c r="M69" s="2">
        <v>3689000</v>
      </c>
      <c r="N69" s="6">
        <f t="shared" si="2"/>
        <v>1</v>
      </c>
      <c r="O69" s="9">
        <f t="shared" si="3"/>
        <v>0.77622304050499735</v>
      </c>
      <c r="P69" s="10">
        <v>3</v>
      </c>
      <c r="Q69" s="1">
        <f t="shared" si="4"/>
        <v>1</v>
      </c>
      <c r="R69" s="10">
        <v>3</v>
      </c>
      <c r="S69" s="10">
        <v>6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23</v>
      </c>
      <c r="J70" s="1">
        <f t="shared" ref="J70:J133" si="5">IF(I70&gt;=3,1,0)</f>
        <v>1</v>
      </c>
      <c r="K70" s="5">
        <f t="shared" ref="K70:K133" si="6">I70/H70</f>
        <v>1.7692307692307692</v>
      </c>
      <c r="L70" s="2">
        <v>7406500</v>
      </c>
      <c r="M70" s="2">
        <v>7911000</v>
      </c>
      <c r="N70" s="6">
        <f t="shared" ref="N70:N133" si="7">IF(M70&gt;=300000,1,0)</f>
        <v>1</v>
      </c>
      <c r="O70" s="9">
        <f t="shared" ref="O70:O133" si="8">M70/L70</f>
        <v>1.0681158441909133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23</v>
      </c>
      <c r="J71" s="1">
        <f t="shared" si="5"/>
        <v>1</v>
      </c>
      <c r="K71" s="5">
        <f t="shared" si="6"/>
        <v>1.7692307692307692</v>
      </c>
      <c r="L71" s="2">
        <v>19818814</v>
      </c>
      <c r="M71" s="2">
        <v>8415000</v>
      </c>
      <c r="N71" s="6">
        <f t="shared" si="7"/>
        <v>1</v>
      </c>
      <c r="O71" s="9">
        <f t="shared" si="8"/>
        <v>0.42459654750279202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23</v>
      </c>
      <c r="J72" s="1">
        <f t="shared" si="5"/>
        <v>1</v>
      </c>
      <c r="K72" s="5">
        <f t="shared" si="6"/>
        <v>1.7692307692307692</v>
      </c>
      <c r="L72" s="2">
        <v>5486500</v>
      </c>
      <c r="M72" s="2">
        <v>3103000</v>
      </c>
      <c r="N72" s="6">
        <f t="shared" si="7"/>
        <v>1</v>
      </c>
      <c r="O72" s="9">
        <f t="shared" si="8"/>
        <v>0.56557003554178442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10</v>
      </c>
      <c r="J73" s="4">
        <f t="shared" si="5"/>
        <v>1</v>
      </c>
      <c r="K73" s="5">
        <f t="shared" si="6"/>
        <v>0.76923076923076927</v>
      </c>
      <c r="L73" s="2">
        <v>4261500</v>
      </c>
      <c r="M73" s="2">
        <v>1385000</v>
      </c>
      <c r="N73" s="6">
        <f t="shared" si="7"/>
        <v>1</v>
      </c>
      <c r="O73" s="9">
        <f t="shared" si="8"/>
        <v>0.32500293323946966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23</v>
      </c>
      <c r="J74" s="1">
        <f t="shared" si="5"/>
        <v>1</v>
      </c>
      <c r="K74" s="5">
        <f t="shared" si="6"/>
        <v>1.7692307692307692</v>
      </c>
      <c r="L74" s="2">
        <v>5761500</v>
      </c>
      <c r="M74" s="2">
        <v>3241000</v>
      </c>
      <c r="N74" s="6">
        <f t="shared" si="7"/>
        <v>1</v>
      </c>
      <c r="O74" s="9">
        <f t="shared" si="8"/>
        <v>0.56252711967369606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23</v>
      </c>
      <c r="J75" s="1">
        <f t="shared" si="5"/>
        <v>1</v>
      </c>
      <c r="K75" s="5">
        <f t="shared" si="6"/>
        <v>1.7692307692307692</v>
      </c>
      <c r="L75" s="2">
        <v>5269000</v>
      </c>
      <c r="M75" s="2">
        <v>4243000</v>
      </c>
      <c r="N75" s="6">
        <f t="shared" si="7"/>
        <v>1</v>
      </c>
      <c r="O75" s="9">
        <f t="shared" si="8"/>
        <v>0.80527614348073639</v>
      </c>
      <c r="P75" s="10">
        <v>19</v>
      </c>
      <c r="Q75" s="1">
        <f t="shared" si="9"/>
        <v>1</v>
      </c>
      <c r="R75" s="10">
        <v>15</v>
      </c>
      <c r="S75" s="10">
        <v>19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23</v>
      </c>
      <c r="J76" s="4">
        <f t="shared" si="5"/>
        <v>1</v>
      </c>
      <c r="K76" s="5">
        <f t="shared" si="6"/>
        <v>0.85185185185185186</v>
      </c>
      <c r="L76" s="2">
        <v>5071500</v>
      </c>
      <c r="M76" s="2">
        <v>2650000</v>
      </c>
      <c r="N76" s="6">
        <f t="shared" si="7"/>
        <v>1</v>
      </c>
      <c r="O76" s="9">
        <f t="shared" si="8"/>
        <v>0.52252785172039828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23</v>
      </c>
      <c r="J77" s="1">
        <f t="shared" si="5"/>
        <v>1</v>
      </c>
      <c r="K77" s="5">
        <f t="shared" si="6"/>
        <v>1.7692307692307692</v>
      </c>
      <c r="L77" s="2">
        <v>4586500</v>
      </c>
      <c r="M77" s="2">
        <v>2663000</v>
      </c>
      <c r="N77" s="6">
        <f t="shared" si="7"/>
        <v>1</v>
      </c>
      <c r="O77" s="9">
        <f t="shared" si="8"/>
        <v>0.58061702823503758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10</v>
      </c>
      <c r="J78" s="1">
        <f t="shared" si="5"/>
        <v>1</v>
      </c>
      <c r="K78" s="5">
        <f t="shared" si="6"/>
        <v>3.3333333333333335</v>
      </c>
      <c r="L78" s="2">
        <v>3335000</v>
      </c>
      <c r="M78" s="2">
        <v>1296000</v>
      </c>
      <c r="N78" s="6">
        <f t="shared" si="7"/>
        <v>1</v>
      </c>
      <c r="O78" s="9">
        <f t="shared" si="8"/>
        <v>0.38860569715142429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1195000</v>
      </c>
      <c r="N79" s="6">
        <f t="shared" si="7"/>
        <v>1</v>
      </c>
      <c r="O79" s="9">
        <f t="shared" si="8"/>
        <v>0.26336088154269971</v>
      </c>
      <c r="P79" s="10">
        <v>3</v>
      </c>
      <c r="Q79" s="1">
        <f t="shared" si="9"/>
        <v>1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4</v>
      </c>
      <c r="J80" s="1">
        <f t="shared" si="5"/>
        <v>1</v>
      </c>
      <c r="K80" s="5">
        <f t="shared" si="6"/>
        <v>1.3333333333333333</v>
      </c>
      <c r="L80" s="2">
        <v>3809100</v>
      </c>
      <c r="M80" s="2">
        <v>406800</v>
      </c>
      <c r="N80" s="6">
        <f t="shared" si="7"/>
        <v>1</v>
      </c>
      <c r="O80" s="9">
        <f t="shared" si="8"/>
        <v>0.10679688115302828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4</v>
      </c>
      <c r="J81" s="4">
        <f t="shared" si="5"/>
        <v>1</v>
      </c>
      <c r="K81" s="5">
        <f t="shared" si="6"/>
        <v>1.3333333333333333</v>
      </c>
      <c r="L81" s="2">
        <v>3511273</v>
      </c>
      <c r="M81" s="2">
        <v>406800</v>
      </c>
      <c r="N81" s="6">
        <f t="shared" si="7"/>
        <v>1</v>
      </c>
      <c r="O81" s="9">
        <f t="shared" si="8"/>
        <v>0.11585541767900132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515400</v>
      </c>
      <c r="N82" s="6">
        <f t="shared" si="7"/>
        <v>1</v>
      </c>
      <c r="O82" s="9">
        <f t="shared" si="8"/>
        <v>0.10856011458421097</v>
      </c>
      <c r="P82" s="10">
        <v>3</v>
      </c>
      <c r="Q82" s="1">
        <f t="shared" si="9"/>
        <v>1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953200</v>
      </c>
      <c r="N83" s="6">
        <f t="shared" si="7"/>
        <v>1</v>
      </c>
      <c r="O83" s="9">
        <f t="shared" si="8"/>
        <v>0.35856154077640684</v>
      </c>
      <c r="P83" s="10">
        <v>3</v>
      </c>
      <c r="Q83" s="1">
        <f t="shared" si="9"/>
        <v>1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9</v>
      </c>
      <c r="J84" s="1">
        <f t="shared" si="5"/>
        <v>1</v>
      </c>
      <c r="K84" s="5">
        <f t="shared" si="6"/>
        <v>0.3</v>
      </c>
      <c r="L84" s="2">
        <v>4341400</v>
      </c>
      <c r="M84" s="2">
        <v>1704400</v>
      </c>
      <c r="N84" s="6">
        <f t="shared" si="7"/>
        <v>1</v>
      </c>
      <c r="O84" s="9">
        <f t="shared" si="8"/>
        <v>0.39259225134749159</v>
      </c>
      <c r="P84" s="10">
        <v>7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14</v>
      </c>
      <c r="J85" s="1">
        <f t="shared" si="5"/>
        <v>1</v>
      </c>
      <c r="K85" s="5">
        <f t="shared" si="6"/>
        <v>0.4</v>
      </c>
      <c r="L85" s="2">
        <v>4171000</v>
      </c>
      <c r="M85" s="2">
        <v>2575000</v>
      </c>
      <c r="N85" s="6">
        <f t="shared" si="7"/>
        <v>1</v>
      </c>
      <c r="O85" s="9">
        <f t="shared" si="8"/>
        <v>0.61735794773435626</v>
      </c>
      <c r="P85" s="10">
        <v>8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6980800</v>
      </c>
      <c r="N86" s="6">
        <f t="shared" si="7"/>
        <v>1</v>
      </c>
      <c r="O86" s="9">
        <f t="shared" si="8"/>
        <v>0.55632770162575707</v>
      </c>
      <c r="P86" s="10">
        <v>3</v>
      </c>
      <c r="Q86" s="1">
        <f t="shared" si="9"/>
        <v>1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1980000</v>
      </c>
      <c r="N87" s="6">
        <f t="shared" si="7"/>
        <v>1</v>
      </c>
      <c r="O87" s="9">
        <f t="shared" si="8"/>
        <v>0.33788395904436858</v>
      </c>
      <c r="P87" s="10">
        <v>3</v>
      </c>
      <c r="Q87" s="1">
        <f t="shared" si="9"/>
        <v>1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6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1886000</v>
      </c>
      <c r="N89" s="6">
        <f t="shared" si="7"/>
        <v>1</v>
      </c>
      <c r="O89" s="9">
        <f t="shared" si="8"/>
        <v>0.36778471138845553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849400</v>
      </c>
      <c r="N90" s="6">
        <f t="shared" si="7"/>
        <v>1</v>
      </c>
      <c r="O90" s="9">
        <f t="shared" si="8"/>
        <v>0.2169050051072523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11</v>
      </c>
      <c r="J91" s="1">
        <f t="shared" si="5"/>
        <v>1</v>
      </c>
      <c r="K91" s="5">
        <f t="shared" si="6"/>
        <v>3.6666666666666665</v>
      </c>
      <c r="L91" s="2">
        <v>2194000</v>
      </c>
      <c r="M91" s="2">
        <v>1156200</v>
      </c>
      <c r="N91" s="6">
        <f t="shared" si="7"/>
        <v>1</v>
      </c>
      <c r="O91" s="9">
        <f t="shared" si="8"/>
        <v>0.52698268003646309</v>
      </c>
      <c r="P91" s="10">
        <v>3</v>
      </c>
      <c r="Q91" s="1">
        <f t="shared" si="9"/>
        <v>1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13</v>
      </c>
      <c r="J92" s="1">
        <f t="shared" si="5"/>
        <v>1</v>
      </c>
      <c r="K92" s="5">
        <f t="shared" si="6"/>
        <v>4.333333333333333</v>
      </c>
      <c r="L92" s="2">
        <v>2357600</v>
      </c>
      <c r="M92" s="2">
        <v>1918000</v>
      </c>
      <c r="N92" s="6">
        <f t="shared" si="7"/>
        <v>1</v>
      </c>
      <c r="O92" s="9">
        <f t="shared" si="8"/>
        <v>0.81353919239904993</v>
      </c>
      <c r="P92" s="10">
        <v>3</v>
      </c>
      <c r="Q92" s="1">
        <f t="shared" si="9"/>
        <v>1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30</v>
      </c>
      <c r="J93" s="1">
        <f t="shared" si="5"/>
        <v>1</v>
      </c>
      <c r="K93" s="5">
        <f t="shared" si="6"/>
        <v>3.75</v>
      </c>
      <c r="L93" s="2">
        <v>2134000</v>
      </c>
      <c r="M93" s="2">
        <v>1496200</v>
      </c>
      <c r="N93" s="6">
        <f t="shared" si="7"/>
        <v>1</v>
      </c>
      <c r="O93" s="9">
        <f t="shared" si="8"/>
        <v>0.70112464854732892</v>
      </c>
      <c r="P93" s="10">
        <v>52</v>
      </c>
      <c r="Q93" s="1">
        <f t="shared" si="9"/>
        <v>1</v>
      </c>
      <c r="R93" s="10">
        <v>22</v>
      </c>
      <c r="S93" s="10">
        <v>71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1858600</v>
      </c>
      <c r="N94" s="6">
        <f t="shared" si="7"/>
        <v>1</v>
      </c>
      <c r="O94" s="9">
        <f t="shared" si="8"/>
        <v>0.12854633228666676</v>
      </c>
      <c r="P94" s="10">
        <v>3</v>
      </c>
      <c r="Q94" s="1">
        <f t="shared" si="9"/>
        <v>1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6</v>
      </c>
      <c r="J95" s="4">
        <f t="shared" si="5"/>
        <v>1</v>
      </c>
      <c r="K95" s="5">
        <f t="shared" si="6"/>
        <v>2</v>
      </c>
      <c r="L95" s="2">
        <v>7993600</v>
      </c>
      <c r="M95" s="2">
        <v>1144600</v>
      </c>
      <c r="N95" s="6">
        <f t="shared" si="7"/>
        <v>1</v>
      </c>
      <c r="O95" s="9">
        <f t="shared" si="8"/>
        <v>0.14318955164131306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6</v>
      </c>
      <c r="J96" s="1">
        <f t="shared" si="5"/>
        <v>1</v>
      </c>
      <c r="K96" s="5">
        <f t="shared" si="6"/>
        <v>0.2608695652173913</v>
      </c>
      <c r="L96" s="2">
        <v>15003400</v>
      </c>
      <c r="M96" s="2">
        <v>1329800</v>
      </c>
      <c r="N96" s="6">
        <f t="shared" si="7"/>
        <v>1</v>
      </c>
      <c r="O96" s="9">
        <f t="shared" si="8"/>
        <v>8.8633243131556849E-2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1168200</v>
      </c>
      <c r="N97" s="6">
        <f t="shared" si="7"/>
        <v>1</v>
      </c>
      <c r="O97" s="9">
        <f t="shared" si="8"/>
        <v>0.1114311877599298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1541000</v>
      </c>
      <c r="N98" s="6">
        <f t="shared" si="7"/>
        <v>1</v>
      </c>
      <c r="O98" s="9">
        <f t="shared" si="8"/>
        <v>0.31346623270951995</v>
      </c>
      <c r="P98" s="10">
        <v>4</v>
      </c>
      <c r="Q98" s="1">
        <f t="shared" si="9"/>
        <v>1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29</v>
      </c>
      <c r="J99" s="4">
        <f t="shared" si="5"/>
        <v>1</v>
      </c>
      <c r="K99" s="5">
        <f t="shared" si="6"/>
        <v>1.2608695652173914</v>
      </c>
      <c r="L99" s="2">
        <v>2024800</v>
      </c>
      <c r="M99" s="2">
        <v>885000</v>
      </c>
      <c r="N99" s="6">
        <f t="shared" si="7"/>
        <v>1</v>
      </c>
      <c r="O99" s="9">
        <f t="shared" si="8"/>
        <v>0.43708020545239035</v>
      </c>
      <c r="P99" s="10">
        <v>72</v>
      </c>
      <c r="Q99" s="1">
        <f t="shared" si="9"/>
        <v>1</v>
      </c>
      <c r="R99" s="10">
        <v>20</v>
      </c>
      <c r="S99" s="10">
        <v>92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14</v>
      </c>
      <c r="J100" s="4">
        <f t="shared" si="5"/>
        <v>1</v>
      </c>
      <c r="K100" s="5">
        <f t="shared" si="6"/>
        <v>4.666666666666667</v>
      </c>
      <c r="L100" s="2">
        <v>9562400</v>
      </c>
      <c r="M100" s="2">
        <v>5500000</v>
      </c>
      <c r="N100" s="6">
        <f t="shared" si="7"/>
        <v>1</v>
      </c>
      <c r="O100" s="9">
        <f t="shared" si="8"/>
        <v>0.57516941353635076</v>
      </c>
      <c r="P100" s="10">
        <v>3</v>
      </c>
      <c r="Q100" s="1">
        <f t="shared" si="9"/>
        <v>1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3203600</v>
      </c>
      <c r="N101" s="6">
        <f t="shared" si="7"/>
        <v>1</v>
      </c>
      <c r="O101" s="9">
        <f t="shared" si="8"/>
        <v>0.34169546482358465</v>
      </c>
      <c r="P101" s="10">
        <v>3</v>
      </c>
      <c r="Q101" s="1">
        <f t="shared" si="9"/>
        <v>1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11</v>
      </c>
      <c r="J102" s="1">
        <f t="shared" si="5"/>
        <v>1</v>
      </c>
      <c r="K102" s="5">
        <f t="shared" si="6"/>
        <v>3.6666666666666665</v>
      </c>
      <c r="L102" s="2">
        <v>7440400</v>
      </c>
      <c r="M102" s="2">
        <v>2362000</v>
      </c>
      <c r="N102" s="6">
        <f t="shared" si="7"/>
        <v>1</v>
      </c>
      <c r="O102" s="9">
        <f t="shared" si="8"/>
        <v>0.3174560507499597</v>
      </c>
      <c r="P102" s="10">
        <v>3</v>
      </c>
      <c r="Q102" s="1">
        <f t="shared" si="9"/>
        <v>1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8</v>
      </c>
      <c r="J103" s="4">
        <f t="shared" si="5"/>
        <v>1</v>
      </c>
      <c r="K103" s="5">
        <f t="shared" si="6"/>
        <v>2.6666666666666665</v>
      </c>
      <c r="L103" s="2">
        <v>3216400</v>
      </c>
      <c r="M103" s="2">
        <v>2434200</v>
      </c>
      <c r="N103" s="6">
        <f t="shared" si="7"/>
        <v>1</v>
      </c>
      <c r="O103" s="9">
        <f t="shared" si="8"/>
        <v>0.75680885462007208</v>
      </c>
      <c r="P103" s="10">
        <v>6</v>
      </c>
      <c r="Q103" s="1">
        <f t="shared" si="9"/>
        <v>1</v>
      </c>
      <c r="R103" s="10">
        <v>3</v>
      </c>
      <c r="S103" s="10">
        <v>6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8</v>
      </c>
      <c r="J104" s="4">
        <f t="shared" si="5"/>
        <v>1</v>
      </c>
      <c r="K104" s="5">
        <f t="shared" si="6"/>
        <v>2</v>
      </c>
      <c r="L104" s="2">
        <v>3347600</v>
      </c>
      <c r="M104" s="2">
        <v>2949200</v>
      </c>
      <c r="N104" s="6">
        <f t="shared" si="7"/>
        <v>1</v>
      </c>
      <c r="O104" s="9">
        <f t="shared" si="8"/>
        <v>0.88098936551559326</v>
      </c>
      <c r="P104" s="10">
        <v>4</v>
      </c>
      <c r="Q104" s="1">
        <f t="shared" si="9"/>
        <v>1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6</v>
      </c>
      <c r="J105" s="1">
        <f t="shared" si="5"/>
        <v>1</v>
      </c>
      <c r="K105" s="5">
        <f t="shared" si="6"/>
        <v>1</v>
      </c>
      <c r="L105" s="2">
        <v>13190000</v>
      </c>
      <c r="M105" s="2">
        <v>4779500</v>
      </c>
      <c r="N105" s="6">
        <f t="shared" si="7"/>
        <v>1</v>
      </c>
      <c r="O105" s="9">
        <f t="shared" si="8"/>
        <v>0.362357846853677</v>
      </c>
      <c r="P105" s="10">
        <v>4</v>
      </c>
      <c r="Q105" s="1">
        <f t="shared" si="9"/>
        <v>1</v>
      </c>
      <c r="R105" s="10">
        <v>7</v>
      </c>
      <c r="S105" s="10">
        <v>4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8</v>
      </c>
      <c r="J106" s="4">
        <f t="shared" si="5"/>
        <v>1</v>
      </c>
      <c r="K106" s="5">
        <f t="shared" si="6"/>
        <v>1.3333333333333333</v>
      </c>
      <c r="L106" s="2">
        <v>4444000</v>
      </c>
      <c r="M106" s="2">
        <v>1087000</v>
      </c>
      <c r="N106" s="6">
        <f t="shared" si="7"/>
        <v>1</v>
      </c>
      <c r="O106" s="9">
        <f t="shared" si="8"/>
        <v>0.24459945994599461</v>
      </c>
      <c r="P106" s="10">
        <v>3</v>
      </c>
      <c r="Q106" s="1">
        <f t="shared" si="9"/>
        <v>1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992000</v>
      </c>
      <c r="N107" s="6">
        <f t="shared" si="7"/>
        <v>1</v>
      </c>
      <c r="O107" s="9">
        <f t="shared" si="8"/>
        <v>0.38369304556354916</v>
      </c>
      <c r="P107" s="10">
        <v>3</v>
      </c>
      <c r="Q107" s="1">
        <f t="shared" si="9"/>
        <v>1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11</v>
      </c>
      <c r="J108" s="4">
        <f t="shared" si="5"/>
        <v>1</v>
      </c>
      <c r="K108" s="5">
        <f t="shared" si="6"/>
        <v>3.6666666666666665</v>
      </c>
      <c r="L108" s="2">
        <v>5360000</v>
      </c>
      <c r="M108" s="2">
        <v>3984800</v>
      </c>
      <c r="N108" s="6">
        <f t="shared" si="7"/>
        <v>1</v>
      </c>
      <c r="O108" s="9">
        <f t="shared" si="8"/>
        <v>0.74343283582089548</v>
      </c>
      <c r="P108" s="10">
        <v>3</v>
      </c>
      <c r="Q108" s="1">
        <f t="shared" si="9"/>
        <v>1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8</v>
      </c>
      <c r="J109" s="4">
        <f t="shared" si="5"/>
        <v>1</v>
      </c>
      <c r="K109" s="5">
        <f t="shared" si="6"/>
        <v>2.6666666666666665</v>
      </c>
      <c r="L109" s="2">
        <v>2150800</v>
      </c>
      <c r="M109" s="2">
        <v>715800</v>
      </c>
      <c r="N109" s="6">
        <f t="shared" si="7"/>
        <v>1</v>
      </c>
      <c r="O109" s="9">
        <f t="shared" si="8"/>
        <v>0.33280639761949043</v>
      </c>
      <c r="P109" s="10">
        <v>3</v>
      </c>
      <c r="Q109" s="1">
        <f t="shared" si="9"/>
        <v>1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9</v>
      </c>
      <c r="J110" s="1">
        <f t="shared" si="5"/>
        <v>1</v>
      </c>
      <c r="K110" s="5">
        <f t="shared" si="6"/>
        <v>3</v>
      </c>
      <c r="L110" s="2">
        <v>9075400</v>
      </c>
      <c r="M110" s="2">
        <v>1183600</v>
      </c>
      <c r="N110" s="6">
        <f t="shared" si="7"/>
        <v>1</v>
      </c>
      <c r="O110" s="9">
        <f t="shared" si="8"/>
        <v>0.13041849395067986</v>
      </c>
      <c r="P110" s="10">
        <v>3</v>
      </c>
      <c r="Q110" s="1">
        <f t="shared" si="9"/>
        <v>1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28</v>
      </c>
      <c r="J111" s="1">
        <f t="shared" si="5"/>
        <v>1</v>
      </c>
      <c r="K111" s="5">
        <f t="shared" si="6"/>
        <v>0.77777777777777779</v>
      </c>
      <c r="L111" s="2">
        <v>24290900</v>
      </c>
      <c r="M111" s="2">
        <v>1192000</v>
      </c>
      <c r="N111" s="6">
        <f t="shared" si="7"/>
        <v>1</v>
      </c>
      <c r="O111" s="9">
        <f t="shared" si="8"/>
        <v>4.9071874652647701E-2</v>
      </c>
      <c r="P111" s="10">
        <v>127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11</v>
      </c>
      <c r="J112" s="4">
        <f t="shared" si="5"/>
        <v>1</v>
      </c>
      <c r="K112" s="5">
        <f t="shared" si="6"/>
        <v>1.8333333333333333</v>
      </c>
      <c r="L112" s="2">
        <v>2530000</v>
      </c>
      <c r="M112" s="2">
        <v>1272800</v>
      </c>
      <c r="N112" s="6">
        <f t="shared" si="7"/>
        <v>1</v>
      </c>
      <c r="O112" s="9">
        <f t="shared" si="8"/>
        <v>0.50308300395256922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9</v>
      </c>
      <c r="J113" s="1">
        <f t="shared" si="5"/>
        <v>1</v>
      </c>
      <c r="K113" s="5">
        <f t="shared" si="6"/>
        <v>1.5</v>
      </c>
      <c r="L113" s="2">
        <v>5923200</v>
      </c>
      <c r="M113" s="2">
        <v>3280000</v>
      </c>
      <c r="N113" s="6">
        <f t="shared" si="7"/>
        <v>1</v>
      </c>
      <c r="O113" s="9">
        <f t="shared" si="8"/>
        <v>0.55375472717450025</v>
      </c>
      <c r="P113" s="10">
        <v>1</v>
      </c>
      <c r="Q113" s="1">
        <f t="shared" si="9"/>
        <v>0</v>
      </c>
      <c r="R113" s="10">
        <v>3</v>
      </c>
      <c r="S113" s="10">
        <v>6</v>
      </c>
      <c r="T113" s="10">
        <v>2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11</v>
      </c>
      <c r="J114" s="4">
        <f t="shared" si="5"/>
        <v>1</v>
      </c>
      <c r="K114" s="5">
        <f t="shared" si="6"/>
        <v>3.6666666666666665</v>
      </c>
      <c r="L114" s="2">
        <v>6223000</v>
      </c>
      <c r="M114" s="2">
        <v>3655200</v>
      </c>
      <c r="N114" s="6">
        <f t="shared" si="7"/>
        <v>1</v>
      </c>
      <c r="O114" s="9">
        <f t="shared" si="8"/>
        <v>0.58736943596336177</v>
      </c>
      <c r="P114" s="10">
        <v>8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11</v>
      </c>
      <c r="J115" s="4">
        <f t="shared" si="5"/>
        <v>1</v>
      </c>
      <c r="K115" s="5">
        <f t="shared" si="6"/>
        <v>1.8333333333333333</v>
      </c>
      <c r="L115" s="2">
        <v>2573500</v>
      </c>
      <c r="M115" s="2">
        <v>1701600</v>
      </c>
      <c r="N115" s="6">
        <f t="shared" si="7"/>
        <v>1</v>
      </c>
      <c r="O115" s="9">
        <f t="shared" si="8"/>
        <v>0.66120069943656501</v>
      </c>
      <c r="P115" s="10">
        <v>6</v>
      </c>
      <c r="Q115" s="1">
        <f t="shared" si="9"/>
        <v>1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555000</v>
      </c>
      <c r="N116" s="6">
        <f t="shared" si="7"/>
        <v>1</v>
      </c>
      <c r="O116" s="9">
        <f t="shared" si="8"/>
        <v>0.25215810995002269</v>
      </c>
      <c r="P116" s="10">
        <v>3</v>
      </c>
      <c r="Q116" s="1">
        <f t="shared" si="9"/>
        <v>1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3</v>
      </c>
      <c r="J117" s="1">
        <f t="shared" si="5"/>
        <v>1</v>
      </c>
      <c r="K117" s="5">
        <f t="shared" si="6"/>
        <v>1</v>
      </c>
      <c r="L117" s="2">
        <v>5434800</v>
      </c>
      <c r="M117" s="2">
        <v>1907800</v>
      </c>
      <c r="N117" s="6">
        <f t="shared" si="7"/>
        <v>1</v>
      </c>
      <c r="O117" s="9">
        <f t="shared" si="8"/>
        <v>0.3510340766909546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8</v>
      </c>
      <c r="J118" s="1">
        <f t="shared" si="5"/>
        <v>1</v>
      </c>
      <c r="K118" s="5">
        <f t="shared" si="6"/>
        <v>2.6666666666666665</v>
      </c>
      <c r="L118" s="2">
        <v>2940400</v>
      </c>
      <c r="M118" s="2">
        <v>885800</v>
      </c>
      <c r="N118" s="6">
        <f t="shared" si="7"/>
        <v>1</v>
      </c>
      <c r="O118" s="9">
        <f t="shared" si="8"/>
        <v>0.30125153040402669</v>
      </c>
      <c r="P118" s="10">
        <v>3</v>
      </c>
      <c r="Q118" s="1">
        <f t="shared" si="9"/>
        <v>1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3</v>
      </c>
      <c r="J119" s="1">
        <f t="shared" si="5"/>
        <v>1</v>
      </c>
      <c r="K119" s="5">
        <f t="shared" si="6"/>
        <v>1</v>
      </c>
      <c r="L119" s="2">
        <v>1914500</v>
      </c>
      <c r="M119" s="2">
        <v>1077200</v>
      </c>
      <c r="N119" s="6">
        <f t="shared" si="7"/>
        <v>1</v>
      </c>
      <c r="O119" s="9">
        <f t="shared" si="8"/>
        <v>0.56265343431705406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8</v>
      </c>
      <c r="J120" s="4">
        <f t="shared" si="5"/>
        <v>1</v>
      </c>
      <c r="K120" s="5">
        <f t="shared" si="6"/>
        <v>2.6666666666666665</v>
      </c>
      <c r="L120" s="2">
        <v>8895600</v>
      </c>
      <c r="M120" s="2">
        <v>716800</v>
      </c>
      <c r="N120" s="6">
        <f t="shared" si="7"/>
        <v>1</v>
      </c>
      <c r="O120" s="9">
        <f t="shared" si="8"/>
        <v>8.0579162732137236E-2</v>
      </c>
      <c r="P120" s="10">
        <v>9</v>
      </c>
      <c r="Q120" s="1">
        <f t="shared" si="9"/>
        <v>1</v>
      </c>
      <c r="R120" s="10">
        <v>12</v>
      </c>
      <c r="S120" s="10">
        <v>9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11</v>
      </c>
      <c r="J121" s="1">
        <f t="shared" si="5"/>
        <v>1</v>
      </c>
      <c r="K121" s="5">
        <f t="shared" si="6"/>
        <v>3.6666666666666665</v>
      </c>
      <c r="L121" s="2">
        <v>3586000</v>
      </c>
      <c r="M121" s="2">
        <v>1052000</v>
      </c>
      <c r="N121" s="6">
        <f t="shared" si="7"/>
        <v>1</v>
      </c>
      <c r="O121" s="9">
        <f t="shared" si="8"/>
        <v>0.29336307863915229</v>
      </c>
      <c r="P121" s="10">
        <v>8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2560500</v>
      </c>
      <c r="N122" s="6">
        <f t="shared" si="7"/>
        <v>1</v>
      </c>
      <c r="O122" s="9">
        <f t="shared" si="8"/>
        <v>0.32209572929115038</v>
      </c>
      <c r="P122" s="10">
        <v>9</v>
      </c>
      <c r="Q122" s="1">
        <f t="shared" si="9"/>
        <v>1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599400</v>
      </c>
      <c r="N123" s="6">
        <f t="shared" si="7"/>
        <v>1</v>
      </c>
      <c r="O123" s="9">
        <f t="shared" si="8"/>
        <v>0.15111940298507462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1078400</v>
      </c>
      <c r="N124" s="6">
        <f t="shared" si="7"/>
        <v>1</v>
      </c>
      <c r="O124" s="9">
        <f t="shared" si="8"/>
        <v>0.29105041563208461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6</v>
      </c>
      <c r="J125" s="1">
        <f t="shared" si="5"/>
        <v>1</v>
      </c>
      <c r="K125" s="5">
        <f t="shared" si="6"/>
        <v>2</v>
      </c>
      <c r="L125" s="2">
        <v>3875600</v>
      </c>
      <c r="M125" s="2">
        <v>1731400</v>
      </c>
      <c r="N125" s="6">
        <f t="shared" si="7"/>
        <v>1</v>
      </c>
      <c r="O125" s="9">
        <f t="shared" si="8"/>
        <v>0.44674373000309631</v>
      </c>
      <c r="P125" s="10">
        <v>6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1834200</v>
      </c>
      <c r="N126" s="6">
        <f t="shared" si="7"/>
        <v>1</v>
      </c>
      <c r="O126" s="9">
        <f t="shared" si="8"/>
        <v>0.24493556787073512</v>
      </c>
      <c r="P126" s="10">
        <v>5</v>
      </c>
      <c r="Q126" s="1">
        <f t="shared" si="9"/>
        <v>1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6479800</v>
      </c>
      <c r="N127" s="6">
        <f t="shared" si="7"/>
        <v>1</v>
      </c>
      <c r="O127" s="9">
        <f t="shared" si="8"/>
        <v>0.52373658792863065</v>
      </c>
      <c r="P127" s="10">
        <v>2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957400</v>
      </c>
      <c r="N128" s="6">
        <f t="shared" si="7"/>
        <v>1</v>
      </c>
      <c r="O128" s="9">
        <f t="shared" si="8"/>
        <v>0.40986343593475749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3223900</v>
      </c>
      <c r="N129" s="6">
        <f t="shared" si="7"/>
        <v>1</v>
      </c>
      <c r="O129" s="9">
        <f t="shared" si="8"/>
        <v>0.25789136869050477</v>
      </c>
      <c r="P129" s="10">
        <v>3</v>
      </c>
      <c r="Q129" s="1">
        <f t="shared" si="9"/>
        <v>1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3345000</v>
      </c>
      <c r="N130" s="6">
        <f t="shared" si="7"/>
        <v>1</v>
      </c>
      <c r="O130" s="9">
        <f t="shared" si="8"/>
        <v>0.58458580915763714</v>
      </c>
      <c r="P130" s="10">
        <v>4</v>
      </c>
      <c r="Q130" s="1">
        <f t="shared" si="9"/>
        <v>1</v>
      </c>
      <c r="R130" s="10">
        <v>3</v>
      </c>
      <c r="S130" s="10">
        <v>4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2390000</v>
      </c>
      <c r="N131" s="6">
        <f t="shared" si="7"/>
        <v>1</v>
      </c>
      <c r="O131" s="9">
        <f t="shared" si="8"/>
        <v>0.3788839568801522</v>
      </c>
      <c r="P131" s="10">
        <v>3</v>
      </c>
      <c r="Q131" s="1">
        <f t="shared" si="9"/>
        <v>1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18</v>
      </c>
      <c r="J132" s="4">
        <f t="shared" si="5"/>
        <v>1</v>
      </c>
      <c r="K132" s="5">
        <f t="shared" si="6"/>
        <v>1</v>
      </c>
      <c r="L132" s="2">
        <v>18836500</v>
      </c>
      <c r="M132" s="2">
        <v>10161000</v>
      </c>
      <c r="N132" s="6">
        <f t="shared" si="7"/>
        <v>1</v>
      </c>
      <c r="O132" s="9">
        <f t="shared" si="8"/>
        <v>0.53943142303506486</v>
      </c>
      <c r="P132" s="10">
        <v>4</v>
      </c>
      <c r="Q132" s="1">
        <f t="shared" si="9"/>
        <v>1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8</v>
      </c>
      <c r="Q133" s="1">
        <f t="shared" si="9"/>
        <v>1</v>
      </c>
      <c r="R133" s="10">
        <v>5</v>
      </c>
      <c r="S133" s="10">
        <v>8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9</v>
      </c>
      <c r="J134" s="4">
        <f t="shared" ref="J134:J197" si="10">IF(I134&gt;=3,1,0)</f>
        <v>1</v>
      </c>
      <c r="K134" s="5">
        <f t="shared" ref="K134:K197" si="11">I134/H134</f>
        <v>3</v>
      </c>
      <c r="L134" s="2">
        <v>1426000</v>
      </c>
      <c r="M134" s="2">
        <v>1940400</v>
      </c>
      <c r="N134" s="6">
        <f t="shared" ref="N134:N197" si="12">IF(M134&gt;=300000,1,0)</f>
        <v>1</v>
      </c>
      <c r="O134" s="9">
        <f t="shared" ref="O134:O197" si="13">M134/L134</f>
        <v>1.3607293127629734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6</v>
      </c>
      <c r="J135" s="1">
        <f t="shared" si="10"/>
        <v>1</v>
      </c>
      <c r="K135" s="5">
        <f t="shared" si="11"/>
        <v>0.75</v>
      </c>
      <c r="L135" s="2">
        <v>1902400</v>
      </c>
      <c r="M135" s="2">
        <v>1678600</v>
      </c>
      <c r="N135" s="6">
        <f t="shared" si="12"/>
        <v>1</v>
      </c>
      <c r="O135" s="9">
        <f t="shared" si="13"/>
        <v>0.88235912531539107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8</v>
      </c>
      <c r="J136" s="1">
        <f t="shared" si="10"/>
        <v>1</v>
      </c>
      <c r="K136" s="5">
        <f t="shared" si="11"/>
        <v>2.6666666666666665</v>
      </c>
      <c r="L136" s="2">
        <v>1899400</v>
      </c>
      <c r="M136" s="2">
        <v>2040600</v>
      </c>
      <c r="N136" s="6">
        <f t="shared" si="12"/>
        <v>1</v>
      </c>
      <c r="O136" s="9">
        <f t="shared" si="13"/>
        <v>1.0743392650310624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8</v>
      </c>
      <c r="J137" s="1">
        <f t="shared" si="10"/>
        <v>1</v>
      </c>
      <c r="K137" s="5">
        <f t="shared" si="11"/>
        <v>1</v>
      </c>
      <c r="L137" s="2">
        <v>1902400</v>
      </c>
      <c r="M137" s="2">
        <v>1266400</v>
      </c>
      <c r="N137" s="6">
        <f t="shared" si="12"/>
        <v>1</v>
      </c>
      <c r="O137" s="9">
        <f t="shared" si="13"/>
        <v>0.66568544995794787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2600000</v>
      </c>
      <c r="N138" s="6">
        <f t="shared" si="12"/>
        <v>1</v>
      </c>
      <c r="O138" s="9">
        <f t="shared" si="13"/>
        <v>0.4531195538515162</v>
      </c>
      <c r="P138" s="10">
        <v>4</v>
      </c>
      <c r="Q138" s="1">
        <f t="shared" si="14"/>
        <v>1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5</v>
      </c>
      <c r="J139" s="1">
        <f t="shared" si="10"/>
        <v>1</v>
      </c>
      <c r="K139" s="5">
        <f t="shared" si="11"/>
        <v>0.83333333333333337</v>
      </c>
      <c r="L139" s="2">
        <v>4278000</v>
      </c>
      <c r="M139" s="2">
        <v>2301000</v>
      </c>
      <c r="N139" s="6">
        <f t="shared" si="12"/>
        <v>1</v>
      </c>
      <c r="O139" s="9">
        <f t="shared" si="13"/>
        <v>0.5378681626928471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1429000</v>
      </c>
      <c r="N140" s="6">
        <f t="shared" si="12"/>
        <v>1</v>
      </c>
      <c r="O140" s="9">
        <f t="shared" si="13"/>
        <v>0.26076642335766426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599400</v>
      </c>
      <c r="N141" s="6">
        <f t="shared" si="12"/>
        <v>1</v>
      </c>
      <c r="O141" s="9">
        <f t="shared" si="13"/>
        <v>0.32576086956521738</v>
      </c>
      <c r="P141" s="10">
        <v>1</v>
      </c>
      <c r="Q141" s="1">
        <f t="shared" si="14"/>
        <v>0</v>
      </c>
      <c r="R141" s="10">
        <v>3</v>
      </c>
      <c r="S141" s="10">
        <v>1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609000</v>
      </c>
      <c r="N142" s="6">
        <f t="shared" si="12"/>
        <v>1</v>
      </c>
      <c r="O142" s="9">
        <f t="shared" si="13"/>
        <v>0.15967488201363397</v>
      </c>
      <c r="P142" s="10">
        <v>3</v>
      </c>
      <c r="Q142" s="1">
        <f t="shared" si="14"/>
        <v>1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8</v>
      </c>
      <c r="J143" s="4">
        <f t="shared" si="10"/>
        <v>1</v>
      </c>
      <c r="K143" s="5">
        <f t="shared" si="11"/>
        <v>1</v>
      </c>
      <c r="L143" s="2">
        <v>1840000</v>
      </c>
      <c r="M143" s="2">
        <v>1819100</v>
      </c>
      <c r="N143" s="6">
        <f t="shared" si="12"/>
        <v>1</v>
      </c>
      <c r="O143" s="9">
        <f t="shared" si="13"/>
        <v>0.98864130434782604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4481000</v>
      </c>
      <c r="M144" s="2">
        <v>1572000</v>
      </c>
      <c r="N144" s="6">
        <f t="shared" si="12"/>
        <v>1</v>
      </c>
      <c r="O144" s="9">
        <f t="shared" si="13"/>
        <v>0.35081455032358849</v>
      </c>
      <c r="P144" s="10">
        <v>17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1111000</v>
      </c>
      <c r="N145" s="6">
        <f t="shared" si="12"/>
        <v>1</v>
      </c>
      <c r="O145" s="9">
        <f t="shared" si="13"/>
        <v>0.31076923076923074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11</v>
      </c>
      <c r="J146" s="1">
        <f t="shared" si="10"/>
        <v>1</v>
      </c>
      <c r="K146" s="5">
        <f t="shared" si="11"/>
        <v>3.6666666666666665</v>
      </c>
      <c r="L146" s="2">
        <v>1706800</v>
      </c>
      <c r="M146" s="2">
        <v>1745700</v>
      </c>
      <c r="N146" s="6">
        <f t="shared" si="12"/>
        <v>1</v>
      </c>
      <c r="O146" s="9">
        <f t="shared" si="13"/>
        <v>1.0227911881884229</v>
      </c>
      <c r="P146" s="10">
        <v>3</v>
      </c>
      <c r="Q146" s="1">
        <f t="shared" si="14"/>
        <v>1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1243500</v>
      </c>
      <c r="N147" s="6">
        <f t="shared" si="12"/>
        <v>1</v>
      </c>
      <c r="O147" s="9">
        <f t="shared" si="13"/>
        <v>0.46545141488246744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10</v>
      </c>
      <c r="J148" s="4">
        <f t="shared" si="10"/>
        <v>1</v>
      </c>
      <c r="K148" s="5">
        <f t="shared" si="11"/>
        <v>1.6666666666666667</v>
      </c>
      <c r="L148" s="2">
        <v>2608000</v>
      </c>
      <c r="M148" s="2">
        <v>978000</v>
      </c>
      <c r="N148" s="6">
        <f t="shared" si="12"/>
        <v>1</v>
      </c>
      <c r="O148" s="9">
        <f t="shared" si="13"/>
        <v>0.375</v>
      </c>
      <c r="P148" s="10">
        <v>1</v>
      </c>
      <c r="Q148" s="1">
        <f t="shared" si="14"/>
        <v>0</v>
      </c>
      <c r="R148" s="10">
        <v>3</v>
      </c>
      <c r="S148" s="10">
        <v>2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10</v>
      </c>
      <c r="J149" s="1">
        <f t="shared" si="10"/>
        <v>1</v>
      </c>
      <c r="K149" s="5">
        <f t="shared" si="11"/>
        <v>1.6666666666666667</v>
      </c>
      <c r="L149" s="2">
        <v>2882800</v>
      </c>
      <c r="M149" s="2">
        <v>1991200</v>
      </c>
      <c r="N149" s="6">
        <f t="shared" si="12"/>
        <v>1</v>
      </c>
      <c r="O149" s="9">
        <f t="shared" si="13"/>
        <v>0.69071735812404611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2</v>
      </c>
      <c r="Q150" s="1">
        <f t="shared" si="14"/>
        <v>0</v>
      </c>
      <c r="R150" s="10">
        <v>4</v>
      </c>
      <c r="S150" s="10">
        <v>2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6</v>
      </c>
      <c r="J151" s="1">
        <f t="shared" si="10"/>
        <v>1</v>
      </c>
      <c r="K151" s="5">
        <f t="shared" si="11"/>
        <v>2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17210000</v>
      </c>
      <c r="N152" s="6">
        <f t="shared" si="12"/>
        <v>1</v>
      </c>
      <c r="O152" s="9">
        <f t="shared" si="13"/>
        <v>0.92816298908823325</v>
      </c>
      <c r="P152" s="10">
        <v>8</v>
      </c>
      <c r="Q152" s="1">
        <f t="shared" si="14"/>
        <v>1</v>
      </c>
      <c r="R152" s="10">
        <v>6</v>
      </c>
      <c r="S152" s="10">
        <v>7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8</v>
      </c>
      <c r="J155" s="1">
        <f t="shared" si="10"/>
        <v>1</v>
      </c>
      <c r="K155" s="5">
        <f t="shared" si="11"/>
        <v>2.6666666666666665</v>
      </c>
      <c r="L155" s="2">
        <v>3585000</v>
      </c>
      <c r="M155" s="2">
        <v>625000</v>
      </c>
      <c r="N155" s="6">
        <f t="shared" si="12"/>
        <v>1</v>
      </c>
      <c r="O155" s="9">
        <f t="shared" si="13"/>
        <v>0.17433751743375175</v>
      </c>
      <c r="P155" s="10">
        <v>3</v>
      </c>
      <c r="Q155" s="1">
        <f t="shared" si="14"/>
        <v>1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23</v>
      </c>
      <c r="J156" s="4">
        <f t="shared" si="10"/>
        <v>1</v>
      </c>
      <c r="K156" s="5">
        <f t="shared" si="11"/>
        <v>2.875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9</v>
      </c>
      <c r="Q156" s="1">
        <f t="shared" si="14"/>
        <v>1</v>
      </c>
      <c r="R156" s="10">
        <v>5</v>
      </c>
      <c r="S156" s="10">
        <v>28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358000</v>
      </c>
      <c r="N157" s="6">
        <f t="shared" si="12"/>
        <v>1</v>
      </c>
      <c r="O157" s="9">
        <f t="shared" si="13"/>
        <v>7.7826086956521739E-2</v>
      </c>
      <c r="P157" s="10">
        <v>27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23</v>
      </c>
      <c r="J158" s="1">
        <f t="shared" si="10"/>
        <v>1</v>
      </c>
      <c r="K158" s="5">
        <f t="shared" si="11"/>
        <v>7.666666666666667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69</v>
      </c>
      <c r="Q158" s="1">
        <f t="shared" si="14"/>
        <v>1</v>
      </c>
      <c r="R158" s="10">
        <v>7</v>
      </c>
      <c r="S158" s="10">
        <v>89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13</v>
      </c>
      <c r="J159" s="4">
        <f t="shared" si="10"/>
        <v>1</v>
      </c>
      <c r="K159" s="5">
        <f t="shared" si="11"/>
        <v>4.333333333333333</v>
      </c>
      <c r="L159" s="2">
        <v>12265000</v>
      </c>
      <c r="M159" s="2">
        <v>3621500</v>
      </c>
      <c r="N159" s="6">
        <f t="shared" si="12"/>
        <v>1</v>
      </c>
      <c r="O159" s="9">
        <f t="shared" si="13"/>
        <v>0.29527109661638812</v>
      </c>
      <c r="P159" s="10">
        <v>3</v>
      </c>
      <c r="Q159" s="1">
        <f t="shared" si="14"/>
        <v>1</v>
      </c>
      <c r="R159" s="10">
        <v>3</v>
      </c>
      <c r="S159" s="10">
        <v>3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13</v>
      </c>
      <c r="J160" s="4">
        <f t="shared" si="10"/>
        <v>1</v>
      </c>
      <c r="K160" s="5">
        <f t="shared" si="11"/>
        <v>2.1666666666666665</v>
      </c>
      <c r="L160" s="2">
        <v>17240000</v>
      </c>
      <c r="M160" s="2">
        <v>6973000</v>
      </c>
      <c r="N160" s="6">
        <f t="shared" si="12"/>
        <v>1</v>
      </c>
      <c r="O160" s="9">
        <f t="shared" si="13"/>
        <v>0.40446635730858471</v>
      </c>
      <c r="P160" s="10">
        <v>3</v>
      </c>
      <c r="Q160" s="1">
        <f t="shared" si="14"/>
        <v>1</v>
      </c>
      <c r="R160" s="10">
        <v>4</v>
      </c>
      <c r="S160" s="10">
        <v>3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11</v>
      </c>
      <c r="J161" s="4">
        <f t="shared" si="10"/>
        <v>1</v>
      </c>
      <c r="K161" s="5">
        <f t="shared" si="11"/>
        <v>0.25</v>
      </c>
      <c r="L161" s="2">
        <v>11620000</v>
      </c>
      <c r="M161" s="2">
        <v>415000</v>
      </c>
      <c r="N161" s="6">
        <f t="shared" si="12"/>
        <v>1</v>
      </c>
      <c r="O161" s="9">
        <f t="shared" si="13"/>
        <v>3.5714285714285712E-2</v>
      </c>
      <c r="P161" s="10">
        <v>15</v>
      </c>
      <c r="Q161" s="1">
        <f t="shared" si="14"/>
        <v>1</v>
      </c>
      <c r="R161" s="10">
        <v>6</v>
      </c>
      <c r="S161" s="10">
        <v>16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18</v>
      </c>
      <c r="J162" s="4">
        <f t="shared" si="10"/>
        <v>1</v>
      </c>
      <c r="K162" s="5">
        <f t="shared" si="11"/>
        <v>2.5714285714285716</v>
      </c>
      <c r="L162" s="2">
        <v>11414000</v>
      </c>
      <c r="M162" s="2">
        <v>16757000</v>
      </c>
      <c r="N162" s="6">
        <f t="shared" si="12"/>
        <v>1</v>
      </c>
      <c r="O162" s="9">
        <f t="shared" si="13"/>
        <v>1.4681093394077449</v>
      </c>
      <c r="P162" s="10">
        <v>3</v>
      </c>
      <c r="Q162" s="1">
        <f t="shared" si="14"/>
        <v>1</v>
      </c>
      <c r="R162" s="10">
        <v>3</v>
      </c>
      <c r="S162" s="10">
        <v>3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13</v>
      </c>
      <c r="J163" s="1">
        <f t="shared" si="10"/>
        <v>1</v>
      </c>
      <c r="K163" s="5">
        <f t="shared" si="11"/>
        <v>4.333333333333333</v>
      </c>
      <c r="L163" s="2">
        <v>9875548</v>
      </c>
      <c r="M163" s="2">
        <v>6230000</v>
      </c>
      <c r="N163" s="6">
        <f t="shared" si="12"/>
        <v>1</v>
      </c>
      <c r="O163" s="9">
        <f t="shared" si="13"/>
        <v>0.63085106770783761</v>
      </c>
      <c r="P163" s="10">
        <v>3</v>
      </c>
      <c r="Q163" s="1">
        <f t="shared" si="14"/>
        <v>1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6</v>
      </c>
      <c r="J164" s="1">
        <f t="shared" si="10"/>
        <v>1</v>
      </c>
      <c r="K164" s="5">
        <f t="shared" si="11"/>
        <v>2</v>
      </c>
      <c r="L164" s="2">
        <v>2398000</v>
      </c>
      <c r="M164" s="2">
        <v>1584000</v>
      </c>
      <c r="N164" s="6">
        <f t="shared" si="12"/>
        <v>1</v>
      </c>
      <c r="O164" s="9">
        <f t="shared" si="13"/>
        <v>0.66055045871559637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6</v>
      </c>
      <c r="J165" s="4">
        <f t="shared" si="10"/>
        <v>1</v>
      </c>
      <c r="K165" s="5">
        <f t="shared" si="11"/>
        <v>2</v>
      </c>
      <c r="L165" s="2">
        <v>2577000</v>
      </c>
      <c r="M165" s="2">
        <v>1501000</v>
      </c>
      <c r="N165" s="6">
        <f t="shared" si="12"/>
        <v>1</v>
      </c>
      <c r="O165" s="9">
        <f t="shared" si="13"/>
        <v>0.5824602250679084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6</v>
      </c>
      <c r="J166" s="1">
        <f t="shared" si="10"/>
        <v>1</v>
      </c>
      <c r="K166" s="5">
        <f t="shared" si="11"/>
        <v>2</v>
      </c>
      <c r="L166" s="2">
        <v>2884000</v>
      </c>
      <c r="M166" s="2">
        <v>2308000</v>
      </c>
      <c r="N166" s="6">
        <f t="shared" si="12"/>
        <v>1</v>
      </c>
      <c r="O166" s="9">
        <f t="shared" si="13"/>
        <v>0.8002773925104022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6</v>
      </c>
      <c r="J168" s="4">
        <f t="shared" si="10"/>
        <v>1</v>
      </c>
      <c r="K168" s="5">
        <f t="shared" si="11"/>
        <v>2</v>
      </c>
      <c r="L168" s="2">
        <v>3833000</v>
      </c>
      <c r="M168" s="2">
        <v>1831000</v>
      </c>
      <c r="N168" s="6">
        <f t="shared" si="12"/>
        <v>1</v>
      </c>
      <c r="O168" s="9">
        <f t="shared" si="13"/>
        <v>0.47769371249673886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6</v>
      </c>
      <c r="J170" s="1">
        <f t="shared" si="10"/>
        <v>1</v>
      </c>
      <c r="K170" s="5">
        <f t="shared" si="11"/>
        <v>2</v>
      </c>
      <c r="L170" s="2">
        <v>5174500</v>
      </c>
      <c r="M170" s="2">
        <v>3147500</v>
      </c>
      <c r="N170" s="6">
        <f t="shared" si="12"/>
        <v>1</v>
      </c>
      <c r="O170" s="9">
        <f t="shared" si="13"/>
        <v>0.60827133056333949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6</v>
      </c>
      <c r="J171" s="4">
        <f t="shared" si="10"/>
        <v>1</v>
      </c>
      <c r="K171" s="5">
        <f t="shared" si="11"/>
        <v>0.75</v>
      </c>
      <c r="L171" s="2">
        <v>5024500</v>
      </c>
      <c r="M171" s="2">
        <v>769000</v>
      </c>
      <c r="N171" s="6">
        <f t="shared" si="12"/>
        <v>1</v>
      </c>
      <c r="O171" s="9">
        <f t="shared" si="13"/>
        <v>0.1530500547318141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6</v>
      </c>
      <c r="J172" s="4">
        <f t="shared" si="10"/>
        <v>1</v>
      </c>
      <c r="K172" s="5">
        <f t="shared" si="11"/>
        <v>2</v>
      </c>
      <c r="L172" s="2">
        <v>3571000</v>
      </c>
      <c r="M172" s="2">
        <v>1567000</v>
      </c>
      <c r="N172" s="6">
        <f t="shared" si="12"/>
        <v>1</v>
      </c>
      <c r="O172" s="9">
        <f t="shared" si="13"/>
        <v>0.43881265751890225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6</v>
      </c>
      <c r="J173" s="4">
        <f t="shared" si="10"/>
        <v>1</v>
      </c>
      <c r="K173" s="5">
        <f t="shared" si="11"/>
        <v>0.75</v>
      </c>
      <c r="L173" s="2">
        <v>5396500</v>
      </c>
      <c r="M173" s="2">
        <v>601000</v>
      </c>
      <c r="N173" s="6">
        <f t="shared" si="12"/>
        <v>1</v>
      </c>
      <c r="O173" s="9">
        <f t="shared" si="13"/>
        <v>0.11136847957009173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20</v>
      </c>
      <c r="J174" s="4">
        <f t="shared" si="10"/>
        <v>1</v>
      </c>
      <c r="K174" s="5">
        <f t="shared" si="11"/>
        <v>6.666666666666667</v>
      </c>
      <c r="L174" s="2">
        <v>4600000</v>
      </c>
      <c r="M174" s="2">
        <v>1834000</v>
      </c>
      <c r="N174" s="6">
        <f t="shared" si="12"/>
        <v>1</v>
      </c>
      <c r="O174" s="9">
        <f t="shared" si="13"/>
        <v>0.39869565217391306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10</v>
      </c>
      <c r="J175" s="4">
        <f t="shared" si="10"/>
        <v>1</v>
      </c>
      <c r="K175" s="5">
        <f t="shared" si="11"/>
        <v>1.6666666666666667</v>
      </c>
      <c r="L175" s="2">
        <v>9658000</v>
      </c>
      <c r="M175" s="2">
        <v>861600</v>
      </c>
      <c r="N175" s="6">
        <f t="shared" si="12"/>
        <v>1</v>
      </c>
      <c r="O175" s="9">
        <f t="shared" si="13"/>
        <v>8.9211016773659141E-2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20</v>
      </c>
      <c r="J176" s="4">
        <f t="shared" si="10"/>
        <v>1</v>
      </c>
      <c r="K176" s="5">
        <f t="shared" si="11"/>
        <v>6.666666666666667</v>
      </c>
      <c r="L176" s="2">
        <v>17180000</v>
      </c>
      <c r="M176" s="2">
        <v>3747000</v>
      </c>
      <c r="N176" s="6">
        <f t="shared" si="12"/>
        <v>1</v>
      </c>
      <c r="O176" s="9">
        <f t="shared" si="13"/>
        <v>0.21810244470314319</v>
      </c>
      <c r="P176" s="10">
        <v>2</v>
      </c>
      <c r="Q176" s="1">
        <f t="shared" si="14"/>
        <v>0</v>
      </c>
      <c r="R176" s="10">
        <v>5</v>
      </c>
      <c r="S176" s="10">
        <v>2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20</v>
      </c>
      <c r="J177" s="1">
        <f t="shared" si="10"/>
        <v>1</v>
      </c>
      <c r="K177" s="5">
        <f t="shared" si="11"/>
        <v>6.666666666666667</v>
      </c>
      <c r="L177" s="2">
        <v>5180000</v>
      </c>
      <c r="M177" s="2">
        <v>927600</v>
      </c>
      <c r="N177" s="6">
        <f t="shared" si="12"/>
        <v>1</v>
      </c>
      <c r="O177" s="9">
        <f t="shared" si="13"/>
        <v>0.17907335907335908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40</v>
      </c>
      <c r="J178" s="4">
        <f t="shared" si="10"/>
        <v>1</v>
      </c>
      <c r="K178" s="5">
        <f t="shared" si="11"/>
        <v>0.90909090909090906</v>
      </c>
      <c r="L178" s="2">
        <v>9235000</v>
      </c>
      <c r="M178" s="2">
        <v>904200</v>
      </c>
      <c r="N178" s="6">
        <f t="shared" si="12"/>
        <v>1</v>
      </c>
      <c r="O178" s="9">
        <f t="shared" si="13"/>
        <v>9.7910124526258802E-2</v>
      </c>
      <c r="P178" s="10">
        <v>24</v>
      </c>
      <c r="Q178" s="1">
        <f t="shared" si="14"/>
        <v>1</v>
      </c>
      <c r="R178" s="10">
        <v>6</v>
      </c>
      <c r="S178" s="10">
        <v>45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9</v>
      </c>
      <c r="J179" s="4">
        <f t="shared" si="10"/>
        <v>1</v>
      </c>
      <c r="K179" s="5">
        <f t="shared" si="11"/>
        <v>3</v>
      </c>
      <c r="L179" s="2">
        <v>6459500</v>
      </c>
      <c r="M179" s="2">
        <v>4916000</v>
      </c>
      <c r="N179" s="6">
        <f t="shared" si="12"/>
        <v>1</v>
      </c>
      <c r="O179" s="9">
        <f t="shared" si="13"/>
        <v>0.76104961684340888</v>
      </c>
      <c r="P179" s="10">
        <v>3</v>
      </c>
      <c r="Q179" s="1">
        <f t="shared" si="14"/>
        <v>1</v>
      </c>
      <c r="R179" s="10">
        <v>3</v>
      </c>
      <c r="S179" s="10">
        <v>3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3</v>
      </c>
      <c r="J180" s="4">
        <f t="shared" si="10"/>
        <v>1</v>
      </c>
      <c r="K180" s="5">
        <f t="shared" si="11"/>
        <v>1</v>
      </c>
      <c r="L180" s="2">
        <v>9354500</v>
      </c>
      <c r="M180" s="2">
        <v>4090000</v>
      </c>
      <c r="N180" s="6">
        <f t="shared" si="12"/>
        <v>1</v>
      </c>
      <c r="O180" s="9">
        <f t="shared" si="13"/>
        <v>0.43722272702977177</v>
      </c>
      <c r="P180" s="10">
        <v>6</v>
      </c>
      <c r="Q180" s="1">
        <f t="shared" si="14"/>
        <v>1</v>
      </c>
      <c r="R180" s="10">
        <v>3</v>
      </c>
      <c r="S180" s="10">
        <v>6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704000</v>
      </c>
      <c r="N181" s="6">
        <f t="shared" si="12"/>
        <v>1</v>
      </c>
      <c r="O181" s="9">
        <f t="shared" si="13"/>
        <v>0.42796352583586628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385000</v>
      </c>
      <c r="N182" s="6">
        <f t="shared" si="12"/>
        <v>1</v>
      </c>
      <c r="O182" s="9">
        <f t="shared" si="13"/>
        <v>0.2866716306775875</v>
      </c>
      <c r="P182" s="10">
        <v>5</v>
      </c>
      <c r="Q182" s="1">
        <f t="shared" si="14"/>
        <v>1</v>
      </c>
      <c r="R182" s="10">
        <v>14</v>
      </c>
      <c r="S182" s="10">
        <v>5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7</v>
      </c>
      <c r="Q183" s="1">
        <f t="shared" si="14"/>
        <v>1</v>
      </c>
      <c r="R183" s="10">
        <v>26</v>
      </c>
      <c r="S183" s="10">
        <v>7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19</v>
      </c>
      <c r="J184" s="4">
        <f t="shared" si="10"/>
        <v>1</v>
      </c>
      <c r="K184" s="5">
        <f t="shared" si="11"/>
        <v>2.1111111111111112</v>
      </c>
      <c r="L184" s="2">
        <v>16804000</v>
      </c>
      <c r="M184" s="2">
        <v>6642000</v>
      </c>
      <c r="N184" s="6">
        <f t="shared" si="12"/>
        <v>1</v>
      </c>
      <c r="O184" s="9">
        <f t="shared" si="13"/>
        <v>0.39526303261128304</v>
      </c>
      <c r="P184" s="10">
        <v>27</v>
      </c>
      <c r="Q184" s="1">
        <f t="shared" si="14"/>
        <v>1</v>
      </c>
      <c r="R184" s="10">
        <v>39</v>
      </c>
      <c r="S184" s="10">
        <v>31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3</v>
      </c>
      <c r="Q185" s="1">
        <f t="shared" si="14"/>
        <v>1</v>
      </c>
      <c r="R185" s="10">
        <v>23</v>
      </c>
      <c r="S185" s="10">
        <v>3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1028000</v>
      </c>
      <c r="N186" s="6">
        <f t="shared" si="12"/>
        <v>1</v>
      </c>
      <c r="O186" s="9">
        <f t="shared" si="13"/>
        <v>0.32780612244897961</v>
      </c>
      <c r="P186" s="10">
        <v>8</v>
      </c>
      <c r="Q186" s="1">
        <f t="shared" si="14"/>
        <v>1</v>
      </c>
      <c r="R186" s="10">
        <v>7</v>
      </c>
      <c r="S186" s="10">
        <v>8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4</v>
      </c>
      <c r="Q187" s="1">
        <f t="shared" si="14"/>
        <v>1</v>
      </c>
      <c r="R187" s="10">
        <v>62</v>
      </c>
      <c r="S187" s="10">
        <v>4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9</v>
      </c>
      <c r="Q188" s="1">
        <f t="shared" si="14"/>
        <v>1</v>
      </c>
      <c r="R188" s="10">
        <v>64</v>
      </c>
      <c r="S188" s="10">
        <v>9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3038000</v>
      </c>
      <c r="N189" s="6">
        <f t="shared" si="12"/>
        <v>1</v>
      </c>
      <c r="O189" s="9">
        <f t="shared" si="13"/>
        <v>0.15827038291221673</v>
      </c>
      <c r="P189" s="10">
        <v>7</v>
      </c>
      <c r="Q189" s="1">
        <f t="shared" si="14"/>
        <v>1</v>
      </c>
      <c r="R189" s="10">
        <v>5</v>
      </c>
      <c r="S189" s="10">
        <v>7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9</v>
      </c>
      <c r="Q190" s="1">
        <f t="shared" si="14"/>
        <v>1</v>
      </c>
      <c r="R190" s="10">
        <v>7</v>
      </c>
      <c r="S190" s="10">
        <v>9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10</v>
      </c>
      <c r="J191" s="4">
        <f t="shared" si="10"/>
        <v>1</v>
      </c>
      <c r="K191" s="5">
        <f t="shared" si="11"/>
        <v>2</v>
      </c>
      <c r="L191" s="2">
        <v>4750000</v>
      </c>
      <c r="M191" s="2">
        <v>604200</v>
      </c>
      <c r="N191" s="6">
        <f t="shared" si="12"/>
        <v>1</v>
      </c>
      <c r="O191" s="9">
        <f t="shared" si="13"/>
        <v>0.12720000000000001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2354200</v>
      </c>
      <c r="N192" s="6">
        <f t="shared" si="12"/>
        <v>1</v>
      </c>
      <c r="O192" s="9">
        <f t="shared" si="13"/>
        <v>0.27028702640642938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8</v>
      </c>
      <c r="J193" s="4">
        <f t="shared" si="10"/>
        <v>1</v>
      </c>
      <c r="K193" s="5">
        <f t="shared" si="11"/>
        <v>2</v>
      </c>
      <c r="L193" s="2">
        <v>5675500</v>
      </c>
      <c r="M193" s="2">
        <v>4483000</v>
      </c>
      <c r="N193" s="6">
        <f t="shared" si="12"/>
        <v>1</v>
      </c>
      <c r="O193" s="9">
        <f t="shared" si="13"/>
        <v>0.7898863536252313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11</v>
      </c>
      <c r="J194" s="1">
        <f t="shared" si="10"/>
        <v>1</v>
      </c>
      <c r="K194" s="5">
        <f t="shared" si="11"/>
        <v>3.6666666666666665</v>
      </c>
      <c r="L194" s="2">
        <v>1724000</v>
      </c>
      <c r="M194" s="2">
        <v>1332000</v>
      </c>
      <c r="N194" s="6">
        <f t="shared" si="12"/>
        <v>1</v>
      </c>
      <c r="O194" s="9">
        <f t="shared" si="13"/>
        <v>0.77262180974477956</v>
      </c>
      <c r="P194" s="10">
        <v>3</v>
      </c>
      <c r="Q194" s="1">
        <f t="shared" si="14"/>
        <v>1</v>
      </c>
      <c r="R194" s="10">
        <v>11</v>
      </c>
      <c r="S194" s="10">
        <v>3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11</v>
      </c>
      <c r="J195" s="1">
        <f t="shared" si="10"/>
        <v>1</v>
      </c>
      <c r="K195" s="5">
        <f t="shared" si="11"/>
        <v>3.6666666666666665</v>
      </c>
      <c r="L195" s="2">
        <v>1562000</v>
      </c>
      <c r="M195" s="2">
        <v>1200000</v>
      </c>
      <c r="N195" s="6">
        <f t="shared" si="12"/>
        <v>1</v>
      </c>
      <c r="O195" s="9">
        <f t="shared" si="13"/>
        <v>0.76824583866837393</v>
      </c>
      <c r="P195" s="10">
        <v>5</v>
      </c>
      <c r="Q195" s="1">
        <f t="shared" si="14"/>
        <v>1</v>
      </c>
      <c r="R195" s="10">
        <v>3</v>
      </c>
      <c r="S195" s="10">
        <v>5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13</v>
      </c>
      <c r="J196" s="1">
        <f t="shared" si="10"/>
        <v>1</v>
      </c>
      <c r="K196" s="5">
        <f t="shared" si="11"/>
        <v>4.333333333333333</v>
      </c>
      <c r="L196" s="2">
        <v>5324500</v>
      </c>
      <c r="M196" s="2">
        <v>3480000</v>
      </c>
      <c r="N196" s="6">
        <f t="shared" si="12"/>
        <v>1</v>
      </c>
      <c r="O196" s="9">
        <f t="shared" si="13"/>
        <v>0.65358249600901497</v>
      </c>
      <c r="P196" s="10">
        <v>3</v>
      </c>
      <c r="Q196" s="1">
        <f t="shared" si="14"/>
        <v>1</v>
      </c>
      <c r="R196" s="10">
        <v>3</v>
      </c>
      <c r="S196" s="10">
        <v>3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11</v>
      </c>
      <c r="J197" s="1">
        <f t="shared" si="10"/>
        <v>1</v>
      </c>
      <c r="K197" s="5">
        <f t="shared" si="11"/>
        <v>1.375</v>
      </c>
      <c r="L197" s="2">
        <v>5390500</v>
      </c>
      <c r="M197" s="2">
        <v>1352000</v>
      </c>
      <c r="N197" s="6">
        <f t="shared" si="12"/>
        <v>1</v>
      </c>
      <c r="O197" s="9">
        <f t="shared" si="13"/>
        <v>0.25081161302291066</v>
      </c>
      <c r="P197" s="10">
        <v>7</v>
      </c>
      <c r="Q197" s="1">
        <f t="shared" si="14"/>
        <v>1</v>
      </c>
      <c r="R197" s="10">
        <v>5</v>
      </c>
      <c r="S197" s="10">
        <v>7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11</v>
      </c>
      <c r="J198" s="1">
        <f t="shared" ref="J198:J261" si="15">IF(I198&gt;=3,1,0)</f>
        <v>1</v>
      </c>
      <c r="K198" s="5">
        <f t="shared" ref="K198:K261" si="16">I198/H198</f>
        <v>3.6666666666666665</v>
      </c>
      <c r="L198" s="2">
        <v>1690000</v>
      </c>
      <c r="M198" s="2">
        <v>1431000</v>
      </c>
      <c r="N198" s="6">
        <f t="shared" ref="N198:N261" si="17">IF(M198&gt;=300000,1,0)</f>
        <v>1</v>
      </c>
      <c r="O198" s="9">
        <f t="shared" ref="O198:O261" si="18">M198/L198</f>
        <v>0.84674556213017749</v>
      </c>
      <c r="P198" s="10">
        <v>3</v>
      </c>
      <c r="Q198" s="1">
        <f t="shared" ref="Q198:Q261" si="19">IF(P198&gt;=3,1,0)</f>
        <v>1</v>
      </c>
      <c r="R198" s="10">
        <v>3</v>
      </c>
      <c r="S198" s="10">
        <v>3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8</v>
      </c>
      <c r="J199" s="1">
        <f t="shared" si="15"/>
        <v>1</v>
      </c>
      <c r="K199" s="5">
        <f t="shared" si="16"/>
        <v>2.6666666666666665</v>
      </c>
      <c r="L199" s="2">
        <v>1392000</v>
      </c>
      <c r="M199" s="2">
        <v>1087000</v>
      </c>
      <c r="N199" s="6">
        <f t="shared" si="17"/>
        <v>1</v>
      </c>
      <c r="O199" s="9">
        <f t="shared" si="18"/>
        <v>0.7808908045977011</v>
      </c>
      <c r="P199" s="10">
        <v>5</v>
      </c>
      <c r="Q199" s="1">
        <f t="shared" si="19"/>
        <v>1</v>
      </c>
      <c r="R199" s="10">
        <v>3</v>
      </c>
      <c r="S199" s="10">
        <v>5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10</v>
      </c>
      <c r="J200" s="1">
        <f t="shared" si="15"/>
        <v>1</v>
      </c>
      <c r="K200" s="5">
        <f t="shared" si="16"/>
        <v>2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5</v>
      </c>
      <c r="Q200" s="1">
        <f t="shared" si="19"/>
        <v>1</v>
      </c>
      <c r="R200" s="10">
        <v>5</v>
      </c>
      <c r="S200" s="10">
        <v>5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10</v>
      </c>
      <c r="J201" s="4">
        <f t="shared" si="15"/>
        <v>1</v>
      </c>
      <c r="K201" s="5">
        <f t="shared" si="16"/>
        <v>2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6324200</v>
      </c>
      <c r="N202" s="6">
        <f t="shared" si="17"/>
        <v>1</v>
      </c>
      <c r="O202" s="9">
        <f t="shared" si="18"/>
        <v>0.87230344827586204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7844200</v>
      </c>
      <c r="N203" s="6">
        <f t="shared" si="17"/>
        <v>1</v>
      </c>
      <c r="O203" s="9">
        <f t="shared" si="18"/>
        <v>0.69726222222222223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7</v>
      </c>
      <c r="Q204" s="1">
        <f t="shared" si="19"/>
        <v>1</v>
      </c>
      <c r="R204" s="10">
        <v>21</v>
      </c>
      <c r="S204" s="10">
        <v>7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3</v>
      </c>
      <c r="Q207" s="1">
        <f t="shared" si="19"/>
        <v>1</v>
      </c>
      <c r="R207" s="10">
        <v>7</v>
      </c>
      <c r="S207" s="10">
        <v>3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10</v>
      </c>
      <c r="J208" s="1">
        <f t="shared" si="15"/>
        <v>1</v>
      </c>
      <c r="K208" s="5">
        <f t="shared" si="16"/>
        <v>1.4285714285714286</v>
      </c>
      <c r="L208" s="2">
        <v>1771000</v>
      </c>
      <c r="M208" s="2">
        <v>1230000</v>
      </c>
      <c r="N208" s="6">
        <f t="shared" si="17"/>
        <v>1</v>
      </c>
      <c r="O208" s="9">
        <f t="shared" si="18"/>
        <v>0.69452286843591193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11</v>
      </c>
      <c r="J209" s="1">
        <f t="shared" si="15"/>
        <v>1</v>
      </c>
      <c r="K209" s="5">
        <f t="shared" si="16"/>
        <v>3.6666666666666665</v>
      </c>
      <c r="L209" s="2">
        <v>1555000</v>
      </c>
      <c r="M209" s="2">
        <v>894000</v>
      </c>
      <c r="N209" s="6">
        <f t="shared" si="17"/>
        <v>1</v>
      </c>
      <c r="O209" s="9">
        <f t="shared" si="18"/>
        <v>0.57491961414790993</v>
      </c>
      <c r="P209" s="10">
        <v>3</v>
      </c>
      <c r="Q209" s="1">
        <f t="shared" si="19"/>
        <v>1</v>
      </c>
      <c r="R209" s="10">
        <v>3</v>
      </c>
      <c r="S209" s="10">
        <v>3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8</v>
      </c>
      <c r="J210" s="1">
        <f t="shared" si="15"/>
        <v>1</v>
      </c>
      <c r="K210" s="5">
        <f t="shared" si="16"/>
        <v>2.6666666666666665</v>
      </c>
      <c r="L210" s="2">
        <v>1558000</v>
      </c>
      <c r="M210" s="2">
        <v>840000</v>
      </c>
      <c r="N210" s="6">
        <f t="shared" si="17"/>
        <v>1</v>
      </c>
      <c r="O210" s="9">
        <f t="shared" si="18"/>
        <v>0.53915275994865208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11</v>
      </c>
      <c r="J211" s="1">
        <f t="shared" si="15"/>
        <v>1</v>
      </c>
      <c r="K211" s="5">
        <f t="shared" si="16"/>
        <v>1.5714285714285714</v>
      </c>
      <c r="L211" s="2">
        <v>3181000</v>
      </c>
      <c r="M211" s="2">
        <v>1632000</v>
      </c>
      <c r="N211" s="6">
        <f t="shared" si="17"/>
        <v>1</v>
      </c>
      <c r="O211" s="9">
        <f t="shared" si="18"/>
        <v>0.51304621188305566</v>
      </c>
      <c r="P211" s="10">
        <v>5</v>
      </c>
      <c r="Q211" s="1">
        <f t="shared" si="19"/>
        <v>1</v>
      </c>
      <c r="R211" s="10">
        <v>4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939000</v>
      </c>
      <c r="N212" s="6">
        <f t="shared" si="17"/>
        <v>1</v>
      </c>
      <c r="O212" s="9">
        <f t="shared" si="18"/>
        <v>0.59770846594525784</v>
      </c>
      <c r="P212" s="10">
        <v>3</v>
      </c>
      <c r="Q212" s="1">
        <f t="shared" si="19"/>
        <v>1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8</v>
      </c>
      <c r="J213" s="4">
        <f t="shared" si="15"/>
        <v>1</v>
      </c>
      <c r="K213" s="5">
        <f t="shared" si="16"/>
        <v>1.3333333333333333</v>
      </c>
      <c r="L213" s="2">
        <v>15607000</v>
      </c>
      <c r="M213" s="2">
        <v>7221000</v>
      </c>
      <c r="N213" s="6">
        <f t="shared" si="17"/>
        <v>1</v>
      </c>
      <c r="O213" s="9">
        <f t="shared" si="18"/>
        <v>0.46267700390850258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1160000</v>
      </c>
      <c r="N214" s="6">
        <f t="shared" si="17"/>
        <v>1</v>
      </c>
      <c r="O214" s="9">
        <f t="shared" si="18"/>
        <v>0.78325455773126262</v>
      </c>
      <c r="P214" s="10">
        <v>3</v>
      </c>
      <c r="Q214" s="1">
        <f t="shared" si="19"/>
        <v>1</v>
      </c>
      <c r="R214" s="10">
        <v>3</v>
      </c>
      <c r="S214" s="10">
        <v>3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926000</v>
      </c>
      <c r="N215" s="6">
        <f t="shared" si="17"/>
        <v>1</v>
      </c>
      <c r="O215" s="9">
        <f t="shared" si="18"/>
        <v>0.46485943775100402</v>
      </c>
      <c r="P215" s="10">
        <v>8</v>
      </c>
      <c r="Q215" s="1">
        <f t="shared" si="19"/>
        <v>1</v>
      </c>
      <c r="R215" s="10">
        <v>8</v>
      </c>
      <c r="S215" s="10">
        <v>8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11</v>
      </c>
      <c r="J216" s="1">
        <f t="shared" si="15"/>
        <v>1</v>
      </c>
      <c r="K216" s="5">
        <f t="shared" si="16"/>
        <v>3.6666666666666665</v>
      </c>
      <c r="L216" s="2">
        <v>2538000</v>
      </c>
      <c r="M216" s="2">
        <v>3108000</v>
      </c>
      <c r="N216" s="6">
        <f t="shared" si="17"/>
        <v>1</v>
      </c>
      <c r="O216" s="9">
        <f t="shared" si="18"/>
        <v>1.2245862884160756</v>
      </c>
      <c r="P216" s="10">
        <v>3</v>
      </c>
      <c r="Q216" s="1">
        <f t="shared" si="19"/>
        <v>1</v>
      </c>
      <c r="R216" s="10">
        <v>3</v>
      </c>
      <c r="S216" s="10">
        <v>3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16</v>
      </c>
      <c r="J217" s="4">
        <f t="shared" si="15"/>
        <v>1</v>
      </c>
      <c r="K217" s="5">
        <f t="shared" si="16"/>
        <v>5.333333333333333</v>
      </c>
      <c r="L217" s="2">
        <v>2198000</v>
      </c>
      <c r="M217" s="2">
        <v>1182000</v>
      </c>
      <c r="N217" s="6">
        <f t="shared" si="17"/>
        <v>1</v>
      </c>
      <c r="O217" s="9">
        <f t="shared" si="18"/>
        <v>0.53776160145586893</v>
      </c>
      <c r="P217" s="10">
        <v>3</v>
      </c>
      <c r="Q217" s="1">
        <f t="shared" si="19"/>
        <v>1</v>
      </c>
      <c r="R217" s="10">
        <v>3</v>
      </c>
      <c r="S217" s="10">
        <v>3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11</v>
      </c>
      <c r="J218" s="1">
        <f t="shared" si="15"/>
        <v>1</v>
      </c>
      <c r="K218" s="5">
        <f t="shared" si="16"/>
        <v>3.6666666666666665</v>
      </c>
      <c r="L218" s="2">
        <v>1728000</v>
      </c>
      <c r="M218" s="2">
        <v>2160000</v>
      </c>
      <c r="N218" s="6">
        <f t="shared" si="17"/>
        <v>1</v>
      </c>
      <c r="O218" s="9">
        <f t="shared" si="18"/>
        <v>1.25</v>
      </c>
      <c r="P218" s="10">
        <v>3</v>
      </c>
      <c r="Q218" s="1">
        <f t="shared" si="19"/>
        <v>1</v>
      </c>
      <c r="R218" s="10">
        <v>3</v>
      </c>
      <c r="S218" s="10">
        <v>3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11</v>
      </c>
      <c r="J219" s="1">
        <f t="shared" si="15"/>
        <v>1</v>
      </c>
      <c r="K219" s="5">
        <f t="shared" si="16"/>
        <v>3.6666666666666665</v>
      </c>
      <c r="L219" s="2">
        <v>2873000</v>
      </c>
      <c r="M219" s="2">
        <v>3588000</v>
      </c>
      <c r="N219" s="6">
        <f t="shared" si="17"/>
        <v>1</v>
      </c>
      <c r="O219" s="9">
        <f t="shared" si="18"/>
        <v>1.248868778280543</v>
      </c>
      <c r="P219" s="10">
        <v>3</v>
      </c>
      <c r="Q219" s="1">
        <f t="shared" si="19"/>
        <v>1</v>
      </c>
      <c r="R219" s="10">
        <v>3</v>
      </c>
      <c r="S219" s="10">
        <v>3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470000</v>
      </c>
      <c r="N220" s="6">
        <f t="shared" si="17"/>
        <v>1</v>
      </c>
      <c r="O220" s="9">
        <f t="shared" si="18"/>
        <v>0.24867724867724866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3120000</v>
      </c>
      <c r="N221" s="6">
        <f t="shared" si="17"/>
        <v>1</v>
      </c>
      <c r="O221" s="9">
        <f t="shared" si="18"/>
        <v>0.62182361733931235</v>
      </c>
      <c r="P221" s="10">
        <v>29</v>
      </c>
      <c r="Q221" s="1">
        <f t="shared" si="19"/>
        <v>1</v>
      </c>
      <c r="R221" s="10">
        <v>32</v>
      </c>
      <c r="S221" s="10">
        <v>29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5654000</v>
      </c>
      <c r="N222" s="6">
        <f t="shared" si="17"/>
        <v>1</v>
      </c>
      <c r="O222" s="9">
        <f t="shared" si="18"/>
        <v>0.29594347029573409</v>
      </c>
      <c r="P222" s="10">
        <v>8</v>
      </c>
      <c r="Q222" s="1">
        <f t="shared" si="19"/>
        <v>1</v>
      </c>
      <c r="R222" s="10">
        <v>3</v>
      </c>
      <c r="S222" s="10">
        <v>8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3</v>
      </c>
      <c r="J223" s="1">
        <f t="shared" si="15"/>
        <v>1</v>
      </c>
      <c r="K223" s="5">
        <f t="shared" si="16"/>
        <v>0.75</v>
      </c>
      <c r="L223" s="2">
        <v>3961000</v>
      </c>
      <c r="M223" s="2">
        <v>1869000</v>
      </c>
      <c r="N223" s="6">
        <f t="shared" si="17"/>
        <v>1</v>
      </c>
      <c r="O223" s="9">
        <f t="shared" si="18"/>
        <v>0.47185054279222416</v>
      </c>
      <c r="P223" s="10">
        <v>5</v>
      </c>
      <c r="Q223" s="1">
        <f t="shared" si="19"/>
        <v>1</v>
      </c>
      <c r="R223" s="10">
        <v>3</v>
      </c>
      <c r="S223" s="10">
        <v>5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811000</v>
      </c>
      <c r="N224" s="6">
        <f t="shared" si="17"/>
        <v>1</v>
      </c>
      <c r="O224" s="9">
        <f t="shared" si="18"/>
        <v>0.35414847161572055</v>
      </c>
      <c r="P224" s="10">
        <v>3</v>
      </c>
      <c r="Q224" s="1">
        <f t="shared" si="19"/>
        <v>1</v>
      </c>
      <c r="R224" s="10">
        <v>7</v>
      </c>
      <c r="S224" s="10">
        <v>3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3030000</v>
      </c>
      <c r="N225" s="6">
        <f t="shared" si="17"/>
        <v>1</v>
      </c>
      <c r="O225" s="9">
        <f t="shared" si="18"/>
        <v>0.58207664969743544</v>
      </c>
      <c r="P225" s="10">
        <v>3</v>
      </c>
      <c r="Q225" s="1">
        <f t="shared" si="19"/>
        <v>1</v>
      </c>
      <c r="R225" s="10">
        <v>17</v>
      </c>
      <c r="S225" s="10">
        <v>3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2267000</v>
      </c>
      <c r="N227" s="6">
        <f t="shared" si="17"/>
        <v>1</v>
      </c>
      <c r="O227" s="9">
        <f t="shared" si="18"/>
        <v>0.70601058860168175</v>
      </c>
      <c r="P227" s="10">
        <v>5</v>
      </c>
      <c r="Q227" s="1">
        <f t="shared" si="19"/>
        <v>1</v>
      </c>
      <c r="R227" s="10">
        <v>8</v>
      </c>
      <c r="S227" s="10">
        <v>4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2735000</v>
      </c>
      <c r="N228" s="6">
        <f t="shared" si="17"/>
        <v>1</v>
      </c>
      <c r="O228" s="9">
        <f t="shared" si="18"/>
        <v>0.7076326002587322</v>
      </c>
      <c r="P228" s="10">
        <v>5</v>
      </c>
      <c r="Q228" s="1">
        <f t="shared" si="19"/>
        <v>1</v>
      </c>
      <c r="R228" s="10">
        <v>3</v>
      </c>
      <c r="S228" s="10">
        <v>5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939000</v>
      </c>
      <c r="N229" s="6">
        <f t="shared" si="17"/>
        <v>1</v>
      </c>
      <c r="O229" s="9">
        <f t="shared" si="18"/>
        <v>0.5202216066481995</v>
      </c>
      <c r="P229" s="10">
        <v>3</v>
      </c>
      <c r="Q229" s="1">
        <f t="shared" si="19"/>
        <v>1</v>
      </c>
      <c r="R229" s="10">
        <v>3</v>
      </c>
      <c r="S229" s="10">
        <v>3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15225000</v>
      </c>
      <c r="N230" s="6">
        <f t="shared" si="17"/>
        <v>1</v>
      </c>
      <c r="O230" s="9">
        <f t="shared" si="18"/>
        <v>0.8123032598836899</v>
      </c>
      <c r="P230" s="10">
        <v>11</v>
      </c>
      <c r="Q230" s="1">
        <f t="shared" si="19"/>
        <v>1</v>
      </c>
      <c r="R230" s="10">
        <v>19</v>
      </c>
      <c r="S230" s="10">
        <v>9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3</v>
      </c>
      <c r="J231" s="4">
        <f t="shared" si="15"/>
        <v>1</v>
      </c>
      <c r="K231" s="5">
        <f t="shared" si="16"/>
        <v>1</v>
      </c>
      <c r="L231" s="2">
        <v>1649000</v>
      </c>
      <c r="M231" s="2">
        <v>656000</v>
      </c>
      <c r="N231" s="6">
        <f t="shared" si="17"/>
        <v>1</v>
      </c>
      <c r="O231" s="9">
        <f t="shared" si="18"/>
        <v>0.39781685870224376</v>
      </c>
      <c r="P231" s="10">
        <v>59</v>
      </c>
      <c r="Q231" s="1">
        <f t="shared" si="19"/>
        <v>1</v>
      </c>
      <c r="R231" s="10">
        <v>8</v>
      </c>
      <c r="S231" s="10">
        <v>59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1737000</v>
      </c>
      <c r="N232" s="6">
        <f t="shared" si="17"/>
        <v>1</v>
      </c>
      <c r="O232" s="9">
        <f t="shared" si="18"/>
        <v>0.45710526315789474</v>
      </c>
      <c r="P232" s="10">
        <v>4</v>
      </c>
      <c r="Q232" s="1">
        <f t="shared" si="19"/>
        <v>1</v>
      </c>
      <c r="R232" s="10">
        <v>10</v>
      </c>
      <c r="S232" s="10">
        <v>5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9326000</v>
      </c>
      <c r="N233" s="6">
        <f t="shared" si="17"/>
        <v>1</v>
      </c>
      <c r="O233" s="9">
        <f t="shared" si="18"/>
        <v>0.47933799342105265</v>
      </c>
      <c r="P233" s="10">
        <v>14</v>
      </c>
      <c r="Q233" s="1">
        <f t="shared" si="19"/>
        <v>1</v>
      </c>
      <c r="R233" s="10">
        <v>33</v>
      </c>
      <c r="S233" s="10">
        <v>11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1850000</v>
      </c>
      <c r="N234" s="6">
        <f t="shared" si="17"/>
        <v>1</v>
      </c>
      <c r="O234" s="9">
        <f t="shared" si="18"/>
        <v>0.69340329835082459</v>
      </c>
      <c r="P234" s="10">
        <v>3</v>
      </c>
      <c r="Q234" s="1">
        <f t="shared" si="19"/>
        <v>1</v>
      </c>
      <c r="R234" s="10">
        <v>9</v>
      </c>
      <c r="S234" s="10">
        <v>3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6541000</v>
      </c>
      <c r="N235" s="6">
        <f t="shared" si="17"/>
        <v>1</v>
      </c>
      <c r="O235" s="9">
        <f t="shared" si="18"/>
        <v>1.1358860814448206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2250000</v>
      </c>
      <c r="N236" s="6">
        <f t="shared" si="17"/>
        <v>1</v>
      </c>
      <c r="O236" s="9">
        <f t="shared" si="18"/>
        <v>0.37027894347074797</v>
      </c>
      <c r="P236" s="10">
        <v>6</v>
      </c>
      <c r="Q236" s="1">
        <f t="shared" si="19"/>
        <v>1</v>
      </c>
      <c r="R236" s="10">
        <v>10</v>
      </c>
      <c r="S236" s="10">
        <v>6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788000</v>
      </c>
      <c r="N237" s="6">
        <f t="shared" si="17"/>
        <v>1</v>
      </c>
      <c r="O237" s="9">
        <f t="shared" si="18"/>
        <v>0.46054938632378728</v>
      </c>
      <c r="P237" s="10">
        <v>7</v>
      </c>
      <c r="Q237" s="1">
        <f t="shared" si="19"/>
        <v>1</v>
      </c>
      <c r="R237" s="10">
        <v>8</v>
      </c>
      <c r="S237" s="10">
        <v>7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722000</v>
      </c>
      <c r="N238" s="6">
        <f t="shared" si="17"/>
        <v>1</v>
      </c>
      <c r="O238" s="9">
        <f t="shared" si="18"/>
        <v>0.49724517906336091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3</v>
      </c>
      <c r="J239" s="4">
        <f t="shared" si="15"/>
        <v>1</v>
      </c>
      <c r="K239" s="5">
        <f t="shared" si="16"/>
        <v>1</v>
      </c>
      <c r="L239" s="2">
        <v>1325000</v>
      </c>
      <c r="M239" s="2">
        <v>4126000</v>
      </c>
      <c r="N239" s="6">
        <f t="shared" si="17"/>
        <v>1</v>
      </c>
      <c r="O239" s="9">
        <f t="shared" si="18"/>
        <v>3.1139622641509432</v>
      </c>
      <c r="P239" s="10">
        <v>8</v>
      </c>
      <c r="Q239" s="1">
        <f t="shared" si="19"/>
        <v>1</v>
      </c>
      <c r="R239" s="10">
        <v>3</v>
      </c>
      <c r="S239" s="10">
        <v>9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1022000</v>
      </c>
      <c r="N240" s="6">
        <f t="shared" si="17"/>
        <v>1</v>
      </c>
      <c r="O240" s="9">
        <f t="shared" si="18"/>
        <v>0.45181255526083114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4036000</v>
      </c>
      <c r="N241" s="6">
        <f t="shared" si="17"/>
        <v>1</v>
      </c>
      <c r="O241" s="9">
        <f t="shared" si="18"/>
        <v>1.5613152804642165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656000</v>
      </c>
      <c r="N242" s="6">
        <f t="shared" si="17"/>
        <v>1</v>
      </c>
      <c r="O242" s="9">
        <f t="shared" si="18"/>
        <v>0.37593123209169055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800000</v>
      </c>
      <c r="N243" s="6">
        <f t="shared" si="17"/>
        <v>1</v>
      </c>
      <c r="O243" s="9">
        <f t="shared" si="18"/>
        <v>0.28308563340410475</v>
      </c>
      <c r="P243" s="10">
        <v>52</v>
      </c>
      <c r="Q243" s="1">
        <f t="shared" si="19"/>
        <v>1</v>
      </c>
      <c r="R243" s="10">
        <v>56</v>
      </c>
      <c r="S243" s="10">
        <v>62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1542000</v>
      </c>
      <c r="N244" s="6">
        <f t="shared" si="17"/>
        <v>1</v>
      </c>
      <c r="O244" s="9">
        <f t="shared" si="18"/>
        <v>0.13190761334473911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4584000</v>
      </c>
      <c r="N245" s="6">
        <f t="shared" si="17"/>
        <v>1</v>
      </c>
      <c r="O245" s="9">
        <f t="shared" si="18"/>
        <v>0.97604599169594375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4813000</v>
      </c>
      <c r="N246" s="6">
        <f t="shared" si="17"/>
        <v>1</v>
      </c>
      <c r="O246" s="9">
        <f t="shared" si="18"/>
        <v>0.69416600562486475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35</v>
      </c>
      <c r="J247" s="4">
        <f t="shared" si="15"/>
        <v>1</v>
      </c>
      <c r="K247" s="5">
        <f t="shared" si="16"/>
        <v>11.666666666666666</v>
      </c>
      <c r="L247" s="2">
        <v>3325000</v>
      </c>
      <c r="M247" s="2">
        <v>8584000</v>
      </c>
      <c r="N247" s="6">
        <f t="shared" si="17"/>
        <v>1</v>
      </c>
      <c r="O247" s="9">
        <f t="shared" si="18"/>
        <v>2.5816541353383458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1275500</v>
      </c>
      <c r="N248" s="6">
        <f t="shared" si="17"/>
        <v>1</v>
      </c>
      <c r="O248" s="9">
        <f t="shared" si="18"/>
        <v>0.28455103179029562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3706500</v>
      </c>
      <c r="N249" s="6">
        <f t="shared" si="17"/>
        <v>1</v>
      </c>
      <c r="O249" s="9">
        <f t="shared" si="18"/>
        <v>0.48220906784622392</v>
      </c>
      <c r="P249" s="10">
        <v>12</v>
      </c>
      <c r="Q249" s="1">
        <f t="shared" si="19"/>
        <v>1</v>
      </c>
      <c r="R249" s="10">
        <v>19</v>
      </c>
      <c r="S249" s="10">
        <v>12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5059500</v>
      </c>
      <c r="N250" s="6">
        <f t="shared" si="17"/>
        <v>1</v>
      </c>
      <c r="O250" s="9">
        <f t="shared" si="18"/>
        <v>0.8201491327605771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43</v>
      </c>
      <c r="J251" s="4">
        <f t="shared" si="15"/>
        <v>1</v>
      </c>
      <c r="K251" s="5">
        <f t="shared" si="16"/>
        <v>14.333333333333334</v>
      </c>
      <c r="L251" s="2">
        <v>6035000</v>
      </c>
      <c r="M251" s="2">
        <v>10238000</v>
      </c>
      <c r="N251" s="6">
        <f t="shared" si="17"/>
        <v>1</v>
      </c>
      <c r="O251" s="9">
        <f t="shared" si="18"/>
        <v>1.6964374482187241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5346500</v>
      </c>
      <c r="N252" s="6">
        <f t="shared" si="17"/>
        <v>1</v>
      </c>
      <c r="O252" s="9">
        <f t="shared" si="18"/>
        <v>1.2778441682600383</v>
      </c>
      <c r="P252" s="10">
        <v>1</v>
      </c>
      <c r="Q252" s="1">
        <f t="shared" si="19"/>
        <v>0</v>
      </c>
      <c r="R252" s="10">
        <v>4</v>
      </c>
      <c r="S252" s="10">
        <v>1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6351000</v>
      </c>
      <c r="N255" s="6">
        <f t="shared" si="17"/>
        <v>1</v>
      </c>
      <c r="O255" s="9">
        <f t="shared" si="18"/>
        <v>0.67036098796706778</v>
      </c>
      <c r="P255" s="10">
        <v>4</v>
      </c>
      <c r="Q255" s="1">
        <f t="shared" si="19"/>
        <v>1</v>
      </c>
      <c r="R255" s="10">
        <v>3</v>
      </c>
      <c r="S255" s="10">
        <v>3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9</v>
      </c>
      <c r="J256" s="1">
        <f t="shared" si="15"/>
        <v>1</v>
      </c>
      <c r="K256" s="5">
        <f t="shared" si="16"/>
        <v>1.125</v>
      </c>
      <c r="L256" s="2">
        <v>9904800</v>
      </c>
      <c r="M256" s="2">
        <v>4039200</v>
      </c>
      <c r="N256" s="6">
        <f t="shared" si="17"/>
        <v>1</v>
      </c>
      <c r="O256" s="9">
        <f t="shared" si="18"/>
        <v>0.40780227768354738</v>
      </c>
      <c r="P256" s="10">
        <v>7</v>
      </c>
      <c r="Q256" s="1">
        <f t="shared" si="19"/>
        <v>1</v>
      </c>
      <c r="R256" s="10">
        <v>3</v>
      </c>
      <c r="S256" s="10">
        <v>9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9</v>
      </c>
      <c r="J257" s="4">
        <f t="shared" si="15"/>
        <v>1</v>
      </c>
      <c r="K257" s="5">
        <f t="shared" si="16"/>
        <v>0.5</v>
      </c>
      <c r="L257" s="2">
        <v>6628000</v>
      </c>
      <c r="M257" s="2">
        <v>2621000</v>
      </c>
      <c r="N257" s="6">
        <f t="shared" si="17"/>
        <v>1</v>
      </c>
      <c r="O257" s="9">
        <f t="shared" si="18"/>
        <v>0.39544357272178637</v>
      </c>
      <c r="P257" s="10">
        <v>2</v>
      </c>
      <c r="Q257" s="1">
        <f t="shared" si="19"/>
        <v>0</v>
      </c>
      <c r="R257" s="10">
        <v>3</v>
      </c>
      <c r="S257" s="10">
        <v>2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2989500</v>
      </c>
      <c r="N258" s="6">
        <f t="shared" si="17"/>
        <v>1</v>
      </c>
      <c r="O258" s="9">
        <f t="shared" si="18"/>
        <v>0.65645586297760206</v>
      </c>
      <c r="P258" s="10">
        <v>3</v>
      </c>
      <c r="Q258" s="1">
        <f t="shared" si="19"/>
        <v>1</v>
      </c>
      <c r="R258" s="10">
        <v>62</v>
      </c>
      <c r="S258" s="10">
        <v>4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3704000</v>
      </c>
      <c r="N259" s="6">
        <f t="shared" si="17"/>
        <v>1</v>
      </c>
      <c r="O259" s="9">
        <f t="shared" si="18"/>
        <v>0.85621821544151644</v>
      </c>
      <c r="P259" s="10">
        <v>3</v>
      </c>
      <c r="Q259" s="1">
        <f t="shared" si="19"/>
        <v>1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925200</v>
      </c>
      <c r="N261" s="6">
        <f t="shared" si="17"/>
        <v>1</v>
      </c>
      <c r="O261" s="9">
        <f t="shared" si="18"/>
        <v>0.4938087105038429</v>
      </c>
      <c r="P261" s="10">
        <v>11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11</v>
      </c>
      <c r="J262" s="1">
        <f t="shared" ref="J262:J315" si="20">IF(I262&gt;=3,1,0)</f>
        <v>1</v>
      </c>
      <c r="K262" s="5">
        <f t="shared" ref="K262:K315" si="21">I262/H262</f>
        <v>3.6666666666666665</v>
      </c>
      <c r="L262" s="2">
        <v>1840000</v>
      </c>
      <c r="M262" s="2">
        <v>1557600</v>
      </c>
      <c r="N262" s="6">
        <f t="shared" ref="N262:N315" si="22">IF(M262&gt;=300000,1,0)</f>
        <v>1</v>
      </c>
      <c r="O262" s="9">
        <f t="shared" ref="O262:O315" si="23">M262/L262</f>
        <v>0.84652173913043482</v>
      </c>
      <c r="P262" s="10">
        <v>8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932400</v>
      </c>
      <c r="N263" s="6">
        <f t="shared" si="22"/>
        <v>1</v>
      </c>
      <c r="O263" s="9">
        <f t="shared" si="23"/>
        <v>0.50673913043478258</v>
      </c>
      <c r="P263" s="10">
        <v>3</v>
      </c>
      <c r="Q263" s="1">
        <f t="shared" si="24"/>
        <v>1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8</v>
      </c>
      <c r="J264" s="4">
        <f t="shared" si="20"/>
        <v>1</v>
      </c>
      <c r="K264" s="5">
        <f t="shared" si="21"/>
        <v>2.6666666666666665</v>
      </c>
      <c r="L264" s="2">
        <v>1820000</v>
      </c>
      <c r="M264" s="2">
        <v>1235100</v>
      </c>
      <c r="N264" s="6">
        <f t="shared" si="22"/>
        <v>1</v>
      </c>
      <c r="O264" s="9">
        <f t="shared" si="23"/>
        <v>0.67862637362637368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14</v>
      </c>
      <c r="J265" s="1">
        <f t="shared" si="20"/>
        <v>1</v>
      </c>
      <c r="K265" s="5">
        <f t="shared" si="21"/>
        <v>0.60869565217391308</v>
      </c>
      <c r="L265" s="2">
        <v>2549200</v>
      </c>
      <c r="M265" s="2">
        <v>2730700</v>
      </c>
      <c r="N265" s="6">
        <f t="shared" si="22"/>
        <v>1</v>
      </c>
      <c r="O265" s="9">
        <f t="shared" si="23"/>
        <v>1.07119880746901</v>
      </c>
      <c r="P265" s="10">
        <v>8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8</v>
      </c>
      <c r="J266" s="1">
        <f t="shared" si="20"/>
        <v>1</v>
      </c>
      <c r="K266" s="5">
        <f t="shared" si="21"/>
        <v>2.6666666666666665</v>
      </c>
      <c r="L266" s="2">
        <v>4785200</v>
      </c>
      <c r="M266" s="2">
        <v>2097000</v>
      </c>
      <c r="N266" s="6">
        <f t="shared" si="22"/>
        <v>1</v>
      </c>
      <c r="O266" s="9">
        <f t="shared" si="23"/>
        <v>0.43822619744211316</v>
      </c>
      <c r="P266" s="10">
        <v>1</v>
      </c>
      <c r="Q266" s="1">
        <f t="shared" si="24"/>
        <v>0</v>
      </c>
      <c r="R266" s="10">
        <v>3</v>
      </c>
      <c r="S266" s="10">
        <v>1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11</v>
      </c>
      <c r="J267" s="4">
        <f t="shared" si="20"/>
        <v>1</v>
      </c>
      <c r="K267" s="5">
        <f t="shared" si="21"/>
        <v>3.6666666666666665</v>
      </c>
      <c r="L267" s="2">
        <v>2918800</v>
      </c>
      <c r="M267" s="2">
        <v>2718400</v>
      </c>
      <c r="N267" s="6">
        <f t="shared" si="22"/>
        <v>1</v>
      </c>
      <c r="O267" s="9">
        <f t="shared" si="23"/>
        <v>0.93134164725229551</v>
      </c>
      <c r="P267" s="10">
        <v>3</v>
      </c>
      <c r="Q267" s="1">
        <f t="shared" si="24"/>
        <v>1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10</v>
      </c>
      <c r="J268" s="4">
        <f t="shared" si="20"/>
        <v>1</v>
      </c>
      <c r="K268" s="5">
        <f t="shared" si="21"/>
        <v>2.5</v>
      </c>
      <c r="L268" s="2">
        <v>10595000</v>
      </c>
      <c r="M268" s="2">
        <v>3395000</v>
      </c>
      <c r="N268" s="6">
        <f t="shared" si="22"/>
        <v>1</v>
      </c>
      <c r="O268" s="9">
        <f t="shared" si="23"/>
        <v>0.32043416705993394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10</v>
      </c>
      <c r="J269" s="1">
        <f t="shared" si="20"/>
        <v>1</v>
      </c>
      <c r="K269" s="5">
        <f t="shared" si="21"/>
        <v>3.3333333333333335</v>
      </c>
      <c r="L269" s="2">
        <v>6865000</v>
      </c>
      <c r="M269" s="2">
        <v>3995000</v>
      </c>
      <c r="N269" s="6">
        <f t="shared" si="22"/>
        <v>1</v>
      </c>
      <c r="O269" s="9">
        <f t="shared" si="23"/>
        <v>0.58193736343772762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10</v>
      </c>
      <c r="J271" s="4">
        <f t="shared" si="20"/>
        <v>1</v>
      </c>
      <c r="K271" s="5">
        <f t="shared" si="21"/>
        <v>3.3333333333333335</v>
      </c>
      <c r="L271" s="2">
        <v>17267500</v>
      </c>
      <c r="M271" s="2">
        <v>1440000</v>
      </c>
      <c r="N271" s="6">
        <f t="shared" si="22"/>
        <v>1</v>
      </c>
      <c r="O271" s="9">
        <f t="shared" si="23"/>
        <v>8.3393658607210083E-2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43</v>
      </c>
      <c r="J272" s="1">
        <f t="shared" si="20"/>
        <v>1</v>
      </c>
      <c r="K272" s="5">
        <f t="shared" si="21"/>
        <v>0.72881355932203384</v>
      </c>
      <c r="L272" s="2">
        <v>19453000</v>
      </c>
      <c r="M272" s="2">
        <v>9222000</v>
      </c>
      <c r="N272" s="6">
        <f t="shared" si="22"/>
        <v>1</v>
      </c>
      <c r="O272" s="9">
        <f t="shared" si="23"/>
        <v>0.47406569680769034</v>
      </c>
      <c r="P272" s="10">
        <v>5</v>
      </c>
      <c r="Q272" s="1">
        <f t="shared" si="24"/>
        <v>1</v>
      </c>
      <c r="R272" s="10">
        <v>3</v>
      </c>
      <c r="S272" s="10">
        <v>7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23</v>
      </c>
      <c r="J273" s="4">
        <f t="shared" si="20"/>
        <v>1</v>
      </c>
      <c r="K273" s="5">
        <f t="shared" si="21"/>
        <v>3.8333333333333335</v>
      </c>
      <c r="L273" s="2">
        <v>9640000</v>
      </c>
      <c r="M273" s="2">
        <v>5858000</v>
      </c>
      <c r="N273" s="6">
        <f t="shared" si="22"/>
        <v>1</v>
      </c>
      <c r="O273" s="9">
        <f t="shared" si="23"/>
        <v>0.60767634854771779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13</v>
      </c>
      <c r="J274" s="1">
        <f t="shared" si="20"/>
        <v>1</v>
      </c>
      <c r="K274" s="5">
        <f t="shared" si="21"/>
        <v>4.333333333333333</v>
      </c>
      <c r="L274" s="2">
        <v>5819000</v>
      </c>
      <c r="M274" s="2">
        <v>5633000</v>
      </c>
      <c r="N274" s="6">
        <f t="shared" si="22"/>
        <v>1</v>
      </c>
      <c r="O274" s="9">
        <f t="shared" si="23"/>
        <v>0.96803574497336309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20</v>
      </c>
      <c r="J277" s="1">
        <f t="shared" si="20"/>
        <v>1</v>
      </c>
      <c r="K277" s="5">
        <f t="shared" si="21"/>
        <v>0.83333333333333337</v>
      </c>
      <c r="L277" s="2">
        <v>5654000</v>
      </c>
      <c r="M277" s="2">
        <v>904200</v>
      </c>
      <c r="N277" s="6">
        <f t="shared" si="22"/>
        <v>1</v>
      </c>
      <c r="O277" s="9">
        <f t="shared" si="23"/>
        <v>0.15992217898832684</v>
      </c>
      <c r="P277" s="10">
        <v>2</v>
      </c>
      <c r="Q277" s="1">
        <f t="shared" si="24"/>
        <v>0</v>
      </c>
      <c r="R277" s="10">
        <v>3</v>
      </c>
      <c r="S277" s="10">
        <v>3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20</v>
      </c>
      <c r="J278" s="1">
        <f t="shared" si="20"/>
        <v>1</v>
      </c>
      <c r="K278" s="5">
        <f t="shared" si="21"/>
        <v>1.5384615384615385</v>
      </c>
      <c r="L278" s="2">
        <v>4600000</v>
      </c>
      <c r="M278" s="2">
        <v>904200</v>
      </c>
      <c r="N278" s="6">
        <f t="shared" si="22"/>
        <v>1</v>
      </c>
      <c r="O278" s="9">
        <f t="shared" si="23"/>
        <v>0.19656521739130434</v>
      </c>
      <c r="P278" s="10">
        <v>9</v>
      </c>
      <c r="Q278" s="1">
        <f t="shared" si="24"/>
        <v>1</v>
      </c>
      <c r="R278" s="10">
        <v>5</v>
      </c>
      <c r="S278" s="10">
        <v>8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20</v>
      </c>
      <c r="J279" s="4">
        <f t="shared" si="20"/>
        <v>1</v>
      </c>
      <c r="K279" s="5">
        <f t="shared" si="21"/>
        <v>2.5</v>
      </c>
      <c r="L279" s="2">
        <v>6190000</v>
      </c>
      <c r="M279" s="2">
        <v>904200</v>
      </c>
      <c r="N279" s="6">
        <f t="shared" si="22"/>
        <v>1</v>
      </c>
      <c r="O279" s="9">
        <f t="shared" si="23"/>
        <v>0.14607431340872376</v>
      </c>
      <c r="P279" s="10">
        <v>5</v>
      </c>
      <c r="Q279" s="1">
        <f t="shared" si="24"/>
        <v>1</v>
      </c>
      <c r="R279" s="10">
        <v>5</v>
      </c>
      <c r="S279" s="10">
        <v>5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18</v>
      </c>
      <c r="J280" s="4">
        <f t="shared" si="20"/>
        <v>1</v>
      </c>
      <c r="K280" s="5">
        <f t="shared" si="21"/>
        <v>2.5714285714285716</v>
      </c>
      <c r="L280" s="2">
        <v>9806500</v>
      </c>
      <c r="M280" s="2">
        <v>3601000</v>
      </c>
      <c r="N280" s="6">
        <f t="shared" si="22"/>
        <v>1</v>
      </c>
      <c r="O280" s="9">
        <f t="shared" si="23"/>
        <v>0.36720542497323205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23</v>
      </c>
      <c r="J281" s="1">
        <f t="shared" si="20"/>
        <v>1</v>
      </c>
      <c r="K281" s="5">
        <f t="shared" si="21"/>
        <v>2.875</v>
      </c>
      <c r="L281" s="2">
        <v>6498000</v>
      </c>
      <c r="M281" s="2">
        <v>3751000</v>
      </c>
      <c r="N281" s="6">
        <f t="shared" si="22"/>
        <v>1</v>
      </c>
      <c r="O281" s="9">
        <f t="shared" si="23"/>
        <v>0.57725453985841801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13</v>
      </c>
      <c r="J282" s="1">
        <f t="shared" si="20"/>
        <v>1</v>
      </c>
      <c r="K282" s="5">
        <f t="shared" si="21"/>
        <v>1.625</v>
      </c>
      <c r="L282" s="2">
        <v>5349000</v>
      </c>
      <c r="M282" s="2">
        <v>5511000</v>
      </c>
      <c r="N282" s="6">
        <f t="shared" si="22"/>
        <v>1</v>
      </c>
      <c r="O282" s="9">
        <f t="shared" si="23"/>
        <v>1.0302860347728546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13</v>
      </c>
      <c r="J284" s="4">
        <f t="shared" si="20"/>
        <v>1</v>
      </c>
      <c r="K284" s="5">
        <f t="shared" si="21"/>
        <v>1.625</v>
      </c>
      <c r="L284" s="2">
        <v>4830000</v>
      </c>
      <c r="M284" s="2">
        <v>4121000</v>
      </c>
      <c r="N284" s="6">
        <f t="shared" si="22"/>
        <v>1</v>
      </c>
      <c r="O284" s="9">
        <f t="shared" si="23"/>
        <v>0.85320910973084885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13</v>
      </c>
      <c r="J285" s="4">
        <f t="shared" si="20"/>
        <v>1</v>
      </c>
      <c r="K285" s="5">
        <f t="shared" si="21"/>
        <v>1.625</v>
      </c>
      <c r="L285" s="2">
        <v>12053000</v>
      </c>
      <c r="M285" s="2">
        <v>2856000</v>
      </c>
      <c r="N285" s="6">
        <f t="shared" si="22"/>
        <v>1</v>
      </c>
      <c r="O285" s="9">
        <f t="shared" si="23"/>
        <v>0.23695345557122707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13</v>
      </c>
      <c r="J286" s="1">
        <f t="shared" si="20"/>
        <v>1</v>
      </c>
      <c r="K286" s="5">
        <f t="shared" si="21"/>
        <v>1.625</v>
      </c>
      <c r="L286" s="2">
        <v>4509000</v>
      </c>
      <c r="M286" s="2">
        <v>6394000</v>
      </c>
      <c r="N286" s="6">
        <f t="shared" si="22"/>
        <v>1</v>
      </c>
      <c r="O286" s="9">
        <f t="shared" si="23"/>
        <v>1.4180527833222445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670000</v>
      </c>
      <c r="N288" s="6">
        <f t="shared" si="22"/>
        <v>1</v>
      </c>
      <c r="O288" s="9">
        <f t="shared" si="23"/>
        <v>0.37430167597765363</v>
      </c>
      <c r="P288" s="10">
        <v>5</v>
      </c>
      <c r="Q288" s="1">
        <f t="shared" si="24"/>
        <v>1</v>
      </c>
      <c r="R288" s="10">
        <v>4</v>
      </c>
      <c r="S288" s="10">
        <v>5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1637000</v>
      </c>
      <c r="N289" s="6">
        <f t="shared" si="22"/>
        <v>1</v>
      </c>
      <c r="O289" s="9">
        <f t="shared" si="23"/>
        <v>0.52840542285345382</v>
      </c>
      <c r="P289" s="10">
        <v>8</v>
      </c>
      <c r="Q289" s="1">
        <f t="shared" si="24"/>
        <v>1</v>
      </c>
      <c r="R289" s="10">
        <v>6</v>
      </c>
      <c r="S289" s="10">
        <v>8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962000</v>
      </c>
      <c r="N290" s="6">
        <f t="shared" si="22"/>
        <v>1</v>
      </c>
      <c r="O290" s="9">
        <f t="shared" si="23"/>
        <v>0.62671009771986974</v>
      </c>
      <c r="P290" s="10">
        <v>9</v>
      </c>
      <c r="Q290" s="1">
        <f t="shared" si="24"/>
        <v>1</v>
      </c>
      <c r="R290" s="10">
        <v>5</v>
      </c>
      <c r="S290" s="10">
        <v>8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3296000</v>
      </c>
      <c r="N291" s="6">
        <f t="shared" si="22"/>
        <v>1</v>
      </c>
      <c r="O291" s="9">
        <f t="shared" si="23"/>
        <v>1.6349206349206349</v>
      </c>
      <c r="P291" s="10">
        <v>3</v>
      </c>
      <c r="Q291" s="1">
        <f t="shared" si="24"/>
        <v>1</v>
      </c>
      <c r="R291" s="10">
        <v>5</v>
      </c>
      <c r="S291" s="10">
        <v>3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23</v>
      </c>
      <c r="J295" s="1">
        <f t="shared" si="20"/>
        <v>1</v>
      </c>
      <c r="K295" s="5">
        <f t="shared" si="21"/>
        <v>7.666666666666667</v>
      </c>
      <c r="L295" s="2">
        <v>4765000</v>
      </c>
      <c r="M295" s="2">
        <v>4476000</v>
      </c>
      <c r="N295" s="6">
        <f t="shared" si="22"/>
        <v>1</v>
      </c>
      <c r="O295" s="9">
        <f t="shared" si="23"/>
        <v>0.93934942287513112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2</v>
      </c>
      <c r="Q297" s="1">
        <f t="shared" si="24"/>
        <v>0</v>
      </c>
      <c r="R297" s="10">
        <v>3</v>
      </c>
      <c r="S297" s="10">
        <v>2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3</v>
      </c>
      <c r="Q302" s="1">
        <f t="shared" si="24"/>
        <v>1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841000</v>
      </c>
      <c r="N305" s="6">
        <f t="shared" si="22"/>
        <v>1</v>
      </c>
      <c r="O305" s="9">
        <f t="shared" si="23"/>
        <v>0.50601684717208184</v>
      </c>
      <c r="P305" s="10">
        <v>16</v>
      </c>
      <c r="Q305" s="1">
        <f t="shared" si="24"/>
        <v>1</v>
      </c>
      <c r="R305" s="10">
        <v>20</v>
      </c>
      <c r="S305" s="10">
        <v>36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860000</v>
      </c>
      <c r="N306" s="6">
        <f t="shared" si="22"/>
        <v>1</v>
      </c>
      <c r="O306" s="9">
        <f t="shared" si="23"/>
        <v>0.51932367149758452</v>
      </c>
      <c r="P306" s="10">
        <v>7</v>
      </c>
      <c r="Q306" s="1">
        <f t="shared" si="24"/>
        <v>1</v>
      </c>
      <c r="R306" s="10">
        <v>15</v>
      </c>
      <c r="S306" s="10">
        <v>7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9</v>
      </c>
      <c r="J307" s="1">
        <f t="shared" si="20"/>
        <v>1</v>
      </c>
      <c r="K307" s="5">
        <f t="shared" si="21"/>
        <v>3</v>
      </c>
      <c r="L307" s="2">
        <v>2532000</v>
      </c>
      <c r="M307" s="2">
        <v>2548000</v>
      </c>
      <c r="N307" s="6">
        <f t="shared" si="22"/>
        <v>1</v>
      </c>
      <c r="O307" s="9">
        <f t="shared" si="23"/>
        <v>1.0063191153238547</v>
      </c>
      <c r="P307" s="10">
        <v>8</v>
      </c>
      <c r="Q307" s="1">
        <f t="shared" si="24"/>
        <v>1</v>
      </c>
      <c r="R307" s="10">
        <v>3</v>
      </c>
      <c r="S307" s="10">
        <v>8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9</v>
      </c>
      <c r="J308" s="1">
        <f t="shared" si="20"/>
        <v>1</v>
      </c>
      <c r="K308" s="5">
        <f t="shared" si="21"/>
        <v>3</v>
      </c>
      <c r="L308" s="2">
        <v>2457000</v>
      </c>
      <c r="M308" s="2">
        <v>1871000</v>
      </c>
      <c r="N308" s="6">
        <f t="shared" si="22"/>
        <v>1</v>
      </c>
      <c r="O308" s="9">
        <f t="shared" si="23"/>
        <v>0.76149776149776149</v>
      </c>
      <c r="P308" s="10">
        <v>6</v>
      </c>
      <c r="Q308" s="1">
        <f t="shared" si="24"/>
        <v>1</v>
      </c>
      <c r="R308" s="10">
        <v>3</v>
      </c>
      <c r="S308" s="10">
        <v>6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1935000</v>
      </c>
      <c r="N309" s="6">
        <f t="shared" si="22"/>
        <v>1</v>
      </c>
      <c r="O309" s="9">
        <f t="shared" si="23"/>
        <v>0.65995907230559347</v>
      </c>
      <c r="P309" s="10">
        <v>3</v>
      </c>
      <c r="Q309" s="1">
        <f t="shared" si="24"/>
        <v>1</v>
      </c>
      <c r="R309" s="10">
        <v>3</v>
      </c>
      <c r="S309" s="10">
        <v>3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745000</v>
      </c>
      <c r="N310" s="6">
        <f t="shared" si="22"/>
        <v>1</v>
      </c>
      <c r="O310" s="9">
        <f t="shared" si="23"/>
        <v>0.43541788427819988</v>
      </c>
      <c r="P310" s="10">
        <v>3</v>
      </c>
      <c r="Q310" s="1">
        <f t="shared" si="24"/>
        <v>1</v>
      </c>
      <c r="R310" s="10">
        <v>3</v>
      </c>
      <c r="S310" s="10">
        <v>3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8056000</v>
      </c>
      <c r="N311" s="6">
        <f t="shared" si="22"/>
        <v>1</v>
      </c>
      <c r="O311" s="9">
        <f t="shared" si="23"/>
        <v>0.79892894332325082</v>
      </c>
      <c r="P311" s="10">
        <v>5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6</v>
      </c>
      <c r="J312" s="4">
        <f t="shared" si="20"/>
        <v>1</v>
      </c>
      <c r="K312" s="5">
        <f t="shared" si="21"/>
        <v>2</v>
      </c>
      <c r="L312" s="2">
        <v>12120600</v>
      </c>
      <c r="M312" s="2">
        <v>3225000</v>
      </c>
      <c r="N312" s="6">
        <f t="shared" si="22"/>
        <v>1</v>
      </c>
      <c r="O312" s="9">
        <f t="shared" si="23"/>
        <v>0.26607593683481018</v>
      </c>
      <c r="P312" s="10">
        <v>3</v>
      </c>
      <c r="Q312" s="1">
        <f t="shared" si="24"/>
        <v>1</v>
      </c>
      <c r="R312" s="10">
        <v>5</v>
      </c>
      <c r="S312" s="10">
        <v>3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I7:I315 L7:M315 R7:T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2026-09-29T07:40:48Z</dcterms:modified>
</cp:coreProperties>
</file>