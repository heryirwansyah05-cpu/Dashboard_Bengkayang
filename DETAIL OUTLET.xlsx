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<sst xmlns="http://schemas.openxmlformats.org/spreadsheetml/2006/main" count="2058" uniqueCount="480">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</sst>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R6" activePane="bottomRight" state="frozen"/>
      <selection pane="topRight" activeCell="D1" sqref="D1"/>
      <selection pane="bottomLeft" activeCell="A6" sqref="A6"/>
      <selection pane="bottomRight" activeCell="S6" sqref="S6:S338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12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9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2350000</v>
      </c>
      <c r="N8" s="6">
        <f t="shared" si="2"/>
        <v>1</v>
      </c>
      <c r="O8" s="9">
        <f t="shared" si="3"/>
        <v>1.5102694150812468</v>
      </c>
      <c r="P8" s="10">
        <v>1</v>
      </c>
      <c r="Q8" s="1">
        <f t="shared" si="4"/>
        <v>0</v>
      </c>
      <c r="R8" s="10">
        <v>6</v>
      </c>
      <c r="S8" s="10">
        <v>1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11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10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2350000</v>
      </c>
      <c r="N11" s="6">
        <f t="shared" si="2"/>
        <v>1</v>
      </c>
      <c r="O11" s="9">
        <f t="shared" si="3"/>
        <v>0.20487766117363357</v>
      </c>
      <c r="P11" s="10">
        <v>1</v>
      </c>
      <c r="Q11" s="1">
        <f t="shared" si="4"/>
        <v>0</v>
      </c>
      <c r="R11" s="10">
        <v>9</v>
      </c>
      <c r="S11" s="10">
        <v>1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9">
        <f t="shared" si="3"/>
        <v>0</v>
      </c>
      <c r="P12" s="10">
        <v>1</v>
      </c>
      <c r="Q12" s="1">
        <f t="shared" si="4"/>
        <v>0</v>
      </c>
      <c r="R12" s="10">
        <v>10</v>
      </c>
      <c r="S12" s="10">
        <v>1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2350000</v>
      </c>
      <c r="N13" s="6">
        <f t="shared" si="2"/>
        <v>1</v>
      </c>
      <c r="O13" s="9">
        <f t="shared" si="3"/>
        <v>0.24432943325357143</v>
      </c>
      <c r="P13" s="10">
        <v>1</v>
      </c>
      <c r="Q13" s="1">
        <f t="shared" si="4"/>
        <v>0</v>
      </c>
      <c r="R13" s="10">
        <v>9</v>
      </c>
      <c r="S13" s="10">
        <v>1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2350000</v>
      </c>
      <c r="N14" s="6">
        <f t="shared" si="2"/>
        <v>1</v>
      </c>
      <c r="O14" s="9">
        <f t="shared" si="3"/>
        <v>1.1050316405854492</v>
      </c>
      <c r="P14" s="10">
        <v>2</v>
      </c>
      <c r="Q14" s="1">
        <f t="shared" si="4"/>
        <v>0</v>
      </c>
      <c r="R14" s="10">
        <v>8</v>
      </c>
      <c r="S14" s="10">
        <v>2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14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1000000</v>
      </c>
      <c r="N16" s="6">
        <f t="shared" si="2"/>
        <v>1</v>
      </c>
      <c r="O16" s="9">
        <f t="shared" si="3"/>
        <v>4.8447749300172809E-2</v>
      </c>
      <c r="P16" s="10">
        <v>0</v>
      </c>
      <c r="Q16" s="1">
        <f t="shared" si="4"/>
        <v>0</v>
      </c>
      <c r="R16" s="10">
        <v>13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6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1700000</v>
      </c>
      <c r="N18" s="6">
        <f t="shared" si="2"/>
        <v>1</v>
      </c>
      <c r="O18" s="9">
        <f t="shared" si="3"/>
        <v>0.38487443481854244</v>
      </c>
      <c r="P18" s="10">
        <v>0</v>
      </c>
      <c r="Q18" s="1">
        <f t="shared" si="4"/>
        <v>0</v>
      </c>
      <c r="R18" s="10">
        <v>22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21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11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2000000</v>
      </c>
      <c r="N21" s="6">
        <f t="shared" si="2"/>
        <v>1</v>
      </c>
      <c r="O21" s="9">
        <f t="shared" si="3"/>
        <v>0.57398324936109069</v>
      </c>
      <c r="P21" s="10">
        <v>2</v>
      </c>
      <c r="Q21" s="1">
        <f t="shared" si="4"/>
        <v>0</v>
      </c>
      <c r="R21" s="10">
        <v>8</v>
      </c>
      <c r="S21" s="10">
        <v>2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6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20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13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12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9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9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9">
        <f t="shared" si="3"/>
        <v>0.13078525898343682</v>
      </c>
      <c r="P29" s="10">
        <v>0</v>
      </c>
      <c r="Q29" s="1">
        <f t="shared" si="4"/>
        <v>0</v>
      </c>
      <c r="R29" s="10">
        <v>8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7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9">
        <f t="shared" si="3"/>
        <v>0.56349122814245722</v>
      </c>
      <c r="P31" s="10">
        <v>6</v>
      </c>
      <c r="Q31" s="1">
        <f t="shared" si="4"/>
        <v>1</v>
      </c>
      <c r="R31" s="10">
        <v>6</v>
      </c>
      <c r="S31" s="10">
        <v>6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2350000</v>
      </c>
      <c r="N32" s="6">
        <f t="shared" si="2"/>
        <v>1</v>
      </c>
      <c r="O32" s="9">
        <f t="shared" si="3"/>
        <v>0.18111362159711694</v>
      </c>
      <c r="P32" s="10">
        <v>1</v>
      </c>
      <c r="Q32" s="1">
        <f t="shared" si="4"/>
        <v>0</v>
      </c>
      <c r="R32" s="10">
        <v>13</v>
      </c>
      <c r="S32" s="10">
        <v>1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7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8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2350000</v>
      </c>
      <c r="N35" s="6">
        <f t="shared" si="2"/>
        <v>1</v>
      </c>
      <c r="O35" s="9">
        <f t="shared" si="3"/>
        <v>0.43906185216189997</v>
      </c>
      <c r="P35" s="10">
        <v>101</v>
      </c>
      <c r="Q35" s="1">
        <f t="shared" si="4"/>
        <v>1</v>
      </c>
      <c r="R35" s="10">
        <v>7</v>
      </c>
      <c r="S35" s="10">
        <v>101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7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7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2350000</v>
      </c>
      <c r="N38" s="6">
        <f t="shared" si="2"/>
        <v>1</v>
      </c>
      <c r="O38" s="9">
        <f t="shared" si="3"/>
        <v>2.2063376181884808</v>
      </c>
      <c r="P38" s="10">
        <v>1</v>
      </c>
      <c r="Q38" s="1">
        <f t="shared" si="4"/>
        <v>0</v>
      </c>
      <c r="R38" s="10">
        <v>12</v>
      </c>
      <c r="S38" s="10">
        <v>1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9">
        <f t="shared" si="3"/>
        <v>0</v>
      </c>
      <c r="P39" s="10">
        <v>100</v>
      </c>
      <c r="Q39" s="1">
        <f t="shared" si="4"/>
        <v>1</v>
      </c>
      <c r="R39" s="10">
        <v>11</v>
      </c>
      <c r="S39" s="10">
        <v>101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10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13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2000000</v>
      </c>
      <c r="N42" s="6">
        <f t="shared" si="2"/>
        <v>1</v>
      </c>
      <c r="O42" s="9">
        <f t="shared" si="3"/>
        <v>0.12094945313594024</v>
      </c>
      <c r="P42" s="10">
        <v>2</v>
      </c>
      <c r="Q42" s="1">
        <f t="shared" si="4"/>
        <v>0</v>
      </c>
      <c r="R42" s="10">
        <v>12</v>
      </c>
      <c r="S42" s="10">
        <v>2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9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2350000</v>
      </c>
      <c r="N44" s="6">
        <f t="shared" si="2"/>
        <v>1</v>
      </c>
      <c r="O44" s="9">
        <f t="shared" si="3"/>
        <v>0.8211817512293923</v>
      </c>
      <c r="P44" s="10">
        <v>101</v>
      </c>
      <c r="Q44" s="1">
        <f t="shared" si="4"/>
        <v>1</v>
      </c>
      <c r="R44" s="10">
        <v>9</v>
      </c>
      <c r="S44" s="10">
        <v>101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7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2350000</v>
      </c>
      <c r="N46" s="6">
        <f t="shared" si="2"/>
        <v>1</v>
      </c>
      <c r="O46" s="9">
        <f t="shared" si="3"/>
        <v>0.29761676257717962</v>
      </c>
      <c r="P46" s="10">
        <v>1</v>
      </c>
      <c r="Q46" s="1">
        <f t="shared" si="4"/>
        <v>0</v>
      </c>
      <c r="R46" s="10">
        <v>8</v>
      </c>
      <c r="S46" s="10">
        <v>1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2350000</v>
      </c>
      <c r="N47" s="6">
        <f t="shared" si="2"/>
        <v>1</v>
      </c>
      <c r="O47" s="9">
        <f t="shared" si="3"/>
        <v>1.9681195114427177</v>
      </c>
      <c r="P47" s="10">
        <v>1</v>
      </c>
      <c r="Q47" s="1">
        <f t="shared" si="4"/>
        <v>0</v>
      </c>
      <c r="R47" s="10">
        <v>8</v>
      </c>
      <c r="S47" s="10">
        <v>1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2350000</v>
      </c>
      <c r="N48" s="6">
        <f t="shared" si="2"/>
        <v>1</v>
      </c>
      <c r="O48" s="9">
        <f t="shared" si="3"/>
        <v>7.833333333333333</v>
      </c>
      <c r="P48" s="10">
        <v>1</v>
      </c>
      <c r="Q48" s="1">
        <f t="shared" si="4"/>
        <v>0</v>
      </c>
      <c r="R48" s="10">
        <v>5</v>
      </c>
      <c r="S48" s="10">
        <v>1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9">
        <f t="shared" si="3"/>
        <v>0</v>
      </c>
      <c r="P49" s="10">
        <v>5</v>
      </c>
      <c r="Q49" s="1">
        <f t="shared" si="4"/>
        <v>1</v>
      </c>
      <c r="R49" s="10">
        <v>22</v>
      </c>
      <c r="S49" s="10">
        <v>5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1164000</v>
      </c>
      <c r="N50" s="6">
        <f t="shared" si="2"/>
        <v>1</v>
      </c>
      <c r="O50" s="9">
        <f t="shared" si="3"/>
        <v>9.9033523088801909E-2</v>
      </c>
      <c r="P50" s="10">
        <v>1</v>
      </c>
      <c r="Q50" s="1">
        <f t="shared" si="4"/>
        <v>0</v>
      </c>
      <c r="R50" s="10">
        <v>9</v>
      </c>
      <c r="S50" s="10">
        <v>1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1549000</v>
      </c>
      <c r="N51" s="6">
        <f t="shared" si="2"/>
        <v>1</v>
      </c>
      <c r="O51" s="9">
        <f t="shared" si="3"/>
        <v>0.30293341585732791</v>
      </c>
      <c r="P51" s="10">
        <v>0</v>
      </c>
      <c r="Q51" s="1">
        <f t="shared" si="4"/>
        <v>0</v>
      </c>
      <c r="R51" s="10">
        <v>8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2364000</v>
      </c>
      <c r="N52" s="6">
        <f t="shared" si="2"/>
        <v>1</v>
      </c>
      <c r="O52" s="9">
        <f t="shared" si="3"/>
        <v>2.0931583121866115</v>
      </c>
      <c r="P52" s="10">
        <v>7</v>
      </c>
      <c r="Q52" s="1">
        <f t="shared" si="4"/>
        <v>1</v>
      </c>
      <c r="R52" s="10">
        <v>7</v>
      </c>
      <c r="S52" s="10">
        <v>7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2109500</v>
      </c>
      <c r="N53" s="6">
        <f t="shared" si="2"/>
        <v>1</v>
      </c>
      <c r="O53" s="9">
        <f t="shared" si="3"/>
        <v>0.19486107276102357</v>
      </c>
      <c r="P53" s="10">
        <v>0</v>
      </c>
      <c r="Q53" s="1">
        <f t="shared" si="4"/>
        <v>0</v>
      </c>
      <c r="R53" s="10">
        <v>9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8359000</v>
      </c>
      <c r="N54" s="6">
        <f t="shared" si="2"/>
        <v>1</v>
      </c>
      <c r="O54" s="9">
        <f t="shared" si="3"/>
        <v>0.93009961036531241</v>
      </c>
      <c r="P54" s="10">
        <v>1</v>
      </c>
      <c r="Q54" s="1">
        <f t="shared" si="4"/>
        <v>0</v>
      </c>
      <c r="R54" s="10">
        <v>7</v>
      </c>
      <c r="S54" s="10">
        <v>2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4.6483805077327114</v>
      </c>
      <c r="I55" s="1">
        <v>6</v>
      </c>
      <c r="J55" s="1">
        <f t="shared" si="0"/>
        <v>1</v>
      </c>
      <c r="K55" s="5">
        <f t="shared" si="1"/>
        <v>1.2907721280602635</v>
      </c>
      <c r="L55" s="2">
        <v>3846582.3800694668</v>
      </c>
      <c r="M55" s="2">
        <v>2639500</v>
      </c>
      <c r="N55" s="6">
        <f t="shared" si="2"/>
        <v>1</v>
      </c>
      <c r="O55" s="9">
        <f t="shared" si="3"/>
        <v>0.68619354512624064</v>
      </c>
      <c r="P55" s="10">
        <v>4</v>
      </c>
      <c r="Q55" s="1">
        <f t="shared" si="4"/>
        <v>1</v>
      </c>
      <c r="R55" s="10">
        <v>7</v>
      </c>
      <c r="S55" s="10">
        <v>5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13">
        <v>17613115</v>
      </c>
      <c r="B56" s="13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9">
        <f t="shared" si="3"/>
        <v>0</v>
      </c>
      <c r="P56" s="10">
        <v>2</v>
      </c>
      <c r="Q56" s="1">
        <f t="shared" si="4"/>
        <v>0</v>
      </c>
      <c r="R56" s="10">
        <v>5</v>
      </c>
      <c r="S56" s="10">
        <v>2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3134500</v>
      </c>
      <c r="N57" s="6">
        <f t="shared" si="2"/>
        <v>1</v>
      </c>
      <c r="O57" s="9">
        <f t="shared" si="3"/>
        <v>0.20675996368879196</v>
      </c>
      <c r="P57" s="10">
        <v>2</v>
      </c>
      <c r="Q57" s="1">
        <f t="shared" si="4"/>
        <v>0</v>
      </c>
      <c r="R57" s="10">
        <v>9</v>
      </c>
      <c r="S57" s="10">
        <v>2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8.676976947767713</v>
      </c>
      <c r="I58" s="1">
        <v>106</v>
      </c>
      <c r="J58" s="4">
        <f t="shared" si="0"/>
        <v>1</v>
      </c>
      <c r="K58" s="5">
        <f t="shared" si="1"/>
        <v>12.216236211998943</v>
      </c>
      <c r="L58" s="2">
        <v>1893575.0259166521</v>
      </c>
      <c r="M58" s="2">
        <v>5037500</v>
      </c>
      <c r="N58" s="6">
        <f t="shared" si="2"/>
        <v>1</v>
      </c>
      <c r="O58" s="9">
        <f t="shared" si="3"/>
        <v>2.6603118075880938</v>
      </c>
      <c r="P58" s="10">
        <v>2</v>
      </c>
      <c r="Q58" s="1">
        <f t="shared" si="4"/>
        <v>0</v>
      </c>
      <c r="R58" s="10">
        <v>11</v>
      </c>
      <c r="S58" s="10">
        <v>3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5.2681645754304078</v>
      </c>
      <c r="I59" s="1">
        <v>106</v>
      </c>
      <c r="J59" s="1">
        <f t="shared" si="0"/>
        <v>1</v>
      </c>
      <c r="K59" s="5">
        <f t="shared" si="1"/>
        <v>20.120859643292338</v>
      </c>
      <c r="L59" s="2">
        <v>5325208.4315035222</v>
      </c>
      <c r="M59" s="2">
        <v>4799000</v>
      </c>
      <c r="N59" s="6">
        <f t="shared" si="2"/>
        <v>1</v>
      </c>
      <c r="O59" s="9">
        <f t="shared" si="3"/>
        <v>0.90118538301890427</v>
      </c>
      <c r="P59" s="10">
        <v>2</v>
      </c>
      <c r="Q59" s="1">
        <f t="shared" si="4"/>
        <v>0</v>
      </c>
      <c r="R59" s="10">
        <v>8</v>
      </c>
      <c r="S59" s="10">
        <v>2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2513000</v>
      </c>
      <c r="N60" s="6">
        <f t="shared" si="2"/>
        <v>1</v>
      </c>
      <c r="O60" s="9">
        <f t="shared" si="3"/>
        <v>1.3278747954903045</v>
      </c>
      <c r="P60" s="10">
        <v>1</v>
      </c>
      <c r="Q60" s="1">
        <f t="shared" si="4"/>
        <v>0</v>
      </c>
      <c r="R60" s="10">
        <v>7</v>
      </c>
      <c r="S60" s="10">
        <v>1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9.9165450831630899</v>
      </c>
      <c r="I61" s="1">
        <v>55</v>
      </c>
      <c r="J61" s="1">
        <f t="shared" si="0"/>
        <v>1</v>
      </c>
      <c r="K61" s="5">
        <f t="shared" si="1"/>
        <v>5.5462864877589606</v>
      </c>
      <c r="L61" s="2">
        <v>1708993.6560472909</v>
      </c>
      <c r="M61" s="2">
        <v>4292500</v>
      </c>
      <c r="N61" s="6">
        <f t="shared" si="2"/>
        <v>1</v>
      </c>
      <c r="O61" s="9">
        <f t="shared" si="3"/>
        <v>2.5117120738341812</v>
      </c>
      <c r="P61" s="10">
        <v>1</v>
      </c>
      <c r="Q61" s="1">
        <f t="shared" si="4"/>
        <v>0</v>
      </c>
      <c r="R61" s="10">
        <v>12</v>
      </c>
      <c r="S61" s="10">
        <v>1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6.5077327108257919</v>
      </c>
      <c r="I62" s="1">
        <v>53</v>
      </c>
      <c r="J62" s="1">
        <f t="shared" si="0"/>
        <v>1</v>
      </c>
      <c r="K62" s="5">
        <f t="shared" si="1"/>
        <v>8.1441574746659526</v>
      </c>
      <c r="L62" s="2">
        <v>8778029.1927757934</v>
      </c>
      <c r="M62" s="2">
        <v>3994500</v>
      </c>
      <c r="N62" s="6">
        <f t="shared" si="2"/>
        <v>1</v>
      </c>
      <c r="O62" s="9">
        <f t="shared" si="3"/>
        <v>0.45505658642459551</v>
      </c>
      <c r="P62" s="10">
        <v>1</v>
      </c>
      <c r="Q62" s="1">
        <f t="shared" si="4"/>
        <v>0</v>
      </c>
      <c r="R62" s="10">
        <v>9</v>
      </c>
      <c r="S62" s="10">
        <v>1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1069000</v>
      </c>
      <c r="N63" s="6">
        <f t="shared" si="2"/>
        <v>1</v>
      </c>
      <c r="O63" s="9">
        <f t="shared" si="3"/>
        <v>9.3285156715249604E-2</v>
      </c>
      <c r="P63" s="10">
        <v>0</v>
      </c>
      <c r="Q63" s="1">
        <f t="shared" si="4"/>
        <v>0</v>
      </c>
      <c r="R63" s="10">
        <v>8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4.9582725415815601</v>
      </c>
      <c r="I64" s="1">
        <v>56</v>
      </c>
      <c r="J64" s="4">
        <f t="shared" si="0"/>
        <v>1</v>
      </c>
      <c r="K64" s="5">
        <f t="shared" si="1"/>
        <v>11.294256120527303</v>
      </c>
      <c r="L64" s="2">
        <v>4394401.2122401176</v>
      </c>
      <c r="M64" s="2">
        <v>11722500</v>
      </c>
      <c r="N64" s="6">
        <f t="shared" si="2"/>
        <v>1</v>
      </c>
      <c r="O64" s="9">
        <f t="shared" si="3"/>
        <v>2.6675989364258035</v>
      </c>
      <c r="P64" s="10">
        <v>3</v>
      </c>
      <c r="Q64" s="1">
        <f t="shared" si="4"/>
        <v>1</v>
      </c>
      <c r="R64" s="10">
        <v>7</v>
      </c>
      <c r="S64" s="10">
        <v>3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8625000</v>
      </c>
      <c r="N65" s="6">
        <f t="shared" si="2"/>
        <v>1</v>
      </c>
      <c r="O65" s="9">
        <f t="shared" si="3"/>
        <v>4.1225305025960841</v>
      </c>
      <c r="P65" s="10">
        <v>2</v>
      </c>
      <c r="Q65" s="1">
        <f t="shared" si="4"/>
        <v>0</v>
      </c>
      <c r="R65" s="10">
        <v>6</v>
      </c>
      <c r="S65" s="10">
        <v>3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6532000</v>
      </c>
      <c r="N66" s="6">
        <f t="shared" si="2"/>
        <v>1</v>
      </c>
      <c r="O66" s="9">
        <f t="shared" si="3"/>
        <v>1.3749737715841308</v>
      </c>
      <c r="P66" s="10">
        <v>0</v>
      </c>
      <c r="Q66" s="1">
        <f t="shared" si="4"/>
        <v>0</v>
      </c>
      <c r="R66" s="10">
        <v>10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22</v>
      </c>
      <c r="I67" s="1">
        <v>56</v>
      </c>
      <c r="J67" s="4">
        <f t="shared" si="0"/>
        <v>1</v>
      </c>
      <c r="K67" s="5">
        <f t="shared" si="1"/>
        <v>2.5454545454545454</v>
      </c>
      <c r="L67" s="2">
        <v>12700562.85636154</v>
      </c>
      <c r="M67" s="2">
        <v>4436500</v>
      </c>
      <c r="N67" s="6">
        <f t="shared" si="2"/>
        <v>1</v>
      </c>
      <c r="O67" s="9">
        <f t="shared" si="3"/>
        <v>0.34931522722064379</v>
      </c>
      <c r="P67" s="10">
        <v>0</v>
      </c>
      <c r="Q67" s="1">
        <f t="shared" si="4"/>
        <v>0</v>
      </c>
      <c r="R67" s="10">
        <v>14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8.3670849139188501</v>
      </c>
      <c r="I68" s="1">
        <v>16</v>
      </c>
      <c r="J68" s="1">
        <f t="shared" si="0"/>
        <v>1</v>
      </c>
      <c r="K68" s="5">
        <f t="shared" si="1"/>
        <v>1.9122550045337305</v>
      </c>
      <c r="L68" s="2">
        <v>11418548.28353346</v>
      </c>
      <c r="M68" s="2">
        <v>5970500</v>
      </c>
      <c r="N68" s="6">
        <f t="shared" si="2"/>
        <v>1</v>
      </c>
      <c r="O68" s="9">
        <f t="shared" si="3"/>
        <v>0.52287732658712671</v>
      </c>
      <c r="P68" s="10">
        <v>5</v>
      </c>
      <c r="Q68" s="1">
        <f t="shared" si="4"/>
        <v>1</v>
      </c>
      <c r="R68" s="10">
        <v>11</v>
      </c>
      <c r="S68" s="10">
        <v>5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6.8176247446746396</v>
      </c>
      <c r="I69" s="1">
        <v>56</v>
      </c>
      <c r="J69" s="1">
        <f t="shared" si="0"/>
        <v>1</v>
      </c>
      <c r="K69" s="5">
        <f t="shared" si="1"/>
        <v>8.21400445129259</v>
      </c>
      <c r="L69" s="2">
        <v>8134149.0445738966</v>
      </c>
      <c r="M69" s="2">
        <v>4741500</v>
      </c>
      <c r="N69" s="6">
        <f t="shared" si="2"/>
        <v>1</v>
      </c>
      <c r="O69" s="9">
        <f t="shared" si="3"/>
        <v>0.58291284976674307</v>
      </c>
      <c r="P69" s="10">
        <v>0</v>
      </c>
      <c r="Q69" s="1">
        <f t="shared" si="4"/>
        <v>0</v>
      </c>
      <c r="R69" s="10">
        <v>9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6.8176247446746396</v>
      </c>
      <c r="I70" s="1">
        <v>26</v>
      </c>
      <c r="J70" s="4">
        <f t="shared" ref="J70:J91" si="5">IF(I70&gt;=3,1,0)</f>
        <v>1</v>
      </c>
      <c r="K70" s="5">
        <f t="shared" ref="K70:K91" si="6">I70/H70</f>
        <v>3.813644923814417</v>
      </c>
      <c r="L70" s="2">
        <v>2473533.999338889</v>
      </c>
      <c r="M70" s="2">
        <v>6250500</v>
      </c>
      <c r="N70" s="6">
        <f t="shared" ref="N70:N91" si="7">IF(M70&gt;=300000,1,0)</f>
        <v>1</v>
      </c>
      <c r="O70" s="9">
        <f t="shared" ref="O70:O91" si="8">M70/L70</f>
        <v>2.5269513181021952</v>
      </c>
      <c r="P70" s="10">
        <v>0</v>
      </c>
      <c r="Q70" s="1">
        <f t="shared" ref="Q70:Q91" si="9">IF(P70&gt;=3,1,0)</f>
        <v>0</v>
      </c>
      <c r="R70" s="10">
        <v>9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6.5077327108257919</v>
      </c>
      <c r="I71" s="1">
        <v>26</v>
      </c>
      <c r="J71" s="1">
        <f t="shared" si="5"/>
        <v>1</v>
      </c>
      <c r="K71" s="5">
        <f t="shared" si="6"/>
        <v>3.9952470630436752</v>
      </c>
      <c r="L71" s="2">
        <v>2241909.517693473</v>
      </c>
      <c r="M71" s="2">
        <v>3849500</v>
      </c>
      <c r="N71" s="6">
        <f t="shared" si="7"/>
        <v>1</v>
      </c>
      <c r="O71" s="9">
        <f t="shared" si="8"/>
        <v>1.7170630525537232</v>
      </c>
      <c r="P71" s="10">
        <v>0</v>
      </c>
      <c r="Q71" s="1">
        <f t="shared" si="9"/>
        <v>0</v>
      </c>
      <c r="R71" s="10">
        <v>9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4.6483805077327114</v>
      </c>
      <c r="I72" s="1">
        <v>58</v>
      </c>
      <c r="J72" s="1">
        <f t="shared" si="5"/>
        <v>1</v>
      </c>
      <c r="K72" s="5">
        <f t="shared" si="6"/>
        <v>12.477463904582548</v>
      </c>
      <c r="L72" s="2">
        <v>13704268.94349164</v>
      </c>
      <c r="M72" s="2">
        <v>20556500</v>
      </c>
      <c r="N72" s="6">
        <f t="shared" si="7"/>
        <v>1</v>
      </c>
      <c r="O72" s="9">
        <f t="shared" si="8"/>
        <v>1.5000070477865648</v>
      </c>
      <c r="P72" s="10">
        <v>1</v>
      </c>
      <c r="Q72" s="1">
        <f t="shared" si="9"/>
        <v>0</v>
      </c>
      <c r="R72" s="10">
        <v>7</v>
      </c>
      <c r="S72" s="10">
        <v>2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4</v>
      </c>
      <c r="I73" s="1">
        <v>26</v>
      </c>
      <c r="J73" s="1">
        <f t="shared" si="5"/>
        <v>1</v>
      </c>
      <c r="K73" s="5">
        <f t="shared" si="6"/>
        <v>6.5</v>
      </c>
      <c r="L73" s="2">
        <v>8662935.1674000528</v>
      </c>
      <c r="M73" s="2">
        <v>2618000</v>
      </c>
      <c r="N73" s="6">
        <f t="shared" si="7"/>
        <v>1</v>
      </c>
      <c r="O73" s="9">
        <f t="shared" si="8"/>
        <v>0.3022070406173572</v>
      </c>
      <c r="P73" s="10">
        <v>3</v>
      </c>
      <c r="Q73" s="1">
        <f t="shared" si="9"/>
        <v>1</v>
      </c>
      <c r="R73" s="10">
        <v>6</v>
      </c>
      <c r="S73" s="10">
        <v>3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4</v>
      </c>
      <c r="I74" s="1">
        <v>27</v>
      </c>
      <c r="J74" s="4">
        <f t="shared" si="5"/>
        <v>1</v>
      </c>
      <c r="K74" s="5">
        <f t="shared" si="6"/>
        <v>6.75</v>
      </c>
      <c r="L74" s="2">
        <v>5655946.6448297696</v>
      </c>
      <c r="M74" s="2">
        <v>2477500</v>
      </c>
      <c r="N74" s="6">
        <f t="shared" si="7"/>
        <v>1</v>
      </c>
      <c r="O74" s="9">
        <f t="shared" si="8"/>
        <v>0.43803454232807154</v>
      </c>
      <c r="P74" s="10">
        <v>5</v>
      </c>
      <c r="Q74" s="1">
        <f t="shared" si="9"/>
        <v>1</v>
      </c>
      <c r="R74" s="10">
        <v>6</v>
      </c>
      <c r="S74" s="10">
        <v>5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9">
        <f t="shared" si="8"/>
        <v>0.25586167312220837</v>
      </c>
      <c r="P75" s="10">
        <v>0</v>
      </c>
      <c r="Q75" s="1">
        <f t="shared" si="9"/>
        <v>0</v>
      </c>
      <c r="R75" s="10">
        <v>7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10.536329150860819</v>
      </c>
      <c r="I76" s="1">
        <v>13</v>
      </c>
      <c r="J76" s="1">
        <f t="shared" si="5"/>
        <v>1</v>
      </c>
      <c r="K76" s="5">
        <f t="shared" si="6"/>
        <v>1.2338262988811335</v>
      </c>
      <c r="L76" s="2">
        <v>3680495.057959374</v>
      </c>
      <c r="M76" s="2">
        <v>2761500</v>
      </c>
      <c r="N76" s="6">
        <f t="shared" si="7"/>
        <v>1</v>
      </c>
      <c r="O76" s="9">
        <f t="shared" si="8"/>
        <v>0.75030667247549443</v>
      </c>
      <c r="P76" s="10">
        <v>10</v>
      </c>
      <c r="Q76" s="1">
        <f t="shared" si="9"/>
        <v>1</v>
      </c>
      <c r="R76" s="10">
        <v>13</v>
      </c>
      <c r="S76" s="10">
        <v>11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7.4374088123723361</v>
      </c>
      <c r="I77" s="1">
        <v>13</v>
      </c>
      <c r="J77" s="1">
        <f t="shared" si="5"/>
        <v>1</v>
      </c>
      <c r="K77" s="5">
        <f t="shared" si="6"/>
        <v>1.7479205900816073</v>
      </c>
      <c r="L77" s="2">
        <v>16163438.633891329</v>
      </c>
      <c r="M77" s="2">
        <v>4406500</v>
      </c>
      <c r="N77" s="6">
        <f t="shared" si="7"/>
        <v>1</v>
      </c>
      <c r="O77" s="9">
        <f t="shared" si="8"/>
        <v>0.27262144521404602</v>
      </c>
      <c r="P77" s="10">
        <v>0</v>
      </c>
      <c r="Q77" s="1">
        <f t="shared" si="9"/>
        <v>0</v>
      </c>
      <c r="R77" s="10">
        <v>10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5.8879486431280963</v>
      </c>
      <c r="I78" s="1">
        <v>11</v>
      </c>
      <c r="J78" s="1">
        <f t="shared" si="5"/>
        <v>1</v>
      </c>
      <c r="K78" s="5">
        <f t="shared" si="6"/>
        <v>1.8682228169293302</v>
      </c>
      <c r="L78" s="2">
        <v>5493091.2922310065</v>
      </c>
      <c r="M78" s="2">
        <v>2269000</v>
      </c>
      <c r="N78" s="6">
        <f t="shared" si="7"/>
        <v>1</v>
      </c>
      <c r="O78" s="9">
        <f t="shared" si="8"/>
        <v>0.41306431648225</v>
      </c>
      <c r="P78" s="10">
        <v>15</v>
      </c>
      <c r="Q78" s="1">
        <f t="shared" si="9"/>
        <v>1</v>
      </c>
      <c r="R78" s="10">
        <v>8</v>
      </c>
      <c r="S78" s="10">
        <v>15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5.8879486431280963</v>
      </c>
      <c r="I79" s="1">
        <v>13</v>
      </c>
      <c r="J79" s="1">
        <f t="shared" si="5"/>
        <v>1</v>
      </c>
      <c r="K79" s="5">
        <f t="shared" si="6"/>
        <v>2.2078996927346632</v>
      </c>
      <c r="L79" s="2">
        <v>4970050.8929805709</v>
      </c>
      <c r="M79" s="2">
        <v>11906500</v>
      </c>
      <c r="N79" s="6">
        <f t="shared" si="7"/>
        <v>1</v>
      </c>
      <c r="O79" s="9">
        <f t="shared" si="8"/>
        <v>2.3956495127275441</v>
      </c>
      <c r="P79" s="10">
        <v>0</v>
      </c>
      <c r="Q79" s="1">
        <f t="shared" si="9"/>
        <v>0</v>
      </c>
      <c r="R79" s="10">
        <v>8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5.2681645754304078</v>
      </c>
      <c r="I80" s="1">
        <v>13</v>
      </c>
      <c r="J80" s="4">
        <f t="shared" si="5"/>
        <v>1</v>
      </c>
      <c r="K80" s="5">
        <f t="shared" si="6"/>
        <v>2.4676525977622679</v>
      </c>
      <c r="L80" s="2">
        <v>24528493.944663569</v>
      </c>
      <c r="M80" s="2">
        <v>1261500</v>
      </c>
      <c r="N80" s="6">
        <f t="shared" si="7"/>
        <v>1</v>
      </c>
      <c r="O80" s="9">
        <f t="shared" si="8"/>
        <v>5.1429981915968898E-2</v>
      </c>
      <c r="P80" s="10">
        <v>0</v>
      </c>
      <c r="Q80" s="1">
        <f t="shared" si="9"/>
        <v>0</v>
      </c>
      <c r="R80" s="10">
        <v>8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5</v>
      </c>
      <c r="I81" s="1">
        <v>13</v>
      </c>
      <c r="J81" s="1">
        <f t="shared" si="5"/>
        <v>1</v>
      </c>
      <c r="K81" s="5">
        <f t="shared" si="6"/>
        <v>2.6</v>
      </c>
      <c r="L81" s="2">
        <v>8652341.4895573519</v>
      </c>
      <c r="M81" s="2">
        <v>2486500</v>
      </c>
      <c r="N81" s="6">
        <f t="shared" si="7"/>
        <v>1</v>
      </c>
      <c r="O81" s="9">
        <f t="shared" si="8"/>
        <v>0.2873788561166935</v>
      </c>
      <c r="P81" s="10">
        <v>0</v>
      </c>
      <c r="Q81" s="1">
        <f t="shared" si="9"/>
        <v>0</v>
      </c>
      <c r="R81" s="10">
        <v>7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4.9582725415815601</v>
      </c>
      <c r="I82" s="1">
        <v>13</v>
      </c>
      <c r="J82" s="1">
        <f t="shared" si="5"/>
        <v>1</v>
      </c>
      <c r="K82" s="5">
        <f t="shared" si="6"/>
        <v>2.6218808851224096</v>
      </c>
      <c r="L82" s="2">
        <v>2520936.2188384128</v>
      </c>
      <c r="M82" s="2">
        <v>1752500</v>
      </c>
      <c r="N82" s="6">
        <f t="shared" si="7"/>
        <v>1</v>
      </c>
      <c r="O82" s="9">
        <f t="shared" si="8"/>
        <v>0.69517823850676796</v>
      </c>
      <c r="P82" s="10">
        <v>0</v>
      </c>
      <c r="Q82" s="1">
        <f t="shared" si="9"/>
        <v>0</v>
      </c>
      <c r="R82" s="10">
        <v>7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7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10.536329150860819</v>
      </c>
      <c r="I84" s="1">
        <v>27</v>
      </c>
      <c r="J84" s="4">
        <f t="shared" si="5"/>
        <v>1</v>
      </c>
      <c r="K84" s="5">
        <f t="shared" si="6"/>
        <v>2.5625623130608157</v>
      </c>
      <c r="L84" s="2">
        <v>8061250.1767072026</v>
      </c>
      <c r="M84" s="2">
        <v>2071500</v>
      </c>
      <c r="N84" s="6">
        <f t="shared" si="7"/>
        <v>1</v>
      </c>
      <c r="O84" s="9">
        <f t="shared" si="8"/>
        <v>0.25697006724658561</v>
      </c>
      <c r="P84" s="10">
        <v>9</v>
      </c>
      <c r="Q84" s="1">
        <f t="shared" si="9"/>
        <v>1</v>
      </c>
      <c r="R84" s="10">
        <v>13</v>
      </c>
      <c r="S84" s="10">
        <v>10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5.5780566092792556</v>
      </c>
      <c r="I85" s="1">
        <v>13</v>
      </c>
      <c r="J85" s="1">
        <f t="shared" si="5"/>
        <v>1</v>
      </c>
      <c r="K85" s="5">
        <f t="shared" si="6"/>
        <v>2.3305607867754747</v>
      </c>
      <c r="L85" s="2">
        <v>7224888.2887193644</v>
      </c>
      <c r="M85" s="2">
        <v>1586500</v>
      </c>
      <c r="N85" s="6">
        <f t="shared" si="7"/>
        <v>1</v>
      </c>
      <c r="O85" s="9">
        <f t="shared" si="8"/>
        <v>0.2195881703080578</v>
      </c>
      <c r="P85" s="10">
        <v>0</v>
      </c>
      <c r="Q85" s="1">
        <f t="shared" si="9"/>
        <v>0</v>
      </c>
      <c r="R85" s="10">
        <v>8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300000</v>
      </c>
      <c r="N86" s="6">
        <f t="shared" si="7"/>
        <v>1</v>
      </c>
      <c r="O86" s="9">
        <f t="shared" si="8"/>
        <v>0.17138248441534454</v>
      </c>
      <c r="P86" s="10">
        <v>0</v>
      </c>
      <c r="Q86" s="1">
        <f t="shared" si="9"/>
        <v>0</v>
      </c>
      <c r="R86" s="10">
        <v>7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10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12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10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3">
        <v>17631777</v>
      </c>
      <c r="B90" s="13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9">
        <f t="shared" si="8"/>
        <v>0</v>
      </c>
      <c r="P90" s="10">
        <v>2</v>
      </c>
      <c r="Q90" s="1">
        <f t="shared" si="9"/>
        <v>0</v>
      </c>
      <c r="R90" s="10">
        <v>5</v>
      </c>
      <c r="S90" s="10">
        <v>2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8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7.2753475754493193</v>
      </c>
      <c r="I92" s="1">
        <v>5</v>
      </c>
      <c r="J92" s="4">
        <f t="shared" ref="J92:J155" si="10">IF(I92&gt;=3,1,0)</f>
        <v>1</v>
      </c>
      <c r="K92" s="5">
        <f t="shared" ref="K92:K155" si="11">I92/H92</f>
        <v>0.68725238872057659</v>
      </c>
      <c r="L92" s="2">
        <v>1233517.793070439</v>
      </c>
      <c r="M92" s="2">
        <v>1500000</v>
      </c>
      <c r="N92" s="6">
        <f t="shared" ref="N92:N155" si="12">IF(M92&gt;=300000,1,0)</f>
        <v>1</v>
      </c>
      <c r="O92" s="9">
        <f t="shared" ref="O92:O155" si="13">M92/L92</f>
        <v>1.2160343437497085</v>
      </c>
      <c r="P92" s="10">
        <v>4</v>
      </c>
      <c r="Q92" s="1">
        <f t="shared" ref="Q92:Q155" si="14">IF(P92&gt;=3,1,0)</f>
        <v>1</v>
      </c>
      <c r="R92" s="10">
        <v>10</v>
      </c>
      <c r="S92" s="10">
        <v>4</v>
      </c>
      <c r="T92" s="10">
        <v>0</v>
      </c>
      <c r="U92" s="3">
        <v>0</v>
      </c>
      <c r="V92" s="3">
        <v>0</v>
      </c>
      <c r="W92" s="3">
        <v>0</v>
      </c>
      <c r="X92" s="3">
        <v>1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2809100</v>
      </c>
      <c r="N93" s="6">
        <f t="shared" si="12"/>
        <v>1</v>
      </c>
      <c r="O93" s="9">
        <f t="shared" si="13"/>
        <v>2.2773080500182039</v>
      </c>
      <c r="P93" s="10">
        <v>1</v>
      </c>
      <c r="Q93" s="1">
        <f t="shared" si="14"/>
        <v>0</v>
      </c>
      <c r="R93" s="10">
        <v>9</v>
      </c>
      <c r="S93" s="10">
        <v>1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775500</v>
      </c>
      <c r="N94" s="6">
        <f t="shared" si="12"/>
        <v>1</v>
      </c>
      <c r="O94" s="9">
        <f t="shared" si="13"/>
        <v>0.62868975571859931</v>
      </c>
      <c r="P94" s="10">
        <v>0</v>
      </c>
      <c r="Q94" s="1">
        <f t="shared" si="14"/>
        <v>0</v>
      </c>
      <c r="R94" s="10">
        <v>15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3747600</v>
      </c>
      <c r="N95" s="6">
        <f t="shared" si="12"/>
        <v>1</v>
      </c>
      <c r="O95" s="9">
        <f t="shared" si="13"/>
        <v>3.0381402044242716</v>
      </c>
      <c r="P95" s="10">
        <v>0</v>
      </c>
      <c r="Q95" s="1">
        <f t="shared" si="14"/>
        <v>0</v>
      </c>
      <c r="R95" s="10">
        <v>7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986400</v>
      </c>
      <c r="N96" s="6">
        <f t="shared" si="12"/>
        <v>1</v>
      </c>
      <c r="O96" s="9">
        <f t="shared" si="13"/>
        <v>0.3869027339273326</v>
      </c>
      <c r="P96" s="10">
        <v>1</v>
      </c>
      <c r="Q96" s="1">
        <f t="shared" si="14"/>
        <v>0</v>
      </c>
      <c r="R96" s="10">
        <v>6</v>
      </c>
      <c r="S96" s="10">
        <v>1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5</v>
      </c>
      <c r="I97" s="1">
        <v>36</v>
      </c>
      <c r="J97" s="1">
        <f t="shared" si="10"/>
        <v>1</v>
      </c>
      <c r="K97" s="5">
        <f t="shared" si="11"/>
        <v>7.2</v>
      </c>
      <c r="L97" s="2">
        <v>1233517.793070439</v>
      </c>
      <c r="M97" s="2">
        <v>3173400</v>
      </c>
      <c r="N97" s="6">
        <f t="shared" si="12"/>
        <v>1</v>
      </c>
      <c r="O97" s="9">
        <f t="shared" si="13"/>
        <v>2.572642257636883</v>
      </c>
      <c r="P97" s="10">
        <v>4</v>
      </c>
      <c r="Q97" s="1">
        <f t="shared" si="14"/>
        <v>1</v>
      </c>
      <c r="R97" s="10">
        <v>7</v>
      </c>
      <c r="S97" s="10">
        <v>7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5.8202780603594357</v>
      </c>
      <c r="I98" s="1">
        <v>36</v>
      </c>
      <c r="J98" s="1">
        <f t="shared" si="10"/>
        <v>1</v>
      </c>
      <c r="K98" s="5">
        <f t="shared" si="11"/>
        <v>6.1852714984852106</v>
      </c>
      <c r="L98" s="2">
        <v>1233517.793070439</v>
      </c>
      <c r="M98" s="2">
        <v>2667000</v>
      </c>
      <c r="N98" s="6">
        <f t="shared" si="12"/>
        <v>1</v>
      </c>
      <c r="O98" s="9">
        <f t="shared" si="13"/>
        <v>2.1621090631869815</v>
      </c>
      <c r="P98" s="10">
        <v>5</v>
      </c>
      <c r="Q98" s="1">
        <f t="shared" si="14"/>
        <v>1</v>
      </c>
      <c r="R98" s="10">
        <v>8</v>
      </c>
      <c r="S98" s="10">
        <v>5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3</v>
      </c>
      <c r="I99" s="1">
        <v>3</v>
      </c>
      <c r="J99" s="4">
        <f t="shared" si="10"/>
        <v>1</v>
      </c>
      <c r="K99" s="5">
        <f t="shared" si="11"/>
        <v>1</v>
      </c>
      <c r="L99" s="2">
        <v>12908778</v>
      </c>
      <c r="M99" s="2">
        <v>1350000</v>
      </c>
      <c r="N99" s="6">
        <f t="shared" si="12"/>
        <v>1</v>
      </c>
      <c r="O99" s="9">
        <f t="shared" si="13"/>
        <v>0.104579999749008</v>
      </c>
      <c r="P99" s="10">
        <v>1</v>
      </c>
      <c r="Q99" s="1">
        <f t="shared" si="14"/>
        <v>0</v>
      </c>
      <c r="R99" s="10">
        <v>5</v>
      </c>
      <c r="S99" s="10">
        <v>9</v>
      </c>
      <c r="T99" s="10">
        <v>0</v>
      </c>
      <c r="U99" s="3">
        <v>0</v>
      </c>
      <c r="V99" s="3">
        <v>0</v>
      </c>
      <c r="W99" s="3">
        <v>0</v>
      </c>
      <c r="X99" s="3">
        <v>1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5</v>
      </c>
      <c r="I100" s="1">
        <v>24</v>
      </c>
      <c r="J100" s="1">
        <f t="shared" si="10"/>
        <v>1</v>
      </c>
      <c r="K100" s="5">
        <f t="shared" si="11"/>
        <v>4.8</v>
      </c>
      <c r="L100" s="2">
        <v>1233517.793070439</v>
      </c>
      <c r="M100" s="2">
        <v>2404000</v>
      </c>
      <c r="N100" s="6">
        <f t="shared" si="12"/>
        <v>1</v>
      </c>
      <c r="O100" s="9">
        <f t="shared" si="13"/>
        <v>1.9488977082495327</v>
      </c>
      <c r="P100" s="10">
        <v>1</v>
      </c>
      <c r="Q100" s="1">
        <f t="shared" si="14"/>
        <v>0</v>
      </c>
      <c r="R100" s="10">
        <v>7</v>
      </c>
      <c r="S100" s="10">
        <v>3</v>
      </c>
      <c r="T100" s="10">
        <v>2</v>
      </c>
      <c r="U100" s="3">
        <v>0</v>
      </c>
      <c r="V100" s="3">
        <v>0</v>
      </c>
      <c r="W100" s="3">
        <v>0</v>
      </c>
      <c r="X100" s="3">
        <v>1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9">
        <f t="shared" si="13"/>
        <v>0.23509997312494363</v>
      </c>
      <c r="P101" s="10">
        <v>1</v>
      </c>
      <c r="Q101" s="1">
        <f t="shared" si="14"/>
        <v>0</v>
      </c>
      <c r="R101" s="10">
        <v>5</v>
      </c>
      <c r="S101" s="10">
        <v>1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5</v>
      </c>
      <c r="I102" s="1">
        <v>3</v>
      </c>
      <c r="J102" s="1">
        <f t="shared" si="10"/>
        <v>1</v>
      </c>
      <c r="K102" s="5">
        <f t="shared" si="11"/>
        <v>0.6</v>
      </c>
      <c r="L102" s="2">
        <v>29626053.564346101</v>
      </c>
      <c r="M102" s="2">
        <v>1666000</v>
      </c>
      <c r="N102" s="6">
        <f t="shared" si="12"/>
        <v>1</v>
      </c>
      <c r="O102" s="9">
        <f t="shared" si="13"/>
        <v>5.6234287040004938E-2</v>
      </c>
      <c r="P102" s="10">
        <v>1</v>
      </c>
      <c r="Q102" s="1">
        <f t="shared" si="14"/>
        <v>0</v>
      </c>
      <c r="R102" s="10">
        <v>7</v>
      </c>
      <c r="S102" s="10">
        <v>0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5315000</v>
      </c>
      <c r="N103" s="6">
        <f t="shared" si="12"/>
        <v>1</v>
      </c>
      <c r="O103" s="9">
        <f t="shared" si="13"/>
        <v>0.17940290253158839</v>
      </c>
      <c r="P103" s="10">
        <v>2</v>
      </c>
      <c r="Q103" s="1">
        <f t="shared" si="14"/>
        <v>0</v>
      </c>
      <c r="R103" s="10">
        <v>7</v>
      </c>
      <c r="S103" s="10">
        <v>2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522000</v>
      </c>
      <c r="N104" s="6">
        <f t="shared" si="12"/>
        <v>1</v>
      </c>
      <c r="O104" s="9">
        <f t="shared" si="13"/>
        <v>0.42317995162489852</v>
      </c>
      <c r="P104" s="10">
        <v>1</v>
      </c>
      <c r="Q104" s="1">
        <f t="shared" si="14"/>
        <v>0</v>
      </c>
      <c r="R104" s="10">
        <v>7</v>
      </c>
      <c r="S104" s="10">
        <v>1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853600</v>
      </c>
      <c r="N105" s="6">
        <f t="shared" si="12"/>
        <v>1</v>
      </c>
      <c r="O105" s="9">
        <f t="shared" si="13"/>
        <v>0.69200461054983409</v>
      </c>
      <c r="P105" s="10">
        <v>1</v>
      </c>
      <c r="Q105" s="1">
        <f t="shared" si="14"/>
        <v>0</v>
      </c>
      <c r="R105" s="10">
        <v>10</v>
      </c>
      <c r="S105" s="10">
        <v>1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5</v>
      </c>
      <c r="I106" s="1">
        <v>8</v>
      </c>
      <c r="J106" s="1">
        <f t="shared" si="10"/>
        <v>1</v>
      </c>
      <c r="K106" s="5">
        <f t="shared" si="11"/>
        <v>1.6</v>
      </c>
      <c r="L106" s="2">
        <v>22463880</v>
      </c>
      <c r="M106" s="2">
        <v>462000</v>
      </c>
      <c r="N106" s="6">
        <f t="shared" si="12"/>
        <v>1</v>
      </c>
      <c r="O106" s="9">
        <f t="shared" si="13"/>
        <v>2.0566349179215702E-2</v>
      </c>
      <c r="P106" s="10">
        <v>22</v>
      </c>
      <c r="Q106" s="1">
        <f t="shared" si="14"/>
        <v>1</v>
      </c>
      <c r="R106" s="10">
        <v>7</v>
      </c>
      <c r="S106" s="10">
        <v>22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13458600</v>
      </c>
      <c r="N107" s="6">
        <f t="shared" si="12"/>
        <v>1</v>
      </c>
      <c r="O107" s="9">
        <f t="shared" si="13"/>
        <v>10.910746545859885</v>
      </c>
      <c r="P107" s="10">
        <v>1</v>
      </c>
      <c r="Q107" s="1">
        <f t="shared" si="14"/>
        <v>0</v>
      </c>
      <c r="R107" s="10">
        <v>8</v>
      </c>
      <c r="S107" s="10">
        <v>1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5733600</v>
      </c>
      <c r="N108" s="6">
        <f t="shared" si="12"/>
        <v>1</v>
      </c>
      <c r="O108" s="9">
        <f t="shared" si="13"/>
        <v>4.6481696755488855</v>
      </c>
      <c r="P108" s="10">
        <v>1</v>
      </c>
      <c r="Q108" s="1">
        <f t="shared" si="14"/>
        <v>0</v>
      </c>
      <c r="R108" s="10">
        <v>14</v>
      </c>
      <c r="S108" s="10">
        <v>1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5.8202780603594357</v>
      </c>
      <c r="I109" s="1">
        <v>23</v>
      </c>
      <c r="J109" s="1">
        <f t="shared" si="10"/>
        <v>1</v>
      </c>
      <c r="K109" s="5">
        <f t="shared" si="11"/>
        <v>3.9517012351433287</v>
      </c>
      <c r="L109" s="2">
        <v>1233517.793070439</v>
      </c>
      <c r="M109" s="2">
        <v>12743400</v>
      </c>
      <c r="N109" s="6">
        <f t="shared" si="12"/>
        <v>1</v>
      </c>
      <c r="O109" s="9">
        <f t="shared" si="13"/>
        <v>10.330941370760023</v>
      </c>
      <c r="P109" s="10">
        <v>20</v>
      </c>
      <c r="Q109" s="1">
        <f t="shared" si="14"/>
        <v>1</v>
      </c>
      <c r="R109" s="10">
        <v>8</v>
      </c>
      <c r="S109" s="10">
        <v>20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8223600</v>
      </c>
      <c r="N110" s="6">
        <f t="shared" si="12"/>
        <v>1</v>
      </c>
      <c r="O110" s="9">
        <f t="shared" si="13"/>
        <v>6.6667866861734018</v>
      </c>
      <c r="P110" s="10">
        <v>3</v>
      </c>
      <c r="Q110" s="1">
        <f t="shared" si="14"/>
        <v>1</v>
      </c>
      <c r="R110" s="10">
        <v>7</v>
      </c>
      <c r="S110" s="10">
        <v>5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2488000</v>
      </c>
      <c r="N111" s="6">
        <f t="shared" si="12"/>
        <v>1</v>
      </c>
      <c r="O111" s="9">
        <f t="shared" si="13"/>
        <v>2.0169956314995163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4.7809426924381153</v>
      </c>
      <c r="I112" s="1">
        <v>23</v>
      </c>
      <c r="J112" s="4">
        <f t="shared" si="10"/>
        <v>1</v>
      </c>
      <c r="K112" s="5">
        <f t="shared" si="11"/>
        <v>4.810766721044045</v>
      </c>
      <c r="L112" s="2">
        <v>2825491.6161999619</v>
      </c>
      <c r="M112" s="2">
        <v>1024800</v>
      </c>
      <c r="N112" s="6">
        <f t="shared" si="12"/>
        <v>1</v>
      </c>
      <c r="O112" s="9">
        <f t="shared" si="13"/>
        <v>0.36269794400532179</v>
      </c>
      <c r="P112" s="10">
        <v>20</v>
      </c>
      <c r="Q112" s="1">
        <f t="shared" si="14"/>
        <v>1</v>
      </c>
      <c r="R112" s="10">
        <v>7</v>
      </c>
      <c r="S112" s="10">
        <v>20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8044400</v>
      </c>
      <c r="N113" s="6">
        <f t="shared" si="12"/>
        <v>1</v>
      </c>
      <c r="O113" s="9">
        <f t="shared" si="13"/>
        <v>2.4563083609913723</v>
      </c>
      <c r="P113" s="10">
        <v>1</v>
      </c>
      <c r="Q113" s="1">
        <f t="shared" si="14"/>
        <v>0</v>
      </c>
      <c r="R113" s="10">
        <v>6</v>
      </c>
      <c r="S113" s="10">
        <v>1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8375600</v>
      </c>
      <c r="N114" s="6">
        <f t="shared" si="12"/>
        <v>1</v>
      </c>
      <c r="O114" s="9">
        <f t="shared" si="13"/>
        <v>0.37284743330181608</v>
      </c>
      <c r="P114" s="10">
        <v>1</v>
      </c>
      <c r="Q114" s="1">
        <f t="shared" si="14"/>
        <v>0</v>
      </c>
      <c r="R114" s="10">
        <v>7</v>
      </c>
      <c r="S114" s="10">
        <v>1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7.2753475754493193</v>
      </c>
      <c r="I115" s="1">
        <v>14</v>
      </c>
      <c r="J115" s="4">
        <f t="shared" si="10"/>
        <v>1</v>
      </c>
      <c r="K115" s="5">
        <f t="shared" si="11"/>
        <v>1.9243066884176145</v>
      </c>
      <c r="L115" s="2">
        <v>19880654</v>
      </c>
      <c r="M115" s="2">
        <v>4756000</v>
      </c>
      <c r="N115" s="6">
        <f t="shared" si="12"/>
        <v>1</v>
      </c>
      <c r="O115" s="9">
        <f t="shared" si="13"/>
        <v>0.23922754251444645</v>
      </c>
      <c r="P115" s="10">
        <v>3</v>
      </c>
      <c r="Q115" s="1">
        <f t="shared" si="14"/>
        <v>1</v>
      </c>
      <c r="R115" s="10">
        <v>10</v>
      </c>
      <c r="S115" s="10">
        <v>3</v>
      </c>
      <c r="T115" s="10">
        <v>0</v>
      </c>
      <c r="U115" s="3">
        <v>1</v>
      </c>
      <c r="V115" s="3">
        <v>0</v>
      </c>
      <c r="W115" s="3">
        <v>0</v>
      </c>
      <c r="X115" s="3">
        <v>0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6440400</v>
      </c>
      <c r="N116" s="6">
        <f t="shared" si="12"/>
        <v>1</v>
      </c>
      <c r="O116" s="9">
        <f t="shared" si="13"/>
        <v>5.2211650583237486</v>
      </c>
      <c r="P116" s="10">
        <v>1</v>
      </c>
      <c r="Q116" s="1">
        <f t="shared" si="14"/>
        <v>0</v>
      </c>
      <c r="R116" s="10">
        <v>5</v>
      </c>
      <c r="S116" s="10">
        <v>1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30</v>
      </c>
      <c r="I117" s="1">
        <v>3</v>
      </c>
      <c r="J117" s="4">
        <f t="shared" si="10"/>
        <v>1</v>
      </c>
      <c r="K117" s="5">
        <f t="shared" si="11"/>
        <v>0.1</v>
      </c>
      <c r="L117" s="2">
        <v>25626053.564346101</v>
      </c>
      <c r="M117" s="2">
        <v>2216400</v>
      </c>
      <c r="N117" s="6">
        <f t="shared" si="12"/>
        <v>1</v>
      </c>
      <c r="O117" s="9">
        <f t="shared" si="13"/>
        <v>8.6490102521431911E-2</v>
      </c>
      <c r="P117" s="10">
        <v>3</v>
      </c>
      <c r="Q117" s="1">
        <f t="shared" si="14"/>
        <v>1</v>
      </c>
      <c r="R117" s="10">
        <v>23</v>
      </c>
      <c r="S117" s="10">
        <v>3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2.9101390301797232</v>
      </c>
      <c r="I118" s="1">
        <v>4</v>
      </c>
      <c r="J118" s="4">
        <f t="shared" si="10"/>
        <v>1</v>
      </c>
      <c r="K118" s="5">
        <f t="shared" si="11"/>
        <v>1.3745047774411554</v>
      </c>
      <c r="L118" s="2">
        <v>29626053.564346101</v>
      </c>
      <c r="M118" s="2">
        <v>2347600</v>
      </c>
      <c r="N118" s="6">
        <f t="shared" si="12"/>
        <v>1</v>
      </c>
      <c r="O118" s="9">
        <f t="shared" si="13"/>
        <v>7.9241063778580784E-2</v>
      </c>
      <c r="P118" s="10">
        <v>2</v>
      </c>
      <c r="Q118" s="1">
        <f t="shared" si="14"/>
        <v>0</v>
      </c>
      <c r="R118" s="10">
        <v>5</v>
      </c>
      <c r="S118" s="10">
        <v>2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2184000</v>
      </c>
      <c r="N119" s="6">
        <f t="shared" si="12"/>
        <v>1</v>
      </c>
      <c r="O119" s="9">
        <f t="shared" si="13"/>
        <v>0.82430447603920431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1585400</v>
      </c>
      <c r="N120" s="6">
        <f t="shared" si="12"/>
        <v>1</v>
      </c>
      <c r="O120" s="9">
        <f t="shared" si="13"/>
        <v>7.9745867515223598E-2</v>
      </c>
      <c r="P120" s="10">
        <v>1</v>
      </c>
      <c r="Q120" s="1">
        <f t="shared" si="14"/>
        <v>0</v>
      </c>
      <c r="R120" s="10">
        <v>7</v>
      </c>
      <c r="S120" s="10">
        <v>1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3360000</v>
      </c>
      <c r="N121" s="6">
        <f t="shared" si="12"/>
        <v>1</v>
      </c>
      <c r="O121" s="9">
        <f t="shared" si="13"/>
        <v>0.14957344857611418</v>
      </c>
      <c r="P121" s="10">
        <v>0</v>
      </c>
      <c r="Q121" s="1">
        <f t="shared" si="14"/>
        <v>0</v>
      </c>
      <c r="R121" s="10">
        <v>21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1150800</v>
      </c>
      <c r="N122" s="6">
        <f t="shared" si="12"/>
        <v>1</v>
      </c>
      <c r="O122" s="9">
        <f t="shared" si="13"/>
        <v>0.93294154852477629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8075400</v>
      </c>
      <c r="N123" s="6">
        <f t="shared" si="12"/>
        <v>1</v>
      </c>
      <c r="O123" s="9">
        <f t="shared" si="13"/>
        <v>1.8425240254945447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3</v>
      </c>
      <c r="I124" s="1">
        <v>36</v>
      </c>
      <c r="J124" s="1">
        <f t="shared" si="10"/>
        <v>1</v>
      </c>
      <c r="K124" s="5">
        <f t="shared" si="11"/>
        <v>12</v>
      </c>
      <c r="L124" s="2">
        <v>2549477.9785796599</v>
      </c>
      <c r="M124" s="2">
        <v>3130900</v>
      </c>
      <c r="N124" s="6">
        <f t="shared" si="12"/>
        <v>1</v>
      </c>
      <c r="O124" s="9">
        <f t="shared" si="13"/>
        <v>1.2280553220327308</v>
      </c>
      <c r="P124" s="10">
        <v>0</v>
      </c>
      <c r="Q124" s="1">
        <f t="shared" si="14"/>
        <v>0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5</v>
      </c>
      <c r="I125" s="1">
        <v>6</v>
      </c>
      <c r="J125" s="4">
        <f t="shared" si="10"/>
        <v>1</v>
      </c>
      <c r="K125" s="5">
        <f t="shared" si="11"/>
        <v>1.2</v>
      </c>
      <c r="L125" s="2">
        <v>1233517.793070439</v>
      </c>
      <c r="M125" s="2">
        <v>1530000</v>
      </c>
      <c r="N125" s="6">
        <f t="shared" si="12"/>
        <v>1</v>
      </c>
      <c r="O125" s="9">
        <f t="shared" si="13"/>
        <v>1.2403550306247026</v>
      </c>
      <c r="P125" s="10">
        <v>0</v>
      </c>
      <c r="Q125" s="1">
        <f t="shared" si="14"/>
        <v>0</v>
      </c>
      <c r="R125" s="10">
        <v>7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5.4045439131909321</v>
      </c>
      <c r="I126" s="1">
        <v>8</v>
      </c>
      <c r="J126" s="1">
        <f t="shared" si="10"/>
        <v>1</v>
      </c>
      <c r="K126" s="5">
        <f t="shared" si="11"/>
        <v>1.4802359141673933</v>
      </c>
      <c r="L126" s="2">
        <v>19880654</v>
      </c>
      <c r="M126" s="2">
        <v>6186800</v>
      </c>
      <c r="N126" s="6">
        <f t="shared" si="12"/>
        <v>1</v>
      </c>
      <c r="O126" s="9">
        <f t="shared" si="13"/>
        <v>0.31119700589326688</v>
      </c>
      <c r="P126" s="10">
        <v>2</v>
      </c>
      <c r="Q126" s="1">
        <f t="shared" si="14"/>
        <v>0</v>
      </c>
      <c r="R126" s="10">
        <v>8</v>
      </c>
      <c r="S126" s="10">
        <v>2</v>
      </c>
      <c r="T126" s="10">
        <v>0</v>
      </c>
      <c r="U126" s="3">
        <v>1</v>
      </c>
      <c r="V126" s="3">
        <v>0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2.7022719565954572</v>
      </c>
      <c r="I127" s="1">
        <v>6</v>
      </c>
      <c r="J127" s="1">
        <f t="shared" si="10"/>
        <v>1</v>
      </c>
      <c r="K127" s="5">
        <f t="shared" si="11"/>
        <v>2.2203538712510973</v>
      </c>
      <c r="L127" s="2">
        <v>6018419.3717715694</v>
      </c>
      <c r="M127" s="2">
        <v>4923200</v>
      </c>
      <c r="N127" s="6">
        <f t="shared" si="12"/>
        <v>1</v>
      </c>
      <c r="O127" s="9">
        <f t="shared" si="13"/>
        <v>0.81802209116424818</v>
      </c>
      <c r="P127" s="10">
        <v>1</v>
      </c>
      <c r="Q127" s="1">
        <f t="shared" si="14"/>
        <v>0</v>
      </c>
      <c r="R127" s="10">
        <v>5</v>
      </c>
      <c r="S127" s="10">
        <v>3</v>
      </c>
      <c r="T127" s="10">
        <v>2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1237500</v>
      </c>
      <c r="N128" s="6">
        <f t="shared" si="12"/>
        <v>1</v>
      </c>
      <c r="O128" s="9">
        <f t="shared" si="13"/>
        <v>0.48539348462598758</v>
      </c>
      <c r="P128" s="10">
        <v>1</v>
      </c>
      <c r="Q128" s="1">
        <f t="shared" si="14"/>
        <v>0</v>
      </c>
      <c r="R128" s="10">
        <v>7</v>
      </c>
      <c r="S128" s="10">
        <v>1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9.3540183112919824</v>
      </c>
      <c r="I129" s="1">
        <v>3</v>
      </c>
      <c r="J129" s="4">
        <f t="shared" si="10"/>
        <v>1</v>
      </c>
      <c r="K129" s="5">
        <f t="shared" si="11"/>
        <v>0.32071778140293572</v>
      </c>
      <c r="L129" s="2">
        <v>1233517.793070439</v>
      </c>
      <c r="M129" s="2">
        <v>1201000</v>
      </c>
      <c r="N129" s="6">
        <f t="shared" si="12"/>
        <v>1</v>
      </c>
      <c r="O129" s="9">
        <f t="shared" si="13"/>
        <v>0.97363816456226659</v>
      </c>
      <c r="P129" s="10">
        <v>0</v>
      </c>
      <c r="Q129" s="1">
        <f t="shared" si="14"/>
        <v>0</v>
      </c>
      <c r="R129" s="10">
        <v>12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1714800</v>
      </c>
      <c r="N130" s="6">
        <f t="shared" si="12"/>
        <v>1</v>
      </c>
      <c r="O130" s="9">
        <f t="shared" si="13"/>
        <v>0.13283983968118437</v>
      </c>
      <c r="P130" s="10">
        <v>2</v>
      </c>
      <c r="Q130" s="1">
        <f t="shared" si="14"/>
        <v>0</v>
      </c>
      <c r="R130" s="10">
        <v>5</v>
      </c>
      <c r="S130" s="10">
        <v>2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11.432689047134639</v>
      </c>
      <c r="I131" s="1">
        <v>3</v>
      </c>
      <c r="J131" s="1">
        <f t="shared" si="10"/>
        <v>1</v>
      </c>
      <c r="K131" s="5">
        <f t="shared" si="11"/>
        <v>0.26240545751149302</v>
      </c>
      <c r="L131" s="2">
        <v>6018419.3717715694</v>
      </c>
      <c r="M131" s="2">
        <v>680400</v>
      </c>
      <c r="N131" s="6">
        <f t="shared" si="12"/>
        <v>1</v>
      </c>
      <c r="O131" s="9">
        <f t="shared" si="13"/>
        <v>0.11305293931348603</v>
      </c>
      <c r="P131" s="10">
        <v>0</v>
      </c>
      <c r="Q131" s="1">
        <f t="shared" si="14"/>
        <v>0</v>
      </c>
      <c r="R131" s="10">
        <v>14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914500</v>
      </c>
      <c r="N132" s="6">
        <f t="shared" si="12"/>
        <v>1</v>
      </c>
      <c r="O132" s="9">
        <f t="shared" si="13"/>
        <v>0.74137560490607224</v>
      </c>
      <c r="P132" s="10">
        <v>1</v>
      </c>
      <c r="Q132" s="1">
        <f t="shared" si="14"/>
        <v>0</v>
      </c>
      <c r="R132" s="10">
        <v>8</v>
      </c>
      <c r="S132" s="10">
        <v>1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5375600</v>
      </c>
      <c r="N133" s="6">
        <f t="shared" si="12"/>
        <v>1</v>
      </c>
      <c r="O133" s="9">
        <f t="shared" si="13"/>
        <v>2.1085100734993607</v>
      </c>
      <c r="P133" s="10">
        <v>12</v>
      </c>
      <c r="Q133" s="1">
        <f t="shared" si="14"/>
        <v>1</v>
      </c>
      <c r="R133" s="10">
        <v>10</v>
      </c>
      <c r="S133" s="10">
        <v>12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3.3258731773482562</v>
      </c>
      <c r="I134" s="1">
        <v>3</v>
      </c>
      <c r="J134" s="1">
        <f t="shared" si="10"/>
        <v>1</v>
      </c>
      <c r="K134" s="5">
        <f t="shared" si="11"/>
        <v>0.90201876019575788</v>
      </c>
      <c r="L134" s="2">
        <v>29626053.564346101</v>
      </c>
      <c r="M134" s="2">
        <v>2586000</v>
      </c>
      <c r="N134" s="6">
        <f t="shared" si="12"/>
        <v>1</v>
      </c>
      <c r="O134" s="9">
        <f t="shared" si="13"/>
        <v>8.7288034985265758E-2</v>
      </c>
      <c r="P134" s="10">
        <v>8</v>
      </c>
      <c r="Q134" s="1">
        <f t="shared" si="14"/>
        <v>1</v>
      </c>
      <c r="R134" s="10">
        <v>6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7.2753475754493193</v>
      </c>
      <c r="I135" s="1">
        <v>3</v>
      </c>
      <c r="J135" s="4">
        <f t="shared" si="10"/>
        <v>1</v>
      </c>
      <c r="K135" s="5">
        <f t="shared" si="11"/>
        <v>0.41235143323234597</v>
      </c>
      <c r="L135" s="2">
        <v>3197916.7051896802</v>
      </c>
      <c r="M135" s="2">
        <v>2966400</v>
      </c>
      <c r="N135" s="6">
        <f t="shared" si="12"/>
        <v>1</v>
      </c>
      <c r="O135" s="9">
        <f t="shared" si="13"/>
        <v>0.92760389762060791</v>
      </c>
      <c r="P135" s="10">
        <v>0</v>
      </c>
      <c r="Q135" s="1">
        <f t="shared" si="14"/>
        <v>0</v>
      </c>
      <c r="R135" s="10">
        <v>10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16.83723296032553</v>
      </c>
      <c r="I136" s="1">
        <v>3</v>
      </c>
      <c r="J136" s="4">
        <f t="shared" si="10"/>
        <v>1</v>
      </c>
      <c r="K136" s="5">
        <f t="shared" si="11"/>
        <v>0.17817654522385359</v>
      </c>
      <c r="L136" s="2">
        <v>22463880</v>
      </c>
      <c r="M136" s="2">
        <v>2705200</v>
      </c>
      <c r="N136" s="6">
        <f t="shared" si="12"/>
        <v>1</v>
      </c>
      <c r="O136" s="9">
        <f t="shared" si="13"/>
        <v>0.12042443246669765</v>
      </c>
      <c r="P136" s="10">
        <v>1</v>
      </c>
      <c r="Q136" s="1">
        <f t="shared" si="14"/>
        <v>0</v>
      </c>
      <c r="R136" s="10">
        <v>9</v>
      </c>
      <c r="S136" s="10">
        <v>0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3058000</v>
      </c>
      <c r="N137" s="6">
        <f t="shared" si="12"/>
        <v>1</v>
      </c>
      <c r="O137" s="9">
        <f t="shared" si="13"/>
        <v>2.4790886821244058</v>
      </c>
      <c r="P137" s="10">
        <v>0</v>
      </c>
      <c r="Q137" s="1">
        <f t="shared" si="14"/>
        <v>0</v>
      </c>
      <c r="R137" s="10">
        <v>7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1</v>
      </c>
      <c r="Q138" s="1">
        <f t="shared" si="14"/>
        <v>0</v>
      </c>
      <c r="R138" s="10">
        <v>5</v>
      </c>
      <c r="S138" s="10">
        <v>6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9">
        <f t="shared" si="13"/>
        <v>2.1158997581244927</v>
      </c>
      <c r="P139" s="10">
        <v>4</v>
      </c>
      <c r="Q139" s="1">
        <f t="shared" si="14"/>
        <v>1</v>
      </c>
      <c r="R139" s="10">
        <v>5</v>
      </c>
      <c r="S139" s="10">
        <v>5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6.0281451339437124</v>
      </c>
      <c r="I140" s="1">
        <v>3</v>
      </c>
      <c r="J140" s="1">
        <f t="shared" si="10"/>
        <v>1</v>
      </c>
      <c r="K140" s="5">
        <f t="shared" si="11"/>
        <v>0.49766552286662519</v>
      </c>
      <c r="L140" s="2">
        <v>29626053.564346101</v>
      </c>
      <c r="M140" s="2">
        <v>2875600</v>
      </c>
      <c r="N140" s="6">
        <f t="shared" si="12"/>
        <v>1</v>
      </c>
      <c r="O140" s="9">
        <f t="shared" si="13"/>
        <v>9.7063214773252221E-2</v>
      </c>
      <c r="P140" s="10">
        <v>1</v>
      </c>
      <c r="Q140" s="1">
        <f t="shared" si="14"/>
        <v>0</v>
      </c>
      <c r="R140" s="10">
        <v>9</v>
      </c>
      <c r="S140" s="10">
        <v>0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22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7.691081722617823</v>
      </c>
      <c r="I142" s="1">
        <v>3</v>
      </c>
      <c r="J142" s="1">
        <f t="shared" si="10"/>
        <v>1</v>
      </c>
      <c r="K142" s="5">
        <f t="shared" si="11"/>
        <v>0.39006216657113951</v>
      </c>
      <c r="L142" s="2">
        <v>1233517.793070439</v>
      </c>
      <c r="M142" s="2">
        <v>1335900</v>
      </c>
      <c r="N142" s="6">
        <f t="shared" si="12"/>
        <v>1</v>
      </c>
      <c r="O142" s="9">
        <f t="shared" si="13"/>
        <v>1.0830001865434904</v>
      </c>
      <c r="P142" s="10">
        <v>1</v>
      </c>
      <c r="Q142" s="1">
        <f t="shared" si="14"/>
        <v>0</v>
      </c>
      <c r="R142" s="10">
        <v>10</v>
      </c>
      <c r="S142" s="10">
        <v>1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3</v>
      </c>
      <c r="I143" s="1">
        <v>4</v>
      </c>
      <c r="J143" s="4">
        <f t="shared" si="10"/>
        <v>1</v>
      </c>
      <c r="K143" s="5">
        <f t="shared" si="11"/>
        <v>1.3333333333333333</v>
      </c>
      <c r="L143" s="2">
        <v>19880654</v>
      </c>
      <c r="M143" s="2">
        <v>3462000</v>
      </c>
      <c r="N143" s="6">
        <f t="shared" si="12"/>
        <v>1</v>
      </c>
      <c r="O143" s="9">
        <f t="shared" si="13"/>
        <v>0.17413914049306425</v>
      </c>
      <c r="P143" s="10">
        <v>2</v>
      </c>
      <c r="Q143" s="1">
        <f t="shared" si="14"/>
        <v>0</v>
      </c>
      <c r="R143" s="10">
        <v>5</v>
      </c>
      <c r="S143" s="10">
        <v>2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5</v>
      </c>
      <c r="I144" s="1">
        <v>6</v>
      </c>
      <c r="J144" s="1">
        <f t="shared" si="10"/>
        <v>1</v>
      </c>
      <c r="K144" s="5">
        <f t="shared" si="11"/>
        <v>1.2</v>
      </c>
      <c r="L144" s="2">
        <v>3447239.462353264</v>
      </c>
      <c r="M144" s="2">
        <v>1028000</v>
      </c>
      <c r="N144" s="6">
        <f t="shared" si="12"/>
        <v>1</v>
      </c>
      <c r="O144" s="9">
        <f t="shared" si="13"/>
        <v>0.29820962866856776</v>
      </c>
      <c r="P144" s="10">
        <v>6</v>
      </c>
      <c r="Q144" s="1">
        <f t="shared" si="14"/>
        <v>1</v>
      </c>
      <c r="R144" s="10">
        <v>7</v>
      </c>
      <c r="S144" s="10">
        <v>6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5898000</v>
      </c>
      <c r="N145" s="6">
        <f t="shared" si="12"/>
        <v>1</v>
      </c>
      <c r="O145" s="9">
        <f t="shared" si="13"/>
        <v>4.7814470396238535</v>
      </c>
      <c r="P145" s="10">
        <v>2</v>
      </c>
      <c r="Q145" s="1">
        <f t="shared" si="14"/>
        <v>0</v>
      </c>
      <c r="R145" s="10">
        <v>10</v>
      </c>
      <c r="S145" s="10">
        <v>2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3</v>
      </c>
      <c r="I146" s="1">
        <v>6</v>
      </c>
      <c r="J146" s="4">
        <f t="shared" si="10"/>
        <v>1</v>
      </c>
      <c r="K146" s="5">
        <f t="shared" si="11"/>
        <v>2</v>
      </c>
      <c r="L146" s="2">
        <v>3917572.6875978149</v>
      </c>
      <c r="M146" s="2">
        <v>9790000</v>
      </c>
      <c r="N146" s="6">
        <f t="shared" si="12"/>
        <v>1</v>
      </c>
      <c r="O146" s="9">
        <f t="shared" si="13"/>
        <v>2.4989963890122615</v>
      </c>
      <c r="P146" s="10">
        <v>4</v>
      </c>
      <c r="Q146" s="1">
        <f t="shared" si="14"/>
        <v>1</v>
      </c>
      <c r="R146" s="10">
        <v>5</v>
      </c>
      <c r="S146" s="10">
        <v>4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7.0674805018650426</v>
      </c>
      <c r="I147" s="1">
        <v>3</v>
      </c>
      <c r="J147" s="4">
        <f t="shared" si="10"/>
        <v>1</v>
      </c>
      <c r="K147" s="5">
        <f t="shared" si="11"/>
        <v>0.42447941656270971</v>
      </c>
      <c r="L147" s="2">
        <v>6018419.3717715694</v>
      </c>
      <c r="M147" s="2">
        <v>426000</v>
      </c>
      <c r="N147" s="6">
        <f t="shared" si="12"/>
        <v>1</v>
      </c>
      <c r="O147" s="9">
        <f t="shared" si="13"/>
        <v>7.0782704508443636E-2</v>
      </c>
      <c r="P147" s="10">
        <v>0</v>
      </c>
      <c r="Q147" s="1">
        <f t="shared" si="14"/>
        <v>0</v>
      </c>
      <c r="R147" s="10">
        <v>10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13.719226856561541</v>
      </c>
      <c r="I148" s="1">
        <v>3</v>
      </c>
      <c r="J148" s="1">
        <f t="shared" si="10"/>
        <v>1</v>
      </c>
      <c r="K148" s="5">
        <f t="shared" si="11"/>
        <v>0.21867121459291125</v>
      </c>
      <c r="L148" s="2">
        <v>1233517.793070439</v>
      </c>
      <c r="M148" s="2">
        <v>902400</v>
      </c>
      <c r="N148" s="6">
        <f t="shared" si="12"/>
        <v>1</v>
      </c>
      <c r="O148" s="9">
        <f t="shared" si="13"/>
        <v>0.7315662611998246</v>
      </c>
      <c r="P148" s="10">
        <v>0</v>
      </c>
      <c r="Q148" s="1">
        <f t="shared" si="14"/>
        <v>0</v>
      </c>
      <c r="R148" s="10">
        <v>9</v>
      </c>
      <c r="S148" s="10">
        <v>5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3.1180061037639888</v>
      </c>
      <c r="I149" s="1">
        <v>3</v>
      </c>
      <c r="J149" s="1">
        <f t="shared" si="10"/>
        <v>1</v>
      </c>
      <c r="K149" s="5">
        <f t="shared" si="11"/>
        <v>0.96215334420880883</v>
      </c>
      <c r="L149" s="2">
        <v>1233517.793070439</v>
      </c>
      <c r="M149" s="2">
        <v>899400</v>
      </c>
      <c r="N149" s="6">
        <f t="shared" si="12"/>
        <v>1</v>
      </c>
      <c r="O149" s="9">
        <f t="shared" si="13"/>
        <v>0.72913419251232525</v>
      </c>
      <c r="P149" s="10">
        <v>6</v>
      </c>
      <c r="Q149" s="1">
        <f t="shared" si="14"/>
        <v>1</v>
      </c>
      <c r="R149" s="10">
        <v>6</v>
      </c>
      <c r="S149" s="10">
        <v>7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4.9888097660223796</v>
      </c>
      <c r="I150" s="1">
        <v>3</v>
      </c>
      <c r="J150" s="1">
        <f t="shared" si="10"/>
        <v>1</v>
      </c>
      <c r="K150" s="5">
        <f t="shared" si="11"/>
        <v>0.60134584013050585</v>
      </c>
      <c r="L150" s="2">
        <v>1233517.793070439</v>
      </c>
      <c r="M150" s="2">
        <v>902400</v>
      </c>
      <c r="N150" s="6">
        <f t="shared" si="12"/>
        <v>1</v>
      </c>
      <c r="O150" s="9">
        <f t="shared" si="13"/>
        <v>0.7315662611998246</v>
      </c>
      <c r="P150" s="10">
        <v>0</v>
      </c>
      <c r="Q150" s="1">
        <f t="shared" si="14"/>
        <v>0</v>
      </c>
      <c r="R150" s="10">
        <v>7</v>
      </c>
      <c r="S150" s="10">
        <v>5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5.8202780603594357</v>
      </c>
      <c r="I151" s="1">
        <v>6</v>
      </c>
      <c r="J151" s="4">
        <f t="shared" si="10"/>
        <v>1</v>
      </c>
      <c r="K151" s="5">
        <f t="shared" si="11"/>
        <v>1.0308785830808684</v>
      </c>
      <c r="L151" s="2">
        <v>1233517.793070439</v>
      </c>
      <c r="M151" s="2">
        <v>6408000</v>
      </c>
      <c r="N151" s="6">
        <f t="shared" si="12"/>
        <v>1</v>
      </c>
      <c r="O151" s="9">
        <f t="shared" si="13"/>
        <v>5.1948987164987548</v>
      </c>
      <c r="P151" s="10">
        <v>6</v>
      </c>
      <c r="Q151" s="1">
        <f t="shared" si="14"/>
        <v>1</v>
      </c>
      <c r="R151" s="10">
        <v>8</v>
      </c>
      <c r="S151" s="10">
        <v>6</v>
      </c>
      <c r="T151" s="10">
        <v>0</v>
      </c>
      <c r="U151" s="3">
        <v>0</v>
      </c>
      <c r="V151" s="3">
        <v>0</v>
      </c>
      <c r="W151" s="3">
        <v>0</v>
      </c>
      <c r="X151" s="3">
        <v>1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12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1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2.7022719565954572</v>
      </c>
      <c r="I153" s="1">
        <v>28</v>
      </c>
      <c r="J153" s="4">
        <f t="shared" si="10"/>
        <v>1</v>
      </c>
      <c r="K153" s="5">
        <f t="shared" si="11"/>
        <v>10.361651399171787</v>
      </c>
      <c r="L153" s="2">
        <v>19880654</v>
      </c>
      <c r="M153" s="2">
        <v>3378000</v>
      </c>
      <c r="N153" s="6">
        <f t="shared" si="12"/>
        <v>1</v>
      </c>
      <c r="O153" s="9">
        <f t="shared" si="13"/>
        <v>0.16991392737884781</v>
      </c>
      <c r="P153" s="10">
        <v>1</v>
      </c>
      <c r="Q153" s="1">
        <f t="shared" si="14"/>
        <v>0</v>
      </c>
      <c r="R153" s="10">
        <v>5</v>
      </c>
      <c r="S153" s="10">
        <v>1</v>
      </c>
      <c r="T153" s="10">
        <v>0</v>
      </c>
      <c r="U153" s="3">
        <v>0</v>
      </c>
      <c r="V153" s="3">
        <v>0</v>
      </c>
      <c r="W153" s="3">
        <v>1</v>
      </c>
      <c r="X153" s="3">
        <v>0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5</v>
      </c>
      <c r="I154" s="1">
        <v>3</v>
      </c>
      <c r="J154" s="1">
        <f t="shared" si="10"/>
        <v>1</v>
      </c>
      <c r="K154" s="5">
        <f t="shared" si="11"/>
        <v>0.6</v>
      </c>
      <c r="L154" s="2">
        <v>6018419.3717715694</v>
      </c>
      <c r="M154" s="2">
        <v>840000</v>
      </c>
      <c r="N154" s="6">
        <f t="shared" si="12"/>
        <v>1</v>
      </c>
      <c r="O154" s="9">
        <f t="shared" si="13"/>
        <v>0.13957153001664943</v>
      </c>
      <c r="P154" s="10">
        <v>2</v>
      </c>
      <c r="Q154" s="1">
        <f t="shared" si="14"/>
        <v>0</v>
      </c>
      <c r="R154" s="10">
        <v>7</v>
      </c>
      <c r="S154" s="10">
        <v>2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4199500</v>
      </c>
      <c r="N155" s="6">
        <f t="shared" si="12"/>
        <v>1</v>
      </c>
      <c r="O155" s="9">
        <f t="shared" si="13"/>
        <v>0.18694455276648558</v>
      </c>
      <c r="P155" s="10">
        <v>1</v>
      </c>
      <c r="Q155" s="1">
        <f t="shared" si="14"/>
        <v>0</v>
      </c>
      <c r="R155" s="10">
        <v>14</v>
      </c>
      <c r="S155" s="10">
        <v>1</v>
      </c>
      <c r="T155" s="10">
        <v>0</v>
      </c>
      <c r="U155" s="3">
        <v>1</v>
      </c>
      <c r="V155" s="3">
        <v>0</v>
      </c>
      <c r="W155" s="3">
        <v>0</v>
      </c>
      <c r="X155" s="3">
        <v>0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11.432689047134639</v>
      </c>
      <c r="I156" s="1">
        <v>3</v>
      </c>
      <c r="J156" s="4">
        <f t="shared" ref="J156:J219" si="15">IF(I156&gt;=3,1,0)</f>
        <v>1</v>
      </c>
      <c r="K156" s="5">
        <f t="shared" ref="K156:K219" si="16">I156/H156</f>
        <v>0.26240545751149302</v>
      </c>
      <c r="L156" s="2">
        <v>1233517.793070439</v>
      </c>
      <c r="M156" s="2">
        <v>840000</v>
      </c>
      <c r="N156" s="6">
        <f t="shared" ref="N156:N219" si="17">IF(M156&gt;=300000,1,0)</f>
        <v>1</v>
      </c>
      <c r="O156" s="9">
        <f t="shared" ref="O156:O219" si="18">M156/L156</f>
        <v>0.68097923249983672</v>
      </c>
      <c r="P156" s="10">
        <v>0</v>
      </c>
      <c r="Q156" s="1">
        <f t="shared" ref="Q156:Q219" si="19">IF(P156&gt;=3,1,0)</f>
        <v>0</v>
      </c>
      <c r="R156" s="10">
        <v>14</v>
      </c>
      <c r="S156" s="10">
        <v>5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3</v>
      </c>
      <c r="I157" s="1">
        <v>3</v>
      </c>
      <c r="J157" s="4">
        <f t="shared" si="15"/>
        <v>1</v>
      </c>
      <c r="K157" s="5">
        <f t="shared" si="16"/>
        <v>1</v>
      </c>
      <c r="L157" s="2">
        <v>2572302.4230823722</v>
      </c>
      <c r="M157" s="2">
        <v>13930000</v>
      </c>
      <c r="N157" s="6">
        <f t="shared" si="17"/>
        <v>1</v>
      </c>
      <c r="O157" s="9">
        <f t="shared" si="18"/>
        <v>5.4153819064975171</v>
      </c>
      <c r="P157" s="10">
        <v>3</v>
      </c>
      <c r="Q157" s="1">
        <f t="shared" si="19"/>
        <v>1</v>
      </c>
      <c r="R157" s="10">
        <v>5</v>
      </c>
      <c r="S157" s="10">
        <v>4</v>
      </c>
      <c r="T157" s="10">
        <v>0</v>
      </c>
      <c r="U157" s="3">
        <v>0</v>
      </c>
      <c r="V157" s="3">
        <v>0</v>
      </c>
      <c r="W157" s="3">
        <v>0</v>
      </c>
      <c r="X157" s="3">
        <v>1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9.5618853848762093</v>
      </c>
      <c r="I158" s="1">
        <v>12</v>
      </c>
      <c r="J158" s="1">
        <f t="shared" si="15"/>
        <v>1</v>
      </c>
      <c r="K158" s="5">
        <f t="shared" si="16"/>
        <v>1.2549826228810581</v>
      </c>
      <c r="L158" s="2">
        <v>22463880</v>
      </c>
      <c r="M158" s="2">
        <v>3770500</v>
      </c>
      <c r="N158" s="6">
        <f t="shared" si="17"/>
        <v>1</v>
      </c>
      <c r="O158" s="9">
        <f t="shared" si="18"/>
        <v>0.16784722852864242</v>
      </c>
      <c r="P158" s="10">
        <v>7</v>
      </c>
      <c r="Q158" s="1">
        <f t="shared" si="19"/>
        <v>1</v>
      </c>
      <c r="R158" s="10">
        <v>12</v>
      </c>
      <c r="S158" s="10">
        <v>7</v>
      </c>
      <c r="T158" s="10">
        <v>0</v>
      </c>
      <c r="U158" s="3">
        <v>1</v>
      </c>
      <c r="V158" s="3">
        <v>0</v>
      </c>
      <c r="W158" s="3">
        <v>0</v>
      </c>
      <c r="X158" s="3">
        <v>0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4.7809426924381153</v>
      </c>
      <c r="I159" s="1">
        <v>4</v>
      </c>
      <c r="J159" s="4">
        <f t="shared" si="15"/>
        <v>1</v>
      </c>
      <c r="K159" s="5">
        <f t="shared" si="16"/>
        <v>0.83665508192070348</v>
      </c>
      <c r="L159" s="2">
        <v>2549477.9785796599</v>
      </c>
      <c r="M159" s="2">
        <v>5688250</v>
      </c>
      <c r="N159" s="6">
        <f t="shared" si="17"/>
        <v>1</v>
      </c>
      <c r="O159" s="9">
        <f t="shared" si="18"/>
        <v>2.2311430213525445</v>
      </c>
      <c r="P159" s="10">
        <v>1</v>
      </c>
      <c r="Q159" s="1">
        <f t="shared" si="19"/>
        <v>0</v>
      </c>
      <c r="R159" s="10">
        <v>7</v>
      </c>
      <c r="S159" s="10">
        <v>1</v>
      </c>
      <c r="T159" s="10">
        <v>0</v>
      </c>
      <c r="U159" s="3">
        <v>1</v>
      </c>
      <c r="V159" s="3">
        <v>0</v>
      </c>
      <c r="W159" s="3">
        <v>0</v>
      </c>
      <c r="X159" s="3">
        <v>0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706800</v>
      </c>
      <c r="N160" s="6">
        <f t="shared" si="17"/>
        <v>1</v>
      </c>
      <c r="O160" s="9">
        <f t="shared" si="18"/>
        <v>2.3857379399685168E-2</v>
      </c>
      <c r="P160" s="10">
        <v>1</v>
      </c>
      <c r="Q160" s="1">
        <f t="shared" si="19"/>
        <v>0</v>
      </c>
      <c r="R160" s="10">
        <v>7</v>
      </c>
      <c r="S160" s="10">
        <v>1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1671600</v>
      </c>
      <c r="N161" s="6">
        <f t="shared" si="17"/>
        <v>1</v>
      </c>
      <c r="O161" s="9">
        <f t="shared" si="18"/>
        <v>1.3551486726746751</v>
      </c>
      <c r="P161" s="10">
        <v>1</v>
      </c>
      <c r="Q161" s="1">
        <f t="shared" si="19"/>
        <v>0</v>
      </c>
      <c r="R161" s="10">
        <v>8</v>
      </c>
      <c r="S161" s="10">
        <v>1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3</v>
      </c>
      <c r="I162" s="1">
        <v>6</v>
      </c>
      <c r="J162" s="4">
        <f t="shared" si="15"/>
        <v>1</v>
      </c>
      <c r="K162" s="5">
        <f t="shared" si="16"/>
        <v>2</v>
      </c>
      <c r="L162" s="2">
        <v>1233517.793070439</v>
      </c>
      <c r="M162" s="2">
        <v>1608000</v>
      </c>
      <c r="N162" s="6">
        <f t="shared" si="17"/>
        <v>1</v>
      </c>
      <c r="O162" s="9">
        <f t="shared" si="18"/>
        <v>1.3035888164996874</v>
      </c>
      <c r="P162" s="10">
        <v>2</v>
      </c>
      <c r="Q162" s="1">
        <f t="shared" si="19"/>
        <v>0</v>
      </c>
      <c r="R162" s="10">
        <v>5</v>
      </c>
      <c r="S162" s="10">
        <v>3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3</v>
      </c>
      <c r="I163" s="1">
        <v>6</v>
      </c>
      <c r="J163" s="1">
        <f t="shared" si="15"/>
        <v>1</v>
      </c>
      <c r="K163" s="5">
        <f t="shared" si="16"/>
        <v>2</v>
      </c>
      <c r="L163" s="2">
        <v>1233517.793070439</v>
      </c>
      <c r="M163" s="2">
        <v>1882800</v>
      </c>
      <c r="N163" s="6">
        <f t="shared" si="17"/>
        <v>1</v>
      </c>
      <c r="O163" s="9">
        <f t="shared" si="18"/>
        <v>1.5263663082746342</v>
      </c>
      <c r="P163" s="10">
        <v>2</v>
      </c>
      <c r="Q163" s="1">
        <f t="shared" si="19"/>
        <v>0</v>
      </c>
      <c r="R163" s="10">
        <v>5</v>
      </c>
      <c r="S163" s="10">
        <v>2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1837200</v>
      </c>
      <c r="N164" s="6">
        <f t="shared" si="17"/>
        <v>1</v>
      </c>
      <c r="O164" s="9">
        <f t="shared" si="18"/>
        <v>1.489398864224643</v>
      </c>
      <c r="P164" s="10">
        <v>1</v>
      </c>
      <c r="Q164" s="1">
        <f t="shared" si="19"/>
        <v>0</v>
      </c>
      <c r="R164" s="10">
        <v>6</v>
      </c>
      <c r="S164" s="10">
        <v>1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720000</v>
      </c>
      <c r="N165" s="6">
        <f t="shared" si="17"/>
        <v>1</v>
      </c>
      <c r="O165" s="9">
        <f t="shared" si="18"/>
        <v>0.58369648499986004</v>
      </c>
      <c r="P165" s="10">
        <v>1</v>
      </c>
      <c r="Q165" s="1">
        <f t="shared" si="19"/>
        <v>0</v>
      </c>
      <c r="R165" s="10">
        <v>8</v>
      </c>
      <c r="S165" s="10">
        <v>1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5</v>
      </c>
      <c r="I166" s="1">
        <v>5</v>
      </c>
      <c r="J166" s="1">
        <f t="shared" si="15"/>
        <v>1</v>
      </c>
      <c r="K166" s="5">
        <f t="shared" si="16"/>
        <v>1</v>
      </c>
      <c r="L166" s="2">
        <v>12908778</v>
      </c>
      <c r="M166" s="2">
        <v>15590000</v>
      </c>
      <c r="N166" s="6">
        <f t="shared" si="17"/>
        <v>1</v>
      </c>
      <c r="O166" s="9">
        <f t="shared" si="18"/>
        <v>1.2077053304348406</v>
      </c>
      <c r="P166" s="10">
        <v>3</v>
      </c>
      <c r="Q166" s="1">
        <f t="shared" si="19"/>
        <v>1</v>
      </c>
      <c r="R166" s="10">
        <v>7</v>
      </c>
      <c r="S166" s="10">
        <v>3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1022000</v>
      </c>
      <c r="N167" s="6">
        <f t="shared" si="17"/>
        <v>1</v>
      </c>
      <c r="O167" s="9">
        <f t="shared" si="18"/>
        <v>0.82852473287480133</v>
      </c>
      <c r="P167" s="10">
        <v>0</v>
      </c>
      <c r="Q167" s="1">
        <f t="shared" si="19"/>
        <v>0</v>
      </c>
      <c r="R167" s="10">
        <v>7</v>
      </c>
      <c r="S167" s="10">
        <v>0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1715000</v>
      </c>
      <c r="N168" s="6">
        <f t="shared" si="17"/>
        <v>1</v>
      </c>
      <c r="O168" s="9">
        <f t="shared" si="18"/>
        <v>1.3903325996871667</v>
      </c>
      <c r="P168" s="10">
        <v>2</v>
      </c>
      <c r="Q168" s="1">
        <f t="shared" si="19"/>
        <v>0</v>
      </c>
      <c r="R168" s="10">
        <v>5</v>
      </c>
      <c r="S168" s="10">
        <v>2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9">
        <f t="shared" si="18"/>
        <v>0.6</v>
      </c>
      <c r="P169" s="10">
        <v>4</v>
      </c>
      <c r="Q169" s="1">
        <f t="shared" si="19"/>
        <v>1</v>
      </c>
      <c r="R169" s="10">
        <v>5</v>
      </c>
      <c r="S169" s="10">
        <v>4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4881000</v>
      </c>
      <c r="N170" s="6">
        <f t="shared" si="17"/>
        <v>1</v>
      </c>
      <c r="O170" s="9">
        <f t="shared" si="18"/>
        <v>0.16475363447915012</v>
      </c>
      <c r="P170" s="10">
        <v>0</v>
      </c>
      <c r="Q170" s="1">
        <f t="shared" si="19"/>
        <v>0</v>
      </c>
      <c r="R170" s="10">
        <v>7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3</v>
      </c>
      <c r="I171" s="1">
        <v>3</v>
      </c>
      <c r="J171" s="1">
        <f t="shared" si="15"/>
        <v>1</v>
      </c>
      <c r="K171" s="5">
        <f t="shared" si="16"/>
        <v>1</v>
      </c>
      <c r="L171" s="2">
        <v>6018419.3717715694</v>
      </c>
      <c r="M171" s="2">
        <v>1304000</v>
      </c>
      <c r="N171" s="6">
        <f t="shared" si="17"/>
        <v>1</v>
      </c>
      <c r="O171" s="9">
        <f t="shared" si="18"/>
        <v>0.21666818469251292</v>
      </c>
      <c r="P171" s="10">
        <v>68</v>
      </c>
      <c r="Q171" s="1">
        <f t="shared" si="19"/>
        <v>1</v>
      </c>
      <c r="R171" s="10">
        <v>5</v>
      </c>
      <c r="S171" s="10">
        <v>62</v>
      </c>
      <c r="T171" s="10">
        <v>0</v>
      </c>
      <c r="U171" s="3">
        <v>0</v>
      </c>
      <c r="V171" s="3">
        <v>1</v>
      </c>
      <c r="W171" s="3">
        <v>0</v>
      </c>
      <c r="X171" s="3">
        <v>0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3.3258731773482562</v>
      </c>
      <c r="I172" s="1">
        <v>3</v>
      </c>
      <c r="J172" s="4">
        <f t="shared" si="15"/>
        <v>1</v>
      </c>
      <c r="K172" s="5">
        <f t="shared" si="16"/>
        <v>0.90201876019575788</v>
      </c>
      <c r="L172" s="2">
        <v>1233517.793070439</v>
      </c>
      <c r="M172" s="2">
        <v>12386500</v>
      </c>
      <c r="N172" s="6">
        <f t="shared" si="17"/>
        <v>1</v>
      </c>
      <c r="O172" s="9">
        <f t="shared" si="18"/>
        <v>10.041606265903843</v>
      </c>
      <c r="P172" s="10">
        <v>8</v>
      </c>
      <c r="Q172" s="1">
        <f t="shared" si="19"/>
        <v>1</v>
      </c>
      <c r="R172" s="10">
        <v>6</v>
      </c>
      <c r="S172" s="10">
        <v>8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6506000</v>
      </c>
      <c r="N173" s="6">
        <f t="shared" si="17"/>
        <v>1</v>
      </c>
      <c r="O173" s="9">
        <f t="shared" si="18"/>
        <v>1.9822642919984372</v>
      </c>
      <c r="P173" s="10">
        <v>6</v>
      </c>
      <c r="Q173" s="1">
        <f t="shared" si="19"/>
        <v>1</v>
      </c>
      <c r="R173" s="10">
        <v>21</v>
      </c>
      <c r="S173" s="10">
        <v>7</v>
      </c>
      <c r="T173" s="10">
        <v>0</v>
      </c>
      <c r="U173" s="3">
        <v>1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2973000</v>
      </c>
      <c r="N174" s="6">
        <f t="shared" si="17"/>
        <v>1</v>
      </c>
      <c r="O174" s="9">
        <f t="shared" si="18"/>
        <v>1.1661210745802513</v>
      </c>
      <c r="P174" s="10">
        <v>10</v>
      </c>
      <c r="Q174" s="1">
        <f t="shared" si="19"/>
        <v>1</v>
      </c>
      <c r="R174" s="10">
        <v>9</v>
      </c>
      <c r="S174" s="10">
        <v>0</v>
      </c>
      <c r="T174" s="10">
        <v>1</v>
      </c>
      <c r="U174" s="3">
        <v>0</v>
      </c>
      <c r="V174" s="3">
        <v>0</v>
      </c>
      <c r="W174" s="3">
        <v>0</v>
      </c>
      <c r="X174" s="3">
        <v>0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4.7809426924381153</v>
      </c>
      <c r="I175" s="1">
        <v>4</v>
      </c>
      <c r="J175" s="1">
        <f t="shared" si="15"/>
        <v>1</v>
      </c>
      <c r="K175" s="5">
        <f t="shared" si="16"/>
        <v>0.83665508192070348</v>
      </c>
      <c r="L175" s="2">
        <v>1233517.793070439</v>
      </c>
      <c r="M175" s="2">
        <v>1350000</v>
      </c>
      <c r="N175" s="6">
        <f t="shared" si="17"/>
        <v>1</v>
      </c>
      <c r="O175" s="9">
        <f t="shared" si="18"/>
        <v>1.0944309093747375</v>
      </c>
      <c r="P175" s="10">
        <v>1</v>
      </c>
      <c r="Q175" s="1">
        <f t="shared" si="19"/>
        <v>0</v>
      </c>
      <c r="R175" s="10">
        <v>7</v>
      </c>
      <c r="S175" s="10">
        <v>6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4.9888097660223796</v>
      </c>
      <c r="I176" s="1">
        <v>68</v>
      </c>
      <c r="J176" s="4">
        <f t="shared" si="15"/>
        <v>1</v>
      </c>
      <c r="K176" s="5">
        <f t="shared" si="16"/>
        <v>13.630505709624799</v>
      </c>
      <c r="L176" s="2">
        <v>1233517.793070439</v>
      </c>
      <c r="M176" s="2">
        <v>5170000</v>
      </c>
      <c r="N176" s="6">
        <f t="shared" si="17"/>
        <v>1</v>
      </c>
      <c r="O176" s="9">
        <f t="shared" si="18"/>
        <v>4.1912650381239951</v>
      </c>
      <c r="P176" s="10">
        <v>6</v>
      </c>
      <c r="Q176" s="1">
        <f t="shared" si="19"/>
        <v>1</v>
      </c>
      <c r="R176" s="10">
        <v>7</v>
      </c>
      <c r="S176" s="10">
        <v>6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9">
        <f t="shared" si="18"/>
        <v>0</v>
      </c>
      <c r="P177" s="10">
        <v>0</v>
      </c>
      <c r="Q177" s="1">
        <f t="shared" si="19"/>
        <v>0</v>
      </c>
      <c r="R177" s="10">
        <v>7</v>
      </c>
      <c r="S177" s="10">
        <v>5</v>
      </c>
      <c r="T177" s="10">
        <v>0</v>
      </c>
      <c r="U177" s="3">
        <v>0</v>
      </c>
      <c r="V177" s="3">
        <v>0</v>
      </c>
      <c r="W177" s="3">
        <v>0</v>
      </c>
      <c r="X177" s="3">
        <v>1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9">
        <f t="shared" si="18"/>
        <v>0</v>
      </c>
      <c r="P178" s="10">
        <v>1</v>
      </c>
      <c r="Q178" s="1">
        <f t="shared" si="19"/>
        <v>0</v>
      </c>
      <c r="R178" s="10">
        <v>5</v>
      </c>
      <c r="S178" s="10">
        <v>1</v>
      </c>
      <c r="T178" s="10">
        <v>0</v>
      </c>
      <c r="U178" s="3">
        <v>0</v>
      </c>
      <c r="V178" s="3">
        <v>0</v>
      </c>
      <c r="W178" s="3">
        <v>0</v>
      </c>
      <c r="X178" s="3">
        <v>1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2230000</v>
      </c>
      <c r="N179" s="6">
        <f t="shared" si="17"/>
        <v>1</v>
      </c>
      <c r="O179" s="9">
        <f t="shared" si="18"/>
        <v>1.8078377243745667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1398000</v>
      </c>
      <c r="N180" s="6">
        <f t="shared" si="17"/>
        <v>1</v>
      </c>
      <c r="O180" s="9">
        <f t="shared" si="18"/>
        <v>1.1333440083747284</v>
      </c>
      <c r="P180" s="10">
        <v>0</v>
      </c>
      <c r="Q180" s="1">
        <f t="shared" si="19"/>
        <v>0</v>
      </c>
      <c r="R180" s="10">
        <v>9</v>
      </c>
      <c r="S180" s="10">
        <v>3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2833000</v>
      </c>
      <c r="N181" s="6">
        <f t="shared" si="17"/>
        <v>1</v>
      </c>
      <c r="O181" s="9">
        <f t="shared" si="18"/>
        <v>2.2966835305619493</v>
      </c>
      <c r="P181" s="10">
        <v>2</v>
      </c>
      <c r="Q181" s="1">
        <f t="shared" si="19"/>
        <v>0</v>
      </c>
      <c r="R181" s="10">
        <v>15</v>
      </c>
      <c r="S181" s="10">
        <v>5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1577000</v>
      </c>
      <c r="N182" s="6">
        <f t="shared" si="17"/>
        <v>1</v>
      </c>
      <c r="O182" s="9">
        <f t="shared" si="18"/>
        <v>1.2784574400621935</v>
      </c>
      <c r="P182" s="10">
        <v>1</v>
      </c>
      <c r="Q182" s="1">
        <f t="shared" si="19"/>
        <v>0</v>
      </c>
      <c r="R182" s="10">
        <v>8</v>
      </c>
      <c r="S182" s="10">
        <v>3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1884000</v>
      </c>
      <c r="N183" s="6">
        <f t="shared" si="17"/>
        <v>1</v>
      </c>
      <c r="O183" s="9">
        <f t="shared" si="18"/>
        <v>1.5273391357496338</v>
      </c>
      <c r="P183" s="10">
        <v>1</v>
      </c>
      <c r="Q183" s="1">
        <f t="shared" si="19"/>
        <v>0</v>
      </c>
      <c r="R183" s="10">
        <v>7</v>
      </c>
      <c r="S183" s="10">
        <v>4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1709000</v>
      </c>
      <c r="N184" s="6">
        <f t="shared" si="17"/>
        <v>1</v>
      </c>
      <c r="O184" s="9">
        <f t="shared" si="18"/>
        <v>1.3854684623121678</v>
      </c>
      <c r="P184" s="10">
        <v>1</v>
      </c>
      <c r="Q184" s="1">
        <f t="shared" si="19"/>
        <v>0</v>
      </c>
      <c r="R184" s="10">
        <v>6</v>
      </c>
      <c r="S184" s="10">
        <v>4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3837000</v>
      </c>
      <c r="N185" s="6">
        <f t="shared" si="17"/>
        <v>1</v>
      </c>
      <c r="O185" s="9">
        <f t="shared" si="18"/>
        <v>3.1106158513117541</v>
      </c>
      <c r="P185" s="10">
        <v>0</v>
      </c>
      <c r="Q185" s="1">
        <f t="shared" si="19"/>
        <v>0</v>
      </c>
      <c r="R185" s="10">
        <v>5</v>
      </c>
      <c r="S185" s="10">
        <v>8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3290000</v>
      </c>
      <c r="N186" s="6">
        <f t="shared" si="17"/>
        <v>1</v>
      </c>
      <c r="O186" s="9">
        <f t="shared" si="18"/>
        <v>2.6671686606243608</v>
      </c>
      <c r="P186" s="10">
        <v>15</v>
      </c>
      <c r="Q186" s="1">
        <f t="shared" si="19"/>
        <v>1</v>
      </c>
      <c r="R186" s="10">
        <v>9</v>
      </c>
      <c r="S186" s="10">
        <v>18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2571000</v>
      </c>
      <c r="N187" s="6">
        <f t="shared" si="17"/>
        <v>1</v>
      </c>
      <c r="O187" s="9">
        <f t="shared" si="18"/>
        <v>2.0842828651870002</v>
      </c>
      <c r="P187" s="10">
        <v>1</v>
      </c>
      <c r="Q187" s="1">
        <f t="shared" si="19"/>
        <v>0</v>
      </c>
      <c r="R187" s="10">
        <v>8</v>
      </c>
      <c r="S187" s="10">
        <v>3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3662000</v>
      </c>
      <c r="N188" s="6">
        <f t="shared" si="17"/>
        <v>1</v>
      </c>
      <c r="O188" s="9">
        <f t="shared" si="18"/>
        <v>2.9687451778742884</v>
      </c>
      <c r="P188" s="10">
        <v>2</v>
      </c>
      <c r="Q188" s="1">
        <f t="shared" si="19"/>
        <v>0</v>
      </c>
      <c r="R188" s="10">
        <v>7</v>
      </c>
      <c r="S188" s="10">
        <v>8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3</v>
      </c>
      <c r="I189" s="1">
        <v>3</v>
      </c>
      <c r="J189" s="1">
        <f t="shared" si="15"/>
        <v>1</v>
      </c>
      <c r="K189" s="5">
        <f t="shared" si="16"/>
        <v>1</v>
      </c>
      <c r="L189" s="2">
        <v>1233517.793070439</v>
      </c>
      <c r="M189" s="2">
        <v>3140000</v>
      </c>
      <c r="N189" s="6">
        <f t="shared" si="17"/>
        <v>1</v>
      </c>
      <c r="O189" s="9">
        <f t="shared" si="18"/>
        <v>2.5455652262493897</v>
      </c>
      <c r="P189" s="10">
        <v>1</v>
      </c>
      <c r="Q189" s="1">
        <f t="shared" si="19"/>
        <v>0</v>
      </c>
      <c r="R189" s="10">
        <v>5</v>
      </c>
      <c r="S189" s="10">
        <v>1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4.9888097660223796</v>
      </c>
      <c r="I190" s="1">
        <v>6</v>
      </c>
      <c r="J190" s="4">
        <f t="shared" si="15"/>
        <v>1</v>
      </c>
      <c r="K190" s="5">
        <f t="shared" si="16"/>
        <v>1.2026916802610117</v>
      </c>
      <c r="L190" s="2">
        <v>1233517.793070439</v>
      </c>
      <c r="M190" s="2">
        <v>4000000</v>
      </c>
      <c r="N190" s="6">
        <f t="shared" si="17"/>
        <v>1</v>
      </c>
      <c r="O190" s="9">
        <f t="shared" si="18"/>
        <v>3.2427582499992225</v>
      </c>
      <c r="P190" s="10">
        <v>2</v>
      </c>
      <c r="Q190" s="1">
        <f t="shared" si="19"/>
        <v>0</v>
      </c>
      <c r="R190" s="10">
        <v>7</v>
      </c>
      <c r="S190" s="10">
        <v>2</v>
      </c>
      <c r="T190" s="10">
        <v>0</v>
      </c>
      <c r="U190" s="3">
        <v>0</v>
      </c>
      <c r="V190" s="3">
        <v>0</v>
      </c>
      <c r="W190" s="3">
        <v>0</v>
      </c>
      <c r="X190" s="3">
        <v>1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5</v>
      </c>
      <c r="I191" s="1">
        <v>3</v>
      </c>
      <c r="J191" s="4">
        <f t="shared" si="15"/>
        <v>1</v>
      </c>
      <c r="K191" s="5">
        <f t="shared" si="16"/>
        <v>0.6</v>
      </c>
      <c r="L191" s="2">
        <v>3959230.4169087922</v>
      </c>
      <c r="M191" s="2">
        <v>2610000</v>
      </c>
      <c r="N191" s="6">
        <f t="shared" si="17"/>
        <v>1</v>
      </c>
      <c r="O191" s="9">
        <f t="shared" si="18"/>
        <v>0.65921902116466946</v>
      </c>
      <c r="P191" s="10">
        <v>2</v>
      </c>
      <c r="Q191" s="1">
        <f t="shared" si="19"/>
        <v>0</v>
      </c>
      <c r="R191" s="10">
        <v>7</v>
      </c>
      <c r="S191" s="10">
        <v>2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16.213631739572751</v>
      </c>
      <c r="I192" s="1">
        <v>2</v>
      </c>
      <c r="J192" s="4">
        <f t="shared" si="15"/>
        <v>0</v>
      </c>
      <c r="K192" s="5">
        <f t="shared" si="16"/>
        <v>0.12335299284728311</v>
      </c>
      <c r="L192" s="2">
        <v>3114725.9703081902</v>
      </c>
      <c r="M192" s="2">
        <v>7000000</v>
      </c>
      <c r="N192" s="6">
        <f t="shared" si="17"/>
        <v>1</v>
      </c>
      <c r="O192" s="9">
        <f t="shared" si="18"/>
        <v>2.2473887162880581</v>
      </c>
      <c r="P192" s="10">
        <v>1</v>
      </c>
      <c r="Q192" s="1">
        <f t="shared" si="19"/>
        <v>0</v>
      </c>
      <c r="R192" s="10">
        <v>9</v>
      </c>
      <c r="S192" s="10">
        <v>1</v>
      </c>
      <c r="T192" s="10">
        <v>0</v>
      </c>
      <c r="U192" s="3">
        <v>0</v>
      </c>
      <c r="V192" s="3">
        <v>0</v>
      </c>
      <c r="W192" s="3">
        <v>0</v>
      </c>
      <c r="X192" s="3">
        <v>1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6.443879281112264</v>
      </c>
      <c r="I193" s="1">
        <v>6</v>
      </c>
      <c r="J193" s="1">
        <f t="shared" si="15"/>
        <v>1</v>
      </c>
      <c r="K193" s="5">
        <f t="shared" si="16"/>
        <v>0.93111613955690875</v>
      </c>
      <c r="L193" s="2">
        <v>12908778</v>
      </c>
      <c r="M193" s="2">
        <v>1053500</v>
      </c>
      <c r="N193" s="6">
        <f t="shared" si="17"/>
        <v>1</v>
      </c>
      <c r="O193" s="9">
        <f t="shared" si="18"/>
        <v>8.161113313746661E-2</v>
      </c>
      <c r="P193" s="10">
        <v>0</v>
      </c>
      <c r="Q193" s="1">
        <f t="shared" si="19"/>
        <v>0</v>
      </c>
      <c r="R193" s="10">
        <v>9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9">
        <f t="shared" si="18"/>
        <v>5.3576060644023843E-2</v>
      </c>
      <c r="P194" s="10">
        <v>0</v>
      </c>
      <c r="Q194" s="1">
        <f t="shared" si="19"/>
        <v>0</v>
      </c>
      <c r="R194" s="10">
        <v>10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7.2753475754493193</v>
      </c>
      <c r="I195" s="1">
        <v>1</v>
      </c>
      <c r="J195" s="1">
        <f t="shared" si="15"/>
        <v>0</v>
      </c>
      <c r="K195" s="5">
        <f t="shared" si="16"/>
        <v>0.13745047774411531</v>
      </c>
      <c r="L195" s="2">
        <v>1233517.793070439</v>
      </c>
      <c r="M195" s="2">
        <v>645000</v>
      </c>
      <c r="N195" s="6">
        <f t="shared" si="17"/>
        <v>1</v>
      </c>
      <c r="O195" s="9">
        <f t="shared" si="18"/>
        <v>0.52289476781237465</v>
      </c>
      <c r="P195" s="10">
        <v>5</v>
      </c>
      <c r="Q195" s="1">
        <f t="shared" si="19"/>
        <v>1</v>
      </c>
      <c r="R195" s="10">
        <v>10</v>
      </c>
      <c r="S195" s="10">
        <v>5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6.651746354696491</v>
      </c>
      <c r="I196" s="1">
        <v>1</v>
      </c>
      <c r="J196" s="1">
        <f t="shared" si="15"/>
        <v>0</v>
      </c>
      <c r="K196" s="5">
        <f t="shared" si="16"/>
        <v>0.1503364600326268</v>
      </c>
      <c r="L196" s="2">
        <v>1233517.793070439</v>
      </c>
      <c r="M196" s="2">
        <v>343000</v>
      </c>
      <c r="N196" s="6">
        <f t="shared" si="17"/>
        <v>1</v>
      </c>
      <c r="O196" s="9">
        <f t="shared" si="18"/>
        <v>0.27806651993743331</v>
      </c>
      <c r="P196" s="10">
        <v>0</v>
      </c>
      <c r="Q196" s="1">
        <f t="shared" si="19"/>
        <v>0</v>
      </c>
      <c r="R196" s="10">
        <v>9</v>
      </c>
      <c r="S196" s="10">
        <v>14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5.8202780603594357</v>
      </c>
      <c r="I197" s="1">
        <v>1</v>
      </c>
      <c r="J197" s="4">
        <f t="shared" si="15"/>
        <v>0</v>
      </c>
      <c r="K197" s="5">
        <f t="shared" si="16"/>
        <v>0.17181309718014473</v>
      </c>
      <c r="L197" s="2">
        <v>2549477.9785796599</v>
      </c>
      <c r="M197" s="2">
        <v>5120000</v>
      </c>
      <c r="N197" s="6">
        <f t="shared" si="17"/>
        <v>1</v>
      </c>
      <c r="O197" s="9">
        <f t="shared" si="18"/>
        <v>2.0082542555838838</v>
      </c>
      <c r="P197" s="10">
        <v>1</v>
      </c>
      <c r="Q197" s="1">
        <f t="shared" si="19"/>
        <v>0</v>
      </c>
      <c r="R197" s="10">
        <v>8</v>
      </c>
      <c r="S197" s="10">
        <v>2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3</v>
      </c>
      <c r="I198" s="1">
        <v>1</v>
      </c>
      <c r="J198" s="4">
        <f t="shared" si="15"/>
        <v>0</v>
      </c>
      <c r="K198" s="5">
        <f t="shared" si="16"/>
        <v>0.33333333333333331</v>
      </c>
      <c r="L198" s="2">
        <v>12908778</v>
      </c>
      <c r="M198" s="2">
        <v>4725000</v>
      </c>
      <c r="N198" s="6">
        <f t="shared" si="17"/>
        <v>1</v>
      </c>
      <c r="O198" s="9">
        <f t="shared" si="18"/>
        <v>0.366029999121528</v>
      </c>
      <c r="P198" s="10">
        <v>1</v>
      </c>
      <c r="Q198" s="1">
        <f t="shared" si="19"/>
        <v>0</v>
      </c>
      <c r="R198" s="10">
        <v>5</v>
      </c>
      <c r="S198" s="10">
        <v>1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8.938284164123429</v>
      </c>
      <c r="I199" s="1">
        <v>6</v>
      </c>
      <c r="J199" s="4">
        <f t="shared" si="15"/>
        <v>1</v>
      </c>
      <c r="K199" s="5">
        <f t="shared" si="16"/>
        <v>0.67126977502940188</v>
      </c>
      <c r="L199" s="2">
        <v>22463880</v>
      </c>
      <c r="M199" s="2">
        <v>897000</v>
      </c>
      <c r="N199" s="6">
        <f t="shared" si="17"/>
        <v>1</v>
      </c>
      <c r="O199" s="9">
        <f t="shared" si="18"/>
        <v>3.9930768860944772E-2</v>
      </c>
      <c r="P199" s="10">
        <v>0</v>
      </c>
      <c r="Q199" s="1">
        <f t="shared" si="19"/>
        <v>0</v>
      </c>
      <c r="R199" s="10">
        <v>11</v>
      </c>
      <c r="S199" s="10">
        <v>8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975000</v>
      </c>
      <c r="N200" s="6">
        <f t="shared" si="17"/>
        <v>1</v>
      </c>
      <c r="O200" s="9">
        <f t="shared" si="18"/>
        <v>0.79042232343731056</v>
      </c>
      <c r="P200" s="10">
        <v>1</v>
      </c>
      <c r="Q200" s="1">
        <f t="shared" si="19"/>
        <v>0</v>
      </c>
      <c r="R200" s="10">
        <v>10</v>
      </c>
      <c r="S200" s="10">
        <v>3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5.1966768396066563</v>
      </c>
      <c r="I201" s="1">
        <v>9</v>
      </c>
      <c r="J201" s="4">
        <f t="shared" si="15"/>
        <v>1</v>
      </c>
      <c r="K201" s="5">
        <f t="shared" si="16"/>
        <v>1.7318760195758531</v>
      </c>
      <c r="L201" s="2">
        <v>2574298.0029296018</v>
      </c>
      <c r="M201" s="2">
        <v>7904000</v>
      </c>
      <c r="N201" s="6">
        <f t="shared" si="17"/>
        <v>1</v>
      </c>
      <c r="O201" s="9">
        <f t="shared" si="18"/>
        <v>3.0703516030409426</v>
      </c>
      <c r="P201" s="10">
        <v>13</v>
      </c>
      <c r="Q201" s="1">
        <f t="shared" si="19"/>
        <v>1</v>
      </c>
      <c r="R201" s="10">
        <v>8</v>
      </c>
      <c r="S201" s="10">
        <v>13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5</v>
      </c>
      <c r="I202" s="1">
        <v>6</v>
      </c>
      <c r="J202" s="1">
        <f t="shared" si="15"/>
        <v>1</v>
      </c>
      <c r="K202" s="5">
        <f t="shared" si="16"/>
        <v>1.2</v>
      </c>
      <c r="L202" s="2">
        <v>2905564.257570155</v>
      </c>
      <c r="M202" s="2">
        <v>2020000</v>
      </c>
      <c r="N202" s="6">
        <f t="shared" si="17"/>
        <v>1</v>
      </c>
      <c r="O202" s="9">
        <f t="shared" si="18"/>
        <v>0.6952178031296653</v>
      </c>
      <c r="P202" s="10">
        <v>2</v>
      </c>
      <c r="Q202" s="1">
        <f t="shared" si="19"/>
        <v>0</v>
      </c>
      <c r="R202" s="10">
        <v>7</v>
      </c>
      <c r="S202" s="10">
        <v>20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22770000</v>
      </c>
      <c r="N203" s="6">
        <f t="shared" si="17"/>
        <v>1</v>
      </c>
      <c r="O203" s="9">
        <f t="shared" si="18"/>
        <v>0.65431562744788418</v>
      </c>
      <c r="P203" s="10">
        <v>6</v>
      </c>
      <c r="Q203" s="1">
        <f t="shared" si="19"/>
        <v>1</v>
      </c>
      <c r="R203" s="10">
        <v>6</v>
      </c>
      <c r="S203" s="10">
        <v>8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3.1180061037639888</v>
      </c>
      <c r="I204" s="1">
        <v>6</v>
      </c>
      <c r="J204" s="4">
        <f t="shared" si="15"/>
        <v>1</v>
      </c>
      <c r="K204" s="5">
        <f t="shared" si="16"/>
        <v>1.9243066884176177</v>
      </c>
      <c r="L204" s="2">
        <v>22463880</v>
      </c>
      <c r="M204" s="2">
        <v>20274000</v>
      </c>
      <c r="N204" s="6">
        <f t="shared" si="17"/>
        <v>1</v>
      </c>
      <c r="O204" s="9">
        <f t="shared" si="18"/>
        <v>0.90251550489051757</v>
      </c>
      <c r="P204" s="10">
        <v>7</v>
      </c>
      <c r="Q204" s="1">
        <f t="shared" si="19"/>
        <v>1</v>
      </c>
      <c r="R204" s="10">
        <v>6</v>
      </c>
      <c r="S204" s="10">
        <v>59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3</v>
      </c>
      <c r="I205" s="1">
        <v>60</v>
      </c>
      <c r="J205" s="4">
        <f t="shared" si="15"/>
        <v>1</v>
      </c>
      <c r="K205" s="5">
        <f t="shared" si="16"/>
        <v>20</v>
      </c>
      <c r="L205" s="2">
        <v>6018419.3717715694</v>
      </c>
      <c r="M205" s="2">
        <v>2136000</v>
      </c>
      <c r="N205" s="6">
        <f t="shared" si="17"/>
        <v>1</v>
      </c>
      <c r="O205" s="9">
        <f t="shared" si="18"/>
        <v>0.35491046204233712</v>
      </c>
      <c r="P205" s="10">
        <v>2</v>
      </c>
      <c r="Q205" s="1">
        <f t="shared" si="19"/>
        <v>0</v>
      </c>
      <c r="R205" s="10">
        <v>5</v>
      </c>
      <c r="S205" s="10">
        <v>7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3</v>
      </c>
      <c r="I206" s="1">
        <v>68</v>
      </c>
      <c r="J206" s="4">
        <f t="shared" si="15"/>
        <v>1</v>
      </c>
      <c r="K206" s="5">
        <f t="shared" si="16"/>
        <v>22.666666666666668</v>
      </c>
      <c r="L206" s="2">
        <v>6018419.3717715694</v>
      </c>
      <c r="M206" s="2">
        <v>10695000</v>
      </c>
      <c r="N206" s="6">
        <f t="shared" si="17"/>
        <v>1</v>
      </c>
      <c r="O206" s="9">
        <f t="shared" si="18"/>
        <v>1.7770446589619828</v>
      </c>
      <c r="P206" s="10">
        <v>0</v>
      </c>
      <c r="Q206" s="1">
        <f t="shared" si="19"/>
        <v>0</v>
      </c>
      <c r="R206" s="10">
        <v>5</v>
      </c>
      <c r="S206" s="10">
        <v>5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9">
        <f t="shared" si="18"/>
        <v>2.1158997581244927</v>
      </c>
      <c r="P207" s="10">
        <v>0</v>
      </c>
      <c r="Q207" s="1">
        <f t="shared" si="19"/>
        <v>0</v>
      </c>
      <c r="R207" s="10">
        <v>5</v>
      </c>
      <c r="S207" s="10">
        <v>55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3824000</v>
      </c>
      <c r="N209" s="6">
        <f t="shared" si="17"/>
        <v>1</v>
      </c>
      <c r="O209" s="9">
        <f t="shared" si="18"/>
        <v>3.1000768869992568</v>
      </c>
      <c r="P209" s="10">
        <v>13</v>
      </c>
      <c r="Q209" s="1">
        <f t="shared" si="19"/>
        <v>1</v>
      </c>
      <c r="R209" s="10">
        <v>8</v>
      </c>
      <c r="S209" s="10">
        <v>15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2590000</v>
      </c>
      <c r="N210" s="6">
        <f t="shared" si="17"/>
        <v>1</v>
      </c>
      <c r="O210" s="9">
        <f t="shared" si="18"/>
        <v>8.7423051280679939E-2</v>
      </c>
      <c r="P210" s="10">
        <v>0</v>
      </c>
      <c r="Q210" s="1">
        <f t="shared" si="19"/>
        <v>0</v>
      </c>
      <c r="R210" s="10">
        <v>7</v>
      </c>
      <c r="S210" s="10">
        <v>0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3656000</v>
      </c>
      <c r="N211" s="6">
        <f t="shared" si="17"/>
        <v>1</v>
      </c>
      <c r="O211" s="9">
        <f t="shared" si="18"/>
        <v>2.9638810404992895</v>
      </c>
      <c r="P211" s="10">
        <v>0</v>
      </c>
      <c r="Q211" s="1">
        <f t="shared" si="19"/>
        <v>0</v>
      </c>
      <c r="R211" s="10">
        <v>5</v>
      </c>
      <c r="S211" s="10">
        <v>5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573000</v>
      </c>
      <c r="N212" s="6">
        <f t="shared" si="17"/>
        <v>1</v>
      </c>
      <c r="O212" s="9">
        <f t="shared" si="18"/>
        <v>0.46452511931238866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9">
        <f t="shared" si="18"/>
        <v>0.17997308287495686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607000</v>
      </c>
      <c r="N214" s="6">
        <f t="shared" si="17"/>
        <v>1</v>
      </c>
      <c r="O214" s="9">
        <f t="shared" si="18"/>
        <v>2.0233333333333334</v>
      </c>
      <c r="P214" s="10">
        <v>7</v>
      </c>
      <c r="Q214" s="1">
        <f t="shared" si="19"/>
        <v>1</v>
      </c>
      <c r="R214" s="10">
        <v>5</v>
      </c>
      <c r="S214" s="10">
        <v>8</v>
      </c>
      <c r="T214" s="10">
        <v>1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445000</v>
      </c>
      <c r="N215" s="6">
        <f t="shared" si="17"/>
        <v>1</v>
      </c>
      <c r="O215" s="9">
        <f t="shared" si="18"/>
        <v>1.4833333333333334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9">
        <f t="shared" si="18"/>
        <v>7.2962060624982505E-2</v>
      </c>
      <c r="P216" s="10">
        <v>5</v>
      </c>
      <c r="Q216" s="1">
        <f t="shared" si="19"/>
        <v>1</v>
      </c>
      <c r="R216" s="10">
        <v>5</v>
      </c>
      <c r="S216" s="10">
        <v>5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9">
        <f t="shared" si="18"/>
        <v>0</v>
      </c>
      <c r="P218" s="10">
        <v>0</v>
      </c>
      <c r="Q218" s="1">
        <f t="shared" si="19"/>
        <v>0</v>
      </c>
      <c r="R218" s="10">
        <v>7</v>
      </c>
      <c r="S218" s="10">
        <v>5</v>
      </c>
      <c r="T218" s="10">
        <v>0</v>
      </c>
      <c r="U218" s="3">
        <v>0</v>
      </c>
      <c r="V218" s="3">
        <v>0</v>
      </c>
      <c r="W218" s="3">
        <v>0</v>
      </c>
      <c r="X218" s="3">
        <v>1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9">
        <f t="shared" si="18"/>
        <v>0.26752755562493585</v>
      </c>
      <c r="P219" s="10">
        <v>0</v>
      </c>
      <c r="Q219" s="1">
        <f t="shared" si="19"/>
        <v>0</v>
      </c>
      <c r="R219" s="10">
        <v>7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7.0674805018650426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0.84895883312541942</v>
      </c>
      <c r="L220" s="2">
        <v>1233517.793070439</v>
      </c>
      <c r="M220" s="2">
        <v>1878000</v>
      </c>
      <c r="N220" s="6">
        <f t="shared" ref="N220:N283" si="22">IF(M220&gt;=300000,1,0)</f>
        <v>1</v>
      </c>
      <c r="O220" s="9">
        <f t="shared" ref="O220:O283" si="23">M220/L220</f>
        <v>1.5224749983746351</v>
      </c>
      <c r="P220" s="10">
        <v>3</v>
      </c>
      <c r="Q220" s="1">
        <f t="shared" ref="Q220:Q283" si="24">IF(P220&gt;=3,1,0)</f>
        <v>1</v>
      </c>
      <c r="R220" s="10">
        <v>10</v>
      </c>
      <c r="S220" s="10">
        <v>3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9">
        <f t="shared" si="23"/>
        <v>0</v>
      </c>
      <c r="P221" s="10">
        <v>0</v>
      </c>
      <c r="Q221" s="1">
        <f t="shared" si="24"/>
        <v>0</v>
      </c>
      <c r="R221" s="10">
        <v>6</v>
      </c>
      <c r="S221" s="10">
        <v>5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7.2753475754493193</v>
      </c>
      <c r="I222" s="1">
        <v>3</v>
      </c>
      <c r="J222" s="1">
        <f t="shared" si="20"/>
        <v>1</v>
      </c>
      <c r="K222" s="5">
        <f t="shared" si="21"/>
        <v>0.41235143323234597</v>
      </c>
      <c r="L222" s="2">
        <v>1233517.793070439</v>
      </c>
      <c r="M222" s="2">
        <v>6190000</v>
      </c>
      <c r="N222" s="6">
        <f t="shared" si="22"/>
        <v>1</v>
      </c>
      <c r="O222" s="9">
        <f t="shared" si="23"/>
        <v>5.0181683918737967</v>
      </c>
      <c r="P222" s="10">
        <v>0</v>
      </c>
      <c r="Q222" s="1">
        <f t="shared" si="24"/>
        <v>0</v>
      </c>
      <c r="R222" s="10">
        <v>10</v>
      </c>
      <c r="S222" s="10">
        <v>7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390000</v>
      </c>
      <c r="N223" s="6">
        <f t="shared" si="22"/>
        <v>1</v>
      </c>
      <c r="O223" s="9">
        <f t="shared" si="23"/>
        <v>0.31616892937492419</v>
      </c>
      <c r="P223" s="10">
        <v>6</v>
      </c>
      <c r="Q223" s="1">
        <f t="shared" si="24"/>
        <v>1</v>
      </c>
      <c r="R223" s="10">
        <v>7</v>
      </c>
      <c r="S223" s="10">
        <v>8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4.7809426924381153</v>
      </c>
      <c r="I224" s="1">
        <v>18</v>
      </c>
      <c r="J224" s="1">
        <f t="shared" si="20"/>
        <v>1</v>
      </c>
      <c r="K224" s="5">
        <f t="shared" si="21"/>
        <v>3.7649478686431657</v>
      </c>
      <c r="L224" s="2">
        <v>1233517.793070439</v>
      </c>
      <c r="M224" s="2">
        <v>175000</v>
      </c>
      <c r="N224" s="6">
        <f t="shared" si="22"/>
        <v>0</v>
      </c>
      <c r="O224" s="9">
        <f t="shared" si="23"/>
        <v>0.14187067343746598</v>
      </c>
      <c r="P224" s="10">
        <v>15</v>
      </c>
      <c r="Q224" s="1">
        <f t="shared" si="24"/>
        <v>1</v>
      </c>
      <c r="R224" s="10">
        <v>7</v>
      </c>
      <c r="S224" s="10">
        <v>16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4.5730756188538484</v>
      </c>
      <c r="I225" s="1">
        <v>7</v>
      </c>
      <c r="J225" s="1">
        <f t="shared" si="20"/>
        <v>1</v>
      </c>
      <c r="K225" s="5">
        <f t="shared" si="21"/>
        <v>1.5306985021503783</v>
      </c>
      <c r="L225" s="2">
        <v>1233517.793070439</v>
      </c>
      <c r="M225" s="2">
        <v>792000</v>
      </c>
      <c r="N225" s="6">
        <f t="shared" si="22"/>
        <v>1</v>
      </c>
      <c r="O225" s="9">
        <f t="shared" si="23"/>
        <v>0.64206613349984609</v>
      </c>
      <c r="P225" s="10">
        <v>1</v>
      </c>
      <c r="Q225" s="1">
        <f t="shared" si="24"/>
        <v>0</v>
      </c>
      <c r="R225" s="10">
        <v>7</v>
      </c>
      <c r="S225" s="10">
        <v>2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6.0281451339437124</v>
      </c>
      <c r="I226" s="1">
        <v>7</v>
      </c>
      <c r="J226" s="1">
        <f t="shared" si="20"/>
        <v>1</v>
      </c>
      <c r="K226" s="5">
        <f t="shared" si="21"/>
        <v>1.1612195533554588</v>
      </c>
      <c r="L226" s="2">
        <v>1233517.793070439</v>
      </c>
      <c r="M226" s="2">
        <v>654000</v>
      </c>
      <c r="N226" s="6">
        <f t="shared" si="22"/>
        <v>1</v>
      </c>
      <c r="O226" s="9">
        <f t="shared" si="23"/>
        <v>0.53019097387487291</v>
      </c>
      <c r="P226" s="10">
        <v>0</v>
      </c>
      <c r="Q226" s="1">
        <f t="shared" si="24"/>
        <v>0</v>
      </c>
      <c r="R226" s="10">
        <v>9</v>
      </c>
      <c r="S226" s="10">
        <v>1</v>
      </c>
      <c r="T226" s="10">
        <v>1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558000</v>
      </c>
      <c r="N227" s="6">
        <f t="shared" si="22"/>
        <v>1</v>
      </c>
      <c r="O227" s="9">
        <f t="shared" si="23"/>
        <v>0.45236477587489154</v>
      </c>
      <c r="P227" s="10">
        <v>0</v>
      </c>
      <c r="Q227" s="1">
        <f t="shared" si="24"/>
        <v>0</v>
      </c>
      <c r="R227" s="10">
        <v>7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438000</v>
      </c>
      <c r="N228" s="6">
        <f t="shared" si="22"/>
        <v>1</v>
      </c>
      <c r="O228" s="9">
        <f t="shared" si="23"/>
        <v>0.35508202837491487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1703000</v>
      </c>
      <c r="N229" s="6">
        <f t="shared" si="22"/>
        <v>1</v>
      </c>
      <c r="O229" s="9">
        <f t="shared" si="23"/>
        <v>1.3806043249371691</v>
      </c>
      <c r="P229" s="10">
        <v>0</v>
      </c>
      <c r="Q229" s="1">
        <f t="shared" si="24"/>
        <v>0</v>
      </c>
      <c r="R229" s="10">
        <v>10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992000</v>
      </c>
      <c r="N230" s="6">
        <f t="shared" si="22"/>
        <v>1</v>
      </c>
      <c r="O230" s="9">
        <f t="shared" si="23"/>
        <v>0.80420404599980722</v>
      </c>
      <c r="P230" s="10">
        <v>5</v>
      </c>
      <c r="Q230" s="1">
        <f t="shared" si="24"/>
        <v>1</v>
      </c>
      <c r="R230" s="10">
        <v>9</v>
      </c>
      <c r="S230" s="10">
        <v>5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5.8202780603594357</v>
      </c>
      <c r="I231" s="1">
        <v>7</v>
      </c>
      <c r="J231" s="1">
        <f t="shared" si="20"/>
        <v>1</v>
      </c>
      <c r="K231" s="5">
        <f t="shared" si="21"/>
        <v>1.202691680261013</v>
      </c>
      <c r="L231" s="2">
        <v>1233517.793070439</v>
      </c>
      <c r="M231" s="2">
        <v>2049000</v>
      </c>
      <c r="N231" s="6">
        <f t="shared" si="22"/>
        <v>1</v>
      </c>
      <c r="O231" s="9">
        <f t="shared" si="23"/>
        <v>1.6611029135621018</v>
      </c>
      <c r="P231" s="10">
        <v>4</v>
      </c>
      <c r="Q231" s="1">
        <f t="shared" si="24"/>
        <v>1</v>
      </c>
      <c r="R231" s="10">
        <v>8</v>
      </c>
      <c r="S231" s="10">
        <v>4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890000</v>
      </c>
      <c r="N232" s="6">
        <f t="shared" si="22"/>
        <v>1</v>
      </c>
      <c r="O232" s="9">
        <f t="shared" si="23"/>
        <v>0.72151371062482705</v>
      </c>
      <c r="P232" s="10">
        <v>0</v>
      </c>
      <c r="Q232" s="1">
        <f t="shared" si="24"/>
        <v>0</v>
      </c>
      <c r="R232" s="10">
        <v>7</v>
      </c>
      <c r="S232" s="10">
        <v>50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1028000</v>
      </c>
      <c r="N233" s="6">
        <f t="shared" si="22"/>
        <v>1</v>
      </c>
      <c r="O233" s="9">
        <f t="shared" si="23"/>
        <v>0.83338887024980024</v>
      </c>
      <c r="P233" s="10">
        <v>2</v>
      </c>
      <c r="Q233" s="1">
        <f t="shared" si="24"/>
        <v>0</v>
      </c>
      <c r="R233" s="10">
        <v>7</v>
      </c>
      <c r="S233" s="10">
        <v>1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481000</v>
      </c>
      <c r="N234" s="6">
        <f t="shared" si="22"/>
        <v>1</v>
      </c>
      <c r="O234" s="9">
        <f t="shared" si="23"/>
        <v>0.3899416795624065</v>
      </c>
      <c r="P234" s="10">
        <v>0</v>
      </c>
      <c r="Q234" s="1">
        <f t="shared" si="24"/>
        <v>0</v>
      </c>
      <c r="R234" s="10">
        <v>7</v>
      </c>
      <c r="S234" s="10">
        <v>0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3.3258731773482562</v>
      </c>
      <c r="I235" s="1">
        <v>6</v>
      </c>
      <c r="J235" s="4">
        <f t="shared" si="20"/>
        <v>1</v>
      </c>
      <c r="K235" s="5">
        <f t="shared" si="21"/>
        <v>1.8040375203915158</v>
      </c>
      <c r="L235" s="2">
        <v>1233517.793070439</v>
      </c>
      <c r="M235" s="2">
        <v>6975000</v>
      </c>
      <c r="N235" s="6">
        <f t="shared" si="22"/>
        <v>1</v>
      </c>
      <c r="O235" s="9">
        <f t="shared" si="23"/>
        <v>5.6545596984361444</v>
      </c>
      <c r="P235" s="10">
        <v>2</v>
      </c>
      <c r="Q235" s="1">
        <f t="shared" si="24"/>
        <v>0</v>
      </c>
      <c r="R235" s="10">
        <v>6</v>
      </c>
      <c r="S235" s="10">
        <v>2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9">
        <f t="shared" si="23"/>
        <v>0.45236477587489154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1368000</v>
      </c>
      <c r="N237" s="6">
        <f t="shared" si="22"/>
        <v>1</v>
      </c>
      <c r="O237" s="9">
        <f t="shared" si="23"/>
        <v>4.5599999999999996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571000</v>
      </c>
      <c r="N238" s="6">
        <f t="shared" si="22"/>
        <v>1</v>
      </c>
      <c r="O238" s="9">
        <f t="shared" si="23"/>
        <v>1.9033333333333333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1497000</v>
      </c>
      <c r="N239" s="6">
        <f t="shared" si="22"/>
        <v>1</v>
      </c>
      <c r="O239" s="9">
        <f t="shared" si="23"/>
        <v>0.24873640527967167</v>
      </c>
      <c r="P239" s="10">
        <v>0</v>
      </c>
      <c r="Q239" s="1">
        <f t="shared" si="24"/>
        <v>0</v>
      </c>
      <c r="R239" s="10">
        <v>13</v>
      </c>
      <c r="S239" s="10">
        <v>3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805000</v>
      </c>
      <c r="N240" s="6">
        <f t="shared" si="22"/>
        <v>1</v>
      </c>
      <c r="O240" s="9">
        <f t="shared" si="23"/>
        <v>0.65260509781234355</v>
      </c>
      <c r="P240" s="10">
        <v>0</v>
      </c>
      <c r="Q240" s="1">
        <f t="shared" si="24"/>
        <v>0</v>
      </c>
      <c r="R240" s="10">
        <v>13</v>
      </c>
      <c r="S240" s="10">
        <v>3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5</v>
      </c>
      <c r="I241" s="1">
        <v>4</v>
      </c>
      <c r="J241" s="4">
        <f t="shared" si="20"/>
        <v>1</v>
      </c>
      <c r="K241" s="5">
        <f t="shared" si="21"/>
        <v>0.8</v>
      </c>
      <c r="L241" s="2">
        <v>19880654</v>
      </c>
      <c r="M241" s="2">
        <v>10605000</v>
      </c>
      <c r="N241" s="6">
        <f t="shared" si="22"/>
        <v>1</v>
      </c>
      <c r="O241" s="9">
        <f t="shared" si="23"/>
        <v>0.53343315566982852</v>
      </c>
      <c r="P241" s="10">
        <v>1</v>
      </c>
      <c r="Q241" s="1">
        <f t="shared" si="24"/>
        <v>0</v>
      </c>
      <c r="R241" s="10">
        <v>7</v>
      </c>
      <c r="S241" s="10">
        <v>2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2211000</v>
      </c>
      <c r="N242" s="6">
        <f t="shared" si="22"/>
        <v>1</v>
      </c>
      <c r="O242" s="9">
        <f t="shared" si="23"/>
        <v>1.7924346226870702</v>
      </c>
      <c r="P242" s="10">
        <v>5</v>
      </c>
      <c r="Q242" s="1">
        <f t="shared" si="24"/>
        <v>1</v>
      </c>
      <c r="R242" s="10">
        <v>7</v>
      </c>
      <c r="S242" s="10">
        <v>7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4.7809426924381153</v>
      </c>
      <c r="I243" s="1">
        <v>2</v>
      </c>
      <c r="J243" s="1">
        <f t="shared" si="20"/>
        <v>0</v>
      </c>
      <c r="K243" s="5">
        <f t="shared" si="21"/>
        <v>0.41832754096035174</v>
      </c>
      <c r="L243" s="2">
        <v>2549477.9785796599</v>
      </c>
      <c r="M243" s="2">
        <v>10243000</v>
      </c>
      <c r="N243" s="6">
        <f t="shared" si="22"/>
        <v>1</v>
      </c>
      <c r="O243" s="9">
        <f t="shared" si="23"/>
        <v>4.0176852226456488</v>
      </c>
      <c r="P243" s="10">
        <v>11</v>
      </c>
      <c r="Q243" s="1">
        <f t="shared" si="24"/>
        <v>1</v>
      </c>
      <c r="R243" s="10">
        <v>7</v>
      </c>
      <c r="S243" s="10">
        <v>11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3.1180061037639888</v>
      </c>
      <c r="I244" s="1">
        <v>4</v>
      </c>
      <c r="J244" s="1">
        <f t="shared" si="20"/>
        <v>1</v>
      </c>
      <c r="K244" s="5">
        <f t="shared" si="21"/>
        <v>1.2828711256117451</v>
      </c>
      <c r="L244" s="2">
        <v>22463880</v>
      </c>
      <c r="M244" s="2">
        <v>2961000</v>
      </c>
      <c r="N244" s="6">
        <f t="shared" si="22"/>
        <v>1</v>
      </c>
      <c r="O244" s="9">
        <f t="shared" si="23"/>
        <v>0.13181160155770064</v>
      </c>
      <c r="P244" s="10">
        <v>0</v>
      </c>
      <c r="Q244" s="1">
        <f t="shared" si="24"/>
        <v>0</v>
      </c>
      <c r="R244" s="10">
        <v>6</v>
      </c>
      <c r="S244" s="10">
        <v>3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3471000</v>
      </c>
      <c r="N245" s="6">
        <f t="shared" si="22"/>
        <v>1</v>
      </c>
      <c r="O245" s="9">
        <f t="shared" si="23"/>
        <v>2.8139034714368254</v>
      </c>
      <c r="P245" s="10">
        <v>9</v>
      </c>
      <c r="Q245" s="1">
        <f t="shared" si="24"/>
        <v>1</v>
      </c>
      <c r="R245" s="10">
        <v>6</v>
      </c>
      <c r="S245" s="10">
        <v>17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3</v>
      </c>
      <c r="I246" s="1">
        <v>5</v>
      </c>
      <c r="J246" s="1">
        <f t="shared" si="20"/>
        <v>1</v>
      </c>
      <c r="K246" s="5">
        <f t="shared" si="21"/>
        <v>1.6666666666666667</v>
      </c>
      <c r="L246" s="2">
        <v>1233517.793070439</v>
      </c>
      <c r="M246" s="2">
        <v>1290000</v>
      </c>
      <c r="N246" s="6">
        <f t="shared" si="22"/>
        <v>1</v>
      </c>
      <c r="O246" s="9">
        <f t="shared" si="23"/>
        <v>1.0457895356247493</v>
      </c>
      <c r="P246" s="10">
        <v>1</v>
      </c>
      <c r="Q246" s="1">
        <f t="shared" si="24"/>
        <v>0</v>
      </c>
      <c r="R246" s="10">
        <v>5</v>
      </c>
      <c r="S246" s="10">
        <v>4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3</v>
      </c>
      <c r="I247" s="1">
        <v>4</v>
      </c>
      <c r="J247" s="1">
        <f t="shared" si="20"/>
        <v>1</v>
      </c>
      <c r="K247" s="5">
        <f t="shared" si="21"/>
        <v>1.3333333333333333</v>
      </c>
      <c r="L247" s="2">
        <v>1233517.793070439</v>
      </c>
      <c r="M247" s="2">
        <v>2865000</v>
      </c>
      <c r="N247" s="6">
        <f t="shared" si="22"/>
        <v>1</v>
      </c>
      <c r="O247" s="9">
        <f t="shared" si="23"/>
        <v>2.3226255965619433</v>
      </c>
      <c r="P247" s="10">
        <v>0</v>
      </c>
      <c r="Q247" s="1">
        <f t="shared" si="24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2.9101390301797232</v>
      </c>
      <c r="I248" s="1">
        <v>0</v>
      </c>
      <c r="J248" s="1">
        <f t="shared" si="20"/>
        <v>0</v>
      </c>
      <c r="K248" s="5">
        <f t="shared" si="21"/>
        <v>0</v>
      </c>
      <c r="L248" s="2">
        <v>12908778</v>
      </c>
      <c r="M248" s="2">
        <v>3283000</v>
      </c>
      <c r="N248" s="6">
        <f t="shared" si="22"/>
        <v>1</v>
      </c>
      <c r="O248" s="9">
        <f t="shared" si="23"/>
        <v>0.25432306605629129</v>
      </c>
      <c r="P248" s="10">
        <v>29</v>
      </c>
      <c r="Q248" s="1">
        <f t="shared" si="24"/>
        <v>1</v>
      </c>
      <c r="R248" s="10">
        <v>5</v>
      </c>
      <c r="S248" s="10">
        <v>31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452000</v>
      </c>
      <c r="N249" s="6">
        <f t="shared" si="22"/>
        <v>1</v>
      </c>
      <c r="O249" s="9">
        <f t="shared" si="23"/>
        <v>0.36643168224991213</v>
      </c>
      <c r="P249" s="10">
        <v>0</v>
      </c>
      <c r="Q249" s="1">
        <f t="shared" si="24"/>
        <v>0</v>
      </c>
      <c r="R249" s="10">
        <v>9</v>
      </c>
      <c r="S249" s="10">
        <v>51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649000</v>
      </c>
      <c r="N250" s="6">
        <f t="shared" si="22"/>
        <v>1</v>
      </c>
      <c r="O250" s="9">
        <f t="shared" si="23"/>
        <v>0.52613752606237385</v>
      </c>
      <c r="P250" s="10">
        <v>0</v>
      </c>
      <c r="Q250" s="1">
        <f t="shared" si="24"/>
        <v>0</v>
      </c>
      <c r="R250" s="10">
        <v>7</v>
      </c>
      <c r="S250" s="10">
        <v>5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711000</v>
      </c>
      <c r="N251" s="6">
        <f t="shared" si="22"/>
        <v>1</v>
      </c>
      <c r="O251" s="9">
        <f t="shared" si="23"/>
        <v>0.57640027893736179</v>
      </c>
      <c r="P251" s="10">
        <v>0</v>
      </c>
      <c r="Q251" s="1">
        <f t="shared" si="24"/>
        <v>0</v>
      </c>
      <c r="R251" s="10">
        <v>7</v>
      </c>
      <c r="S251" s="10">
        <v>5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4.5730756188538484</v>
      </c>
      <c r="I252" s="1">
        <v>1</v>
      </c>
      <c r="J252" s="1">
        <f t="shared" si="20"/>
        <v>0</v>
      </c>
      <c r="K252" s="5">
        <f t="shared" si="21"/>
        <v>0.2186712145929112</v>
      </c>
      <c r="L252" s="2">
        <v>2781339.4120799541</v>
      </c>
      <c r="M252" s="2">
        <v>4342000</v>
      </c>
      <c r="N252" s="6">
        <f t="shared" si="22"/>
        <v>1</v>
      </c>
      <c r="O252" s="9">
        <f t="shared" si="23"/>
        <v>1.5611183522376888</v>
      </c>
      <c r="P252" s="10">
        <v>2</v>
      </c>
      <c r="Q252" s="1">
        <f t="shared" si="24"/>
        <v>0</v>
      </c>
      <c r="R252" s="10">
        <v>7</v>
      </c>
      <c r="S252" s="10">
        <v>2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1668000</v>
      </c>
      <c r="N253" s="6">
        <f t="shared" si="22"/>
        <v>1</v>
      </c>
      <c r="O253" s="9">
        <f t="shared" si="23"/>
        <v>0.6542515817019372</v>
      </c>
      <c r="P253" s="10">
        <v>4</v>
      </c>
      <c r="Q253" s="1">
        <f t="shared" si="24"/>
        <v>1</v>
      </c>
      <c r="R253" s="10">
        <v>6</v>
      </c>
      <c r="S253" s="10">
        <v>4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2800000</v>
      </c>
      <c r="N254" s="6">
        <f t="shared" si="22"/>
        <v>1</v>
      </c>
      <c r="O254" s="9">
        <f t="shared" si="23"/>
        <v>2.2699307749994557</v>
      </c>
      <c r="P254" s="10">
        <v>0</v>
      </c>
      <c r="Q254" s="1">
        <f t="shared" si="24"/>
        <v>0</v>
      </c>
      <c r="R254" s="10">
        <v>6</v>
      </c>
      <c r="S254" s="10">
        <v>0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4024000</v>
      </c>
      <c r="N255" s="6">
        <f t="shared" si="22"/>
        <v>1</v>
      </c>
      <c r="O255" s="9">
        <f t="shared" si="23"/>
        <v>3.2622147994992181</v>
      </c>
      <c r="P255" s="10">
        <v>5</v>
      </c>
      <c r="Q255" s="1">
        <f t="shared" si="24"/>
        <v>1</v>
      </c>
      <c r="R255" s="10">
        <v>6</v>
      </c>
      <c r="S255" s="10">
        <v>5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3</v>
      </c>
      <c r="I256" s="1">
        <v>3</v>
      </c>
      <c r="J256" s="4">
        <f t="shared" si="20"/>
        <v>1</v>
      </c>
      <c r="K256" s="5">
        <f t="shared" si="21"/>
        <v>1</v>
      </c>
      <c r="L256" s="2">
        <v>22463880</v>
      </c>
      <c r="M256" s="2">
        <v>10956000</v>
      </c>
      <c r="N256" s="6">
        <f t="shared" si="22"/>
        <v>1</v>
      </c>
      <c r="O256" s="9">
        <f t="shared" si="23"/>
        <v>0.48771628053568661</v>
      </c>
      <c r="P256" s="10">
        <v>13</v>
      </c>
      <c r="Q256" s="1">
        <f t="shared" si="24"/>
        <v>1</v>
      </c>
      <c r="R256" s="10">
        <v>5</v>
      </c>
      <c r="S256" s="10">
        <v>15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1585000</v>
      </c>
      <c r="N257" s="6">
        <f t="shared" si="22"/>
        <v>1</v>
      </c>
      <c r="O257" s="9">
        <f t="shared" si="23"/>
        <v>1.2849429565621919</v>
      </c>
      <c r="P257" s="10">
        <v>9</v>
      </c>
      <c r="Q257" s="1">
        <f t="shared" si="24"/>
        <v>1</v>
      </c>
      <c r="R257" s="10">
        <v>14</v>
      </c>
      <c r="S257" s="10">
        <v>9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745000</v>
      </c>
      <c r="N258" s="6">
        <f t="shared" si="22"/>
        <v>1</v>
      </c>
      <c r="O258" s="9">
        <f t="shared" si="23"/>
        <v>0.60396372406235521</v>
      </c>
      <c r="P258" s="10">
        <v>0</v>
      </c>
      <c r="Q258" s="1">
        <f t="shared" si="24"/>
        <v>0</v>
      </c>
      <c r="R258" s="10">
        <v>12</v>
      </c>
      <c r="S258" s="10">
        <v>2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8.938284164123429</v>
      </c>
      <c r="I259" s="1">
        <v>35</v>
      </c>
      <c r="J259" s="4">
        <f t="shared" si="20"/>
        <v>1</v>
      </c>
      <c r="K259" s="5">
        <f t="shared" si="21"/>
        <v>3.9157403543381779</v>
      </c>
      <c r="L259" s="2">
        <v>1233517.793070439</v>
      </c>
      <c r="M259" s="2">
        <v>1826000</v>
      </c>
      <c r="N259" s="6">
        <f t="shared" si="22"/>
        <v>1</v>
      </c>
      <c r="O259" s="9">
        <f t="shared" si="23"/>
        <v>1.480319141124645</v>
      </c>
      <c r="P259" s="10">
        <v>39</v>
      </c>
      <c r="Q259" s="1">
        <f t="shared" si="24"/>
        <v>1</v>
      </c>
      <c r="R259" s="10">
        <v>11</v>
      </c>
      <c r="S259" s="10">
        <v>48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1262000</v>
      </c>
      <c r="N260" s="6">
        <f t="shared" si="22"/>
        <v>1</v>
      </c>
      <c r="O260" s="9">
        <f t="shared" si="23"/>
        <v>1.0230902278747547</v>
      </c>
      <c r="P260" s="10">
        <v>0</v>
      </c>
      <c r="Q260" s="1">
        <f t="shared" si="24"/>
        <v>0</v>
      </c>
      <c r="R260" s="10">
        <v>8</v>
      </c>
      <c r="S260" s="10">
        <v>1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10045000</v>
      </c>
      <c r="N261" s="6">
        <f t="shared" si="22"/>
        <v>1</v>
      </c>
      <c r="O261" s="9">
        <f t="shared" si="23"/>
        <v>1.5930353625374847</v>
      </c>
      <c r="P261" s="10">
        <v>1</v>
      </c>
      <c r="Q261" s="1">
        <f t="shared" si="24"/>
        <v>0</v>
      </c>
      <c r="R261" s="10">
        <v>14</v>
      </c>
      <c r="S261" s="10">
        <v>1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2684000</v>
      </c>
      <c r="N262" s="6">
        <f t="shared" si="22"/>
        <v>1</v>
      </c>
      <c r="O262" s="9">
        <f t="shared" si="23"/>
        <v>1.2206566073485245</v>
      </c>
      <c r="P262" s="10">
        <v>4</v>
      </c>
      <c r="Q262" s="1">
        <f t="shared" si="24"/>
        <v>1</v>
      </c>
      <c r="R262" s="10">
        <v>13</v>
      </c>
      <c r="S262" s="10">
        <v>4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4404000</v>
      </c>
      <c r="N263" s="6">
        <f t="shared" si="22"/>
        <v>1</v>
      </c>
      <c r="O263" s="9">
        <f t="shared" si="23"/>
        <v>1.478270196449921</v>
      </c>
      <c r="P263" s="10">
        <v>0</v>
      </c>
      <c r="Q263" s="1">
        <f t="shared" si="24"/>
        <v>0</v>
      </c>
      <c r="R263" s="10">
        <v>9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5253500</v>
      </c>
      <c r="N264" s="6">
        <f t="shared" si="22"/>
        <v>1</v>
      </c>
      <c r="O264" s="9">
        <f t="shared" si="23"/>
        <v>0.90572777266069038</v>
      </c>
      <c r="P264" s="10">
        <v>1</v>
      </c>
      <c r="Q264" s="1">
        <f t="shared" si="24"/>
        <v>0</v>
      </c>
      <c r="R264" s="10">
        <v>11</v>
      </c>
      <c r="S264" s="10">
        <v>1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1696500</v>
      </c>
      <c r="N265" s="6">
        <f t="shared" si="22"/>
        <v>1</v>
      </c>
      <c r="O265" s="9">
        <f t="shared" si="23"/>
        <v>4.9962552685718441E-2</v>
      </c>
      <c r="P265" s="10">
        <v>1</v>
      </c>
      <c r="Q265" s="1">
        <f t="shared" si="24"/>
        <v>0</v>
      </c>
      <c r="R265" s="10">
        <v>10</v>
      </c>
      <c r="S265" s="10">
        <v>1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5896500</v>
      </c>
      <c r="N266" s="6">
        <f t="shared" si="22"/>
        <v>1</v>
      </c>
      <c r="O266" s="9">
        <f t="shared" si="23"/>
        <v>0.49841743726185367</v>
      </c>
      <c r="P266" s="10">
        <v>17</v>
      </c>
      <c r="Q266" s="1">
        <f t="shared" si="24"/>
        <v>1</v>
      </c>
      <c r="R266" s="10">
        <v>8</v>
      </c>
      <c r="S266" s="10">
        <v>19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9">
        <f t="shared" si="23"/>
        <v>0</v>
      </c>
      <c r="P267" s="10">
        <v>0</v>
      </c>
      <c r="Q267" s="1">
        <f t="shared" si="24"/>
        <v>0</v>
      </c>
      <c r="R267" s="10">
        <v>8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2802500</v>
      </c>
      <c r="N268" s="6">
        <f t="shared" si="22"/>
        <v>1</v>
      </c>
      <c r="O268" s="9">
        <f t="shared" si="23"/>
        <v>0.16833254147465862</v>
      </c>
      <c r="P268" s="10">
        <v>0</v>
      </c>
      <c r="Q268" s="1">
        <f t="shared" si="24"/>
        <v>0</v>
      </c>
      <c r="R268" s="10">
        <v>8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2865000</v>
      </c>
      <c r="N269" s="6">
        <f t="shared" si="22"/>
        <v>1</v>
      </c>
      <c r="O269" s="9">
        <f t="shared" si="23"/>
        <v>0.47402676323928727</v>
      </c>
      <c r="P269" s="10">
        <v>0</v>
      </c>
      <c r="Q269" s="1">
        <f t="shared" si="24"/>
        <v>0</v>
      </c>
      <c r="R269" s="10">
        <v>7</v>
      </c>
      <c r="S269" s="10">
        <v>0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22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2350000</v>
      </c>
      <c r="N271" s="6">
        <f t="shared" si="22"/>
        <v>1</v>
      </c>
      <c r="O271" s="9">
        <f t="shared" si="23"/>
        <v>0.32588005455639818</v>
      </c>
      <c r="P271" s="10">
        <v>51</v>
      </c>
      <c r="Q271" s="1">
        <f t="shared" si="24"/>
        <v>1</v>
      </c>
      <c r="R271" s="10">
        <v>10</v>
      </c>
      <c r="S271" s="10">
        <v>51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9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666000</v>
      </c>
      <c r="N273" s="6">
        <f t="shared" si="22"/>
        <v>1</v>
      </c>
      <c r="O273" s="9">
        <f t="shared" si="23"/>
        <v>0.53991924862487051</v>
      </c>
      <c r="P273" s="10">
        <v>0</v>
      </c>
      <c r="Q273" s="1">
        <f t="shared" si="24"/>
        <v>0</v>
      </c>
      <c r="R273" s="10">
        <v>8</v>
      </c>
      <c r="S273" s="10">
        <v>5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13.30349270939303</v>
      </c>
      <c r="I274" s="1">
        <v>3</v>
      </c>
      <c r="J274" s="1">
        <f t="shared" si="20"/>
        <v>1</v>
      </c>
      <c r="K274" s="5">
        <f t="shared" si="21"/>
        <v>0.22550469004893939</v>
      </c>
      <c r="L274" s="2">
        <v>1233517.793070439</v>
      </c>
      <c r="M274" s="2">
        <v>1930000</v>
      </c>
      <c r="N274" s="6">
        <f t="shared" si="22"/>
        <v>1</v>
      </c>
      <c r="O274" s="9">
        <f t="shared" si="23"/>
        <v>1.5646308556246249</v>
      </c>
      <c r="P274" s="10">
        <v>0</v>
      </c>
      <c r="Q274" s="1">
        <f t="shared" si="24"/>
        <v>0</v>
      </c>
      <c r="R274" s="10">
        <v>9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1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50</v>
      </c>
      <c r="I275" s="1">
        <v>6</v>
      </c>
      <c r="J275" s="4">
        <f t="shared" si="20"/>
        <v>1</v>
      </c>
      <c r="K275" s="5">
        <f t="shared" si="21"/>
        <v>0.12</v>
      </c>
      <c r="L275" s="2">
        <v>23626053.564346101</v>
      </c>
      <c r="M275" s="2">
        <v>1914000</v>
      </c>
      <c r="N275" s="6">
        <f t="shared" si="22"/>
        <v>1</v>
      </c>
      <c r="O275" s="9">
        <f t="shared" si="23"/>
        <v>8.1012260248508147E-2</v>
      </c>
      <c r="P275" s="10">
        <v>1</v>
      </c>
      <c r="Q275" s="1">
        <f t="shared" si="24"/>
        <v>0</v>
      </c>
      <c r="R275" s="10">
        <v>38</v>
      </c>
      <c r="S275" s="10">
        <v>1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5.8202780603594357</v>
      </c>
      <c r="I276" s="1">
        <v>9</v>
      </c>
      <c r="J276" s="1">
        <f t="shared" si="20"/>
        <v>1</v>
      </c>
      <c r="K276" s="5">
        <f t="shared" si="21"/>
        <v>1.5463178746213027</v>
      </c>
      <c r="L276" s="2">
        <v>1233517.793070439</v>
      </c>
      <c r="M276" s="2">
        <v>1076000</v>
      </c>
      <c r="N276" s="6">
        <f t="shared" si="22"/>
        <v>1</v>
      </c>
      <c r="O276" s="9">
        <f t="shared" si="23"/>
        <v>0.87230196924979087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0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1729000</v>
      </c>
      <c r="N277" s="6">
        <f t="shared" si="22"/>
        <v>1</v>
      </c>
      <c r="O277" s="9">
        <f t="shared" si="23"/>
        <v>1.401682253562164</v>
      </c>
      <c r="P277" s="10">
        <v>0</v>
      </c>
      <c r="Q277" s="1">
        <f t="shared" si="24"/>
        <v>0</v>
      </c>
      <c r="R277" s="10">
        <v>8</v>
      </c>
      <c r="S277" s="10">
        <v>5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7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8</v>
      </c>
      <c r="I279" s="1">
        <v>23</v>
      </c>
      <c r="J279" s="4">
        <f t="shared" si="20"/>
        <v>1</v>
      </c>
      <c r="K279" s="5">
        <f t="shared" si="21"/>
        <v>2.875</v>
      </c>
      <c r="L279" s="2">
        <v>1233517.793070439</v>
      </c>
      <c r="M279" s="2">
        <v>873600</v>
      </c>
      <c r="N279" s="6">
        <f t="shared" si="22"/>
        <v>1</v>
      </c>
      <c r="O279" s="9">
        <f t="shared" si="23"/>
        <v>0.7082184017998302</v>
      </c>
      <c r="P279" s="10">
        <v>20</v>
      </c>
      <c r="Q279" s="1">
        <f t="shared" si="24"/>
        <v>1</v>
      </c>
      <c r="R279" s="10">
        <v>10</v>
      </c>
      <c r="S279" s="10">
        <v>20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3</v>
      </c>
      <c r="I280" s="1">
        <v>3</v>
      </c>
      <c r="J280" s="1">
        <f t="shared" si="20"/>
        <v>1</v>
      </c>
      <c r="K280" s="5">
        <f t="shared" si="21"/>
        <v>1</v>
      </c>
      <c r="L280" s="2">
        <v>1233517.793070439</v>
      </c>
      <c r="M280" s="2">
        <v>840000</v>
      </c>
      <c r="N280" s="6">
        <f t="shared" si="22"/>
        <v>1</v>
      </c>
      <c r="O280" s="9">
        <f t="shared" si="23"/>
        <v>0.68097923249983672</v>
      </c>
      <c r="P280" s="10">
        <v>0</v>
      </c>
      <c r="Q280" s="1">
        <f t="shared" si="24"/>
        <v>0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21.202441505595129</v>
      </c>
      <c r="I281" s="1">
        <v>3</v>
      </c>
      <c r="J281" s="4">
        <f t="shared" si="20"/>
        <v>1</v>
      </c>
      <c r="K281" s="5">
        <f t="shared" si="21"/>
        <v>0.14149313885423656</v>
      </c>
      <c r="L281" s="2">
        <v>2549477.9785796599</v>
      </c>
      <c r="M281" s="2">
        <v>840000</v>
      </c>
      <c r="N281" s="6">
        <f t="shared" si="22"/>
        <v>1</v>
      </c>
      <c r="O281" s="9">
        <f t="shared" si="23"/>
        <v>0.32947921380673095</v>
      </c>
      <c r="P281" s="10">
        <v>0</v>
      </c>
      <c r="Q281" s="1">
        <f t="shared" si="24"/>
        <v>0</v>
      </c>
      <c r="R281" s="10">
        <v>13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820000</v>
      </c>
      <c r="N282" s="6">
        <f t="shared" si="22"/>
        <v>1</v>
      </c>
      <c r="O282" s="9">
        <f t="shared" si="23"/>
        <v>4.1246128019732146E-2</v>
      </c>
      <c r="P282" s="10">
        <v>0</v>
      </c>
      <c r="Q282" s="1">
        <f t="shared" si="24"/>
        <v>0</v>
      </c>
      <c r="R282" s="10">
        <v>7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3785200</v>
      </c>
      <c r="N283" s="6">
        <f t="shared" si="22"/>
        <v>1</v>
      </c>
      <c r="O283" s="9">
        <f t="shared" si="23"/>
        <v>3.0686221319742644</v>
      </c>
      <c r="P283" s="10">
        <v>1</v>
      </c>
      <c r="Q283" s="1">
        <f t="shared" si="24"/>
        <v>0</v>
      </c>
      <c r="R283" s="10">
        <v>9</v>
      </c>
      <c r="S283" s="10">
        <v>1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1918800</v>
      </c>
      <c r="N284" s="6">
        <f t="shared" ref="N284:N315" si="27">IF(M284&gt;=300000,1,0)</f>
        <v>1</v>
      </c>
      <c r="O284" s="9">
        <f t="shared" ref="O284:O315" si="28">M284/L284</f>
        <v>0.31882125213803203</v>
      </c>
      <c r="P284" s="10">
        <v>0</v>
      </c>
      <c r="Q284" s="1">
        <f t="shared" ref="Q284:Q315" si="29">IF(P284&gt;=3,1,0)</f>
        <v>0</v>
      </c>
      <c r="R284" s="10">
        <v>7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2.7022719565954572</v>
      </c>
      <c r="I285" s="1">
        <v>23</v>
      </c>
      <c r="J285" s="1">
        <f t="shared" si="25"/>
        <v>1</v>
      </c>
      <c r="K285" s="5">
        <f t="shared" si="26"/>
        <v>8.5113565064625387</v>
      </c>
      <c r="L285" s="2">
        <v>300000</v>
      </c>
      <c r="M285" s="2">
        <v>1549200</v>
      </c>
      <c r="N285" s="6">
        <f t="shared" si="27"/>
        <v>1</v>
      </c>
      <c r="O285" s="9">
        <f t="shared" si="28"/>
        <v>5.1639999999999997</v>
      </c>
      <c r="P285" s="10">
        <v>20</v>
      </c>
      <c r="Q285" s="1">
        <f t="shared" si="29"/>
        <v>1</v>
      </c>
      <c r="R285" s="10">
        <v>5</v>
      </c>
      <c r="S285" s="10">
        <v>20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4607500</v>
      </c>
      <c r="N286" s="6">
        <f t="shared" si="27"/>
        <v>1</v>
      </c>
      <c r="O286" s="9">
        <f t="shared" si="28"/>
        <v>2.1344887499041101</v>
      </c>
      <c r="P286" s="10">
        <v>1</v>
      </c>
      <c r="Q286" s="1">
        <f t="shared" si="29"/>
        <v>0</v>
      </c>
      <c r="R286" s="10">
        <v>11</v>
      </c>
      <c r="S286" s="10">
        <v>1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7595000</v>
      </c>
      <c r="N287" s="6">
        <f t="shared" si="27"/>
        <v>1</v>
      </c>
      <c r="O287" s="9">
        <f t="shared" si="28"/>
        <v>3.5184898655500203</v>
      </c>
      <c r="P287" s="10">
        <v>4</v>
      </c>
      <c r="Q287" s="1">
        <f t="shared" si="29"/>
        <v>1</v>
      </c>
      <c r="R287" s="10">
        <v>11</v>
      </c>
      <c r="S287" s="10">
        <v>4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9267500</v>
      </c>
      <c r="N288" s="6">
        <f t="shared" si="27"/>
        <v>1</v>
      </c>
      <c r="O288" s="9">
        <f t="shared" si="28"/>
        <v>4.2932988583258478</v>
      </c>
      <c r="P288" s="10">
        <v>0</v>
      </c>
      <c r="Q288" s="1">
        <f t="shared" si="29"/>
        <v>0</v>
      </c>
      <c r="R288" s="10">
        <v>11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9">
        <f t="shared" si="28"/>
        <v>0.18912608373118309</v>
      </c>
      <c r="P289" s="10">
        <v>3</v>
      </c>
      <c r="Q289" s="1">
        <f t="shared" si="29"/>
        <v>1</v>
      </c>
      <c r="R289" s="10">
        <v>10</v>
      </c>
      <c r="S289" s="10">
        <v>3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9">
        <f t="shared" si="28"/>
        <v>0</v>
      </c>
      <c r="P290" s="10">
        <v>8</v>
      </c>
      <c r="Q290" s="1">
        <f t="shared" si="29"/>
        <v>1</v>
      </c>
      <c r="R290" s="10">
        <v>11</v>
      </c>
      <c r="S290" s="10">
        <v>8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2674000</v>
      </c>
      <c r="N291" s="6">
        <f t="shared" si="27"/>
        <v>1</v>
      </c>
      <c r="O291" s="9">
        <f t="shared" si="28"/>
        <v>0.39172147979652994</v>
      </c>
      <c r="P291" s="10">
        <v>3</v>
      </c>
      <c r="Q291" s="1">
        <f t="shared" si="29"/>
        <v>1</v>
      </c>
      <c r="R291" s="10">
        <v>9</v>
      </c>
      <c r="S291" s="10">
        <v>5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5.8879486431280963</v>
      </c>
      <c r="I292" s="1">
        <v>59</v>
      </c>
      <c r="J292" s="1">
        <f t="shared" si="25"/>
        <v>1</v>
      </c>
      <c r="K292" s="5">
        <f t="shared" si="26"/>
        <v>10.020467836257318</v>
      </c>
      <c r="L292" s="2">
        <v>2151055.2636527219</v>
      </c>
      <c r="M292" s="2">
        <v>10108000</v>
      </c>
      <c r="N292" s="6">
        <f t="shared" si="27"/>
        <v>1</v>
      </c>
      <c r="O292" s="9">
        <f t="shared" si="28"/>
        <v>4.6990889405767913</v>
      </c>
      <c r="P292" s="10">
        <v>1</v>
      </c>
      <c r="Q292" s="1">
        <f t="shared" si="29"/>
        <v>0</v>
      </c>
      <c r="R292" s="10">
        <v>8</v>
      </c>
      <c r="S292" s="10">
        <v>1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6470000</v>
      </c>
      <c r="N293" s="6">
        <f t="shared" si="27"/>
        <v>1</v>
      </c>
      <c r="O293" s="9">
        <f t="shared" si="28"/>
        <v>3.0784925896217619</v>
      </c>
      <c r="P293" s="10">
        <v>23</v>
      </c>
      <c r="Q293" s="1">
        <f t="shared" si="29"/>
        <v>1</v>
      </c>
      <c r="R293" s="10">
        <v>7</v>
      </c>
      <c r="S293" s="10">
        <v>23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2350000</v>
      </c>
      <c r="N294" s="6">
        <f t="shared" si="27"/>
        <v>1</v>
      </c>
      <c r="O294" s="9">
        <f t="shared" si="28"/>
        <v>0.17318576656822704</v>
      </c>
      <c r="P294" s="10">
        <v>99</v>
      </c>
      <c r="Q294" s="1">
        <f t="shared" si="29"/>
        <v>1</v>
      </c>
      <c r="R294" s="10">
        <v>12</v>
      </c>
      <c r="S294" s="10">
        <v>101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8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5.4045439131909321</v>
      </c>
      <c r="I296" s="1">
        <v>44</v>
      </c>
      <c r="J296" s="4">
        <f t="shared" si="25"/>
        <v>1</v>
      </c>
      <c r="K296" s="5">
        <f t="shared" si="26"/>
        <v>8.1412975279206634</v>
      </c>
      <c r="L296" s="2">
        <v>1233517.793070439</v>
      </c>
      <c r="M296" s="2">
        <v>5985000</v>
      </c>
      <c r="N296" s="6">
        <f t="shared" si="27"/>
        <v>1</v>
      </c>
      <c r="O296" s="9">
        <f t="shared" si="28"/>
        <v>4.8519770315613364</v>
      </c>
      <c r="P296" s="10">
        <v>5</v>
      </c>
      <c r="Q296" s="1">
        <f t="shared" si="29"/>
        <v>1</v>
      </c>
      <c r="R296" s="10">
        <v>8</v>
      </c>
      <c r="S296" s="10">
        <v>6</v>
      </c>
      <c r="T296" s="10">
        <v>0</v>
      </c>
      <c r="U296" s="3">
        <v>0</v>
      </c>
      <c r="V296" s="3">
        <v>0</v>
      </c>
      <c r="W296" s="3">
        <v>0</v>
      </c>
      <c r="X296" s="3">
        <v>1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5</v>
      </c>
      <c r="I297" s="1">
        <v>13</v>
      </c>
      <c r="J297" s="4">
        <f t="shared" si="25"/>
        <v>1</v>
      </c>
      <c r="K297" s="5">
        <f t="shared" si="26"/>
        <v>2.6</v>
      </c>
      <c r="L297" s="2">
        <v>1233517.793070439</v>
      </c>
      <c r="M297" s="2">
        <v>763000</v>
      </c>
      <c r="N297" s="6">
        <f t="shared" si="27"/>
        <v>1</v>
      </c>
      <c r="O297" s="9">
        <f t="shared" si="28"/>
        <v>0.61855613618735172</v>
      </c>
      <c r="P297" s="10">
        <v>27</v>
      </c>
      <c r="Q297" s="1">
        <f t="shared" si="29"/>
        <v>1</v>
      </c>
      <c r="R297" s="10">
        <v>7</v>
      </c>
      <c r="S297" s="10">
        <v>29</v>
      </c>
      <c r="T297" s="10">
        <v>0</v>
      </c>
      <c r="U297" s="3">
        <v>1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6.0281451339437124</v>
      </c>
      <c r="I298" s="1">
        <v>3</v>
      </c>
      <c r="J298" s="1">
        <f t="shared" si="25"/>
        <v>1</v>
      </c>
      <c r="K298" s="5">
        <f t="shared" si="26"/>
        <v>0.49766552286662519</v>
      </c>
      <c r="L298" s="2">
        <v>19880654</v>
      </c>
      <c r="M298" s="2">
        <v>5460000</v>
      </c>
      <c r="N298" s="6">
        <f t="shared" si="27"/>
        <v>1</v>
      </c>
      <c r="O298" s="9">
        <f t="shared" si="28"/>
        <v>0.27463885242407016</v>
      </c>
      <c r="P298" s="10">
        <v>1</v>
      </c>
      <c r="Q298" s="1">
        <f t="shared" si="29"/>
        <v>0</v>
      </c>
      <c r="R298" s="10">
        <v>9</v>
      </c>
      <c r="S298" s="10">
        <v>1</v>
      </c>
      <c r="T298" s="10">
        <v>0</v>
      </c>
      <c r="U298" s="3">
        <v>0</v>
      </c>
      <c r="V298" s="3">
        <v>0</v>
      </c>
      <c r="W298" s="3">
        <v>0</v>
      </c>
      <c r="X298" s="3">
        <v>1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1830000</v>
      </c>
      <c r="N299" s="6">
        <f t="shared" si="27"/>
        <v>1</v>
      </c>
      <c r="O299" s="9">
        <f t="shared" si="28"/>
        <v>0.12180665002387515</v>
      </c>
      <c r="P299" s="10">
        <v>0</v>
      </c>
      <c r="Q299" s="1">
        <f t="shared" si="29"/>
        <v>0</v>
      </c>
      <c r="R299" s="10">
        <v>22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1509000</v>
      </c>
      <c r="N300" s="6">
        <f t="shared" si="27"/>
        <v>1</v>
      </c>
      <c r="O300" s="9">
        <f t="shared" si="28"/>
        <v>0.72138741957449992</v>
      </c>
      <c r="P300" s="10">
        <v>1</v>
      </c>
      <c r="Q300" s="1">
        <f t="shared" si="29"/>
        <v>0</v>
      </c>
      <c r="R300" s="10">
        <v>14</v>
      </c>
      <c r="S300" s="10">
        <v>1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9053000</v>
      </c>
      <c r="N301" s="6">
        <f t="shared" si="27"/>
        <v>1</v>
      </c>
      <c r="O301" s="9">
        <f t="shared" si="28"/>
        <v>1.0816134563721806</v>
      </c>
      <c r="P301" s="10">
        <v>1</v>
      </c>
      <c r="Q301" s="1">
        <f t="shared" si="29"/>
        <v>0</v>
      </c>
      <c r="R301" s="10">
        <v>9</v>
      </c>
      <c r="S301" s="10">
        <v>1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6806500</v>
      </c>
      <c r="N302" s="6">
        <f t="shared" si="27"/>
        <v>1</v>
      </c>
      <c r="O302" s="9">
        <f t="shared" si="28"/>
        <v>1.0727522206947409</v>
      </c>
      <c r="P302" s="10">
        <v>8</v>
      </c>
      <c r="Q302" s="1">
        <f t="shared" si="29"/>
        <v>1</v>
      </c>
      <c r="R302" s="10">
        <v>8</v>
      </c>
      <c r="S302" s="10">
        <v>10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3498000</v>
      </c>
      <c r="N303" s="6">
        <f t="shared" si="27"/>
        <v>1</v>
      </c>
      <c r="O303" s="9">
        <f t="shared" si="28"/>
        <v>3.2841570163503429</v>
      </c>
      <c r="P303" s="10">
        <v>0</v>
      </c>
      <c r="Q303" s="1">
        <f t="shared" si="29"/>
        <v>0</v>
      </c>
      <c r="R303" s="10">
        <v>7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655000</v>
      </c>
      <c r="N304" s="6">
        <f t="shared" si="27"/>
        <v>1</v>
      </c>
      <c r="O304" s="9">
        <f t="shared" si="28"/>
        <v>0.36100251874326422</v>
      </c>
      <c r="P304" s="10">
        <v>0</v>
      </c>
      <c r="Q304" s="1">
        <f t="shared" si="29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2349000</v>
      </c>
      <c r="N305" s="6">
        <f t="shared" si="27"/>
        <v>1</v>
      </c>
      <c r="O305" s="9">
        <f t="shared" si="28"/>
        <v>1.5051110666849474</v>
      </c>
      <c r="P305" s="10">
        <v>0</v>
      </c>
      <c r="Q305" s="1">
        <f t="shared" si="29"/>
        <v>0</v>
      </c>
      <c r="R305" s="10">
        <v>6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9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2350000</v>
      </c>
      <c r="N307" s="6">
        <f t="shared" si="27"/>
        <v>1</v>
      </c>
      <c r="O307" s="9">
        <f t="shared" si="28"/>
        <v>0.172528272490035</v>
      </c>
      <c r="P307" s="10">
        <v>1</v>
      </c>
      <c r="Q307" s="1">
        <f t="shared" si="29"/>
        <v>0</v>
      </c>
      <c r="R307" s="10">
        <v>12</v>
      </c>
      <c r="S307" s="10">
        <v>1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3</v>
      </c>
      <c r="I308" s="1">
        <v>13</v>
      </c>
      <c r="J308" s="1">
        <f t="shared" si="25"/>
        <v>1</v>
      </c>
      <c r="K308" s="5">
        <f t="shared" si="26"/>
        <v>4.333333333333333</v>
      </c>
      <c r="L308" s="2">
        <v>1233517.793070439</v>
      </c>
      <c r="M308" s="2">
        <v>1350000</v>
      </c>
      <c r="N308" s="6">
        <f t="shared" si="27"/>
        <v>1</v>
      </c>
      <c r="O308" s="9">
        <f t="shared" si="28"/>
        <v>1.0944309093747375</v>
      </c>
      <c r="P308" s="10">
        <v>5</v>
      </c>
      <c r="Q308" s="1">
        <f t="shared" si="29"/>
        <v>1</v>
      </c>
      <c r="R308" s="10">
        <v>5</v>
      </c>
      <c r="S308" s="10">
        <v>5</v>
      </c>
      <c r="T308" s="10">
        <v>0</v>
      </c>
      <c r="U308" s="3">
        <v>0</v>
      </c>
      <c r="V308" s="3">
        <v>0</v>
      </c>
      <c r="W308" s="3">
        <v>0</v>
      </c>
      <c r="X308" s="3">
        <v>1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5.8202780603594357</v>
      </c>
      <c r="I309" s="1">
        <v>4</v>
      </c>
      <c r="J309" s="4">
        <f t="shared" si="25"/>
        <v>1</v>
      </c>
      <c r="K309" s="5">
        <f t="shared" si="26"/>
        <v>0.68725238872057892</v>
      </c>
      <c r="L309" s="2">
        <v>1233517.793070439</v>
      </c>
      <c r="M309" s="2">
        <v>790000</v>
      </c>
      <c r="N309" s="6">
        <f t="shared" si="27"/>
        <v>1</v>
      </c>
      <c r="O309" s="9">
        <f t="shared" si="28"/>
        <v>0.64044475437484649</v>
      </c>
      <c r="P309" s="10">
        <v>1</v>
      </c>
      <c r="Q309" s="1">
        <f t="shared" si="29"/>
        <v>0</v>
      </c>
      <c r="R309" s="10">
        <v>8</v>
      </c>
      <c r="S309" s="10">
        <v>1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5.1966768396066563</v>
      </c>
      <c r="I310" s="1">
        <v>3</v>
      </c>
      <c r="J310" s="4">
        <f t="shared" si="25"/>
        <v>1</v>
      </c>
      <c r="K310" s="5">
        <f t="shared" si="26"/>
        <v>0.57729200652528434</v>
      </c>
      <c r="L310" s="2">
        <v>2549477.9785796599</v>
      </c>
      <c r="M310" s="2">
        <v>2098000</v>
      </c>
      <c r="N310" s="6">
        <f t="shared" si="27"/>
        <v>1</v>
      </c>
      <c r="O310" s="9">
        <f t="shared" si="28"/>
        <v>0.82291356019823991</v>
      </c>
      <c r="P310" s="10">
        <v>2</v>
      </c>
      <c r="Q310" s="1">
        <f t="shared" si="29"/>
        <v>0</v>
      </c>
      <c r="R310" s="10">
        <v>8</v>
      </c>
      <c r="S310" s="10">
        <v>3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535000</v>
      </c>
      <c r="N311" s="6">
        <f t="shared" si="27"/>
        <v>1</v>
      </c>
      <c r="O311" s="9">
        <f t="shared" si="28"/>
        <v>0.43371891593739603</v>
      </c>
      <c r="P311" s="10">
        <v>0</v>
      </c>
      <c r="Q311" s="1">
        <f t="shared" si="29"/>
        <v>0</v>
      </c>
      <c r="R311" s="10">
        <v>8</v>
      </c>
      <c r="S311" s="10">
        <v>5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1016000</v>
      </c>
      <c r="N312" s="6">
        <f t="shared" si="27"/>
        <v>1</v>
      </c>
      <c r="O312" s="9">
        <f t="shared" si="28"/>
        <v>0.82366059549980253</v>
      </c>
      <c r="P312" s="10">
        <v>1</v>
      </c>
      <c r="Q312" s="1">
        <f t="shared" si="29"/>
        <v>0</v>
      </c>
      <c r="R312" s="10">
        <v>7</v>
      </c>
      <c r="S312" s="10">
        <v>1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5</v>
      </c>
      <c r="I313" s="1">
        <v>3</v>
      </c>
      <c r="J313" s="4">
        <f t="shared" si="25"/>
        <v>1</v>
      </c>
      <c r="K313" s="5">
        <f t="shared" si="26"/>
        <v>0.6</v>
      </c>
      <c r="L313" s="2">
        <v>1233517.793070439</v>
      </c>
      <c r="M313" s="2">
        <v>2940000</v>
      </c>
      <c r="N313" s="6">
        <f t="shared" si="27"/>
        <v>1</v>
      </c>
      <c r="O313" s="9">
        <f t="shared" si="28"/>
        <v>2.3834273137494284</v>
      </c>
      <c r="P313" s="10">
        <v>0</v>
      </c>
      <c r="Q313" s="1">
        <f t="shared" si="29"/>
        <v>0</v>
      </c>
      <c r="R313" s="10">
        <v>7</v>
      </c>
      <c r="S313" s="10">
        <v>5</v>
      </c>
      <c r="T313" s="10">
        <v>0</v>
      </c>
      <c r="U313" s="3">
        <v>0</v>
      </c>
      <c r="V313" s="3">
        <v>0</v>
      </c>
      <c r="W313" s="3">
        <v>0</v>
      </c>
      <c r="X313" s="3">
        <v>1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7.4832146490335951</v>
      </c>
      <c r="I314" s="1">
        <v>28</v>
      </c>
      <c r="J314" s="1">
        <f t="shared" si="25"/>
        <v>1</v>
      </c>
      <c r="K314" s="5">
        <f t="shared" si="26"/>
        <v>3.7417074497009124</v>
      </c>
      <c r="L314" s="2">
        <v>1233517.793070439</v>
      </c>
      <c r="M314" s="2">
        <v>840000</v>
      </c>
      <c r="N314" s="6">
        <f t="shared" si="27"/>
        <v>1</v>
      </c>
      <c r="O314" s="9">
        <f t="shared" si="28"/>
        <v>0.68097923249983672</v>
      </c>
      <c r="P314" s="10">
        <v>0</v>
      </c>
      <c r="Q314" s="1">
        <f t="shared" si="29"/>
        <v>0</v>
      </c>
      <c r="R314" s="10">
        <v>10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5611000</v>
      </c>
      <c r="N315" s="6">
        <f t="shared" si="27"/>
        <v>1</v>
      </c>
      <c r="O315" s="9">
        <f t="shared" si="28"/>
        <v>1.9590413537272959</v>
      </c>
      <c r="P315" s="10">
        <v>0</v>
      </c>
      <c r="Q315" s="1">
        <f t="shared" si="29"/>
        <v>0</v>
      </c>
      <c r="R315" s="10">
        <v>6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4115000</v>
      </c>
      <c r="N316" s="6">
        <f t="shared" ref="N316:N325" si="32">IF(M316&gt;=300000,1,0)</f>
        <v>1</v>
      </c>
      <c r="O316" s="9">
        <f t="shared" ref="O316:O325" si="33">M316/L316</f>
        <v>1.02927846102066</v>
      </c>
      <c r="P316" s="10">
        <v>1</v>
      </c>
      <c r="Q316" s="1">
        <f t="shared" ref="Q316:Q325" si="34">IF(P316&gt;=3,1,0)</f>
        <v>0</v>
      </c>
      <c r="R316" s="10">
        <v>22</v>
      </c>
      <c r="S316" s="10">
        <v>1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1740000</v>
      </c>
      <c r="N317" s="6">
        <f t="shared" si="32"/>
        <v>1</v>
      </c>
      <c r="O317" s="9">
        <f t="shared" si="33"/>
        <v>0.80607931086991902</v>
      </c>
      <c r="P317" s="10">
        <v>0</v>
      </c>
      <c r="Q317" s="1">
        <f t="shared" si="34"/>
        <v>0</v>
      </c>
      <c r="R317" s="10">
        <v>11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1765000</v>
      </c>
      <c r="N318" s="6">
        <f t="shared" si="32"/>
        <v>1</v>
      </c>
      <c r="O318" s="9">
        <f t="shared" si="33"/>
        <v>1.0459586573730475</v>
      </c>
      <c r="P318" s="10">
        <v>0</v>
      </c>
      <c r="Q318" s="1">
        <f t="shared" si="34"/>
        <v>0</v>
      </c>
      <c r="R318" s="10">
        <v>7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3672500</v>
      </c>
      <c r="N319" s="6">
        <f t="shared" si="32"/>
        <v>1</v>
      </c>
      <c r="O319" s="9">
        <f t="shared" si="33"/>
        <v>1.7013369363044699</v>
      </c>
      <c r="P319" s="10">
        <v>99</v>
      </c>
      <c r="Q319" s="1">
        <f t="shared" si="34"/>
        <v>1</v>
      </c>
      <c r="R319" s="10">
        <v>11</v>
      </c>
      <c r="S319" s="10">
        <v>100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8.0571928800700618</v>
      </c>
      <c r="I320" s="1">
        <v>3</v>
      </c>
      <c r="J320" s="4">
        <f t="shared" si="30"/>
        <v>1</v>
      </c>
      <c r="K320" s="5">
        <f t="shared" si="31"/>
        <v>0.37233811386353621</v>
      </c>
      <c r="L320" s="2">
        <v>2158596.5258458201</v>
      </c>
      <c r="M320" s="2">
        <v>9213500</v>
      </c>
      <c r="N320" s="6">
        <f t="shared" si="32"/>
        <v>1</v>
      </c>
      <c r="O320" s="9">
        <f t="shared" si="33"/>
        <v>4.2682826038505741</v>
      </c>
      <c r="P320" s="10">
        <v>100</v>
      </c>
      <c r="Q320" s="1">
        <f t="shared" si="34"/>
        <v>1</v>
      </c>
      <c r="R320" s="10">
        <v>11</v>
      </c>
      <c r="S320" s="10">
        <v>100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3062500</v>
      </c>
      <c r="N321" s="6">
        <f t="shared" si="32"/>
        <v>1</v>
      </c>
      <c r="O321" s="9">
        <f t="shared" si="33"/>
        <v>1.1745051213631994</v>
      </c>
      <c r="P321" s="10">
        <v>1</v>
      </c>
      <c r="Q321" s="1">
        <f t="shared" si="34"/>
        <v>0</v>
      </c>
      <c r="R321" s="10">
        <v>9</v>
      </c>
      <c r="S321" s="10">
        <v>2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2493000</v>
      </c>
      <c r="N322" s="6">
        <f t="shared" si="32"/>
        <v>1</v>
      </c>
      <c r="O322" s="9">
        <f t="shared" si="33"/>
        <v>2.0210490793120153</v>
      </c>
      <c r="P322" s="10">
        <v>5</v>
      </c>
      <c r="Q322" s="1">
        <f t="shared" si="34"/>
        <v>1</v>
      </c>
      <c r="R322" s="10">
        <v>7</v>
      </c>
      <c r="S322" s="10">
        <v>5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3700000</v>
      </c>
      <c r="N323" s="6">
        <f t="shared" si="32"/>
        <v>1</v>
      </c>
      <c r="O323" s="9">
        <f t="shared" si="33"/>
        <v>2.9995513812492809</v>
      </c>
      <c r="P323" s="10">
        <v>1</v>
      </c>
      <c r="Q323" s="1">
        <f t="shared" si="34"/>
        <v>0</v>
      </c>
      <c r="R323" s="10">
        <v>7</v>
      </c>
      <c r="S323" s="10">
        <v>15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1219000</v>
      </c>
      <c r="N324" s="6">
        <f t="shared" si="32"/>
        <v>1</v>
      </c>
      <c r="O324" s="9">
        <f t="shared" si="33"/>
        <v>0.98823057668726311</v>
      </c>
      <c r="P324" s="10">
        <v>0</v>
      </c>
      <c r="Q324" s="1">
        <f t="shared" si="34"/>
        <v>0</v>
      </c>
      <c r="R324" s="10">
        <v>5</v>
      </c>
      <c r="S324" s="10">
        <v>0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8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10.185486605629039</v>
      </c>
      <c r="I326" s="1">
        <v>12</v>
      </c>
      <c r="J326" s="4">
        <f t="shared" ref="J326:J338" si="35">IF(I326&gt;=3,1,0)</f>
        <v>1</v>
      </c>
      <c r="K326" s="5">
        <f t="shared" ref="K326:K338" si="36">I326/H326</f>
        <v>1.1781469520924179</v>
      </c>
      <c r="L326" s="2">
        <v>1233517.793070439</v>
      </c>
      <c r="M326" s="2">
        <v>2054400</v>
      </c>
      <c r="N326" s="6">
        <f t="shared" ref="N326:N338" si="37">IF(M326&gt;=300000,1,0)</f>
        <v>1</v>
      </c>
      <c r="O326" s="9">
        <f t="shared" ref="O326:O338" si="38">M326/L326</f>
        <v>1.6654806371996007</v>
      </c>
      <c r="P326" s="10">
        <v>1</v>
      </c>
      <c r="Q326" s="1">
        <f t="shared" ref="Q326:Q338" si="39">IF(P326&gt;=3,1,0)</f>
        <v>0</v>
      </c>
      <c r="R326" s="10">
        <v>13</v>
      </c>
      <c r="S326" s="10">
        <v>6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13">
        <v>17768632</v>
      </c>
      <c r="B327" s="13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0</v>
      </c>
      <c r="Q327" s="1">
        <f t="shared" si="39"/>
        <v>0</v>
      </c>
      <c r="R327" s="10">
        <v>5</v>
      </c>
      <c r="S327" s="10">
        <v>50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4.7809426924381153</v>
      </c>
      <c r="I328" s="1">
        <v>1</v>
      </c>
      <c r="J328" s="4">
        <f t="shared" si="35"/>
        <v>0</v>
      </c>
      <c r="K328" s="5">
        <f t="shared" si="36"/>
        <v>0.20916377048017587</v>
      </c>
      <c r="L328" s="2">
        <v>1233517.793070439</v>
      </c>
      <c r="M328" s="2">
        <v>662000</v>
      </c>
      <c r="N328" s="6">
        <f t="shared" si="37"/>
        <v>1</v>
      </c>
      <c r="O328" s="9">
        <f t="shared" si="38"/>
        <v>0.53667649037487131</v>
      </c>
      <c r="P328" s="10">
        <v>20</v>
      </c>
      <c r="Q328" s="1">
        <f t="shared" si="39"/>
        <v>1</v>
      </c>
      <c r="R328" s="10">
        <v>7</v>
      </c>
      <c r="S328" s="10">
        <v>20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2.7022719565954572</v>
      </c>
      <c r="I329" s="1">
        <v>1</v>
      </c>
      <c r="J329" s="4">
        <f t="shared" si="35"/>
        <v>0</v>
      </c>
      <c r="K329" s="5">
        <f t="shared" si="36"/>
        <v>0.37005897854184955</v>
      </c>
      <c r="L329" s="2">
        <v>300000</v>
      </c>
      <c r="M329" s="2">
        <v>656000</v>
      </c>
      <c r="N329" s="6">
        <f t="shared" si="37"/>
        <v>1</v>
      </c>
      <c r="O329" s="9">
        <f t="shared" si="38"/>
        <v>2.1866666666666665</v>
      </c>
      <c r="P329" s="10">
        <v>2</v>
      </c>
      <c r="Q329" s="1">
        <f t="shared" si="39"/>
        <v>0</v>
      </c>
      <c r="R329" s="10">
        <v>5</v>
      </c>
      <c r="S329" s="10">
        <v>15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5</v>
      </c>
      <c r="I330" s="1">
        <v>1</v>
      </c>
      <c r="J330" s="1">
        <f t="shared" si="35"/>
        <v>0</v>
      </c>
      <c r="K330" s="5">
        <f t="shared" si="36"/>
        <v>0.2</v>
      </c>
      <c r="L330" s="2">
        <v>3486028.5456338399</v>
      </c>
      <c r="M330" s="2">
        <v>1457000</v>
      </c>
      <c r="N330" s="6">
        <f t="shared" si="37"/>
        <v>1</v>
      </c>
      <c r="O330" s="9">
        <f t="shared" si="38"/>
        <v>0.4179541219835548</v>
      </c>
      <c r="P330" s="10">
        <v>3</v>
      </c>
      <c r="Q330" s="1">
        <f t="shared" si="39"/>
        <v>1</v>
      </c>
      <c r="R330" s="10">
        <v>7</v>
      </c>
      <c r="S330" s="10">
        <v>3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7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3.3258731773482562</v>
      </c>
      <c r="I332" s="1">
        <v>3</v>
      </c>
      <c r="J332" s="4">
        <f t="shared" si="35"/>
        <v>1</v>
      </c>
      <c r="K332" s="5">
        <f t="shared" si="36"/>
        <v>0.90201876019575788</v>
      </c>
      <c r="L332" s="2">
        <v>2549477.9785796599</v>
      </c>
      <c r="M332" s="2">
        <v>1932000</v>
      </c>
      <c r="N332" s="6">
        <f t="shared" si="37"/>
        <v>1</v>
      </c>
      <c r="O332" s="9">
        <f t="shared" si="38"/>
        <v>0.75780219175548114</v>
      </c>
      <c r="P332" s="10">
        <v>2</v>
      </c>
      <c r="Q332" s="1">
        <f t="shared" si="39"/>
        <v>0</v>
      </c>
      <c r="R332" s="10">
        <v>6</v>
      </c>
      <c r="S332" s="10">
        <v>3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711000</v>
      </c>
      <c r="N333" s="6">
        <f t="shared" si="37"/>
        <v>1</v>
      </c>
      <c r="O333" s="9">
        <f t="shared" si="38"/>
        <v>0.57640027893736179</v>
      </c>
      <c r="P333" s="10">
        <v>0</v>
      </c>
      <c r="Q333" s="1">
        <f t="shared" si="39"/>
        <v>0</v>
      </c>
      <c r="R333" s="10">
        <v>6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3</v>
      </c>
      <c r="I334" s="1">
        <v>59</v>
      </c>
      <c r="J334" s="4">
        <f t="shared" si="35"/>
        <v>1</v>
      </c>
      <c r="K334" s="5">
        <f t="shared" si="36"/>
        <v>19.666666666666668</v>
      </c>
      <c r="L334" s="2">
        <v>1233517.793070439</v>
      </c>
      <c r="M334" s="2">
        <v>5849000</v>
      </c>
      <c r="N334" s="6">
        <f t="shared" si="37"/>
        <v>1</v>
      </c>
      <c r="O334" s="9">
        <f t="shared" si="38"/>
        <v>4.7417232510613632</v>
      </c>
      <c r="P334" s="10">
        <v>5</v>
      </c>
      <c r="Q334" s="1">
        <f t="shared" si="39"/>
        <v>1</v>
      </c>
      <c r="R334" s="10">
        <v>5</v>
      </c>
      <c r="S334" s="10">
        <v>5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8620600</v>
      </c>
      <c r="N335" s="6">
        <f t="shared" si="37"/>
        <v>1</v>
      </c>
      <c r="O335" s="9">
        <f t="shared" si="38"/>
        <v>0.43361752586207675</v>
      </c>
      <c r="P335" s="10">
        <v>2</v>
      </c>
      <c r="Q335" s="1">
        <f t="shared" si="39"/>
        <v>0</v>
      </c>
      <c r="R335" s="10">
        <v>5</v>
      </c>
      <c r="S335" s="10">
        <v>5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2.7022719565954572</v>
      </c>
      <c r="I336" s="1">
        <v>1</v>
      </c>
      <c r="J336" s="1">
        <f t="shared" si="35"/>
        <v>0</v>
      </c>
      <c r="K336" s="5">
        <f t="shared" si="36"/>
        <v>0.37005897854184955</v>
      </c>
      <c r="L336" s="2">
        <v>3485404.9269315852</v>
      </c>
      <c r="M336" s="2">
        <v>1532000</v>
      </c>
      <c r="N336" s="6">
        <f t="shared" si="37"/>
        <v>1</v>
      </c>
      <c r="O336" s="9">
        <f t="shared" si="38"/>
        <v>0.43954720674269349</v>
      </c>
      <c r="P336" s="10">
        <v>1</v>
      </c>
      <c r="Q336" s="1">
        <f t="shared" si="39"/>
        <v>0</v>
      </c>
      <c r="R336" s="10">
        <v>5</v>
      </c>
      <c r="S336" s="10">
        <v>1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9">
        <f t="shared" si="38"/>
        <v>0.14876037207963561</v>
      </c>
      <c r="P337" s="10">
        <v>0</v>
      </c>
      <c r="Q337" s="1">
        <f t="shared" si="39"/>
        <v>0</v>
      </c>
      <c r="R337" s="10">
        <v>7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4.9582725415815601</v>
      </c>
      <c r="I338" s="1">
        <v>13</v>
      </c>
      <c r="J338" s="1">
        <f t="shared" si="35"/>
        <v>1</v>
      </c>
      <c r="K338" s="5">
        <f t="shared" si="36"/>
        <v>2.6218808851224096</v>
      </c>
      <c r="L338" s="2">
        <v>1065113.5078454011</v>
      </c>
      <c r="M338" s="2">
        <v>1586500</v>
      </c>
      <c r="N338" s="6">
        <f t="shared" si="37"/>
        <v>1</v>
      </c>
      <c r="O338" s="9">
        <f t="shared" si="38"/>
        <v>1.489512609045117</v>
      </c>
      <c r="P338" s="10">
        <v>0</v>
      </c>
      <c r="Q338" s="1">
        <f t="shared" si="39"/>
        <v>0</v>
      </c>
      <c r="R338" s="10">
        <v>7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I6:Z6 T7:Z328 I7:I338 M7:M338 P7:P338 S7:S338">
    <cfRule type="cellIs" dxfId="0" priority="7" operator="lessThan">
      <formula>1</formula>
    </cfRule>
  </conditionalFormatting>
  <conditionalFormatting sqref="E323:E327">
    <cfRule type="cellIs" dxfId="2" priority="5" operator="equal">
      <formula>"NO"</formula>
    </cfRule>
  </conditionalFormatting>
  <conditionalFormatting sqref="J329:L338 N329:O338 Q329:R338 T329:Z338">
    <cfRule type="cellIs" dxfId="1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2026-08-30T10:29:53Z</dcterms:modified>
</cp:coreProperties>
</file>