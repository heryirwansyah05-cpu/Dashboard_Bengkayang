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6" i="1"/>
  <c r="Q238" i="1" l="1"/>
  <c r="O238" i="1"/>
  <c r="N238" i="1"/>
  <c r="K238" i="1"/>
  <c r="J238" i="1"/>
  <c r="Q327" i="1"/>
  <c r="O327" i="1"/>
  <c r="N327" i="1"/>
  <c r="K327" i="1"/>
  <c r="J327" i="1"/>
  <c r="Q315" i="1"/>
  <c r="O315" i="1"/>
  <c r="N315" i="1"/>
  <c r="K315" i="1"/>
  <c r="J315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159" i="1"/>
  <c r="O159" i="1"/>
  <c r="N159" i="1"/>
  <c r="K159" i="1"/>
  <c r="J159" i="1"/>
  <c r="Q308" i="1"/>
  <c r="O308" i="1"/>
  <c r="N308" i="1"/>
  <c r="K308" i="1"/>
  <c r="J308" i="1"/>
  <c r="Q336" i="1"/>
  <c r="O336" i="1"/>
  <c r="N336" i="1"/>
  <c r="K336" i="1"/>
  <c r="J336" i="1"/>
  <c r="Q127" i="1"/>
  <c r="O127" i="1"/>
  <c r="N127" i="1"/>
  <c r="K127" i="1"/>
  <c r="J127" i="1"/>
  <c r="Q275" i="1"/>
  <c r="O275" i="1"/>
  <c r="N275" i="1"/>
  <c r="K275" i="1"/>
  <c r="J275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53" i="1"/>
  <c r="O153" i="1"/>
  <c r="N153" i="1"/>
  <c r="K153" i="1"/>
  <c r="J153" i="1"/>
  <c r="Q171" i="1"/>
  <c r="O171" i="1"/>
  <c r="N171" i="1"/>
  <c r="K171" i="1"/>
  <c r="J171" i="1"/>
  <c r="Q297" i="1"/>
  <c r="O297" i="1"/>
  <c r="N297" i="1"/>
  <c r="K297" i="1"/>
  <c r="J297" i="1"/>
  <c r="Q146" i="1"/>
  <c r="O146" i="1"/>
  <c r="N146" i="1"/>
  <c r="K146" i="1"/>
  <c r="J146" i="1"/>
  <c r="Q217" i="1"/>
  <c r="O217" i="1"/>
  <c r="N217" i="1"/>
  <c r="K217" i="1"/>
  <c r="J217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70" i="1"/>
  <c r="O170" i="1"/>
  <c r="N170" i="1"/>
  <c r="K170" i="1"/>
  <c r="J170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51" i="1"/>
  <c r="O151" i="1"/>
  <c r="N151" i="1"/>
  <c r="K151" i="1"/>
  <c r="J15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173" i="1"/>
  <c r="O173" i="1"/>
  <c r="N173" i="1"/>
  <c r="K173" i="1"/>
  <c r="J173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92" i="1"/>
  <c r="O192" i="1"/>
  <c r="N192" i="1"/>
  <c r="K192" i="1"/>
  <c r="J192" i="1"/>
  <c r="Q119" i="1"/>
  <c r="O119" i="1"/>
  <c r="N119" i="1"/>
  <c r="K119" i="1"/>
  <c r="J119" i="1"/>
  <c r="Q175" i="1"/>
  <c r="O175" i="1"/>
  <c r="N175" i="1"/>
  <c r="K175" i="1"/>
  <c r="J175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276" i="1"/>
  <c r="O276" i="1"/>
  <c r="N276" i="1"/>
  <c r="K276" i="1"/>
  <c r="J276" i="1"/>
  <c r="Q130" i="1"/>
  <c r="O130" i="1"/>
  <c r="N130" i="1"/>
  <c r="K130" i="1"/>
  <c r="J130" i="1"/>
  <c r="Q190" i="1"/>
  <c r="O190" i="1"/>
  <c r="N190" i="1"/>
  <c r="K190" i="1"/>
  <c r="J190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45" i="1"/>
  <c r="O145" i="1"/>
  <c r="N145" i="1"/>
  <c r="K145" i="1"/>
  <c r="J145" i="1"/>
  <c r="Q235" i="1"/>
  <c r="O235" i="1"/>
  <c r="N235" i="1"/>
  <c r="K235" i="1"/>
  <c r="J235" i="1"/>
  <c r="Q313" i="1"/>
  <c r="O313" i="1"/>
  <c r="N313" i="1"/>
  <c r="K313" i="1"/>
  <c r="J313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179" i="1"/>
  <c r="O179" i="1"/>
  <c r="N179" i="1"/>
  <c r="K179" i="1"/>
  <c r="J179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155" i="1"/>
  <c r="O155" i="1"/>
  <c r="N155" i="1"/>
  <c r="K155" i="1"/>
  <c r="J155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2" i="1"/>
  <c r="O172" i="1"/>
  <c r="N172" i="1"/>
  <c r="K172" i="1"/>
  <c r="J172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39" i="1"/>
  <c r="O139" i="1"/>
  <c r="N139" i="1"/>
  <c r="K139" i="1"/>
  <c r="J13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220" i="1"/>
  <c r="O220" i="1"/>
  <c r="N220" i="1"/>
  <c r="K220" i="1"/>
  <c r="J22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296" i="1"/>
  <c r="O296" i="1"/>
  <c r="N296" i="1"/>
  <c r="K296" i="1"/>
  <c r="J296" i="1"/>
  <c r="Q216" i="1"/>
  <c r="O216" i="1"/>
  <c r="N216" i="1"/>
  <c r="K216" i="1"/>
  <c r="J216" i="1"/>
  <c r="Q242" i="1"/>
  <c r="O242" i="1"/>
  <c r="N242" i="1"/>
  <c r="K242" i="1"/>
  <c r="J242" i="1"/>
  <c r="Q157" i="1"/>
  <c r="O157" i="1"/>
  <c r="N157" i="1"/>
  <c r="K157" i="1"/>
  <c r="J157" i="1"/>
  <c r="Q125" i="1"/>
  <c r="O125" i="1"/>
  <c r="N125" i="1"/>
  <c r="K125" i="1"/>
  <c r="J125" i="1"/>
  <c r="Q233" i="1"/>
  <c r="O233" i="1"/>
  <c r="N233" i="1"/>
  <c r="K233" i="1"/>
  <c r="J233" i="1"/>
  <c r="Q144" i="1"/>
  <c r="O144" i="1"/>
  <c r="N144" i="1"/>
  <c r="K144" i="1"/>
  <c r="J144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314" i="1"/>
  <c r="O314" i="1"/>
  <c r="N314" i="1"/>
  <c r="K314" i="1"/>
  <c r="J314" i="1"/>
  <c r="Q223" i="1"/>
  <c r="O223" i="1"/>
  <c r="N223" i="1"/>
  <c r="K223" i="1"/>
  <c r="J223" i="1"/>
  <c r="Q298" i="1"/>
  <c r="O298" i="1"/>
  <c r="N298" i="1"/>
  <c r="K298" i="1"/>
  <c r="J298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52" i="1"/>
  <c r="O152" i="1"/>
  <c r="N152" i="1"/>
  <c r="K152" i="1"/>
  <c r="J152" i="1"/>
  <c r="Q330" i="1"/>
  <c r="O330" i="1"/>
  <c r="N330" i="1"/>
  <c r="K330" i="1"/>
  <c r="J330" i="1"/>
  <c r="Q100" i="1"/>
  <c r="O100" i="1"/>
  <c r="N100" i="1"/>
  <c r="K100" i="1"/>
  <c r="J100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11" i="1"/>
  <c r="O111" i="1"/>
  <c r="N111" i="1"/>
  <c r="K111" i="1"/>
  <c r="J111" i="1"/>
  <c r="Q210" i="1"/>
  <c r="O210" i="1"/>
  <c r="N210" i="1"/>
  <c r="K210" i="1"/>
  <c r="J210" i="1"/>
  <c r="Q141" i="1"/>
  <c r="O141" i="1"/>
  <c r="N141" i="1"/>
  <c r="K141" i="1"/>
  <c r="J141" i="1"/>
  <c r="Q160" i="1"/>
  <c r="O160" i="1"/>
  <c r="N160" i="1"/>
  <c r="K160" i="1"/>
  <c r="J160" i="1"/>
  <c r="Q174" i="1"/>
  <c r="O174" i="1"/>
  <c r="N174" i="1"/>
  <c r="K174" i="1"/>
  <c r="J174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178" i="1"/>
  <c r="O178" i="1"/>
  <c r="N178" i="1"/>
  <c r="K178" i="1"/>
  <c r="J178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103" i="1"/>
  <c r="O103" i="1"/>
  <c r="N103" i="1"/>
  <c r="K103" i="1"/>
  <c r="J103" i="1"/>
  <c r="Q194" i="1"/>
  <c r="O194" i="1"/>
  <c r="N194" i="1"/>
  <c r="K194" i="1"/>
  <c r="J194" i="1"/>
  <c r="Q274" i="1"/>
  <c r="O274" i="1"/>
  <c r="N274" i="1"/>
  <c r="K274" i="1"/>
  <c r="J274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91" i="1"/>
  <c r="O191" i="1"/>
  <c r="N191" i="1"/>
  <c r="K191" i="1"/>
  <c r="J19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7" i="1"/>
  <c r="O277" i="1"/>
  <c r="N277" i="1"/>
  <c r="K277" i="1"/>
  <c r="J277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26" i="1"/>
  <c r="O126" i="1"/>
  <c r="N126" i="1"/>
  <c r="K126" i="1"/>
  <c r="J126" i="1"/>
  <c r="Q208" i="1"/>
  <c r="O208" i="1"/>
  <c r="N208" i="1"/>
  <c r="K208" i="1"/>
  <c r="J20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92" i="1"/>
  <c r="O92" i="1"/>
  <c r="N92" i="1"/>
  <c r="K92" i="1"/>
  <c r="J92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102" i="1"/>
  <c r="O102" i="1"/>
  <c r="N102" i="1"/>
  <c r="K102" i="1"/>
  <c r="J102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207" i="1"/>
  <c r="O207" i="1"/>
  <c r="N207" i="1"/>
  <c r="K207" i="1"/>
  <c r="J207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273" i="1"/>
  <c r="O273" i="1"/>
  <c r="N273" i="1"/>
  <c r="K273" i="1"/>
  <c r="J273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99" i="1"/>
  <c r="O99" i="1"/>
  <c r="N99" i="1"/>
  <c r="K99" i="1"/>
  <c r="J99" i="1"/>
  <c r="Q278" i="1"/>
  <c r="O278" i="1"/>
  <c r="N278" i="1"/>
  <c r="K278" i="1"/>
  <c r="J278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01" i="1"/>
  <c r="O101" i="1"/>
  <c r="N101" i="1"/>
  <c r="K101" i="1"/>
  <c r="J101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38" i="1"/>
  <c r="O138" i="1"/>
  <c r="N138" i="1"/>
  <c r="K138" i="1"/>
  <c r="J13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J6" i="1"/>
  <c r="Q219" i="1"/>
  <c r="O219" i="1"/>
  <c r="N219" i="1"/>
  <c r="K219" i="1"/>
  <c r="J219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193" i="1"/>
  <c r="O193" i="1"/>
  <c r="N193" i="1"/>
  <c r="K193" i="1"/>
  <c r="J193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221" i="1"/>
  <c r="O221" i="1"/>
  <c r="N221" i="1"/>
  <c r="K221" i="1"/>
  <c r="J221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58" i="1"/>
  <c r="O158" i="1"/>
  <c r="N158" i="1"/>
  <c r="K158" i="1"/>
  <c r="J158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37" i="1"/>
  <c r="O137" i="1"/>
  <c r="N137" i="1"/>
  <c r="K137" i="1"/>
  <c r="J137" i="1"/>
  <c r="Q23" i="1"/>
  <c r="O23" i="1"/>
  <c r="N23" i="1"/>
  <c r="K23" i="1"/>
  <c r="J23" i="1"/>
  <c r="Q115" i="1"/>
  <c r="O115" i="1"/>
  <c r="N115" i="1"/>
  <c r="K115" i="1"/>
  <c r="J115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177" i="1"/>
  <c r="O177" i="1"/>
  <c r="N177" i="1"/>
  <c r="K177" i="1"/>
  <c r="J177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<sst xmlns="http://schemas.openxmlformats.org/spreadsheetml/2006/main" count="2058" uniqueCount="480">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</sst>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f>S6</f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f t="shared" ref="P7:P70" si="5">S7</f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f t="shared" si="5"/>
        <v>0</v>
      </c>
      <c r="Q8" s="1">
        <f t="shared" si="4"/>
        <v>0</v>
      </c>
      <c r="R8" s="18">
        <v>6</v>
      </c>
      <c r="S8" s="18">
        <v>0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f t="shared" si="5"/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f t="shared" si="5"/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f t="shared" si="5"/>
        <v>0</v>
      </c>
      <c r="Q11" s="1">
        <f t="shared" si="4"/>
        <v>0</v>
      </c>
      <c r="R11" s="18">
        <v>9</v>
      </c>
      <c r="S11" s="18">
        <v>0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f t="shared" si="5"/>
        <v>0</v>
      </c>
      <c r="Q12" s="1">
        <f t="shared" si="4"/>
        <v>0</v>
      </c>
      <c r="R12" s="18">
        <v>10</v>
      </c>
      <c r="S12" s="18">
        <v>0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f t="shared" si="5"/>
        <v>0</v>
      </c>
      <c r="Q13" s="1">
        <f t="shared" si="4"/>
        <v>0</v>
      </c>
      <c r="R13" s="18">
        <v>9</v>
      </c>
      <c r="S13" s="18">
        <v>0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f t="shared" si="5"/>
        <v>0</v>
      </c>
      <c r="Q14" s="1">
        <f t="shared" si="4"/>
        <v>0</v>
      </c>
      <c r="R14" s="18">
        <v>8</v>
      </c>
      <c r="S14" s="18">
        <v>0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f t="shared" si="5"/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f t="shared" si="5"/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f t="shared" si="5"/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f t="shared" si="5"/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f t="shared" si="5"/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f t="shared" si="5"/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f t="shared" si="5"/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f t="shared" si="5"/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f t="shared" si="5"/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f t="shared" si="5"/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f t="shared" si="5"/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f t="shared" si="5"/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f t="shared" si="5"/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f t="shared" si="5"/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f t="shared" si="5"/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f t="shared" si="5"/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f t="shared" si="5"/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f t="shared" si="5"/>
        <v>0</v>
      </c>
      <c r="Q32" s="1">
        <f t="shared" si="4"/>
        <v>0</v>
      </c>
      <c r="R32" s="18">
        <v>13</v>
      </c>
      <c r="S32" s="18">
        <v>0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f t="shared" si="5"/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f t="shared" si="5"/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f t="shared" si="5"/>
        <v>0</v>
      </c>
      <c r="Q35" s="1">
        <f t="shared" si="4"/>
        <v>0</v>
      </c>
      <c r="R35" s="18">
        <v>7</v>
      </c>
      <c r="S35" s="18">
        <v>0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f t="shared" si="5"/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f t="shared" si="5"/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f t="shared" si="5"/>
        <v>0</v>
      </c>
      <c r="Q38" s="1">
        <f t="shared" si="4"/>
        <v>0</v>
      </c>
      <c r="R38" s="18">
        <v>12</v>
      </c>
      <c r="S38" s="18">
        <v>0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f t="shared" si="5"/>
        <v>0</v>
      </c>
      <c r="Q39" s="1">
        <f t="shared" si="4"/>
        <v>0</v>
      </c>
      <c r="R39" s="18">
        <v>11</v>
      </c>
      <c r="S39" s="18">
        <v>0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f t="shared" si="5"/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f t="shared" si="5"/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f t="shared" si="5"/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f t="shared" si="5"/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f t="shared" si="5"/>
        <v>0</v>
      </c>
      <c r="Q44" s="1">
        <f t="shared" si="4"/>
        <v>0</v>
      </c>
      <c r="R44" s="18">
        <v>9</v>
      </c>
      <c r="S44" s="18">
        <v>0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f t="shared" si="5"/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f t="shared" si="5"/>
        <v>0</v>
      </c>
      <c r="Q46" s="1">
        <f t="shared" si="4"/>
        <v>0</v>
      </c>
      <c r="R46" s="18">
        <v>8</v>
      </c>
      <c r="S46" s="18">
        <v>0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f t="shared" si="5"/>
        <v>0</v>
      </c>
      <c r="Q47" s="1">
        <f t="shared" si="4"/>
        <v>0</v>
      </c>
      <c r="R47" s="18">
        <v>8</v>
      </c>
      <c r="S47" s="18">
        <v>0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20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f t="shared" si="5"/>
        <v>0</v>
      </c>
      <c r="Q48" s="1">
        <f t="shared" si="4"/>
        <v>0</v>
      </c>
      <c r="R48" s="18">
        <v>5</v>
      </c>
      <c r="S48" s="18">
        <v>0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f t="shared" si="5"/>
        <v>3</v>
      </c>
      <c r="Q49" s="1">
        <f t="shared" si="4"/>
        <v>1</v>
      </c>
      <c r="R49" s="18">
        <v>22</v>
      </c>
      <c r="S49" s="18">
        <v>3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f t="shared" si="5"/>
        <v>0</v>
      </c>
      <c r="Q50" s="1">
        <f t="shared" si="4"/>
        <v>0</v>
      </c>
      <c r="R50" s="18">
        <v>9</v>
      </c>
      <c r="S50" s="18">
        <v>0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f t="shared" si="5"/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0</v>
      </c>
      <c r="J52" s="4">
        <f t="shared" si="0"/>
        <v>0</v>
      </c>
      <c r="K52" s="5">
        <f t="shared" si="1"/>
        <v>0</v>
      </c>
      <c r="L52" s="2">
        <v>1129393.7903485449</v>
      </c>
      <c r="M52" s="2">
        <v>900000</v>
      </c>
      <c r="N52" s="6">
        <f t="shared" si="2"/>
        <v>1</v>
      </c>
      <c r="O52" s="17">
        <f t="shared" si="3"/>
        <v>0.79688768230454754</v>
      </c>
      <c r="P52" s="18">
        <f t="shared" si="5"/>
        <v>1</v>
      </c>
      <c r="Q52" s="1">
        <f t="shared" si="4"/>
        <v>0</v>
      </c>
      <c r="R52" s="18">
        <v>7</v>
      </c>
      <c r="S52" s="18">
        <v>1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3</v>
      </c>
      <c r="J53" s="4">
        <f t="shared" si="0"/>
        <v>1</v>
      </c>
      <c r="K53" s="5">
        <f t="shared" si="1"/>
        <v>0.48403954802259924</v>
      </c>
      <c r="L53" s="2">
        <v>10825661.4320659</v>
      </c>
      <c r="M53" s="2">
        <v>1113000</v>
      </c>
      <c r="N53" s="6">
        <f t="shared" si="2"/>
        <v>1</v>
      </c>
      <c r="O53" s="17">
        <f t="shared" si="3"/>
        <v>0.10281126996113735</v>
      </c>
      <c r="P53" s="18">
        <f t="shared" si="5"/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3</v>
      </c>
      <c r="J54" s="1">
        <f t="shared" si="0"/>
        <v>1</v>
      </c>
      <c r="K54" s="5">
        <f t="shared" si="1"/>
        <v>0.6</v>
      </c>
      <c r="L54" s="2">
        <v>8987209.4417036269</v>
      </c>
      <c r="M54" s="2">
        <v>3542500</v>
      </c>
      <c r="N54" s="6">
        <f t="shared" si="2"/>
        <v>1</v>
      </c>
      <c r="O54" s="17">
        <f t="shared" si="3"/>
        <v>0.39417129677223584</v>
      </c>
      <c r="P54" s="18">
        <f t="shared" si="5"/>
        <v>1</v>
      </c>
      <c r="Q54" s="1">
        <f t="shared" si="4"/>
        <v>0</v>
      </c>
      <c r="R54" s="18">
        <v>7</v>
      </c>
      <c r="S54" s="18">
        <v>1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4</v>
      </c>
      <c r="J55" s="1">
        <f t="shared" si="0"/>
        <v>1</v>
      </c>
      <c r="K55" s="5">
        <f t="shared" si="1"/>
        <v>0.86051475204017569</v>
      </c>
      <c r="L55" s="2">
        <v>3846582.3800694668</v>
      </c>
      <c r="M55" s="2">
        <v>1643000</v>
      </c>
      <c r="N55" s="6">
        <f t="shared" si="2"/>
        <v>1</v>
      </c>
      <c r="O55" s="17">
        <f t="shared" si="3"/>
        <v>0.42713240941178765</v>
      </c>
      <c r="P55" s="18">
        <f t="shared" si="5"/>
        <v>1</v>
      </c>
      <c r="Q55" s="1">
        <f t="shared" si="4"/>
        <v>0</v>
      </c>
      <c r="R55" s="18">
        <v>7</v>
      </c>
      <c r="S55" s="18">
        <v>1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20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f t="shared" si="5"/>
        <v>1</v>
      </c>
      <c r="Q56" s="1">
        <f t="shared" si="4"/>
        <v>0</v>
      </c>
      <c r="R56" s="18">
        <v>5</v>
      </c>
      <c r="S56" s="18">
        <v>1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3</v>
      </c>
      <c r="J57" s="1">
        <f t="shared" si="0"/>
        <v>1</v>
      </c>
      <c r="K57" s="5">
        <f t="shared" si="1"/>
        <v>0.22001797637390832</v>
      </c>
      <c r="L57" s="2">
        <v>15160091.65448463</v>
      </c>
      <c r="M57" s="2">
        <v>1643000</v>
      </c>
      <c r="N57" s="6">
        <f t="shared" si="2"/>
        <v>1</v>
      </c>
      <c r="O57" s="17">
        <f t="shared" si="3"/>
        <v>0.10837665348243267</v>
      </c>
      <c r="P57" s="18">
        <f t="shared" si="5"/>
        <v>0</v>
      </c>
      <c r="Q57" s="1">
        <f t="shared" si="4"/>
        <v>0</v>
      </c>
      <c r="R57" s="18">
        <v>9</v>
      </c>
      <c r="S57" s="18">
        <v>0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3</v>
      </c>
      <c r="J58" s="4">
        <f t="shared" si="0"/>
        <v>1</v>
      </c>
      <c r="K58" s="5">
        <f t="shared" si="1"/>
        <v>0.34574253430185686</v>
      </c>
      <c r="L58" s="2">
        <v>1893575.0259166521</v>
      </c>
      <c r="M58" s="2">
        <v>815000</v>
      </c>
      <c r="N58" s="6">
        <f t="shared" si="2"/>
        <v>1</v>
      </c>
      <c r="O58" s="17">
        <f t="shared" si="3"/>
        <v>0.43040280360978589</v>
      </c>
      <c r="P58" s="18">
        <f t="shared" si="5"/>
        <v>0</v>
      </c>
      <c r="Q58" s="1">
        <f t="shared" si="4"/>
        <v>0</v>
      </c>
      <c r="R58" s="18">
        <v>11</v>
      </c>
      <c r="S58" s="18">
        <v>0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3</v>
      </c>
      <c r="J59" s="1">
        <f t="shared" si="0"/>
        <v>1</v>
      </c>
      <c r="K59" s="5">
        <f t="shared" si="1"/>
        <v>0.56945829179129259</v>
      </c>
      <c r="L59" s="2">
        <v>5325208.4315035222</v>
      </c>
      <c r="M59" s="2">
        <v>752500</v>
      </c>
      <c r="N59" s="6">
        <f t="shared" si="2"/>
        <v>1</v>
      </c>
      <c r="O59" s="17">
        <f t="shared" si="3"/>
        <v>0.14130902286345604</v>
      </c>
      <c r="P59" s="18">
        <f t="shared" si="5"/>
        <v>0</v>
      </c>
      <c r="Q59" s="1">
        <f t="shared" si="4"/>
        <v>0</v>
      </c>
      <c r="R59" s="18">
        <v>8</v>
      </c>
      <c r="S59" s="18">
        <v>0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3</v>
      </c>
      <c r="J60" s="4">
        <f t="shared" si="0"/>
        <v>1</v>
      </c>
      <c r="K60" s="5">
        <f t="shared" si="1"/>
        <v>0.6</v>
      </c>
      <c r="L60" s="2">
        <v>1892497.7027462141</v>
      </c>
      <c r="M60" s="2">
        <v>866500</v>
      </c>
      <c r="N60" s="6">
        <f t="shared" si="2"/>
        <v>1</v>
      </c>
      <c r="O60" s="17">
        <f t="shared" si="3"/>
        <v>0.45786052936424543</v>
      </c>
      <c r="P60" s="18">
        <f t="shared" si="5"/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2</v>
      </c>
      <c r="J61" s="1">
        <f t="shared" si="0"/>
        <v>0</v>
      </c>
      <c r="K61" s="5">
        <f t="shared" si="1"/>
        <v>0.20168314500941673</v>
      </c>
      <c r="L61" s="2">
        <v>1708993.6560472909</v>
      </c>
      <c r="M61" s="2">
        <v>900000</v>
      </c>
      <c r="N61" s="6">
        <f t="shared" si="2"/>
        <v>1</v>
      </c>
      <c r="O61" s="17">
        <f t="shared" si="3"/>
        <v>0.52662571146202974</v>
      </c>
      <c r="P61" s="18">
        <f t="shared" si="5"/>
        <v>0</v>
      </c>
      <c r="Q61" s="1">
        <f t="shared" si="4"/>
        <v>0</v>
      </c>
      <c r="R61" s="18">
        <v>12</v>
      </c>
      <c r="S61" s="18">
        <v>0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0</v>
      </c>
      <c r="J62" s="1">
        <f t="shared" si="0"/>
        <v>0</v>
      </c>
      <c r="K62" s="5">
        <f t="shared" si="1"/>
        <v>0</v>
      </c>
      <c r="L62" s="2">
        <v>8778029.1927757934</v>
      </c>
      <c r="M62" s="2">
        <v>840000</v>
      </c>
      <c r="N62" s="6">
        <f t="shared" si="2"/>
        <v>1</v>
      </c>
      <c r="O62" s="17">
        <f t="shared" si="3"/>
        <v>9.56934616589461E-2</v>
      </c>
      <c r="P62" s="18">
        <f t="shared" si="5"/>
        <v>0</v>
      </c>
      <c r="Q62" s="1">
        <f t="shared" si="4"/>
        <v>0</v>
      </c>
      <c r="R62" s="18">
        <v>9</v>
      </c>
      <c r="S62" s="18">
        <v>0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f t="shared" si="5"/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3</v>
      </c>
      <c r="J64" s="4">
        <f t="shared" si="0"/>
        <v>1</v>
      </c>
      <c r="K64" s="5">
        <f t="shared" si="1"/>
        <v>0.60504943502824837</v>
      </c>
      <c r="L64" s="2">
        <v>4394401.2122401176</v>
      </c>
      <c r="M64" s="2">
        <v>3420000</v>
      </c>
      <c r="N64" s="6">
        <f t="shared" si="2"/>
        <v>1</v>
      </c>
      <c r="O64" s="17">
        <f t="shared" si="3"/>
        <v>0.7782630294370867</v>
      </c>
      <c r="P64" s="18">
        <f t="shared" si="5"/>
        <v>2</v>
      </c>
      <c r="Q64" s="1">
        <f t="shared" si="4"/>
        <v>0</v>
      </c>
      <c r="R64" s="18">
        <v>7</v>
      </c>
      <c r="S64" s="18">
        <v>2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f t="shared" si="5"/>
        <v>1</v>
      </c>
      <c r="Q65" s="1">
        <f t="shared" si="4"/>
        <v>0</v>
      </c>
      <c r="R65" s="18">
        <v>6</v>
      </c>
      <c r="S65" s="18">
        <v>1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3</v>
      </c>
      <c r="J66" s="1">
        <f t="shared" si="0"/>
        <v>1</v>
      </c>
      <c r="K66" s="5">
        <f t="shared" si="1"/>
        <v>0.40336629001883245</v>
      </c>
      <c r="L66" s="2">
        <v>4750636.0739335204</v>
      </c>
      <c r="M66" s="2">
        <v>2543000</v>
      </c>
      <c r="N66" s="6">
        <f t="shared" si="2"/>
        <v>1</v>
      </c>
      <c r="O66" s="17">
        <f t="shared" si="3"/>
        <v>0.5352967393047221</v>
      </c>
      <c r="P66" s="18">
        <f t="shared" si="5"/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3</v>
      </c>
      <c r="J67" s="4">
        <f t="shared" si="0"/>
        <v>1</v>
      </c>
      <c r="K67" s="5">
        <f t="shared" si="1"/>
        <v>0.13636363636363635</v>
      </c>
      <c r="L67" s="2">
        <v>12700562.85636154</v>
      </c>
      <c r="M67" s="2">
        <v>500000</v>
      </c>
      <c r="N67" s="6">
        <f t="shared" si="2"/>
        <v>1</v>
      </c>
      <c r="O67" s="17">
        <f t="shared" si="3"/>
        <v>3.936833395927463E-2</v>
      </c>
      <c r="P67" s="18">
        <f t="shared" si="5"/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3</v>
      </c>
      <c r="J68" s="1">
        <f t="shared" si="0"/>
        <v>1</v>
      </c>
      <c r="K68" s="5">
        <f t="shared" si="1"/>
        <v>0.35854781335007452</v>
      </c>
      <c r="L68" s="2">
        <v>11418548.28353346</v>
      </c>
      <c r="M68" s="2">
        <v>3474000</v>
      </c>
      <c r="N68" s="6">
        <f t="shared" si="2"/>
        <v>1</v>
      </c>
      <c r="O68" s="17">
        <f t="shared" si="3"/>
        <v>0.30424182774703595</v>
      </c>
      <c r="P68" s="18">
        <f t="shared" si="5"/>
        <v>1</v>
      </c>
      <c r="Q68" s="1">
        <f t="shared" si="4"/>
        <v>0</v>
      </c>
      <c r="R68" s="18">
        <v>11</v>
      </c>
      <c r="S68" s="18">
        <v>1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3</v>
      </c>
      <c r="J69" s="1">
        <f t="shared" si="0"/>
        <v>1</v>
      </c>
      <c r="K69" s="5">
        <f t="shared" si="1"/>
        <v>0.44003595274781732</v>
      </c>
      <c r="L69" s="2">
        <v>8134149.0445738966</v>
      </c>
      <c r="M69" s="2">
        <v>980000</v>
      </c>
      <c r="N69" s="6">
        <f t="shared" si="2"/>
        <v>1</v>
      </c>
      <c r="O69" s="17">
        <f t="shared" si="3"/>
        <v>0.12047972008254944</v>
      </c>
      <c r="P69" s="18">
        <f t="shared" si="5"/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3</v>
      </c>
      <c r="J70" s="4">
        <f t="shared" ref="J70:J133" si="6">IF(I70&gt;=3,1,0)</f>
        <v>1</v>
      </c>
      <c r="K70" s="5">
        <f t="shared" ref="K70:K133" si="7">I70/H70</f>
        <v>0.44003595274781732</v>
      </c>
      <c r="L70" s="2">
        <v>2473533.999338889</v>
      </c>
      <c r="M70" s="2">
        <v>3464000</v>
      </c>
      <c r="N70" s="6">
        <f t="shared" ref="N70:N133" si="8">IF(M70&gt;=300000,1,0)</f>
        <v>1</v>
      </c>
      <c r="O70" s="17">
        <f t="shared" ref="O70:O133" si="9">M70/L70</f>
        <v>1.4004254645078</v>
      </c>
      <c r="P70" s="18">
        <f t="shared" si="5"/>
        <v>0</v>
      </c>
      <c r="Q70" s="1">
        <f t="shared" ref="Q70:Q133" si="10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3</v>
      </c>
      <c r="J71" s="1">
        <f t="shared" si="6"/>
        <v>1</v>
      </c>
      <c r="K71" s="5">
        <f t="shared" si="7"/>
        <v>0.46099004573580871</v>
      </c>
      <c r="L71" s="2">
        <v>2241909.517693473</v>
      </c>
      <c r="M71" s="2">
        <v>1063000</v>
      </c>
      <c r="N71" s="6">
        <f t="shared" si="8"/>
        <v>1</v>
      </c>
      <c r="O71" s="17">
        <f t="shared" si="9"/>
        <v>0.47414937650723671</v>
      </c>
      <c r="P71" s="18">
        <f t="shared" ref="P71:P134" si="11">S71</f>
        <v>0</v>
      </c>
      <c r="Q71" s="1">
        <f t="shared" si="10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3</v>
      </c>
      <c r="J72" s="1">
        <f t="shared" si="6"/>
        <v>1</v>
      </c>
      <c r="K72" s="5">
        <f t="shared" si="7"/>
        <v>0.64538606403013177</v>
      </c>
      <c r="L72" s="2">
        <v>13704268.94349164</v>
      </c>
      <c r="M72" s="2">
        <v>1560000</v>
      </c>
      <c r="N72" s="6">
        <f t="shared" si="8"/>
        <v>1</v>
      </c>
      <c r="O72" s="17">
        <f t="shared" si="9"/>
        <v>0.11383314253628006</v>
      </c>
      <c r="P72" s="18">
        <f t="shared" si="11"/>
        <v>0</v>
      </c>
      <c r="Q72" s="1">
        <f t="shared" si="10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3</v>
      </c>
      <c r="J73" s="1">
        <f t="shared" si="6"/>
        <v>1</v>
      </c>
      <c r="K73" s="5">
        <f t="shared" si="7"/>
        <v>0.75</v>
      </c>
      <c r="L73" s="2">
        <v>8662935.1674000528</v>
      </c>
      <c r="M73" s="2">
        <v>564000</v>
      </c>
      <c r="N73" s="6">
        <f t="shared" si="8"/>
        <v>1</v>
      </c>
      <c r="O73" s="17">
        <f t="shared" si="9"/>
        <v>6.5104954510385588E-2</v>
      </c>
      <c r="P73" s="18">
        <f t="shared" si="11"/>
        <v>1</v>
      </c>
      <c r="Q73" s="1">
        <f t="shared" si="10"/>
        <v>0</v>
      </c>
      <c r="R73" s="18">
        <v>6</v>
      </c>
      <c r="S73" s="18">
        <v>1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3</v>
      </c>
      <c r="J74" s="4">
        <f t="shared" si="6"/>
        <v>1</v>
      </c>
      <c r="K74" s="5">
        <f t="shared" si="7"/>
        <v>0.75</v>
      </c>
      <c r="L74" s="2">
        <v>5655946.6448297696</v>
      </c>
      <c r="M74" s="2">
        <v>664000</v>
      </c>
      <c r="N74" s="6">
        <f t="shared" si="8"/>
        <v>1</v>
      </c>
      <c r="O74" s="17">
        <f t="shared" si="9"/>
        <v>0.11739856149579798</v>
      </c>
      <c r="P74" s="18">
        <f t="shared" si="11"/>
        <v>0</v>
      </c>
      <c r="Q74" s="1">
        <f t="shared" si="10"/>
        <v>0</v>
      </c>
      <c r="R74" s="18">
        <v>6</v>
      </c>
      <c r="S74" s="18">
        <v>0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0</v>
      </c>
      <c r="J75" s="4">
        <f t="shared" si="6"/>
        <v>0</v>
      </c>
      <c r="K75" s="5">
        <f t="shared" si="7"/>
        <v>0</v>
      </c>
      <c r="L75" s="2">
        <v>4178038.8088426539</v>
      </c>
      <c r="M75" s="2">
        <v>420000</v>
      </c>
      <c r="N75" s="6">
        <f t="shared" si="8"/>
        <v>1</v>
      </c>
      <c r="O75" s="17">
        <f t="shared" si="9"/>
        <v>0.1005256339675655</v>
      </c>
      <c r="P75" s="18">
        <f t="shared" si="11"/>
        <v>0</v>
      </c>
      <c r="Q75" s="1">
        <f t="shared" si="10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0</v>
      </c>
      <c r="J76" s="1">
        <f t="shared" si="6"/>
        <v>0</v>
      </c>
      <c r="K76" s="5">
        <f t="shared" si="7"/>
        <v>0</v>
      </c>
      <c r="L76" s="2">
        <v>3680495.057959374</v>
      </c>
      <c r="M76" s="2">
        <v>840000</v>
      </c>
      <c r="N76" s="6">
        <f t="shared" si="8"/>
        <v>1</v>
      </c>
      <c r="O76" s="17">
        <f t="shared" si="9"/>
        <v>0.2282301665324698</v>
      </c>
      <c r="P76" s="18">
        <f t="shared" si="11"/>
        <v>4</v>
      </c>
      <c r="Q76" s="1">
        <f t="shared" si="10"/>
        <v>1</v>
      </c>
      <c r="R76" s="18">
        <v>13</v>
      </c>
      <c r="S76" s="18">
        <v>4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0</v>
      </c>
      <c r="J77" s="1">
        <f t="shared" si="6"/>
        <v>0</v>
      </c>
      <c r="K77" s="5">
        <f t="shared" si="7"/>
        <v>0</v>
      </c>
      <c r="L77" s="2">
        <v>16163438.633891329</v>
      </c>
      <c r="M77" s="2">
        <v>840000</v>
      </c>
      <c r="N77" s="6">
        <f t="shared" si="8"/>
        <v>1</v>
      </c>
      <c r="O77" s="17">
        <f t="shared" si="9"/>
        <v>5.1969139675433713E-2</v>
      </c>
      <c r="P77" s="18">
        <f t="shared" si="11"/>
        <v>0</v>
      </c>
      <c r="Q77" s="1">
        <f t="shared" si="10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0</v>
      </c>
      <c r="J78" s="1">
        <f t="shared" si="6"/>
        <v>0</v>
      </c>
      <c r="K78" s="5">
        <f t="shared" si="7"/>
        <v>0</v>
      </c>
      <c r="L78" s="2">
        <v>5493091.2922310065</v>
      </c>
      <c r="M78" s="2">
        <v>820000</v>
      </c>
      <c r="N78" s="6">
        <f t="shared" si="8"/>
        <v>1</v>
      </c>
      <c r="O78" s="17">
        <f t="shared" si="9"/>
        <v>0.14927842199887395</v>
      </c>
      <c r="P78" s="18">
        <f t="shared" si="11"/>
        <v>5</v>
      </c>
      <c r="Q78" s="1">
        <f t="shared" si="10"/>
        <v>1</v>
      </c>
      <c r="R78" s="18">
        <v>8</v>
      </c>
      <c r="S78" s="18">
        <v>5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0</v>
      </c>
      <c r="J79" s="1">
        <f t="shared" si="6"/>
        <v>0</v>
      </c>
      <c r="K79" s="5">
        <f t="shared" si="7"/>
        <v>0</v>
      </c>
      <c r="L79" s="2">
        <v>4970050.8929805709</v>
      </c>
      <c r="M79" s="2">
        <v>840000</v>
      </c>
      <c r="N79" s="6">
        <f t="shared" si="8"/>
        <v>1</v>
      </c>
      <c r="O79" s="17">
        <f t="shared" si="9"/>
        <v>0.16901235381439861</v>
      </c>
      <c r="P79" s="18">
        <f t="shared" si="11"/>
        <v>0</v>
      </c>
      <c r="Q79" s="1">
        <f t="shared" si="10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0</v>
      </c>
      <c r="J80" s="4">
        <f t="shared" si="6"/>
        <v>0</v>
      </c>
      <c r="K80" s="5">
        <f t="shared" si="7"/>
        <v>0</v>
      </c>
      <c r="L80" s="2">
        <v>24528493.944663569</v>
      </c>
      <c r="M80" s="2">
        <v>0</v>
      </c>
      <c r="N80" s="6">
        <f t="shared" si="8"/>
        <v>0</v>
      </c>
      <c r="O80" s="17">
        <f t="shared" si="9"/>
        <v>0</v>
      </c>
      <c r="P80" s="18">
        <f t="shared" si="11"/>
        <v>0</v>
      </c>
      <c r="Q80" s="1">
        <f t="shared" si="10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0</v>
      </c>
      <c r="J81" s="1">
        <f t="shared" si="6"/>
        <v>0</v>
      </c>
      <c r="K81" s="5">
        <f t="shared" si="7"/>
        <v>0</v>
      </c>
      <c r="L81" s="2">
        <v>8652341.4895573519</v>
      </c>
      <c r="M81" s="2">
        <v>420000</v>
      </c>
      <c r="N81" s="6">
        <f t="shared" si="8"/>
        <v>1</v>
      </c>
      <c r="O81" s="17">
        <f t="shared" si="9"/>
        <v>4.8541773403986035E-2</v>
      </c>
      <c r="P81" s="18">
        <f t="shared" si="11"/>
        <v>0</v>
      </c>
      <c r="Q81" s="1">
        <f t="shared" si="10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0</v>
      </c>
      <c r="J82" s="1">
        <f t="shared" si="6"/>
        <v>0</v>
      </c>
      <c r="K82" s="5">
        <f t="shared" si="7"/>
        <v>0</v>
      </c>
      <c r="L82" s="2">
        <v>2520936.2188384128</v>
      </c>
      <c r="M82" s="2">
        <v>420000</v>
      </c>
      <c r="N82" s="6">
        <f t="shared" si="8"/>
        <v>1</v>
      </c>
      <c r="O82" s="17">
        <f t="shared" si="9"/>
        <v>0.166604770426729</v>
      </c>
      <c r="P82" s="18">
        <f t="shared" si="11"/>
        <v>0</v>
      </c>
      <c r="Q82" s="1">
        <f t="shared" si="10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6"/>
        <v>0</v>
      </c>
      <c r="K83" s="5">
        <f t="shared" si="7"/>
        <v>0</v>
      </c>
      <c r="L83" s="2">
        <v>1065113.5078454011</v>
      </c>
      <c r="M83" s="2">
        <v>0</v>
      </c>
      <c r="N83" s="6">
        <f t="shared" si="8"/>
        <v>0</v>
      </c>
      <c r="O83" s="17">
        <f t="shared" si="9"/>
        <v>0</v>
      </c>
      <c r="P83" s="18">
        <f t="shared" si="11"/>
        <v>0</v>
      </c>
      <c r="Q83" s="1">
        <f t="shared" si="10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0</v>
      </c>
      <c r="J84" s="4">
        <f t="shared" si="6"/>
        <v>0</v>
      </c>
      <c r="K84" s="5">
        <f t="shared" si="7"/>
        <v>0</v>
      </c>
      <c r="L84" s="2">
        <v>8061250.1767072026</v>
      </c>
      <c r="M84" s="2">
        <v>600000</v>
      </c>
      <c r="N84" s="6">
        <f t="shared" si="8"/>
        <v>1</v>
      </c>
      <c r="O84" s="17">
        <f t="shared" si="9"/>
        <v>7.4430142576853181E-2</v>
      </c>
      <c r="P84" s="18">
        <f t="shared" si="11"/>
        <v>6</v>
      </c>
      <c r="Q84" s="1">
        <f t="shared" si="10"/>
        <v>1</v>
      </c>
      <c r="R84" s="18">
        <v>13</v>
      </c>
      <c r="S84" s="18">
        <v>6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0</v>
      </c>
      <c r="J85" s="1">
        <f t="shared" si="6"/>
        <v>0</v>
      </c>
      <c r="K85" s="5">
        <f t="shared" si="7"/>
        <v>0</v>
      </c>
      <c r="L85" s="2">
        <v>7224888.2887193644</v>
      </c>
      <c r="M85" s="2">
        <v>420000</v>
      </c>
      <c r="N85" s="6">
        <f t="shared" si="8"/>
        <v>1</v>
      </c>
      <c r="O85" s="17">
        <f t="shared" si="9"/>
        <v>5.8132386718805086E-2</v>
      </c>
      <c r="P85" s="18">
        <f t="shared" si="11"/>
        <v>0</v>
      </c>
      <c r="Q85" s="1">
        <f t="shared" si="10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1750470.598109382</v>
      </c>
      <c r="M86" s="2">
        <v>0</v>
      </c>
      <c r="N86" s="6">
        <f t="shared" si="8"/>
        <v>0</v>
      </c>
      <c r="O86" s="17">
        <f t="shared" si="9"/>
        <v>0</v>
      </c>
      <c r="P86" s="18">
        <f t="shared" si="11"/>
        <v>0</v>
      </c>
      <c r="Q86" s="1">
        <f t="shared" si="10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6"/>
        <v>0</v>
      </c>
      <c r="K87" s="5">
        <f t="shared" si="7"/>
        <v>0</v>
      </c>
      <c r="L87" s="2">
        <v>5923122.7910998147</v>
      </c>
      <c r="M87" s="2">
        <v>0</v>
      </c>
      <c r="N87" s="6">
        <f t="shared" si="8"/>
        <v>0</v>
      </c>
      <c r="O87" s="17">
        <f t="shared" si="9"/>
        <v>0</v>
      </c>
      <c r="P87" s="18">
        <f t="shared" si="11"/>
        <v>0</v>
      </c>
      <c r="Q87" s="1">
        <f t="shared" si="10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6"/>
        <v>0</v>
      </c>
      <c r="K88" s="5">
        <f t="shared" si="7"/>
        <v>0</v>
      </c>
      <c r="L88" s="2">
        <v>4313242.8667333564</v>
      </c>
      <c r="M88" s="2">
        <v>0</v>
      </c>
      <c r="N88" s="6">
        <f t="shared" si="8"/>
        <v>0</v>
      </c>
      <c r="O88" s="17">
        <f t="shared" si="9"/>
        <v>0</v>
      </c>
      <c r="P88" s="18">
        <f t="shared" si="11"/>
        <v>0</v>
      </c>
      <c r="Q88" s="1">
        <f t="shared" si="10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6"/>
        <v>0</v>
      </c>
      <c r="K89" s="5">
        <f t="shared" si="7"/>
        <v>0</v>
      </c>
      <c r="L89" s="2">
        <v>1474316.7587522869</v>
      </c>
      <c r="M89" s="2">
        <v>0</v>
      </c>
      <c r="N89" s="6">
        <f t="shared" si="8"/>
        <v>0</v>
      </c>
      <c r="O89" s="17">
        <f t="shared" si="9"/>
        <v>0</v>
      </c>
      <c r="P89" s="18">
        <f t="shared" si="11"/>
        <v>0</v>
      </c>
      <c r="Q89" s="1">
        <f t="shared" si="10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20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6"/>
        <v>0</v>
      </c>
      <c r="K90" s="5">
        <f t="shared" si="7"/>
        <v>0</v>
      </c>
      <c r="L90" s="2">
        <v>300000</v>
      </c>
      <c r="M90" s="2">
        <v>0</v>
      </c>
      <c r="N90" s="6">
        <f t="shared" si="8"/>
        <v>0</v>
      </c>
      <c r="O90" s="17">
        <f t="shared" si="9"/>
        <v>0</v>
      </c>
      <c r="P90" s="18">
        <f t="shared" si="11"/>
        <v>0</v>
      </c>
      <c r="Q90" s="1">
        <f t="shared" si="10"/>
        <v>0</v>
      </c>
      <c r="R90" s="18">
        <v>5</v>
      </c>
      <c r="S90" s="18">
        <v>0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6"/>
        <v>0</v>
      </c>
      <c r="K91" s="5">
        <f t="shared" si="7"/>
        <v>0</v>
      </c>
      <c r="L91" s="2">
        <v>4476816.4347790591</v>
      </c>
      <c r="M91" s="2">
        <v>0</v>
      </c>
      <c r="N91" s="6">
        <f t="shared" si="8"/>
        <v>0</v>
      </c>
      <c r="O91" s="17">
        <f t="shared" si="9"/>
        <v>0</v>
      </c>
      <c r="P91" s="18">
        <f t="shared" si="11"/>
        <v>0</v>
      </c>
      <c r="Q91" s="1">
        <f t="shared" si="10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17694204</v>
      </c>
      <c r="B92" s="16" t="s">
        <v>295</v>
      </c>
      <c r="C92" s="16" t="s">
        <v>35</v>
      </c>
      <c r="D92" s="16" t="s">
        <v>440</v>
      </c>
      <c r="E92" s="16" t="s">
        <v>22</v>
      </c>
      <c r="F92" s="16" t="s">
        <v>296</v>
      </c>
      <c r="G92" s="21" t="s">
        <v>441</v>
      </c>
      <c r="H92" s="7">
        <v>6.443879281112264</v>
      </c>
      <c r="I92" s="1">
        <v>0</v>
      </c>
      <c r="J92" s="1">
        <f t="shared" si="6"/>
        <v>0</v>
      </c>
      <c r="K92" s="5">
        <f t="shared" si="7"/>
        <v>0</v>
      </c>
      <c r="L92" s="2">
        <v>12908778</v>
      </c>
      <c r="M92" s="2">
        <v>180000</v>
      </c>
      <c r="N92" s="6">
        <f t="shared" si="8"/>
        <v>0</v>
      </c>
      <c r="O92" s="17">
        <f t="shared" si="9"/>
        <v>1.39439999665344E-2</v>
      </c>
      <c r="P92" s="18">
        <f t="shared" si="11"/>
        <v>0</v>
      </c>
      <c r="Q92" s="1">
        <f t="shared" si="10"/>
        <v>0</v>
      </c>
      <c r="R92" s="18">
        <v>9</v>
      </c>
      <c r="S92" s="18">
        <v>0</v>
      </c>
      <c r="T92" s="18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0</v>
      </c>
      <c r="J93" s="1">
        <f t="shared" si="6"/>
        <v>0</v>
      </c>
      <c r="K93" s="5">
        <f t="shared" si="7"/>
        <v>0</v>
      </c>
      <c r="L93" s="2">
        <v>1233517.793070439</v>
      </c>
      <c r="M93" s="2">
        <v>312000</v>
      </c>
      <c r="N93" s="6">
        <f t="shared" si="8"/>
        <v>1</v>
      </c>
      <c r="O93" s="17">
        <f t="shared" si="9"/>
        <v>0.25293514349993934</v>
      </c>
      <c r="P93" s="18">
        <f t="shared" si="11"/>
        <v>1</v>
      </c>
      <c r="Q93" s="1">
        <f t="shared" si="10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0</v>
      </c>
      <c r="J94" s="4">
        <f t="shared" si="6"/>
        <v>0</v>
      </c>
      <c r="K94" s="5">
        <f t="shared" si="7"/>
        <v>0</v>
      </c>
      <c r="L94" s="2">
        <v>1233517.793070439</v>
      </c>
      <c r="M94" s="2">
        <v>312000</v>
      </c>
      <c r="N94" s="6">
        <f t="shared" si="8"/>
        <v>1</v>
      </c>
      <c r="O94" s="17">
        <f t="shared" si="9"/>
        <v>0.25293514349993934</v>
      </c>
      <c r="P94" s="18">
        <f t="shared" si="11"/>
        <v>0</v>
      </c>
      <c r="Q94" s="1">
        <f t="shared" si="10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0</v>
      </c>
      <c r="J95" s="1">
        <f t="shared" si="6"/>
        <v>0</v>
      </c>
      <c r="K95" s="5">
        <f t="shared" si="7"/>
        <v>0</v>
      </c>
      <c r="L95" s="2">
        <v>1233517.793070439</v>
      </c>
      <c r="M95" s="2">
        <v>552000</v>
      </c>
      <c r="N95" s="6">
        <f t="shared" si="8"/>
        <v>1</v>
      </c>
      <c r="O95" s="17">
        <f t="shared" si="9"/>
        <v>0.44750063849989274</v>
      </c>
      <c r="P95" s="18">
        <f t="shared" si="11"/>
        <v>0</v>
      </c>
      <c r="Q95" s="1">
        <f t="shared" si="10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0</v>
      </c>
      <c r="J96" s="4">
        <f t="shared" si="6"/>
        <v>0</v>
      </c>
      <c r="K96" s="5">
        <f t="shared" si="7"/>
        <v>0</v>
      </c>
      <c r="L96" s="2">
        <v>2549477.9785796599</v>
      </c>
      <c r="M96" s="2">
        <v>358800</v>
      </c>
      <c r="N96" s="6">
        <f t="shared" si="8"/>
        <v>1</v>
      </c>
      <c r="O96" s="17">
        <f t="shared" si="9"/>
        <v>0.14073469275458936</v>
      </c>
      <c r="P96" s="18">
        <f t="shared" si="11"/>
        <v>1</v>
      </c>
      <c r="Q96" s="1">
        <f t="shared" si="10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0</v>
      </c>
      <c r="J97" s="1">
        <f t="shared" si="6"/>
        <v>0</v>
      </c>
      <c r="K97" s="5">
        <f t="shared" si="7"/>
        <v>0</v>
      </c>
      <c r="L97" s="2">
        <v>1233517.793070439</v>
      </c>
      <c r="M97" s="2">
        <v>1573800</v>
      </c>
      <c r="N97" s="6">
        <f t="shared" si="8"/>
        <v>1</v>
      </c>
      <c r="O97" s="17">
        <f t="shared" si="9"/>
        <v>1.2758632334621942</v>
      </c>
      <c r="P97" s="18">
        <f t="shared" si="11"/>
        <v>7</v>
      </c>
      <c r="Q97" s="1">
        <f t="shared" si="10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0</v>
      </c>
      <c r="J98" s="1">
        <f t="shared" si="6"/>
        <v>0</v>
      </c>
      <c r="K98" s="5">
        <f t="shared" si="7"/>
        <v>0</v>
      </c>
      <c r="L98" s="2">
        <v>1233517.793070439</v>
      </c>
      <c r="M98" s="2">
        <v>1267800</v>
      </c>
      <c r="N98" s="6">
        <f t="shared" si="8"/>
        <v>1</v>
      </c>
      <c r="O98" s="17">
        <f t="shared" si="9"/>
        <v>1.0277922273372535</v>
      </c>
      <c r="P98" s="18">
        <f t="shared" si="11"/>
        <v>5</v>
      </c>
      <c r="Q98" s="1">
        <f t="shared" si="10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507409</v>
      </c>
      <c r="B99" s="16" t="s">
        <v>134</v>
      </c>
      <c r="C99" s="16" t="s">
        <v>35</v>
      </c>
      <c r="D99" s="16" t="s">
        <v>442</v>
      </c>
      <c r="E99" s="16" t="s">
        <v>22</v>
      </c>
      <c r="F99" s="16" t="s">
        <v>135</v>
      </c>
      <c r="G99" s="21" t="s">
        <v>441</v>
      </c>
      <c r="H99" s="7">
        <v>7.4832146490335463</v>
      </c>
      <c r="I99" s="1">
        <v>0</v>
      </c>
      <c r="J99" s="1">
        <f t="shared" si="6"/>
        <v>0</v>
      </c>
      <c r="K99" s="5">
        <f t="shared" si="7"/>
        <v>0</v>
      </c>
      <c r="L99" s="2">
        <v>1233517.793070439</v>
      </c>
      <c r="M99" s="2">
        <v>1668000</v>
      </c>
      <c r="N99" s="6">
        <f t="shared" si="8"/>
        <v>1</v>
      </c>
      <c r="O99" s="17">
        <f t="shared" si="9"/>
        <v>1.3522301902496758</v>
      </c>
      <c r="P99" s="18">
        <f t="shared" si="11"/>
        <v>2</v>
      </c>
      <c r="Q99" s="1">
        <f t="shared" si="10"/>
        <v>0</v>
      </c>
      <c r="R99" s="18">
        <v>10</v>
      </c>
      <c r="S99" s="18">
        <v>2</v>
      </c>
      <c r="T99" s="18">
        <v>0</v>
      </c>
      <c r="U99" s="3">
        <v>0</v>
      </c>
      <c r="V99" s="3">
        <v>1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1069320</v>
      </c>
      <c r="B100" s="16" t="s">
        <v>292</v>
      </c>
      <c r="C100" s="16" t="s">
        <v>35</v>
      </c>
      <c r="D100" s="16" t="s">
        <v>440</v>
      </c>
      <c r="E100" s="16" t="s">
        <v>22</v>
      </c>
      <c r="F100" s="16" t="s">
        <v>135</v>
      </c>
      <c r="G100" s="21" t="s">
        <v>441</v>
      </c>
      <c r="H100" s="7">
        <v>5</v>
      </c>
      <c r="I100" s="1">
        <v>1</v>
      </c>
      <c r="J100" s="4">
        <f t="shared" si="6"/>
        <v>0</v>
      </c>
      <c r="K100" s="5">
        <f t="shared" si="7"/>
        <v>0.2</v>
      </c>
      <c r="L100" s="2">
        <v>3959230.4169087922</v>
      </c>
      <c r="M100" s="2">
        <v>1140000</v>
      </c>
      <c r="N100" s="6">
        <f t="shared" si="8"/>
        <v>1</v>
      </c>
      <c r="O100" s="17">
        <f t="shared" si="9"/>
        <v>0.28793474487652226</v>
      </c>
      <c r="P100" s="18">
        <f t="shared" si="11"/>
        <v>1</v>
      </c>
      <c r="Q100" s="1">
        <f t="shared" si="10"/>
        <v>0</v>
      </c>
      <c r="R100" s="18">
        <v>7</v>
      </c>
      <c r="S100" s="18">
        <v>1</v>
      </c>
      <c r="T100" s="18">
        <v>0</v>
      </c>
      <c r="U100" s="3">
        <v>0</v>
      </c>
      <c r="V100" s="3">
        <v>1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17667163</v>
      </c>
      <c r="B101" s="16" t="s">
        <v>305</v>
      </c>
      <c r="C101" s="16" t="s">
        <v>35</v>
      </c>
      <c r="D101" s="16" t="s">
        <v>440</v>
      </c>
      <c r="E101" s="16" t="s">
        <v>22</v>
      </c>
      <c r="F101" s="16" t="s">
        <v>135</v>
      </c>
      <c r="G101" s="21" t="s">
        <v>441</v>
      </c>
      <c r="H101" s="7">
        <v>7.8989487962020979</v>
      </c>
      <c r="I101" s="1">
        <v>0</v>
      </c>
      <c r="J101" s="1">
        <f t="shared" si="6"/>
        <v>0</v>
      </c>
      <c r="K101" s="5">
        <f t="shared" si="7"/>
        <v>0</v>
      </c>
      <c r="L101" s="2">
        <v>4815583.6188523257</v>
      </c>
      <c r="M101" s="2">
        <v>168000</v>
      </c>
      <c r="N101" s="6">
        <f t="shared" si="8"/>
        <v>0</v>
      </c>
      <c r="O101" s="17">
        <f t="shared" si="9"/>
        <v>3.488673716355041E-2</v>
      </c>
      <c r="P101" s="18">
        <f t="shared" si="11"/>
        <v>0</v>
      </c>
      <c r="Q101" s="1">
        <f t="shared" si="10"/>
        <v>0</v>
      </c>
      <c r="R101" s="18">
        <v>10</v>
      </c>
      <c r="S101" s="18">
        <v>0</v>
      </c>
      <c r="T101" s="18">
        <v>0</v>
      </c>
      <c r="U101" s="3">
        <v>0</v>
      </c>
      <c r="V101" s="3">
        <v>1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17694192</v>
      </c>
      <c r="B102" s="16" t="s">
        <v>333</v>
      </c>
      <c r="C102" s="16" t="s">
        <v>35</v>
      </c>
      <c r="D102" s="16" t="s">
        <v>442</v>
      </c>
      <c r="E102" s="16" t="s">
        <v>22</v>
      </c>
      <c r="F102" s="16" t="s">
        <v>135</v>
      </c>
      <c r="G102" s="21" t="s">
        <v>441</v>
      </c>
      <c r="H102" s="7">
        <v>7.0674805018650426</v>
      </c>
      <c r="I102" s="1">
        <v>0</v>
      </c>
      <c r="J102" s="4">
        <f t="shared" si="6"/>
        <v>0</v>
      </c>
      <c r="K102" s="5">
        <f t="shared" si="7"/>
        <v>0</v>
      </c>
      <c r="L102" s="2">
        <v>1233517.793070439</v>
      </c>
      <c r="M102" s="2">
        <v>1168000</v>
      </c>
      <c r="N102" s="6">
        <f t="shared" si="8"/>
        <v>1</v>
      </c>
      <c r="O102" s="17">
        <f t="shared" si="9"/>
        <v>0.94688540899977303</v>
      </c>
      <c r="P102" s="18">
        <f t="shared" si="11"/>
        <v>1</v>
      </c>
      <c r="Q102" s="1">
        <f t="shared" si="10"/>
        <v>0</v>
      </c>
      <c r="R102" s="18">
        <v>10</v>
      </c>
      <c r="S102" s="18">
        <v>1</v>
      </c>
      <c r="T102" s="18">
        <v>0</v>
      </c>
      <c r="U102" s="3">
        <v>0</v>
      </c>
      <c r="V102" s="3">
        <v>1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17634262</v>
      </c>
      <c r="B103" s="16" t="s">
        <v>355</v>
      </c>
      <c r="C103" s="16" t="s">
        <v>35</v>
      </c>
      <c r="D103" s="16" t="s">
        <v>442</v>
      </c>
      <c r="E103" s="16" t="s">
        <v>26</v>
      </c>
      <c r="F103" s="16" t="s">
        <v>135</v>
      </c>
      <c r="G103" s="21" t="s">
        <v>441</v>
      </c>
      <c r="H103" s="7">
        <v>5.4045439131909321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336000</v>
      </c>
      <c r="N103" s="6">
        <f t="shared" si="8"/>
        <v>1</v>
      </c>
      <c r="O103" s="17">
        <f t="shared" si="9"/>
        <v>0.27239169299993471</v>
      </c>
      <c r="P103" s="18">
        <f t="shared" si="11"/>
        <v>5</v>
      </c>
      <c r="Q103" s="1">
        <f t="shared" si="10"/>
        <v>1</v>
      </c>
      <c r="R103" s="18">
        <v>8</v>
      </c>
      <c r="S103" s="18">
        <v>5</v>
      </c>
      <c r="T103" s="18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0</v>
      </c>
      <c r="J104" s="1">
        <f t="shared" si="6"/>
        <v>0</v>
      </c>
      <c r="K104" s="5">
        <f t="shared" si="7"/>
        <v>0</v>
      </c>
      <c r="L104" s="2">
        <v>1233517.793070439</v>
      </c>
      <c r="M104" s="2">
        <v>52800</v>
      </c>
      <c r="N104" s="6">
        <f t="shared" si="8"/>
        <v>0</v>
      </c>
      <c r="O104" s="17">
        <f t="shared" si="9"/>
        <v>4.2804408899989738E-2</v>
      </c>
      <c r="P104" s="18">
        <f t="shared" si="11"/>
        <v>0</v>
      </c>
      <c r="Q104" s="1">
        <f t="shared" si="10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0</v>
      </c>
      <c r="J105" s="1">
        <f t="shared" si="6"/>
        <v>0</v>
      </c>
      <c r="K105" s="5">
        <f t="shared" si="7"/>
        <v>0</v>
      </c>
      <c r="L105" s="2">
        <v>1233517.793070439</v>
      </c>
      <c r="M105" s="2">
        <v>52800</v>
      </c>
      <c r="N105" s="6">
        <f t="shared" si="8"/>
        <v>0</v>
      </c>
      <c r="O105" s="17">
        <f t="shared" si="9"/>
        <v>4.2804408899989738E-2</v>
      </c>
      <c r="P105" s="18">
        <f t="shared" si="11"/>
        <v>0</v>
      </c>
      <c r="Q105" s="1">
        <f t="shared" si="10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0</v>
      </c>
      <c r="J106" s="1">
        <f t="shared" si="6"/>
        <v>0</v>
      </c>
      <c r="K106" s="5">
        <f t="shared" si="7"/>
        <v>0</v>
      </c>
      <c r="L106" s="2">
        <v>22463880</v>
      </c>
      <c r="M106" s="2">
        <v>52800</v>
      </c>
      <c r="N106" s="6">
        <f t="shared" si="8"/>
        <v>0</v>
      </c>
      <c r="O106" s="17">
        <f t="shared" si="9"/>
        <v>2.3504399061960802E-3</v>
      </c>
      <c r="P106" s="18">
        <f t="shared" si="11"/>
        <v>0</v>
      </c>
      <c r="Q106" s="1">
        <f t="shared" si="10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6"/>
        <v>1</v>
      </c>
      <c r="K107" s="5">
        <f t="shared" si="7"/>
        <v>0.57729200652528434</v>
      </c>
      <c r="L107" s="2">
        <v>1233517.793070439</v>
      </c>
      <c r="M107" s="2">
        <v>547200</v>
      </c>
      <c r="N107" s="6">
        <f t="shared" si="8"/>
        <v>1</v>
      </c>
      <c r="O107" s="17">
        <f t="shared" si="9"/>
        <v>0.44360932859989366</v>
      </c>
      <c r="P107" s="18">
        <f t="shared" si="11"/>
        <v>0</v>
      </c>
      <c r="Q107" s="1">
        <f t="shared" si="10"/>
        <v>0</v>
      </c>
      <c r="R107" s="18">
        <v>8</v>
      </c>
      <c r="S107" s="18">
        <v>0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6"/>
        <v>1</v>
      </c>
      <c r="K108" s="5">
        <f t="shared" si="7"/>
        <v>0.13488130993581426</v>
      </c>
      <c r="L108" s="2">
        <v>1233517.793070439</v>
      </c>
      <c r="M108" s="2">
        <v>414000</v>
      </c>
      <c r="N108" s="6">
        <f t="shared" si="8"/>
        <v>1</v>
      </c>
      <c r="O108" s="17">
        <f t="shared" si="9"/>
        <v>0.33562547887491956</v>
      </c>
      <c r="P108" s="18">
        <f t="shared" si="11"/>
        <v>0</v>
      </c>
      <c r="Q108" s="1">
        <f t="shared" si="10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6"/>
        <v>1</v>
      </c>
      <c r="K109" s="5">
        <f t="shared" si="7"/>
        <v>0.51543929154043422</v>
      </c>
      <c r="L109" s="2">
        <v>1233517.793070439</v>
      </c>
      <c r="M109" s="2">
        <v>414000</v>
      </c>
      <c r="N109" s="6">
        <f t="shared" si="8"/>
        <v>1</v>
      </c>
      <c r="O109" s="17">
        <f t="shared" si="9"/>
        <v>0.33562547887491956</v>
      </c>
      <c r="P109" s="18">
        <f t="shared" si="11"/>
        <v>0</v>
      </c>
      <c r="Q109" s="1">
        <f t="shared" si="10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6"/>
        <v>1</v>
      </c>
      <c r="K110" s="5">
        <f t="shared" si="7"/>
        <v>0.60134584013050585</v>
      </c>
      <c r="L110" s="2">
        <v>1233517.793070439</v>
      </c>
      <c r="M110" s="2">
        <v>1629000</v>
      </c>
      <c r="N110" s="6">
        <f t="shared" si="8"/>
        <v>1</v>
      </c>
      <c r="O110" s="17">
        <f t="shared" si="9"/>
        <v>1.3206132973121834</v>
      </c>
      <c r="P110" s="18">
        <f t="shared" si="11"/>
        <v>5</v>
      </c>
      <c r="Q110" s="1">
        <f t="shared" si="10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 t="s">
        <v>431</v>
      </c>
      <c r="B111" s="16" t="s">
        <v>447</v>
      </c>
      <c r="C111" s="16" t="s">
        <v>35</v>
      </c>
      <c r="D111" s="16" t="s">
        <v>440</v>
      </c>
      <c r="E111" s="16" t="s">
        <v>22</v>
      </c>
      <c r="F111" s="16" t="s">
        <v>105</v>
      </c>
      <c r="G111" s="21" t="s">
        <v>441</v>
      </c>
      <c r="H111" s="7">
        <v>5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7">
        <f t="shared" si="9"/>
        <v>0</v>
      </c>
      <c r="P111" s="18">
        <f t="shared" si="11"/>
        <v>0</v>
      </c>
      <c r="Q111" s="1">
        <f t="shared" si="10"/>
        <v>0</v>
      </c>
      <c r="R111" s="18">
        <v>7</v>
      </c>
      <c r="S111" s="18">
        <v>0</v>
      </c>
      <c r="T111" s="18">
        <v>0</v>
      </c>
      <c r="U111" s="3">
        <v>0</v>
      </c>
      <c r="V111" s="3">
        <v>0</v>
      </c>
      <c r="W111" s="3">
        <v>0</v>
      </c>
      <c r="X111" s="3">
        <v>0</v>
      </c>
      <c r="Y111" s="3">
        <v>1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0</v>
      </c>
      <c r="J112" s="4">
        <f t="shared" si="6"/>
        <v>0</v>
      </c>
      <c r="K112" s="5">
        <f t="shared" si="7"/>
        <v>0</v>
      </c>
      <c r="L112" s="2">
        <v>2825491.6161999619</v>
      </c>
      <c r="M112" s="2">
        <v>666000</v>
      </c>
      <c r="N112" s="6">
        <f t="shared" si="8"/>
        <v>1</v>
      </c>
      <c r="O112" s="17">
        <f t="shared" si="9"/>
        <v>0.23571119311821265</v>
      </c>
      <c r="P112" s="18">
        <f t="shared" si="11"/>
        <v>0</v>
      </c>
      <c r="Q112" s="1">
        <f t="shared" si="10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6"/>
        <v>1</v>
      </c>
      <c r="K113" s="5">
        <f t="shared" si="7"/>
        <v>0.96215334420880883</v>
      </c>
      <c r="L113" s="2">
        <v>3274995.9767890298</v>
      </c>
      <c r="M113" s="2">
        <v>1834400</v>
      </c>
      <c r="N113" s="6">
        <f t="shared" si="8"/>
        <v>1</v>
      </c>
      <c r="O113" s="17">
        <f t="shared" si="9"/>
        <v>0.56012282549383086</v>
      </c>
      <c r="P113" s="18">
        <f t="shared" si="11"/>
        <v>0</v>
      </c>
      <c r="Q113" s="1">
        <f t="shared" si="10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6"/>
        <v>1</v>
      </c>
      <c r="K114" s="5">
        <f t="shared" si="7"/>
        <v>0.6</v>
      </c>
      <c r="L114" s="2">
        <v>22463880</v>
      </c>
      <c r="M114" s="2">
        <v>1911600</v>
      </c>
      <c r="N114" s="6">
        <f t="shared" si="8"/>
        <v>1</v>
      </c>
      <c r="O114" s="17">
        <f t="shared" si="9"/>
        <v>8.5096608422053535E-2</v>
      </c>
      <c r="P114" s="18">
        <f t="shared" si="11"/>
        <v>0</v>
      </c>
      <c r="Q114" s="1">
        <f t="shared" si="10"/>
        <v>0</v>
      </c>
      <c r="R114" s="18">
        <v>7</v>
      </c>
      <c r="S114" s="18">
        <v>0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1483993</v>
      </c>
      <c r="B115" s="16" t="s">
        <v>258</v>
      </c>
      <c r="C115" s="16" t="s">
        <v>35</v>
      </c>
      <c r="D115" s="16" t="s">
        <v>440</v>
      </c>
      <c r="E115" s="16" t="s">
        <v>22</v>
      </c>
      <c r="F115" s="16" t="s">
        <v>105</v>
      </c>
      <c r="G115" s="21" t="s">
        <v>441</v>
      </c>
      <c r="H115" s="7">
        <v>29</v>
      </c>
      <c r="I115" s="1">
        <v>3</v>
      </c>
      <c r="J115" s="1">
        <f t="shared" si="6"/>
        <v>1</v>
      </c>
      <c r="K115" s="5">
        <f t="shared" si="7"/>
        <v>0.10344827586206896</v>
      </c>
      <c r="L115" s="2">
        <v>3282105.2299947948</v>
      </c>
      <c r="M115" s="2">
        <v>1330000</v>
      </c>
      <c r="N115" s="6">
        <f t="shared" si="8"/>
        <v>1</v>
      </c>
      <c r="O115" s="17">
        <f t="shared" si="9"/>
        <v>0.40522771416506631</v>
      </c>
      <c r="P115" s="18">
        <f t="shared" si="11"/>
        <v>3</v>
      </c>
      <c r="Q115" s="1">
        <f t="shared" si="10"/>
        <v>1</v>
      </c>
      <c r="R115" s="18">
        <v>21</v>
      </c>
      <c r="S115" s="18">
        <v>3</v>
      </c>
      <c r="T115" s="18">
        <v>0</v>
      </c>
      <c r="U115" s="3">
        <v>1</v>
      </c>
      <c r="V115" s="3">
        <v>0</v>
      </c>
      <c r="W115" s="3">
        <v>0</v>
      </c>
      <c r="X115" s="3">
        <v>0</v>
      </c>
      <c r="Y115" s="3">
        <v>0</v>
      </c>
      <c r="Z115" s="3">
        <v>1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6"/>
        <v>1</v>
      </c>
      <c r="K116" s="5">
        <f t="shared" si="7"/>
        <v>1</v>
      </c>
      <c r="L116" s="2">
        <v>1233517.793070439</v>
      </c>
      <c r="M116" s="2">
        <v>1769200</v>
      </c>
      <c r="N116" s="6">
        <f t="shared" si="8"/>
        <v>1</v>
      </c>
      <c r="O116" s="17">
        <f t="shared" si="9"/>
        <v>1.4342719739746561</v>
      </c>
      <c r="P116" s="18">
        <f t="shared" si="11"/>
        <v>0</v>
      </c>
      <c r="Q116" s="1">
        <f t="shared" si="10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1</v>
      </c>
      <c r="J117" s="4">
        <f t="shared" si="6"/>
        <v>0</v>
      </c>
      <c r="K117" s="5">
        <f t="shared" si="7"/>
        <v>3.3333333333333333E-2</v>
      </c>
      <c r="L117" s="2">
        <v>25626053.564346101</v>
      </c>
      <c r="M117" s="2">
        <v>740000</v>
      </c>
      <c r="N117" s="6">
        <f t="shared" si="8"/>
        <v>1</v>
      </c>
      <c r="O117" s="17">
        <f t="shared" si="9"/>
        <v>2.8876861516810872E-2</v>
      </c>
      <c r="P117" s="18">
        <f t="shared" si="11"/>
        <v>1</v>
      </c>
      <c r="Q117" s="1">
        <f t="shared" si="10"/>
        <v>0</v>
      </c>
      <c r="R117" s="18">
        <v>23</v>
      </c>
      <c r="S117" s="18">
        <v>1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6"/>
        <v>1</v>
      </c>
      <c r="K118" s="5">
        <f t="shared" si="7"/>
        <v>1.0308785830808664</v>
      </c>
      <c r="L118" s="2">
        <v>29626053.564346101</v>
      </c>
      <c r="M118" s="2">
        <v>1045200</v>
      </c>
      <c r="N118" s="6">
        <f t="shared" si="8"/>
        <v>1</v>
      </c>
      <c r="O118" s="17">
        <f t="shared" si="9"/>
        <v>3.5279757991724586E-2</v>
      </c>
      <c r="P118" s="18">
        <f t="shared" si="11"/>
        <v>0</v>
      </c>
      <c r="Q118" s="1">
        <f t="shared" si="10"/>
        <v>0</v>
      </c>
      <c r="R118" s="18">
        <v>5</v>
      </c>
      <c r="S118" s="18">
        <v>0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3</v>
      </c>
      <c r="J119" s="4">
        <f t="shared" si="6"/>
        <v>1</v>
      </c>
      <c r="K119" s="5">
        <f t="shared" si="7"/>
        <v>1</v>
      </c>
      <c r="L119" s="2">
        <v>2649506.4184221751</v>
      </c>
      <c r="M119" s="2">
        <v>414000</v>
      </c>
      <c r="N119" s="6">
        <f t="shared" si="8"/>
        <v>1</v>
      </c>
      <c r="O119" s="17">
        <f t="shared" si="9"/>
        <v>0.1562555188096294</v>
      </c>
      <c r="P119" s="18">
        <f t="shared" si="11"/>
        <v>0</v>
      </c>
      <c r="Q119" s="1">
        <f t="shared" si="10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0</v>
      </c>
      <c r="J120" s="1">
        <f t="shared" si="6"/>
        <v>0</v>
      </c>
      <c r="K120" s="5">
        <f t="shared" si="7"/>
        <v>0</v>
      </c>
      <c r="L120" s="2">
        <v>19880654</v>
      </c>
      <c r="M120" s="2">
        <v>576000</v>
      </c>
      <c r="N120" s="6">
        <f t="shared" si="8"/>
        <v>1</v>
      </c>
      <c r="O120" s="17">
        <f t="shared" si="9"/>
        <v>2.8972889926055751E-2</v>
      </c>
      <c r="P120" s="18">
        <f t="shared" si="11"/>
        <v>0</v>
      </c>
      <c r="Q120" s="1">
        <f t="shared" si="10"/>
        <v>0</v>
      </c>
      <c r="R120" s="18">
        <v>7</v>
      </c>
      <c r="S120" s="18">
        <v>0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6"/>
        <v>1</v>
      </c>
      <c r="K121" s="5">
        <f t="shared" si="7"/>
        <v>0.16216067599024847</v>
      </c>
      <c r="L121" s="2">
        <v>22463880</v>
      </c>
      <c r="M121" s="2">
        <v>948800</v>
      </c>
      <c r="N121" s="6">
        <f t="shared" si="8"/>
        <v>1</v>
      </c>
      <c r="O121" s="17">
        <f t="shared" si="9"/>
        <v>4.2236692859826529E-2</v>
      </c>
      <c r="P121" s="18">
        <f t="shared" si="11"/>
        <v>0</v>
      </c>
      <c r="Q121" s="1">
        <f t="shared" si="10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0</v>
      </c>
      <c r="J122" s="4">
        <f t="shared" si="6"/>
        <v>0</v>
      </c>
      <c r="K122" s="5">
        <f t="shared" si="7"/>
        <v>0</v>
      </c>
      <c r="L122" s="2">
        <v>1233517.793070439</v>
      </c>
      <c r="M122" s="2">
        <v>792000</v>
      </c>
      <c r="N122" s="6">
        <f t="shared" si="8"/>
        <v>1</v>
      </c>
      <c r="O122" s="17">
        <f t="shared" si="9"/>
        <v>0.64206613349984609</v>
      </c>
      <c r="P122" s="18">
        <f t="shared" si="11"/>
        <v>0</v>
      </c>
      <c r="Q122" s="1">
        <f t="shared" si="10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6"/>
        <v>1</v>
      </c>
      <c r="K123" s="5">
        <f t="shared" si="7"/>
        <v>1</v>
      </c>
      <c r="L123" s="2">
        <v>4382792.2394838315</v>
      </c>
      <c r="M123" s="2">
        <v>598800</v>
      </c>
      <c r="N123" s="6">
        <f t="shared" si="8"/>
        <v>1</v>
      </c>
      <c r="O123" s="17">
        <f t="shared" si="9"/>
        <v>0.1366252305107033</v>
      </c>
      <c r="P123" s="18">
        <f t="shared" si="11"/>
        <v>0</v>
      </c>
      <c r="Q123" s="1">
        <f t="shared" si="10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6"/>
        <v>0</v>
      </c>
      <c r="K124" s="5">
        <f t="shared" si="7"/>
        <v>0</v>
      </c>
      <c r="L124" s="2">
        <v>2549477.9785796599</v>
      </c>
      <c r="M124" s="2">
        <v>0</v>
      </c>
      <c r="N124" s="6">
        <f t="shared" si="8"/>
        <v>0</v>
      </c>
      <c r="O124" s="17">
        <f t="shared" si="9"/>
        <v>0</v>
      </c>
      <c r="P124" s="18">
        <f t="shared" si="11"/>
        <v>0</v>
      </c>
      <c r="Q124" s="1">
        <f t="shared" si="10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0</v>
      </c>
      <c r="J125" s="4">
        <f t="shared" si="6"/>
        <v>0</v>
      </c>
      <c r="K125" s="5">
        <f t="shared" si="7"/>
        <v>0</v>
      </c>
      <c r="L125" s="2">
        <v>1233517.793070439</v>
      </c>
      <c r="M125" s="2">
        <v>570000</v>
      </c>
      <c r="N125" s="6">
        <f t="shared" si="8"/>
        <v>1</v>
      </c>
      <c r="O125" s="17">
        <f t="shared" si="9"/>
        <v>0.4620930506248892</v>
      </c>
      <c r="P125" s="18">
        <f t="shared" si="11"/>
        <v>0</v>
      </c>
      <c r="Q125" s="1">
        <f t="shared" si="10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 t="s">
        <v>432</v>
      </c>
      <c r="B126" s="16" t="s">
        <v>435</v>
      </c>
      <c r="C126" s="16" t="s">
        <v>35</v>
      </c>
      <c r="D126" s="16" t="s">
        <v>440</v>
      </c>
      <c r="E126" s="16" t="s">
        <v>22</v>
      </c>
      <c r="F126" s="19" t="s">
        <v>225</v>
      </c>
      <c r="G126" s="21" t="s">
        <v>441</v>
      </c>
      <c r="H126" s="7">
        <v>6.0281451339437124</v>
      </c>
      <c r="I126" s="1">
        <v>0</v>
      </c>
      <c r="J126" s="4">
        <f t="shared" si="6"/>
        <v>0</v>
      </c>
      <c r="K126" s="5">
        <f t="shared" si="7"/>
        <v>0</v>
      </c>
      <c r="L126" s="2">
        <v>2549477.9785796599</v>
      </c>
      <c r="M126" s="2">
        <v>0</v>
      </c>
      <c r="N126" s="6">
        <f t="shared" si="8"/>
        <v>0</v>
      </c>
      <c r="O126" s="17">
        <f t="shared" si="9"/>
        <v>0</v>
      </c>
      <c r="P126" s="18">
        <f t="shared" si="11"/>
        <v>0</v>
      </c>
      <c r="Q126" s="1">
        <f t="shared" si="10"/>
        <v>0</v>
      </c>
      <c r="R126" s="18">
        <v>9</v>
      </c>
      <c r="S126" s="18">
        <v>0</v>
      </c>
      <c r="T126" s="18">
        <v>0</v>
      </c>
      <c r="U126" s="3">
        <v>0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0</v>
      </c>
      <c r="J127" s="1">
        <f t="shared" si="6"/>
        <v>0</v>
      </c>
      <c r="K127" s="5">
        <f t="shared" si="7"/>
        <v>0</v>
      </c>
      <c r="L127" s="2">
        <v>6018419.3717715694</v>
      </c>
      <c r="M127" s="2">
        <v>1174000</v>
      </c>
      <c r="N127" s="6">
        <f t="shared" si="8"/>
        <v>1</v>
      </c>
      <c r="O127" s="17">
        <f t="shared" si="9"/>
        <v>0.1950678288566029</v>
      </c>
      <c r="P127" s="18">
        <f t="shared" si="11"/>
        <v>0</v>
      </c>
      <c r="Q127" s="1">
        <f t="shared" si="10"/>
        <v>0</v>
      </c>
      <c r="R127" s="18">
        <v>5</v>
      </c>
      <c r="S127" s="18">
        <v>0</v>
      </c>
      <c r="T127" s="18">
        <v>0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0</v>
      </c>
      <c r="J128" s="4">
        <f t="shared" si="6"/>
        <v>0</v>
      </c>
      <c r="K128" s="5">
        <f t="shared" si="7"/>
        <v>0</v>
      </c>
      <c r="L128" s="2">
        <v>2549477.9785796599</v>
      </c>
      <c r="M128" s="2">
        <v>364800</v>
      </c>
      <c r="N128" s="6">
        <f t="shared" si="8"/>
        <v>1</v>
      </c>
      <c r="O128" s="17">
        <f t="shared" si="9"/>
        <v>0.14308811571035174</v>
      </c>
      <c r="P128" s="18">
        <f t="shared" si="11"/>
        <v>0</v>
      </c>
      <c r="Q128" s="1">
        <f t="shared" si="10"/>
        <v>0</v>
      </c>
      <c r="R128" s="18">
        <v>7</v>
      </c>
      <c r="S128" s="18">
        <v>0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6"/>
        <v>0</v>
      </c>
      <c r="K129" s="5">
        <f t="shared" si="7"/>
        <v>0</v>
      </c>
      <c r="L129" s="2">
        <v>1233517.793070439</v>
      </c>
      <c r="M129" s="2">
        <v>312000</v>
      </c>
      <c r="N129" s="6">
        <f t="shared" si="8"/>
        <v>1</v>
      </c>
      <c r="O129" s="17">
        <f t="shared" si="9"/>
        <v>0.25293514349993934</v>
      </c>
      <c r="P129" s="18">
        <f t="shared" si="11"/>
        <v>0</v>
      </c>
      <c r="Q129" s="1">
        <f t="shared" si="10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0</v>
      </c>
      <c r="J130" s="1">
        <f t="shared" si="6"/>
        <v>0</v>
      </c>
      <c r="K130" s="5">
        <f t="shared" si="7"/>
        <v>0</v>
      </c>
      <c r="L130" s="2">
        <v>12908778</v>
      </c>
      <c r="M130" s="2">
        <v>605600</v>
      </c>
      <c r="N130" s="6">
        <f t="shared" si="8"/>
        <v>1</v>
      </c>
      <c r="O130" s="17">
        <f t="shared" si="9"/>
        <v>4.6913813220740182E-2</v>
      </c>
      <c r="P130" s="18">
        <f t="shared" si="11"/>
        <v>0</v>
      </c>
      <c r="Q130" s="1">
        <f t="shared" si="10"/>
        <v>0</v>
      </c>
      <c r="R130" s="18">
        <v>5</v>
      </c>
      <c r="S130" s="18">
        <v>0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6"/>
        <v>0</v>
      </c>
      <c r="K131" s="5">
        <f t="shared" si="7"/>
        <v>0</v>
      </c>
      <c r="L131" s="2">
        <v>6018419.3717715694</v>
      </c>
      <c r="M131" s="2">
        <v>52800</v>
      </c>
      <c r="N131" s="6">
        <f t="shared" si="8"/>
        <v>0</v>
      </c>
      <c r="O131" s="17">
        <f t="shared" si="9"/>
        <v>8.7730676010465362E-3</v>
      </c>
      <c r="P131" s="18">
        <f t="shared" si="11"/>
        <v>0</v>
      </c>
      <c r="Q131" s="1">
        <f t="shared" si="10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0</v>
      </c>
      <c r="J132" s="1">
        <f t="shared" si="6"/>
        <v>0</v>
      </c>
      <c r="K132" s="5">
        <f t="shared" si="7"/>
        <v>0</v>
      </c>
      <c r="L132" s="2">
        <v>1233517.793070439</v>
      </c>
      <c r="M132" s="2">
        <v>306000</v>
      </c>
      <c r="N132" s="6">
        <f t="shared" si="8"/>
        <v>1</v>
      </c>
      <c r="O132" s="17">
        <f t="shared" si="9"/>
        <v>0.24807100612494054</v>
      </c>
      <c r="P132" s="18">
        <f t="shared" si="11"/>
        <v>0</v>
      </c>
      <c r="Q132" s="1">
        <f t="shared" si="10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0</v>
      </c>
      <c r="J133" s="4">
        <f t="shared" si="6"/>
        <v>0</v>
      </c>
      <c r="K133" s="5">
        <f t="shared" si="7"/>
        <v>0</v>
      </c>
      <c r="L133" s="2">
        <v>2549477.9785796599</v>
      </c>
      <c r="M133" s="2">
        <v>52800</v>
      </c>
      <c r="N133" s="6">
        <f t="shared" si="8"/>
        <v>0</v>
      </c>
      <c r="O133" s="17">
        <f t="shared" si="9"/>
        <v>2.0710122010708803E-2</v>
      </c>
      <c r="P133" s="18">
        <f t="shared" si="11"/>
        <v>0</v>
      </c>
      <c r="Q133" s="1">
        <f t="shared" si="10"/>
        <v>0</v>
      </c>
      <c r="R133" s="18">
        <v>10</v>
      </c>
      <c r="S133" s="18">
        <v>0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ref="J134:J197" si="12">IF(I134&gt;=3,1,0)</f>
        <v>0</v>
      </c>
      <c r="K134" s="5">
        <f t="shared" ref="K134:K197" si="13">I134/H134</f>
        <v>0</v>
      </c>
      <c r="L134" s="2">
        <v>29626053.564346101</v>
      </c>
      <c r="M134" s="2">
        <v>0</v>
      </c>
      <c r="N134" s="6">
        <f t="shared" ref="N134:N197" si="14">IF(M134&gt;=300000,1,0)</f>
        <v>0</v>
      </c>
      <c r="O134" s="17">
        <f t="shared" ref="O134:O197" si="15">M134/L134</f>
        <v>0</v>
      </c>
      <c r="P134" s="18">
        <f t="shared" si="11"/>
        <v>0</v>
      </c>
      <c r="Q134" s="1">
        <f t="shared" ref="Q134:Q197" si="16">IF(P134&gt;=3,1,0)</f>
        <v>0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2"/>
        <v>0</v>
      </c>
      <c r="K135" s="5">
        <f t="shared" si="13"/>
        <v>0</v>
      </c>
      <c r="L135" s="2">
        <v>3197916.7051896802</v>
      </c>
      <c r="M135" s="2">
        <v>0</v>
      </c>
      <c r="N135" s="6">
        <f t="shared" si="14"/>
        <v>0</v>
      </c>
      <c r="O135" s="17">
        <f t="shared" si="15"/>
        <v>0</v>
      </c>
      <c r="P135" s="18">
        <f t="shared" ref="P135:P198" si="17">S135</f>
        <v>0</v>
      </c>
      <c r="Q135" s="1">
        <f t="shared" si="16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2"/>
        <v>0</v>
      </c>
      <c r="K136" s="5">
        <f t="shared" si="13"/>
        <v>0</v>
      </c>
      <c r="L136" s="2">
        <v>22463880</v>
      </c>
      <c r="M136" s="2">
        <v>0</v>
      </c>
      <c r="N136" s="6">
        <f t="shared" si="14"/>
        <v>0</v>
      </c>
      <c r="O136" s="17">
        <f t="shared" si="15"/>
        <v>0</v>
      </c>
      <c r="P136" s="18">
        <f t="shared" si="17"/>
        <v>0</v>
      </c>
      <c r="Q136" s="1">
        <f t="shared" si="16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1335665</v>
      </c>
      <c r="B137" s="16" t="s">
        <v>163</v>
      </c>
      <c r="C137" s="16" t="s">
        <v>35</v>
      </c>
      <c r="D137" s="16" t="s">
        <v>440</v>
      </c>
      <c r="E137" s="16" t="s">
        <v>22</v>
      </c>
      <c r="F137" s="16" t="s">
        <v>60</v>
      </c>
      <c r="G137" s="21" t="s">
        <v>441</v>
      </c>
      <c r="H137" s="7">
        <v>22.449643947100689</v>
      </c>
      <c r="I137" s="1">
        <v>3</v>
      </c>
      <c r="J137" s="1">
        <f t="shared" si="12"/>
        <v>1</v>
      </c>
      <c r="K137" s="5">
        <f t="shared" si="13"/>
        <v>0.1336324089178903</v>
      </c>
      <c r="L137" s="2">
        <v>22463880</v>
      </c>
      <c r="M137" s="2">
        <v>1090000</v>
      </c>
      <c r="N137" s="6">
        <f t="shared" si="14"/>
        <v>1</v>
      </c>
      <c r="O137" s="17">
        <f t="shared" si="15"/>
        <v>4.8522338972608471E-2</v>
      </c>
      <c r="P137" s="18">
        <f t="shared" si="17"/>
        <v>0</v>
      </c>
      <c r="Q137" s="1">
        <f t="shared" si="16"/>
        <v>0</v>
      </c>
      <c r="R137" s="18">
        <v>14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6">
        <v>17519344</v>
      </c>
      <c r="B138" s="16" t="s">
        <v>209</v>
      </c>
      <c r="C138" s="16" t="s">
        <v>35</v>
      </c>
      <c r="D138" s="16" t="s">
        <v>440</v>
      </c>
      <c r="E138" s="16" t="s">
        <v>22</v>
      </c>
      <c r="F138" s="16" t="s">
        <v>60</v>
      </c>
      <c r="G138" s="21" t="s">
        <v>441</v>
      </c>
      <c r="H138" s="7">
        <v>9.5618853848762093</v>
      </c>
      <c r="I138" s="1">
        <v>3</v>
      </c>
      <c r="J138" s="1">
        <f t="shared" si="12"/>
        <v>1</v>
      </c>
      <c r="K138" s="5">
        <f t="shared" si="13"/>
        <v>0.31374565572026453</v>
      </c>
      <c r="L138" s="2">
        <v>22463880</v>
      </c>
      <c r="M138" s="2">
        <v>690500</v>
      </c>
      <c r="N138" s="6">
        <f t="shared" si="14"/>
        <v>1</v>
      </c>
      <c r="O138" s="17">
        <f t="shared" si="15"/>
        <v>3.0738234000537754E-2</v>
      </c>
      <c r="P138" s="18">
        <f t="shared" si="17"/>
        <v>0</v>
      </c>
      <c r="Q138" s="1">
        <f t="shared" si="16"/>
        <v>0</v>
      </c>
      <c r="R138" s="18">
        <v>12</v>
      </c>
      <c r="S138" s="18">
        <v>0</v>
      </c>
      <c r="T138" s="18">
        <v>0</v>
      </c>
      <c r="U138" s="3">
        <v>1</v>
      </c>
      <c r="V138" s="3">
        <v>0</v>
      </c>
      <c r="W138" s="3">
        <v>0</v>
      </c>
      <c r="X138" s="3">
        <v>0</v>
      </c>
      <c r="Y138" s="3">
        <v>0</v>
      </c>
      <c r="Z138" s="3">
        <v>1</v>
      </c>
    </row>
    <row r="139" spans="1:26" ht="26">
      <c r="A139" s="16">
        <v>17546493</v>
      </c>
      <c r="B139" s="16" t="s">
        <v>219</v>
      </c>
      <c r="C139" s="16" t="s">
        <v>35</v>
      </c>
      <c r="D139" s="16" t="s">
        <v>440</v>
      </c>
      <c r="E139" s="16" t="s">
        <v>22</v>
      </c>
      <c r="F139" s="16" t="s">
        <v>60</v>
      </c>
      <c r="G139" s="21" t="s">
        <v>441</v>
      </c>
      <c r="H139" s="7">
        <v>4.7809426924381153</v>
      </c>
      <c r="I139" s="1">
        <v>3</v>
      </c>
      <c r="J139" s="4">
        <f t="shared" si="12"/>
        <v>1</v>
      </c>
      <c r="K139" s="5">
        <f t="shared" si="13"/>
        <v>0.62749131144052761</v>
      </c>
      <c r="L139" s="2">
        <v>2549477.9785796599</v>
      </c>
      <c r="M139" s="2">
        <v>2090000</v>
      </c>
      <c r="N139" s="6">
        <f t="shared" si="14"/>
        <v>1</v>
      </c>
      <c r="O139" s="17">
        <f t="shared" si="15"/>
        <v>0.81977566292389015</v>
      </c>
      <c r="P139" s="18">
        <f t="shared" si="17"/>
        <v>0</v>
      </c>
      <c r="Q139" s="1">
        <f t="shared" si="16"/>
        <v>0</v>
      </c>
      <c r="R139" s="18">
        <v>7</v>
      </c>
      <c r="S139" s="18">
        <v>0</v>
      </c>
      <c r="T139" s="18">
        <v>0</v>
      </c>
      <c r="U139" s="3">
        <v>1</v>
      </c>
      <c r="V139" s="3">
        <v>0</v>
      </c>
      <c r="W139" s="3">
        <v>0</v>
      </c>
      <c r="X139" s="3">
        <v>0</v>
      </c>
      <c r="Y139" s="3">
        <v>0</v>
      </c>
      <c r="Z139" s="3">
        <v>1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2"/>
        <v>0</v>
      </c>
      <c r="K140" s="5">
        <f t="shared" si="13"/>
        <v>0</v>
      </c>
      <c r="L140" s="2">
        <v>29626053.564346101</v>
      </c>
      <c r="M140" s="2">
        <v>0</v>
      </c>
      <c r="N140" s="6">
        <f t="shared" si="14"/>
        <v>0</v>
      </c>
      <c r="O140" s="17">
        <f t="shared" si="15"/>
        <v>0</v>
      </c>
      <c r="P140" s="18">
        <f t="shared" si="17"/>
        <v>0</v>
      </c>
      <c r="Q140" s="1">
        <f t="shared" si="16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17347639</v>
      </c>
      <c r="B141" s="16" t="s">
        <v>238</v>
      </c>
      <c r="C141" s="16" t="s">
        <v>35</v>
      </c>
      <c r="D141" s="16" t="s">
        <v>440</v>
      </c>
      <c r="E141" s="16" t="s">
        <v>22</v>
      </c>
      <c r="F141" s="16" t="s">
        <v>60</v>
      </c>
      <c r="G141" s="21" t="s">
        <v>441</v>
      </c>
      <c r="H141" s="7">
        <v>5</v>
      </c>
      <c r="I141" s="1">
        <v>0</v>
      </c>
      <c r="J141" s="1">
        <f t="shared" si="12"/>
        <v>0</v>
      </c>
      <c r="K141" s="5">
        <f t="shared" si="13"/>
        <v>0</v>
      </c>
      <c r="L141" s="2">
        <v>29626053.564346101</v>
      </c>
      <c r="M141" s="2">
        <v>180000</v>
      </c>
      <c r="N141" s="6">
        <f t="shared" si="14"/>
        <v>0</v>
      </c>
      <c r="O141" s="17">
        <f t="shared" si="15"/>
        <v>6.0757332936379879E-3</v>
      </c>
      <c r="P141" s="18">
        <f t="shared" si="17"/>
        <v>0</v>
      </c>
      <c r="Q141" s="1">
        <f t="shared" si="16"/>
        <v>0</v>
      </c>
      <c r="R141" s="18">
        <v>7</v>
      </c>
      <c r="S141" s="18">
        <v>0</v>
      </c>
      <c r="T141" s="18">
        <v>0</v>
      </c>
      <c r="U141" s="3">
        <v>1</v>
      </c>
      <c r="V141" s="3">
        <v>0</v>
      </c>
      <c r="W141" s="3">
        <v>0</v>
      </c>
      <c r="X141" s="3">
        <v>0</v>
      </c>
      <c r="Y141" s="3">
        <v>0</v>
      </c>
      <c r="Z141" s="3">
        <v>1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0</v>
      </c>
      <c r="J142" s="1">
        <f t="shared" si="12"/>
        <v>0</v>
      </c>
      <c r="K142" s="5">
        <f t="shared" si="13"/>
        <v>0</v>
      </c>
      <c r="L142" s="2">
        <v>1233517.793070439</v>
      </c>
      <c r="M142" s="2">
        <v>312000</v>
      </c>
      <c r="N142" s="6">
        <f t="shared" si="14"/>
        <v>1</v>
      </c>
      <c r="O142" s="17">
        <f t="shared" si="15"/>
        <v>0.25293514349993934</v>
      </c>
      <c r="P142" s="18">
        <f t="shared" si="17"/>
        <v>0</v>
      </c>
      <c r="Q142" s="1">
        <f t="shared" si="16"/>
        <v>0</v>
      </c>
      <c r="R142" s="18">
        <v>10</v>
      </c>
      <c r="S142" s="18">
        <v>0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0</v>
      </c>
      <c r="J143" s="4">
        <f t="shared" si="12"/>
        <v>0</v>
      </c>
      <c r="K143" s="5">
        <f t="shared" si="13"/>
        <v>0</v>
      </c>
      <c r="L143" s="2">
        <v>19880654</v>
      </c>
      <c r="M143" s="2">
        <v>52800</v>
      </c>
      <c r="N143" s="6">
        <f t="shared" si="14"/>
        <v>0</v>
      </c>
      <c r="O143" s="17">
        <f t="shared" si="15"/>
        <v>2.6558482432217775E-3</v>
      </c>
      <c r="P143" s="18">
        <f t="shared" si="17"/>
        <v>0</v>
      </c>
      <c r="Q143" s="1">
        <f t="shared" si="16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17236778</v>
      </c>
      <c r="B144" s="16" t="s">
        <v>108</v>
      </c>
      <c r="C144" s="16" t="s">
        <v>35</v>
      </c>
      <c r="D144" s="16" t="s">
        <v>442</v>
      </c>
      <c r="E144" s="16" t="s">
        <v>22</v>
      </c>
      <c r="F144" s="16" t="s">
        <v>109</v>
      </c>
      <c r="G144" s="21" t="s">
        <v>441</v>
      </c>
      <c r="H144" s="7">
        <v>5</v>
      </c>
      <c r="I144" s="1">
        <v>3</v>
      </c>
      <c r="J144" s="1">
        <f t="shared" si="12"/>
        <v>1</v>
      </c>
      <c r="K144" s="5">
        <f t="shared" si="13"/>
        <v>0.6</v>
      </c>
      <c r="L144" s="2">
        <v>1233517.793070439</v>
      </c>
      <c r="M144" s="2">
        <v>1090000</v>
      </c>
      <c r="N144" s="6">
        <f t="shared" si="14"/>
        <v>1</v>
      </c>
      <c r="O144" s="17">
        <f t="shared" si="15"/>
        <v>0.88365162312478818</v>
      </c>
      <c r="P144" s="18">
        <f t="shared" si="17"/>
        <v>0</v>
      </c>
      <c r="Q144" s="1">
        <f t="shared" si="16"/>
        <v>0</v>
      </c>
      <c r="R144" s="18">
        <v>7</v>
      </c>
      <c r="S144" s="18">
        <v>0</v>
      </c>
      <c r="T144" s="18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1</v>
      </c>
    </row>
    <row r="145" spans="1:26" ht="26">
      <c r="A145" s="16">
        <v>17628338</v>
      </c>
      <c r="B145" s="16" t="s">
        <v>254</v>
      </c>
      <c r="C145" s="16" t="s">
        <v>35</v>
      </c>
      <c r="D145" s="16" t="s">
        <v>442</v>
      </c>
      <c r="E145" s="16" t="s">
        <v>22</v>
      </c>
      <c r="F145" s="16" t="s">
        <v>109</v>
      </c>
      <c r="G145" s="21" t="s">
        <v>441</v>
      </c>
      <c r="H145" s="7">
        <v>3.3258731773482562</v>
      </c>
      <c r="I145" s="1">
        <v>4</v>
      </c>
      <c r="J145" s="4">
        <f t="shared" si="12"/>
        <v>1</v>
      </c>
      <c r="K145" s="5">
        <f t="shared" si="13"/>
        <v>1.2026916802610106</v>
      </c>
      <c r="L145" s="2">
        <v>1233517.793070439</v>
      </c>
      <c r="M145" s="2">
        <v>2922500</v>
      </c>
      <c r="N145" s="6">
        <f t="shared" si="14"/>
        <v>1</v>
      </c>
      <c r="O145" s="17">
        <f t="shared" si="15"/>
        <v>2.3692402464056821</v>
      </c>
      <c r="P145" s="18">
        <f t="shared" si="17"/>
        <v>2</v>
      </c>
      <c r="Q145" s="1">
        <f t="shared" si="16"/>
        <v>0</v>
      </c>
      <c r="R145" s="18">
        <v>6</v>
      </c>
      <c r="S145" s="18">
        <v>2</v>
      </c>
      <c r="T145" s="18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1</v>
      </c>
    </row>
    <row r="146" spans="1:26" ht="26">
      <c r="A146" s="16">
        <v>17612210</v>
      </c>
      <c r="B146" s="16" t="s">
        <v>319</v>
      </c>
      <c r="C146" s="16" t="s">
        <v>35</v>
      </c>
      <c r="D146" s="16" t="s">
        <v>442</v>
      </c>
      <c r="E146" s="16" t="s">
        <v>26</v>
      </c>
      <c r="F146" s="16" t="s">
        <v>109</v>
      </c>
      <c r="G146" s="21" t="s">
        <v>441</v>
      </c>
      <c r="H146" s="7">
        <v>3</v>
      </c>
      <c r="I146" s="1">
        <v>3</v>
      </c>
      <c r="J146" s="4">
        <f t="shared" si="12"/>
        <v>1</v>
      </c>
      <c r="K146" s="5">
        <f t="shared" si="13"/>
        <v>1</v>
      </c>
      <c r="L146" s="2">
        <v>1233517.793070439</v>
      </c>
      <c r="M146" s="2">
        <v>90000</v>
      </c>
      <c r="N146" s="6">
        <f t="shared" si="14"/>
        <v>0</v>
      </c>
      <c r="O146" s="17">
        <f t="shared" si="15"/>
        <v>7.2962060624982505E-2</v>
      </c>
      <c r="P146" s="18">
        <f t="shared" si="17"/>
        <v>5</v>
      </c>
      <c r="Q146" s="1">
        <f t="shared" si="16"/>
        <v>1</v>
      </c>
      <c r="R146" s="18">
        <v>5</v>
      </c>
      <c r="S146" s="18">
        <v>5</v>
      </c>
      <c r="T146" s="18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2"/>
        <v>0</v>
      </c>
      <c r="K147" s="5">
        <f t="shared" si="13"/>
        <v>0</v>
      </c>
      <c r="L147" s="2">
        <v>6018419.3717715694</v>
      </c>
      <c r="M147" s="2">
        <v>0</v>
      </c>
      <c r="N147" s="6">
        <f t="shared" si="14"/>
        <v>0</v>
      </c>
      <c r="O147" s="17">
        <f t="shared" si="15"/>
        <v>0</v>
      </c>
      <c r="P147" s="18">
        <f t="shared" si="17"/>
        <v>0</v>
      </c>
      <c r="Q147" s="1">
        <f t="shared" si="16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306000</v>
      </c>
      <c r="N148" s="6">
        <f t="shared" si="14"/>
        <v>1</v>
      </c>
      <c r="O148" s="17">
        <f t="shared" si="15"/>
        <v>0.24807100612494054</v>
      </c>
      <c r="P148" s="18">
        <f t="shared" si="17"/>
        <v>5</v>
      </c>
      <c r="Q148" s="1">
        <f t="shared" si="16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2"/>
        <v>0</v>
      </c>
      <c r="K149" s="5">
        <f t="shared" si="13"/>
        <v>0</v>
      </c>
      <c r="L149" s="2">
        <v>1233517.793070439</v>
      </c>
      <c r="M149" s="2">
        <v>306000</v>
      </c>
      <c r="N149" s="6">
        <f t="shared" si="14"/>
        <v>1</v>
      </c>
      <c r="O149" s="17">
        <f t="shared" si="15"/>
        <v>0.24807100612494054</v>
      </c>
      <c r="P149" s="18">
        <f t="shared" si="17"/>
        <v>5</v>
      </c>
      <c r="Q149" s="1">
        <f t="shared" si="16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2"/>
        <v>0</v>
      </c>
      <c r="K150" s="5">
        <f t="shared" si="13"/>
        <v>0</v>
      </c>
      <c r="L150" s="2">
        <v>1233517.793070439</v>
      </c>
      <c r="M150" s="2">
        <v>306000</v>
      </c>
      <c r="N150" s="6">
        <f t="shared" si="14"/>
        <v>1</v>
      </c>
      <c r="O150" s="17">
        <f t="shared" si="15"/>
        <v>0.24807100612494054</v>
      </c>
      <c r="P150" s="18">
        <f t="shared" si="17"/>
        <v>5</v>
      </c>
      <c r="Q150" s="1">
        <f t="shared" si="16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17228835</v>
      </c>
      <c r="B151" s="16" t="s">
        <v>87</v>
      </c>
      <c r="C151" s="16" t="s">
        <v>35</v>
      </c>
      <c r="D151" s="16" t="s">
        <v>442</v>
      </c>
      <c r="E151" s="16" t="s">
        <v>22</v>
      </c>
      <c r="F151" s="16" t="s">
        <v>88</v>
      </c>
      <c r="G151" s="21" t="s">
        <v>441</v>
      </c>
      <c r="H151" s="7">
        <v>3</v>
      </c>
      <c r="I151" s="1">
        <v>0</v>
      </c>
      <c r="J151" s="1">
        <f t="shared" si="12"/>
        <v>0</v>
      </c>
      <c r="K151" s="5">
        <f t="shared" si="13"/>
        <v>0</v>
      </c>
      <c r="L151" s="2">
        <v>1233517.793070439</v>
      </c>
      <c r="M151" s="2">
        <v>418000</v>
      </c>
      <c r="N151" s="6">
        <f t="shared" si="14"/>
        <v>1</v>
      </c>
      <c r="O151" s="17">
        <f t="shared" si="15"/>
        <v>0.33886823712491876</v>
      </c>
      <c r="P151" s="18">
        <f t="shared" si="17"/>
        <v>0</v>
      </c>
      <c r="Q151" s="1">
        <f t="shared" si="16"/>
        <v>0</v>
      </c>
      <c r="R151" s="18">
        <v>5</v>
      </c>
      <c r="S151" s="18">
        <v>0</v>
      </c>
      <c r="T151" s="18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971296</v>
      </c>
      <c r="B152" s="16" t="s">
        <v>133</v>
      </c>
      <c r="C152" s="16" t="s">
        <v>35</v>
      </c>
      <c r="D152" s="16" t="s">
        <v>440</v>
      </c>
      <c r="E152" s="16" t="s">
        <v>22</v>
      </c>
      <c r="F152" s="16" t="s">
        <v>88</v>
      </c>
      <c r="G152" s="21" t="s">
        <v>441</v>
      </c>
      <c r="H152" s="7">
        <v>5</v>
      </c>
      <c r="I152" s="1">
        <v>0</v>
      </c>
      <c r="J152" s="1">
        <f t="shared" si="12"/>
        <v>0</v>
      </c>
      <c r="K152" s="5">
        <f t="shared" si="13"/>
        <v>0</v>
      </c>
      <c r="L152" s="2">
        <v>3447239.462353264</v>
      </c>
      <c r="M152" s="2">
        <v>168000</v>
      </c>
      <c r="N152" s="6">
        <f t="shared" si="14"/>
        <v>0</v>
      </c>
      <c r="O152" s="17">
        <f t="shared" si="15"/>
        <v>4.8734647486692005E-2</v>
      </c>
      <c r="P152" s="18">
        <f t="shared" si="17"/>
        <v>2</v>
      </c>
      <c r="Q152" s="1">
        <f t="shared" si="16"/>
        <v>0</v>
      </c>
      <c r="R152" s="18">
        <v>7</v>
      </c>
      <c r="S152" s="18">
        <v>2</v>
      </c>
      <c r="T152" s="18">
        <v>0</v>
      </c>
      <c r="U152" s="3">
        <v>0</v>
      </c>
      <c r="V152" s="3">
        <v>1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17668458</v>
      </c>
      <c r="B153" s="16" t="s">
        <v>279</v>
      </c>
      <c r="C153" s="16" t="s">
        <v>35</v>
      </c>
      <c r="D153" s="16" t="s">
        <v>442</v>
      </c>
      <c r="E153" s="16" t="s">
        <v>22</v>
      </c>
      <c r="F153" s="16" t="s">
        <v>88</v>
      </c>
      <c r="G153" s="21" t="s">
        <v>441</v>
      </c>
      <c r="H153" s="7">
        <v>3</v>
      </c>
      <c r="I153" s="1">
        <v>0</v>
      </c>
      <c r="J153" s="1">
        <f t="shared" si="12"/>
        <v>0</v>
      </c>
      <c r="K153" s="5">
        <f t="shared" si="13"/>
        <v>0</v>
      </c>
      <c r="L153" s="2">
        <v>1233517.793070439</v>
      </c>
      <c r="M153" s="2">
        <v>1460000</v>
      </c>
      <c r="N153" s="6">
        <f t="shared" si="14"/>
        <v>1</v>
      </c>
      <c r="O153" s="17">
        <f t="shared" si="15"/>
        <v>1.1836067612497163</v>
      </c>
      <c r="P153" s="18">
        <f t="shared" si="17"/>
        <v>0</v>
      </c>
      <c r="Q153" s="1">
        <f t="shared" si="16"/>
        <v>0</v>
      </c>
      <c r="R153" s="18">
        <v>5</v>
      </c>
      <c r="S153" s="18">
        <v>0</v>
      </c>
      <c r="T153" s="18">
        <v>0</v>
      </c>
      <c r="U153" s="3">
        <v>0</v>
      </c>
      <c r="V153" s="3">
        <v>1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2"/>
        <v>0</v>
      </c>
      <c r="K154" s="5">
        <f t="shared" si="13"/>
        <v>0</v>
      </c>
      <c r="L154" s="2">
        <v>6018419.3717715694</v>
      </c>
      <c r="M154" s="2">
        <v>306000</v>
      </c>
      <c r="N154" s="6">
        <f t="shared" si="14"/>
        <v>1</v>
      </c>
      <c r="O154" s="17">
        <f t="shared" si="15"/>
        <v>5.0843914506065152E-2</v>
      </c>
      <c r="P154" s="18">
        <f t="shared" si="17"/>
        <v>1</v>
      </c>
      <c r="Q154" s="1">
        <f t="shared" si="16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17646638</v>
      </c>
      <c r="B155" s="16" t="s">
        <v>327</v>
      </c>
      <c r="C155" s="16" t="s">
        <v>35</v>
      </c>
      <c r="D155" s="16" t="s">
        <v>442</v>
      </c>
      <c r="E155" s="16" t="s">
        <v>22</v>
      </c>
      <c r="F155" s="16" t="s">
        <v>290</v>
      </c>
      <c r="G155" s="21" t="s">
        <v>441</v>
      </c>
      <c r="H155" s="7">
        <v>4.5730756188538484</v>
      </c>
      <c r="I155" s="1">
        <v>0</v>
      </c>
      <c r="J155" s="4">
        <f t="shared" si="12"/>
        <v>0</v>
      </c>
      <c r="K155" s="5">
        <f t="shared" si="13"/>
        <v>0</v>
      </c>
      <c r="L155" s="2">
        <v>1233517.793070439</v>
      </c>
      <c r="M155" s="2">
        <v>240000</v>
      </c>
      <c r="N155" s="6">
        <f t="shared" si="14"/>
        <v>0</v>
      </c>
      <c r="O155" s="17">
        <f t="shared" si="15"/>
        <v>0.19456549499995335</v>
      </c>
      <c r="P155" s="18">
        <f t="shared" si="17"/>
        <v>0</v>
      </c>
      <c r="Q155" s="1">
        <f t="shared" si="16"/>
        <v>0</v>
      </c>
      <c r="R155" s="18">
        <v>7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si="12"/>
        <v>0</v>
      </c>
      <c r="K156" s="5">
        <f t="shared" si="13"/>
        <v>0</v>
      </c>
      <c r="L156" s="2">
        <v>1233517.793070439</v>
      </c>
      <c r="M156" s="2">
        <v>306000</v>
      </c>
      <c r="N156" s="6">
        <f t="shared" si="14"/>
        <v>1</v>
      </c>
      <c r="O156" s="17">
        <f t="shared" si="15"/>
        <v>0.24807100612494054</v>
      </c>
      <c r="P156" s="18">
        <f t="shared" si="17"/>
        <v>5</v>
      </c>
      <c r="Q156" s="1">
        <f t="shared" si="16"/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17232381</v>
      </c>
      <c r="B157" s="16" t="s">
        <v>391</v>
      </c>
      <c r="C157" s="16" t="s">
        <v>35</v>
      </c>
      <c r="D157" s="16" t="s">
        <v>442</v>
      </c>
      <c r="E157" s="16" t="s">
        <v>22</v>
      </c>
      <c r="F157" s="16" t="s">
        <v>290</v>
      </c>
      <c r="G157" s="21" t="s">
        <v>441</v>
      </c>
      <c r="H157" s="7">
        <v>5</v>
      </c>
      <c r="I157" s="1">
        <v>0</v>
      </c>
      <c r="J157" s="4">
        <f t="shared" si="12"/>
        <v>0</v>
      </c>
      <c r="K157" s="5">
        <f t="shared" si="13"/>
        <v>0</v>
      </c>
      <c r="L157" s="2">
        <v>1233517.793070439</v>
      </c>
      <c r="M157" s="2">
        <v>180000</v>
      </c>
      <c r="N157" s="6">
        <f t="shared" si="14"/>
        <v>0</v>
      </c>
      <c r="O157" s="17">
        <f t="shared" si="15"/>
        <v>0.14592412124996501</v>
      </c>
      <c r="P157" s="18">
        <f t="shared" si="17"/>
        <v>10</v>
      </c>
      <c r="Q157" s="1">
        <f t="shared" si="16"/>
        <v>1</v>
      </c>
      <c r="R157" s="18">
        <v>7</v>
      </c>
      <c r="S157" s="18">
        <v>10</v>
      </c>
      <c r="T157" s="18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17634238</v>
      </c>
      <c r="B158" s="16" t="s">
        <v>130</v>
      </c>
      <c r="C158" s="16" t="s">
        <v>35</v>
      </c>
      <c r="D158" s="16" t="s">
        <v>442</v>
      </c>
      <c r="E158" s="16" t="s">
        <v>26</v>
      </c>
      <c r="F158" s="16" t="s">
        <v>131</v>
      </c>
      <c r="G158" s="21" t="s">
        <v>441</v>
      </c>
      <c r="H158" s="7">
        <v>19.74737199050525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0</v>
      </c>
      <c r="N158" s="6">
        <f t="shared" si="14"/>
        <v>0</v>
      </c>
      <c r="O158" s="17">
        <f t="shared" si="15"/>
        <v>0</v>
      </c>
      <c r="P158" s="18">
        <f t="shared" si="17"/>
        <v>0</v>
      </c>
      <c r="Q158" s="1">
        <f t="shared" si="16"/>
        <v>0</v>
      </c>
      <c r="R158" s="18">
        <v>22</v>
      </c>
      <c r="S158" s="18">
        <v>0</v>
      </c>
      <c r="T158" s="18">
        <v>0</v>
      </c>
      <c r="U158" s="3">
        <v>0</v>
      </c>
      <c r="V158" s="3">
        <v>1</v>
      </c>
      <c r="W158" s="3">
        <v>0</v>
      </c>
      <c r="X158" s="3">
        <v>0</v>
      </c>
      <c r="Y158" s="3">
        <v>0</v>
      </c>
      <c r="Z158" s="3">
        <v>0</v>
      </c>
    </row>
    <row r="159" spans="1:26" ht="26">
      <c r="A159" s="16">
        <v>17563421</v>
      </c>
      <c r="B159" s="16" t="s">
        <v>323</v>
      </c>
      <c r="C159" s="16" t="s">
        <v>35</v>
      </c>
      <c r="D159" s="16" t="s">
        <v>442</v>
      </c>
      <c r="E159" s="16" t="s">
        <v>26</v>
      </c>
      <c r="F159" s="16" t="s">
        <v>131</v>
      </c>
      <c r="G159" s="21" t="s">
        <v>441</v>
      </c>
      <c r="H159" s="7">
        <v>2.7022719565954572</v>
      </c>
      <c r="I159" s="1">
        <v>0</v>
      </c>
      <c r="J159" s="1">
        <f t="shared" si="12"/>
        <v>0</v>
      </c>
      <c r="K159" s="5">
        <f t="shared" si="13"/>
        <v>0</v>
      </c>
      <c r="L159" s="2">
        <v>1233517.793070439</v>
      </c>
      <c r="M159" s="2">
        <v>0</v>
      </c>
      <c r="N159" s="6">
        <f t="shared" si="14"/>
        <v>0</v>
      </c>
      <c r="O159" s="17">
        <f t="shared" si="15"/>
        <v>0</v>
      </c>
      <c r="P159" s="18">
        <f t="shared" si="17"/>
        <v>0</v>
      </c>
      <c r="Q159" s="1">
        <f t="shared" si="16"/>
        <v>0</v>
      </c>
      <c r="R159" s="18">
        <v>5</v>
      </c>
      <c r="S159" s="18">
        <v>0</v>
      </c>
      <c r="T159" s="18">
        <v>0</v>
      </c>
      <c r="U159" s="3">
        <v>0</v>
      </c>
      <c r="V159" s="3">
        <v>1</v>
      </c>
      <c r="W159" s="3">
        <v>0</v>
      </c>
      <c r="X159" s="3">
        <v>0</v>
      </c>
      <c r="Y159" s="3">
        <v>0</v>
      </c>
      <c r="Z159" s="3">
        <v>0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0</v>
      </c>
      <c r="J160" s="1">
        <f t="shared" si="12"/>
        <v>0</v>
      </c>
      <c r="K160" s="5">
        <f t="shared" si="13"/>
        <v>0</v>
      </c>
      <c r="L160" s="2">
        <v>29626053.564346101</v>
      </c>
      <c r="M160" s="2">
        <v>302400</v>
      </c>
      <c r="N160" s="6">
        <f t="shared" si="14"/>
        <v>1</v>
      </c>
      <c r="O160" s="17">
        <f t="shared" si="15"/>
        <v>1.0207231933311821E-2</v>
      </c>
      <c r="P160" s="18">
        <f t="shared" si="17"/>
        <v>0</v>
      </c>
      <c r="Q160" s="1">
        <f t="shared" si="16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0</v>
      </c>
      <c r="J161" s="4">
        <f t="shared" si="12"/>
        <v>0</v>
      </c>
      <c r="K161" s="5">
        <f t="shared" si="13"/>
        <v>0</v>
      </c>
      <c r="L161" s="2">
        <v>1233517.793070439</v>
      </c>
      <c r="M161" s="2">
        <v>302400</v>
      </c>
      <c r="N161" s="6">
        <f t="shared" si="14"/>
        <v>1</v>
      </c>
      <c r="O161" s="17">
        <f t="shared" si="15"/>
        <v>0.24515252369994123</v>
      </c>
      <c r="P161" s="18">
        <f t="shared" si="17"/>
        <v>0</v>
      </c>
      <c r="Q161" s="1">
        <f t="shared" si="16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0</v>
      </c>
      <c r="J162" s="4">
        <f t="shared" si="12"/>
        <v>0</v>
      </c>
      <c r="K162" s="5">
        <f t="shared" si="13"/>
        <v>0</v>
      </c>
      <c r="L162" s="2">
        <v>1233517.793070439</v>
      </c>
      <c r="M162" s="2">
        <v>306000</v>
      </c>
      <c r="N162" s="6">
        <f t="shared" si="14"/>
        <v>1</v>
      </c>
      <c r="O162" s="17">
        <f t="shared" si="15"/>
        <v>0.24807100612494054</v>
      </c>
      <c r="P162" s="18">
        <f t="shared" si="17"/>
        <v>0</v>
      </c>
      <c r="Q162" s="1">
        <f t="shared" si="16"/>
        <v>0</v>
      </c>
      <c r="R162" s="18">
        <v>5</v>
      </c>
      <c r="S162" s="18">
        <v>0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0</v>
      </c>
      <c r="J163" s="1">
        <f t="shared" si="12"/>
        <v>0</v>
      </c>
      <c r="K163" s="5">
        <f t="shared" si="13"/>
        <v>0</v>
      </c>
      <c r="L163" s="2">
        <v>1233517.793070439</v>
      </c>
      <c r="M163" s="2">
        <v>310800</v>
      </c>
      <c r="N163" s="6">
        <f t="shared" si="14"/>
        <v>1</v>
      </c>
      <c r="O163" s="17">
        <f t="shared" si="15"/>
        <v>0.25196231602493957</v>
      </c>
      <c r="P163" s="18">
        <f t="shared" si="17"/>
        <v>0</v>
      </c>
      <c r="Q163" s="1">
        <f t="shared" si="16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0</v>
      </c>
      <c r="J164" s="4">
        <f t="shared" si="12"/>
        <v>0</v>
      </c>
      <c r="K164" s="5">
        <f t="shared" si="13"/>
        <v>0</v>
      </c>
      <c r="L164" s="2">
        <v>1233517.793070439</v>
      </c>
      <c r="M164" s="2">
        <v>302400</v>
      </c>
      <c r="N164" s="6">
        <f t="shared" si="14"/>
        <v>1</v>
      </c>
      <c r="O164" s="17">
        <f t="shared" si="15"/>
        <v>0.24515252369994123</v>
      </c>
      <c r="P164" s="18">
        <f t="shared" si="17"/>
        <v>0</v>
      </c>
      <c r="Q164" s="1">
        <f t="shared" si="16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2"/>
        <v>1</v>
      </c>
      <c r="K165" s="5">
        <f t="shared" si="13"/>
        <v>0.53452963567156242</v>
      </c>
      <c r="L165" s="2">
        <v>1233517.793070439</v>
      </c>
      <c r="M165" s="2">
        <v>175000</v>
      </c>
      <c r="N165" s="6">
        <f t="shared" si="14"/>
        <v>0</v>
      </c>
      <c r="O165" s="17">
        <f t="shared" si="15"/>
        <v>0.14187067343746598</v>
      </c>
      <c r="P165" s="18">
        <f t="shared" si="17"/>
        <v>0</v>
      </c>
      <c r="Q165" s="1">
        <f t="shared" si="16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2"/>
        <v>1</v>
      </c>
      <c r="K166" s="5">
        <f t="shared" si="13"/>
        <v>2</v>
      </c>
      <c r="L166" s="2">
        <v>12908778</v>
      </c>
      <c r="M166" s="2">
        <v>5090000</v>
      </c>
      <c r="N166" s="6">
        <f t="shared" si="14"/>
        <v>1</v>
      </c>
      <c r="O166" s="17">
        <f t="shared" si="15"/>
        <v>0.39430533238700055</v>
      </c>
      <c r="P166" s="18">
        <f t="shared" si="17"/>
        <v>0</v>
      </c>
      <c r="Q166" s="1">
        <f t="shared" si="16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2"/>
        <v>1</v>
      </c>
      <c r="K167" s="5">
        <f t="shared" si="13"/>
        <v>0.6</v>
      </c>
      <c r="L167" s="2">
        <v>1233517.793070439</v>
      </c>
      <c r="M167" s="2">
        <v>175000</v>
      </c>
      <c r="N167" s="6">
        <f t="shared" si="14"/>
        <v>0</v>
      </c>
      <c r="O167" s="17">
        <f t="shared" si="15"/>
        <v>0.14187067343746598</v>
      </c>
      <c r="P167" s="18">
        <f t="shared" si="17"/>
        <v>0</v>
      </c>
      <c r="Q167" s="1">
        <f t="shared" si="16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2"/>
        <v>1</v>
      </c>
      <c r="K168" s="5">
        <f t="shared" si="13"/>
        <v>1</v>
      </c>
      <c r="L168" s="2">
        <v>1233517.793070439</v>
      </c>
      <c r="M168" s="2">
        <v>1170000</v>
      </c>
      <c r="N168" s="6">
        <f t="shared" si="14"/>
        <v>1</v>
      </c>
      <c r="O168" s="17">
        <f t="shared" si="15"/>
        <v>0.94850678812477263</v>
      </c>
      <c r="P168" s="18">
        <f t="shared" si="17"/>
        <v>2</v>
      </c>
      <c r="Q168" s="1">
        <f t="shared" si="16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20">
        <v>17565276</v>
      </c>
      <c r="B169" s="20" t="s">
        <v>469</v>
      </c>
      <c r="C169" s="16" t="s">
        <v>21</v>
      </c>
      <c r="D169" s="20" t="s">
        <v>442</v>
      </c>
      <c r="E169" s="16" t="s">
        <v>26</v>
      </c>
      <c r="F169" s="22" t="s">
        <v>46</v>
      </c>
      <c r="G169" s="20" t="s">
        <v>441</v>
      </c>
      <c r="H169" s="7">
        <v>2.7022719565954572</v>
      </c>
      <c r="I169" s="1">
        <v>0</v>
      </c>
      <c r="J169" s="1">
        <f t="shared" si="12"/>
        <v>0</v>
      </c>
      <c r="K169" s="5">
        <f t="shared" si="13"/>
        <v>0</v>
      </c>
      <c r="L169" s="2">
        <v>300000</v>
      </c>
      <c r="M169" s="2">
        <v>180000</v>
      </c>
      <c r="N169" s="6">
        <f t="shared" si="14"/>
        <v>0</v>
      </c>
      <c r="O169" s="17">
        <f t="shared" si="15"/>
        <v>0.6</v>
      </c>
      <c r="P169" s="18">
        <f t="shared" si="17"/>
        <v>2</v>
      </c>
      <c r="Q169" s="1">
        <f t="shared" si="16"/>
        <v>0</v>
      </c>
      <c r="R169" s="18">
        <v>5</v>
      </c>
      <c r="S169" s="18">
        <v>2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17651452</v>
      </c>
      <c r="B170" s="16" t="s">
        <v>61</v>
      </c>
      <c r="C170" s="16" t="s">
        <v>35</v>
      </c>
      <c r="D170" s="16" t="s">
        <v>442</v>
      </c>
      <c r="E170" s="16" t="s">
        <v>22</v>
      </c>
      <c r="F170" s="16" t="s">
        <v>62</v>
      </c>
      <c r="G170" s="21" t="s">
        <v>441</v>
      </c>
      <c r="H170" s="7">
        <v>3</v>
      </c>
      <c r="I170" s="1">
        <v>0</v>
      </c>
      <c r="J170" s="1">
        <f t="shared" si="12"/>
        <v>0</v>
      </c>
      <c r="K170" s="5">
        <f t="shared" si="13"/>
        <v>0</v>
      </c>
      <c r="L170" s="2">
        <v>1233517.793070439</v>
      </c>
      <c r="M170" s="2">
        <v>200000</v>
      </c>
      <c r="N170" s="6">
        <f t="shared" si="14"/>
        <v>0</v>
      </c>
      <c r="O170" s="17">
        <f t="shared" si="15"/>
        <v>0.16213791249996112</v>
      </c>
      <c r="P170" s="18">
        <f t="shared" si="17"/>
        <v>0</v>
      </c>
      <c r="Q170" s="1">
        <f t="shared" si="16"/>
        <v>0</v>
      </c>
      <c r="R170" s="18">
        <v>5</v>
      </c>
      <c r="S170" s="18">
        <v>0</v>
      </c>
      <c r="T170" s="18">
        <v>0</v>
      </c>
      <c r="U170" s="3">
        <v>0</v>
      </c>
      <c r="V170" s="3">
        <v>0</v>
      </c>
      <c r="W170" s="3">
        <v>1</v>
      </c>
      <c r="X170" s="3">
        <v>0</v>
      </c>
      <c r="Y170" s="3">
        <v>0</v>
      </c>
      <c r="Z170" s="3">
        <v>0</v>
      </c>
    </row>
    <row r="171" spans="1:26" ht="26">
      <c r="A171" s="16">
        <v>17654507</v>
      </c>
      <c r="B171" s="16" t="s">
        <v>127</v>
      </c>
      <c r="C171" s="16" t="s">
        <v>35</v>
      </c>
      <c r="D171" s="16" t="s">
        <v>442</v>
      </c>
      <c r="E171" s="16" t="s">
        <v>26</v>
      </c>
      <c r="F171" s="16" t="s">
        <v>62</v>
      </c>
      <c r="G171" s="21" t="s">
        <v>441</v>
      </c>
      <c r="H171" s="7">
        <v>3</v>
      </c>
      <c r="I171" s="1">
        <v>0</v>
      </c>
      <c r="J171" s="4">
        <f t="shared" si="12"/>
        <v>0</v>
      </c>
      <c r="K171" s="5">
        <f t="shared" si="13"/>
        <v>0</v>
      </c>
      <c r="L171" s="2">
        <v>1233517.793070439</v>
      </c>
      <c r="M171" s="2">
        <v>2520000</v>
      </c>
      <c r="N171" s="6">
        <f t="shared" si="14"/>
        <v>1</v>
      </c>
      <c r="O171" s="17">
        <f t="shared" si="15"/>
        <v>2.0429376974995104</v>
      </c>
      <c r="P171" s="18">
        <f t="shared" si="17"/>
        <v>5</v>
      </c>
      <c r="Q171" s="1">
        <f t="shared" si="16"/>
        <v>1</v>
      </c>
      <c r="R171" s="18">
        <v>5</v>
      </c>
      <c r="S171" s="18">
        <v>5</v>
      </c>
      <c r="T171" s="18">
        <v>0</v>
      </c>
      <c r="U171" s="3">
        <v>0</v>
      </c>
      <c r="V171" s="3">
        <v>0</v>
      </c>
      <c r="W171" s="3">
        <v>1</v>
      </c>
      <c r="X171" s="3">
        <v>0</v>
      </c>
      <c r="Y171" s="3">
        <v>0</v>
      </c>
      <c r="Z171" s="3">
        <v>0</v>
      </c>
    </row>
    <row r="172" spans="1:26" ht="26">
      <c r="A172" s="16">
        <v>17775710</v>
      </c>
      <c r="B172" s="16" t="s">
        <v>263</v>
      </c>
      <c r="C172" s="16" t="s">
        <v>35</v>
      </c>
      <c r="D172" s="16" t="s">
        <v>442</v>
      </c>
      <c r="E172" s="16" t="s">
        <v>26</v>
      </c>
      <c r="F172" s="16" t="s">
        <v>62</v>
      </c>
      <c r="G172" s="21" t="s">
        <v>441</v>
      </c>
      <c r="H172" s="7">
        <v>4.7809426924381153</v>
      </c>
      <c r="I172" s="1">
        <v>0</v>
      </c>
      <c r="J172" s="1">
        <f t="shared" si="12"/>
        <v>0</v>
      </c>
      <c r="K172" s="5">
        <f t="shared" si="13"/>
        <v>0</v>
      </c>
      <c r="L172" s="2">
        <v>1233517.793070439</v>
      </c>
      <c r="M172" s="2">
        <v>1260000</v>
      </c>
      <c r="N172" s="6">
        <f t="shared" si="14"/>
        <v>1</v>
      </c>
      <c r="O172" s="17">
        <f t="shared" si="15"/>
        <v>1.0214688487497552</v>
      </c>
      <c r="P172" s="18">
        <f t="shared" si="17"/>
        <v>5</v>
      </c>
      <c r="Q172" s="1">
        <f t="shared" si="16"/>
        <v>1</v>
      </c>
      <c r="R172" s="18">
        <v>7</v>
      </c>
      <c r="S172" s="18">
        <v>5</v>
      </c>
      <c r="T172" s="18">
        <v>0</v>
      </c>
      <c r="U172" s="3">
        <v>0</v>
      </c>
      <c r="V172" s="3">
        <v>0</v>
      </c>
      <c r="W172" s="3">
        <v>1</v>
      </c>
      <c r="X172" s="3">
        <v>0</v>
      </c>
      <c r="Y172" s="3">
        <v>0</v>
      </c>
      <c r="Z172" s="3">
        <v>0</v>
      </c>
    </row>
    <row r="173" spans="1:26" ht="26">
      <c r="A173" s="16">
        <v>17691756</v>
      </c>
      <c r="B173" s="16" t="s">
        <v>309</v>
      </c>
      <c r="C173" s="16" t="s">
        <v>35</v>
      </c>
      <c r="D173" s="16" t="s">
        <v>442</v>
      </c>
      <c r="E173" s="16" t="s">
        <v>26</v>
      </c>
      <c r="F173" s="16" t="s">
        <v>62</v>
      </c>
      <c r="G173" s="21" t="s">
        <v>441</v>
      </c>
      <c r="H173" s="7">
        <v>3</v>
      </c>
      <c r="I173" s="1">
        <v>0</v>
      </c>
      <c r="J173" s="1">
        <f t="shared" si="12"/>
        <v>0</v>
      </c>
      <c r="K173" s="5">
        <f t="shared" si="13"/>
        <v>0</v>
      </c>
      <c r="L173" s="2">
        <v>1233517.793070439</v>
      </c>
      <c r="M173" s="2">
        <v>2520000</v>
      </c>
      <c r="N173" s="6">
        <f t="shared" si="14"/>
        <v>1</v>
      </c>
      <c r="O173" s="17">
        <f t="shared" si="15"/>
        <v>2.0429376974995104</v>
      </c>
      <c r="P173" s="18">
        <f t="shared" si="17"/>
        <v>5</v>
      </c>
      <c r="Q173" s="1">
        <f t="shared" si="16"/>
        <v>1</v>
      </c>
      <c r="R173" s="18">
        <v>5</v>
      </c>
      <c r="S173" s="18">
        <v>5</v>
      </c>
      <c r="T173" s="18">
        <v>0</v>
      </c>
      <c r="U173" s="3">
        <v>0</v>
      </c>
      <c r="V173" s="3">
        <v>0</v>
      </c>
      <c r="W173" s="3">
        <v>1</v>
      </c>
      <c r="X173" s="3">
        <v>0</v>
      </c>
      <c r="Y173" s="3">
        <v>0</v>
      </c>
      <c r="Z173" s="3">
        <v>0</v>
      </c>
    </row>
    <row r="174" spans="1:26" ht="26">
      <c r="A174" s="16">
        <v>17120321</v>
      </c>
      <c r="B174" s="16" t="s">
        <v>84</v>
      </c>
      <c r="C174" s="16" t="s">
        <v>35</v>
      </c>
      <c r="D174" s="16" t="s">
        <v>440</v>
      </c>
      <c r="E174" s="16" t="s">
        <v>22</v>
      </c>
      <c r="F174" s="16" t="s">
        <v>85</v>
      </c>
      <c r="G174" s="21" t="s">
        <v>441</v>
      </c>
      <c r="H174" s="7">
        <v>5</v>
      </c>
      <c r="I174" s="1">
        <v>0</v>
      </c>
      <c r="J174" s="4">
        <f t="shared" si="12"/>
        <v>0</v>
      </c>
      <c r="K174" s="5">
        <f t="shared" si="13"/>
        <v>0</v>
      </c>
      <c r="L174" s="2">
        <v>29626053.564346101</v>
      </c>
      <c r="M174" s="2">
        <v>2140000</v>
      </c>
      <c r="N174" s="6">
        <f t="shared" si="14"/>
        <v>1</v>
      </c>
      <c r="O174" s="17">
        <f t="shared" si="15"/>
        <v>7.2233718046584974E-2</v>
      </c>
      <c r="P174" s="18">
        <f t="shared" si="17"/>
        <v>0</v>
      </c>
      <c r="Q174" s="1">
        <f t="shared" si="16"/>
        <v>0</v>
      </c>
      <c r="R174" s="18">
        <v>7</v>
      </c>
      <c r="S174" s="18">
        <v>0</v>
      </c>
      <c r="T174" s="18">
        <v>0</v>
      </c>
      <c r="U174" s="3">
        <v>0</v>
      </c>
      <c r="V174" s="3">
        <v>0</v>
      </c>
      <c r="W174" s="3">
        <v>1</v>
      </c>
      <c r="X174" s="3">
        <v>0</v>
      </c>
      <c r="Y174" s="3">
        <v>0</v>
      </c>
      <c r="Z174" s="3">
        <v>1</v>
      </c>
    </row>
    <row r="175" spans="1:26" ht="26">
      <c r="A175" s="16">
        <v>17799381</v>
      </c>
      <c r="B175" s="16" t="s">
        <v>142</v>
      </c>
      <c r="C175" s="16" t="s">
        <v>35</v>
      </c>
      <c r="D175" s="16" t="s">
        <v>440</v>
      </c>
      <c r="E175" s="16" t="s">
        <v>22</v>
      </c>
      <c r="F175" s="16" t="s">
        <v>85</v>
      </c>
      <c r="G175" s="21" t="s">
        <v>441</v>
      </c>
      <c r="H175" s="7">
        <v>3</v>
      </c>
      <c r="I175" s="1">
        <v>0</v>
      </c>
      <c r="J175" s="4">
        <f t="shared" si="12"/>
        <v>0</v>
      </c>
      <c r="K175" s="5">
        <f t="shared" si="13"/>
        <v>0</v>
      </c>
      <c r="L175" s="2">
        <v>3917572.6875978149</v>
      </c>
      <c r="M175" s="2">
        <v>3800000</v>
      </c>
      <c r="N175" s="6">
        <f t="shared" si="14"/>
        <v>1</v>
      </c>
      <c r="O175" s="17">
        <f t="shared" si="15"/>
        <v>0.96998838388627107</v>
      </c>
      <c r="P175" s="18">
        <f t="shared" si="17"/>
        <v>0</v>
      </c>
      <c r="Q175" s="1">
        <f t="shared" si="16"/>
        <v>0</v>
      </c>
      <c r="R175" s="18">
        <v>5</v>
      </c>
      <c r="S175" s="18">
        <v>0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1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0</v>
      </c>
      <c r="J176" s="4">
        <f t="shared" si="12"/>
        <v>0</v>
      </c>
      <c r="K176" s="5">
        <f t="shared" si="13"/>
        <v>0</v>
      </c>
      <c r="L176" s="2">
        <v>1233517.793070439</v>
      </c>
      <c r="M176" s="2">
        <v>3375000</v>
      </c>
      <c r="N176" s="6">
        <f t="shared" si="14"/>
        <v>1</v>
      </c>
      <c r="O176" s="17">
        <f t="shared" si="15"/>
        <v>2.7360772734368441</v>
      </c>
      <c r="P176" s="18">
        <f t="shared" si="17"/>
        <v>5</v>
      </c>
      <c r="Q176" s="1">
        <f t="shared" si="16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658678</v>
      </c>
      <c r="B177" s="16" t="s">
        <v>360</v>
      </c>
      <c r="C177" s="16" t="s">
        <v>35</v>
      </c>
      <c r="D177" s="16" t="s">
        <v>440</v>
      </c>
      <c r="E177" s="16" t="s">
        <v>22</v>
      </c>
      <c r="F177" s="16" t="s">
        <v>85</v>
      </c>
      <c r="G177" s="21" t="s">
        <v>441</v>
      </c>
      <c r="H177" s="7">
        <v>50</v>
      </c>
      <c r="I177" s="1">
        <v>0</v>
      </c>
      <c r="J177" s="4">
        <f t="shared" si="12"/>
        <v>0</v>
      </c>
      <c r="K177" s="5">
        <f t="shared" si="13"/>
        <v>0</v>
      </c>
      <c r="L177" s="2">
        <v>23626053.564346101</v>
      </c>
      <c r="M177" s="2">
        <v>1260000</v>
      </c>
      <c r="N177" s="6">
        <f t="shared" si="14"/>
        <v>1</v>
      </c>
      <c r="O177" s="17">
        <f t="shared" si="15"/>
        <v>5.3330955022528881E-2</v>
      </c>
      <c r="P177" s="18">
        <f t="shared" si="17"/>
        <v>0</v>
      </c>
      <c r="Q177" s="1">
        <f t="shared" si="16"/>
        <v>0</v>
      </c>
      <c r="R177" s="18">
        <v>38</v>
      </c>
      <c r="S177" s="18">
        <v>0</v>
      </c>
      <c r="T177" s="18">
        <v>0</v>
      </c>
      <c r="U177" s="3">
        <v>0</v>
      </c>
      <c r="V177" s="3">
        <v>0</v>
      </c>
      <c r="W177" s="3">
        <v>1</v>
      </c>
      <c r="X177" s="3">
        <v>0</v>
      </c>
      <c r="Y177" s="3">
        <v>0</v>
      </c>
      <c r="Z177" s="3">
        <v>1</v>
      </c>
    </row>
    <row r="178" spans="1:26" ht="26">
      <c r="A178" s="16">
        <v>17697397</v>
      </c>
      <c r="B178" s="16" t="s">
        <v>374</v>
      </c>
      <c r="C178" s="16" t="s">
        <v>35</v>
      </c>
      <c r="D178" s="16" t="s">
        <v>442</v>
      </c>
      <c r="E178" s="16" t="s">
        <v>26</v>
      </c>
      <c r="F178" s="16" t="s">
        <v>85</v>
      </c>
      <c r="G178" s="21" t="s">
        <v>441</v>
      </c>
      <c r="H178" s="7">
        <v>5.1966768396066563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1260000</v>
      </c>
      <c r="N178" s="6">
        <f t="shared" si="14"/>
        <v>1</v>
      </c>
      <c r="O178" s="17">
        <f t="shared" si="15"/>
        <v>1.0214688487497552</v>
      </c>
      <c r="P178" s="18">
        <f t="shared" si="17"/>
        <v>5</v>
      </c>
      <c r="Q178" s="1">
        <f t="shared" si="16"/>
        <v>1</v>
      </c>
      <c r="R178" s="18">
        <v>8</v>
      </c>
      <c r="S178" s="18">
        <v>5</v>
      </c>
      <c r="T178" s="18">
        <v>0</v>
      </c>
      <c r="U178" s="3">
        <v>0</v>
      </c>
      <c r="V178" s="3">
        <v>0</v>
      </c>
      <c r="W178" s="3">
        <v>1</v>
      </c>
      <c r="X178" s="3">
        <v>0</v>
      </c>
      <c r="Y178" s="3">
        <v>0</v>
      </c>
      <c r="Z178" s="3">
        <v>0</v>
      </c>
    </row>
    <row r="179" spans="1:26" ht="26">
      <c r="A179" s="16">
        <v>17061867</v>
      </c>
      <c r="B179" s="16" t="s">
        <v>427</v>
      </c>
      <c r="C179" s="16" t="s">
        <v>35</v>
      </c>
      <c r="D179" s="16" t="s">
        <v>440</v>
      </c>
      <c r="E179" s="16" t="s">
        <v>22</v>
      </c>
      <c r="F179" s="16" t="s">
        <v>85</v>
      </c>
      <c r="G179" s="21" t="s">
        <v>441</v>
      </c>
      <c r="H179" s="7">
        <v>3.3258731773482562</v>
      </c>
      <c r="I179" s="1">
        <v>0</v>
      </c>
      <c r="J179" s="1">
        <f t="shared" si="12"/>
        <v>0</v>
      </c>
      <c r="K179" s="5">
        <f t="shared" si="13"/>
        <v>0</v>
      </c>
      <c r="L179" s="2">
        <v>2864155.9757400951</v>
      </c>
      <c r="M179" s="2">
        <v>1668000</v>
      </c>
      <c r="N179" s="6">
        <f t="shared" si="14"/>
        <v>1</v>
      </c>
      <c r="O179" s="17">
        <f t="shared" si="15"/>
        <v>0.58237051827074127</v>
      </c>
      <c r="P179" s="18">
        <f t="shared" si="17"/>
        <v>0</v>
      </c>
      <c r="Q179" s="1">
        <f t="shared" si="16"/>
        <v>0</v>
      </c>
      <c r="R179" s="18">
        <v>6</v>
      </c>
      <c r="S179" s="18">
        <v>0</v>
      </c>
      <c r="T179" s="18">
        <v>0</v>
      </c>
      <c r="U179" s="3">
        <v>0</v>
      </c>
      <c r="V179" s="3">
        <v>0</v>
      </c>
      <c r="W179" s="3">
        <v>1</v>
      </c>
      <c r="X179" s="3">
        <v>0</v>
      </c>
      <c r="Y179" s="3">
        <v>0</v>
      </c>
      <c r="Z179" s="3">
        <v>1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0</v>
      </c>
      <c r="J180" s="1">
        <f t="shared" si="12"/>
        <v>0</v>
      </c>
      <c r="K180" s="5">
        <f t="shared" si="13"/>
        <v>0</v>
      </c>
      <c r="L180" s="2">
        <v>1233517.793070439</v>
      </c>
      <c r="M180" s="2">
        <v>132000</v>
      </c>
      <c r="N180" s="6">
        <f t="shared" si="14"/>
        <v>0</v>
      </c>
      <c r="O180" s="17">
        <f t="shared" si="15"/>
        <v>0.10701102224997434</v>
      </c>
      <c r="P180" s="18">
        <f t="shared" si="17"/>
        <v>0</v>
      </c>
      <c r="Q180" s="1">
        <f t="shared" si="16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0</v>
      </c>
      <c r="J181" s="4">
        <f t="shared" si="12"/>
        <v>0</v>
      </c>
      <c r="K181" s="5">
        <f t="shared" si="13"/>
        <v>0</v>
      </c>
      <c r="L181" s="2">
        <v>1233517.793070439</v>
      </c>
      <c r="M181" s="2">
        <v>800000</v>
      </c>
      <c r="N181" s="6">
        <f t="shared" si="14"/>
        <v>1</v>
      </c>
      <c r="O181" s="17">
        <f t="shared" si="15"/>
        <v>0.64855164999984449</v>
      </c>
      <c r="P181" s="18">
        <f t="shared" si="17"/>
        <v>0</v>
      </c>
      <c r="Q181" s="1">
        <f t="shared" si="16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0</v>
      </c>
      <c r="J182" s="4">
        <f t="shared" si="12"/>
        <v>0</v>
      </c>
      <c r="K182" s="5">
        <f t="shared" si="13"/>
        <v>0</v>
      </c>
      <c r="L182" s="2">
        <v>1233517.793070439</v>
      </c>
      <c r="M182" s="2">
        <v>0</v>
      </c>
      <c r="N182" s="6">
        <f t="shared" si="14"/>
        <v>0</v>
      </c>
      <c r="O182" s="17">
        <f t="shared" si="15"/>
        <v>0</v>
      </c>
      <c r="P182" s="18">
        <f t="shared" si="17"/>
        <v>0</v>
      </c>
      <c r="Q182" s="1">
        <f t="shared" si="16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1233517.793070439</v>
      </c>
      <c r="M183" s="2">
        <v>168000</v>
      </c>
      <c r="N183" s="6">
        <f t="shared" si="14"/>
        <v>0</v>
      </c>
      <c r="O183" s="17">
        <f t="shared" si="15"/>
        <v>0.13619584649996735</v>
      </c>
      <c r="P183" s="18">
        <f t="shared" si="17"/>
        <v>0</v>
      </c>
      <c r="Q183" s="1">
        <f t="shared" si="16"/>
        <v>0</v>
      </c>
      <c r="R183" s="18">
        <v>7</v>
      </c>
      <c r="S183" s="18">
        <v>0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0</v>
      </c>
      <c r="J184" s="1">
        <f t="shared" si="12"/>
        <v>0</v>
      </c>
      <c r="K184" s="5">
        <f t="shared" si="13"/>
        <v>0</v>
      </c>
      <c r="L184" s="2">
        <v>1233517.793070439</v>
      </c>
      <c r="M184" s="2">
        <v>636000</v>
      </c>
      <c r="N184" s="6">
        <f t="shared" si="14"/>
        <v>1</v>
      </c>
      <c r="O184" s="17">
        <f t="shared" si="15"/>
        <v>0.51559856174987639</v>
      </c>
      <c r="P184" s="18">
        <f t="shared" si="17"/>
        <v>2</v>
      </c>
      <c r="Q184" s="1">
        <f t="shared" si="16"/>
        <v>0</v>
      </c>
      <c r="R184" s="18">
        <v>6</v>
      </c>
      <c r="S184" s="18">
        <v>2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0</v>
      </c>
      <c r="J185" s="4">
        <f t="shared" si="12"/>
        <v>0</v>
      </c>
      <c r="K185" s="5">
        <f t="shared" si="13"/>
        <v>0</v>
      </c>
      <c r="L185" s="2">
        <v>1233517.793070439</v>
      </c>
      <c r="M185" s="2">
        <v>300000</v>
      </c>
      <c r="N185" s="6">
        <f t="shared" si="14"/>
        <v>1</v>
      </c>
      <c r="O185" s="17">
        <f t="shared" si="15"/>
        <v>0.24320686874994168</v>
      </c>
      <c r="P185" s="18">
        <f t="shared" si="17"/>
        <v>5</v>
      </c>
      <c r="Q185" s="1">
        <f t="shared" si="16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0</v>
      </c>
      <c r="J186" s="4">
        <f t="shared" si="12"/>
        <v>0</v>
      </c>
      <c r="K186" s="5">
        <f t="shared" si="13"/>
        <v>0</v>
      </c>
      <c r="L186" s="2">
        <v>1233517.793070439</v>
      </c>
      <c r="M186" s="2">
        <v>168000</v>
      </c>
      <c r="N186" s="6">
        <f t="shared" si="14"/>
        <v>0</v>
      </c>
      <c r="O186" s="17">
        <f t="shared" si="15"/>
        <v>0.13619584649996735</v>
      </c>
      <c r="P186" s="18">
        <f t="shared" si="17"/>
        <v>0</v>
      </c>
      <c r="Q186" s="1">
        <f t="shared" si="16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0</v>
      </c>
      <c r="J187" s="4">
        <f t="shared" si="12"/>
        <v>0</v>
      </c>
      <c r="K187" s="5">
        <f t="shared" si="13"/>
        <v>0</v>
      </c>
      <c r="L187" s="2">
        <v>1233517.793070439</v>
      </c>
      <c r="M187" s="2">
        <v>685000</v>
      </c>
      <c r="N187" s="6">
        <f t="shared" si="14"/>
        <v>1</v>
      </c>
      <c r="O187" s="17">
        <f t="shared" si="15"/>
        <v>0.55532235031236687</v>
      </c>
      <c r="P187" s="18">
        <f t="shared" si="17"/>
        <v>0</v>
      </c>
      <c r="Q187" s="1">
        <f t="shared" si="16"/>
        <v>0</v>
      </c>
      <c r="R187" s="18">
        <v>8</v>
      </c>
      <c r="S187" s="18">
        <v>0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0</v>
      </c>
      <c r="J188" s="4">
        <f t="shared" si="12"/>
        <v>0</v>
      </c>
      <c r="K188" s="5">
        <f t="shared" si="13"/>
        <v>0</v>
      </c>
      <c r="L188" s="2">
        <v>1233517.793070439</v>
      </c>
      <c r="M188" s="2">
        <v>168000</v>
      </c>
      <c r="N188" s="6">
        <f t="shared" si="14"/>
        <v>0</v>
      </c>
      <c r="O188" s="17">
        <f t="shared" si="15"/>
        <v>0.13619584649996735</v>
      </c>
      <c r="P188" s="18">
        <f t="shared" si="17"/>
        <v>5</v>
      </c>
      <c r="Q188" s="1">
        <f t="shared" si="16"/>
        <v>1</v>
      </c>
      <c r="R188" s="18">
        <v>7</v>
      </c>
      <c r="S188" s="18">
        <v>5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1</v>
      </c>
      <c r="J189" s="1">
        <f t="shared" si="12"/>
        <v>0</v>
      </c>
      <c r="K189" s="5">
        <f t="shared" si="13"/>
        <v>0.33333333333333331</v>
      </c>
      <c r="L189" s="2">
        <v>1233517.793070439</v>
      </c>
      <c r="M189" s="2">
        <v>1025000</v>
      </c>
      <c r="N189" s="6">
        <f t="shared" si="14"/>
        <v>1</v>
      </c>
      <c r="O189" s="17">
        <f t="shared" si="15"/>
        <v>0.83095680156230078</v>
      </c>
      <c r="P189" s="18">
        <f t="shared" si="17"/>
        <v>0</v>
      </c>
      <c r="Q189" s="1">
        <f t="shared" si="16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17754185</v>
      </c>
      <c r="B190" s="16" t="s">
        <v>37</v>
      </c>
      <c r="C190" s="16" t="s">
        <v>35</v>
      </c>
      <c r="D190" s="16" t="s">
        <v>440</v>
      </c>
      <c r="E190" s="16" t="s">
        <v>22</v>
      </c>
      <c r="F190" s="16" t="s">
        <v>38</v>
      </c>
      <c r="G190" s="21" t="s">
        <v>441</v>
      </c>
      <c r="H190" s="7">
        <v>3</v>
      </c>
      <c r="I190" s="1">
        <v>0</v>
      </c>
      <c r="J190" s="4">
        <f t="shared" si="12"/>
        <v>0</v>
      </c>
      <c r="K190" s="5">
        <f t="shared" si="13"/>
        <v>0</v>
      </c>
      <c r="L190" s="2">
        <v>12908778</v>
      </c>
      <c r="M190" s="2">
        <v>1260000</v>
      </c>
      <c r="N190" s="6">
        <f t="shared" si="14"/>
        <v>1</v>
      </c>
      <c r="O190" s="17">
        <f t="shared" si="15"/>
        <v>9.7607999765740805E-2</v>
      </c>
      <c r="P190" s="18">
        <f t="shared" si="17"/>
        <v>1</v>
      </c>
      <c r="Q190" s="1">
        <f t="shared" si="16"/>
        <v>0</v>
      </c>
      <c r="R190" s="18">
        <v>5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17634230</v>
      </c>
      <c r="B191" s="16" t="s">
        <v>148</v>
      </c>
      <c r="C191" s="16" t="s">
        <v>35</v>
      </c>
      <c r="D191" s="16" t="s">
        <v>442</v>
      </c>
      <c r="E191" s="16" t="s">
        <v>26</v>
      </c>
      <c r="F191" s="16" t="s">
        <v>38</v>
      </c>
      <c r="G191" s="21" t="s">
        <v>441</v>
      </c>
      <c r="H191" s="7">
        <v>5.8202780603594357</v>
      </c>
      <c r="I191" s="1">
        <v>0</v>
      </c>
      <c r="J191" s="4">
        <f t="shared" si="12"/>
        <v>0</v>
      </c>
      <c r="K191" s="5">
        <f t="shared" si="13"/>
        <v>0</v>
      </c>
      <c r="L191" s="2">
        <v>1233517.793070439</v>
      </c>
      <c r="M191" s="2">
        <v>6318000</v>
      </c>
      <c r="N191" s="6">
        <f t="shared" si="14"/>
        <v>1</v>
      </c>
      <c r="O191" s="17">
        <f t="shared" si="15"/>
        <v>5.121936655873772</v>
      </c>
      <c r="P191" s="18">
        <f t="shared" si="17"/>
        <v>5</v>
      </c>
      <c r="Q191" s="1">
        <f t="shared" si="16"/>
        <v>1</v>
      </c>
      <c r="R191" s="18">
        <v>8</v>
      </c>
      <c r="S191" s="18">
        <v>5</v>
      </c>
      <c r="T191" s="18">
        <v>0</v>
      </c>
      <c r="U191" s="3">
        <v>0</v>
      </c>
      <c r="V191" s="3">
        <v>0</v>
      </c>
      <c r="W191" s="3">
        <v>0</v>
      </c>
      <c r="X191" s="3">
        <v>1</v>
      </c>
      <c r="Y191" s="3">
        <v>0</v>
      </c>
      <c r="Z191" s="3">
        <v>0</v>
      </c>
    </row>
    <row r="192" spans="1:26" ht="26">
      <c r="A192" s="16">
        <v>17245632</v>
      </c>
      <c r="B192" s="16" t="s">
        <v>180</v>
      </c>
      <c r="C192" s="16" t="s">
        <v>35</v>
      </c>
      <c r="D192" s="16" t="s">
        <v>440</v>
      </c>
      <c r="E192" s="16" t="s">
        <v>22</v>
      </c>
      <c r="F192" s="16" t="s">
        <v>38</v>
      </c>
      <c r="G192" s="21" t="s">
        <v>441</v>
      </c>
      <c r="H192" s="7">
        <v>3</v>
      </c>
      <c r="I192" s="1">
        <v>0</v>
      </c>
      <c r="J192" s="4">
        <f t="shared" si="12"/>
        <v>0</v>
      </c>
      <c r="K192" s="5">
        <f t="shared" si="13"/>
        <v>0</v>
      </c>
      <c r="L192" s="2">
        <v>2572302.4230823722</v>
      </c>
      <c r="M192" s="2">
        <v>840000</v>
      </c>
      <c r="N192" s="6">
        <f t="shared" si="14"/>
        <v>1</v>
      </c>
      <c r="O192" s="17">
        <f t="shared" si="15"/>
        <v>0.32655569285412167</v>
      </c>
      <c r="P192" s="18">
        <f t="shared" si="17"/>
        <v>0</v>
      </c>
      <c r="Q192" s="1">
        <f t="shared" si="16"/>
        <v>0</v>
      </c>
      <c r="R192" s="18">
        <v>5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16">
        <v>17379579</v>
      </c>
      <c r="B193" s="16" t="s">
        <v>357</v>
      </c>
      <c r="C193" s="16" t="s">
        <v>35</v>
      </c>
      <c r="D193" s="16" t="s">
        <v>442</v>
      </c>
      <c r="E193" s="16" t="s">
        <v>22</v>
      </c>
      <c r="F193" s="16" t="s">
        <v>38</v>
      </c>
      <c r="G193" s="21" t="s">
        <v>441</v>
      </c>
      <c r="H193" s="7">
        <v>13.30349270939303</v>
      </c>
      <c r="I193" s="1">
        <v>0</v>
      </c>
      <c r="J193" s="1">
        <f t="shared" si="12"/>
        <v>0</v>
      </c>
      <c r="K193" s="5">
        <f t="shared" si="13"/>
        <v>0</v>
      </c>
      <c r="L193" s="2">
        <v>1233517.793070439</v>
      </c>
      <c r="M193" s="2">
        <v>840000</v>
      </c>
      <c r="N193" s="6">
        <f t="shared" si="14"/>
        <v>1</v>
      </c>
      <c r="O193" s="17">
        <f t="shared" si="15"/>
        <v>0.68097923249983672</v>
      </c>
      <c r="P193" s="18">
        <f t="shared" si="17"/>
        <v>0</v>
      </c>
      <c r="Q193" s="1">
        <f t="shared" si="16"/>
        <v>0</v>
      </c>
      <c r="R193" s="18">
        <v>9</v>
      </c>
      <c r="S193" s="18">
        <v>0</v>
      </c>
      <c r="T193" s="18">
        <v>0</v>
      </c>
      <c r="U193" s="3">
        <v>0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17692847</v>
      </c>
      <c r="B194" s="16" t="s">
        <v>389</v>
      </c>
      <c r="C194" s="16" t="s">
        <v>35</v>
      </c>
      <c r="D194" s="16" t="s">
        <v>442</v>
      </c>
      <c r="E194" s="16" t="s">
        <v>26</v>
      </c>
      <c r="F194" s="16" t="s">
        <v>38</v>
      </c>
      <c r="G194" s="21" t="s">
        <v>441</v>
      </c>
      <c r="H194" s="7">
        <v>5.4045439131909321</v>
      </c>
      <c r="I194" s="1">
        <v>0</v>
      </c>
      <c r="J194" s="4">
        <f t="shared" si="12"/>
        <v>0</v>
      </c>
      <c r="K194" s="5">
        <f t="shared" si="13"/>
        <v>0</v>
      </c>
      <c r="L194" s="2">
        <v>1233517.793070439</v>
      </c>
      <c r="M194" s="2">
        <v>5265000</v>
      </c>
      <c r="N194" s="6">
        <f t="shared" si="14"/>
        <v>1</v>
      </c>
      <c r="O194" s="17">
        <f t="shared" si="15"/>
        <v>4.2682805465614768</v>
      </c>
      <c r="P194" s="18">
        <f t="shared" si="17"/>
        <v>4</v>
      </c>
      <c r="Q194" s="1">
        <f t="shared" si="16"/>
        <v>1</v>
      </c>
      <c r="R194" s="18">
        <v>8</v>
      </c>
      <c r="S194" s="18">
        <v>4</v>
      </c>
      <c r="T194" s="18">
        <v>0</v>
      </c>
      <c r="U194" s="3">
        <v>0</v>
      </c>
      <c r="V194" s="3">
        <v>0</v>
      </c>
      <c r="W194" s="3">
        <v>0</v>
      </c>
      <c r="X194" s="3">
        <v>1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2"/>
        <v>0</v>
      </c>
      <c r="K195" s="5">
        <f t="shared" si="13"/>
        <v>0</v>
      </c>
      <c r="L195" s="2">
        <v>1233517.793070439</v>
      </c>
      <c r="M195" s="2">
        <v>300000</v>
      </c>
      <c r="N195" s="6">
        <f t="shared" si="14"/>
        <v>1</v>
      </c>
      <c r="O195" s="17">
        <f t="shared" si="15"/>
        <v>0.24320686874994168</v>
      </c>
      <c r="P195" s="18">
        <f t="shared" si="17"/>
        <v>5</v>
      </c>
      <c r="Q195" s="1">
        <f t="shared" si="16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0</v>
      </c>
      <c r="N196" s="6">
        <f t="shared" si="14"/>
        <v>0</v>
      </c>
      <c r="O196" s="17">
        <f t="shared" si="15"/>
        <v>0</v>
      </c>
      <c r="P196" s="18">
        <f t="shared" si="17"/>
        <v>0</v>
      </c>
      <c r="Q196" s="1">
        <f t="shared" si="16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0</v>
      </c>
      <c r="J197" s="4">
        <f t="shared" si="12"/>
        <v>0</v>
      </c>
      <c r="K197" s="5">
        <f t="shared" si="13"/>
        <v>0</v>
      </c>
      <c r="L197" s="2">
        <v>2549477.9785796599</v>
      </c>
      <c r="M197" s="2">
        <v>1500000</v>
      </c>
      <c r="N197" s="6">
        <f t="shared" si="14"/>
        <v>1</v>
      </c>
      <c r="O197" s="17">
        <f t="shared" si="15"/>
        <v>0.58835573894059101</v>
      </c>
      <c r="P197" s="18">
        <f t="shared" si="17"/>
        <v>0</v>
      </c>
      <c r="Q197" s="1">
        <f t="shared" si="16"/>
        <v>0</v>
      </c>
      <c r="R197" s="18">
        <v>8</v>
      </c>
      <c r="S197" s="18">
        <v>0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ref="J198:J261" si="18">IF(I198&gt;=3,1,0)</f>
        <v>0</v>
      </c>
      <c r="K198" s="5">
        <f t="shared" ref="K198:K261" si="19">I198/H198</f>
        <v>0</v>
      </c>
      <c r="L198" s="2">
        <v>12908778</v>
      </c>
      <c r="M198" s="2">
        <v>1040000</v>
      </c>
      <c r="N198" s="6">
        <f t="shared" ref="N198:N261" si="20">IF(M198&gt;=300000,1,0)</f>
        <v>1</v>
      </c>
      <c r="O198" s="17">
        <f t="shared" ref="O198:O261" si="21">M198/L198</f>
        <v>8.0565333139976533E-2</v>
      </c>
      <c r="P198" s="18">
        <f t="shared" si="17"/>
        <v>0</v>
      </c>
      <c r="Q198" s="1">
        <f t="shared" ref="Q198:Q261" si="22">IF(P198&gt;=3,1,0)</f>
        <v>0</v>
      </c>
      <c r="R198" s="18">
        <v>5</v>
      </c>
      <c r="S198" s="18">
        <v>0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3</v>
      </c>
      <c r="J199" s="4">
        <f t="shared" si="18"/>
        <v>1</v>
      </c>
      <c r="K199" s="5">
        <f t="shared" si="19"/>
        <v>0.33563488751470094</v>
      </c>
      <c r="L199" s="2">
        <v>22463880</v>
      </c>
      <c r="M199" s="2">
        <v>378000</v>
      </c>
      <c r="N199" s="6">
        <f t="shared" si="20"/>
        <v>1</v>
      </c>
      <c r="O199" s="17">
        <f t="shared" si="21"/>
        <v>1.6827012964812847E-2</v>
      </c>
      <c r="P199" s="18">
        <f t="shared" ref="P199:P262" si="23">S199</f>
        <v>0</v>
      </c>
      <c r="Q199" s="1">
        <f t="shared" si="22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3</v>
      </c>
      <c r="J200" s="4">
        <f t="shared" si="18"/>
        <v>1</v>
      </c>
      <c r="K200" s="5">
        <f t="shared" si="19"/>
        <v>0.41235143323234597</v>
      </c>
      <c r="L200" s="2">
        <v>1233517.793070439</v>
      </c>
      <c r="M200" s="2">
        <v>440000</v>
      </c>
      <c r="N200" s="6">
        <f t="shared" si="20"/>
        <v>1</v>
      </c>
      <c r="O200" s="17">
        <f t="shared" si="21"/>
        <v>0.35670340749991447</v>
      </c>
      <c r="P200" s="18">
        <f t="shared" si="23"/>
        <v>0</v>
      </c>
      <c r="Q200" s="1">
        <f t="shared" si="22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9</v>
      </c>
      <c r="J201" s="4">
        <f t="shared" si="18"/>
        <v>1</v>
      </c>
      <c r="K201" s="5">
        <f t="shared" si="19"/>
        <v>1.7318760195758531</v>
      </c>
      <c r="L201" s="2">
        <v>2574298.0029296018</v>
      </c>
      <c r="M201" s="2">
        <v>2240000</v>
      </c>
      <c r="N201" s="6">
        <f t="shared" si="20"/>
        <v>1</v>
      </c>
      <c r="O201" s="17">
        <f t="shared" si="21"/>
        <v>0.87014013041646143</v>
      </c>
      <c r="P201" s="18">
        <f t="shared" si="23"/>
        <v>0</v>
      </c>
      <c r="Q201" s="1">
        <f t="shared" si="22"/>
        <v>0</v>
      </c>
      <c r="R201" s="18">
        <v>8</v>
      </c>
      <c r="S201" s="18">
        <v>0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7</v>
      </c>
      <c r="J202" s="1">
        <f t="shared" si="18"/>
        <v>1</v>
      </c>
      <c r="K202" s="5">
        <f t="shared" si="19"/>
        <v>1.4</v>
      </c>
      <c r="L202" s="2">
        <v>2905564.257570155</v>
      </c>
      <c r="M202" s="2">
        <v>630000</v>
      </c>
      <c r="N202" s="6">
        <f t="shared" si="20"/>
        <v>1</v>
      </c>
      <c r="O202" s="17">
        <f t="shared" si="21"/>
        <v>0.21682535444143025</v>
      </c>
      <c r="P202" s="18">
        <f t="shared" si="23"/>
        <v>1</v>
      </c>
      <c r="Q202" s="1">
        <f t="shared" si="22"/>
        <v>0</v>
      </c>
      <c r="R202" s="18">
        <v>7</v>
      </c>
      <c r="S202" s="18">
        <v>1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0</v>
      </c>
      <c r="J203" s="4">
        <f t="shared" si="18"/>
        <v>0</v>
      </c>
      <c r="K203" s="5">
        <f t="shared" si="19"/>
        <v>0</v>
      </c>
      <c r="L203" s="2">
        <v>34799719.042036198</v>
      </c>
      <c r="M203" s="2">
        <v>3275000</v>
      </c>
      <c r="N203" s="6">
        <f t="shared" si="20"/>
        <v>1</v>
      </c>
      <c r="O203" s="17">
        <f t="shared" si="21"/>
        <v>9.410995519946512E-2</v>
      </c>
      <c r="P203" s="18">
        <f t="shared" si="23"/>
        <v>2</v>
      </c>
      <c r="Q203" s="1">
        <f t="shared" si="22"/>
        <v>0</v>
      </c>
      <c r="R203" s="18">
        <v>6</v>
      </c>
      <c r="S203" s="18">
        <v>2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17</v>
      </c>
      <c r="J204" s="4">
        <f t="shared" si="18"/>
        <v>1</v>
      </c>
      <c r="K204" s="5">
        <f t="shared" si="19"/>
        <v>5.4522022838499167</v>
      </c>
      <c r="L204" s="2">
        <v>22463880</v>
      </c>
      <c r="M204" s="2">
        <v>5910000</v>
      </c>
      <c r="N204" s="6">
        <f t="shared" si="20"/>
        <v>1</v>
      </c>
      <c r="O204" s="17">
        <f t="shared" si="21"/>
        <v>0.26308901222762943</v>
      </c>
      <c r="P204" s="18">
        <f t="shared" si="23"/>
        <v>3</v>
      </c>
      <c r="Q204" s="1">
        <f t="shared" si="22"/>
        <v>1</v>
      </c>
      <c r="R204" s="18">
        <v>6</v>
      </c>
      <c r="S204" s="18">
        <v>3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8"/>
        <v>0</v>
      </c>
      <c r="K205" s="5">
        <f t="shared" si="19"/>
        <v>0</v>
      </c>
      <c r="L205" s="2">
        <v>6018419.3717715694</v>
      </c>
      <c r="M205" s="2">
        <v>168000</v>
      </c>
      <c r="N205" s="6">
        <f t="shared" si="20"/>
        <v>0</v>
      </c>
      <c r="O205" s="17">
        <f t="shared" si="21"/>
        <v>2.7914306003329885E-2</v>
      </c>
      <c r="P205" s="18">
        <f t="shared" si="23"/>
        <v>5</v>
      </c>
      <c r="Q205" s="1">
        <f t="shared" si="22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8"/>
        <v>0</v>
      </c>
      <c r="K206" s="5">
        <f t="shared" si="19"/>
        <v>0</v>
      </c>
      <c r="L206" s="2">
        <v>6018419.3717715694</v>
      </c>
      <c r="M206" s="2">
        <v>1680000</v>
      </c>
      <c r="N206" s="6">
        <f t="shared" si="20"/>
        <v>1</v>
      </c>
      <c r="O206" s="17">
        <f t="shared" si="21"/>
        <v>0.27914306003329886</v>
      </c>
      <c r="P206" s="18">
        <f t="shared" si="23"/>
        <v>5</v>
      </c>
      <c r="Q206" s="1">
        <f t="shared" si="22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17611702</v>
      </c>
      <c r="B207" s="16" t="s">
        <v>34</v>
      </c>
      <c r="C207" s="16" t="s">
        <v>35</v>
      </c>
      <c r="D207" s="16" t="s">
        <v>442</v>
      </c>
      <c r="E207" s="16" t="s">
        <v>26</v>
      </c>
      <c r="F207" s="16" t="s">
        <v>36</v>
      </c>
      <c r="G207" s="21" t="s">
        <v>441</v>
      </c>
      <c r="H207" s="7">
        <v>7.2753475754493193</v>
      </c>
      <c r="I207" s="1">
        <v>0</v>
      </c>
      <c r="J207" s="4">
        <f t="shared" si="18"/>
        <v>0</v>
      </c>
      <c r="K207" s="5">
        <f t="shared" si="19"/>
        <v>0</v>
      </c>
      <c r="L207" s="2">
        <v>1233517.793070439</v>
      </c>
      <c r="M207" s="2">
        <v>1410000</v>
      </c>
      <c r="N207" s="6">
        <f t="shared" si="20"/>
        <v>1</v>
      </c>
      <c r="O207" s="17">
        <f t="shared" si="21"/>
        <v>1.143072283124726</v>
      </c>
      <c r="P207" s="18">
        <f t="shared" si="23"/>
        <v>3</v>
      </c>
      <c r="Q207" s="1">
        <f t="shared" si="22"/>
        <v>1</v>
      </c>
      <c r="R207" s="18">
        <v>10</v>
      </c>
      <c r="S207" s="18">
        <v>3</v>
      </c>
      <c r="T207" s="18">
        <v>0</v>
      </c>
      <c r="U207" s="3">
        <v>0</v>
      </c>
      <c r="V207" s="3">
        <v>0</v>
      </c>
      <c r="W207" s="3">
        <v>0</v>
      </c>
      <c r="X207" s="3">
        <v>1</v>
      </c>
      <c r="Y207" s="3">
        <v>0</v>
      </c>
      <c r="Z207" s="3">
        <v>0</v>
      </c>
    </row>
    <row r="208" spans="1:26" ht="26">
      <c r="A208" s="16">
        <v>17572210</v>
      </c>
      <c r="B208" s="16" t="s">
        <v>394</v>
      </c>
      <c r="C208" s="16" t="s">
        <v>35</v>
      </c>
      <c r="D208" s="16" t="s">
        <v>440</v>
      </c>
      <c r="E208" s="16" t="s">
        <v>22</v>
      </c>
      <c r="F208" s="16" t="s">
        <v>36</v>
      </c>
      <c r="G208" s="21" t="s">
        <v>441</v>
      </c>
      <c r="H208" s="7">
        <v>6.0281451339437124</v>
      </c>
      <c r="I208" s="1">
        <v>0</v>
      </c>
      <c r="J208" s="1">
        <f t="shared" si="18"/>
        <v>0</v>
      </c>
      <c r="K208" s="5">
        <f t="shared" si="19"/>
        <v>0</v>
      </c>
      <c r="L208" s="2">
        <v>19880654</v>
      </c>
      <c r="M208" s="2">
        <v>2520000</v>
      </c>
      <c r="N208" s="6">
        <f t="shared" si="20"/>
        <v>1</v>
      </c>
      <c r="O208" s="17">
        <f t="shared" si="21"/>
        <v>0.12675639342649392</v>
      </c>
      <c r="P208" s="18">
        <f t="shared" si="23"/>
        <v>0</v>
      </c>
      <c r="Q208" s="1">
        <f t="shared" si="22"/>
        <v>0</v>
      </c>
      <c r="R208" s="18">
        <v>9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0</v>
      </c>
      <c r="J209" s="4">
        <f t="shared" si="18"/>
        <v>0</v>
      </c>
      <c r="K209" s="5">
        <f t="shared" si="19"/>
        <v>0</v>
      </c>
      <c r="L209" s="2">
        <v>1233517.793070439</v>
      </c>
      <c r="M209" s="2">
        <v>132000</v>
      </c>
      <c r="N209" s="6">
        <f t="shared" si="20"/>
        <v>0</v>
      </c>
      <c r="O209" s="17">
        <f t="shared" si="21"/>
        <v>0.10701102224997434</v>
      </c>
      <c r="P209" s="18">
        <f t="shared" si="23"/>
        <v>0</v>
      </c>
      <c r="Q209" s="1">
        <f t="shared" si="22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0</v>
      </c>
      <c r="J210" s="1">
        <f t="shared" si="18"/>
        <v>0</v>
      </c>
      <c r="K210" s="5">
        <f t="shared" si="19"/>
        <v>0</v>
      </c>
      <c r="L210" s="2">
        <v>29626053.564346101</v>
      </c>
      <c r="M210" s="2">
        <v>1000000</v>
      </c>
      <c r="N210" s="6">
        <f t="shared" si="20"/>
        <v>1</v>
      </c>
      <c r="O210" s="17">
        <f t="shared" si="21"/>
        <v>3.3754073853544377E-2</v>
      </c>
      <c r="P210" s="18">
        <f t="shared" si="23"/>
        <v>0</v>
      </c>
      <c r="Q210" s="1">
        <f t="shared" si="22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0</v>
      </c>
      <c r="J211" s="1">
        <f t="shared" si="18"/>
        <v>0</v>
      </c>
      <c r="K211" s="5">
        <f t="shared" si="19"/>
        <v>0</v>
      </c>
      <c r="L211" s="2">
        <v>1233517.793070439</v>
      </c>
      <c r="M211" s="2">
        <v>132000</v>
      </c>
      <c r="N211" s="6">
        <f t="shared" si="20"/>
        <v>0</v>
      </c>
      <c r="O211" s="17">
        <f t="shared" si="21"/>
        <v>0.10701102224997434</v>
      </c>
      <c r="P211" s="18">
        <f t="shared" si="23"/>
        <v>5</v>
      </c>
      <c r="Q211" s="1">
        <f t="shared" si="22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0</v>
      </c>
      <c r="J212" s="1">
        <f t="shared" si="18"/>
        <v>0</v>
      </c>
      <c r="K212" s="5">
        <f t="shared" si="19"/>
        <v>0</v>
      </c>
      <c r="L212" s="2">
        <v>1233517.793070439</v>
      </c>
      <c r="M212" s="2">
        <v>170000</v>
      </c>
      <c r="N212" s="6">
        <f t="shared" si="20"/>
        <v>0</v>
      </c>
      <c r="O212" s="17">
        <f t="shared" si="21"/>
        <v>0.13781722562496695</v>
      </c>
      <c r="P212" s="18">
        <f t="shared" si="23"/>
        <v>0</v>
      </c>
      <c r="Q212" s="1">
        <f t="shared" si="22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0</v>
      </c>
      <c r="J213" s="1">
        <f t="shared" si="18"/>
        <v>0</v>
      </c>
      <c r="K213" s="5">
        <f t="shared" si="19"/>
        <v>0</v>
      </c>
      <c r="L213" s="2">
        <v>1233517.793070439</v>
      </c>
      <c r="M213" s="2">
        <v>132000</v>
      </c>
      <c r="N213" s="6">
        <f t="shared" si="20"/>
        <v>0</v>
      </c>
      <c r="O213" s="17">
        <f t="shared" si="21"/>
        <v>0.10701102224997434</v>
      </c>
      <c r="P213" s="18">
        <f t="shared" si="23"/>
        <v>0</v>
      </c>
      <c r="Q213" s="1">
        <f t="shared" si="22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0</v>
      </c>
      <c r="J214" s="1">
        <f t="shared" si="18"/>
        <v>0</v>
      </c>
      <c r="K214" s="5">
        <f t="shared" si="19"/>
        <v>0</v>
      </c>
      <c r="L214" s="2">
        <v>300000</v>
      </c>
      <c r="M214" s="2">
        <v>132000</v>
      </c>
      <c r="N214" s="6">
        <f t="shared" si="20"/>
        <v>0</v>
      </c>
      <c r="O214" s="17">
        <f t="shared" si="21"/>
        <v>0.44</v>
      </c>
      <c r="P214" s="18">
        <f t="shared" si="23"/>
        <v>0</v>
      </c>
      <c r="Q214" s="1">
        <f t="shared" si="22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20">
        <v>17741675</v>
      </c>
      <c r="B215" s="20" t="s">
        <v>475</v>
      </c>
      <c r="C215" s="16" t="s">
        <v>21</v>
      </c>
      <c r="D215" s="20" t="s">
        <v>442</v>
      </c>
      <c r="E215" s="16" t="s">
        <v>26</v>
      </c>
      <c r="F215" s="22" t="s">
        <v>129</v>
      </c>
      <c r="G215" s="20" t="s">
        <v>441</v>
      </c>
      <c r="H215" s="7">
        <v>2.7022719565954572</v>
      </c>
      <c r="I215" s="1">
        <v>0</v>
      </c>
      <c r="J215" s="1">
        <f t="shared" si="18"/>
        <v>0</v>
      </c>
      <c r="K215" s="5">
        <f t="shared" si="19"/>
        <v>0</v>
      </c>
      <c r="L215" s="2">
        <v>300000</v>
      </c>
      <c r="M215" s="2">
        <v>132000</v>
      </c>
      <c r="N215" s="6">
        <f t="shared" si="20"/>
        <v>0</v>
      </c>
      <c r="O215" s="17">
        <f t="shared" si="21"/>
        <v>0.44</v>
      </c>
      <c r="P215" s="18">
        <f t="shared" si="23"/>
        <v>0</v>
      </c>
      <c r="Q215" s="1">
        <f t="shared" si="22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17446543</v>
      </c>
      <c r="B216" s="16" t="s">
        <v>270</v>
      </c>
      <c r="C216" s="16" t="s">
        <v>35</v>
      </c>
      <c r="D216" s="16" t="s">
        <v>442</v>
      </c>
      <c r="E216" s="16" t="s">
        <v>26</v>
      </c>
      <c r="F216" s="16" t="s">
        <v>271</v>
      </c>
      <c r="G216" s="21" t="s">
        <v>441</v>
      </c>
      <c r="H216" s="7">
        <v>5</v>
      </c>
      <c r="I216" s="1">
        <v>0</v>
      </c>
      <c r="J216" s="1">
        <f t="shared" si="18"/>
        <v>0</v>
      </c>
      <c r="K216" s="5">
        <f t="shared" si="19"/>
        <v>0</v>
      </c>
      <c r="L216" s="2">
        <v>1233517.793070439</v>
      </c>
      <c r="M216" s="2">
        <v>0</v>
      </c>
      <c r="N216" s="6">
        <f t="shared" si="20"/>
        <v>0</v>
      </c>
      <c r="O216" s="17">
        <f t="shared" si="21"/>
        <v>0</v>
      </c>
      <c r="P216" s="18">
        <f t="shared" si="23"/>
        <v>5</v>
      </c>
      <c r="Q216" s="1">
        <f t="shared" si="22"/>
        <v>1</v>
      </c>
      <c r="R216" s="18">
        <v>7</v>
      </c>
      <c r="S216" s="18">
        <v>5</v>
      </c>
      <c r="T216" s="18">
        <v>0</v>
      </c>
      <c r="U216" s="3">
        <v>0</v>
      </c>
      <c r="V216" s="3">
        <v>0</v>
      </c>
      <c r="W216" s="3">
        <v>0</v>
      </c>
      <c r="X216" s="3">
        <v>1</v>
      </c>
      <c r="Y216" s="3">
        <v>0</v>
      </c>
      <c r="Z216" s="3">
        <v>0</v>
      </c>
    </row>
    <row r="217" spans="1:26" ht="26">
      <c r="A217" s="16">
        <v>17377232</v>
      </c>
      <c r="B217" s="16" t="s">
        <v>277</v>
      </c>
      <c r="C217" s="16" t="s">
        <v>35</v>
      </c>
      <c r="D217" s="16" t="s">
        <v>442</v>
      </c>
      <c r="E217" s="16" t="s">
        <v>26</v>
      </c>
      <c r="F217" s="16" t="s">
        <v>271</v>
      </c>
      <c r="G217" s="21" t="s">
        <v>441</v>
      </c>
      <c r="H217" s="7">
        <v>3</v>
      </c>
      <c r="I217" s="1">
        <v>0</v>
      </c>
      <c r="J217" s="4">
        <f t="shared" si="18"/>
        <v>0</v>
      </c>
      <c r="K217" s="5">
        <f t="shared" si="19"/>
        <v>0</v>
      </c>
      <c r="L217" s="2">
        <v>1233517.793070439</v>
      </c>
      <c r="M217" s="2">
        <v>0</v>
      </c>
      <c r="N217" s="6">
        <f t="shared" si="20"/>
        <v>0</v>
      </c>
      <c r="O217" s="17">
        <f t="shared" si="21"/>
        <v>0</v>
      </c>
      <c r="P217" s="18">
        <f t="shared" si="23"/>
        <v>0</v>
      </c>
      <c r="Q217" s="1">
        <f t="shared" si="22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0</v>
      </c>
      <c r="W217" s="3">
        <v>0</v>
      </c>
      <c r="X217" s="3">
        <v>1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7">
        <f t="shared" si="21"/>
        <v>0</v>
      </c>
      <c r="P218" s="18">
        <f t="shared" si="23"/>
        <v>5</v>
      </c>
      <c r="Q218" s="1">
        <f t="shared" si="22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17634254</v>
      </c>
      <c r="B219" s="16" t="s">
        <v>150</v>
      </c>
      <c r="C219" s="16" t="s">
        <v>35</v>
      </c>
      <c r="D219" s="16" t="s">
        <v>442</v>
      </c>
      <c r="E219" s="16" t="s">
        <v>26</v>
      </c>
      <c r="F219" s="16" t="s">
        <v>151</v>
      </c>
      <c r="G219" s="21" t="s">
        <v>441</v>
      </c>
      <c r="H219" s="7">
        <v>10</v>
      </c>
      <c r="I219" s="1">
        <v>0</v>
      </c>
      <c r="J219" s="4">
        <f t="shared" si="18"/>
        <v>0</v>
      </c>
      <c r="K219" s="5">
        <f t="shared" si="19"/>
        <v>0</v>
      </c>
      <c r="L219" s="2">
        <v>1233517.793070439</v>
      </c>
      <c r="M219" s="2">
        <v>0</v>
      </c>
      <c r="N219" s="6">
        <f t="shared" si="20"/>
        <v>0</v>
      </c>
      <c r="O219" s="17">
        <f t="shared" si="21"/>
        <v>0</v>
      </c>
      <c r="P219" s="18">
        <f t="shared" si="23"/>
        <v>0</v>
      </c>
      <c r="Q219" s="1">
        <f t="shared" si="22"/>
        <v>0</v>
      </c>
      <c r="R219" s="18">
        <v>12</v>
      </c>
      <c r="S219" s="18">
        <v>0</v>
      </c>
      <c r="T219" s="18">
        <v>0</v>
      </c>
      <c r="U219" s="3">
        <v>0</v>
      </c>
      <c r="V219" s="3">
        <v>0</v>
      </c>
      <c r="W219" s="3">
        <v>0</v>
      </c>
      <c r="X219" s="3">
        <v>1</v>
      </c>
      <c r="Y219" s="3">
        <v>0</v>
      </c>
      <c r="Z219" s="3">
        <v>0</v>
      </c>
    </row>
    <row r="220" spans="1:26" ht="26">
      <c r="A220" s="16">
        <v>17449128</v>
      </c>
      <c r="B220" s="16" t="s">
        <v>286</v>
      </c>
      <c r="C220" s="16" t="s">
        <v>35</v>
      </c>
      <c r="D220" s="16" t="s">
        <v>442</v>
      </c>
      <c r="E220" s="16" t="s">
        <v>22</v>
      </c>
      <c r="F220" s="16" t="s">
        <v>151</v>
      </c>
      <c r="G220" s="21" t="s">
        <v>441</v>
      </c>
      <c r="H220" s="7">
        <v>4.9888097660223796</v>
      </c>
      <c r="I220" s="1">
        <v>0</v>
      </c>
      <c r="J220" s="4">
        <f t="shared" si="18"/>
        <v>0</v>
      </c>
      <c r="K220" s="5">
        <f t="shared" si="19"/>
        <v>0</v>
      </c>
      <c r="L220" s="2">
        <v>1233517.793070439</v>
      </c>
      <c r="M220" s="2">
        <v>0</v>
      </c>
      <c r="N220" s="6">
        <f t="shared" si="20"/>
        <v>0</v>
      </c>
      <c r="O220" s="17">
        <f t="shared" si="21"/>
        <v>0</v>
      </c>
      <c r="P220" s="18">
        <f t="shared" si="23"/>
        <v>0</v>
      </c>
      <c r="Q220" s="1">
        <f t="shared" si="22"/>
        <v>0</v>
      </c>
      <c r="R220" s="18">
        <v>7</v>
      </c>
      <c r="S220" s="18">
        <v>0</v>
      </c>
      <c r="T220" s="18">
        <v>0</v>
      </c>
      <c r="U220" s="3">
        <v>0</v>
      </c>
      <c r="V220" s="3">
        <v>0</v>
      </c>
      <c r="W220" s="3">
        <v>0</v>
      </c>
      <c r="X220" s="3">
        <v>1</v>
      </c>
      <c r="Y220" s="3">
        <v>0</v>
      </c>
      <c r="Z220" s="3">
        <v>0</v>
      </c>
    </row>
    <row r="221" spans="1:26" ht="26">
      <c r="A221" s="16">
        <v>17478838</v>
      </c>
      <c r="B221" s="16" t="s">
        <v>293</v>
      </c>
      <c r="C221" s="16" t="s">
        <v>35</v>
      </c>
      <c r="D221" s="16" t="s">
        <v>440</v>
      </c>
      <c r="E221" s="16" t="s">
        <v>22</v>
      </c>
      <c r="F221" s="16" t="s">
        <v>151</v>
      </c>
      <c r="G221" s="21" t="s">
        <v>441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7">
        <f t="shared" si="21"/>
        <v>0.64211106179658806</v>
      </c>
      <c r="P221" s="18">
        <f t="shared" si="23"/>
        <v>0</v>
      </c>
      <c r="Q221" s="1">
        <f t="shared" si="22"/>
        <v>0</v>
      </c>
      <c r="R221" s="18">
        <v>9</v>
      </c>
      <c r="S221" s="18">
        <v>0</v>
      </c>
      <c r="T221" s="18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18"/>
        <v>0</v>
      </c>
      <c r="K222" s="5">
        <f t="shared" si="19"/>
        <v>0</v>
      </c>
      <c r="L222" s="2">
        <v>1233517.793070439</v>
      </c>
      <c r="M222" s="2">
        <v>300000</v>
      </c>
      <c r="N222" s="6">
        <f t="shared" si="20"/>
        <v>1</v>
      </c>
      <c r="O222" s="17">
        <f t="shared" si="21"/>
        <v>0.24320686874994168</v>
      </c>
      <c r="P222" s="18">
        <f t="shared" si="23"/>
        <v>5</v>
      </c>
      <c r="Q222" s="1">
        <f t="shared" si="22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18"/>
        <v>0</v>
      </c>
      <c r="K223" s="5">
        <f t="shared" si="19"/>
        <v>0</v>
      </c>
      <c r="L223" s="2">
        <v>1233517.793070439</v>
      </c>
      <c r="M223" s="2">
        <v>132000</v>
      </c>
      <c r="N223" s="6">
        <f t="shared" si="20"/>
        <v>0</v>
      </c>
      <c r="O223" s="17">
        <f t="shared" si="21"/>
        <v>0.10701102224997434</v>
      </c>
      <c r="P223" s="18">
        <f t="shared" si="23"/>
        <v>6</v>
      </c>
      <c r="Q223" s="1">
        <f t="shared" si="22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18"/>
        <v>0</v>
      </c>
      <c r="K224" s="5">
        <f t="shared" si="19"/>
        <v>0</v>
      </c>
      <c r="L224" s="2">
        <v>1233517.793070439</v>
      </c>
      <c r="M224" s="2">
        <v>85000</v>
      </c>
      <c r="N224" s="6">
        <f t="shared" si="20"/>
        <v>0</v>
      </c>
      <c r="O224" s="17">
        <f t="shared" si="21"/>
        <v>6.8908612812483477E-2</v>
      </c>
      <c r="P224" s="18">
        <f t="shared" si="23"/>
        <v>0</v>
      </c>
      <c r="Q224" s="1">
        <f t="shared" si="22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18"/>
        <v>0</v>
      </c>
      <c r="K225" s="5">
        <f t="shared" si="19"/>
        <v>0</v>
      </c>
      <c r="L225" s="2">
        <v>1233517.793070439</v>
      </c>
      <c r="M225" s="2">
        <v>300000</v>
      </c>
      <c r="N225" s="6">
        <f t="shared" si="20"/>
        <v>1</v>
      </c>
      <c r="O225" s="17">
        <f t="shared" si="21"/>
        <v>0.24320686874994168</v>
      </c>
      <c r="P225" s="18">
        <f t="shared" si="23"/>
        <v>0</v>
      </c>
      <c r="Q225" s="1">
        <f t="shared" si="22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0</v>
      </c>
      <c r="J226" s="1">
        <f t="shared" si="18"/>
        <v>0</v>
      </c>
      <c r="K226" s="5">
        <f t="shared" si="19"/>
        <v>0</v>
      </c>
      <c r="L226" s="2">
        <v>1233517.793070439</v>
      </c>
      <c r="M226" s="2">
        <v>132000</v>
      </c>
      <c r="N226" s="6">
        <f t="shared" si="20"/>
        <v>0</v>
      </c>
      <c r="O226" s="17">
        <f t="shared" si="21"/>
        <v>0.10701102224997434</v>
      </c>
      <c r="P226" s="18">
        <f t="shared" si="23"/>
        <v>0</v>
      </c>
      <c r="Q226" s="1">
        <f t="shared" si="22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0</v>
      </c>
      <c r="J227" s="1">
        <f t="shared" si="18"/>
        <v>0</v>
      </c>
      <c r="K227" s="5">
        <f t="shared" si="19"/>
        <v>0</v>
      </c>
      <c r="L227" s="2">
        <v>1233517.793070439</v>
      </c>
      <c r="M227" s="2">
        <v>0</v>
      </c>
      <c r="N227" s="6">
        <f t="shared" si="20"/>
        <v>0</v>
      </c>
      <c r="O227" s="17">
        <f t="shared" si="21"/>
        <v>0</v>
      </c>
      <c r="P227" s="18">
        <f t="shared" si="23"/>
        <v>0</v>
      </c>
      <c r="Q227" s="1">
        <f t="shared" si="22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0</v>
      </c>
      <c r="J228" s="1">
        <f t="shared" si="18"/>
        <v>0</v>
      </c>
      <c r="K228" s="5">
        <f t="shared" si="19"/>
        <v>0</v>
      </c>
      <c r="L228" s="2">
        <v>1233517.793070439</v>
      </c>
      <c r="M228" s="2">
        <v>132000</v>
      </c>
      <c r="N228" s="6">
        <f t="shared" si="20"/>
        <v>0</v>
      </c>
      <c r="O228" s="17">
        <f t="shared" si="21"/>
        <v>0.10701102224997434</v>
      </c>
      <c r="P228" s="18">
        <f t="shared" si="23"/>
        <v>0</v>
      </c>
      <c r="Q228" s="1">
        <f t="shared" si="22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0</v>
      </c>
      <c r="J229" s="1">
        <f t="shared" si="18"/>
        <v>0</v>
      </c>
      <c r="K229" s="5">
        <f t="shared" si="19"/>
        <v>0</v>
      </c>
      <c r="L229" s="2">
        <v>1233517.793070439</v>
      </c>
      <c r="M229" s="2">
        <v>217000</v>
      </c>
      <c r="N229" s="6">
        <f t="shared" si="20"/>
        <v>0</v>
      </c>
      <c r="O229" s="17">
        <f t="shared" si="21"/>
        <v>0.17591963506245784</v>
      </c>
      <c r="P229" s="18">
        <f t="shared" si="23"/>
        <v>0</v>
      </c>
      <c r="Q229" s="1">
        <f t="shared" si="22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0</v>
      </c>
      <c r="J230" s="4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7">
        <f t="shared" si="21"/>
        <v>0.13619584649996735</v>
      </c>
      <c r="P230" s="18">
        <f t="shared" si="23"/>
        <v>5</v>
      </c>
      <c r="Q230" s="1">
        <f t="shared" si="22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0</v>
      </c>
      <c r="J231" s="1">
        <f t="shared" si="18"/>
        <v>0</v>
      </c>
      <c r="K231" s="5">
        <f t="shared" si="19"/>
        <v>0</v>
      </c>
      <c r="L231" s="2">
        <v>1233517.793070439</v>
      </c>
      <c r="M231" s="2">
        <v>217000</v>
      </c>
      <c r="N231" s="6">
        <f t="shared" si="20"/>
        <v>0</v>
      </c>
      <c r="O231" s="17">
        <f t="shared" si="21"/>
        <v>0.17591963506245784</v>
      </c>
      <c r="P231" s="18">
        <f t="shared" si="23"/>
        <v>1</v>
      </c>
      <c r="Q231" s="1">
        <f t="shared" si="22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0</v>
      </c>
      <c r="J232" s="4">
        <f t="shared" si="18"/>
        <v>0</v>
      </c>
      <c r="K232" s="5">
        <f t="shared" si="19"/>
        <v>0</v>
      </c>
      <c r="L232" s="2">
        <v>1233517.793070439</v>
      </c>
      <c r="M232" s="2">
        <v>253000</v>
      </c>
      <c r="N232" s="6">
        <f t="shared" si="20"/>
        <v>0</v>
      </c>
      <c r="O232" s="17">
        <f t="shared" si="21"/>
        <v>0.20510445931245083</v>
      </c>
      <c r="P232" s="18">
        <f t="shared" si="23"/>
        <v>0</v>
      </c>
      <c r="Q232" s="1">
        <f t="shared" si="22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0</v>
      </c>
      <c r="J233" s="4">
        <f t="shared" si="18"/>
        <v>0</v>
      </c>
      <c r="K233" s="5">
        <f t="shared" si="19"/>
        <v>0</v>
      </c>
      <c r="L233" s="2">
        <v>1233517.793070439</v>
      </c>
      <c r="M233" s="2">
        <v>132000</v>
      </c>
      <c r="N233" s="6">
        <f t="shared" si="20"/>
        <v>0</v>
      </c>
      <c r="O233" s="17">
        <f t="shared" si="21"/>
        <v>0.10701102224997434</v>
      </c>
      <c r="P233" s="18">
        <f t="shared" si="23"/>
        <v>0</v>
      </c>
      <c r="Q233" s="1">
        <f t="shared" si="22"/>
        <v>0</v>
      </c>
      <c r="R233" s="18">
        <v>7</v>
      </c>
      <c r="S233" s="18">
        <v>0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18"/>
        <v>0</v>
      </c>
      <c r="K234" s="5">
        <f t="shared" si="19"/>
        <v>0</v>
      </c>
      <c r="L234" s="2">
        <v>1233517.793070439</v>
      </c>
      <c r="M234" s="2">
        <v>168000</v>
      </c>
      <c r="N234" s="6">
        <f t="shared" si="20"/>
        <v>0</v>
      </c>
      <c r="O234" s="17">
        <f t="shared" si="21"/>
        <v>0.13619584649996735</v>
      </c>
      <c r="P234" s="18">
        <f t="shared" si="23"/>
        <v>0</v>
      </c>
      <c r="Q234" s="1">
        <f t="shared" si="22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0</v>
      </c>
      <c r="J235" s="4">
        <f t="shared" si="18"/>
        <v>0</v>
      </c>
      <c r="K235" s="5">
        <f t="shared" si="19"/>
        <v>0</v>
      </c>
      <c r="L235" s="2">
        <v>1233517.793070439</v>
      </c>
      <c r="M235" s="2">
        <v>0</v>
      </c>
      <c r="N235" s="6">
        <f t="shared" si="20"/>
        <v>0</v>
      </c>
      <c r="O235" s="17">
        <f t="shared" si="21"/>
        <v>0</v>
      </c>
      <c r="P235" s="18">
        <f t="shared" si="23"/>
        <v>1</v>
      </c>
      <c r="Q235" s="1">
        <f t="shared" si="22"/>
        <v>0</v>
      </c>
      <c r="R235" s="18">
        <v>6</v>
      </c>
      <c r="S235" s="18">
        <v>1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0</v>
      </c>
      <c r="J236" s="1">
        <f t="shared" si="18"/>
        <v>0</v>
      </c>
      <c r="K236" s="5">
        <f t="shared" si="19"/>
        <v>0</v>
      </c>
      <c r="L236" s="2">
        <v>1233517.793070439</v>
      </c>
      <c r="M236" s="2">
        <v>132000</v>
      </c>
      <c r="N236" s="6">
        <f t="shared" si="20"/>
        <v>0</v>
      </c>
      <c r="O236" s="17">
        <f t="shared" si="21"/>
        <v>0.10701102224997434</v>
      </c>
      <c r="P236" s="18">
        <f t="shared" si="23"/>
        <v>0</v>
      </c>
      <c r="Q236" s="1">
        <f t="shared" si="22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20">
        <v>17707600</v>
      </c>
      <c r="B237" s="20" t="s">
        <v>474</v>
      </c>
      <c r="C237" s="16" t="s">
        <v>21</v>
      </c>
      <c r="D237" s="20" t="s">
        <v>442</v>
      </c>
      <c r="E237" s="16" t="s">
        <v>26</v>
      </c>
      <c r="F237" s="22" t="s">
        <v>53</v>
      </c>
      <c r="G237" s="20" t="s">
        <v>441</v>
      </c>
      <c r="H237" s="7">
        <v>2.7022719565954572</v>
      </c>
      <c r="I237" s="1">
        <v>0</v>
      </c>
      <c r="J237" s="1">
        <f t="shared" si="18"/>
        <v>0</v>
      </c>
      <c r="K237" s="5">
        <f t="shared" si="19"/>
        <v>0</v>
      </c>
      <c r="L237" s="2">
        <v>300000</v>
      </c>
      <c r="M237" s="2">
        <v>264000</v>
      </c>
      <c r="N237" s="6">
        <f t="shared" si="20"/>
        <v>0</v>
      </c>
      <c r="O237" s="17">
        <f t="shared" si="21"/>
        <v>0.88</v>
      </c>
      <c r="P237" s="18">
        <f t="shared" si="23"/>
        <v>0</v>
      </c>
      <c r="Q237" s="1">
        <f t="shared" si="22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ht="26">
      <c r="A238" s="20" t="s">
        <v>477</v>
      </c>
      <c r="B238" s="20" t="s">
        <v>478</v>
      </c>
      <c r="C238" s="16" t="s">
        <v>21</v>
      </c>
      <c r="D238" s="20" t="s">
        <v>442</v>
      </c>
      <c r="E238" s="16" t="s">
        <v>26</v>
      </c>
      <c r="F238" s="22" t="s">
        <v>53</v>
      </c>
      <c r="G238" s="20" t="s">
        <v>441</v>
      </c>
      <c r="H238" s="7">
        <v>2.7022719565954572</v>
      </c>
      <c r="I238" s="1">
        <v>0</v>
      </c>
      <c r="J238" s="1">
        <f t="shared" si="18"/>
        <v>0</v>
      </c>
      <c r="K238" s="5">
        <f t="shared" si="19"/>
        <v>0</v>
      </c>
      <c r="L238" s="2">
        <v>300000</v>
      </c>
      <c r="M238" s="2">
        <v>0</v>
      </c>
      <c r="N238" s="6">
        <f t="shared" si="20"/>
        <v>0</v>
      </c>
      <c r="O238" s="17">
        <f t="shared" si="21"/>
        <v>0</v>
      </c>
      <c r="P238" s="18">
        <f t="shared" si="23"/>
        <v>0</v>
      </c>
      <c r="Q238" s="1">
        <f t="shared" si="22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0</v>
      </c>
      <c r="J239" s="4">
        <f t="shared" si="18"/>
        <v>0</v>
      </c>
      <c r="K239" s="5">
        <f t="shared" si="19"/>
        <v>0</v>
      </c>
      <c r="L239" s="2">
        <v>6018419.3717715694</v>
      </c>
      <c r="M239" s="2">
        <v>168000</v>
      </c>
      <c r="N239" s="6">
        <f t="shared" si="20"/>
        <v>0</v>
      </c>
      <c r="O239" s="17">
        <f t="shared" si="21"/>
        <v>2.7914306003329885E-2</v>
      </c>
      <c r="P239" s="18">
        <f t="shared" si="23"/>
        <v>0</v>
      </c>
      <c r="Q239" s="1">
        <f t="shared" si="22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18"/>
        <v>0</v>
      </c>
      <c r="K240" s="5">
        <f t="shared" si="19"/>
        <v>0</v>
      </c>
      <c r="L240" s="2">
        <v>1233517.793070439</v>
      </c>
      <c r="M240" s="2">
        <v>168000</v>
      </c>
      <c r="N240" s="6">
        <f t="shared" si="20"/>
        <v>0</v>
      </c>
      <c r="O240" s="17">
        <f t="shared" si="21"/>
        <v>0.13619584649996735</v>
      </c>
      <c r="P240" s="18">
        <f t="shared" si="23"/>
        <v>0</v>
      </c>
      <c r="Q240" s="1">
        <f t="shared" si="22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0</v>
      </c>
      <c r="J241" s="4">
        <f t="shared" si="18"/>
        <v>0</v>
      </c>
      <c r="K241" s="5">
        <f t="shared" si="19"/>
        <v>0</v>
      </c>
      <c r="L241" s="2">
        <v>19880654</v>
      </c>
      <c r="M241" s="2">
        <v>3500000</v>
      </c>
      <c r="N241" s="6">
        <f t="shared" si="20"/>
        <v>1</v>
      </c>
      <c r="O241" s="17">
        <f t="shared" si="21"/>
        <v>0.17605054642568599</v>
      </c>
      <c r="P241" s="18">
        <f t="shared" si="23"/>
        <v>0</v>
      </c>
      <c r="Q241" s="1">
        <f t="shared" si="22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18"/>
        <v>0</v>
      </c>
      <c r="K242" s="5">
        <f t="shared" si="19"/>
        <v>0</v>
      </c>
      <c r="L242" s="2">
        <v>1233517.793070439</v>
      </c>
      <c r="M242" s="2">
        <v>507000</v>
      </c>
      <c r="N242" s="6">
        <f t="shared" si="20"/>
        <v>1</v>
      </c>
      <c r="O242" s="17">
        <f t="shared" si="21"/>
        <v>0.41101960818740146</v>
      </c>
      <c r="P242" s="18">
        <f t="shared" si="23"/>
        <v>1</v>
      </c>
      <c r="Q242" s="1">
        <f t="shared" si="22"/>
        <v>0</v>
      </c>
      <c r="R242" s="18">
        <v>7</v>
      </c>
      <c r="S242" s="18">
        <v>1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2549477.9785796599</v>
      </c>
      <c r="M243" s="2">
        <v>4168000</v>
      </c>
      <c r="N243" s="6">
        <f t="shared" si="20"/>
        <v>1</v>
      </c>
      <c r="O243" s="17">
        <f t="shared" si="21"/>
        <v>1.6348444799362554</v>
      </c>
      <c r="P243" s="18">
        <f t="shared" si="23"/>
        <v>1</v>
      </c>
      <c r="Q243" s="1">
        <f t="shared" si="22"/>
        <v>0</v>
      </c>
      <c r="R243" s="18">
        <v>7</v>
      </c>
      <c r="S243" s="18">
        <v>1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0</v>
      </c>
      <c r="J244" s="1">
        <f t="shared" si="18"/>
        <v>0</v>
      </c>
      <c r="K244" s="5">
        <f t="shared" si="19"/>
        <v>0</v>
      </c>
      <c r="L244" s="2">
        <v>22463880</v>
      </c>
      <c r="M244" s="2">
        <v>785000</v>
      </c>
      <c r="N244" s="6">
        <f t="shared" si="20"/>
        <v>1</v>
      </c>
      <c r="O244" s="17">
        <f t="shared" si="21"/>
        <v>3.4944987241740964E-2</v>
      </c>
      <c r="P244" s="18">
        <f t="shared" si="23"/>
        <v>0</v>
      </c>
      <c r="Q244" s="1">
        <f t="shared" si="22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168000</v>
      </c>
      <c r="N245" s="6">
        <f t="shared" si="20"/>
        <v>0</v>
      </c>
      <c r="O245" s="17">
        <f t="shared" si="21"/>
        <v>0.13619584649996735</v>
      </c>
      <c r="P245" s="18">
        <f t="shared" si="23"/>
        <v>0</v>
      </c>
      <c r="Q245" s="1">
        <f t="shared" si="22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0</v>
      </c>
      <c r="J246" s="1">
        <f t="shared" si="18"/>
        <v>0</v>
      </c>
      <c r="K246" s="5">
        <f t="shared" si="19"/>
        <v>0</v>
      </c>
      <c r="L246" s="2">
        <v>1233517.793070439</v>
      </c>
      <c r="M246" s="2">
        <v>300000</v>
      </c>
      <c r="N246" s="6">
        <f t="shared" si="20"/>
        <v>1</v>
      </c>
      <c r="O246" s="17">
        <f t="shared" si="21"/>
        <v>0.24320686874994168</v>
      </c>
      <c r="P246" s="18">
        <f t="shared" si="23"/>
        <v>0</v>
      </c>
      <c r="Q246" s="1">
        <f t="shared" si="22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0</v>
      </c>
      <c r="J247" s="1">
        <f t="shared" si="18"/>
        <v>0</v>
      </c>
      <c r="K247" s="5">
        <f t="shared" si="19"/>
        <v>0</v>
      </c>
      <c r="L247" s="2">
        <v>1233517.793070439</v>
      </c>
      <c r="M247" s="2">
        <v>500000</v>
      </c>
      <c r="N247" s="6">
        <f t="shared" si="20"/>
        <v>1</v>
      </c>
      <c r="O247" s="17">
        <f t="shared" si="21"/>
        <v>0.40534478124990281</v>
      </c>
      <c r="P247" s="18">
        <f t="shared" si="23"/>
        <v>0</v>
      </c>
      <c r="Q247" s="1">
        <f t="shared" si="22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0</v>
      </c>
      <c r="J248" s="1">
        <f t="shared" si="18"/>
        <v>0</v>
      </c>
      <c r="K248" s="5">
        <f t="shared" si="19"/>
        <v>0</v>
      </c>
      <c r="L248" s="2">
        <v>12908778</v>
      </c>
      <c r="M248" s="2">
        <v>1336000</v>
      </c>
      <c r="N248" s="6">
        <f t="shared" si="20"/>
        <v>1</v>
      </c>
      <c r="O248" s="17">
        <f t="shared" si="21"/>
        <v>0.10349546641827755</v>
      </c>
      <c r="P248" s="18">
        <f t="shared" si="23"/>
        <v>7</v>
      </c>
      <c r="Q248" s="1">
        <f t="shared" si="22"/>
        <v>1</v>
      </c>
      <c r="R248" s="18">
        <v>5</v>
      </c>
      <c r="S248" s="18">
        <v>7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0</v>
      </c>
      <c r="J249" s="4">
        <f t="shared" si="18"/>
        <v>0</v>
      </c>
      <c r="K249" s="5">
        <f t="shared" si="19"/>
        <v>0</v>
      </c>
      <c r="L249" s="2">
        <v>1233517.793070439</v>
      </c>
      <c r="M249" s="2">
        <v>132000</v>
      </c>
      <c r="N249" s="6">
        <f t="shared" si="20"/>
        <v>0</v>
      </c>
      <c r="O249" s="17">
        <f t="shared" si="21"/>
        <v>0.10701102224997434</v>
      </c>
      <c r="P249" s="18">
        <f t="shared" si="23"/>
        <v>0</v>
      </c>
      <c r="Q249" s="1">
        <f t="shared" si="22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18"/>
        <v>0</v>
      </c>
      <c r="K250" s="5">
        <f t="shared" si="19"/>
        <v>0</v>
      </c>
      <c r="L250" s="2">
        <v>1233517.793070439</v>
      </c>
      <c r="M250" s="2">
        <v>168000</v>
      </c>
      <c r="N250" s="6">
        <f t="shared" si="20"/>
        <v>0</v>
      </c>
      <c r="O250" s="17">
        <f t="shared" si="21"/>
        <v>0.13619584649996735</v>
      </c>
      <c r="P250" s="18">
        <f t="shared" si="23"/>
        <v>5</v>
      </c>
      <c r="Q250" s="1">
        <f t="shared" si="22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18"/>
        <v>0</v>
      </c>
      <c r="K251" s="5">
        <f t="shared" si="19"/>
        <v>0</v>
      </c>
      <c r="L251" s="2">
        <v>1233517.793070439</v>
      </c>
      <c r="M251" s="2">
        <v>168000</v>
      </c>
      <c r="N251" s="6">
        <f t="shared" si="20"/>
        <v>0</v>
      </c>
      <c r="O251" s="17">
        <f t="shared" si="21"/>
        <v>0.13619584649996735</v>
      </c>
      <c r="P251" s="18">
        <f t="shared" si="23"/>
        <v>5</v>
      </c>
      <c r="Q251" s="1">
        <f t="shared" si="22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18"/>
        <v>0</v>
      </c>
      <c r="K252" s="5">
        <f t="shared" si="19"/>
        <v>0</v>
      </c>
      <c r="L252" s="2">
        <v>2781339.4120799541</v>
      </c>
      <c r="M252" s="2">
        <v>336000</v>
      </c>
      <c r="N252" s="6">
        <f t="shared" si="20"/>
        <v>1</v>
      </c>
      <c r="O252" s="17">
        <f t="shared" si="21"/>
        <v>0.12080510510176495</v>
      </c>
      <c r="P252" s="18">
        <f t="shared" si="23"/>
        <v>1</v>
      </c>
      <c r="Q252" s="1">
        <f t="shared" si="22"/>
        <v>0</v>
      </c>
      <c r="R252" s="18">
        <v>7</v>
      </c>
      <c r="S252" s="18">
        <v>1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18"/>
        <v>0</v>
      </c>
      <c r="K253" s="5">
        <f t="shared" si="19"/>
        <v>0</v>
      </c>
      <c r="L253" s="2">
        <v>2549477.9785796599</v>
      </c>
      <c r="M253" s="2">
        <v>468000</v>
      </c>
      <c r="N253" s="6">
        <f t="shared" si="20"/>
        <v>1</v>
      </c>
      <c r="O253" s="17">
        <f t="shared" si="21"/>
        <v>0.18356699054946438</v>
      </c>
      <c r="P253" s="18">
        <f t="shared" si="23"/>
        <v>1</v>
      </c>
      <c r="Q253" s="1">
        <f t="shared" si="22"/>
        <v>0</v>
      </c>
      <c r="R253" s="18">
        <v>6</v>
      </c>
      <c r="S253" s="18">
        <v>1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770000</v>
      </c>
      <c r="N254" s="6">
        <f t="shared" si="20"/>
        <v>1</v>
      </c>
      <c r="O254" s="17">
        <f t="shared" si="21"/>
        <v>0.62423096312485038</v>
      </c>
      <c r="P254" s="18">
        <f t="shared" si="23"/>
        <v>0</v>
      </c>
      <c r="Q254" s="1">
        <f t="shared" si="22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18"/>
        <v>0</v>
      </c>
      <c r="K255" s="5">
        <f t="shared" si="19"/>
        <v>0</v>
      </c>
      <c r="L255" s="2">
        <v>1233517.793070439</v>
      </c>
      <c r="M255" s="2">
        <v>300000</v>
      </c>
      <c r="N255" s="6">
        <f t="shared" si="20"/>
        <v>1</v>
      </c>
      <c r="O255" s="17">
        <f t="shared" si="21"/>
        <v>0.24320686874994168</v>
      </c>
      <c r="P255" s="18">
        <f t="shared" si="23"/>
        <v>5</v>
      </c>
      <c r="Q255" s="1">
        <f t="shared" si="22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5</v>
      </c>
      <c r="J256" s="4">
        <f t="shared" si="18"/>
        <v>1</v>
      </c>
      <c r="K256" s="5">
        <f t="shared" si="19"/>
        <v>1.6666666666666667</v>
      </c>
      <c r="L256" s="2">
        <v>22463880</v>
      </c>
      <c r="M256" s="2">
        <v>2520000</v>
      </c>
      <c r="N256" s="6">
        <f t="shared" si="20"/>
        <v>1</v>
      </c>
      <c r="O256" s="17">
        <f t="shared" si="21"/>
        <v>0.11218008643208564</v>
      </c>
      <c r="P256" s="18">
        <f t="shared" si="23"/>
        <v>3</v>
      </c>
      <c r="Q256" s="1">
        <f t="shared" si="22"/>
        <v>1</v>
      </c>
      <c r="R256" s="18">
        <v>5</v>
      </c>
      <c r="S256" s="18">
        <v>3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18"/>
        <v>0</v>
      </c>
      <c r="K257" s="5">
        <f t="shared" si="19"/>
        <v>0</v>
      </c>
      <c r="L257" s="2">
        <v>1233517.793070439</v>
      </c>
      <c r="M257" s="2">
        <v>168000</v>
      </c>
      <c r="N257" s="6">
        <f t="shared" si="20"/>
        <v>0</v>
      </c>
      <c r="O257" s="17">
        <f t="shared" si="21"/>
        <v>0.13619584649996735</v>
      </c>
      <c r="P257" s="18">
        <f t="shared" si="23"/>
        <v>5</v>
      </c>
      <c r="Q257" s="1">
        <f t="shared" si="22"/>
        <v>1</v>
      </c>
      <c r="R257" s="18">
        <v>14</v>
      </c>
      <c r="S257" s="18">
        <v>5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0</v>
      </c>
      <c r="J258" s="4">
        <f t="shared" si="18"/>
        <v>0</v>
      </c>
      <c r="K258" s="5">
        <f t="shared" si="19"/>
        <v>0</v>
      </c>
      <c r="L258" s="2">
        <v>1233517.793070439</v>
      </c>
      <c r="M258" s="2">
        <v>168000</v>
      </c>
      <c r="N258" s="6">
        <f t="shared" si="20"/>
        <v>0</v>
      </c>
      <c r="O258" s="17">
        <f t="shared" si="21"/>
        <v>0.13619584649996735</v>
      </c>
      <c r="P258" s="18">
        <f t="shared" si="23"/>
        <v>0</v>
      </c>
      <c r="Q258" s="1">
        <f t="shared" si="22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0</v>
      </c>
      <c r="J259" s="4">
        <f t="shared" si="18"/>
        <v>0</v>
      </c>
      <c r="K259" s="5">
        <f t="shared" si="19"/>
        <v>0</v>
      </c>
      <c r="L259" s="2">
        <v>1233517.793070439</v>
      </c>
      <c r="M259" s="2">
        <v>385000</v>
      </c>
      <c r="N259" s="6">
        <f t="shared" si="20"/>
        <v>1</v>
      </c>
      <c r="O259" s="17">
        <f t="shared" si="21"/>
        <v>0.31211548156242519</v>
      </c>
      <c r="P259" s="18">
        <f t="shared" si="23"/>
        <v>14</v>
      </c>
      <c r="Q259" s="1">
        <f t="shared" si="22"/>
        <v>1</v>
      </c>
      <c r="R259" s="18">
        <v>11</v>
      </c>
      <c r="S259" s="18">
        <v>14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0</v>
      </c>
      <c r="J260" s="1">
        <f t="shared" si="18"/>
        <v>0</v>
      </c>
      <c r="K260" s="5">
        <f t="shared" si="19"/>
        <v>0</v>
      </c>
      <c r="L260" s="2">
        <v>1233517.793070439</v>
      </c>
      <c r="M260" s="2">
        <v>600000</v>
      </c>
      <c r="N260" s="6">
        <f t="shared" si="20"/>
        <v>1</v>
      </c>
      <c r="O260" s="17">
        <f t="shared" si="21"/>
        <v>0.48641373749988337</v>
      </c>
      <c r="P260" s="18">
        <f t="shared" si="23"/>
        <v>0</v>
      </c>
      <c r="Q260" s="1">
        <f t="shared" si="22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0</v>
      </c>
      <c r="J261" s="4">
        <f t="shared" si="18"/>
        <v>0</v>
      </c>
      <c r="K261" s="5">
        <f t="shared" si="19"/>
        <v>0</v>
      </c>
      <c r="L261" s="2">
        <v>6305572.5166073563</v>
      </c>
      <c r="M261" s="2">
        <v>4530000</v>
      </c>
      <c r="N261" s="6">
        <f t="shared" si="20"/>
        <v>1</v>
      </c>
      <c r="O261" s="17">
        <f t="shared" si="21"/>
        <v>0.7184121644892788</v>
      </c>
      <c r="P261" s="18">
        <f t="shared" si="23"/>
        <v>0</v>
      </c>
      <c r="Q261" s="1">
        <f t="shared" si="22"/>
        <v>0</v>
      </c>
      <c r="R261" s="18">
        <v>14</v>
      </c>
      <c r="S261" s="18">
        <v>0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0</v>
      </c>
      <c r="J262" s="4">
        <f t="shared" ref="J262:J325" si="24">IF(I262&gt;=3,1,0)</f>
        <v>0</v>
      </c>
      <c r="K262" s="5">
        <f t="shared" ref="K262:K325" si="25">I262/H262</f>
        <v>0</v>
      </c>
      <c r="L262" s="2">
        <v>2198816.5908757159</v>
      </c>
      <c r="M262" s="2">
        <v>900000</v>
      </c>
      <c r="N262" s="6">
        <f t="shared" ref="N262:N325" si="26">IF(M262&gt;=300000,1,0)</f>
        <v>1</v>
      </c>
      <c r="O262" s="17">
        <f t="shared" ref="O262:O325" si="27">M262/L262</f>
        <v>0.40931108294101043</v>
      </c>
      <c r="P262" s="18">
        <f t="shared" si="23"/>
        <v>1</v>
      </c>
      <c r="Q262" s="1">
        <f t="shared" ref="Q262:Q325" si="28">IF(P262&gt;=3,1,0)</f>
        <v>0</v>
      </c>
      <c r="R262" s="18">
        <v>13</v>
      </c>
      <c r="S262" s="18">
        <v>1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3</v>
      </c>
      <c r="J263" s="1">
        <f t="shared" si="24"/>
        <v>1</v>
      </c>
      <c r="K263" s="5">
        <f t="shared" si="25"/>
        <v>0.2251346734988833</v>
      </c>
      <c r="L263" s="2">
        <v>2979157.6740004942</v>
      </c>
      <c r="M263" s="2">
        <v>1901500</v>
      </c>
      <c r="N263" s="6">
        <f t="shared" si="26"/>
        <v>1</v>
      </c>
      <c r="O263" s="17">
        <f t="shared" si="27"/>
        <v>0.63826766088772136</v>
      </c>
      <c r="P263" s="18">
        <f t="shared" ref="P263:P326" si="29">S263</f>
        <v>0</v>
      </c>
      <c r="Q263" s="1">
        <f t="shared" si="28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3</v>
      </c>
      <c r="J264" s="1">
        <f t="shared" si="24"/>
        <v>1</v>
      </c>
      <c r="K264" s="5">
        <f t="shared" si="25"/>
        <v>0.34574253430185686</v>
      </c>
      <c r="L264" s="2">
        <v>5800307.9496692214</v>
      </c>
      <c r="M264" s="2">
        <v>1901500</v>
      </c>
      <c r="N264" s="6">
        <f t="shared" si="26"/>
        <v>1</v>
      </c>
      <c r="O264" s="17">
        <f t="shared" si="27"/>
        <v>0.32782742166447187</v>
      </c>
      <c r="P264" s="18">
        <f t="shared" si="29"/>
        <v>1</v>
      </c>
      <c r="Q264" s="1">
        <f t="shared" si="28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4"/>
        <v>1</v>
      </c>
      <c r="K265" s="5">
        <f t="shared" si="25"/>
        <v>0.38723163841807839</v>
      </c>
      <c r="L265" s="2">
        <v>33955430.79377</v>
      </c>
      <c r="M265" s="2">
        <v>1239000</v>
      </c>
      <c r="N265" s="6">
        <f t="shared" si="26"/>
        <v>1</v>
      </c>
      <c r="O265" s="17">
        <f t="shared" si="27"/>
        <v>3.6489008415918157E-2</v>
      </c>
      <c r="P265" s="18">
        <f t="shared" si="29"/>
        <v>0</v>
      </c>
      <c r="Q265" s="1">
        <f t="shared" si="28"/>
        <v>0</v>
      </c>
      <c r="R265" s="18">
        <v>10</v>
      </c>
      <c r="S265" s="18">
        <v>0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3</v>
      </c>
      <c r="J266" s="4">
        <f t="shared" si="24"/>
        <v>1</v>
      </c>
      <c r="K266" s="5">
        <f t="shared" si="25"/>
        <v>0.53782172002511019</v>
      </c>
      <c r="L266" s="2">
        <v>11830444.84236645</v>
      </c>
      <c r="M266" s="2">
        <v>3039000</v>
      </c>
      <c r="N266" s="6">
        <f t="shared" si="26"/>
        <v>1</v>
      </c>
      <c r="O266" s="17">
        <f t="shared" si="27"/>
        <v>0.25687960516217639</v>
      </c>
      <c r="P266" s="18">
        <f t="shared" si="29"/>
        <v>3</v>
      </c>
      <c r="Q266" s="1">
        <f t="shared" si="28"/>
        <v>1</v>
      </c>
      <c r="R266" s="18">
        <v>8</v>
      </c>
      <c r="S266" s="18">
        <v>3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4"/>
        <v>0</v>
      </c>
      <c r="K267" s="5">
        <f t="shared" si="25"/>
        <v>0</v>
      </c>
      <c r="L267" s="2">
        <v>11830444.84236645</v>
      </c>
      <c r="M267" s="2">
        <v>0</v>
      </c>
      <c r="N267" s="6">
        <f t="shared" si="26"/>
        <v>0</v>
      </c>
      <c r="O267" s="17">
        <f t="shared" si="27"/>
        <v>0</v>
      </c>
      <c r="P267" s="18">
        <f t="shared" si="29"/>
        <v>0</v>
      </c>
      <c r="Q267" s="1">
        <f t="shared" si="28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0</v>
      </c>
      <c r="J268" s="1">
        <f t="shared" si="24"/>
        <v>0</v>
      </c>
      <c r="K268" s="5">
        <f t="shared" si="25"/>
        <v>0</v>
      </c>
      <c r="L268" s="2">
        <v>16648593.16831439</v>
      </c>
      <c r="M268" s="2">
        <v>662500</v>
      </c>
      <c r="N268" s="6">
        <f t="shared" si="26"/>
        <v>1</v>
      </c>
      <c r="O268" s="17">
        <f t="shared" si="27"/>
        <v>3.9793152088121793E-2</v>
      </c>
      <c r="P268" s="18">
        <f t="shared" si="29"/>
        <v>0</v>
      </c>
      <c r="Q268" s="1">
        <f t="shared" si="28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0</v>
      </c>
      <c r="J269" s="4">
        <f t="shared" si="24"/>
        <v>0</v>
      </c>
      <c r="K269" s="5">
        <f t="shared" si="25"/>
        <v>0</v>
      </c>
      <c r="L269" s="2">
        <v>6043962.54005126</v>
      </c>
      <c r="M269" s="2">
        <v>725000</v>
      </c>
      <c r="N269" s="6">
        <f t="shared" si="26"/>
        <v>1</v>
      </c>
      <c r="O269" s="17">
        <f t="shared" si="27"/>
        <v>0.11995441652652121</v>
      </c>
      <c r="P269" s="18">
        <f t="shared" si="29"/>
        <v>0</v>
      </c>
      <c r="Q269" s="1">
        <f t="shared" si="28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4"/>
        <v>0</v>
      </c>
      <c r="K270" s="5">
        <f t="shared" si="25"/>
        <v>0</v>
      </c>
      <c r="L270" s="2">
        <v>15968084.03231754</v>
      </c>
      <c r="M270" s="2">
        <v>0</v>
      </c>
      <c r="N270" s="6">
        <f t="shared" si="26"/>
        <v>0</v>
      </c>
      <c r="O270" s="17">
        <f t="shared" si="27"/>
        <v>0</v>
      </c>
      <c r="P270" s="18">
        <f t="shared" si="29"/>
        <v>0</v>
      </c>
      <c r="Q270" s="1">
        <f t="shared" si="28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4"/>
        <v>0</v>
      </c>
      <c r="K271" s="5">
        <f t="shared" si="25"/>
        <v>0</v>
      </c>
      <c r="L271" s="2">
        <v>7211242.1952270754</v>
      </c>
      <c r="M271" s="2">
        <v>0</v>
      </c>
      <c r="N271" s="6">
        <f t="shared" si="26"/>
        <v>0</v>
      </c>
      <c r="O271" s="17">
        <f t="shared" si="27"/>
        <v>0</v>
      </c>
      <c r="P271" s="18">
        <f t="shared" si="29"/>
        <v>0</v>
      </c>
      <c r="Q271" s="1">
        <f t="shared" si="28"/>
        <v>0</v>
      </c>
      <c r="R271" s="18">
        <v>10</v>
      </c>
      <c r="S271" s="18">
        <v>0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4"/>
        <v>0</v>
      </c>
      <c r="K272" s="5">
        <f t="shared" si="25"/>
        <v>0</v>
      </c>
      <c r="L272" s="2">
        <v>1810800.695654226</v>
      </c>
      <c r="M272" s="2">
        <v>0</v>
      </c>
      <c r="N272" s="6">
        <f t="shared" si="26"/>
        <v>0</v>
      </c>
      <c r="O272" s="17">
        <f t="shared" si="27"/>
        <v>0</v>
      </c>
      <c r="P272" s="18">
        <f t="shared" si="29"/>
        <v>0</v>
      </c>
      <c r="Q272" s="1">
        <f t="shared" si="28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17006852</v>
      </c>
      <c r="B273" s="16" t="s">
        <v>95</v>
      </c>
      <c r="C273" s="16" t="s">
        <v>35</v>
      </c>
      <c r="D273" s="16" t="s">
        <v>440</v>
      </c>
      <c r="E273" s="16" t="s">
        <v>22</v>
      </c>
      <c r="F273" s="16" t="s">
        <v>96</v>
      </c>
      <c r="G273" s="21" t="s">
        <v>441</v>
      </c>
      <c r="H273" s="7">
        <v>7.2753475754493193</v>
      </c>
      <c r="I273" s="1">
        <v>0</v>
      </c>
      <c r="J273" s="4">
        <f t="shared" si="24"/>
        <v>0</v>
      </c>
      <c r="K273" s="5">
        <f t="shared" si="25"/>
        <v>0</v>
      </c>
      <c r="L273" s="2">
        <v>19880654</v>
      </c>
      <c r="M273" s="2">
        <v>2945000</v>
      </c>
      <c r="N273" s="6">
        <f t="shared" si="26"/>
        <v>1</v>
      </c>
      <c r="O273" s="17">
        <f t="shared" si="27"/>
        <v>0.14813395977818436</v>
      </c>
      <c r="P273" s="18">
        <f t="shared" si="29"/>
        <v>0</v>
      </c>
      <c r="Q273" s="1">
        <f t="shared" si="28"/>
        <v>0</v>
      </c>
      <c r="R273" s="18">
        <v>10</v>
      </c>
      <c r="S273" s="18">
        <v>0</v>
      </c>
      <c r="T273" s="18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0</v>
      </c>
    </row>
    <row r="274" spans="1:26" ht="26">
      <c r="A274" s="16">
        <v>1070922</v>
      </c>
      <c r="B274" s="16" t="s">
        <v>101</v>
      </c>
      <c r="C274" s="16" t="s">
        <v>35</v>
      </c>
      <c r="D274" s="16" t="s">
        <v>440</v>
      </c>
      <c r="E274" s="16" t="s">
        <v>22</v>
      </c>
      <c r="F274" s="16" t="s">
        <v>96</v>
      </c>
      <c r="G274" s="21" t="s">
        <v>441</v>
      </c>
      <c r="H274" s="7">
        <v>5.4045439131909321</v>
      </c>
      <c r="I274" s="1">
        <v>0</v>
      </c>
      <c r="J274" s="1">
        <f t="shared" si="24"/>
        <v>0</v>
      </c>
      <c r="K274" s="5">
        <f t="shared" si="25"/>
        <v>0</v>
      </c>
      <c r="L274" s="2">
        <v>19880654</v>
      </c>
      <c r="M274" s="2">
        <v>5145000</v>
      </c>
      <c r="N274" s="6">
        <f t="shared" si="26"/>
        <v>1</v>
      </c>
      <c r="O274" s="17">
        <f t="shared" si="27"/>
        <v>0.25879430324575842</v>
      </c>
      <c r="P274" s="18">
        <f t="shared" si="29"/>
        <v>0</v>
      </c>
      <c r="Q274" s="1">
        <f t="shared" si="28"/>
        <v>0</v>
      </c>
      <c r="R274" s="18">
        <v>8</v>
      </c>
      <c r="S274" s="18">
        <v>0</v>
      </c>
      <c r="T274" s="18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0</v>
      </c>
    </row>
    <row r="275" spans="1:26" ht="26">
      <c r="A275" s="16">
        <v>1486638</v>
      </c>
      <c r="B275" s="16" t="s">
        <v>152</v>
      </c>
      <c r="C275" s="16" t="s">
        <v>35</v>
      </c>
      <c r="D275" s="16" t="s">
        <v>440</v>
      </c>
      <c r="E275" s="16" t="s">
        <v>22</v>
      </c>
      <c r="F275" s="16" t="s">
        <v>96</v>
      </c>
      <c r="G275" s="21" t="s">
        <v>441</v>
      </c>
      <c r="H275" s="7">
        <v>2.7022719565954572</v>
      </c>
      <c r="I275" s="1">
        <v>0</v>
      </c>
      <c r="J275" s="4">
        <f t="shared" si="24"/>
        <v>0</v>
      </c>
      <c r="K275" s="5">
        <f t="shared" si="25"/>
        <v>0</v>
      </c>
      <c r="L275" s="2">
        <v>19880654</v>
      </c>
      <c r="M275" s="2">
        <v>2168000</v>
      </c>
      <c r="N275" s="6">
        <f t="shared" si="26"/>
        <v>1</v>
      </c>
      <c r="O275" s="17">
        <f t="shared" si="27"/>
        <v>0.10905073847168206</v>
      </c>
      <c r="P275" s="18">
        <f t="shared" si="29"/>
        <v>1</v>
      </c>
      <c r="Q275" s="1">
        <f t="shared" si="28"/>
        <v>0</v>
      </c>
      <c r="R275" s="18">
        <v>5</v>
      </c>
      <c r="S275" s="18">
        <v>1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0</v>
      </c>
    </row>
    <row r="276" spans="1:26" ht="26">
      <c r="A276" s="16">
        <v>17626277</v>
      </c>
      <c r="B276" s="16" t="s">
        <v>250</v>
      </c>
      <c r="C276" s="16" t="s">
        <v>35</v>
      </c>
      <c r="D276" s="16" t="s">
        <v>444</v>
      </c>
      <c r="E276" s="16" t="s">
        <v>26</v>
      </c>
      <c r="F276" s="16" t="s">
        <v>96</v>
      </c>
      <c r="G276" s="21" t="s">
        <v>441</v>
      </c>
      <c r="H276" s="7">
        <v>3</v>
      </c>
      <c r="I276" s="1">
        <v>0</v>
      </c>
      <c r="J276" s="1">
        <f t="shared" si="24"/>
        <v>0</v>
      </c>
      <c r="K276" s="5">
        <f t="shared" si="25"/>
        <v>0</v>
      </c>
      <c r="L276" s="2">
        <v>6018419.3717715694</v>
      </c>
      <c r="M276" s="2">
        <v>313000</v>
      </c>
      <c r="N276" s="6">
        <f t="shared" si="26"/>
        <v>1</v>
      </c>
      <c r="O276" s="17">
        <f t="shared" si="27"/>
        <v>5.2007010589537231E-2</v>
      </c>
      <c r="P276" s="18">
        <f t="shared" si="29"/>
        <v>1</v>
      </c>
      <c r="Q276" s="1">
        <f t="shared" si="28"/>
        <v>0</v>
      </c>
      <c r="R276" s="18">
        <v>5</v>
      </c>
      <c r="S276" s="18">
        <v>1</v>
      </c>
      <c r="T276" s="18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16">
        <v>17611830</v>
      </c>
      <c r="B277" s="16" t="s">
        <v>373</v>
      </c>
      <c r="C277" s="16" t="s">
        <v>35</v>
      </c>
      <c r="D277" s="16" t="s">
        <v>442</v>
      </c>
      <c r="E277" s="16" t="s">
        <v>22</v>
      </c>
      <c r="F277" s="16" t="s">
        <v>96</v>
      </c>
      <c r="G277" s="21" t="s">
        <v>441</v>
      </c>
      <c r="H277" s="7">
        <v>5.8202780603594357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313000</v>
      </c>
      <c r="N277" s="6">
        <f t="shared" si="26"/>
        <v>1</v>
      </c>
      <c r="O277" s="17">
        <f t="shared" si="27"/>
        <v>0.25374583306243914</v>
      </c>
      <c r="P277" s="18">
        <f t="shared" si="29"/>
        <v>0</v>
      </c>
      <c r="Q277" s="1">
        <f t="shared" si="28"/>
        <v>0</v>
      </c>
      <c r="R277" s="18">
        <v>8</v>
      </c>
      <c r="S277" s="18">
        <v>0</v>
      </c>
      <c r="T277" s="18">
        <v>0</v>
      </c>
      <c r="U277" s="3">
        <v>0</v>
      </c>
      <c r="V277" s="3">
        <v>1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17631792</v>
      </c>
      <c r="B278" s="16" t="s">
        <v>422</v>
      </c>
      <c r="C278" s="16" t="s">
        <v>35</v>
      </c>
      <c r="D278" s="16" t="s">
        <v>442</v>
      </c>
      <c r="E278" s="16" t="s">
        <v>26</v>
      </c>
      <c r="F278" s="16" t="s">
        <v>96</v>
      </c>
      <c r="G278" s="21" t="s">
        <v>441</v>
      </c>
      <c r="H278" s="7">
        <v>7.4832146490335951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0</v>
      </c>
      <c r="N278" s="6">
        <f t="shared" si="26"/>
        <v>0</v>
      </c>
      <c r="O278" s="17">
        <f t="shared" si="27"/>
        <v>0</v>
      </c>
      <c r="P278" s="18">
        <f t="shared" si="29"/>
        <v>0</v>
      </c>
      <c r="Q278" s="1">
        <f t="shared" si="28"/>
        <v>0</v>
      </c>
      <c r="R278" s="18">
        <v>10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306000</v>
      </c>
      <c r="N279" s="6">
        <f t="shared" si="26"/>
        <v>1</v>
      </c>
      <c r="O279" s="17">
        <f t="shared" si="27"/>
        <v>0.24807100612494054</v>
      </c>
      <c r="P279" s="18">
        <f t="shared" si="29"/>
        <v>0</v>
      </c>
      <c r="Q279" s="1">
        <f t="shared" si="28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306000</v>
      </c>
      <c r="N280" s="6">
        <f t="shared" si="26"/>
        <v>1</v>
      </c>
      <c r="O280" s="17">
        <f t="shared" si="27"/>
        <v>0.24807100612494054</v>
      </c>
      <c r="P280" s="18">
        <f t="shared" si="29"/>
        <v>0</v>
      </c>
      <c r="Q280" s="1">
        <f t="shared" si="28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4"/>
        <v>0</v>
      </c>
      <c r="K281" s="5">
        <f t="shared" si="25"/>
        <v>0</v>
      </c>
      <c r="L281" s="2">
        <v>2549477.9785796599</v>
      </c>
      <c r="M281" s="2">
        <v>306000</v>
      </c>
      <c r="N281" s="6">
        <f t="shared" si="26"/>
        <v>1</v>
      </c>
      <c r="O281" s="17">
        <f t="shared" si="27"/>
        <v>0.12002457074388057</v>
      </c>
      <c r="P281" s="18">
        <f t="shared" si="29"/>
        <v>0</v>
      </c>
      <c r="Q281" s="1">
        <f t="shared" si="28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0</v>
      </c>
      <c r="J282" s="4">
        <f t="shared" si="24"/>
        <v>0</v>
      </c>
      <c r="K282" s="5">
        <f t="shared" si="25"/>
        <v>0</v>
      </c>
      <c r="L282" s="2">
        <v>19880654</v>
      </c>
      <c r="M282" s="2">
        <v>302400</v>
      </c>
      <c r="N282" s="6">
        <f t="shared" si="26"/>
        <v>1</v>
      </c>
      <c r="O282" s="17">
        <f t="shared" si="27"/>
        <v>1.521076721117927E-2</v>
      </c>
      <c r="P282" s="18">
        <f t="shared" si="29"/>
        <v>0</v>
      </c>
      <c r="Q282" s="1">
        <f t="shared" si="28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0</v>
      </c>
      <c r="J283" s="1">
        <f t="shared" si="24"/>
        <v>0</v>
      </c>
      <c r="K283" s="5">
        <f t="shared" si="25"/>
        <v>0</v>
      </c>
      <c r="L283" s="2">
        <v>1233517.793070439</v>
      </c>
      <c r="M283" s="2">
        <v>902400</v>
      </c>
      <c r="N283" s="6">
        <f t="shared" si="26"/>
        <v>1</v>
      </c>
      <c r="O283" s="17">
        <f t="shared" si="27"/>
        <v>0.7315662611998246</v>
      </c>
      <c r="P283" s="18">
        <f t="shared" si="29"/>
        <v>0</v>
      </c>
      <c r="Q283" s="1">
        <f t="shared" si="28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0</v>
      </c>
      <c r="J284" s="4">
        <f t="shared" si="24"/>
        <v>0</v>
      </c>
      <c r="K284" s="5">
        <f t="shared" si="25"/>
        <v>0</v>
      </c>
      <c r="L284" s="2">
        <v>6018419.3717715694</v>
      </c>
      <c r="M284" s="2">
        <v>302400</v>
      </c>
      <c r="N284" s="6">
        <f t="shared" si="26"/>
        <v>1</v>
      </c>
      <c r="O284" s="17">
        <f t="shared" si="27"/>
        <v>5.0245750805993798E-2</v>
      </c>
      <c r="P284" s="18">
        <f t="shared" si="29"/>
        <v>1</v>
      </c>
      <c r="Q284" s="1">
        <f t="shared" si="28"/>
        <v>0</v>
      </c>
      <c r="R284" s="18">
        <v>7</v>
      </c>
      <c r="S284" s="18">
        <v>1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ht="26">
      <c r="A285" s="20">
        <v>17677945</v>
      </c>
      <c r="B285" s="20" t="s">
        <v>472</v>
      </c>
      <c r="C285" s="16" t="s">
        <v>31</v>
      </c>
      <c r="D285" s="20" t="s">
        <v>442</v>
      </c>
      <c r="E285" s="16" t="s">
        <v>26</v>
      </c>
      <c r="F285" s="22" t="s">
        <v>90</v>
      </c>
      <c r="G285" s="20" t="s">
        <v>441</v>
      </c>
      <c r="H285" s="7">
        <v>2.7022719565954572</v>
      </c>
      <c r="I285" s="1">
        <v>0</v>
      </c>
      <c r="J285" s="1">
        <f t="shared" si="24"/>
        <v>0</v>
      </c>
      <c r="K285" s="5">
        <f t="shared" si="25"/>
        <v>0</v>
      </c>
      <c r="L285" s="2">
        <v>300000</v>
      </c>
      <c r="M285" s="2">
        <v>0</v>
      </c>
      <c r="N285" s="6">
        <f t="shared" si="26"/>
        <v>0</v>
      </c>
      <c r="O285" s="17">
        <f t="shared" si="27"/>
        <v>0</v>
      </c>
      <c r="P285" s="18">
        <f t="shared" si="29"/>
        <v>0</v>
      </c>
      <c r="Q285" s="1">
        <f t="shared" si="28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0</v>
      </c>
      <c r="J286" s="4">
        <f t="shared" si="24"/>
        <v>0</v>
      </c>
      <c r="K286" s="5">
        <f t="shared" si="25"/>
        <v>0</v>
      </c>
      <c r="L286" s="2">
        <v>2158596.5258458201</v>
      </c>
      <c r="M286" s="2">
        <v>505000</v>
      </c>
      <c r="N286" s="6">
        <f t="shared" si="26"/>
        <v>1</v>
      </c>
      <c r="O286" s="17">
        <f t="shared" si="27"/>
        <v>0.23394830574098224</v>
      </c>
      <c r="P286" s="18">
        <f t="shared" si="29"/>
        <v>0</v>
      </c>
      <c r="Q286" s="1">
        <f t="shared" si="28"/>
        <v>0</v>
      </c>
      <c r="R286" s="18">
        <v>11</v>
      </c>
      <c r="S286" s="18">
        <v>0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0</v>
      </c>
      <c r="J287" s="4">
        <f t="shared" si="24"/>
        <v>0</v>
      </c>
      <c r="K287" s="5">
        <f t="shared" si="25"/>
        <v>0</v>
      </c>
      <c r="L287" s="2">
        <v>2158596.5258458201</v>
      </c>
      <c r="M287" s="2">
        <v>3415000</v>
      </c>
      <c r="N287" s="6">
        <f t="shared" si="26"/>
        <v>1</v>
      </c>
      <c r="O287" s="17">
        <f t="shared" si="27"/>
        <v>1.5820464635751572</v>
      </c>
      <c r="P287" s="18">
        <f t="shared" si="29"/>
        <v>2</v>
      </c>
      <c r="Q287" s="1">
        <f t="shared" si="28"/>
        <v>0</v>
      </c>
      <c r="R287" s="18">
        <v>11</v>
      </c>
      <c r="S287" s="18">
        <v>2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0</v>
      </c>
      <c r="J288" s="4">
        <f t="shared" si="24"/>
        <v>0</v>
      </c>
      <c r="K288" s="5">
        <f t="shared" si="25"/>
        <v>0</v>
      </c>
      <c r="L288" s="2">
        <v>2158596.5258458201</v>
      </c>
      <c r="M288" s="2">
        <v>3415000</v>
      </c>
      <c r="N288" s="6">
        <f t="shared" si="26"/>
        <v>1</v>
      </c>
      <c r="O288" s="17">
        <f t="shared" si="27"/>
        <v>1.5820464635751572</v>
      </c>
      <c r="P288" s="18">
        <f t="shared" si="29"/>
        <v>0</v>
      </c>
      <c r="Q288" s="1">
        <f t="shared" si="28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0</v>
      </c>
      <c r="J289" s="1">
        <f t="shared" si="24"/>
        <v>0</v>
      </c>
      <c r="K289" s="5">
        <f t="shared" si="25"/>
        <v>0</v>
      </c>
      <c r="L289" s="2">
        <v>20436102.327871229</v>
      </c>
      <c r="M289" s="2">
        <v>3415000</v>
      </c>
      <c r="N289" s="6">
        <f t="shared" si="26"/>
        <v>1</v>
      </c>
      <c r="O289" s="17">
        <f t="shared" si="27"/>
        <v>0.16710622922173099</v>
      </c>
      <c r="P289" s="18">
        <f t="shared" si="29"/>
        <v>0</v>
      </c>
      <c r="Q289" s="1">
        <f t="shared" si="28"/>
        <v>0</v>
      </c>
      <c r="R289" s="18">
        <v>10</v>
      </c>
      <c r="S289" s="18">
        <v>0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4"/>
        <v>0</v>
      </c>
      <c r="K290" s="5">
        <f t="shared" si="25"/>
        <v>0</v>
      </c>
      <c r="L290" s="2">
        <v>3217964.3101155241</v>
      </c>
      <c r="M290" s="2">
        <v>0</v>
      </c>
      <c r="N290" s="6">
        <f t="shared" si="26"/>
        <v>0</v>
      </c>
      <c r="O290" s="17">
        <f t="shared" si="27"/>
        <v>0</v>
      </c>
      <c r="P290" s="18">
        <f t="shared" si="29"/>
        <v>2</v>
      </c>
      <c r="Q290" s="1">
        <f t="shared" si="28"/>
        <v>0</v>
      </c>
      <c r="R290" s="18">
        <v>11</v>
      </c>
      <c r="S290" s="18">
        <v>2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0</v>
      </c>
      <c r="J291" s="1">
        <f t="shared" si="24"/>
        <v>0</v>
      </c>
      <c r="K291" s="5">
        <f t="shared" si="25"/>
        <v>0</v>
      </c>
      <c r="L291" s="2">
        <v>6826278.7156551722</v>
      </c>
      <c r="M291" s="2">
        <v>725000</v>
      </c>
      <c r="N291" s="6">
        <f t="shared" si="26"/>
        <v>1</v>
      </c>
      <c r="O291" s="17">
        <f t="shared" si="27"/>
        <v>0.10620720749905917</v>
      </c>
      <c r="P291" s="18">
        <f t="shared" si="29"/>
        <v>0</v>
      </c>
      <c r="Q291" s="1">
        <f t="shared" si="28"/>
        <v>0</v>
      </c>
      <c r="R291" s="18">
        <v>9</v>
      </c>
      <c r="S291" s="18">
        <v>0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3</v>
      </c>
      <c r="J292" s="1">
        <f t="shared" si="24"/>
        <v>1</v>
      </c>
      <c r="K292" s="5">
        <f t="shared" si="25"/>
        <v>0.50951531370799918</v>
      </c>
      <c r="L292" s="2">
        <v>2151055.2636527219</v>
      </c>
      <c r="M292" s="2">
        <v>2003000</v>
      </c>
      <c r="N292" s="6">
        <f t="shared" si="26"/>
        <v>1</v>
      </c>
      <c r="O292" s="17">
        <f t="shared" si="27"/>
        <v>0.93117086940792571</v>
      </c>
      <c r="P292" s="18">
        <f t="shared" si="29"/>
        <v>1</v>
      </c>
      <c r="Q292" s="1">
        <f t="shared" si="28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0</v>
      </c>
      <c r="J293" s="4">
        <f t="shared" si="24"/>
        <v>0</v>
      </c>
      <c r="K293" s="5">
        <f t="shared" si="25"/>
        <v>0</v>
      </c>
      <c r="L293" s="2">
        <v>2101677.9516740479</v>
      </c>
      <c r="M293" s="2">
        <v>4060000</v>
      </c>
      <c r="N293" s="6">
        <f t="shared" si="26"/>
        <v>1</v>
      </c>
      <c r="O293" s="17">
        <f t="shared" si="27"/>
        <v>1.9317897857595601</v>
      </c>
      <c r="P293" s="18">
        <f t="shared" si="29"/>
        <v>0</v>
      </c>
      <c r="Q293" s="1">
        <f t="shared" si="28"/>
        <v>0</v>
      </c>
      <c r="R293" s="18">
        <v>7</v>
      </c>
      <c r="S293" s="18">
        <v>0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4"/>
        <v>0</v>
      </c>
      <c r="K294" s="5">
        <f t="shared" si="25"/>
        <v>0</v>
      </c>
      <c r="L294" s="2">
        <v>13569244.439462701</v>
      </c>
      <c r="M294" s="2">
        <v>0</v>
      </c>
      <c r="N294" s="6">
        <f t="shared" si="26"/>
        <v>0</v>
      </c>
      <c r="O294" s="17">
        <f t="shared" si="27"/>
        <v>0</v>
      </c>
      <c r="P294" s="18">
        <f t="shared" si="29"/>
        <v>0</v>
      </c>
      <c r="Q294" s="1">
        <f t="shared" si="28"/>
        <v>0</v>
      </c>
      <c r="R294" s="18">
        <v>12</v>
      </c>
      <c r="S294" s="18">
        <v>0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4"/>
        <v>0</v>
      </c>
      <c r="K295" s="5">
        <f t="shared" si="25"/>
        <v>0</v>
      </c>
      <c r="L295" s="2">
        <v>1194033.180575171</v>
      </c>
      <c r="M295" s="2">
        <v>0</v>
      </c>
      <c r="N295" s="6">
        <f t="shared" si="26"/>
        <v>0</v>
      </c>
      <c r="O295" s="17">
        <f t="shared" si="27"/>
        <v>0</v>
      </c>
      <c r="P295" s="18">
        <f t="shared" si="29"/>
        <v>0</v>
      </c>
      <c r="Q295" s="1">
        <f t="shared" si="28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17693220</v>
      </c>
      <c r="B296" s="16" t="s">
        <v>54</v>
      </c>
      <c r="C296" s="16" t="s">
        <v>35</v>
      </c>
      <c r="D296" s="16" t="s">
        <v>442</v>
      </c>
      <c r="E296" s="16" t="s">
        <v>26</v>
      </c>
      <c r="F296" s="16" t="s">
        <v>55</v>
      </c>
      <c r="G296" s="21" t="s">
        <v>441</v>
      </c>
      <c r="H296" s="7">
        <v>5</v>
      </c>
      <c r="I296" s="1">
        <v>0</v>
      </c>
      <c r="J296" s="1">
        <f t="shared" si="24"/>
        <v>0</v>
      </c>
      <c r="K296" s="5">
        <f t="shared" si="25"/>
        <v>0</v>
      </c>
      <c r="L296" s="2">
        <v>1233517.793070439</v>
      </c>
      <c r="M296" s="2">
        <v>634000</v>
      </c>
      <c r="N296" s="6">
        <f t="shared" si="26"/>
        <v>1</v>
      </c>
      <c r="O296" s="17">
        <f t="shared" si="27"/>
        <v>0.51397718262487679</v>
      </c>
      <c r="P296" s="18">
        <f t="shared" si="29"/>
        <v>0</v>
      </c>
      <c r="Q296" s="1">
        <f t="shared" si="28"/>
        <v>0</v>
      </c>
      <c r="R296" s="18">
        <v>7</v>
      </c>
      <c r="S296" s="18">
        <v>0</v>
      </c>
      <c r="T296" s="18">
        <v>1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16">
        <v>17646915</v>
      </c>
      <c r="B297" s="16" t="s">
        <v>403</v>
      </c>
      <c r="C297" s="16" t="s">
        <v>35</v>
      </c>
      <c r="D297" s="16" t="s">
        <v>442</v>
      </c>
      <c r="E297" s="16" t="s">
        <v>26</v>
      </c>
      <c r="F297" s="16" t="s">
        <v>55</v>
      </c>
      <c r="G297" s="21" t="s">
        <v>441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1260000</v>
      </c>
      <c r="N297" s="6">
        <f t="shared" si="26"/>
        <v>1</v>
      </c>
      <c r="O297" s="17">
        <f t="shared" si="27"/>
        <v>1.0214688487497552</v>
      </c>
      <c r="P297" s="18">
        <f t="shared" si="29"/>
        <v>5</v>
      </c>
      <c r="Q297" s="1">
        <f t="shared" si="28"/>
        <v>1</v>
      </c>
      <c r="R297" s="18">
        <v>5</v>
      </c>
      <c r="S297" s="18">
        <v>5</v>
      </c>
      <c r="T297" s="18">
        <v>0</v>
      </c>
      <c r="U297" s="3">
        <v>0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17648919</v>
      </c>
      <c r="B298" s="16" t="s">
        <v>413</v>
      </c>
      <c r="C298" s="16" t="s">
        <v>35</v>
      </c>
      <c r="D298" s="16" t="s">
        <v>442</v>
      </c>
      <c r="E298" s="16" t="s">
        <v>26</v>
      </c>
      <c r="F298" s="16" t="s">
        <v>55</v>
      </c>
      <c r="G298" s="21" t="s">
        <v>441</v>
      </c>
      <c r="H298" s="7">
        <v>5</v>
      </c>
      <c r="I298" s="1">
        <v>0</v>
      </c>
      <c r="J298" s="4">
        <f t="shared" si="24"/>
        <v>0</v>
      </c>
      <c r="K298" s="5">
        <f t="shared" si="25"/>
        <v>0</v>
      </c>
      <c r="L298" s="2">
        <v>1233517.793070439</v>
      </c>
      <c r="M298" s="2">
        <v>1680000</v>
      </c>
      <c r="N298" s="6">
        <f t="shared" si="26"/>
        <v>1</v>
      </c>
      <c r="O298" s="17">
        <f t="shared" si="27"/>
        <v>1.3619584649996734</v>
      </c>
      <c r="P298" s="18">
        <f t="shared" si="29"/>
        <v>5</v>
      </c>
      <c r="Q298" s="1">
        <f t="shared" si="28"/>
        <v>1</v>
      </c>
      <c r="R298" s="18">
        <v>7</v>
      </c>
      <c r="S298" s="18">
        <v>5</v>
      </c>
      <c r="T298" s="18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0</v>
      </c>
      <c r="J299" s="4">
        <f t="shared" si="24"/>
        <v>0</v>
      </c>
      <c r="K299" s="5">
        <f t="shared" si="25"/>
        <v>0</v>
      </c>
      <c r="L299" s="2">
        <v>15023810.27342353</v>
      </c>
      <c r="M299" s="2">
        <v>900000</v>
      </c>
      <c r="N299" s="6">
        <f t="shared" si="26"/>
        <v>1</v>
      </c>
      <c r="O299" s="17">
        <f t="shared" si="27"/>
        <v>5.9904909847807455E-2</v>
      </c>
      <c r="P299" s="18">
        <f t="shared" si="29"/>
        <v>0</v>
      </c>
      <c r="Q299" s="1">
        <f t="shared" si="28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0</v>
      </c>
      <c r="J300" s="1">
        <f t="shared" si="24"/>
        <v>0</v>
      </c>
      <c r="K300" s="5">
        <f t="shared" si="25"/>
        <v>0</v>
      </c>
      <c r="L300" s="2">
        <v>2091802.489278316</v>
      </c>
      <c r="M300" s="2">
        <v>360000</v>
      </c>
      <c r="N300" s="6">
        <f t="shared" si="26"/>
        <v>1</v>
      </c>
      <c r="O300" s="17">
        <f t="shared" si="27"/>
        <v>0.1721003784273161</v>
      </c>
      <c r="P300" s="18">
        <f t="shared" si="29"/>
        <v>0</v>
      </c>
      <c r="Q300" s="1">
        <f t="shared" si="28"/>
        <v>0</v>
      </c>
      <c r="R300" s="18">
        <v>14</v>
      </c>
      <c r="S300" s="18">
        <v>0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0</v>
      </c>
      <c r="J301" s="4">
        <f t="shared" si="24"/>
        <v>0</v>
      </c>
      <c r="K301" s="5">
        <f t="shared" si="25"/>
        <v>0</v>
      </c>
      <c r="L301" s="2">
        <v>8369903.2650393397</v>
      </c>
      <c r="M301" s="2">
        <v>3570000</v>
      </c>
      <c r="N301" s="6">
        <f t="shared" si="26"/>
        <v>1</v>
      </c>
      <c r="O301" s="17">
        <f t="shared" si="27"/>
        <v>0.42652822702404558</v>
      </c>
      <c r="P301" s="18">
        <f t="shared" si="29"/>
        <v>0</v>
      </c>
      <c r="Q301" s="1">
        <f t="shared" si="28"/>
        <v>0</v>
      </c>
      <c r="R301" s="18">
        <v>9</v>
      </c>
      <c r="S301" s="18">
        <v>0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0</v>
      </c>
      <c r="J302" s="4">
        <f t="shared" si="24"/>
        <v>0</v>
      </c>
      <c r="K302" s="5">
        <f t="shared" si="25"/>
        <v>0</v>
      </c>
      <c r="L302" s="2">
        <v>6344894.8123285566</v>
      </c>
      <c r="M302" s="2">
        <v>3390000</v>
      </c>
      <c r="N302" s="6">
        <f t="shared" si="26"/>
        <v>1</v>
      </c>
      <c r="O302" s="17">
        <f t="shared" si="27"/>
        <v>0.53428781725632435</v>
      </c>
      <c r="P302" s="18">
        <f t="shared" si="29"/>
        <v>0</v>
      </c>
      <c r="Q302" s="1">
        <f t="shared" si="28"/>
        <v>0</v>
      </c>
      <c r="R302" s="18">
        <v>8</v>
      </c>
      <c r="S302" s="18">
        <v>0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0</v>
      </c>
      <c r="J303" s="1">
        <f t="shared" si="24"/>
        <v>0</v>
      </c>
      <c r="K303" s="5">
        <f t="shared" si="25"/>
        <v>0</v>
      </c>
      <c r="L303" s="2">
        <v>1065113.5078454011</v>
      </c>
      <c r="M303" s="2">
        <v>1700000</v>
      </c>
      <c r="N303" s="6">
        <f t="shared" si="26"/>
        <v>1</v>
      </c>
      <c r="O303" s="17">
        <f t="shared" si="27"/>
        <v>1.5960740216682627</v>
      </c>
      <c r="P303" s="18">
        <f t="shared" si="29"/>
        <v>0</v>
      </c>
      <c r="Q303" s="1">
        <f t="shared" si="28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4"/>
        <v>0</v>
      </c>
      <c r="K304" s="5">
        <f t="shared" si="25"/>
        <v>0</v>
      </c>
      <c r="L304" s="2">
        <v>1814391.7728890399</v>
      </c>
      <c r="M304" s="2">
        <v>420000</v>
      </c>
      <c r="N304" s="6">
        <f t="shared" si="26"/>
        <v>1</v>
      </c>
      <c r="O304" s="17">
        <f t="shared" si="27"/>
        <v>0.2314825311025511</v>
      </c>
      <c r="P304" s="18">
        <f t="shared" si="29"/>
        <v>0</v>
      </c>
      <c r="Q304" s="1">
        <f t="shared" si="28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0</v>
      </c>
      <c r="J305" s="1">
        <f t="shared" si="24"/>
        <v>0</v>
      </c>
      <c r="K305" s="5">
        <f t="shared" si="25"/>
        <v>0</v>
      </c>
      <c r="L305" s="2">
        <v>1560682.1662495269</v>
      </c>
      <c r="M305" s="2">
        <v>1200000</v>
      </c>
      <c r="N305" s="6">
        <f t="shared" si="26"/>
        <v>1</v>
      </c>
      <c r="O305" s="17">
        <f t="shared" si="27"/>
        <v>0.76889454236778931</v>
      </c>
      <c r="P305" s="18">
        <f t="shared" si="29"/>
        <v>0</v>
      </c>
      <c r="Q305" s="1">
        <f t="shared" si="28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4"/>
        <v>0</v>
      </c>
      <c r="K306" s="5">
        <f t="shared" si="25"/>
        <v>0</v>
      </c>
      <c r="L306" s="2">
        <v>3890932.1839193888</v>
      </c>
      <c r="M306" s="2">
        <v>0</v>
      </c>
      <c r="N306" s="6">
        <f t="shared" si="26"/>
        <v>0</v>
      </c>
      <c r="O306" s="17">
        <f t="shared" si="27"/>
        <v>0</v>
      </c>
      <c r="P306" s="18">
        <f t="shared" si="29"/>
        <v>0</v>
      </c>
      <c r="Q306" s="1">
        <f t="shared" si="28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4"/>
        <v>0</v>
      </c>
      <c r="K307" s="5">
        <f t="shared" si="25"/>
        <v>0</v>
      </c>
      <c r="L307" s="2">
        <v>13620955.951644</v>
      </c>
      <c r="M307" s="2">
        <v>0</v>
      </c>
      <c r="N307" s="6">
        <f t="shared" si="26"/>
        <v>0</v>
      </c>
      <c r="O307" s="17">
        <f t="shared" si="27"/>
        <v>0</v>
      </c>
      <c r="P307" s="18">
        <f t="shared" si="29"/>
        <v>0</v>
      </c>
      <c r="Q307" s="1">
        <f t="shared" si="28"/>
        <v>0</v>
      </c>
      <c r="R307" s="18">
        <v>12</v>
      </c>
      <c r="S307" s="18">
        <v>0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17741916</v>
      </c>
      <c r="B308" s="16" t="s">
        <v>318</v>
      </c>
      <c r="C308" s="16" t="s">
        <v>35</v>
      </c>
      <c r="D308" s="16" t="s">
        <v>442</v>
      </c>
      <c r="E308" s="16" t="s">
        <v>26</v>
      </c>
      <c r="F308" s="16" t="s">
        <v>278</v>
      </c>
      <c r="G308" s="21" t="s">
        <v>441</v>
      </c>
      <c r="H308" s="7">
        <v>2.7022719565954572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0</v>
      </c>
      <c r="N308" s="6">
        <f t="shared" si="26"/>
        <v>0</v>
      </c>
      <c r="O308" s="17">
        <f t="shared" si="27"/>
        <v>0</v>
      </c>
      <c r="P308" s="18">
        <f t="shared" si="29"/>
        <v>0</v>
      </c>
      <c r="Q308" s="1">
        <f t="shared" si="28"/>
        <v>0</v>
      </c>
      <c r="R308" s="18">
        <v>5</v>
      </c>
      <c r="S308" s="18">
        <v>0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1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0</v>
      </c>
      <c r="J309" s="4">
        <f t="shared" si="24"/>
        <v>0</v>
      </c>
      <c r="K309" s="5">
        <f t="shared" si="25"/>
        <v>0</v>
      </c>
      <c r="L309" s="2">
        <v>1233517.793070439</v>
      </c>
      <c r="M309" s="2">
        <v>182000</v>
      </c>
      <c r="N309" s="6">
        <f t="shared" si="26"/>
        <v>0</v>
      </c>
      <c r="O309" s="17">
        <f t="shared" si="27"/>
        <v>0.14754550037496464</v>
      </c>
      <c r="P309" s="18">
        <f t="shared" si="29"/>
        <v>0</v>
      </c>
      <c r="Q309" s="1">
        <f t="shared" si="28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1</v>
      </c>
      <c r="J310" s="4">
        <f t="shared" si="24"/>
        <v>0</v>
      </c>
      <c r="K310" s="5">
        <f t="shared" si="25"/>
        <v>0.19243066884176147</v>
      </c>
      <c r="L310" s="2">
        <v>2549477.9785796599</v>
      </c>
      <c r="M310" s="2">
        <v>468000</v>
      </c>
      <c r="N310" s="6">
        <f t="shared" si="26"/>
        <v>1</v>
      </c>
      <c r="O310" s="17">
        <f t="shared" si="27"/>
        <v>0.18356699054946438</v>
      </c>
      <c r="P310" s="18">
        <f t="shared" si="29"/>
        <v>2</v>
      </c>
      <c r="Q310" s="1">
        <f t="shared" si="28"/>
        <v>0</v>
      </c>
      <c r="R310" s="18">
        <v>8</v>
      </c>
      <c r="S310" s="18">
        <v>2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0</v>
      </c>
      <c r="J311" s="1">
        <f t="shared" si="24"/>
        <v>0</v>
      </c>
      <c r="K311" s="5">
        <f t="shared" si="25"/>
        <v>0</v>
      </c>
      <c r="L311" s="2">
        <v>1233517.793070439</v>
      </c>
      <c r="M311" s="2">
        <v>132000</v>
      </c>
      <c r="N311" s="6">
        <f t="shared" si="26"/>
        <v>0</v>
      </c>
      <c r="O311" s="17">
        <f t="shared" si="27"/>
        <v>0.10701102224997434</v>
      </c>
      <c r="P311" s="18">
        <f t="shared" si="29"/>
        <v>5</v>
      </c>
      <c r="Q311" s="1">
        <f t="shared" si="28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0</v>
      </c>
      <c r="J312" s="4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7">
        <f t="shared" si="27"/>
        <v>0.10701102224997434</v>
      </c>
      <c r="P312" s="18">
        <f t="shared" si="29"/>
        <v>0</v>
      </c>
      <c r="Q312" s="1">
        <f t="shared" si="28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17750177</v>
      </c>
      <c r="B313" s="16" t="s">
        <v>344</v>
      </c>
      <c r="C313" s="16" t="s">
        <v>35</v>
      </c>
      <c r="D313" s="16" t="s">
        <v>442</v>
      </c>
      <c r="E313" s="16" t="s">
        <v>26</v>
      </c>
      <c r="F313" s="16" t="s">
        <v>126</v>
      </c>
      <c r="G313" s="21" t="s">
        <v>441</v>
      </c>
      <c r="H313" s="7">
        <v>3.3258731773482562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0</v>
      </c>
      <c r="N313" s="6">
        <f t="shared" si="26"/>
        <v>0</v>
      </c>
      <c r="O313" s="17">
        <f t="shared" si="27"/>
        <v>0</v>
      </c>
      <c r="P313" s="18">
        <f t="shared" si="29"/>
        <v>5</v>
      </c>
      <c r="Q313" s="1">
        <f t="shared" si="28"/>
        <v>1</v>
      </c>
      <c r="R313" s="18">
        <v>6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17750185</v>
      </c>
      <c r="B314" s="16" t="s">
        <v>377</v>
      </c>
      <c r="C314" s="16" t="s">
        <v>35</v>
      </c>
      <c r="D314" s="16" t="s">
        <v>442</v>
      </c>
      <c r="E314" s="16" t="s">
        <v>26</v>
      </c>
      <c r="F314" s="16" t="s">
        <v>126</v>
      </c>
      <c r="G314" s="21" t="s">
        <v>441</v>
      </c>
      <c r="H314" s="7">
        <v>5</v>
      </c>
      <c r="I314" s="1">
        <v>0</v>
      </c>
      <c r="J314" s="1">
        <f t="shared" si="24"/>
        <v>0</v>
      </c>
      <c r="K314" s="5">
        <f t="shared" si="25"/>
        <v>0</v>
      </c>
      <c r="L314" s="2">
        <v>1233517.793070439</v>
      </c>
      <c r="M314" s="2">
        <v>0</v>
      </c>
      <c r="N314" s="6">
        <f t="shared" si="26"/>
        <v>0</v>
      </c>
      <c r="O314" s="17">
        <f t="shared" si="27"/>
        <v>0</v>
      </c>
      <c r="P314" s="18">
        <f t="shared" si="29"/>
        <v>0</v>
      </c>
      <c r="Q314" s="1">
        <f t="shared" si="28"/>
        <v>0</v>
      </c>
      <c r="R314" s="18">
        <v>7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20">
        <v>17750171</v>
      </c>
      <c r="B315" s="20" t="s">
        <v>124</v>
      </c>
      <c r="C315" s="16" t="s">
        <v>35</v>
      </c>
      <c r="D315" s="20" t="s">
        <v>442</v>
      </c>
      <c r="E315" s="16" t="s">
        <v>26</v>
      </c>
      <c r="F315" s="22" t="s">
        <v>126</v>
      </c>
      <c r="G315" s="20" t="s">
        <v>441</v>
      </c>
      <c r="H315" s="7">
        <v>2.7022719565954572</v>
      </c>
      <c r="I315" s="1">
        <v>0</v>
      </c>
      <c r="J315" s="1">
        <f t="shared" si="24"/>
        <v>0</v>
      </c>
      <c r="K315" s="5">
        <f t="shared" si="25"/>
        <v>0</v>
      </c>
      <c r="L315" s="2">
        <v>300000</v>
      </c>
      <c r="M315" s="2">
        <v>0</v>
      </c>
      <c r="N315" s="6">
        <f t="shared" si="26"/>
        <v>0</v>
      </c>
      <c r="O315" s="17">
        <f t="shared" si="27"/>
        <v>0</v>
      </c>
      <c r="P315" s="18">
        <f t="shared" si="29"/>
        <v>6</v>
      </c>
      <c r="Q315" s="1">
        <f t="shared" si="28"/>
        <v>1</v>
      </c>
      <c r="R315" s="18">
        <v>5</v>
      </c>
      <c r="S315" s="18">
        <v>6</v>
      </c>
      <c r="T315" s="18">
        <v>0</v>
      </c>
      <c r="U315" s="3">
        <v>0</v>
      </c>
      <c r="V315" s="3">
        <v>0</v>
      </c>
      <c r="W315" s="3">
        <v>0</v>
      </c>
      <c r="X315" s="3">
        <v>0</v>
      </c>
      <c r="Y315" s="3">
        <v>1</v>
      </c>
      <c r="Z315" s="3">
        <v>0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0</v>
      </c>
      <c r="J316" s="1">
        <f t="shared" si="24"/>
        <v>0</v>
      </c>
      <c r="K316" s="5">
        <f t="shared" si="25"/>
        <v>0</v>
      </c>
      <c r="L316" s="2">
        <v>3997946.2855168041</v>
      </c>
      <c r="M316" s="2">
        <v>425000</v>
      </c>
      <c r="N316" s="6">
        <f t="shared" si="26"/>
        <v>1</v>
      </c>
      <c r="O316" s="17">
        <f t="shared" si="27"/>
        <v>0.10630457981379841</v>
      </c>
      <c r="P316" s="18">
        <f t="shared" si="29"/>
        <v>0</v>
      </c>
      <c r="Q316" s="1">
        <f t="shared" si="28"/>
        <v>0</v>
      </c>
      <c r="R316" s="18">
        <v>22</v>
      </c>
      <c r="S316" s="18">
        <v>0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0</v>
      </c>
      <c r="J317" s="4">
        <f t="shared" si="24"/>
        <v>0</v>
      </c>
      <c r="K317" s="5">
        <f t="shared" si="25"/>
        <v>0</v>
      </c>
      <c r="L317" s="2">
        <v>2158596.5258458201</v>
      </c>
      <c r="M317" s="2">
        <v>425000</v>
      </c>
      <c r="N317" s="6">
        <f t="shared" si="26"/>
        <v>1</v>
      </c>
      <c r="O317" s="17">
        <f t="shared" si="27"/>
        <v>0.19688718799983654</v>
      </c>
      <c r="P317" s="18">
        <f t="shared" si="29"/>
        <v>0</v>
      </c>
      <c r="Q317" s="1">
        <f t="shared" si="28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0</v>
      </c>
      <c r="J318" s="1">
        <f t="shared" si="24"/>
        <v>0</v>
      </c>
      <c r="K318" s="5">
        <f t="shared" si="25"/>
        <v>0</v>
      </c>
      <c r="L318" s="2">
        <v>1687447.19263842</v>
      </c>
      <c r="M318" s="2">
        <v>425000</v>
      </c>
      <c r="N318" s="6">
        <f t="shared" si="26"/>
        <v>1</v>
      </c>
      <c r="O318" s="17">
        <f t="shared" si="27"/>
        <v>0.25185973336178197</v>
      </c>
      <c r="P318" s="18">
        <f t="shared" si="29"/>
        <v>0</v>
      </c>
      <c r="Q318" s="1">
        <f t="shared" si="28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48</v>
      </c>
      <c r="J319" s="4">
        <f t="shared" si="24"/>
        <v>1</v>
      </c>
      <c r="K319" s="5">
        <f t="shared" si="25"/>
        <v>5.9574098218165794</v>
      </c>
      <c r="L319" s="2">
        <v>2158596.5258458201</v>
      </c>
      <c r="M319" s="2">
        <v>2910000</v>
      </c>
      <c r="N319" s="6">
        <f t="shared" si="26"/>
        <v>1</v>
      </c>
      <c r="O319" s="17">
        <f t="shared" si="27"/>
        <v>1.3480981578341749</v>
      </c>
      <c r="P319" s="18">
        <f t="shared" si="29"/>
        <v>100</v>
      </c>
      <c r="Q319" s="1">
        <f t="shared" si="28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100</v>
      </c>
      <c r="J320" s="4">
        <f t="shared" si="24"/>
        <v>1</v>
      </c>
      <c r="K320" s="5">
        <f t="shared" si="25"/>
        <v>12.411270462117875</v>
      </c>
      <c r="L320" s="2">
        <v>2158596.5258458201</v>
      </c>
      <c r="M320" s="2">
        <v>2910000</v>
      </c>
      <c r="N320" s="6">
        <f t="shared" si="26"/>
        <v>1</v>
      </c>
      <c r="O320" s="17">
        <f t="shared" si="27"/>
        <v>1.3480981578341749</v>
      </c>
      <c r="P320" s="18">
        <f t="shared" si="29"/>
        <v>100</v>
      </c>
      <c r="Q320" s="1">
        <f t="shared" si="28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0</v>
      </c>
      <c r="J321" s="4">
        <f t="shared" si="24"/>
        <v>0</v>
      </c>
      <c r="K321" s="5">
        <f t="shared" si="25"/>
        <v>0</v>
      </c>
      <c r="L321" s="2">
        <v>2607481.1801973949</v>
      </c>
      <c r="M321" s="2">
        <v>0</v>
      </c>
      <c r="N321" s="6">
        <f t="shared" si="26"/>
        <v>0</v>
      </c>
      <c r="O321" s="17">
        <f t="shared" si="27"/>
        <v>0</v>
      </c>
      <c r="P321" s="18">
        <f t="shared" si="29"/>
        <v>0</v>
      </c>
      <c r="Q321" s="1">
        <f t="shared" si="28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24"/>
        <v>1</v>
      </c>
      <c r="K322" s="5">
        <f t="shared" si="25"/>
        <v>0.6</v>
      </c>
      <c r="L322" s="2">
        <v>1233517.793070439</v>
      </c>
      <c r="M322" s="2">
        <v>1257000</v>
      </c>
      <c r="N322" s="6">
        <f t="shared" si="26"/>
        <v>1</v>
      </c>
      <c r="O322" s="17">
        <f t="shared" si="27"/>
        <v>1.0190367800622557</v>
      </c>
      <c r="P322" s="18">
        <f t="shared" si="29"/>
        <v>5</v>
      </c>
      <c r="Q322" s="1">
        <f t="shared" si="28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24"/>
        <v>1</v>
      </c>
      <c r="K323" s="5">
        <f t="shared" si="25"/>
        <v>0.6</v>
      </c>
      <c r="L323" s="2">
        <v>1233517.793070439</v>
      </c>
      <c r="M323" s="2">
        <v>438000</v>
      </c>
      <c r="N323" s="6">
        <f t="shared" si="26"/>
        <v>1</v>
      </c>
      <c r="O323" s="17">
        <f t="shared" si="27"/>
        <v>0.35508202837491487</v>
      </c>
      <c r="P323" s="18">
        <f t="shared" si="29"/>
        <v>0</v>
      </c>
      <c r="Q323" s="1">
        <f t="shared" si="28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24"/>
        <v>1</v>
      </c>
      <c r="K324" s="5">
        <f t="shared" si="25"/>
        <v>1</v>
      </c>
      <c r="L324" s="2">
        <v>1233517.793070439</v>
      </c>
      <c r="M324" s="2">
        <v>583000</v>
      </c>
      <c r="N324" s="6">
        <f t="shared" si="26"/>
        <v>1</v>
      </c>
      <c r="O324" s="17">
        <f t="shared" si="27"/>
        <v>0.47263201493738671</v>
      </c>
      <c r="P324" s="18">
        <f t="shared" si="29"/>
        <v>0</v>
      </c>
      <c r="Q324" s="1">
        <f t="shared" si="28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24"/>
        <v>0</v>
      </c>
      <c r="K325" s="5">
        <f t="shared" si="25"/>
        <v>0</v>
      </c>
      <c r="L325" s="2">
        <v>1409497.814663925</v>
      </c>
      <c r="M325" s="2">
        <v>0</v>
      </c>
      <c r="N325" s="6">
        <f t="shared" si="26"/>
        <v>0</v>
      </c>
      <c r="O325" s="17">
        <f t="shared" si="27"/>
        <v>0</v>
      </c>
      <c r="P325" s="18">
        <f t="shared" si="29"/>
        <v>0</v>
      </c>
      <c r="Q325" s="1">
        <f t="shared" si="28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0</v>
      </c>
      <c r="J326" s="4">
        <f t="shared" ref="J326:J338" si="30">IF(I326&gt;=3,1,0)</f>
        <v>0</v>
      </c>
      <c r="K326" s="5">
        <f t="shared" ref="K326:K338" si="31">I326/H326</f>
        <v>0</v>
      </c>
      <c r="L326" s="2">
        <v>1233517.793070439</v>
      </c>
      <c r="M326" s="2">
        <v>302400</v>
      </c>
      <c r="N326" s="6">
        <f t="shared" ref="N326:N338" si="32">IF(M326&gt;=300000,1,0)</f>
        <v>1</v>
      </c>
      <c r="O326" s="17">
        <f t="shared" ref="O326:O338" si="33">M326/L326</f>
        <v>0.24515252369994123</v>
      </c>
      <c r="P326" s="18">
        <f t="shared" si="29"/>
        <v>5</v>
      </c>
      <c r="Q326" s="1">
        <f t="shared" ref="Q326:Q338" si="34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20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0"/>
        <v>0</v>
      </c>
      <c r="K327" s="5">
        <f t="shared" si="31"/>
        <v>0</v>
      </c>
      <c r="L327" s="2">
        <v>300000</v>
      </c>
      <c r="M327" s="2">
        <v>0</v>
      </c>
      <c r="N327" s="6">
        <f t="shared" si="32"/>
        <v>0</v>
      </c>
      <c r="O327" s="17">
        <f t="shared" si="33"/>
        <v>0</v>
      </c>
      <c r="P327" s="18">
        <f t="shared" ref="P327:P338" si="35">S327</f>
        <v>0</v>
      </c>
      <c r="Q327" s="1">
        <f t="shared" si="34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0"/>
        <v>0</v>
      </c>
      <c r="K328" s="5">
        <f t="shared" si="31"/>
        <v>0</v>
      </c>
      <c r="L328" s="2">
        <v>1233517.793070439</v>
      </c>
      <c r="M328" s="2">
        <v>168000</v>
      </c>
      <c r="N328" s="6">
        <f t="shared" si="32"/>
        <v>0</v>
      </c>
      <c r="O328" s="17">
        <f t="shared" si="33"/>
        <v>0.13619584649996735</v>
      </c>
      <c r="P328" s="18">
        <f t="shared" si="35"/>
        <v>0</v>
      </c>
      <c r="Q328" s="1">
        <f t="shared" si="34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0"/>
        <v>1</v>
      </c>
      <c r="K329" s="5">
        <f t="shared" si="31"/>
        <v>1.1101769356255486</v>
      </c>
      <c r="L329" s="2">
        <v>300000</v>
      </c>
      <c r="M329" s="2">
        <v>132000</v>
      </c>
      <c r="N329" s="6">
        <f t="shared" si="32"/>
        <v>0</v>
      </c>
      <c r="O329" s="17">
        <f t="shared" si="33"/>
        <v>0.44</v>
      </c>
      <c r="P329" s="18">
        <f t="shared" si="35"/>
        <v>0</v>
      </c>
      <c r="Q329" s="1">
        <f t="shared" si="34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0</v>
      </c>
      <c r="J330" s="1">
        <f t="shared" si="30"/>
        <v>0</v>
      </c>
      <c r="K330" s="5">
        <f t="shared" si="31"/>
        <v>0</v>
      </c>
      <c r="L330" s="2">
        <v>3486028.5456338399</v>
      </c>
      <c r="M330" s="2">
        <v>400000</v>
      </c>
      <c r="N330" s="6">
        <f t="shared" si="32"/>
        <v>1</v>
      </c>
      <c r="O330" s="17">
        <f t="shared" si="33"/>
        <v>0.11474375346151126</v>
      </c>
      <c r="P330" s="18">
        <f t="shared" si="35"/>
        <v>1</v>
      </c>
      <c r="Q330" s="1">
        <f t="shared" si="34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0"/>
        <v>0</v>
      </c>
      <c r="K331" s="5">
        <f t="shared" si="31"/>
        <v>0</v>
      </c>
      <c r="L331" s="2">
        <v>1233517.793070439</v>
      </c>
      <c r="M331" s="2">
        <v>0</v>
      </c>
      <c r="N331" s="6">
        <f t="shared" si="32"/>
        <v>0</v>
      </c>
      <c r="O331" s="17">
        <f t="shared" si="33"/>
        <v>0</v>
      </c>
      <c r="P331" s="18">
        <f t="shared" si="35"/>
        <v>0</v>
      </c>
      <c r="Q331" s="1">
        <f t="shared" si="34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0"/>
        <v>0</v>
      </c>
      <c r="K332" s="5">
        <f t="shared" si="31"/>
        <v>0</v>
      </c>
      <c r="L332" s="2">
        <v>2549477.9785796599</v>
      </c>
      <c r="M332" s="2">
        <v>336000</v>
      </c>
      <c r="N332" s="6">
        <f t="shared" si="32"/>
        <v>1</v>
      </c>
      <c r="O332" s="17">
        <f t="shared" si="33"/>
        <v>0.13179168552269238</v>
      </c>
      <c r="P332" s="18">
        <f t="shared" si="35"/>
        <v>1</v>
      </c>
      <c r="Q332" s="1">
        <f t="shared" si="34"/>
        <v>0</v>
      </c>
      <c r="R332" s="18">
        <v>6</v>
      </c>
      <c r="S332" s="18">
        <v>1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0"/>
        <v>0</v>
      </c>
      <c r="K333" s="5">
        <f t="shared" si="31"/>
        <v>0</v>
      </c>
      <c r="L333" s="2">
        <v>1233517.793070439</v>
      </c>
      <c r="M333" s="2">
        <v>168000</v>
      </c>
      <c r="N333" s="6">
        <f t="shared" si="32"/>
        <v>0</v>
      </c>
      <c r="O333" s="17">
        <f t="shared" si="33"/>
        <v>0.13619584649996735</v>
      </c>
      <c r="P333" s="18">
        <f t="shared" si="35"/>
        <v>0</v>
      </c>
      <c r="Q333" s="1">
        <f t="shared" si="34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0"/>
        <v>0</v>
      </c>
      <c r="K334" s="5">
        <f t="shared" si="31"/>
        <v>0</v>
      </c>
      <c r="L334" s="2">
        <v>1233517.793070439</v>
      </c>
      <c r="M334" s="2">
        <v>336000</v>
      </c>
      <c r="N334" s="6">
        <f t="shared" si="32"/>
        <v>1</v>
      </c>
      <c r="O334" s="17">
        <f t="shared" si="33"/>
        <v>0.27239169299993471</v>
      </c>
      <c r="P334" s="18">
        <f t="shared" si="35"/>
        <v>5</v>
      </c>
      <c r="Q334" s="1">
        <f t="shared" si="34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0</v>
      </c>
      <c r="J335" s="4">
        <f t="shared" si="30"/>
        <v>0</v>
      </c>
      <c r="K335" s="5">
        <f t="shared" si="31"/>
        <v>0</v>
      </c>
      <c r="L335" s="2">
        <v>19880654</v>
      </c>
      <c r="M335" s="2">
        <v>2000000</v>
      </c>
      <c r="N335" s="6">
        <f t="shared" si="32"/>
        <v>1</v>
      </c>
      <c r="O335" s="17">
        <f t="shared" si="33"/>
        <v>0.10060031224324914</v>
      </c>
      <c r="P335" s="18">
        <f t="shared" si="35"/>
        <v>0</v>
      </c>
      <c r="Q335" s="1">
        <f t="shared" si="34"/>
        <v>0</v>
      </c>
      <c r="R335" s="18">
        <v>5</v>
      </c>
      <c r="S335" s="18">
        <v>0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0"/>
        <v>0</v>
      </c>
      <c r="K336" s="5">
        <f t="shared" si="31"/>
        <v>0</v>
      </c>
      <c r="L336" s="2">
        <v>3485404.9269315852</v>
      </c>
      <c r="M336" s="2">
        <v>468000</v>
      </c>
      <c r="N336" s="6">
        <f t="shared" si="32"/>
        <v>1</v>
      </c>
      <c r="O336" s="17">
        <f t="shared" si="33"/>
        <v>0.13427421198144945</v>
      </c>
      <c r="P336" s="18">
        <f t="shared" si="35"/>
        <v>0</v>
      </c>
      <c r="Q336" s="1">
        <f t="shared" si="34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0</v>
      </c>
      <c r="J337" s="4">
        <f t="shared" si="30"/>
        <v>0</v>
      </c>
      <c r="K337" s="5">
        <f t="shared" si="31"/>
        <v>0</v>
      </c>
      <c r="L337" s="2">
        <v>10486663.7410996</v>
      </c>
      <c r="M337" s="2">
        <v>300000</v>
      </c>
      <c r="N337" s="6">
        <f t="shared" si="32"/>
        <v>1</v>
      </c>
      <c r="O337" s="17">
        <f t="shared" si="33"/>
        <v>2.8607763861468388E-2</v>
      </c>
      <c r="P337" s="18">
        <f t="shared" si="35"/>
        <v>0</v>
      </c>
      <c r="Q337" s="1">
        <f t="shared" si="34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0</v>
      </c>
      <c r="J338" s="1">
        <f t="shared" si="30"/>
        <v>0</v>
      </c>
      <c r="K338" s="5">
        <f t="shared" si="31"/>
        <v>0</v>
      </c>
      <c r="L338" s="2">
        <v>1065113.5078454011</v>
      </c>
      <c r="M338" s="2">
        <v>420000</v>
      </c>
      <c r="N338" s="6">
        <f t="shared" si="32"/>
        <v>1</v>
      </c>
      <c r="O338" s="17">
        <f t="shared" si="33"/>
        <v>0.39432417005921783</v>
      </c>
      <c r="P338" s="18">
        <f t="shared" si="35"/>
        <v>0</v>
      </c>
      <c r="Q338" s="1">
        <f t="shared" si="34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6:Z338">
      <sortCondition ref="F5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I6:Z6 L327:L338 J7:L328 N7:O328 Q7:R328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2026-08-11T10:43:12Z</dcterms:modified>
</cp:coreProperties>
</file>