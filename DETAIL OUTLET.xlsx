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<sst xmlns="http://schemas.openxmlformats.org/spreadsheetml/2006/main" count="2058" uniqueCount="480">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</sst>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P6" sqref="P6:P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3</v>
      </c>
      <c r="Q14" s="1">
        <f t="shared" si="4"/>
        <v>1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f t="shared" si="5"/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f t="shared" si="5"/>
        <v>2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f t="shared" si="5"/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f t="shared" si="5"/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f t="shared" si="5"/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f t="shared" si="5"/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f t="shared" si="5"/>
        <v>2</v>
      </c>
      <c r="Q60" s="1">
        <f t="shared" si="4"/>
        <v>0</v>
      </c>
      <c r="R60" s="18">
        <v>7</v>
      </c>
      <c r="S60" s="18">
        <v>2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f t="shared" si="5"/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f t="shared" si="5"/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f t="shared" si="5"/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f t="shared" si="5"/>
        <v>3</v>
      </c>
      <c r="Q68" s="1">
        <f t="shared" si="4"/>
        <v>1</v>
      </c>
      <c r="R68" s="18">
        <v>11</v>
      </c>
      <c r="S68" s="18">
        <v>3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6">IF(I70&gt;=3,1,0)</f>
        <v>1</v>
      </c>
      <c r="K70" s="5">
        <f t="shared" ref="K70:K91" si="7">I70/H70</f>
        <v>0.88007190549563463</v>
      </c>
      <c r="L70" s="2">
        <v>2473533.999338889</v>
      </c>
      <c r="M70" s="2">
        <v>4100500</v>
      </c>
      <c r="N70" s="6">
        <f t="shared" ref="N70:N91" si="8">IF(M70&gt;=300000,1,0)</f>
        <v>1</v>
      </c>
      <c r="O70" s="17">
        <f t="shared" ref="O70:O91" si="9">M70/L70</f>
        <v>1.6577496008124233</v>
      </c>
      <c r="P70" s="18">
        <f t="shared" si="5"/>
        <v>0</v>
      </c>
      <c r="Q70" s="1">
        <f t="shared" ref="Q70:Q91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6"/>
        <v>1</v>
      </c>
      <c r="K71" s="5">
        <f t="shared" si="7"/>
        <v>0.92198009147161741</v>
      </c>
      <c r="L71" s="2">
        <v>2241909.517693473</v>
      </c>
      <c r="M71" s="2">
        <v>1699500</v>
      </c>
      <c r="N71" s="6">
        <f t="shared" si="8"/>
        <v>1</v>
      </c>
      <c r="O71" s="17">
        <f t="shared" si="9"/>
        <v>0.75805913958047866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6"/>
        <v>1</v>
      </c>
      <c r="K72" s="5">
        <f t="shared" si="7"/>
        <v>13.553107344632767</v>
      </c>
      <c r="L72" s="2">
        <v>13704268.94349164</v>
      </c>
      <c r="M72" s="2">
        <v>7256500</v>
      </c>
      <c r="N72" s="6">
        <f t="shared" si="8"/>
        <v>1</v>
      </c>
      <c r="O72" s="17">
        <f t="shared" si="9"/>
        <v>0.52950653770161304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6"/>
        <v>1</v>
      </c>
      <c r="K73" s="5">
        <f t="shared" si="7"/>
        <v>1.5</v>
      </c>
      <c r="L73" s="2">
        <v>8662935.1674000528</v>
      </c>
      <c r="M73" s="2">
        <v>1200500</v>
      </c>
      <c r="N73" s="6">
        <f t="shared" si="8"/>
        <v>1</v>
      </c>
      <c r="O73" s="17">
        <f t="shared" si="9"/>
        <v>0.13857889696758494</v>
      </c>
      <c r="P73" s="18">
        <f t="shared" si="11"/>
        <v>2</v>
      </c>
      <c r="Q73" s="1">
        <f t="shared" si="10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6"/>
        <v>1</v>
      </c>
      <c r="K74" s="5">
        <f t="shared" si="7"/>
        <v>1.5</v>
      </c>
      <c r="L74" s="2">
        <v>5655946.6448297696</v>
      </c>
      <c r="M74" s="2">
        <v>1300500</v>
      </c>
      <c r="N74" s="6">
        <f t="shared" si="8"/>
        <v>1</v>
      </c>
      <c r="O74" s="17">
        <f t="shared" si="9"/>
        <v>0.22993498377301999</v>
      </c>
      <c r="P74" s="18">
        <f t="shared" si="11"/>
        <v>1</v>
      </c>
      <c r="Q74" s="1">
        <f t="shared" si="10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6"/>
        <v>1</v>
      </c>
      <c r="K75" s="5">
        <f t="shared" si="7"/>
        <v>0.6</v>
      </c>
      <c r="L75" s="2">
        <v>4178038.8088426539</v>
      </c>
      <c r="M75" s="2">
        <v>1069000</v>
      </c>
      <c r="N75" s="6">
        <f t="shared" si="8"/>
        <v>1</v>
      </c>
      <c r="O75" s="17">
        <f t="shared" si="9"/>
        <v>0.25586167312220837</v>
      </c>
      <c r="P75" s="18">
        <f t="shared" si="11"/>
        <v>1</v>
      </c>
      <c r="Q75" s="1">
        <f t="shared" si="10"/>
        <v>0</v>
      </c>
      <c r="R75" s="18">
        <v>7</v>
      </c>
      <c r="S75" s="18">
        <v>1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6"/>
        <v>1</v>
      </c>
      <c r="K76" s="5">
        <f t="shared" si="7"/>
        <v>0.28472914589564619</v>
      </c>
      <c r="L76" s="2">
        <v>3680495.057959374</v>
      </c>
      <c r="M76" s="2">
        <v>1344000</v>
      </c>
      <c r="N76" s="6">
        <f t="shared" si="8"/>
        <v>1</v>
      </c>
      <c r="O76" s="17">
        <f t="shared" si="9"/>
        <v>0.36516826645195166</v>
      </c>
      <c r="P76" s="18">
        <f t="shared" si="11"/>
        <v>6</v>
      </c>
      <c r="Q76" s="1">
        <f t="shared" si="10"/>
        <v>1</v>
      </c>
      <c r="R76" s="18">
        <v>13</v>
      </c>
      <c r="S76" s="18">
        <v>6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6"/>
        <v>1</v>
      </c>
      <c r="K77" s="5">
        <f t="shared" si="7"/>
        <v>0.40336629001883245</v>
      </c>
      <c r="L77" s="2">
        <v>16163438.633891329</v>
      </c>
      <c r="M77" s="2">
        <v>1489000</v>
      </c>
      <c r="N77" s="6">
        <f t="shared" si="8"/>
        <v>1</v>
      </c>
      <c r="O77" s="17">
        <f t="shared" si="9"/>
        <v>9.2121486877048575E-2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6"/>
        <v>1</v>
      </c>
      <c r="K78" s="5">
        <f t="shared" si="7"/>
        <v>0.50951531370799918</v>
      </c>
      <c r="L78" s="2">
        <v>5493091.2922310065</v>
      </c>
      <c r="M78" s="2">
        <v>1869000</v>
      </c>
      <c r="N78" s="6">
        <f t="shared" si="8"/>
        <v>1</v>
      </c>
      <c r="O78" s="17">
        <f t="shared" si="9"/>
        <v>0.34024557404377487</v>
      </c>
      <c r="P78" s="18">
        <f t="shared" si="11"/>
        <v>6</v>
      </c>
      <c r="Q78" s="1">
        <f t="shared" si="10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6"/>
        <v>1</v>
      </c>
      <c r="K79" s="5">
        <f t="shared" si="7"/>
        <v>0.50951531370799918</v>
      </c>
      <c r="L79" s="2">
        <v>4970050.8929805709</v>
      </c>
      <c r="M79" s="2">
        <v>1489000</v>
      </c>
      <c r="N79" s="6">
        <f t="shared" si="8"/>
        <v>1</v>
      </c>
      <c r="O79" s="17">
        <f t="shared" si="9"/>
        <v>0.29959451765433276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6"/>
        <v>1</v>
      </c>
      <c r="K80" s="5">
        <f t="shared" si="7"/>
        <v>0.56945829179129259</v>
      </c>
      <c r="L80" s="2">
        <v>24528493.944663569</v>
      </c>
      <c r="M80" s="2">
        <v>649000</v>
      </c>
      <c r="N80" s="6">
        <f t="shared" si="8"/>
        <v>1</v>
      </c>
      <c r="O80" s="17">
        <f t="shared" si="9"/>
        <v>2.6459023593708931E-2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6"/>
        <v>1</v>
      </c>
      <c r="K81" s="5">
        <f t="shared" si="7"/>
        <v>0.6</v>
      </c>
      <c r="L81" s="2">
        <v>8652341.4895573519</v>
      </c>
      <c r="M81" s="2">
        <v>1069000</v>
      </c>
      <c r="N81" s="6">
        <f t="shared" si="8"/>
        <v>1</v>
      </c>
      <c r="O81" s="17">
        <f t="shared" si="9"/>
        <v>0.12355037087824065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6"/>
        <v>1</v>
      </c>
      <c r="K82" s="5">
        <f t="shared" si="7"/>
        <v>0.60504943502824837</v>
      </c>
      <c r="L82" s="2">
        <v>2520936.2188384128</v>
      </c>
      <c r="M82" s="2">
        <v>1235000</v>
      </c>
      <c r="N82" s="6">
        <f t="shared" si="8"/>
        <v>1</v>
      </c>
      <c r="O82" s="17">
        <f t="shared" si="9"/>
        <v>0.48989736065954836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6"/>
        <v>1</v>
      </c>
      <c r="K84" s="5">
        <f t="shared" si="7"/>
        <v>0.94909715298548725</v>
      </c>
      <c r="L84" s="2">
        <v>8061250.1767072026</v>
      </c>
      <c r="M84" s="2">
        <v>1459000</v>
      </c>
      <c r="N84" s="6">
        <f t="shared" si="8"/>
        <v>1</v>
      </c>
      <c r="O84" s="17">
        <f t="shared" si="9"/>
        <v>0.18098929669938132</v>
      </c>
      <c r="P84" s="18">
        <f t="shared" si="11"/>
        <v>7</v>
      </c>
      <c r="Q84" s="1">
        <f t="shared" si="10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6"/>
        <v>1</v>
      </c>
      <c r="K85" s="5">
        <f t="shared" si="7"/>
        <v>0.53782172002510964</v>
      </c>
      <c r="L85" s="2">
        <v>7224888.2887193644</v>
      </c>
      <c r="M85" s="2">
        <v>1069000</v>
      </c>
      <c r="N85" s="6">
        <f t="shared" si="8"/>
        <v>1</v>
      </c>
      <c r="O85" s="17">
        <f t="shared" si="9"/>
        <v>0.14796076524381579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0</v>
      </c>
      <c r="Q90" s="1">
        <f t="shared" si="10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2">IF(I92&gt;=3,1,0)</f>
        <v>0</v>
      </c>
      <c r="K92" s="5">
        <f t="shared" ref="K92:K155" si="13">I92/H92</f>
        <v>0</v>
      </c>
      <c r="L92" s="2">
        <v>1233517.793070439</v>
      </c>
      <c r="M92" s="2">
        <v>1410000</v>
      </c>
      <c r="N92" s="6">
        <f t="shared" ref="N92:N155" si="14">IF(M92&gt;=300000,1,0)</f>
        <v>1</v>
      </c>
      <c r="O92" s="17">
        <f t="shared" ref="O92:O155" si="15">M92/L92</f>
        <v>1.143072283124726</v>
      </c>
      <c r="P92" s="18">
        <f t="shared" si="11"/>
        <v>1</v>
      </c>
      <c r="Q92" s="1">
        <f t="shared" ref="Q92:Q155" si="16">IF(P92&gt;=3,1,0)</f>
        <v>0</v>
      </c>
      <c r="R92" s="18">
        <v>10</v>
      </c>
      <c r="S92" s="18">
        <v>1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2"/>
        <v>1</v>
      </c>
      <c r="K93" s="5">
        <f t="shared" si="13"/>
        <v>0.21223970828135477</v>
      </c>
      <c r="L93" s="2">
        <v>1233517.793070439</v>
      </c>
      <c r="M93" s="2">
        <v>619500</v>
      </c>
      <c r="N93" s="6">
        <f t="shared" si="14"/>
        <v>1</v>
      </c>
      <c r="O93" s="17">
        <f t="shared" si="15"/>
        <v>0.50222218396862961</v>
      </c>
      <c r="P93" s="18">
        <f t="shared" si="11"/>
        <v>1</v>
      </c>
      <c r="Q93" s="1">
        <f t="shared" si="16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2"/>
        <v>1</v>
      </c>
      <c r="K94" s="5">
        <f t="shared" si="13"/>
        <v>0.2488327614333127</v>
      </c>
      <c r="L94" s="2">
        <v>1233517.793070439</v>
      </c>
      <c r="M94" s="2">
        <v>619500</v>
      </c>
      <c r="N94" s="6">
        <f t="shared" si="14"/>
        <v>1</v>
      </c>
      <c r="O94" s="17">
        <f t="shared" si="15"/>
        <v>0.50222218396862961</v>
      </c>
      <c r="P94" s="18">
        <f t="shared" si="11"/>
        <v>0</v>
      </c>
      <c r="Q94" s="1">
        <f t="shared" si="16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2"/>
        <v>1</v>
      </c>
      <c r="K95" s="5">
        <f t="shared" si="13"/>
        <v>0.6560136437787335</v>
      </c>
      <c r="L95" s="2">
        <v>1233517.793070439</v>
      </c>
      <c r="M95" s="2">
        <v>1642000</v>
      </c>
      <c r="N95" s="6">
        <f t="shared" si="14"/>
        <v>1</v>
      </c>
      <c r="O95" s="17">
        <f t="shared" si="15"/>
        <v>1.3311522616246809</v>
      </c>
      <c r="P95" s="18">
        <f t="shared" si="11"/>
        <v>0</v>
      </c>
      <c r="Q95" s="1">
        <f t="shared" si="16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2"/>
        <v>1</v>
      </c>
      <c r="K96" s="5">
        <f t="shared" si="13"/>
        <v>0.90201876019575788</v>
      </c>
      <c r="L96" s="2">
        <v>2549477.9785796599</v>
      </c>
      <c r="M96" s="2">
        <v>787200</v>
      </c>
      <c r="N96" s="6">
        <f t="shared" si="14"/>
        <v>1</v>
      </c>
      <c r="O96" s="17">
        <f t="shared" si="15"/>
        <v>0.30876909179602213</v>
      </c>
      <c r="P96" s="18">
        <f t="shared" si="11"/>
        <v>1</v>
      </c>
      <c r="Q96" s="1">
        <f t="shared" si="16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2"/>
        <v>1</v>
      </c>
      <c r="K97" s="5">
        <f t="shared" si="13"/>
        <v>0.6</v>
      </c>
      <c r="L97" s="2">
        <v>1233517.793070439</v>
      </c>
      <c r="M97" s="2">
        <v>2026200</v>
      </c>
      <c r="N97" s="6">
        <f t="shared" si="14"/>
        <v>1</v>
      </c>
      <c r="O97" s="17">
        <f t="shared" si="15"/>
        <v>1.6426191915371062</v>
      </c>
      <c r="P97" s="18">
        <f t="shared" si="11"/>
        <v>7</v>
      </c>
      <c r="Q97" s="1">
        <f t="shared" si="16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2"/>
        <v>1</v>
      </c>
      <c r="K98" s="5">
        <f t="shared" si="13"/>
        <v>0.51543929154043422</v>
      </c>
      <c r="L98" s="2">
        <v>1233517.793070439</v>
      </c>
      <c r="M98" s="2">
        <v>1576200</v>
      </c>
      <c r="N98" s="6">
        <f t="shared" si="14"/>
        <v>1</v>
      </c>
      <c r="O98" s="17">
        <f t="shared" si="15"/>
        <v>1.2778088884121936</v>
      </c>
      <c r="P98" s="18">
        <f t="shared" si="11"/>
        <v>5</v>
      </c>
      <c r="Q98" s="1">
        <f t="shared" si="16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2"/>
        <v>0</v>
      </c>
      <c r="K99" s="5">
        <f t="shared" si="13"/>
        <v>0</v>
      </c>
      <c r="L99" s="2">
        <v>12908778</v>
      </c>
      <c r="M99" s="2">
        <v>1260000</v>
      </c>
      <c r="N99" s="6">
        <f t="shared" si="14"/>
        <v>1</v>
      </c>
      <c r="O99" s="17">
        <f t="shared" si="15"/>
        <v>9.7607999765740805E-2</v>
      </c>
      <c r="P99" s="18">
        <f t="shared" si="11"/>
        <v>0</v>
      </c>
      <c r="Q99" s="1">
        <f t="shared" si="16"/>
        <v>0</v>
      </c>
      <c r="R99" s="18">
        <v>5</v>
      </c>
      <c r="S99" s="18">
        <v>0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2"/>
        <v>0</v>
      </c>
      <c r="K100" s="5">
        <f t="shared" si="13"/>
        <v>0</v>
      </c>
      <c r="L100" s="2">
        <v>1233517.793070439</v>
      </c>
      <c r="M100" s="2">
        <v>634000</v>
      </c>
      <c r="N100" s="6">
        <f t="shared" si="14"/>
        <v>1</v>
      </c>
      <c r="O100" s="17">
        <f t="shared" si="15"/>
        <v>0.51397718262487679</v>
      </c>
      <c r="P100" s="18">
        <f t="shared" si="11"/>
        <v>0</v>
      </c>
      <c r="Q100" s="1">
        <f t="shared" si="16"/>
        <v>0</v>
      </c>
      <c r="R100" s="18">
        <v>7</v>
      </c>
      <c r="S100" s="18">
        <v>0</v>
      </c>
      <c r="T100" s="18">
        <v>1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2"/>
        <v>1</v>
      </c>
      <c r="K101" s="5">
        <f t="shared" si="13"/>
        <v>1</v>
      </c>
      <c r="L101" s="2">
        <v>1233517.793070439</v>
      </c>
      <c r="M101" s="2">
        <v>290000</v>
      </c>
      <c r="N101" s="6">
        <f t="shared" si="14"/>
        <v>0</v>
      </c>
      <c r="O101" s="17">
        <f t="shared" si="15"/>
        <v>0.23509997312494363</v>
      </c>
      <c r="P101" s="18">
        <f t="shared" si="11"/>
        <v>0</v>
      </c>
      <c r="Q101" s="1">
        <f t="shared" si="16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2"/>
        <v>0</v>
      </c>
      <c r="K102" s="5">
        <f t="shared" si="13"/>
        <v>0</v>
      </c>
      <c r="L102" s="2">
        <v>29626053.564346101</v>
      </c>
      <c r="M102" s="2">
        <v>1260000</v>
      </c>
      <c r="N102" s="6">
        <f t="shared" si="14"/>
        <v>1</v>
      </c>
      <c r="O102" s="17">
        <f t="shared" si="15"/>
        <v>4.2530133055465921E-2</v>
      </c>
      <c r="P102" s="18">
        <f t="shared" si="11"/>
        <v>0</v>
      </c>
      <c r="Q102" s="1">
        <f t="shared" si="16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2"/>
        <v>1</v>
      </c>
      <c r="K103" s="5">
        <f t="shared" si="13"/>
        <v>0.6</v>
      </c>
      <c r="L103" s="2">
        <v>29626053.564346101</v>
      </c>
      <c r="M103" s="2">
        <v>3230000</v>
      </c>
      <c r="N103" s="6">
        <f t="shared" si="14"/>
        <v>1</v>
      </c>
      <c r="O103" s="17">
        <f t="shared" si="15"/>
        <v>0.10902565854694835</v>
      </c>
      <c r="P103" s="18">
        <f t="shared" si="11"/>
        <v>0</v>
      </c>
      <c r="Q103" s="1">
        <f t="shared" si="16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2"/>
        <v>1</v>
      </c>
      <c r="K104" s="5">
        <f t="shared" si="13"/>
        <v>0.6</v>
      </c>
      <c r="L104" s="2">
        <v>1233517.793070439</v>
      </c>
      <c r="M104" s="2">
        <v>361200</v>
      </c>
      <c r="N104" s="6">
        <f t="shared" si="14"/>
        <v>1</v>
      </c>
      <c r="O104" s="17">
        <f t="shared" si="15"/>
        <v>0.29282106997492979</v>
      </c>
      <c r="P104" s="18">
        <f t="shared" si="11"/>
        <v>0</v>
      </c>
      <c r="Q104" s="1">
        <f t="shared" si="16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2"/>
        <v>1</v>
      </c>
      <c r="K105" s="5">
        <f t="shared" si="13"/>
        <v>0.39006216657113951</v>
      </c>
      <c r="L105" s="2">
        <v>1233517.793070439</v>
      </c>
      <c r="M105" s="2">
        <v>342800</v>
      </c>
      <c r="N105" s="6">
        <f t="shared" si="14"/>
        <v>1</v>
      </c>
      <c r="O105" s="17">
        <f t="shared" si="15"/>
        <v>0.27790438202493339</v>
      </c>
      <c r="P105" s="18">
        <f t="shared" si="11"/>
        <v>0</v>
      </c>
      <c r="Q105" s="1">
        <f t="shared" si="16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2"/>
        <v>1</v>
      </c>
      <c r="K106" s="5">
        <f t="shared" si="13"/>
        <v>0.6</v>
      </c>
      <c r="L106" s="2">
        <v>22463880</v>
      </c>
      <c r="M106" s="2">
        <v>361200</v>
      </c>
      <c r="N106" s="6">
        <f t="shared" si="14"/>
        <v>1</v>
      </c>
      <c r="O106" s="17">
        <f t="shared" si="15"/>
        <v>1.6079145721932274E-2</v>
      </c>
      <c r="P106" s="18">
        <f t="shared" si="11"/>
        <v>0</v>
      </c>
      <c r="Q106" s="1">
        <f t="shared" si="16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2"/>
        <v>1</v>
      </c>
      <c r="K107" s="5">
        <f t="shared" si="13"/>
        <v>0.57729200652528434</v>
      </c>
      <c r="L107" s="2">
        <v>1233517.793070439</v>
      </c>
      <c r="M107" s="2">
        <v>613200</v>
      </c>
      <c r="N107" s="6">
        <f t="shared" si="14"/>
        <v>1</v>
      </c>
      <c r="O107" s="17">
        <f t="shared" si="15"/>
        <v>0.4971148397248808</v>
      </c>
      <c r="P107" s="18">
        <f t="shared" si="11"/>
        <v>1</v>
      </c>
      <c r="Q107" s="1">
        <f t="shared" si="16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2"/>
        <v>1</v>
      </c>
      <c r="K108" s="5">
        <f t="shared" si="13"/>
        <v>0.13488130993581426</v>
      </c>
      <c r="L108" s="2">
        <v>1233517.793070439</v>
      </c>
      <c r="M108" s="2">
        <v>582000</v>
      </c>
      <c r="N108" s="6">
        <f t="shared" si="14"/>
        <v>1</v>
      </c>
      <c r="O108" s="17">
        <f t="shared" si="15"/>
        <v>0.47182132537488691</v>
      </c>
      <c r="P108" s="18">
        <f t="shared" si="11"/>
        <v>0</v>
      </c>
      <c r="Q108" s="1">
        <f t="shared" si="16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2"/>
        <v>1</v>
      </c>
      <c r="K109" s="5">
        <f t="shared" si="13"/>
        <v>0.51543929154043422</v>
      </c>
      <c r="L109" s="2">
        <v>1233517.793070439</v>
      </c>
      <c r="M109" s="2">
        <v>582000</v>
      </c>
      <c r="N109" s="6">
        <f t="shared" si="14"/>
        <v>1</v>
      </c>
      <c r="O109" s="17">
        <f t="shared" si="15"/>
        <v>0.47182132537488691</v>
      </c>
      <c r="P109" s="18">
        <f t="shared" si="11"/>
        <v>0</v>
      </c>
      <c r="Q109" s="1">
        <f t="shared" si="16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2"/>
        <v>1</v>
      </c>
      <c r="K110" s="5">
        <f t="shared" si="13"/>
        <v>0.60134584013050585</v>
      </c>
      <c r="L110" s="2">
        <v>1233517.793070439</v>
      </c>
      <c r="M110" s="2">
        <v>1797000</v>
      </c>
      <c r="N110" s="6">
        <f t="shared" si="14"/>
        <v>1</v>
      </c>
      <c r="O110" s="17">
        <f t="shared" si="15"/>
        <v>1.4568091438121507</v>
      </c>
      <c r="P110" s="18">
        <f t="shared" si="11"/>
        <v>5</v>
      </c>
      <c r="Q110" s="1">
        <f t="shared" si="16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2"/>
        <v>1</v>
      </c>
      <c r="K111" s="5">
        <f t="shared" si="13"/>
        <v>1</v>
      </c>
      <c r="L111" s="2">
        <v>1233517.793070439</v>
      </c>
      <c r="M111" s="2">
        <v>1008000</v>
      </c>
      <c r="N111" s="6">
        <f t="shared" si="14"/>
        <v>1</v>
      </c>
      <c r="O111" s="17">
        <f t="shared" si="15"/>
        <v>0.81717507899980413</v>
      </c>
      <c r="P111" s="18">
        <f t="shared" si="11"/>
        <v>0</v>
      </c>
      <c r="Q111" s="1">
        <f t="shared" si="16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2"/>
        <v>1</v>
      </c>
      <c r="K112" s="5">
        <f t="shared" si="13"/>
        <v>0.62749131144052761</v>
      </c>
      <c r="L112" s="2">
        <v>2825491.6161999619</v>
      </c>
      <c r="M112" s="2">
        <v>974400</v>
      </c>
      <c r="N112" s="6">
        <f t="shared" si="14"/>
        <v>1</v>
      </c>
      <c r="O112" s="17">
        <f t="shared" si="15"/>
        <v>0.34486034020178141</v>
      </c>
      <c r="P112" s="18">
        <f t="shared" si="11"/>
        <v>0</v>
      </c>
      <c r="Q112" s="1">
        <f t="shared" si="16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2"/>
        <v>1</v>
      </c>
      <c r="K113" s="5">
        <f t="shared" si="13"/>
        <v>0.96215334420880883</v>
      </c>
      <c r="L113" s="2">
        <v>3274995.9767890298</v>
      </c>
      <c r="M113" s="2">
        <v>2924400</v>
      </c>
      <c r="N113" s="6">
        <f t="shared" si="14"/>
        <v>1</v>
      </c>
      <c r="O113" s="17">
        <f t="shared" si="15"/>
        <v>0.89294766183719965</v>
      </c>
      <c r="P113" s="18">
        <f t="shared" si="11"/>
        <v>0</v>
      </c>
      <c r="Q113" s="1">
        <f t="shared" si="16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2"/>
        <v>1</v>
      </c>
      <c r="K114" s="5">
        <f t="shared" si="13"/>
        <v>0.6</v>
      </c>
      <c r="L114" s="2">
        <v>22463880</v>
      </c>
      <c r="M114" s="2">
        <v>2084400</v>
      </c>
      <c r="N114" s="6">
        <f t="shared" si="14"/>
        <v>1</v>
      </c>
      <c r="O114" s="17">
        <f t="shared" si="15"/>
        <v>9.2788957205967984E-2</v>
      </c>
      <c r="P114" s="18">
        <f t="shared" si="11"/>
        <v>1</v>
      </c>
      <c r="Q114" s="1">
        <f t="shared" si="16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2"/>
        <v>1</v>
      </c>
      <c r="K115" s="5">
        <f t="shared" si="13"/>
        <v>0.41235143323234597</v>
      </c>
      <c r="L115" s="2">
        <v>19880654</v>
      </c>
      <c r="M115" s="2">
        <v>4371000</v>
      </c>
      <c r="N115" s="6">
        <f t="shared" si="14"/>
        <v>1</v>
      </c>
      <c r="O115" s="17">
        <f t="shared" si="15"/>
        <v>0.219861982407621</v>
      </c>
      <c r="P115" s="18">
        <f t="shared" si="11"/>
        <v>0</v>
      </c>
      <c r="Q115" s="1">
        <f t="shared" si="16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2"/>
        <v>1</v>
      </c>
      <c r="K116" s="5">
        <f t="shared" si="13"/>
        <v>1</v>
      </c>
      <c r="L116" s="2">
        <v>1233517.793070439</v>
      </c>
      <c r="M116" s="2">
        <v>1819600</v>
      </c>
      <c r="N116" s="6">
        <f t="shared" si="14"/>
        <v>1</v>
      </c>
      <c r="O116" s="17">
        <f t="shared" si="15"/>
        <v>1.4751307279246464</v>
      </c>
      <c r="P116" s="18">
        <f t="shared" si="11"/>
        <v>0</v>
      </c>
      <c r="Q116" s="1">
        <f t="shared" si="16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4</v>
      </c>
      <c r="J117" s="4">
        <f t="shared" si="12"/>
        <v>1</v>
      </c>
      <c r="K117" s="5">
        <f t="shared" si="13"/>
        <v>0.13333333333333333</v>
      </c>
      <c r="L117" s="2">
        <v>25626053.564346101</v>
      </c>
      <c r="M117" s="2">
        <v>1048400</v>
      </c>
      <c r="N117" s="6">
        <f t="shared" si="14"/>
        <v>1</v>
      </c>
      <c r="O117" s="17">
        <f t="shared" si="15"/>
        <v>4.091148866787097E-2</v>
      </c>
      <c r="P117" s="18">
        <f t="shared" si="11"/>
        <v>2</v>
      </c>
      <c r="Q117" s="1">
        <f t="shared" si="16"/>
        <v>0</v>
      </c>
      <c r="R117" s="18">
        <v>23</v>
      </c>
      <c r="S117" s="18">
        <v>2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2"/>
        <v>1</v>
      </c>
      <c r="K118" s="5">
        <f t="shared" si="13"/>
        <v>1.0308785830808664</v>
      </c>
      <c r="L118" s="2">
        <v>29626053.564346101</v>
      </c>
      <c r="M118" s="2">
        <v>1146000</v>
      </c>
      <c r="N118" s="6">
        <f t="shared" si="14"/>
        <v>1</v>
      </c>
      <c r="O118" s="17">
        <f t="shared" si="15"/>
        <v>3.8682168636161862E-2</v>
      </c>
      <c r="P118" s="18">
        <f t="shared" si="11"/>
        <v>1</v>
      </c>
      <c r="Q118" s="1">
        <f t="shared" si="16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2"/>
        <v>1</v>
      </c>
      <c r="K119" s="5">
        <f t="shared" si="13"/>
        <v>2</v>
      </c>
      <c r="L119" s="2">
        <v>2649506.4184221751</v>
      </c>
      <c r="M119" s="2">
        <v>722400</v>
      </c>
      <c r="N119" s="6">
        <f t="shared" si="14"/>
        <v>1</v>
      </c>
      <c r="O119" s="17">
        <f t="shared" si="15"/>
        <v>0.27265455745912143</v>
      </c>
      <c r="P119" s="18">
        <f t="shared" si="11"/>
        <v>0</v>
      </c>
      <c r="Q119" s="1">
        <f t="shared" si="16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2"/>
        <v>1</v>
      </c>
      <c r="K120" s="5">
        <f t="shared" si="13"/>
        <v>0.6</v>
      </c>
      <c r="L120" s="2">
        <v>19880654</v>
      </c>
      <c r="M120" s="2">
        <v>1311800</v>
      </c>
      <c r="N120" s="6">
        <f t="shared" si="14"/>
        <v>1</v>
      </c>
      <c r="O120" s="17">
        <f t="shared" si="15"/>
        <v>6.5983744800347105E-2</v>
      </c>
      <c r="P120" s="18">
        <f t="shared" si="11"/>
        <v>1</v>
      </c>
      <c r="Q120" s="1">
        <f t="shared" si="16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2"/>
        <v>1</v>
      </c>
      <c r="K121" s="5">
        <f t="shared" si="13"/>
        <v>0.16216067599024847</v>
      </c>
      <c r="L121" s="2">
        <v>22463880</v>
      </c>
      <c r="M121" s="2">
        <v>1499200</v>
      </c>
      <c r="N121" s="6">
        <f t="shared" si="14"/>
        <v>1</v>
      </c>
      <c r="O121" s="17">
        <f t="shared" si="15"/>
        <v>6.6738248245628087E-2</v>
      </c>
      <c r="P121" s="18">
        <f t="shared" si="11"/>
        <v>0</v>
      </c>
      <c r="Q121" s="1">
        <f t="shared" si="16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2"/>
        <v>1</v>
      </c>
      <c r="K122" s="5">
        <f t="shared" si="13"/>
        <v>1</v>
      </c>
      <c r="L122" s="2">
        <v>1233517.793070439</v>
      </c>
      <c r="M122" s="2">
        <v>1100400</v>
      </c>
      <c r="N122" s="6">
        <f t="shared" si="14"/>
        <v>1</v>
      </c>
      <c r="O122" s="17">
        <f t="shared" si="15"/>
        <v>0.89208279457478612</v>
      </c>
      <c r="P122" s="18">
        <f t="shared" si="11"/>
        <v>0</v>
      </c>
      <c r="Q122" s="1">
        <f t="shared" si="16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2"/>
        <v>1</v>
      </c>
      <c r="K123" s="5">
        <f t="shared" si="13"/>
        <v>1</v>
      </c>
      <c r="L123" s="2">
        <v>4382792.2394838315</v>
      </c>
      <c r="M123" s="2">
        <v>649200</v>
      </c>
      <c r="N123" s="6">
        <f t="shared" si="14"/>
        <v>1</v>
      </c>
      <c r="O123" s="17">
        <f t="shared" si="15"/>
        <v>0.14812474891040178</v>
      </c>
      <c r="P123" s="18">
        <f t="shared" si="11"/>
        <v>0</v>
      </c>
      <c r="Q123" s="1">
        <f t="shared" si="16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2"/>
        <v>0</v>
      </c>
      <c r="K124" s="5">
        <f t="shared" si="13"/>
        <v>0</v>
      </c>
      <c r="L124" s="2">
        <v>2549477.9785796599</v>
      </c>
      <c r="M124" s="2">
        <v>608500</v>
      </c>
      <c r="N124" s="6">
        <f t="shared" si="14"/>
        <v>1</v>
      </c>
      <c r="O124" s="17">
        <f t="shared" si="15"/>
        <v>0.23867631143023307</v>
      </c>
      <c r="P124" s="18">
        <f t="shared" si="11"/>
        <v>0</v>
      </c>
      <c r="Q124" s="1">
        <f t="shared" si="16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2"/>
        <v>1</v>
      </c>
      <c r="K125" s="5">
        <f t="shared" si="13"/>
        <v>0.6</v>
      </c>
      <c r="L125" s="2">
        <v>1233517.793070439</v>
      </c>
      <c r="M125" s="2">
        <v>1190400</v>
      </c>
      <c r="N125" s="6">
        <f t="shared" si="14"/>
        <v>1</v>
      </c>
      <c r="O125" s="17">
        <f t="shared" si="15"/>
        <v>0.96504485519976868</v>
      </c>
      <c r="P125" s="18">
        <f t="shared" si="11"/>
        <v>0</v>
      </c>
      <c r="Q125" s="1">
        <f t="shared" si="16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2"/>
        <v>1</v>
      </c>
      <c r="K126" s="5">
        <f t="shared" si="13"/>
        <v>1.1101769356255449</v>
      </c>
      <c r="L126" s="2">
        <v>19880654</v>
      </c>
      <c r="M126" s="2">
        <v>5493000</v>
      </c>
      <c r="N126" s="6">
        <f t="shared" si="14"/>
        <v>1</v>
      </c>
      <c r="O126" s="17">
        <f t="shared" si="15"/>
        <v>0.27629875757608374</v>
      </c>
      <c r="P126" s="18">
        <f t="shared" si="11"/>
        <v>0</v>
      </c>
      <c r="Q126" s="1">
        <f t="shared" si="16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2"/>
        <v>1</v>
      </c>
      <c r="K127" s="5">
        <f t="shared" si="13"/>
        <v>1.1101769356255486</v>
      </c>
      <c r="L127" s="2">
        <v>6018419.3717715694</v>
      </c>
      <c r="M127" s="2">
        <v>4027200</v>
      </c>
      <c r="N127" s="6">
        <f t="shared" si="14"/>
        <v>1</v>
      </c>
      <c r="O127" s="17">
        <f t="shared" si="15"/>
        <v>0.66914579247982209</v>
      </c>
      <c r="P127" s="18">
        <f t="shared" si="11"/>
        <v>0</v>
      </c>
      <c r="Q127" s="1">
        <f t="shared" si="16"/>
        <v>0</v>
      </c>
      <c r="R127" s="18">
        <v>5</v>
      </c>
      <c r="S127" s="18">
        <v>0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2"/>
        <v>1</v>
      </c>
      <c r="K128" s="5">
        <f t="shared" si="13"/>
        <v>1.2</v>
      </c>
      <c r="L128" s="2">
        <v>2549477.9785796599</v>
      </c>
      <c r="M128" s="2">
        <v>980700</v>
      </c>
      <c r="N128" s="6">
        <f t="shared" si="14"/>
        <v>1</v>
      </c>
      <c r="O128" s="17">
        <f t="shared" si="15"/>
        <v>0.3846669821193584</v>
      </c>
      <c r="P128" s="18">
        <f t="shared" si="11"/>
        <v>1</v>
      </c>
      <c r="Q128" s="1">
        <f t="shared" si="16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2"/>
        <v>0</v>
      </c>
      <c r="K129" s="5">
        <f t="shared" si="13"/>
        <v>0</v>
      </c>
      <c r="L129" s="2">
        <v>1233517.793070439</v>
      </c>
      <c r="M129" s="2">
        <v>631000</v>
      </c>
      <c r="N129" s="6">
        <f t="shared" si="14"/>
        <v>1</v>
      </c>
      <c r="O129" s="17">
        <f t="shared" si="15"/>
        <v>0.51154511393737734</v>
      </c>
      <c r="P129" s="18">
        <f t="shared" si="11"/>
        <v>0</v>
      </c>
      <c r="Q129" s="1">
        <f t="shared" si="16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 t="shared" si="12"/>
        <v>1</v>
      </c>
      <c r="K130" s="5">
        <f t="shared" si="13"/>
        <v>1</v>
      </c>
      <c r="L130" s="2">
        <v>12908778</v>
      </c>
      <c r="M130" s="2">
        <v>914000</v>
      </c>
      <c r="N130" s="6">
        <f t="shared" si="14"/>
        <v>1</v>
      </c>
      <c r="O130" s="17">
        <f t="shared" si="15"/>
        <v>7.0804533163402447E-2</v>
      </c>
      <c r="P130" s="18">
        <f t="shared" si="11"/>
        <v>0</v>
      </c>
      <c r="Q130" s="1">
        <f t="shared" si="16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2"/>
        <v>0</v>
      </c>
      <c r="K131" s="5">
        <f t="shared" si="13"/>
        <v>0</v>
      </c>
      <c r="L131" s="2">
        <v>6018419.3717715694</v>
      </c>
      <c r="M131" s="2">
        <v>271200</v>
      </c>
      <c r="N131" s="6">
        <f t="shared" si="14"/>
        <v>0</v>
      </c>
      <c r="O131" s="17">
        <f t="shared" si="15"/>
        <v>4.5061665405375387E-2</v>
      </c>
      <c r="P131" s="18">
        <f t="shared" si="11"/>
        <v>0</v>
      </c>
      <c r="Q131" s="1">
        <f t="shared" si="16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2"/>
        <v>1</v>
      </c>
      <c r="K132" s="5">
        <f t="shared" si="13"/>
        <v>0.55508846781277243</v>
      </c>
      <c r="L132" s="2">
        <v>1233517.793070439</v>
      </c>
      <c r="M132" s="2">
        <v>758500</v>
      </c>
      <c r="N132" s="6">
        <f t="shared" si="14"/>
        <v>1</v>
      </c>
      <c r="O132" s="17">
        <f t="shared" si="15"/>
        <v>0.61490803315610254</v>
      </c>
      <c r="P132" s="18">
        <f t="shared" si="11"/>
        <v>0</v>
      </c>
      <c r="Q132" s="1">
        <f t="shared" si="16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2"/>
        <v>1</v>
      </c>
      <c r="K133" s="5">
        <f t="shared" si="13"/>
        <v>0.42447941656270971</v>
      </c>
      <c r="L133" s="2">
        <v>2549477.9785796599</v>
      </c>
      <c r="M133" s="2">
        <v>142800</v>
      </c>
      <c r="N133" s="6">
        <f t="shared" si="14"/>
        <v>0</v>
      </c>
      <c r="O133" s="17">
        <f t="shared" si="15"/>
        <v>5.6011466347144261E-2</v>
      </c>
      <c r="P133" s="18">
        <f t="shared" si="11"/>
        <v>0</v>
      </c>
      <c r="Q133" s="1">
        <f t="shared" si="16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2"/>
        <v>0</v>
      </c>
      <c r="K134" s="5">
        <f t="shared" si="13"/>
        <v>0</v>
      </c>
      <c r="L134" s="2">
        <v>29626053.564346101</v>
      </c>
      <c r="M134" s="2">
        <v>1185600</v>
      </c>
      <c r="N134" s="6">
        <f t="shared" si="14"/>
        <v>1</v>
      </c>
      <c r="O134" s="17">
        <f t="shared" si="15"/>
        <v>4.0018829960762219E-2</v>
      </c>
      <c r="P134" s="18">
        <f t="shared" si="11"/>
        <v>0</v>
      </c>
      <c r="Q134" s="1">
        <f t="shared" si="16"/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306000</v>
      </c>
      <c r="N135" s="6">
        <f t="shared" si="14"/>
        <v>1</v>
      </c>
      <c r="O135" s="17">
        <f t="shared" si="15"/>
        <v>9.5687295264261743E-2</v>
      </c>
      <c r="P135" s="18">
        <f t="shared" ref="P135:P198" si="17">S135</f>
        <v>0</v>
      </c>
      <c r="Q135" s="1">
        <f t="shared" si="16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804800</v>
      </c>
      <c r="N136" s="6">
        <f t="shared" si="14"/>
        <v>1</v>
      </c>
      <c r="O136" s="17">
        <f t="shared" si="15"/>
        <v>3.5826402206564495E-2</v>
      </c>
      <c r="P136" s="18">
        <f t="shared" si="17"/>
        <v>0</v>
      </c>
      <c r="Q136" s="1">
        <f t="shared" si="16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2"/>
        <v>1</v>
      </c>
      <c r="K137" s="5">
        <f t="shared" si="13"/>
        <v>0.6</v>
      </c>
      <c r="L137" s="2">
        <v>1233517.793070439</v>
      </c>
      <c r="M137" s="2">
        <v>1590000</v>
      </c>
      <c r="N137" s="6">
        <f t="shared" si="14"/>
        <v>1</v>
      </c>
      <c r="O137" s="17">
        <f t="shared" si="15"/>
        <v>1.2889964043746909</v>
      </c>
      <c r="P137" s="18">
        <f t="shared" si="17"/>
        <v>0</v>
      </c>
      <c r="Q137" s="1">
        <f t="shared" si="16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2"/>
        <v>0</v>
      </c>
      <c r="K138" s="5">
        <f t="shared" si="13"/>
        <v>0</v>
      </c>
      <c r="L138" s="2">
        <v>300000</v>
      </c>
      <c r="M138" s="2">
        <v>0</v>
      </c>
      <c r="N138" s="6">
        <f t="shared" si="14"/>
        <v>0</v>
      </c>
      <c r="O138" s="17">
        <f t="shared" si="15"/>
        <v>0</v>
      </c>
      <c r="P138" s="18">
        <f t="shared" si="17"/>
        <v>6</v>
      </c>
      <c r="Q138" s="1">
        <f t="shared" si="16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2"/>
        <v>1</v>
      </c>
      <c r="K139" s="5">
        <f t="shared" si="13"/>
        <v>1</v>
      </c>
      <c r="L139" s="2">
        <v>1233517.793070439</v>
      </c>
      <c r="M139" s="2">
        <v>2610000</v>
      </c>
      <c r="N139" s="6">
        <f t="shared" si="14"/>
        <v>1</v>
      </c>
      <c r="O139" s="17">
        <f t="shared" si="15"/>
        <v>2.1158997581244927</v>
      </c>
      <c r="P139" s="18">
        <f t="shared" si="17"/>
        <v>5</v>
      </c>
      <c r="Q139" s="1">
        <f t="shared" si="16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1492000</v>
      </c>
      <c r="N140" s="6">
        <f t="shared" si="14"/>
        <v>1</v>
      </c>
      <c r="O140" s="17">
        <f t="shared" si="15"/>
        <v>5.0361078189488213E-2</v>
      </c>
      <c r="P140" s="18">
        <f t="shared" si="17"/>
        <v>0</v>
      </c>
      <c r="Q140" s="1">
        <f t="shared" si="16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2"/>
        <v>0</v>
      </c>
      <c r="K141" s="5">
        <f t="shared" si="13"/>
        <v>0</v>
      </c>
      <c r="L141" s="2">
        <v>1233517.793070439</v>
      </c>
      <c r="M141" s="2">
        <v>0</v>
      </c>
      <c r="N141" s="6">
        <f t="shared" si="14"/>
        <v>0</v>
      </c>
      <c r="O141" s="17">
        <f t="shared" si="15"/>
        <v>0</v>
      </c>
      <c r="P141" s="18">
        <f t="shared" si="17"/>
        <v>0</v>
      </c>
      <c r="Q141" s="1">
        <f t="shared" si="16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2"/>
        <v>0</v>
      </c>
      <c r="K142" s="5">
        <f t="shared" si="13"/>
        <v>0.13002072219037986</v>
      </c>
      <c r="L142" s="2">
        <v>1233517.793070439</v>
      </c>
      <c r="M142" s="2">
        <v>875500</v>
      </c>
      <c r="N142" s="6">
        <f t="shared" si="14"/>
        <v>1</v>
      </c>
      <c r="O142" s="17">
        <f t="shared" si="15"/>
        <v>0.70975871196857987</v>
      </c>
      <c r="P142" s="18">
        <f t="shared" si="17"/>
        <v>1</v>
      </c>
      <c r="Q142" s="1">
        <f t="shared" si="16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2"/>
        <v>1</v>
      </c>
      <c r="K143" s="5">
        <f t="shared" si="13"/>
        <v>1</v>
      </c>
      <c r="L143" s="2">
        <v>19880654</v>
      </c>
      <c r="M143" s="2">
        <v>1361200</v>
      </c>
      <c r="N143" s="6">
        <f t="shared" si="14"/>
        <v>1</v>
      </c>
      <c r="O143" s="17">
        <f t="shared" si="15"/>
        <v>6.8468572512755371E-2</v>
      </c>
      <c r="P143" s="18">
        <f t="shared" si="17"/>
        <v>0</v>
      </c>
      <c r="Q143" s="1">
        <f t="shared" si="16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3447239.462353264</v>
      </c>
      <c r="M144" s="2">
        <v>258000</v>
      </c>
      <c r="N144" s="6">
        <f t="shared" si="14"/>
        <v>0</v>
      </c>
      <c r="O144" s="17">
        <f t="shared" si="15"/>
        <v>7.4842494354562722E-2</v>
      </c>
      <c r="P144" s="18">
        <f t="shared" si="17"/>
        <v>3</v>
      </c>
      <c r="Q144" s="1">
        <f t="shared" si="16"/>
        <v>1</v>
      </c>
      <c r="R144" s="18">
        <v>7</v>
      </c>
      <c r="S144" s="18">
        <v>3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2"/>
        <v>1</v>
      </c>
      <c r="K145" s="5">
        <f t="shared" si="13"/>
        <v>0.40089722675367179</v>
      </c>
      <c r="L145" s="2">
        <v>1233517.793070439</v>
      </c>
      <c r="M145" s="2">
        <v>2758000</v>
      </c>
      <c r="N145" s="6">
        <f t="shared" si="14"/>
        <v>1</v>
      </c>
      <c r="O145" s="17">
        <f t="shared" si="15"/>
        <v>2.2358818133744638</v>
      </c>
      <c r="P145" s="18">
        <f t="shared" si="17"/>
        <v>2</v>
      </c>
      <c r="Q145" s="1">
        <f t="shared" si="16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2"/>
        <v>1</v>
      </c>
      <c r="K146" s="5">
        <f t="shared" si="13"/>
        <v>1</v>
      </c>
      <c r="L146" s="2">
        <v>3917572.6875978149</v>
      </c>
      <c r="M146" s="2">
        <v>5890000</v>
      </c>
      <c r="N146" s="6">
        <f t="shared" si="14"/>
        <v>1</v>
      </c>
      <c r="O146" s="17">
        <f t="shared" si="15"/>
        <v>1.5034819950237202</v>
      </c>
      <c r="P146" s="18">
        <f t="shared" si="17"/>
        <v>0</v>
      </c>
      <c r="Q146" s="1">
        <f t="shared" si="16"/>
        <v>0</v>
      </c>
      <c r="R146" s="18">
        <v>5</v>
      </c>
      <c r="S146" s="18">
        <v>0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7"/>
        <v>0</v>
      </c>
      <c r="Q147" s="1">
        <f t="shared" si="16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618000</v>
      </c>
      <c r="N148" s="6">
        <f t="shared" si="14"/>
        <v>1</v>
      </c>
      <c r="O148" s="17">
        <f t="shared" si="15"/>
        <v>0.50100614962487988</v>
      </c>
      <c r="P148" s="18">
        <f t="shared" si="17"/>
        <v>5</v>
      </c>
      <c r="Q148" s="1">
        <f t="shared" si="16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618000</v>
      </c>
      <c r="N149" s="6">
        <f t="shared" si="14"/>
        <v>1</v>
      </c>
      <c r="O149" s="17">
        <f t="shared" si="15"/>
        <v>0.50100614962487988</v>
      </c>
      <c r="P149" s="18">
        <f t="shared" si="17"/>
        <v>5</v>
      </c>
      <c r="Q149" s="1">
        <f t="shared" si="16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618000</v>
      </c>
      <c r="N150" s="6">
        <f t="shared" si="14"/>
        <v>1</v>
      </c>
      <c r="O150" s="17">
        <f t="shared" si="15"/>
        <v>0.50100614962487988</v>
      </c>
      <c r="P150" s="18">
        <f t="shared" si="17"/>
        <v>5</v>
      </c>
      <c r="Q150" s="1">
        <f t="shared" si="16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2"/>
        <v>0</v>
      </c>
      <c r="K151" s="5">
        <f t="shared" si="13"/>
        <v>0</v>
      </c>
      <c r="L151" s="2">
        <v>1233517.793070439</v>
      </c>
      <c r="M151" s="2">
        <v>6318000</v>
      </c>
      <c r="N151" s="6">
        <f t="shared" si="14"/>
        <v>1</v>
      </c>
      <c r="O151" s="17">
        <f t="shared" si="15"/>
        <v>5.121936655873772</v>
      </c>
      <c r="P151" s="18">
        <f t="shared" si="17"/>
        <v>5</v>
      </c>
      <c r="Q151" s="1">
        <f t="shared" si="16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2"/>
        <v>0</v>
      </c>
      <c r="K152" s="5">
        <f t="shared" si="13"/>
        <v>0</v>
      </c>
      <c r="L152" s="2">
        <v>1233517.793070439</v>
      </c>
      <c r="M152" s="2">
        <v>0</v>
      </c>
      <c r="N152" s="6">
        <f t="shared" si="14"/>
        <v>0</v>
      </c>
      <c r="O152" s="17">
        <f t="shared" si="15"/>
        <v>0</v>
      </c>
      <c r="P152" s="18">
        <f t="shared" si="17"/>
        <v>0</v>
      </c>
      <c r="Q152" s="1">
        <f t="shared" si="16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2"/>
        <v>1</v>
      </c>
      <c r="K153" s="5">
        <f t="shared" si="13"/>
        <v>1.4802359141673982</v>
      </c>
      <c r="L153" s="2">
        <v>19880654</v>
      </c>
      <c r="M153" s="2">
        <v>2288000</v>
      </c>
      <c r="N153" s="6">
        <f t="shared" si="14"/>
        <v>1</v>
      </c>
      <c r="O153" s="17">
        <f t="shared" si="15"/>
        <v>0.11508675720627702</v>
      </c>
      <c r="P153" s="18">
        <f t="shared" si="17"/>
        <v>1</v>
      </c>
      <c r="Q153" s="1">
        <f t="shared" si="16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618000</v>
      </c>
      <c r="N154" s="6">
        <f t="shared" si="14"/>
        <v>1</v>
      </c>
      <c r="O154" s="17">
        <f t="shared" si="15"/>
        <v>0.10268476851224922</v>
      </c>
      <c r="P154" s="18">
        <f t="shared" si="17"/>
        <v>1</v>
      </c>
      <c r="Q154" s="1">
        <f t="shared" si="16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2"/>
        <v>1</v>
      </c>
      <c r="K155" s="5">
        <f t="shared" si="13"/>
        <v>0.1336324089178903</v>
      </c>
      <c r="L155" s="2">
        <v>22463880</v>
      </c>
      <c r="M155" s="2">
        <v>1938000</v>
      </c>
      <c r="N155" s="6">
        <f t="shared" si="14"/>
        <v>1</v>
      </c>
      <c r="O155" s="17">
        <f t="shared" si="15"/>
        <v>8.6271828375151571E-2</v>
      </c>
      <c r="P155" s="18">
        <f t="shared" si="17"/>
        <v>0</v>
      </c>
      <c r="Q155" s="1">
        <f t="shared" si="16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8">IF(I156&gt;=3,1,0)</f>
        <v>0</v>
      </c>
      <c r="K156" s="5">
        <f t="shared" ref="K156:K219" si="19">I156/H156</f>
        <v>0</v>
      </c>
      <c r="L156" s="2">
        <v>1233517.793070439</v>
      </c>
      <c r="M156" s="2">
        <v>618000</v>
      </c>
      <c r="N156" s="6">
        <f t="shared" ref="N156:N219" si="20">IF(M156&gt;=300000,1,0)</f>
        <v>1</v>
      </c>
      <c r="O156" s="17">
        <f t="shared" ref="O156:O219" si="21">M156/L156</f>
        <v>0.50100614962487988</v>
      </c>
      <c r="P156" s="18">
        <f t="shared" si="17"/>
        <v>5</v>
      </c>
      <c r="Q156" s="1">
        <f t="shared" ref="Q156:Q219" si="22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8"/>
        <v>0</v>
      </c>
      <c r="K157" s="5">
        <f t="shared" si="19"/>
        <v>0</v>
      </c>
      <c r="L157" s="2">
        <v>2572302.4230823722</v>
      </c>
      <c r="M157" s="2">
        <v>3840000</v>
      </c>
      <c r="N157" s="6">
        <f t="shared" si="20"/>
        <v>1</v>
      </c>
      <c r="O157" s="17">
        <f t="shared" si="21"/>
        <v>1.4928260244759848</v>
      </c>
      <c r="P157" s="18">
        <f t="shared" si="17"/>
        <v>1</v>
      </c>
      <c r="Q157" s="1">
        <f t="shared" si="22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8"/>
        <v>1</v>
      </c>
      <c r="K158" s="5">
        <f t="shared" si="19"/>
        <v>0.62749131144052905</v>
      </c>
      <c r="L158" s="2">
        <v>22463880</v>
      </c>
      <c r="M158" s="2">
        <v>1248500</v>
      </c>
      <c r="N158" s="6">
        <f t="shared" si="20"/>
        <v>1</v>
      </c>
      <c r="O158" s="17">
        <f t="shared" si="21"/>
        <v>5.5578110281928148E-2</v>
      </c>
      <c r="P158" s="18">
        <f t="shared" si="17"/>
        <v>3</v>
      </c>
      <c r="Q158" s="1">
        <f t="shared" si="22"/>
        <v>1</v>
      </c>
      <c r="R158" s="18">
        <v>12</v>
      </c>
      <c r="S158" s="18">
        <v>3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8"/>
        <v>1</v>
      </c>
      <c r="K159" s="5">
        <f t="shared" si="19"/>
        <v>0.62749131144052761</v>
      </c>
      <c r="L159" s="2">
        <v>2549477.9785796599</v>
      </c>
      <c r="M159" s="2">
        <v>2438000</v>
      </c>
      <c r="N159" s="6">
        <f t="shared" si="20"/>
        <v>1</v>
      </c>
      <c r="O159" s="17">
        <f t="shared" si="21"/>
        <v>0.95627419435810723</v>
      </c>
      <c r="P159" s="18">
        <f t="shared" si="17"/>
        <v>0</v>
      </c>
      <c r="Q159" s="1">
        <f t="shared" si="22"/>
        <v>0</v>
      </c>
      <c r="R159" s="18">
        <v>7</v>
      </c>
      <c r="S159" s="18">
        <v>0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8"/>
        <v>1</v>
      </c>
      <c r="K160" s="5">
        <f t="shared" si="19"/>
        <v>0.6</v>
      </c>
      <c r="L160" s="2">
        <v>29626053.564346101</v>
      </c>
      <c r="M160" s="2">
        <v>524400</v>
      </c>
      <c r="N160" s="6">
        <f t="shared" si="20"/>
        <v>1</v>
      </c>
      <c r="O160" s="17">
        <f t="shared" si="21"/>
        <v>1.7700636328798671E-2</v>
      </c>
      <c r="P160" s="18">
        <f t="shared" si="17"/>
        <v>0</v>
      </c>
      <c r="Q160" s="1">
        <f t="shared" si="22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8"/>
        <v>1</v>
      </c>
      <c r="K161" s="5">
        <f t="shared" si="19"/>
        <v>0.51543929154043422</v>
      </c>
      <c r="L161" s="2">
        <v>1233517.793070439</v>
      </c>
      <c r="M161" s="2">
        <v>445200</v>
      </c>
      <c r="N161" s="6">
        <f t="shared" si="20"/>
        <v>1</v>
      </c>
      <c r="O161" s="17">
        <f t="shared" si="21"/>
        <v>0.3609189932249135</v>
      </c>
      <c r="P161" s="18">
        <f t="shared" si="17"/>
        <v>0</v>
      </c>
      <c r="Q161" s="1">
        <f t="shared" si="22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8"/>
        <v>1</v>
      </c>
      <c r="K162" s="5">
        <f t="shared" si="19"/>
        <v>1</v>
      </c>
      <c r="L162" s="2">
        <v>1233517.793070439</v>
      </c>
      <c r="M162" s="2">
        <v>528000</v>
      </c>
      <c r="N162" s="6">
        <f t="shared" si="20"/>
        <v>1</v>
      </c>
      <c r="O162" s="17">
        <f t="shared" si="21"/>
        <v>0.42804408899989738</v>
      </c>
      <c r="P162" s="18">
        <f t="shared" si="17"/>
        <v>0</v>
      </c>
      <c r="Q162" s="1">
        <f t="shared" si="22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8"/>
        <v>1</v>
      </c>
      <c r="K163" s="5">
        <f t="shared" si="19"/>
        <v>1</v>
      </c>
      <c r="L163" s="2">
        <v>1233517.793070439</v>
      </c>
      <c r="M163" s="2">
        <v>532800</v>
      </c>
      <c r="N163" s="6">
        <f t="shared" si="20"/>
        <v>1</v>
      </c>
      <c r="O163" s="17">
        <f t="shared" si="21"/>
        <v>0.43193539889989646</v>
      </c>
      <c r="P163" s="18">
        <f t="shared" si="17"/>
        <v>0</v>
      </c>
      <c r="Q163" s="1">
        <f t="shared" si="22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8"/>
        <v>1</v>
      </c>
      <c r="K164" s="5">
        <f t="shared" si="19"/>
        <v>0.96215334420880883</v>
      </c>
      <c r="L164" s="2">
        <v>1233517.793070439</v>
      </c>
      <c r="M164" s="2">
        <v>577200</v>
      </c>
      <c r="N164" s="6">
        <f t="shared" si="20"/>
        <v>1</v>
      </c>
      <c r="O164" s="17">
        <f t="shared" si="21"/>
        <v>0.46793001547488783</v>
      </c>
      <c r="P164" s="18">
        <f t="shared" si="17"/>
        <v>0</v>
      </c>
      <c r="Q164" s="1">
        <f t="shared" si="22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8"/>
        <v>1</v>
      </c>
      <c r="K165" s="5">
        <f t="shared" si="19"/>
        <v>0.53452963567156242</v>
      </c>
      <c r="L165" s="2">
        <v>1233517.793070439</v>
      </c>
      <c r="M165" s="2">
        <v>175000</v>
      </c>
      <c r="N165" s="6">
        <f t="shared" si="20"/>
        <v>0</v>
      </c>
      <c r="O165" s="17">
        <f t="shared" si="21"/>
        <v>0.14187067343746598</v>
      </c>
      <c r="P165" s="18">
        <f t="shared" si="17"/>
        <v>0</v>
      </c>
      <c r="Q165" s="1">
        <f t="shared" si="22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8"/>
        <v>1</v>
      </c>
      <c r="K166" s="5">
        <f t="shared" si="19"/>
        <v>2</v>
      </c>
      <c r="L166" s="2">
        <v>12908778</v>
      </c>
      <c r="M166" s="2">
        <v>6090000</v>
      </c>
      <c r="N166" s="6">
        <f t="shared" si="20"/>
        <v>1</v>
      </c>
      <c r="O166" s="17">
        <f t="shared" si="21"/>
        <v>0.47177199886774718</v>
      </c>
      <c r="P166" s="18">
        <f t="shared" si="17"/>
        <v>0</v>
      </c>
      <c r="Q166" s="1">
        <f t="shared" si="22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8"/>
        <v>1</v>
      </c>
      <c r="K167" s="5">
        <f t="shared" si="19"/>
        <v>0.6</v>
      </c>
      <c r="L167" s="2">
        <v>1233517.793070439</v>
      </c>
      <c r="M167" s="2">
        <v>175000</v>
      </c>
      <c r="N167" s="6">
        <f t="shared" si="20"/>
        <v>0</v>
      </c>
      <c r="O167" s="17">
        <f t="shared" si="21"/>
        <v>0.14187067343746598</v>
      </c>
      <c r="P167" s="18">
        <f t="shared" si="17"/>
        <v>0</v>
      </c>
      <c r="Q167" s="1">
        <f t="shared" si="22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8"/>
        <v>1</v>
      </c>
      <c r="K168" s="5">
        <f t="shared" si="19"/>
        <v>1</v>
      </c>
      <c r="L168" s="2">
        <v>1233517.793070439</v>
      </c>
      <c r="M168" s="2">
        <v>1170000</v>
      </c>
      <c r="N168" s="6">
        <f t="shared" si="20"/>
        <v>1</v>
      </c>
      <c r="O168" s="17">
        <f t="shared" si="21"/>
        <v>0.94850678812477263</v>
      </c>
      <c r="P168" s="18">
        <f t="shared" si="17"/>
        <v>2</v>
      </c>
      <c r="Q168" s="1">
        <f t="shared" si="22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8"/>
        <v>0</v>
      </c>
      <c r="K169" s="5">
        <f t="shared" si="19"/>
        <v>0</v>
      </c>
      <c r="L169" s="2">
        <v>300000</v>
      </c>
      <c r="M169" s="2">
        <v>180000</v>
      </c>
      <c r="N169" s="6">
        <f t="shared" si="20"/>
        <v>0</v>
      </c>
      <c r="O169" s="17">
        <f t="shared" si="21"/>
        <v>0.6</v>
      </c>
      <c r="P169" s="18">
        <f t="shared" si="17"/>
        <v>3</v>
      </c>
      <c r="Q169" s="1">
        <f t="shared" si="22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8"/>
        <v>1</v>
      </c>
      <c r="K170" s="5">
        <f t="shared" si="19"/>
        <v>0.6</v>
      </c>
      <c r="L170" s="2">
        <v>29626053.564346101</v>
      </c>
      <c r="M170" s="2">
        <v>1270000</v>
      </c>
      <c r="N170" s="6">
        <f t="shared" si="20"/>
        <v>1</v>
      </c>
      <c r="O170" s="17">
        <f t="shared" si="21"/>
        <v>4.286767379400136E-2</v>
      </c>
      <c r="P170" s="18">
        <f t="shared" si="17"/>
        <v>0</v>
      </c>
      <c r="Q170" s="1">
        <f t="shared" si="22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8"/>
        <v>0</v>
      </c>
      <c r="K171" s="5">
        <f t="shared" si="19"/>
        <v>0</v>
      </c>
      <c r="L171" s="2">
        <v>6018419.3717715694</v>
      </c>
      <c r="M171" s="2">
        <v>866000</v>
      </c>
      <c r="N171" s="6">
        <f t="shared" si="20"/>
        <v>1</v>
      </c>
      <c r="O171" s="17">
        <f t="shared" si="21"/>
        <v>0.14389160118383143</v>
      </c>
      <c r="P171" s="18">
        <f t="shared" si="17"/>
        <v>4</v>
      </c>
      <c r="Q171" s="1">
        <f t="shared" si="22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8"/>
        <v>1</v>
      </c>
      <c r="K172" s="5">
        <f t="shared" si="19"/>
        <v>1.2026916802610106</v>
      </c>
      <c r="L172" s="2">
        <v>1233517.793070439</v>
      </c>
      <c r="M172" s="2">
        <v>4222500</v>
      </c>
      <c r="N172" s="6">
        <f t="shared" si="20"/>
        <v>1</v>
      </c>
      <c r="O172" s="17">
        <f t="shared" si="21"/>
        <v>3.4231366776554295</v>
      </c>
      <c r="P172" s="18">
        <f t="shared" si="17"/>
        <v>3</v>
      </c>
      <c r="Q172" s="1">
        <f t="shared" si="22"/>
        <v>1</v>
      </c>
      <c r="R172" s="18">
        <v>6</v>
      </c>
      <c r="S172" s="18">
        <v>3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8"/>
        <v>1</v>
      </c>
      <c r="K173" s="5">
        <f t="shared" si="19"/>
        <v>0.20689655172413793</v>
      </c>
      <c r="L173" s="2">
        <v>3282105.2299947948</v>
      </c>
      <c r="M173" s="2">
        <v>3588000</v>
      </c>
      <c r="N173" s="6">
        <f t="shared" si="20"/>
        <v>1</v>
      </c>
      <c r="O173" s="17">
        <f t="shared" si="21"/>
        <v>1.0932007807701187</v>
      </c>
      <c r="P173" s="18">
        <f t="shared" si="17"/>
        <v>3</v>
      </c>
      <c r="Q173" s="1">
        <f t="shared" si="22"/>
        <v>1</v>
      </c>
      <c r="R173" s="18">
        <v>21</v>
      </c>
      <c r="S173" s="18">
        <v>3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8"/>
        <v>1</v>
      </c>
      <c r="K174" s="5">
        <f t="shared" si="19"/>
        <v>0.49766552286662519</v>
      </c>
      <c r="L174" s="2">
        <v>2549477.9785796599</v>
      </c>
      <c r="M174" s="2">
        <v>1683000</v>
      </c>
      <c r="N174" s="6">
        <f t="shared" si="20"/>
        <v>1</v>
      </c>
      <c r="O174" s="17">
        <f t="shared" si="21"/>
        <v>0.66013513909134303</v>
      </c>
      <c r="P174" s="18">
        <f t="shared" si="17"/>
        <v>0</v>
      </c>
      <c r="Q174" s="1">
        <f t="shared" si="22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8"/>
        <v>1</v>
      </c>
      <c r="K175" s="5">
        <f t="shared" si="19"/>
        <v>0.62749131144052761</v>
      </c>
      <c r="L175" s="2">
        <v>1233517.793070439</v>
      </c>
      <c r="M175" s="2">
        <v>1350000</v>
      </c>
      <c r="N175" s="6">
        <f t="shared" si="20"/>
        <v>1</v>
      </c>
      <c r="O175" s="17">
        <f t="shared" si="21"/>
        <v>1.0944309093747375</v>
      </c>
      <c r="P175" s="18">
        <f t="shared" si="17"/>
        <v>5</v>
      </c>
      <c r="Q175" s="1">
        <f t="shared" si="22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8"/>
        <v>1</v>
      </c>
      <c r="K176" s="5">
        <f t="shared" si="19"/>
        <v>0.60134584013050585</v>
      </c>
      <c r="L176" s="2">
        <v>1233517.793070439</v>
      </c>
      <c r="M176" s="2">
        <v>3465000</v>
      </c>
      <c r="N176" s="6">
        <f t="shared" si="20"/>
        <v>1</v>
      </c>
      <c r="O176" s="17">
        <f t="shared" si="21"/>
        <v>2.8090393340618265</v>
      </c>
      <c r="P176" s="18">
        <f t="shared" si="17"/>
        <v>5</v>
      </c>
      <c r="Q176" s="1">
        <f t="shared" si="22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8"/>
        <v>0</v>
      </c>
      <c r="K177" s="5">
        <f t="shared" si="19"/>
        <v>0</v>
      </c>
      <c r="L177" s="2">
        <v>1233517.793070439</v>
      </c>
      <c r="M177" s="2">
        <v>0</v>
      </c>
      <c r="N177" s="6">
        <f t="shared" si="20"/>
        <v>0</v>
      </c>
      <c r="O177" s="17">
        <f t="shared" si="21"/>
        <v>0</v>
      </c>
      <c r="P177" s="18">
        <f t="shared" si="17"/>
        <v>5</v>
      </c>
      <c r="Q177" s="1">
        <f t="shared" si="22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8"/>
        <v>0</v>
      </c>
      <c r="K178" s="5">
        <f t="shared" si="19"/>
        <v>0</v>
      </c>
      <c r="L178" s="2">
        <v>1233517.793070439</v>
      </c>
      <c r="M178" s="2">
        <v>0</v>
      </c>
      <c r="N178" s="6">
        <f t="shared" si="20"/>
        <v>0</v>
      </c>
      <c r="O178" s="17">
        <f t="shared" si="21"/>
        <v>0</v>
      </c>
      <c r="P178" s="18">
        <f t="shared" si="17"/>
        <v>0</v>
      </c>
      <c r="Q178" s="1">
        <f t="shared" si="22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8"/>
        <v>1</v>
      </c>
      <c r="K179" s="5">
        <f t="shared" si="19"/>
        <v>1</v>
      </c>
      <c r="L179" s="2">
        <v>1233517.793070439</v>
      </c>
      <c r="M179" s="2">
        <v>1850000</v>
      </c>
      <c r="N179" s="6">
        <f t="shared" si="20"/>
        <v>1</v>
      </c>
      <c r="O179" s="17">
        <f t="shared" si="21"/>
        <v>1.4997756906246404</v>
      </c>
      <c r="P179" s="18">
        <f t="shared" si="17"/>
        <v>0</v>
      </c>
      <c r="Q179" s="1">
        <f t="shared" si="22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8"/>
        <v>1</v>
      </c>
      <c r="K180" s="5">
        <f t="shared" si="19"/>
        <v>0.49766552286662519</v>
      </c>
      <c r="L180" s="2">
        <v>1233517.793070439</v>
      </c>
      <c r="M180" s="2">
        <v>1062000</v>
      </c>
      <c r="N180" s="6">
        <f t="shared" si="20"/>
        <v>1</v>
      </c>
      <c r="O180" s="17">
        <f t="shared" si="21"/>
        <v>0.86095231537479355</v>
      </c>
      <c r="P180" s="18">
        <f t="shared" si="17"/>
        <v>0</v>
      </c>
      <c r="Q180" s="1">
        <f t="shared" si="22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8"/>
        <v>1</v>
      </c>
      <c r="K181" s="5">
        <f t="shared" si="19"/>
        <v>0.24053833605220268</v>
      </c>
      <c r="L181" s="2">
        <v>1233517.793070439</v>
      </c>
      <c r="M181" s="2">
        <v>2154000</v>
      </c>
      <c r="N181" s="6">
        <f t="shared" si="20"/>
        <v>1</v>
      </c>
      <c r="O181" s="17">
        <f t="shared" si="21"/>
        <v>1.7462253176245814</v>
      </c>
      <c r="P181" s="18">
        <f t="shared" si="17"/>
        <v>0</v>
      </c>
      <c r="Q181" s="1">
        <f t="shared" si="22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8"/>
        <v>1</v>
      </c>
      <c r="K182" s="5">
        <f t="shared" si="19"/>
        <v>0.57729200652528434</v>
      </c>
      <c r="L182" s="2">
        <v>1233517.793070439</v>
      </c>
      <c r="M182" s="2">
        <v>1300000</v>
      </c>
      <c r="N182" s="6">
        <f t="shared" si="20"/>
        <v>1</v>
      </c>
      <c r="O182" s="17">
        <f t="shared" si="21"/>
        <v>1.0538964312497474</v>
      </c>
      <c r="P182" s="18">
        <f t="shared" si="17"/>
        <v>0</v>
      </c>
      <c r="Q182" s="1">
        <f t="shared" si="22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8"/>
        <v>1</v>
      </c>
      <c r="K183" s="5">
        <f t="shared" si="19"/>
        <v>0.6</v>
      </c>
      <c r="L183" s="2">
        <v>1233517.793070439</v>
      </c>
      <c r="M183" s="2">
        <v>884000</v>
      </c>
      <c r="N183" s="6">
        <f t="shared" si="20"/>
        <v>1</v>
      </c>
      <c r="O183" s="17">
        <f t="shared" si="21"/>
        <v>0.71664957324982814</v>
      </c>
      <c r="P183" s="18">
        <f t="shared" si="17"/>
        <v>0</v>
      </c>
      <c r="Q183" s="1">
        <f t="shared" si="22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8"/>
        <v>1</v>
      </c>
      <c r="K184" s="5">
        <f t="shared" si="19"/>
        <v>0.96215334420880883</v>
      </c>
      <c r="L184" s="2">
        <v>1233517.793070439</v>
      </c>
      <c r="M184" s="2">
        <v>1624000</v>
      </c>
      <c r="N184" s="6">
        <f t="shared" si="20"/>
        <v>1</v>
      </c>
      <c r="O184" s="17">
        <f t="shared" si="21"/>
        <v>1.3165598494996844</v>
      </c>
      <c r="P184" s="18">
        <f t="shared" si="17"/>
        <v>0</v>
      </c>
      <c r="Q184" s="1">
        <f t="shared" si="22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8"/>
        <v>1</v>
      </c>
      <c r="K185" s="5">
        <f t="shared" si="19"/>
        <v>1</v>
      </c>
      <c r="L185" s="2">
        <v>1233517.793070439</v>
      </c>
      <c r="M185" s="2">
        <v>792000</v>
      </c>
      <c r="N185" s="6">
        <f t="shared" si="20"/>
        <v>1</v>
      </c>
      <c r="O185" s="17">
        <f t="shared" si="21"/>
        <v>0.64206613349984609</v>
      </c>
      <c r="P185" s="18">
        <f t="shared" si="17"/>
        <v>5</v>
      </c>
      <c r="Q185" s="1">
        <f t="shared" si="22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8"/>
        <v>1</v>
      </c>
      <c r="K186" s="5">
        <f t="shared" si="19"/>
        <v>0.45100938009788039</v>
      </c>
      <c r="L186" s="2">
        <v>1233517.793070439</v>
      </c>
      <c r="M186" s="2">
        <v>258000</v>
      </c>
      <c r="N186" s="6">
        <f t="shared" si="20"/>
        <v>0</v>
      </c>
      <c r="O186" s="17">
        <f t="shared" si="21"/>
        <v>0.20915790712494986</v>
      </c>
      <c r="P186" s="18">
        <f t="shared" si="17"/>
        <v>0</v>
      </c>
      <c r="Q186" s="1">
        <f t="shared" si="22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8"/>
        <v>1</v>
      </c>
      <c r="K187" s="5">
        <f t="shared" si="19"/>
        <v>0.57729200652528434</v>
      </c>
      <c r="L187" s="2">
        <v>1233517.793070439</v>
      </c>
      <c r="M187" s="2">
        <v>1869000</v>
      </c>
      <c r="N187" s="6">
        <f t="shared" si="20"/>
        <v>1</v>
      </c>
      <c r="O187" s="17">
        <f t="shared" si="21"/>
        <v>1.5151787923121367</v>
      </c>
      <c r="P187" s="18">
        <f t="shared" si="17"/>
        <v>0</v>
      </c>
      <c r="Q187" s="1">
        <f t="shared" si="22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8"/>
        <v>1</v>
      </c>
      <c r="K188" s="5">
        <f t="shared" si="19"/>
        <v>0.62749131144052761</v>
      </c>
      <c r="L188" s="2">
        <v>1233517.793070439</v>
      </c>
      <c r="M188" s="2">
        <v>426000</v>
      </c>
      <c r="N188" s="6">
        <f t="shared" si="20"/>
        <v>1</v>
      </c>
      <c r="O188" s="17">
        <f t="shared" si="21"/>
        <v>0.34535375362491721</v>
      </c>
      <c r="P188" s="18">
        <f t="shared" si="17"/>
        <v>5</v>
      </c>
      <c r="Q188" s="1">
        <f t="shared" si="22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8"/>
        <v>1</v>
      </c>
      <c r="K189" s="5">
        <f t="shared" si="19"/>
        <v>1.3333333333333333</v>
      </c>
      <c r="L189" s="2">
        <v>1233517.793070439</v>
      </c>
      <c r="M189" s="2">
        <v>1840000</v>
      </c>
      <c r="N189" s="6">
        <f t="shared" si="20"/>
        <v>1</v>
      </c>
      <c r="O189" s="17">
        <f t="shared" si="21"/>
        <v>1.4916687949996423</v>
      </c>
      <c r="P189" s="18">
        <f t="shared" si="17"/>
        <v>0</v>
      </c>
      <c r="Q189" s="1">
        <f t="shared" si="22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8"/>
        <v>0</v>
      </c>
      <c r="K190" s="5">
        <f t="shared" si="19"/>
        <v>0</v>
      </c>
      <c r="L190" s="2">
        <v>1233517.793070439</v>
      </c>
      <c r="M190" s="2">
        <v>2000000</v>
      </c>
      <c r="N190" s="6">
        <f t="shared" si="20"/>
        <v>1</v>
      </c>
      <c r="O190" s="17">
        <f t="shared" si="21"/>
        <v>1.6213791249996112</v>
      </c>
      <c r="P190" s="18">
        <f t="shared" si="17"/>
        <v>0</v>
      </c>
      <c r="Q190" s="1">
        <f t="shared" si="22"/>
        <v>0</v>
      </c>
      <c r="R190" s="18">
        <v>7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8"/>
        <v>1</v>
      </c>
      <c r="K191" s="5">
        <f t="shared" si="19"/>
        <v>0.8</v>
      </c>
      <c r="L191" s="2">
        <v>3959230.4169087922</v>
      </c>
      <c r="M191" s="2">
        <v>1530000</v>
      </c>
      <c r="N191" s="6">
        <f t="shared" si="20"/>
        <v>1</v>
      </c>
      <c r="O191" s="17">
        <f t="shared" si="21"/>
        <v>0.38643873654480621</v>
      </c>
      <c r="P191" s="18">
        <f t="shared" si="17"/>
        <v>1</v>
      </c>
      <c r="Q191" s="1">
        <f t="shared" si="22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8"/>
        <v>0</v>
      </c>
      <c r="K192" s="5">
        <f t="shared" si="19"/>
        <v>0</v>
      </c>
      <c r="L192" s="2">
        <v>3114725.9703081902</v>
      </c>
      <c r="M192" s="2">
        <v>3000000</v>
      </c>
      <c r="N192" s="6">
        <f t="shared" si="20"/>
        <v>1</v>
      </c>
      <c r="O192" s="17">
        <f t="shared" si="21"/>
        <v>0.96316659269488203</v>
      </c>
      <c r="P192" s="18">
        <f t="shared" si="17"/>
        <v>0</v>
      </c>
      <c r="Q192" s="1">
        <f t="shared" si="22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8"/>
        <v>1</v>
      </c>
      <c r="K193" s="5">
        <f t="shared" si="19"/>
        <v>0.46555806977845438</v>
      </c>
      <c r="L193" s="2">
        <v>12908778</v>
      </c>
      <c r="M193" s="2">
        <v>438000</v>
      </c>
      <c r="N193" s="6">
        <f t="shared" si="20"/>
        <v>1</v>
      </c>
      <c r="O193" s="17">
        <f t="shared" si="21"/>
        <v>3.3930399918567042E-2</v>
      </c>
      <c r="P193" s="18">
        <f t="shared" si="17"/>
        <v>0</v>
      </c>
      <c r="Q193" s="1">
        <f t="shared" si="22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8"/>
        <v>1</v>
      </c>
      <c r="K194" s="5">
        <f t="shared" si="19"/>
        <v>0.37979737271400382</v>
      </c>
      <c r="L194" s="2">
        <v>4815583.6188523257</v>
      </c>
      <c r="M194" s="2">
        <v>258000</v>
      </c>
      <c r="N194" s="6">
        <f t="shared" si="20"/>
        <v>0</v>
      </c>
      <c r="O194" s="17">
        <f t="shared" si="21"/>
        <v>5.3576060644023843E-2</v>
      </c>
      <c r="P194" s="18">
        <f t="shared" si="17"/>
        <v>0</v>
      </c>
      <c r="Q194" s="1">
        <f t="shared" si="22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8"/>
        <v>0</v>
      </c>
      <c r="K195" s="5">
        <f t="shared" si="19"/>
        <v>0</v>
      </c>
      <c r="L195" s="2">
        <v>1233517.793070439</v>
      </c>
      <c r="M195" s="2">
        <v>445000</v>
      </c>
      <c r="N195" s="6">
        <f t="shared" si="20"/>
        <v>1</v>
      </c>
      <c r="O195" s="17">
        <f t="shared" si="21"/>
        <v>0.36075685531241353</v>
      </c>
      <c r="P195" s="18">
        <f t="shared" si="17"/>
        <v>5</v>
      </c>
      <c r="Q195" s="1">
        <f t="shared" si="22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8"/>
        <v>0</v>
      </c>
      <c r="K196" s="5">
        <f t="shared" si="19"/>
        <v>0</v>
      </c>
      <c r="L196" s="2">
        <v>1233517.793070439</v>
      </c>
      <c r="M196" s="2">
        <v>145000</v>
      </c>
      <c r="N196" s="6">
        <f t="shared" si="20"/>
        <v>0</v>
      </c>
      <c r="O196" s="17">
        <f t="shared" si="21"/>
        <v>0.11754998656247181</v>
      </c>
      <c r="P196" s="18">
        <f t="shared" si="17"/>
        <v>0</v>
      </c>
      <c r="Q196" s="1">
        <f t="shared" si="22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8"/>
        <v>0</v>
      </c>
      <c r="K197" s="5">
        <f t="shared" si="19"/>
        <v>0.17181309718014473</v>
      </c>
      <c r="L197" s="2">
        <v>2549477.9785796599</v>
      </c>
      <c r="M197" s="2">
        <v>3000000</v>
      </c>
      <c r="N197" s="6">
        <f t="shared" si="20"/>
        <v>1</v>
      </c>
      <c r="O197" s="17">
        <f t="shared" si="21"/>
        <v>1.176711477881182</v>
      </c>
      <c r="P197" s="18">
        <f t="shared" si="17"/>
        <v>1</v>
      </c>
      <c r="Q197" s="1">
        <f t="shared" si="22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8"/>
        <v>0</v>
      </c>
      <c r="K198" s="5">
        <f t="shared" si="19"/>
        <v>0</v>
      </c>
      <c r="L198" s="2">
        <v>12908778</v>
      </c>
      <c r="M198" s="2">
        <v>2510000</v>
      </c>
      <c r="N198" s="6">
        <f t="shared" si="20"/>
        <v>1</v>
      </c>
      <c r="O198" s="17">
        <f t="shared" si="21"/>
        <v>0.19444133286667414</v>
      </c>
      <c r="P198" s="18">
        <f t="shared" si="17"/>
        <v>1</v>
      </c>
      <c r="Q198" s="1">
        <f t="shared" si="22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4</v>
      </c>
      <c r="J199" s="4">
        <f t="shared" si="18"/>
        <v>1</v>
      </c>
      <c r="K199" s="5">
        <f t="shared" si="19"/>
        <v>0.44751318335293461</v>
      </c>
      <c r="L199" s="2">
        <v>22463880</v>
      </c>
      <c r="M199" s="2">
        <v>578000</v>
      </c>
      <c r="N199" s="6">
        <f t="shared" si="20"/>
        <v>1</v>
      </c>
      <c r="O199" s="17">
        <f t="shared" si="21"/>
        <v>2.5730194427676788E-2</v>
      </c>
      <c r="P199" s="18">
        <f t="shared" ref="P199:P262" si="23">S199</f>
        <v>0</v>
      </c>
      <c r="Q199" s="1">
        <f t="shared" si="22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3"/>
        <v>0</v>
      </c>
      <c r="Q200" s="1">
        <f t="shared" si="22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8"/>
        <v>1</v>
      </c>
      <c r="K201" s="5">
        <f t="shared" si="19"/>
        <v>1.9243066884176145</v>
      </c>
      <c r="L201" s="2">
        <v>2574298.0029296018</v>
      </c>
      <c r="M201" s="2">
        <v>3880000</v>
      </c>
      <c r="N201" s="6">
        <f t="shared" si="20"/>
        <v>1</v>
      </c>
      <c r="O201" s="17">
        <f t="shared" si="21"/>
        <v>1.507207011614228</v>
      </c>
      <c r="P201" s="18">
        <f t="shared" si="23"/>
        <v>4</v>
      </c>
      <c r="Q201" s="1">
        <f t="shared" si="22"/>
        <v>1</v>
      </c>
      <c r="R201" s="18">
        <v>8</v>
      </c>
      <c r="S201" s="18">
        <v>4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1230000</v>
      </c>
      <c r="N202" s="6">
        <f t="shared" si="20"/>
        <v>1</v>
      </c>
      <c r="O202" s="17">
        <f t="shared" si="21"/>
        <v>0.42332569200469716</v>
      </c>
      <c r="P202" s="18">
        <f t="shared" si="23"/>
        <v>2</v>
      </c>
      <c r="Q202" s="1">
        <f t="shared" si="22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3"/>
        <v>4</v>
      </c>
      <c r="Q203" s="1">
        <f t="shared" si="22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3"/>
        <v>3</v>
      </c>
      <c r="Q204" s="1">
        <f t="shared" si="22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336000</v>
      </c>
      <c r="N205" s="6">
        <f t="shared" si="20"/>
        <v>1</v>
      </c>
      <c r="O205" s="17">
        <f t="shared" si="21"/>
        <v>5.582861200665977E-2</v>
      </c>
      <c r="P205" s="18">
        <f t="shared" si="23"/>
        <v>5</v>
      </c>
      <c r="Q205" s="1">
        <f t="shared" si="22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4415000</v>
      </c>
      <c r="N206" s="6">
        <f t="shared" si="20"/>
        <v>1</v>
      </c>
      <c r="O206" s="17">
        <f t="shared" si="21"/>
        <v>0.73358131550417527</v>
      </c>
      <c r="P206" s="18">
        <f t="shared" si="23"/>
        <v>5</v>
      </c>
      <c r="Q206" s="1">
        <f t="shared" si="22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8"/>
        <v>1</v>
      </c>
      <c r="K207" s="5">
        <f t="shared" si="19"/>
        <v>1</v>
      </c>
      <c r="L207" s="2">
        <v>1233517.793070439</v>
      </c>
      <c r="M207" s="2">
        <v>2610000</v>
      </c>
      <c r="N207" s="6">
        <f t="shared" si="20"/>
        <v>1</v>
      </c>
      <c r="O207" s="17">
        <f t="shared" si="21"/>
        <v>2.1158997581244927</v>
      </c>
      <c r="P207" s="18">
        <f t="shared" si="23"/>
        <v>5</v>
      </c>
      <c r="Q207" s="1">
        <f t="shared" si="22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8"/>
        <v>0</v>
      </c>
      <c r="K208" s="5">
        <f t="shared" si="19"/>
        <v>0</v>
      </c>
      <c r="L208" s="2">
        <v>1233517.793070439</v>
      </c>
      <c r="M208" s="2">
        <v>0</v>
      </c>
      <c r="N208" s="6">
        <f t="shared" si="20"/>
        <v>0</v>
      </c>
      <c r="O208" s="17">
        <f t="shared" si="21"/>
        <v>0</v>
      </c>
      <c r="P208" s="18">
        <f t="shared" si="23"/>
        <v>0</v>
      </c>
      <c r="Q208" s="1">
        <f t="shared" si="22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8"/>
        <v>1</v>
      </c>
      <c r="K209" s="5">
        <f t="shared" si="19"/>
        <v>0.51543929154043422</v>
      </c>
      <c r="L209" s="2">
        <v>1233517.793070439</v>
      </c>
      <c r="M209" s="2">
        <v>390000</v>
      </c>
      <c r="N209" s="6">
        <f t="shared" si="20"/>
        <v>1</v>
      </c>
      <c r="O209" s="17">
        <f t="shared" si="21"/>
        <v>0.31616892937492419</v>
      </c>
      <c r="P209" s="18">
        <f t="shared" si="23"/>
        <v>0</v>
      </c>
      <c r="Q209" s="1">
        <f t="shared" si="22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8"/>
        <v>1</v>
      </c>
      <c r="K210" s="5">
        <f t="shared" si="19"/>
        <v>0.6</v>
      </c>
      <c r="L210" s="2">
        <v>29626053.564346101</v>
      </c>
      <c r="M210" s="2">
        <v>1590000</v>
      </c>
      <c r="N210" s="6">
        <f t="shared" si="20"/>
        <v>1</v>
      </c>
      <c r="O210" s="17">
        <f t="shared" si="21"/>
        <v>5.3668977427135563E-2</v>
      </c>
      <c r="P210" s="18">
        <f t="shared" si="23"/>
        <v>0</v>
      </c>
      <c r="Q210" s="1">
        <f t="shared" si="22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8"/>
        <v>1</v>
      </c>
      <c r="K211" s="5">
        <f t="shared" si="19"/>
        <v>1</v>
      </c>
      <c r="L211" s="2">
        <v>1233517.793070439</v>
      </c>
      <c r="M211" s="2">
        <v>390000</v>
      </c>
      <c r="N211" s="6">
        <f t="shared" si="20"/>
        <v>1</v>
      </c>
      <c r="O211" s="17">
        <f t="shared" si="21"/>
        <v>0.31616892937492419</v>
      </c>
      <c r="P211" s="18">
        <f t="shared" si="23"/>
        <v>5</v>
      </c>
      <c r="Q211" s="1">
        <f t="shared" si="22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8"/>
        <v>1</v>
      </c>
      <c r="K212" s="5">
        <f t="shared" si="19"/>
        <v>1</v>
      </c>
      <c r="L212" s="2">
        <v>1233517.793070439</v>
      </c>
      <c r="M212" s="2">
        <v>428000</v>
      </c>
      <c r="N212" s="6">
        <f t="shared" si="20"/>
        <v>1</v>
      </c>
      <c r="O212" s="17">
        <f t="shared" si="21"/>
        <v>0.34697513274991681</v>
      </c>
      <c r="P212" s="18">
        <f t="shared" si="23"/>
        <v>0</v>
      </c>
      <c r="Q212" s="1">
        <f t="shared" si="22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8"/>
        <v>1</v>
      </c>
      <c r="K213" s="5">
        <f t="shared" si="19"/>
        <v>1</v>
      </c>
      <c r="L213" s="2">
        <v>1233517.793070439</v>
      </c>
      <c r="M213" s="2">
        <v>222000</v>
      </c>
      <c r="N213" s="6">
        <f t="shared" si="20"/>
        <v>0</v>
      </c>
      <c r="O213" s="17">
        <f t="shared" si="21"/>
        <v>0.17997308287495686</v>
      </c>
      <c r="P213" s="18">
        <f t="shared" si="23"/>
        <v>0</v>
      </c>
      <c r="Q213" s="1">
        <f t="shared" si="22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8"/>
        <v>1</v>
      </c>
      <c r="K214" s="5">
        <f t="shared" si="19"/>
        <v>1.1101769356255486</v>
      </c>
      <c r="L214" s="2">
        <v>300000</v>
      </c>
      <c r="M214" s="2">
        <v>475000</v>
      </c>
      <c r="N214" s="6">
        <f t="shared" si="20"/>
        <v>1</v>
      </c>
      <c r="O214" s="17">
        <f t="shared" si="21"/>
        <v>1.5833333333333333</v>
      </c>
      <c r="P214" s="18">
        <f t="shared" si="23"/>
        <v>0</v>
      </c>
      <c r="Q214" s="1">
        <f t="shared" si="22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3"/>
        <v>0</v>
      </c>
      <c r="Q215" s="1">
        <f t="shared" si="22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8"/>
        <v>1</v>
      </c>
      <c r="K216" s="5">
        <f t="shared" si="19"/>
        <v>1</v>
      </c>
      <c r="L216" s="2">
        <v>1233517.793070439</v>
      </c>
      <c r="M216" s="2">
        <v>90000</v>
      </c>
      <c r="N216" s="6">
        <f t="shared" si="20"/>
        <v>0</v>
      </c>
      <c r="O216" s="17">
        <f t="shared" si="21"/>
        <v>7.2962060624982505E-2</v>
      </c>
      <c r="P216" s="18">
        <f t="shared" si="23"/>
        <v>5</v>
      </c>
      <c r="Q216" s="1">
        <f t="shared" si="22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3"/>
        <v>0</v>
      </c>
      <c r="Q217" s="1">
        <f t="shared" si="22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3"/>
        <v>5</v>
      </c>
      <c r="Q218" s="1">
        <f t="shared" si="22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8"/>
        <v>1</v>
      </c>
      <c r="K219" s="5">
        <f t="shared" si="19"/>
        <v>0.6560136437787335</v>
      </c>
      <c r="L219" s="2">
        <v>1233517.793070439</v>
      </c>
      <c r="M219" s="2">
        <v>330000</v>
      </c>
      <c r="N219" s="6">
        <f t="shared" si="20"/>
        <v>1</v>
      </c>
      <c r="O219" s="17">
        <f t="shared" si="21"/>
        <v>0.26752755562493585</v>
      </c>
      <c r="P219" s="18">
        <f t="shared" si="23"/>
        <v>0</v>
      </c>
      <c r="Q219" s="1">
        <f t="shared" si="22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4">IF(I220&gt;=3,1,0)</f>
        <v>1</v>
      </c>
      <c r="K220" s="5">
        <f t="shared" ref="K220:K283" si="25">I220/H220</f>
        <v>0.42447941656270971</v>
      </c>
      <c r="L220" s="2">
        <v>1233517.793070439</v>
      </c>
      <c r="M220" s="2">
        <v>1258000</v>
      </c>
      <c r="N220" s="6">
        <f t="shared" ref="N220:N283" si="26">IF(M220&gt;=300000,1,0)</f>
        <v>1</v>
      </c>
      <c r="O220" s="17">
        <f t="shared" ref="O220:O283" si="27">M220/L220</f>
        <v>1.0198474696247555</v>
      </c>
      <c r="P220" s="18">
        <f t="shared" si="23"/>
        <v>1</v>
      </c>
      <c r="Q220" s="1">
        <f t="shared" ref="Q220:Q283" si="28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4"/>
        <v>0</v>
      </c>
      <c r="K221" s="5">
        <f t="shared" si="25"/>
        <v>0</v>
      </c>
      <c r="L221" s="2">
        <v>1233517.793070439</v>
      </c>
      <c r="M221" s="2">
        <v>0</v>
      </c>
      <c r="N221" s="6">
        <f t="shared" si="26"/>
        <v>0</v>
      </c>
      <c r="O221" s="17">
        <f t="shared" si="27"/>
        <v>0</v>
      </c>
      <c r="P221" s="18">
        <f t="shared" si="23"/>
        <v>5</v>
      </c>
      <c r="Q221" s="1">
        <f t="shared" si="28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4"/>
        <v>0</v>
      </c>
      <c r="K222" s="5">
        <f t="shared" si="25"/>
        <v>0</v>
      </c>
      <c r="L222" s="2">
        <v>1233517.793070439</v>
      </c>
      <c r="M222" s="2">
        <v>300000</v>
      </c>
      <c r="N222" s="6">
        <f t="shared" si="26"/>
        <v>1</v>
      </c>
      <c r="O222" s="17">
        <f t="shared" si="27"/>
        <v>0.24320686874994168</v>
      </c>
      <c r="P222" s="18">
        <f t="shared" si="23"/>
        <v>5</v>
      </c>
      <c r="Q222" s="1">
        <f t="shared" si="28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4"/>
        <v>0</v>
      </c>
      <c r="K223" s="5">
        <f t="shared" si="25"/>
        <v>0</v>
      </c>
      <c r="L223" s="2">
        <v>1233517.793070439</v>
      </c>
      <c r="M223" s="2">
        <v>132000</v>
      </c>
      <c r="N223" s="6">
        <f t="shared" si="26"/>
        <v>0</v>
      </c>
      <c r="O223" s="17">
        <f t="shared" si="27"/>
        <v>0.10701102224997434</v>
      </c>
      <c r="P223" s="18">
        <f t="shared" si="23"/>
        <v>6</v>
      </c>
      <c r="Q223" s="1">
        <f t="shared" si="28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4"/>
        <v>0</v>
      </c>
      <c r="K224" s="5">
        <f t="shared" si="25"/>
        <v>0</v>
      </c>
      <c r="L224" s="2">
        <v>1233517.793070439</v>
      </c>
      <c r="M224" s="2">
        <v>85000</v>
      </c>
      <c r="N224" s="6">
        <f t="shared" si="26"/>
        <v>0</v>
      </c>
      <c r="O224" s="17">
        <f t="shared" si="27"/>
        <v>6.8908612812483477E-2</v>
      </c>
      <c r="P224" s="18">
        <f t="shared" si="23"/>
        <v>0</v>
      </c>
      <c r="Q224" s="1">
        <f t="shared" si="28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4"/>
        <v>0</v>
      </c>
      <c r="K225" s="5">
        <f t="shared" si="25"/>
        <v>0</v>
      </c>
      <c r="L225" s="2">
        <v>1233517.793070439</v>
      </c>
      <c r="M225" s="2">
        <v>300000</v>
      </c>
      <c r="N225" s="6">
        <f t="shared" si="26"/>
        <v>1</v>
      </c>
      <c r="O225" s="17">
        <f t="shared" si="27"/>
        <v>0.24320686874994168</v>
      </c>
      <c r="P225" s="18">
        <f t="shared" si="23"/>
        <v>0</v>
      </c>
      <c r="Q225" s="1">
        <f t="shared" si="28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4"/>
        <v>1</v>
      </c>
      <c r="K226" s="5">
        <f t="shared" si="25"/>
        <v>0.49766552286662519</v>
      </c>
      <c r="L226" s="2">
        <v>1233517.793070439</v>
      </c>
      <c r="M226" s="2">
        <v>390000</v>
      </c>
      <c r="N226" s="6">
        <f t="shared" si="26"/>
        <v>1</v>
      </c>
      <c r="O226" s="17">
        <f t="shared" si="27"/>
        <v>0.31616892937492419</v>
      </c>
      <c r="P226" s="18">
        <f t="shared" si="23"/>
        <v>0</v>
      </c>
      <c r="Q226" s="1">
        <f t="shared" si="28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4"/>
        <v>1</v>
      </c>
      <c r="K227" s="5">
        <f t="shared" si="25"/>
        <v>0.6</v>
      </c>
      <c r="L227" s="2">
        <v>1233517.793070439</v>
      </c>
      <c r="M227" s="2">
        <v>390000</v>
      </c>
      <c r="N227" s="6">
        <f t="shared" si="26"/>
        <v>1</v>
      </c>
      <c r="O227" s="17">
        <f t="shared" si="27"/>
        <v>0.31616892937492419</v>
      </c>
      <c r="P227" s="18">
        <f t="shared" si="23"/>
        <v>0</v>
      </c>
      <c r="Q227" s="1">
        <f t="shared" si="28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4"/>
        <v>1</v>
      </c>
      <c r="K228" s="5">
        <f t="shared" si="25"/>
        <v>1</v>
      </c>
      <c r="L228" s="2">
        <v>1233517.793070439</v>
      </c>
      <c r="M228" s="2">
        <v>306000</v>
      </c>
      <c r="N228" s="6">
        <f t="shared" si="26"/>
        <v>1</v>
      </c>
      <c r="O228" s="17">
        <f t="shared" si="27"/>
        <v>0.24807100612494054</v>
      </c>
      <c r="P228" s="18">
        <f t="shared" si="23"/>
        <v>0</v>
      </c>
      <c r="Q228" s="1">
        <f t="shared" si="28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4"/>
        <v>1</v>
      </c>
      <c r="K229" s="5">
        <f t="shared" si="25"/>
        <v>0.42447941656270971</v>
      </c>
      <c r="L229" s="2">
        <v>1233517.793070439</v>
      </c>
      <c r="M229" s="2">
        <v>813000</v>
      </c>
      <c r="N229" s="6">
        <f t="shared" si="26"/>
        <v>1</v>
      </c>
      <c r="O229" s="17">
        <f t="shared" si="27"/>
        <v>0.65909061431234195</v>
      </c>
      <c r="P229" s="18">
        <f t="shared" si="23"/>
        <v>0</v>
      </c>
      <c r="Q229" s="1">
        <f t="shared" si="28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4"/>
        <v>1</v>
      </c>
      <c r="K230" s="5">
        <f t="shared" si="25"/>
        <v>0.43734242918582267</v>
      </c>
      <c r="L230" s="2">
        <v>1233517.793070439</v>
      </c>
      <c r="M230" s="2">
        <v>594000</v>
      </c>
      <c r="N230" s="6">
        <f t="shared" si="26"/>
        <v>1</v>
      </c>
      <c r="O230" s="17">
        <f t="shared" si="27"/>
        <v>0.48154960012488457</v>
      </c>
      <c r="P230" s="18">
        <f t="shared" si="23"/>
        <v>5</v>
      </c>
      <c r="Q230" s="1">
        <f t="shared" si="28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4"/>
        <v>1</v>
      </c>
      <c r="K231" s="5">
        <f t="shared" si="25"/>
        <v>0.51543929154043422</v>
      </c>
      <c r="L231" s="2">
        <v>1233517.793070439</v>
      </c>
      <c r="M231" s="2">
        <v>1317000</v>
      </c>
      <c r="N231" s="6">
        <f t="shared" si="26"/>
        <v>1</v>
      </c>
      <c r="O231" s="17">
        <f t="shared" si="27"/>
        <v>1.067678153812244</v>
      </c>
      <c r="P231" s="18">
        <f t="shared" si="23"/>
        <v>1</v>
      </c>
      <c r="Q231" s="1">
        <f t="shared" si="28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4"/>
        <v>1</v>
      </c>
      <c r="K232" s="5">
        <f t="shared" si="25"/>
        <v>0.6</v>
      </c>
      <c r="L232" s="2">
        <v>1233517.793070439</v>
      </c>
      <c r="M232" s="2">
        <v>511000</v>
      </c>
      <c r="N232" s="6">
        <f t="shared" si="26"/>
        <v>1</v>
      </c>
      <c r="O232" s="17">
        <f t="shared" si="27"/>
        <v>0.41426236643740066</v>
      </c>
      <c r="P232" s="18">
        <f t="shared" si="23"/>
        <v>0</v>
      </c>
      <c r="Q232" s="1">
        <f t="shared" si="28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4"/>
        <v>1</v>
      </c>
      <c r="K233" s="5">
        <f t="shared" si="25"/>
        <v>0.6</v>
      </c>
      <c r="L233" s="2">
        <v>1233517.793070439</v>
      </c>
      <c r="M233" s="2">
        <v>728000</v>
      </c>
      <c r="N233" s="6">
        <f t="shared" si="26"/>
        <v>1</v>
      </c>
      <c r="O233" s="17">
        <f t="shared" si="27"/>
        <v>0.59018200149985856</v>
      </c>
      <c r="P233" s="18">
        <f t="shared" si="23"/>
        <v>2</v>
      </c>
      <c r="Q233" s="1">
        <f t="shared" si="28"/>
        <v>0</v>
      </c>
      <c r="R233" s="18">
        <v>7</v>
      </c>
      <c r="S233" s="18">
        <v>2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4"/>
        <v>0</v>
      </c>
      <c r="K234" s="5">
        <f t="shared" si="25"/>
        <v>0</v>
      </c>
      <c r="L234" s="2">
        <v>1233517.793070439</v>
      </c>
      <c r="M234" s="2">
        <v>336000</v>
      </c>
      <c r="N234" s="6">
        <f t="shared" si="26"/>
        <v>1</v>
      </c>
      <c r="O234" s="17">
        <f t="shared" si="27"/>
        <v>0.27239169299993471</v>
      </c>
      <c r="P234" s="18">
        <f t="shared" si="23"/>
        <v>0</v>
      </c>
      <c r="Q234" s="1">
        <f t="shared" si="28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4"/>
        <v>1</v>
      </c>
      <c r="K235" s="5">
        <f t="shared" si="25"/>
        <v>0.90201876019575788</v>
      </c>
      <c r="L235" s="2">
        <v>1233517.793070439</v>
      </c>
      <c r="M235" s="2">
        <v>2610000</v>
      </c>
      <c r="N235" s="6">
        <f t="shared" si="26"/>
        <v>1</v>
      </c>
      <c r="O235" s="17">
        <f t="shared" si="27"/>
        <v>2.1158997581244927</v>
      </c>
      <c r="P235" s="18">
        <f t="shared" si="23"/>
        <v>1</v>
      </c>
      <c r="Q235" s="1">
        <f t="shared" si="28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4"/>
        <v>1</v>
      </c>
      <c r="K236" s="5">
        <f t="shared" si="25"/>
        <v>1</v>
      </c>
      <c r="L236" s="2">
        <v>1233517.793070439</v>
      </c>
      <c r="M236" s="2">
        <v>558000</v>
      </c>
      <c r="N236" s="6">
        <f t="shared" si="26"/>
        <v>1</v>
      </c>
      <c r="O236" s="17">
        <f t="shared" si="27"/>
        <v>0.45236477587489154</v>
      </c>
      <c r="P236" s="18">
        <f t="shared" si="23"/>
        <v>0</v>
      </c>
      <c r="Q236" s="1">
        <f t="shared" si="28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4"/>
        <v>0</v>
      </c>
      <c r="K237" s="5">
        <f t="shared" si="25"/>
        <v>0</v>
      </c>
      <c r="L237" s="2">
        <v>300000</v>
      </c>
      <c r="M237" s="2">
        <v>264000</v>
      </c>
      <c r="N237" s="6">
        <f t="shared" si="26"/>
        <v>0</v>
      </c>
      <c r="O237" s="17">
        <f t="shared" si="27"/>
        <v>0.88</v>
      </c>
      <c r="P237" s="18">
        <f t="shared" si="23"/>
        <v>0</v>
      </c>
      <c r="Q237" s="1">
        <f t="shared" si="28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4"/>
        <v>1</v>
      </c>
      <c r="K238" s="5">
        <f t="shared" si="25"/>
        <v>1.1101769356255486</v>
      </c>
      <c r="L238" s="2">
        <v>300000</v>
      </c>
      <c r="M238" s="2">
        <v>258000</v>
      </c>
      <c r="N238" s="6">
        <f t="shared" si="26"/>
        <v>0</v>
      </c>
      <c r="O238" s="17">
        <f t="shared" si="27"/>
        <v>0.86</v>
      </c>
      <c r="P238" s="18">
        <f t="shared" si="23"/>
        <v>0</v>
      </c>
      <c r="Q238" s="1">
        <f t="shared" si="28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4"/>
        <v>1</v>
      </c>
      <c r="K239" s="5">
        <f t="shared" si="25"/>
        <v>0.27754423390638738</v>
      </c>
      <c r="L239" s="2">
        <v>6018419.3717715694</v>
      </c>
      <c r="M239" s="2">
        <v>884000</v>
      </c>
      <c r="N239" s="6">
        <f t="shared" si="26"/>
        <v>1</v>
      </c>
      <c r="O239" s="17">
        <f t="shared" si="27"/>
        <v>0.14688241968418822</v>
      </c>
      <c r="P239" s="18">
        <f t="shared" si="23"/>
        <v>0</v>
      </c>
      <c r="Q239" s="1">
        <f t="shared" si="28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4"/>
        <v>0</v>
      </c>
      <c r="K240" s="5">
        <f t="shared" si="25"/>
        <v>0</v>
      </c>
      <c r="L240" s="2">
        <v>1233517.793070439</v>
      </c>
      <c r="M240" s="2">
        <v>336000</v>
      </c>
      <c r="N240" s="6">
        <f t="shared" si="26"/>
        <v>1</v>
      </c>
      <c r="O240" s="17">
        <f t="shared" si="27"/>
        <v>0.27239169299993471</v>
      </c>
      <c r="P240" s="18">
        <f t="shared" si="23"/>
        <v>0</v>
      </c>
      <c r="Q240" s="1">
        <f t="shared" si="28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4"/>
        <v>1</v>
      </c>
      <c r="K241" s="5">
        <f t="shared" si="25"/>
        <v>0.6</v>
      </c>
      <c r="L241" s="2">
        <v>19880654</v>
      </c>
      <c r="M241" s="2">
        <v>4760000</v>
      </c>
      <c r="N241" s="6">
        <f t="shared" si="26"/>
        <v>1</v>
      </c>
      <c r="O241" s="17">
        <f t="shared" si="27"/>
        <v>0.23942874313893295</v>
      </c>
      <c r="P241" s="18">
        <f t="shared" si="23"/>
        <v>0</v>
      </c>
      <c r="Q241" s="1">
        <f t="shared" si="28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4"/>
        <v>0</v>
      </c>
      <c r="K242" s="5">
        <f t="shared" si="25"/>
        <v>0</v>
      </c>
      <c r="L242" s="2">
        <v>1233517.793070439</v>
      </c>
      <c r="M242" s="2">
        <v>675000</v>
      </c>
      <c r="N242" s="6">
        <f t="shared" si="26"/>
        <v>1</v>
      </c>
      <c r="O242" s="17">
        <f t="shared" si="27"/>
        <v>0.54721545468736876</v>
      </c>
      <c r="P242" s="18">
        <f t="shared" si="23"/>
        <v>3</v>
      </c>
      <c r="Q242" s="1">
        <f t="shared" si="28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4"/>
        <v>0</v>
      </c>
      <c r="K243" s="5">
        <f t="shared" si="25"/>
        <v>0</v>
      </c>
      <c r="L243" s="2">
        <v>2549477.9785796599</v>
      </c>
      <c r="M243" s="2">
        <v>4168000</v>
      </c>
      <c r="N243" s="6">
        <f t="shared" si="26"/>
        <v>1</v>
      </c>
      <c r="O243" s="17">
        <f t="shared" si="27"/>
        <v>1.6348444799362554</v>
      </c>
      <c r="P243" s="18">
        <f t="shared" si="23"/>
        <v>2</v>
      </c>
      <c r="Q243" s="1">
        <f t="shared" si="28"/>
        <v>0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4"/>
        <v>1</v>
      </c>
      <c r="K244" s="5">
        <f t="shared" si="25"/>
        <v>0.96215334420880883</v>
      </c>
      <c r="L244" s="2">
        <v>22463880</v>
      </c>
      <c r="M244" s="2">
        <v>2060000</v>
      </c>
      <c r="N244" s="6">
        <f t="shared" si="26"/>
        <v>1</v>
      </c>
      <c r="O244" s="17">
        <f t="shared" si="27"/>
        <v>9.170276906749858E-2</v>
      </c>
      <c r="P244" s="18">
        <f t="shared" si="23"/>
        <v>0</v>
      </c>
      <c r="Q244" s="1">
        <f t="shared" si="28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4"/>
        <v>1</v>
      </c>
      <c r="K245" s="5">
        <f t="shared" si="25"/>
        <v>0.96215334420880883</v>
      </c>
      <c r="L245" s="2">
        <v>1233517.793070439</v>
      </c>
      <c r="M245" s="2">
        <v>426000</v>
      </c>
      <c r="N245" s="6">
        <f t="shared" si="26"/>
        <v>1</v>
      </c>
      <c r="O245" s="17">
        <f t="shared" si="27"/>
        <v>0.34535375362491721</v>
      </c>
      <c r="P245" s="18">
        <f t="shared" si="23"/>
        <v>0</v>
      </c>
      <c r="Q245" s="1">
        <f t="shared" si="28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4"/>
        <v>1</v>
      </c>
      <c r="K246" s="5">
        <f t="shared" si="25"/>
        <v>1</v>
      </c>
      <c r="L246" s="2">
        <v>1233517.793070439</v>
      </c>
      <c r="M246" s="2">
        <v>792000</v>
      </c>
      <c r="N246" s="6">
        <f t="shared" si="26"/>
        <v>1</v>
      </c>
      <c r="O246" s="17">
        <f t="shared" si="27"/>
        <v>0.64206613349984609</v>
      </c>
      <c r="P246" s="18">
        <f t="shared" si="23"/>
        <v>0</v>
      </c>
      <c r="Q246" s="1">
        <f t="shared" si="28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4"/>
        <v>1</v>
      </c>
      <c r="K247" s="5">
        <f t="shared" si="25"/>
        <v>1</v>
      </c>
      <c r="L247" s="2">
        <v>1233517.793070439</v>
      </c>
      <c r="M247" s="2">
        <v>1290000</v>
      </c>
      <c r="N247" s="6">
        <f t="shared" si="26"/>
        <v>1</v>
      </c>
      <c r="O247" s="17">
        <f t="shared" si="27"/>
        <v>1.0457895356247493</v>
      </c>
      <c r="P247" s="18">
        <f t="shared" si="23"/>
        <v>0</v>
      </c>
      <c r="Q247" s="1">
        <f t="shared" si="28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4"/>
        <v>1</v>
      </c>
      <c r="K248" s="5">
        <f t="shared" si="25"/>
        <v>3.0926357492425995</v>
      </c>
      <c r="L248" s="2">
        <v>12908778</v>
      </c>
      <c r="M248" s="2">
        <v>1925000</v>
      </c>
      <c r="N248" s="6">
        <f t="shared" si="26"/>
        <v>1</v>
      </c>
      <c r="O248" s="17">
        <f t="shared" si="27"/>
        <v>0.14912333297543734</v>
      </c>
      <c r="P248" s="18">
        <f t="shared" si="23"/>
        <v>17</v>
      </c>
      <c r="Q248" s="1">
        <f t="shared" si="28"/>
        <v>1</v>
      </c>
      <c r="R248" s="18">
        <v>5</v>
      </c>
      <c r="S248" s="18">
        <v>17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4"/>
        <v>1</v>
      </c>
      <c r="K249" s="5">
        <f t="shared" si="25"/>
        <v>0.45100938009788039</v>
      </c>
      <c r="L249" s="2">
        <v>1233517.793070439</v>
      </c>
      <c r="M249" s="2">
        <v>307000</v>
      </c>
      <c r="N249" s="6">
        <f t="shared" si="26"/>
        <v>1</v>
      </c>
      <c r="O249" s="17">
        <f t="shared" si="27"/>
        <v>0.24888169568744034</v>
      </c>
      <c r="P249" s="18">
        <f t="shared" si="23"/>
        <v>0</v>
      </c>
      <c r="Q249" s="1">
        <f t="shared" si="28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4"/>
        <v>0</v>
      </c>
      <c r="K250" s="5">
        <f t="shared" si="25"/>
        <v>0</v>
      </c>
      <c r="L250" s="2">
        <v>1233517.793070439</v>
      </c>
      <c r="M250" s="2">
        <v>336000</v>
      </c>
      <c r="N250" s="6">
        <f t="shared" si="26"/>
        <v>1</v>
      </c>
      <c r="O250" s="17">
        <f t="shared" si="27"/>
        <v>0.27239169299993471</v>
      </c>
      <c r="P250" s="18">
        <f t="shared" si="23"/>
        <v>5</v>
      </c>
      <c r="Q250" s="1">
        <f t="shared" si="28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4"/>
        <v>0</v>
      </c>
      <c r="K251" s="5">
        <f t="shared" si="25"/>
        <v>0</v>
      </c>
      <c r="L251" s="2">
        <v>1233517.793070439</v>
      </c>
      <c r="M251" s="2">
        <v>481000</v>
      </c>
      <c r="N251" s="6">
        <f t="shared" si="26"/>
        <v>1</v>
      </c>
      <c r="O251" s="17">
        <f t="shared" si="27"/>
        <v>0.3899416795624065</v>
      </c>
      <c r="P251" s="18">
        <f t="shared" si="23"/>
        <v>5</v>
      </c>
      <c r="Q251" s="1">
        <f t="shared" si="28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4"/>
        <v>0</v>
      </c>
      <c r="K252" s="5">
        <f t="shared" si="25"/>
        <v>0</v>
      </c>
      <c r="L252" s="2">
        <v>2781339.4120799541</v>
      </c>
      <c r="M252" s="2">
        <v>2140000</v>
      </c>
      <c r="N252" s="6">
        <f t="shared" si="26"/>
        <v>1</v>
      </c>
      <c r="O252" s="17">
        <f t="shared" si="27"/>
        <v>0.76941346701719349</v>
      </c>
      <c r="P252" s="18">
        <f t="shared" si="23"/>
        <v>1</v>
      </c>
      <c r="Q252" s="1">
        <f t="shared" si="28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4"/>
        <v>0</v>
      </c>
      <c r="K253" s="5">
        <f t="shared" si="25"/>
        <v>0</v>
      </c>
      <c r="L253" s="2">
        <v>2549477.9785796599</v>
      </c>
      <c r="M253" s="2">
        <v>1215000</v>
      </c>
      <c r="N253" s="6">
        <f t="shared" si="26"/>
        <v>1</v>
      </c>
      <c r="O253" s="17">
        <f t="shared" si="27"/>
        <v>0.47656814854187868</v>
      </c>
      <c r="P253" s="18">
        <f t="shared" si="23"/>
        <v>1</v>
      </c>
      <c r="Q253" s="1">
        <f t="shared" si="28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4"/>
        <v>0</v>
      </c>
      <c r="K254" s="5">
        <f t="shared" si="25"/>
        <v>0</v>
      </c>
      <c r="L254" s="2">
        <v>1233517.793070439</v>
      </c>
      <c r="M254" s="2">
        <v>1864000</v>
      </c>
      <c r="N254" s="6">
        <f t="shared" si="26"/>
        <v>1</v>
      </c>
      <c r="O254" s="17">
        <f t="shared" si="27"/>
        <v>1.5111253444996378</v>
      </c>
      <c r="P254" s="18">
        <f t="shared" si="23"/>
        <v>0</v>
      </c>
      <c r="Q254" s="1">
        <f t="shared" si="28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4"/>
        <v>0</v>
      </c>
      <c r="K255" s="5">
        <f t="shared" si="25"/>
        <v>0</v>
      </c>
      <c r="L255" s="2">
        <v>1233517.793070439</v>
      </c>
      <c r="M255" s="2">
        <v>847000</v>
      </c>
      <c r="N255" s="6">
        <f t="shared" si="26"/>
        <v>1</v>
      </c>
      <c r="O255" s="17">
        <f t="shared" si="27"/>
        <v>0.68665405943733537</v>
      </c>
      <c r="P255" s="18">
        <f t="shared" si="23"/>
        <v>5</v>
      </c>
      <c r="Q255" s="1">
        <f t="shared" si="28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4"/>
        <v>1</v>
      </c>
      <c r="K256" s="5">
        <f t="shared" si="25"/>
        <v>3</v>
      </c>
      <c r="L256" s="2">
        <v>22463880</v>
      </c>
      <c r="M256" s="2">
        <v>5130000</v>
      </c>
      <c r="N256" s="6">
        <f t="shared" si="26"/>
        <v>1</v>
      </c>
      <c r="O256" s="17">
        <f t="shared" si="27"/>
        <v>0.22836660452246005</v>
      </c>
      <c r="P256" s="18">
        <f t="shared" si="23"/>
        <v>9</v>
      </c>
      <c r="Q256" s="1">
        <f t="shared" si="28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4"/>
        <v>0</v>
      </c>
      <c r="K257" s="5">
        <f t="shared" si="25"/>
        <v>0</v>
      </c>
      <c r="L257" s="2">
        <v>1233517.793070439</v>
      </c>
      <c r="M257" s="2">
        <v>883000</v>
      </c>
      <c r="N257" s="6">
        <f t="shared" si="26"/>
        <v>1</v>
      </c>
      <c r="O257" s="17">
        <f t="shared" si="27"/>
        <v>0.7158388836873284</v>
      </c>
      <c r="P257" s="18">
        <f t="shared" si="23"/>
        <v>5</v>
      </c>
      <c r="Q257" s="1">
        <f t="shared" si="28"/>
        <v>1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4"/>
        <v>1</v>
      </c>
      <c r="K258" s="5">
        <f t="shared" si="25"/>
        <v>0.30707021623685427</v>
      </c>
      <c r="L258" s="2">
        <v>1233517.793070439</v>
      </c>
      <c r="M258" s="2">
        <v>426000</v>
      </c>
      <c r="N258" s="6">
        <f t="shared" si="26"/>
        <v>1</v>
      </c>
      <c r="O258" s="17">
        <f t="shared" si="27"/>
        <v>0.34535375362491721</v>
      </c>
      <c r="P258" s="18">
        <f t="shared" si="23"/>
        <v>0</v>
      </c>
      <c r="Q258" s="1">
        <f t="shared" si="28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4"/>
        <v>1</v>
      </c>
      <c r="K259" s="5">
        <f t="shared" si="25"/>
        <v>0.33563488751470094</v>
      </c>
      <c r="L259" s="2">
        <v>1233517.793070439</v>
      </c>
      <c r="M259" s="2">
        <v>1315000</v>
      </c>
      <c r="N259" s="6">
        <f t="shared" si="26"/>
        <v>1</v>
      </c>
      <c r="O259" s="17">
        <f t="shared" si="27"/>
        <v>1.0660567746872445</v>
      </c>
      <c r="P259" s="18">
        <f t="shared" si="23"/>
        <v>28</v>
      </c>
      <c r="Q259" s="1">
        <f t="shared" si="28"/>
        <v>1</v>
      </c>
      <c r="R259" s="18">
        <v>11</v>
      </c>
      <c r="S259" s="18">
        <v>28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4"/>
        <v>1</v>
      </c>
      <c r="K260" s="5">
        <f t="shared" si="25"/>
        <v>0.55508846781277243</v>
      </c>
      <c r="L260" s="2">
        <v>1233517.793070439</v>
      </c>
      <c r="M260" s="2">
        <v>1092000</v>
      </c>
      <c r="N260" s="6">
        <f t="shared" si="26"/>
        <v>1</v>
      </c>
      <c r="O260" s="17">
        <f t="shared" si="27"/>
        <v>0.88527300224978778</v>
      </c>
      <c r="P260" s="18">
        <f t="shared" si="23"/>
        <v>0</v>
      </c>
      <c r="Q260" s="1">
        <f t="shared" si="28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4"/>
        <v>1</v>
      </c>
      <c r="K261" s="5">
        <f t="shared" si="25"/>
        <v>0.13636363636363635</v>
      </c>
      <c r="L261" s="2">
        <v>6305572.5166073563</v>
      </c>
      <c r="M261" s="2">
        <v>5945000</v>
      </c>
      <c r="N261" s="6">
        <f t="shared" si="26"/>
        <v>1</v>
      </c>
      <c r="O261" s="17">
        <f t="shared" si="27"/>
        <v>0.9428168472160624</v>
      </c>
      <c r="P261" s="18">
        <f t="shared" si="23"/>
        <v>1</v>
      </c>
      <c r="Q261" s="1">
        <f t="shared" si="28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4"/>
        <v>1</v>
      </c>
      <c r="K262" s="5">
        <f t="shared" si="25"/>
        <v>0.14285714285714285</v>
      </c>
      <c r="L262" s="2">
        <v>2198816.5908757159</v>
      </c>
      <c r="M262" s="2">
        <v>1634000</v>
      </c>
      <c r="N262" s="6">
        <f t="shared" si="26"/>
        <v>1</v>
      </c>
      <c r="O262" s="17">
        <f t="shared" si="27"/>
        <v>0.74312701058401232</v>
      </c>
      <c r="P262" s="18">
        <f t="shared" si="23"/>
        <v>3</v>
      </c>
      <c r="Q262" s="1">
        <f t="shared" si="28"/>
        <v>1</v>
      </c>
      <c r="R262" s="18">
        <v>13</v>
      </c>
      <c r="S262" s="18">
        <v>3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4"/>
        <v>1</v>
      </c>
      <c r="K263" s="5">
        <f t="shared" si="25"/>
        <v>0.45026934699776661</v>
      </c>
      <c r="L263" s="2">
        <v>2979157.6740004942</v>
      </c>
      <c r="M263" s="2">
        <v>3141500</v>
      </c>
      <c r="N263" s="6">
        <f t="shared" si="26"/>
        <v>1</v>
      </c>
      <c r="O263" s="17">
        <f t="shared" si="27"/>
        <v>1.054492693493966</v>
      </c>
      <c r="P263" s="18">
        <f t="shared" ref="P263:P326" si="29">S263</f>
        <v>0</v>
      </c>
      <c r="Q263" s="1">
        <f t="shared" si="28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4"/>
        <v>1</v>
      </c>
      <c r="K264" s="5">
        <f t="shared" si="25"/>
        <v>0.69148506860371373</v>
      </c>
      <c r="L264" s="2">
        <v>5800307.9496692214</v>
      </c>
      <c r="M264" s="2">
        <v>4041500</v>
      </c>
      <c r="N264" s="6">
        <f t="shared" si="26"/>
        <v>1</v>
      </c>
      <c r="O264" s="17">
        <f t="shared" si="27"/>
        <v>0.69677334980644912</v>
      </c>
      <c r="P264" s="18">
        <f t="shared" si="29"/>
        <v>1</v>
      </c>
      <c r="Q264" s="1">
        <f t="shared" si="28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9"/>
        <v>1</v>
      </c>
      <c r="Q265" s="1">
        <f t="shared" si="28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4"/>
        <v>1</v>
      </c>
      <c r="K266" s="5">
        <f t="shared" si="25"/>
        <v>1.0756434400502204</v>
      </c>
      <c r="L266" s="2">
        <v>11830444.84236645</v>
      </c>
      <c r="M266" s="2">
        <v>4034000</v>
      </c>
      <c r="N266" s="6">
        <f t="shared" si="26"/>
        <v>1</v>
      </c>
      <c r="O266" s="17">
        <f t="shared" si="27"/>
        <v>0.34098464206127665</v>
      </c>
      <c r="P266" s="18">
        <f t="shared" si="29"/>
        <v>6</v>
      </c>
      <c r="Q266" s="1">
        <f t="shared" si="28"/>
        <v>1</v>
      </c>
      <c r="R266" s="18">
        <v>8</v>
      </c>
      <c r="S266" s="18">
        <v>6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9"/>
        <v>0</v>
      </c>
      <c r="Q267" s="1">
        <f t="shared" si="28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4"/>
        <v>1</v>
      </c>
      <c r="K268" s="5">
        <f t="shared" si="25"/>
        <v>0.56945829179129259</v>
      </c>
      <c r="L268" s="2">
        <v>16648593.16831439</v>
      </c>
      <c r="M268" s="2">
        <v>1902500</v>
      </c>
      <c r="N268" s="6">
        <f t="shared" si="26"/>
        <v>1</v>
      </c>
      <c r="O268" s="17">
        <f t="shared" si="27"/>
        <v>0.11427391977004032</v>
      </c>
      <c r="P268" s="18">
        <f t="shared" si="29"/>
        <v>0</v>
      </c>
      <c r="Q268" s="1">
        <f t="shared" si="28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4"/>
        <v>1</v>
      </c>
      <c r="K269" s="5">
        <f t="shared" si="25"/>
        <v>0.6</v>
      </c>
      <c r="L269" s="2">
        <v>6043962.54005126</v>
      </c>
      <c r="M269" s="2">
        <v>1965000</v>
      </c>
      <c r="N269" s="6">
        <f t="shared" si="26"/>
        <v>1</v>
      </c>
      <c r="O269" s="17">
        <f t="shared" si="27"/>
        <v>0.32511783237877817</v>
      </c>
      <c r="P269" s="18">
        <f t="shared" si="29"/>
        <v>0</v>
      </c>
      <c r="Q269" s="1">
        <f t="shared" si="28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9"/>
        <v>0</v>
      </c>
      <c r="Q270" s="1">
        <f t="shared" si="28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9"/>
        <v>1</v>
      </c>
      <c r="Q271" s="1">
        <f t="shared" si="28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9"/>
        <v>0</v>
      </c>
      <c r="Q272" s="1">
        <f t="shared" si="28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4"/>
        <v>1</v>
      </c>
      <c r="K273" s="5">
        <f t="shared" si="25"/>
        <v>0.55508846781277243</v>
      </c>
      <c r="L273" s="2">
        <v>1233517.793070439</v>
      </c>
      <c r="M273" s="2">
        <v>426000</v>
      </c>
      <c r="N273" s="6">
        <f t="shared" si="26"/>
        <v>1</v>
      </c>
      <c r="O273" s="17">
        <f t="shared" si="27"/>
        <v>0.34535375362491721</v>
      </c>
      <c r="P273" s="18">
        <f t="shared" si="29"/>
        <v>5</v>
      </c>
      <c r="Q273" s="1">
        <f t="shared" si="28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4"/>
        <v>0</v>
      </c>
      <c r="K274" s="5">
        <f t="shared" si="25"/>
        <v>0</v>
      </c>
      <c r="L274" s="2">
        <v>1233517.793070439</v>
      </c>
      <c r="M274" s="2">
        <v>840000</v>
      </c>
      <c r="N274" s="6">
        <f t="shared" si="26"/>
        <v>1</v>
      </c>
      <c r="O274" s="17">
        <f t="shared" si="27"/>
        <v>0.68097923249983672</v>
      </c>
      <c r="P274" s="18">
        <f t="shared" si="29"/>
        <v>0</v>
      </c>
      <c r="Q274" s="1">
        <f t="shared" si="28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4"/>
        <v>1</v>
      </c>
      <c r="K275" s="5">
        <f t="shared" si="25"/>
        <v>0.06</v>
      </c>
      <c r="L275" s="2">
        <v>23626053.564346101</v>
      </c>
      <c r="M275" s="2">
        <v>1350000</v>
      </c>
      <c r="N275" s="6">
        <f t="shared" si="26"/>
        <v>1</v>
      </c>
      <c r="O275" s="17">
        <f t="shared" si="27"/>
        <v>5.7140308952709509E-2</v>
      </c>
      <c r="P275" s="18">
        <f t="shared" si="29"/>
        <v>0</v>
      </c>
      <c r="Q275" s="1">
        <f t="shared" si="28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4"/>
        <v>1</v>
      </c>
      <c r="K276" s="5">
        <f t="shared" si="25"/>
        <v>0.51543929154043422</v>
      </c>
      <c r="L276" s="2">
        <v>1233517.793070439</v>
      </c>
      <c r="M276" s="2">
        <v>571000</v>
      </c>
      <c r="N276" s="6">
        <f t="shared" si="26"/>
        <v>1</v>
      </c>
      <c r="O276" s="17">
        <f t="shared" si="27"/>
        <v>0.462903740187389</v>
      </c>
      <c r="P276" s="18">
        <f t="shared" si="29"/>
        <v>0</v>
      </c>
      <c r="Q276" s="1">
        <f t="shared" si="28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4"/>
        <v>1</v>
      </c>
      <c r="K277" s="5">
        <f t="shared" si="25"/>
        <v>0.57729200652528434</v>
      </c>
      <c r="L277" s="2">
        <v>1233517.793070439</v>
      </c>
      <c r="M277" s="2">
        <v>1350000</v>
      </c>
      <c r="N277" s="6">
        <f t="shared" si="26"/>
        <v>1</v>
      </c>
      <c r="O277" s="17">
        <f t="shared" si="27"/>
        <v>1.0944309093747375</v>
      </c>
      <c r="P277" s="18">
        <f t="shared" si="29"/>
        <v>5</v>
      </c>
      <c r="Q277" s="1">
        <f t="shared" si="28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9"/>
        <v>0</v>
      </c>
      <c r="Q278" s="1">
        <f t="shared" si="28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618000</v>
      </c>
      <c r="N279" s="6">
        <f t="shared" si="26"/>
        <v>1</v>
      </c>
      <c r="O279" s="17">
        <f t="shared" si="27"/>
        <v>0.50100614962487988</v>
      </c>
      <c r="P279" s="18">
        <f t="shared" si="29"/>
        <v>0</v>
      </c>
      <c r="Q279" s="1">
        <f t="shared" si="28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618000</v>
      </c>
      <c r="N280" s="6">
        <f t="shared" si="26"/>
        <v>1</v>
      </c>
      <c r="O280" s="17">
        <f t="shared" si="27"/>
        <v>0.50100614962487988</v>
      </c>
      <c r="P280" s="18">
        <f t="shared" si="29"/>
        <v>0</v>
      </c>
      <c r="Q280" s="1">
        <f t="shared" si="28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618000</v>
      </c>
      <c r="N281" s="6">
        <f t="shared" si="26"/>
        <v>1</v>
      </c>
      <c r="O281" s="17">
        <f t="shared" si="27"/>
        <v>0.24240256444352348</v>
      </c>
      <c r="P281" s="18">
        <f t="shared" si="29"/>
        <v>0</v>
      </c>
      <c r="Q281" s="1">
        <f t="shared" si="28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4"/>
        <v>1</v>
      </c>
      <c r="K282" s="5">
        <f t="shared" si="25"/>
        <v>0.6560136437787335</v>
      </c>
      <c r="L282" s="2">
        <v>19880654</v>
      </c>
      <c r="M282" s="2">
        <v>524400</v>
      </c>
      <c r="N282" s="6">
        <f t="shared" si="26"/>
        <v>1</v>
      </c>
      <c r="O282" s="17">
        <f t="shared" si="27"/>
        <v>2.6377401870179926E-2</v>
      </c>
      <c r="P282" s="18">
        <f t="shared" si="29"/>
        <v>0</v>
      </c>
      <c r="Q282" s="1">
        <f t="shared" si="28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4"/>
        <v>1</v>
      </c>
      <c r="K283" s="5">
        <f t="shared" si="25"/>
        <v>0.45100938009788039</v>
      </c>
      <c r="L283" s="2">
        <v>1233517.793070439</v>
      </c>
      <c r="M283" s="2">
        <v>1424400</v>
      </c>
      <c r="N283" s="6">
        <f t="shared" si="26"/>
        <v>1</v>
      </c>
      <c r="O283" s="17">
        <f t="shared" si="27"/>
        <v>1.1547462128247232</v>
      </c>
      <c r="P283" s="18">
        <f t="shared" si="29"/>
        <v>0</v>
      </c>
      <c r="Q283" s="1">
        <f t="shared" si="28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30">IF(I284&gt;=3,1,0)</f>
        <v>1</v>
      </c>
      <c r="K284" s="5">
        <f t="shared" ref="K284:K315" si="31">I284/H284</f>
        <v>0.6</v>
      </c>
      <c r="L284" s="2">
        <v>6018419.3717715694</v>
      </c>
      <c r="M284" s="2">
        <v>524400</v>
      </c>
      <c r="N284" s="6">
        <f t="shared" ref="N284:N315" si="32">IF(M284&gt;=300000,1,0)</f>
        <v>1</v>
      </c>
      <c r="O284" s="17">
        <f t="shared" ref="O284:O315" si="33">M284/L284</f>
        <v>8.7132512310393997E-2</v>
      </c>
      <c r="P284" s="18">
        <f t="shared" si="29"/>
        <v>0</v>
      </c>
      <c r="Q284" s="1">
        <f t="shared" ref="Q284:Q315" si="34"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30"/>
        <v>1</v>
      </c>
      <c r="K285" s="5">
        <f t="shared" si="31"/>
        <v>1.1101769356255486</v>
      </c>
      <c r="L285" s="2">
        <v>300000</v>
      </c>
      <c r="M285" s="2">
        <v>222000</v>
      </c>
      <c r="N285" s="6">
        <f t="shared" si="32"/>
        <v>0</v>
      </c>
      <c r="O285" s="17">
        <f t="shared" si="33"/>
        <v>0.74</v>
      </c>
      <c r="P285" s="18">
        <f t="shared" si="29"/>
        <v>0</v>
      </c>
      <c r="Q285" s="1">
        <f t="shared" si="34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30"/>
        <v>1</v>
      </c>
      <c r="K286" s="5">
        <f t="shared" si="31"/>
        <v>0.37233811386353621</v>
      </c>
      <c r="L286" s="2">
        <v>2158596.5258458201</v>
      </c>
      <c r="M286" s="2">
        <v>907500</v>
      </c>
      <c r="N286" s="6">
        <f t="shared" si="32"/>
        <v>1</v>
      </c>
      <c r="O286" s="17">
        <f t="shared" si="33"/>
        <v>0.42041205437612156</v>
      </c>
      <c r="P286" s="18">
        <f t="shared" si="29"/>
        <v>1</v>
      </c>
      <c r="Q286" s="1">
        <f t="shared" si="34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30"/>
        <v>1</v>
      </c>
      <c r="K287" s="5">
        <f t="shared" si="31"/>
        <v>0.49645081848471495</v>
      </c>
      <c r="L287" s="2">
        <v>2158596.5258458201</v>
      </c>
      <c r="M287" s="2">
        <v>3895000</v>
      </c>
      <c r="N287" s="6">
        <f t="shared" si="32"/>
        <v>1</v>
      </c>
      <c r="O287" s="17">
        <f t="shared" si="33"/>
        <v>1.8044131700220314</v>
      </c>
      <c r="P287" s="18">
        <f t="shared" si="29"/>
        <v>3</v>
      </c>
      <c r="Q287" s="1">
        <f t="shared" si="34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30"/>
        <v>1</v>
      </c>
      <c r="K288" s="5">
        <f t="shared" si="31"/>
        <v>0.37233811386353621</v>
      </c>
      <c r="L288" s="2">
        <v>2158596.5258458201</v>
      </c>
      <c r="M288" s="2">
        <v>3817500</v>
      </c>
      <c r="N288" s="6">
        <f t="shared" si="32"/>
        <v>1</v>
      </c>
      <c r="O288" s="17">
        <f t="shared" si="33"/>
        <v>1.7685102122102965</v>
      </c>
      <c r="P288" s="18">
        <f t="shared" si="29"/>
        <v>0</v>
      </c>
      <c r="Q288" s="1">
        <f t="shared" si="34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30"/>
        <v>1</v>
      </c>
      <c r="K289" s="5">
        <f t="shared" si="31"/>
        <v>0.38723163841807839</v>
      </c>
      <c r="L289" s="2">
        <v>20436102.327871229</v>
      </c>
      <c r="M289" s="2">
        <v>3865000</v>
      </c>
      <c r="N289" s="6">
        <f t="shared" si="32"/>
        <v>1</v>
      </c>
      <c r="O289" s="17">
        <f t="shared" si="33"/>
        <v>0.18912608373118309</v>
      </c>
      <c r="P289" s="18">
        <f t="shared" si="29"/>
        <v>2</v>
      </c>
      <c r="Q289" s="1">
        <f t="shared" si="34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30"/>
        <v>0</v>
      </c>
      <c r="K290" s="5">
        <f t="shared" si="31"/>
        <v>0</v>
      </c>
      <c r="L290" s="2">
        <v>3217964.3101155241</v>
      </c>
      <c r="M290" s="2">
        <v>0</v>
      </c>
      <c r="N290" s="6">
        <f t="shared" si="32"/>
        <v>0</v>
      </c>
      <c r="O290" s="17">
        <f t="shared" si="33"/>
        <v>0</v>
      </c>
      <c r="P290" s="18">
        <f t="shared" si="29"/>
        <v>6</v>
      </c>
      <c r="Q290" s="1">
        <f t="shared" si="34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30"/>
        <v>1</v>
      </c>
      <c r="K291" s="5">
        <f t="shared" si="31"/>
        <v>0.48403954802259924</v>
      </c>
      <c r="L291" s="2">
        <v>6826278.7156551722</v>
      </c>
      <c r="M291" s="2">
        <v>1774000</v>
      </c>
      <c r="N291" s="6">
        <f t="shared" si="32"/>
        <v>1</v>
      </c>
      <c r="O291" s="17">
        <f t="shared" si="33"/>
        <v>0.25987804979769791</v>
      </c>
      <c r="P291" s="18">
        <f t="shared" si="29"/>
        <v>2</v>
      </c>
      <c r="Q291" s="1">
        <f t="shared" si="34"/>
        <v>0</v>
      </c>
      <c r="R291" s="18">
        <v>9</v>
      </c>
      <c r="S291" s="18">
        <v>2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30"/>
        <v>1</v>
      </c>
      <c r="K292" s="5">
        <f t="shared" si="31"/>
        <v>1.5285459411239974</v>
      </c>
      <c r="L292" s="2">
        <v>2151055.2636527219</v>
      </c>
      <c r="M292" s="2">
        <v>4728000</v>
      </c>
      <c r="N292" s="6">
        <f t="shared" si="32"/>
        <v>1</v>
      </c>
      <c r="O292" s="17">
        <f t="shared" si="33"/>
        <v>2.197990948857051</v>
      </c>
      <c r="P292" s="18">
        <f t="shared" si="29"/>
        <v>1</v>
      </c>
      <c r="Q292" s="1">
        <f t="shared" si="34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30"/>
        <v>1</v>
      </c>
      <c r="K293" s="5">
        <f t="shared" si="31"/>
        <v>1.2100988700564967</v>
      </c>
      <c r="L293" s="2">
        <v>2101677.9516740479</v>
      </c>
      <c r="M293" s="2">
        <v>5570000</v>
      </c>
      <c r="N293" s="6">
        <f t="shared" si="32"/>
        <v>1</v>
      </c>
      <c r="O293" s="17">
        <f t="shared" si="33"/>
        <v>2.6502633267686577</v>
      </c>
      <c r="P293" s="18">
        <f t="shared" si="29"/>
        <v>2</v>
      </c>
      <c r="Q293" s="1">
        <f t="shared" si="34"/>
        <v>0</v>
      </c>
      <c r="R293" s="18">
        <v>7</v>
      </c>
      <c r="S293" s="18">
        <v>2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30"/>
        <v>0</v>
      </c>
      <c r="K294" s="5">
        <f t="shared" si="31"/>
        <v>0</v>
      </c>
      <c r="L294" s="2">
        <v>13569244.439462701</v>
      </c>
      <c r="M294" s="2">
        <v>0</v>
      </c>
      <c r="N294" s="6">
        <f t="shared" si="32"/>
        <v>0</v>
      </c>
      <c r="O294" s="17">
        <f t="shared" si="33"/>
        <v>0</v>
      </c>
      <c r="P294" s="18">
        <f t="shared" si="29"/>
        <v>1</v>
      </c>
      <c r="Q294" s="1">
        <f t="shared" si="34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30"/>
        <v>0</v>
      </c>
      <c r="K295" s="5">
        <f t="shared" si="31"/>
        <v>0</v>
      </c>
      <c r="L295" s="2">
        <v>1194033.180575171</v>
      </c>
      <c r="M295" s="2">
        <v>0</v>
      </c>
      <c r="N295" s="6">
        <f t="shared" si="32"/>
        <v>0</v>
      </c>
      <c r="O295" s="17">
        <f t="shared" si="33"/>
        <v>0</v>
      </c>
      <c r="P295" s="18">
        <f t="shared" si="29"/>
        <v>0</v>
      </c>
      <c r="Q295" s="1">
        <f t="shared" si="34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30"/>
        <v>0</v>
      </c>
      <c r="K296" s="5">
        <f t="shared" si="31"/>
        <v>0</v>
      </c>
      <c r="L296" s="2">
        <v>1233517.793070439</v>
      </c>
      <c r="M296" s="2">
        <v>5265000</v>
      </c>
      <c r="N296" s="6">
        <f t="shared" si="32"/>
        <v>1</v>
      </c>
      <c r="O296" s="17">
        <f t="shared" si="33"/>
        <v>4.2682805465614768</v>
      </c>
      <c r="P296" s="18">
        <f t="shared" si="29"/>
        <v>4</v>
      </c>
      <c r="Q296" s="1">
        <f t="shared" si="34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30"/>
        <v>1</v>
      </c>
      <c r="K297" s="5">
        <f t="shared" si="31"/>
        <v>0.6</v>
      </c>
      <c r="L297" s="2">
        <v>1233517.793070439</v>
      </c>
      <c r="M297" s="2">
        <v>438000</v>
      </c>
      <c r="N297" s="6">
        <f t="shared" si="32"/>
        <v>1</v>
      </c>
      <c r="O297" s="17">
        <f t="shared" si="33"/>
        <v>0.35508202837491487</v>
      </c>
      <c r="P297" s="18">
        <f t="shared" si="29"/>
        <v>15</v>
      </c>
      <c r="Q297" s="1">
        <f t="shared" si="34"/>
        <v>1</v>
      </c>
      <c r="R297" s="18">
        <v>7</v>
      </c>
      <c r="S297" s="18">
        <v>15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30"/>
        <v>0</v>
      </c>
      <c r="K298" s="5">
        <f t="shared" si="31"/>
        <v>0</v>
      </c>
      <c r="L298" s="2">
        <v>19880654</v>
      </c>
      <c r="M298" s="2">
        <v>3320000</v>
      </c>
      <c r="N298" s="6">
        <f t="shared" si="32"/>
        <v>1</v>
      </c>
      <c r="O298" s="17">
        <f t="shared" si="33"/>
        <v>0.16699651832379359</v>
      </c>
      <c r="P298" s="18">
        <f t="shared" si="29"/>
        <v>0</v>
      </c>
      <c r="Q298" s="1">
        <f t="shared" si="34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30"/>
        <v>1</v>
      </c>
      <c r="K299" s="5">
        <f t="shared" si="31"/>
        <v>0.1</v>
      </c>
      <c r="L299" s="2">
        <v>15023810.27342353</v>
      </c>
      <c r="M299" s="2">
        <v>1415000</v>
      </c>
      <c r="N299" s="6">
        <f t="shared" si="32"/>
        <v>1</v>
      </c>
      <c r="O299" s="17">
        <f t="shared" si="33"/>
        <v>9.4183830482941711E-2</v>
      </c>
      <c r="P299" s="18">
        <f t="shared" si="29"/>
        <v>0</v>
      </c>
      <c r="Q299" s="1">
        <f t="shared" si="34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30"/>
        <v>1</v>
      </c>
      <c r="K300" s="5">
        <f t="shared" si="31"/>
        <v>0.13829701372074277</v>
      </c>
      <c r="L300" s="2">
        <v>2091802.489278316</v>
      </c>
      <c r="M300" s="2">
        <v>1094000</v>
      </c>
      <c r="N300" s="6">
        <f t="shared" si="32"/>
        <v>1</v>
      </c>
      <c r="O300" s="17">
        <f t="shared" si="33"/>
        <v>0.5229939277763439</v>
      </c>
      <c r="P300" s="18">
        <f t="shared" si="29"/>
        <v>1</v>
      </c>
      <c r="Q300" s="1">
        <f t="shared" si="34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30"/>
        <v>1</v>
      </c>
      <c r="K301" s="5">
        <f t="shared" si="31"/>
        <v>0.44003595274781732</v>
      </c>
      <c r="L301" s="2">
        <v>8369903.2650393397</v>
      </c>
      <c r="M301" s="2">
        <v>4304000</v>
      </c>
      <c r="N301" s="6">
        <f t="shared" si="32"/>
        <v>1</v>
      </c>
      <c r="O301" s="17">
        <f t="shared" si="33"/>
        <v>0.51422338630574016</v>
      </c>
      <c r="P301" s="18">
        <f t="shared" si="29"/>
        <v>1</v>
      </c>
      <c r="Q301" s="1">
        <f t="shared" si="34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30"/>
        <v>1</v>
      </c>
      <c r="K302" s="5">
        <f t="shared" si="31"/>
        <v>0.53782172002510964</v>
      </c>
      <c r="L302" s="2">
        <v>6344894.8123285566</v>
      </c>
      <c r="M302" s="2">
        <v>4205000</v>
      </c>
      <c r="N302" s="6">
        <f t="shared" si="32"/>
        <v>1</v>
      </c>
      <c r="O302" s="17">
        <f t="shared" si="33"/>
        <v>0.66273754323387724</v>
      </c>
      <c r="P302" s="18">
        <f t="shared" si="29"/>
        <v>1</v>
      </c>
      <c r="Q302" s="1">
        <f t="shared" si="34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30"/>
        <v>1</v>
      </c>
      <c r="K303" s="5">
        <f t="shared" si="31"/>
        <v>0.6</v>
      </c>
      <c r="L303" s="2">
        <v>1065113.5078454011</v>
      </c>
      <c r="M303" s="2">
        <v>2434000</v>
      </c>
      <c r="N303" s="6">
        <f t="shared" si="32"/>
        <v>1</v>
      </c>
      <c r="O303" s="17">
        <f t="shared" si="33"/>
        <v>2.2852024522003243</v>
      </c>
      <c r="P303" s="18">
        <f t="shared" si="29"/>
        <v>0</v>
      </c>
      <c r="Q303" s="1">
        <f t="shared" si="34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30"/>
        <v>0</v>
      </c>
      <c r="K304" s="5">
        <f t="shared" si="31"/>
        <v>0</v>
      </c>
      <c r="L304" s="2">
        <v>1814391.7728890399</v>
      </c>
      <c r="M304" s="2">
        <v>420000</v>
      </c>
      <c r="N304" s="6">
        <f t="shared" si="32"/>
        <v>1</v>
      </c>
      <c r="O304" s="17">
        <f t="shared" si="33"/>
        <v>0.2314825311025511</v>
      </c>
      <c r="P304" s="18">
        <f t="shared" si="29"/>
        <v>0</v>
      </c>
      <c r="Q304" s="1">
        <f t="shared" si="34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30"/>
        <v>1</v>
      </c>
      <c r="K305" s="5">
        <f t="shared" si="31"/>
        <v>0.75</v>
      </c>
      <c r="L305" s="2">
        <v>1560682.1662495269</v>
      </c>
      <c r="M305" s="2">
        <v>1934000</v>
      </c>
      <c r="N305" s="6">
        <f t="shared" si="32"/>
        <v>1</v>
      </c>
      <c r="O305" s="17">
        <f t="shared" si="33"/>
        <v>1.239201704116087</v>
      </c>
      <c r="P305" s="18">
        <f t="shared" si="29"/>
        <v>0</v>
      </c>
      <c r="Q305" s="1">
        <f t="shared" si="34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30"/>
        <v>0</v>
      </c>
      <c r="K306" s="5">
        <f t="shared" si="31"/>
        <v>0</v>
      </c>
      <c r="L306" s="2">
        <v>3890932.1839193888</v>
      </c>
      <c r="M306" s="2">
        <v>0</v>
      </c>
      <c r="N306" s="6">
        <f t="shared" si="32"/>
        <v>0</v>
      </c>
      <c r="O306" s="17">
        <f t="shared" si="33"/>
        <v>0</v>
      </c>
      <c r="P306" s="18">
        <f t="shared" si="29"/>
        <v>0</v>
      </c>
      <c r="Q306" s="1">
        <f t="shared" si="34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30"/>
        <v>0</v>
      </c>
      <c r="K307" s="5">
        <f t="shared" si="31"/>
        <v>0</v>
      </c>
      <c r="L307" s="2">
        <v>13620955.951644</v>
      </c>
      <c r="M307" s="2">
        <v>0</v>
      </c>
      <c r="N307" s="6">
        <f t="shared" si="32"/>
        <v>0</v>
      </c>
      <c r="O307" s="17">
        <f t="shared" si="33"/>
        <v>0</v>
      </c>
      <c r="P307" s="18">
        <f t="shared" si="29"/>
        <v>1</v>
      </c>
      <c r="Q307" s="1">
        <f t="shared" si="34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30"/>
        <v>0</v>
      </c>
      <c r="K308" s="5">
        <f t="shared" si="31"/>
        <v>0</v>
      </c>
      <c r="L308" s="2">
        <v>1233517.793070439</v>
      </c>
      <c r="M308" s="2">
        <v>1260000</v>
      </c>
      <c r="N308" s="6">
        <f t="shared" si="32"/>
        <v>1</v>
      </c>
      <c r="O308" s="17">
        <f t="shared" si="33"/>
        <v>1.0214688487497552</v>
      </c>
      <c r="P308" s="18">
        <f t="shared" si="29"/>
        <v>5</v>
      </c>
      <c r="Q308" s="1">
        <f t="shared" si="34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30"/>
        <v>1</v>
      </c>
      <c r="K309" s="5">
        <f t="shared" si="31"/>
        <v>0.51543929154043422</v>
      </c>
      <c r="L309" s="2">
        <v>1233517.793070439</v>
      </c>
      <c r="M309" s="2">
        <v>440000</v>
      </c>
      <c r="N309" s="6">
        <f t="shared" si="32"/>
        <v>1</v>
      </c>
      <c r="O309" s="17">
        <f t="shared" si="33"/>
        <v>0.35670340749991447</v>
      </c>
      <c r="P309" s="18">
        <f t="shared" si="29"/>
        <v>0</v>
      </c>
      <c r="Q309" s="1">
        <f t="shared" si="34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30"/>
        <v>1</v>
      </c>
      <c r="K310" s="5">
        <f t="shared" si="31"/>
        <v>0.76972267536704586</v>
      </c>
      <c r="L310" s="2">
        <v>2549477.9785796599</v>
      </c>
      <c r="M310" s="2">
        <v>1064000</v>
      </c>
      <c r="N310" s="6">
        <f t="shared" si="32"/>
        <v>1</v>
      </c>
      <c r="O310" s="17">
        <f t="shared" si="33"/>
        <v>0.41734033748852589</v>
      </c>
      <c r="P310" s="18">
        <f t="shared" si="29"/>
        <v>3</v>
      </c>
      <c r="Q310" s="1">
        <f t="shared" si="34"/>
        <v>1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30"/>
        <v>1</v>
      </c>
      <c r="K311" s="5">
        <f t="shared" si="31"/>
        <v>0.57729200652528434</v>
      </c>
      <c r="L311" s="2">
        <v>1233517.793070439</v>
      </c>
      <c r="M311" s="2">
        <v>390000</v>
      </c>
      <c r="N311" s="6">
        <f t="shared" si="32"/>
        <v>1</v>
      </c>
      <c r="O311" s="17">
        <f t="shared" si="33"/>
        <v>0.31616892937492419</v>
      </c>
      <c r="P311" s="18">
        <f t="shared" si="29"/>
        <v>5</v>
      </c>
      <c r="Q311" s="1">
        <f t="shared" si="34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30"/>
        <v>1</v>
      </c>
      <c r="K312" s="5">
        <f t="shared" si="31"/>
        <v>0.6</v>
      </c>
      <c r="L312" s="2">
        <v>1233517.793070439</v>
      </c>
      <c r="M312" s="2">
        <v>390000</v>
      </c>
      <c r="N312" s="6">
        <f t="shared" si="32"/>
        <v>1</v>
      </c>
      <c r="O312" s="17">
        <f t="shared" si="33"/>
        <v>0.31616892937492419</v>
      </c>
      <c r="P312" s="18">
        <f t="shared" si="29"/>
        <v>0</v>
      </c>
      <c r="Q312" s="1">
        <f t="shared" si="34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30"/>
        <v>0</v>
      </c>
      <c r="K313" s="5">
        <f t="shared" si="31"/>
        <v>0</v>
      </c>
      <c r="L313" s="2">
        <v>1233517.793070439</v>
      </c>
      <c r="M313" s="2">
        <v>1680000</v>
      </c>
      <c r="N313" s="6">
        <f t="shared" si="32"/>
        <v>1</v>
      </c>
      <c r="O313" s="17">
        <f t="shared" si="33"/>
        <v>1.3619584649996734</v>
      </c>
      <c r="P313" s="18">
        <f t="shared" si="29"/>
        <v>5</v>
      </c>
      <c r="Q313" s="1">
        <f t="shared" si="34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30"/>
        <v>1</v>
      </c>
      <c r="K314" s="5">
        <f t="shared" si="31"/>
        <v>0.40089722675366918</v>
      </c>
      <c r="L314" s="2">
        <v>1233517.793070439</v>
      </c>
      <c r="M314" s="2">
        <v>90000</v>
      </c>
      <c r="N314" s="6">
        <f t="shared" si="32"/>
        <v>0</v>
      </c>
      <c r="O314" s="17">
        <f t="shared" si="33"/>
        <v>7.2962060624982505E-2</v>
      </c>
      <c r="P314" s="18">
        <f t="shared" si="29"/>
        <v>0</v>
      </c>
      <c r="Q314" s="1">
        <f t="shared" si="34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30"/>
        <v>1</v>
      </c>
      <c r="K315" s="5">
        <f t="shared" si="31"/>
        <v>0.90201876019575788</v>
      </c>
      <c r="L315" s="2">
        <v>2864155.9757400951</v>
      </c>
      <c r="M315" s="2">
        <v>1758000</v>
      </c>
      <c r="N315" s="6">
        <f t="shared" si="32"/>
        <v>1</v>
      </c>
      <c r="O315" s="17">
        <f t="shared" si="33"/>
        <v>0.61379338796160865</v>
      </c>
      <c r="P315" s="18">
        <f t="shared" si="29"/>
        <v>0</v>
      </c>
      <c r="Q315" s="1">
        <f t="shared" si="34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5">IF(I316&gt;=3,1,0)</f>
        <v>1</v>
      </c>
      <c r="K316" s="5">
        <f t="shared" ref="K316:K325" si="36">I316/H316</f>
        <v>0.15366334857860278</v>
      </c>
      <c r="L316" s="2">
        <v>3997946.2855168041</v>
      </c>
      <c r="M316" s="2">
        <v>865000</v>
      </c>
      <c r="N316" s="6">
        <f t="shared" ref="N316:N325" si="37">IF(M316&gt;=300000,1,0)</f>
        <v>1</v>
      </c>
      <c r="O316" s="17">
        <f t="shared" ref="O316:O325" si="38">M316/L316</f>
        <v>0.21636108597396619</v>
      </c>
      <c r="P316" s="18">
        <f t="shared" si="29"/>
        <v>1</v>
      </c>
      <c r="Q316" s="1">
        <f t="shared" ref="Q316:Q325" si="39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5"/>
        <v>1</v>
      </c>
      <c r="K317" s="5">
        <f t="shared" si="36"/>
        <v>0.37233811386353621</v>
      </c>
      <c r="L317" s="2">
        <v>2158596.5258458201</v>
      </c>
      <c r="M317" s="2">
        <v>840000</v>
      </c>
      <c r="N317" s="6">
        <f t="shared" si="37"/>
        <v>1</v>
      </c>
      <c r="O317" s="17">
        <f t="shared" si="38"/>
        <v>0.38914173628202986</v>
      </c>
      <c r="P317" s="18">
        <f t="shared" si="29"/>
        <v>0</v>
      </c>
      <c r="Q317" s="1">
        <f t="shared" si="39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5"/>
        <v>1</v>
      </c>
      <c r="K318" s="5">
        <f t="shared" si="36"/>
        <v>0.6</v>
      </c>
      <c r="L318" s="2">
        <v>1687447.19263842</v>
      </c>
      <c r="M318" s="2">
        <v>865000</v>
      </c>
      <c r="N318" s="6">
        <f t="shared" si="37"/>
        <v>1</v>
      </c>
      <c r="O318" s="17">
        <f t="shared" si="38"/>
        <v>0.5126086337833915</v>
      </c>
      <c r="P318" s="18">
        <f t="shared" si="29"/>
        <v>0</v>
      </c>
      <c r="Q318" s="1">
        <f t="shared" si="39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5"/>
        <v>1</v>
      </c>
      <c r="K319" s="5">
        <f t="shared" si="36"/>
        <v>6.3297479356801158</v>
      </c>
      <c r="L319" s="2">
        <v>2158596.5258458201</v>
      </c>
      <c r="M319" s="2">
        <v>3312500</v>
      </c>
      <c r="N319" s="6">
        <f t="shared" si="37"/>
        <v>1</v>
      </c>
      <c r="O319" s="17">
        <f t="shared" si="38"/>
        <v>1.5345619064693143</v>
      </c>
      <c r="P319" s="18">
        <f t="shared" si="29"/>
        <v>100</v>
      </c>
      <c r="Q319" s="1">
        <f t="shared" si="39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5"/>
        <v>1</v>
      </c>
      <c r="K320" s="5">
        <f t="shared" si="36"/>
        <v>12.783608575981409</v>
      </c>
      <c r="L320" s="2">
        <v>2158596.5258458201</v>
      </c>
      <c r="M320" s="2">
        <v>3546500</v>
      </c>
      <c r="N320" s="6">
        <f t="shared" si="37"/>
        <v>1</v>
      </c>
      <c r="O320" s="17">
        <f t="shared" si="38"/>
        <v>1.6429656758621654</v>
      </c>
      <c r="P320" s="18">
        <f t="shared" si="29"/>
        <v>100</v>
      </c>
      <c r="Q320" s="1">
        <f t="shared" si="39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5"/>
        <v>1</v>
      </c>
      <c r="K321" s="5">
        <f t="shared" si="36"/>
        <v>0.48403954802259924</v>
      </c>
      <c r="L321" s="2">
        <v>2607481.1801973949</v>
      </c>
      <c r="M321" s="2">
        <v>402500</v>
      </c>
      <c r="N321" s="6">
        <f t="shared" si="37"/>
        <v>1</v>
      </c>
      <c r="O321" s="17">
        <f t="shared" si="38"/>
        <v>0.15436353023630622</v>
      </c>
      <c r="P321" s="18">
        <f t="shared" si="29"/>
        <v>0</v>
      </c>
      <c r="Q321" s="1">
        <f t="shared" si="39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5"/>
        <v>1</v>
      </c>
      <c r="K322" s="5">
        <f t="shared" si="36"/>
        <v>0.6</v>
      </c>
      <c r="L322" s="2">
        <v>1233517.793070439</v>
      </c>
      <c r="M322" s="2">
        <v>1257000</v>
      </c>
      <c r="N322" s="6">
        <f t="shared" si="37"/>
        <v>1</v>
      </c>
      <c r="O322" s="17">
        <f t="shared" si="38"/>
        <v>1.0190367800622557</v>
      </c>
      <c r="P322" s="18">
        <f t="shared" si="29"/>
        <v>5</v>
      </c>
      <c r="Q322" s="1">
        <f t="shared" si="39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5"/>
        <v>1</v>
      </c>
      <c r="K323" s="5">
        <f t="shared" si="36"/>
        <v>0.6</v>
      </c>
      <c r="L323" s="2">
        <v>1233517.793070439</v>
      </c>
      <c r="M323" s="2">
        <v>438000</v>
      </c>
      <c r="N323" s="6">
        <f t="shared" si="37"/>
        <v>1</v>
      </c>
      <c r="O323" s="17">
        <f t="shared" si="38"/>
        <v>0.35508202837491487</v>
      </c>
      <c r="P323" s="18">
        <f t="shared" si="29"/>
        <v>0</v>
      </c>
      <c r="Q323" s="1">
        <f t="shared" si="39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5"/>
        <v>1</v>
      </c>
      <c r="K324" s="5">
        <f t="shared" si="36"/>
        <v>1</v>
      </c>
      <c r="L324" s="2">
        <v>1233517.793070439</v>
      </c>
      <c r="M324" s="2">
        <v>583000</v>
      </c>
      <c r="N324" s="6">
        <f t="shared" si="37"/>
        <v>1</v>
      </c>
      <c r="O324" s="17">
        <f t="shared" si="38"/>
        <v>0.47263201493738671</v>
      </c>
      <c r="P324" s="18">
        <f t="shared" si="29"/>
        <v>0</v>
      </c>
      <c r="Q324" s="1">
        <f t="shared" si="39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5"/>
        <v>0</v>
      </c>
      <c r="K325" s="5">
        <f t="shared" si="36"/>
        <v>0</v>
      </c>
      <c r="L325" s="2">
        <v>1409497.814663925</v>
      </c>
      <c r="M325" s="2">
        <v>0</v>
      </c>
      <c r="N325" s="6">
        <f t="shared" si="37"/>
        <v>0</v>
      </c>
      <c r="O325" s="17">
        <f t="shared" si="38"/>
        <v>0</v>
      </c>
      <c r="P325" s="18">
        <f t="shared" si="29"/>
        <v>0</v>
      </c>
      <c r="Q325" s="1">
        <f t="shared" si="39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40">IF(I326&gt;=3,1,0)</f>
        <v>1</v>
      </c>
      <c r="K326" s="5">
        <f t="shared" ref="K326:K338" si="41">I326/H326</f>
        <v>0.29453673802310448</v>
      </c>
      <c r="L326" s="2">
        <v>1233517.793070439</v>
      </c>
      <c r="M326" s="2">
        <v>524400</v>
      </c>
      <c r="N326" s="6">
        <f t="shared" ref="N326:N338" si="42">IF(M326&gt;=300000,1,0)</f>
        <v>1</v>
      </c>
      <c r="O326" s="17">
        <f t="shared" ref="O326:O338" si="43">M326/L326</f>
        <v>0.42512560657489806</v>
      </c>
      <c r="P326" s="18">
        <f t="shared" si="29"/>
        <v>5</v>
      </c>
      <c r="Q326" s="1">
        <f t="shared" ref="Q326:Q338" si="44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40"/>
        <v>0</v>
      </c>
      <c r="K327" s="5">
        <f t="shared" si="41"/>
        <v>0</v>
      </c>
      <c r="L327" s="2">
        <v>300000</v>
      </c>
      <c r="M327" s="2">
        <v>0</v>
      </c>
      <c r="N327" s="6">
        <f t="shared" si="42"/>
        <v>0</v>
      </c>
      <c r="O327" s="17">
        <f t="shared" si="43"/>
        <v>0</v>
      </c>
      <c r="P327" s="18">
        <f t="shared" ref="P327:P338" si="45">S327</f>
        <v>0</v>
      </c>
      <c r="Q327" s="1">
        <f t="shared" si="44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40"/>
        <v>0</v>
      </c>
      <c r="K328" s="5">
        <f t="shared" si="41"/>
        <v>0</v>
      </c>
      <c r="L328" s="2">
        <v>1233517.793070439</v>
      </c>
      <c r="M328" s="2">
        <v>313000</v>
      </c>
      <c r="N328" s="6">
        <f t="shared" si="42"/>
        <v>1</v>
      </c>
      <c r="O328" s="17">
        <f t="shared" si="43"/>
        <v>0.25374583306243914</v>
      </c>
      <c r="P328" s="18">
        <f t="shared" si="45"/>
        <v>0</v>
      </c>
      <c r="Q328" s="1">
        <f t="shared" si="44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40"/>
        <v>1</v>
      </c>
      <c r="K329" s="5">
        <f t="shared" si="41"/>
        <v>1.1101769356255486</v>
      </c>
      <c r="L329" s="2">
        <v>300000</v>
      </c>
      <c r="M329" s="2">
        <v>217000</v>
      </c>
      <c r="N329" s="6">
        <f t="shared" si="42"/>
        <v>0</v>
      </c>
      <c r="O329" s="17">
        <f t="shared" si="43"/>
        <v>0.72333333333333338</v>
      </c>
      <c r="P329" s="18">
        <f t="shared" si="45"/>
        <v>0</v>
      </c>
      <c r="Q329" s="1">
        <f t="shared" si="44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40"/>
        <v>0</v>
      </c>
      <c r="K330" s="5">
        <f t="shared" si="41"/>
        <v>0.2</v>
      </c>
      <c r="L330" s="2">
        <v>3486028.5456338399</v>
      </c>
      <c r="M330" s="2">
        <v>800000</v>
      </c>
      <c r="N330" s="6">
        <f t="shared" si="42"/>
        <v>1</v>
      </c>
      <c r="O330" s="17">
        <f t="shared" si="43"/>
        <v>0.22948750692302253</v>
      </c>
      <c r="P330" s="18">
        <f t="shared" si="45"/>
        <v>1</v>
      </c>
      <c r="Q330" s="1">
        <f t="shared" si="44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40"/>
        <v>0</v>
      </c>
      <c r="K331" s="5">
        <f t="shared" si="41"/>
        <v>0</v>
      </c>
      <c r="L331" s="2">
        <v>1233517.793070439</v>
      </c>
      <c r="M331" s="2">
        <v>0</v>
      </c>
      <c r="N331" s="6">
        <f t="shared" si="42"/>
        <v>0</v>
      </c>
      <c r="O331" s="17">
        <f t="shared" si="43"/>
        <v>0</v>
      </c>
      <c r="P331" s="18">
        <f t="shared" si="45"/>
        <v>0</v>
      </c>
      <c r="Q331" s="1">
        <f t="shared" si="44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40"/>
        <v>0</v>
      </c>
      <c r="K332" s="5">
        <f t="shared" si="41"/>
        <v>0</v>
      </c>
      <c r="L332" s="2">
        <v>2549477.9785796599</v>
      </c>
      <c r="M332" s="2">
        <v>1672000</v>
      </c>
      <c r="N332" s="6">
        <f t="shared" si="42"/>
        <v>1</v>
      </c>
      <c r="O332" s="17">
        <f t="shared" si="43"/>
        <v>0.65582053033911203</v>
      </c>
      <c r="P332" s="18">
        <f t="shared" si="45"/>
        <v>2</v>
      </c>
      <c r="Q332" s="1">
        <f t="shared" si="44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40"/>
        <v>0</v>
      </c>
      <c r="K333" s="5">
        <f t="shared" si="41"/>
        <v>0</v>
      </c>
      <c r="L333" s="2">
        <v>1233517.793070439</v>
      </c>
      <c r="M333" s="2">
        <v>481000</v>
      </c>
      <c r="N333" s="6">
        <f t="shared" si="42"/>
        <v>1</v>
      </c>
      <c r="O333" s="17">
        <f t="shared" si="43"/>
        <v>0.3899416795624065</v>
      </c>
      <c r="P333" s="18">
        <f t="shared" si="45"/>
        <v>0</v>
      </c>
      <c r="Q333" s="1">
        <f t="shared" si="44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40"/>
        <v>0</v>
      </c>
      <c r="K334" s="5">
        <f t="shared" si="41"/>
        <v>0</v>
      </c>
      <c r="L334" s="2">
        <v>1233517.793070439</v>
      </c>
      <c r="M334" s="2">
        <v>1094000</v>
      </c>
      <c r="N334" s="6">
        <f t="shared" si="42"/>
        <v>1</v>
      </c>
      <c r="O334" s="17">
        <f t="shared" si="43"/>
        <v>0.88689438137478738</v>
      </c>
      <c r="P334" s="18">
        <f t="shared" si="45"/>
        <v>5</v>
      </c>
      <c r="Q334" s="1">
        <f t="shared" si="44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40"/>
        <v>1</v>
      </c>
      <c r="K335" s="5">
        <f t="shared" si="41"/>
        <v>1.1101769356255486</v>
      </c>
      <c r="L335" s="2">
        <v>19880654</v>
      </c>
      <c r="M335" s="2">
        <v>2590000</v>
      </c>
      <c r="N335" s="6">
        <f t="shared" si="42"/>
        <v>1</v>
      </c>
      <c r="O335" s="17">
        <f t="shared" si="43"/>
        <v>0.13027740435500765</v>
      </c>
      <c r="P335" s="18">
        <f t="shared" si="45"/>
        <v>1</v>
      </c>
      <c r="Q335" s="1">
        <f t="shared" si="44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40"/>
        <v>0</v>
      </c>
      <c r="K336" s="5">
        <f t="shared" si="41"/>
        <v>0</v>
      </c>
      <c r="L336" s="2">
        <v>3485404.9269315852</v>
      </c>
      <c r="M336" s="2">
        <v>949000</v>
      </c>
      <c r="N336" s="6">
        <f t="shared" si="42"/>
        <v>1</v>
      </c>
      <c r="O336" s="17">
        <f t="shared" si="43"/>
        <v>0.27227826318460585</v>
      </c>
      <c r="P336" s="18">
        <f t="shared" si="45"/>
        <v>0</v>
      </c>
      <c r="Q336" s="1">
        <f t="shared" si="44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40"/>
        <v>1</v>
      </c>
      <c r="K337" s="5">
        <f t="shared" si="41"/>
        <v>0.6</v>
      </c>
      <c r="L337" s="2">
        <v>10486663.7410996</v>
      </c>
      <c r="M337" s="2">
        <v>1560000</v>
      </c>
      <c r="N337" s="6">
        <f t="shared" si="42"/>
        <v>1</v>
      </c>
      <c r="O337" s="17">
        <f t="shared" si="43"/>
        <v>0.14876037207963561</v>
      </c>
      <c r="P337" s="18">
        <f t="shared" si="45"/>
        <v>0</v>
      </c>
      <c r="Q337" s="1">
        <f t="shared" si="44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40"/>
        <v>1</v>
      </c>
      <c r="K338" s="5">
        <f t="shared" si="41"/>
        <v>0.60504943502824837</v>
      </c>
      <c r="L338" s="2">
        <v>1065113.5078454011</v>
      </c>
      <c r="M338" s="2">
        <v>1069000</v>
      </c>
      <c r="N338" s="6">
        <f t="shared" si="42"/>
        <v>1</v>
      </c>
      <c r="O338" s="17">
        <f t="shared" si="43"/>
        <v>1.0036488995078663</v>
      </c>
      <c r="P338" s="18">
        <f t="shared" si="45"/>
        <v>0</v>
      </c>
      <c r="Q338" s="1">
        <f t="shared" si="44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M7:M338 I7:I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2026-08-16T12:55:25Z</dcterms:modified>
</cp:coreProperties>
</file>