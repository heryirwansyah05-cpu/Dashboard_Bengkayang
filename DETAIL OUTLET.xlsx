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MASTER" sheetId="3" r:id="rId2"/>
  </sheets>
  <externalReferences>
    <externalReference r:id="rId3"/>
  </externalReferences>
  <definedNames>
    <definedName name="_xlnm._FilterDatabase" localSheetId="0" hidden="1">Sheet1!$A$5:$Z$338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6" i="1" l="1"/>
  <c r="Q238" i="1" l="1"/>
  <c r="O238" i="1"/>
  <c r="N238" i="1"/>
  <c r="K238" i="1"/>
  <c r="J238" i="1"/>
  <c r="Q327" i="1"/>
  <c r="O327" i="1"/>
  <c r="N327" i="1"/>
  <c r="K327" i="1"/>
  <c r="J327" i="1"/>
  <c r="Q138" i="1"/>
  <c r="O138" i="1"/>
  <c r="N138" i="1"/>
  <c r="K138" i="1"/>
  <c r="J138" i="1"/>
  <c r="Q215" i="1"/>
  <c r="O215" i="1"/>
  <c r="N215" i="1"/>
  <c r="K215" i="1"/>
  <c r="J215" i="1"/>
  <c r="Q237" i="1"/>
  <c r="O237" i="1"/>
  <c r="N237" i="1"/>
  <c r="K237" i="1"/>
  <c r="J237" i="1"/>
  <c r="Q48" i="1"/>
  <c r="O48" i="1"/>
  <c r="N48" i="1"/>
  <c r="K48" i="1"/>
  <c r="J48" i="1"/>
  <c r="Q285" i="1"/>
  <c r="O285" i="1"/>
  <c r="N285" i="1"/>
  <c r="K285" i="1"/>
  <c r="J285" i="1"/>
  <c r="Q90" i="1"/>
  <c r="O90" i="1"/>
  <c r="N90" i="1"/>
  <c r="K90" i="1"/>
  <c r="J90" i="1"/>
  <c r="Q56" i="1"/>
  <c r="O56" i="1"/>
  <c r="N56" i="1"/>
  <c r="K56" i="1"/>
  <c r="J56" i="1"/>
  <c r="Q169" i="1"/>
  <c r="O169" i="1"/>
  <c r="N169" i="1"/>
  <c r="K169" i="1"/>
  <c r="J169" i="1"/>
  <c r="C61" i="3" l="1"/>
  <c r="C1057" i="3"/>
  <c r="C870" i="3"/>
  <c r="C640" i="3"/>
  <c r="C150" i="3"/>
  <c r="C1056" i="3"/>
  <c r="C868" i="3"/>
  <c r="C714" i="3"/>
  <c r="C556" i="3"/>
  <c r="C358" i="3"/>
  <c r="C143" i="3"/>
  <c r="C992" i="3"/>
  <c r="C788" i="3"/>
  <c r="C551" i="3"/>
  <c r="C353" i="3"/>
  <c r="C991" i="3"/>
  <c r="C787" i="3"/>
  <c r="C550" i="3"/>
  <c r="C348" i="3"/>
  <c r="C990" i="3"/>
  <c r="C767" i="3"/>
  <c r="C522" i="3"/>
  <c r="C325" i="3"/>
  <c r="C972" i="3"/>
  <c r="C766" i="3"/>
  <c r="C421" i="3"/>
  <c r="C108" i="3"/>
  <c r="C1119" i="3"/>
  <c r="C971" i="3"/>
  <c r="C763" i="3"/>
  <c r="C517" i="3"/>
  <c r="C223" i="3"/>
  <c r="C997" i="3"/>
  <c r="C793" i="3"/>
  <c r="C557" i="3"/>
  <c r="C262" i="3"/>
  <c r="C1096" i="3"/>
  <c r="C941" i="3"/>
  <c r="C790" i="3"/>
  <c r="C636" i="3"/>
  <c r="C455" i="3"/>
  <c r="C17" i="3"/>
  <c r="C1095" i="3"/>
  <c r="C940" i="3"/>
  <c r="C712" i="3"/>
  <c r="C454" i="3"/>
  <c r="C142" i="3"/>
  <c r="C1093" i="3"/>
  <c r="C922" i="3"/>
  <c r="C709" i="3"/>
  <c r="C449" i="3"/>
  <c r="C140" i="3"/>
  <c r="C1081" i="3"/>
  <c r="C919" i="3"/>
  <c r="C691" i="3"/>
  <c r="C424" i="3"/>
  <c r="C109" i="3"/>
  <c r="C1079" i="3"/>
  <c r="C917" i="3"/>
  <c r="C689" i="3"/>
  <c r="C520" i="3"/>
  <c r="C324" i="3"/>
  <c r="C1035" i="3"/>
  <c r="C839" i="3"/>
  <c r="C608" i="3"/>
  <c r="C420" i="3"/>
  <c r="C102" i="3"/>
  <c r="C1118" i="3"/>
  <c r="C1022" i="3"/>
  <c r="C912" i="3"/>
  <c r="C762" i="3"/>
  <c r="C684" i="3"/>
  <c r="C516" i="3"/>
  <c r="C319" i="3"/>
  <c r="C220" i="3"/>
  <c r="C1116" i="3"/>
  <c r="C1075" i="3"/>
  <c r="C966" i="3"/>
  <c r="C895" i="3"/>
  <c r="C820" i="3"/>
  <c r="C742" i="3"/>
  <c r="C666" i="3"/>
  <c r="C588" i="3"/>
  <c r="C492" i="3"/>
  <c r="C391" i="3"/>
  <c r="C292" i="3"/>
  <c r="C190" i="3"/>
  <c r="C1115" i="3"/>
  <c r="C1062" i="3"/>
  <c r="C1019" i="3"/>
  <c r="C964" i="3"/>
  <c r="C894" i="3"/>
  <c r="C816" i="3"/>
  <c r="C740" i="3"/>
  <c r="C664" i="3"/>
  <c r="C587" i="3"/>
  <c r="C487" i="3"/>
  <c r="C388" i="3"/>
  <c r="C288" i="3"/>
  <c r="C188" i="3"/>
  <c r="C65" i="3"/>
  <c r="C1113" i="3"/>
  <c r="C1060" i="3"/>
  <c r="C1018" i="3"/>
  <c r="C947" i="3"/>
  <c r="C892" i="3"/>
  <c r="C814" i="3"/>
  <c r="C737" i="3"/>
  <c r="C660" i="3"/>
  <c r="C583" i="3"/>
  <c r="C484" i="3"/>
  <c r="C384" i="3"/>
  <c r="C287" i="3"/>
  <c r="C187" i="3"/>
  <c r="C7" i="3"/>
  <c r="C8" i="3"/>
  <c r="C9" i="3"/>
  <c r="C21" i="3"/>
  <c r="C33" i="3"/>
  <c r="C45" i="3"/>
  <c r="C57" i="3"/>
  <c r="C69" i="3"/>
  <c r="C81" i="3"/>
  <c r="C93" i="3"/>
  <c r="C105" i="3"/>
  <c r="C117" i="3"/>
  <c r="C129" i="3"/>
  <c r="C141" i="3"/>
  <c r="C153" i="3"/>
  <c r="C165" i="3"/>
  <c r="C177" i="3"/>
  <c r="C189" i="3"/>
  <c r="C201" i="3"/>
  <c r="C213" i="3"/>
  <c r="C225" i="3"/>
  <c r="C237" i="3"/>
  <c r="C249" i="3"/>
  <c r="C261" i="3"/>
  <c r="C273" i="3"/>
  <c r="C285" i="3"/>
  <c r="C297" i="3"/>
  <c r="C309" i="3"/>
  <c r="C321" i="3"/>
  <c r="C333" i="3"/>
  <c r="C345" i="3"/>
  <c r="C357" i="3"/>
  <c r="C369" i="3"/>
  <c r="C381" i="3"/>
  <c r="C393" i="3"/>
  <c r="C405" i="3"/>
  <c r="C417" i="3"/>
  <c r="C429" i="3"/>
  <c r="C441" i="3"/>
  <c r="C453" i="3"/>
  <c r="C465" i="3"/>
  <c r="C477" i="3"/>
  <c r="C489" i="3"/>
  <c r="C501" i="3"/>
  <c r="C513" i="3"/>
  <c r="C525" i="3"/>
  <c r="C537" i="3"/>
  <c r="C549" i="3"/>
  <c r="C561" i="3"/>
  <c r="C573" i="3"/>
  <c r="C585" i="3"/>
  <c r="C597" i="3"/>
  <c r="C609" i="3"/>
  <c r="C621" i="3"/>
  <c r="C633" i="3"/>
  <c r="C645" i="3"/>
  <c r="C657" i="3"/>
  <c r="C669" i="3"/>
  <c r="C681" i="3"/>
  <c r="C693" i="3"/>
  <c r="C705" i="3"/>
  <c r="C717" i="3"/>
  <c r="C729" i="3"/>
  <c r="C741" i="3"/>
  <c r="C753" i="3"/>
  <c r="C765" i="3"/>
  <c r="C777" i="3"/>
  <c r="C789" i="3"/>
  <c r="C801" i="3"/>
  <c r="C813" i="3"/>
  <c r="C825" i="3"/>
  <c r="C837" i="3"/>
  <c r="C849" i="3"/>
  <c r="C861" i="3"/>
  <c r="C873" i="3"/>
  <c r="C885" i="3"/>
  <c r="C897" i="3"/>
  <c r="C909" i="3"/>
  <c r="C921" i="3"/>
  <c r="C933" i="3"/>
  <c r="C945" i="3"/>
  <c r="C957" i="3"/>
  <c r="C969" i="3"/>
  <c r="C981" i="3"/>
  <c r="C993" i="3"/>
  <c r="C1005" i="3"/>
  <c r="C1017" i="3"/>
  <c r="C10" i="3"/>
  <c r="C22" i="3"/>
  <c r="C34" i="3"/>
  <c r="C11" i="3"/>
  <c r="C12" i="3"/>
  <c r="C13" i="3"/>
  <c r="C14" i="3"/>
  <c r="C26" i="3"/>
  <c r="C38" i="3"/>
  <c r="C50" i="3"/>
  <c r="C62" i="3"/>
  <c r="C74" i="3"/>
  <c r="C86" i="3"/>
  <c r="C98" i="3"/>
  <c r="C110" i="3"/>
  <c r="C122" i="3"/>
  <c r="C134" i="3"/>
  <c r="C146" i="3"/>
  <c r="C158" i="3"/>
  <c r="C170" i="3"/>
  <c r="C182" i="3"/>
  <c r="C194" i="3"/>
  <c r="C206" i="3"/>
  <c r="C218" i="3"/>
  <c r="C230" i="3"/>
  <c r="C242" i="3"/>
  <c r="C254" i="3"/>
  <c r="C266" i="3"/>
  <c r="C278" i="3"/>
  <c r="C290" i="3"/>
  <c r="C302" i="3"/>
  <c r="C314" i="3"/>
  <c r="C326" i="3"/>
  <c r="C338" i="3"/>
  <c r="C350" i="3"/>
  <c r="C362" i="3"/>
  <c r="C374" i="3"/>
  <c r="C386" i="3"/>
  <c r="C398" i="3"/>
  <c r="C410" i="3"/>
  <c r="C422" i="3"/>
  <c r="C434" i="3"/>
  <c r="C446" i="3"/>
  <c r="C458" i="3"/>
  <c r="C470" i="3"/>
  <c r="C482" i="3"/>
  <c r="C494" i="3"/>
  <c r="C506" i="3"/>
  <c r="C518" i="3"/>
  <c r="C530" i="3"/>
  <c r="C542" i="3"/>
  <c r="C554" i="3"/>
  <c r="C566" i="3"/>
  <c r="C578" i="3"/>
  <c r="C590" i="3"/>
  <c r="C602" i="3"/>
  <c r="C614" i="3"/>
  <c r="C626" i="3"/>
  <c r="C638" i="3"/>
  <c r="C650" i="3"/>
  <c r="C662" i="3"/>
  <c r="C674" i="3"/>
  <c r="C686" i="3"/>
  <c r="C698" i="3"/>
  <c r="C710" i="3"/>
  <c r="C722" i="3"/>
  <c r="C734" i="3"/>
  <c r="C746" i="3"/>
  <c r="C758" i="3"/>
  <c r="C770" i="3"/>
  <c r="C782" i="3"/>
  <c r="C794" i="3"/>
  <c r="C806" i="3"/>
  <c r="C818" i="3"/>
  <c r="C830" i="3"/>
  <c r="C842" i="3"/>
  <c r="C854" i="3"/>
  <c r="C866" i="3"/>
  <c r="C878" i="3"/>
  <c r="C890" i="3"/>
  <c r="C902" i="3"/>
  <c r="C914" i="3"/>
  <c r="C926" i="3"/>
  <c r="C938" i="3"/>
  <c r="C950" i="3"/>
  <c r="C962" i="3"/>
  <c r="C974" i="3"/>
  <c r="C986" i="3"/>
  <c r="C998" i="3"/>
  <c r="C1010" i="3"/>
  <c r="C15" i="3"/>
  <c r="C27" i="3"/>
  <c r="C39" i="3"/>
  <c r="C51" i="3"/>
  <c r="C63" i="3"/>
  <c r="C75" i="3"/>
  <c r="C87" i="3"/>
  <c r="C99" i="3"/>
  <c r="C111" i="3"/>
  <c r="C123" i="3"/>
  <c r="C135" i="3"/>
  <c r="C147" i="3"/>
  <c r="C159" i="3"/>
  <c r="C171" i="3"/>
  <c r="C183" i="3"/>
  <c r="C195" i="3"/>
  <c r="C207" i="3"/>
  <c r="C219" i="3"/>
  <c r="C231" i="3"/>
  <c r="C243" i="3"/>
  <c r="C255" i="3"/>
  <c r="C267" i="3"/>
  <c r="C279" i="3"/>
  <c r="C291" i="3"/>
  <c r="C303" i="3"/>
  <c r="C315" i="3"/>
  <c r="C327" i="3"/>
  <c r="C339" i="3"/>
  <c r="C351" i="3"/>
  <c r="C363" i="3"/>
  <c r="C375" i="3"/>
  <c r="C387" i="3"/>
  <c r="C399" i="3"/>
  <c r="C411" i="3"/>
  <c r="C423" i="3"/>
  <c r="C435" i="3"/>
  <c r="C447" i="3"/>
  <c r="C459" i="3"/>
  <c r="C471" i="3"/>
  <c r="C483" i="3"/>
  <c r="C495" i="3"/>
  <c r="C507" i="3"/>
  <c r="C519" i="3"/>
  <c r="C531" i="3"/>
  <c r="C543" i="3"/>
  <c r="C555" i="3"/>
  <c r="C567" i="3"/>
  <c r="C579" i="3"/>
  <c r="C591" i="3"/>
  <c r="C603" i="3"/>
  <c r="C615" i="3"/>
  <c r="C627" i="3"/>
  <c r="C639" i="3"/>
  <c r="C651" i="3"/>
  <c r="C663" i="3"/>
  <c r="C675" i="3"/>
  <c r="C687" i="3"/>
  <c r="C699" i="3"/>
  <c r="C711" i="3"/>
  <c r="C723" i="3"/>
  <c r="C735" i="3"/>
  <c r="C747" i="3"/>
  <c r="C759" i="3"/>
  <c r="C771" i="3"/>
  <c r="C783" i="3"/>
  <c r="C795" i="3"/>
  <c r="C807" i="3"/>
  <c r="C819" i="3"/>
  <c r="C831" i="3"/>
  <c r="C843" i="3"/>
  <c r="C855" i="3"/>
  <c r="C867" i="3"/>
  <c r="C879" i="3"/>
  <c r="C891" i="3"/>
  <c r="C903" i="3"/>
  <c r="C915" i="3"/>
  <c r="C927" i="3"/>
  <c r="C939" i="3"/>
  <c r="C951" i="3"/>
  <c r="C963" i="3"/>
  <c r="C975" i="3"/>
  <c r="C987" i="3"/>
  <c r="C999" i="3"/>
  <c r="C1011" i="3"/>
  <c r="C1023" i="3"/>
  <c r="C16" i="3"/>
  <c r="C5" i="3"/>
  <c r="C6" i="3"/>
  <c r="C18" i="3"/>
  <c r="C30" i="3"/>
  <c r="C20" i="3"/>
  <c r="C41" i="3"/>
  <c r="C56" i="3"/>
  <c r="C72" i="3"/>
  <c r="C89" i="3"/>
  <c r="C104" i="3"/>
  <c r="C120" i="3"/>
  <c r="C137" i="3"/>
  <c r="C152" i="3"/>
  <c r="C168" i="3"/>
  <c r="C185" i="3"/>
  <c r="C200" i="3"/>
  <c r="C216" i="3"/>
  <c r="C233" i="3"/>
  <c r="C248" i="3"/>
  <c r="C264" i="3"/>
  <c r="C281" i="3"/>
  <c r="C296" i="3"/>
  <c r="C312" i="3"/>
  <c r="C329" i="3"/>
  <c r="C344" i="3"/>
  <c r="C360" i="3"/>
  <c r="C377" i="3"/>
  <c r="C392" i="3"/>
  <c r="C408" i="3"/>
  <c r="C425" i="3"/>
  <c r="C440" i="3"/>
  <c r="C456" i="3"/>
  <c r="C473" i="3"/>
  <c r="C488" i="3"/>
  <c r="C504" i="3"/>
  <c r="C521" i="3"/>
  <c r="C536" i="3"/>
  <c r="C552" i="3"/>
  <c r="C569" i="3"/>
  <c r="C584" i="3"/>
  <c r="C600" i="3"/>
  <c r="C617" i="3"/>
  <c r="C632" i="3"/>
  <c r="C648" i="3"/>
  <c r="C665" i="3"/>
  <c r="C680" i="3"/>
  <c r="C696" i="3"/>
  <c r="C713" i="3"/>
  <c r="C728" i="3"/>
  <c r="C744" i="3"/>
  <c r="C761" i="3"/>
  <c r="C776" i="3"/>
  <c r="C792" i="3"/>
  <c r="C809" i="3"/>
  <c r="C824" i="3"/>
  <c r="C840" i="3"/>
  <c r="C857" i="3"/>
  <c r="C872" i="3"/>
  <c r="C888" i="3"/>
  <c r="C905" i="3"/>
  <c r="C920" i="3"/>
  <c r="C936" i="3"/>
  <c r="C953" i="3"/>
  <c r="C968" i="3"/>
  <c r="C984" i="3"/>
  <c r="C1001" i="3"/>
  <c r="C1016" i="3"/>
  <c r="C1030" i="3"/>
  <c r="C1042" i="3"/>
  <c r="C1054" i="3"/>
  <c r="C1066" i="3"/>
  <c r="C1078" i="3"/>
  <c r="C1090" i="3"/>
  <c r="C1102" i="3"/>
  <c r="C1114" i="3"/>
  <c r="C1126" i="3"/>
  <c r="C23" i="3"/>
  <c r="C42" i="3"/>
  <c r="C58" i="3"/>
  <c r="C73" i="3"/>
  <c r="C90" i="3"/>
  <c r="C106" i="3"/>
  <c r="C121" i="3"/>
  <c r="C138" i="3"/>
  <c r="C154" i="3"/>
  <c r="C169" i="3"/>
  <c r="C186" i="3"/>
  <c r="C202" i="3"/>
  <c r="C217" i="3"/>
  <c r="C32" i="3"/>
  <c r="C49" i="3"/>
  <c r="C66" i="3"/>
  <c r="C82" i="3"/>
  <c r="C97" i="3"/>
  <c r="C114" i="3"/>
  <c r="C130" i="3"/>
  <c r="C145" i="3"/>
  <c r="C162" i="3"/>
  <c r="C178" i="3"/>
  <c r="C193" i="3"/>
  <c r="C210" i="3"/>
  <c r="C226" i="3"/>
  <c r="C241" i="3"/>
  <c r="C258" i="3"/>
  <c r="C274" i="3"/>
  <c r="C289" i="3"/>
  <c r="C306" i="3"/>
  <c r="C322" i="3"/>
  <c r="C337" i="3"/>
  <c r="C354" i="3"/>
  <c r="C370" i="3"/>
  <c r="C385" i="3"/>
  <c r="C402" i="3"/>
  <c r="C418" i="3"/>
  <c r="C433" i="3"/>
  <c r="C450" i="3"/>
  <c r="C466" i="3"/>
  <c r="C481" i="3"/>
  <c r="C498" i="3"/>
  <c r="C514" i="3"/>
  <c r="C529" i="3"/>
  <c r="C546" i="3"/>
  <c r="C562" i="3"/>
  <c r="C577" i="3"/>
  <c r="C594" i="3"/>
  <c r="C610" i="3"/>
  <c r="C625" i="3"/>
  <c r="C642" i="3"/>
  <c r="C658" i="3"/>
  <c r="C673" i="3"/>
  <c r="C690" i="3"/>
  <c r="C706" i="3"/>
  <c r="C721" i="3"/>
  <c r="C738" i="3"/>
  <c r="C754" i="3"/>
  <c r="C769" i="3"/>
  <c r="C786" i="3"/>
  <c r="C802" i="3"/>
  <c r="C817" i="3"/>
  <c r="C834" i="3"/>
  <c r="C850" i="3"/>
  <c r="C865" i="3"/>
  <c r="C882" i="3"/>
  <c r="C898" i="3"/>
  <c r="C913" i="3"/>
  <c r="C930" i="3"/>
  <c r="C946" i="3"/>
  <c r="C961" i="3"/>
  <c r="C978" i="3"/>
  <c r="C994" i="3"/>
  <c r="C1009" i="3"/>
  <c r="C1025" i="3"/>
  <c r="C1037" i="3"/>
  <c r="C1049" i="3"/>
  <c r="C1061" i="3"/>
  <c r="C1073" i="3"/>
  <c r="C1085" i="3"/>
  <c r="C1097" i="3"/>
  <c r="C1109" i="3"/>
  <c r="C1121" i="3"/>
  <c r="C35" i="3"/>
  <c r="C52" i="3"/>
  <c r="C67" i="3"/>
  <c r="C83" i="3"/>
  <c r="C100" i="3"/>
  <c r="C115" i="3"/>
  <c r="C131" i="3"/>
  <c r="C148" i="3"/>
  <c r="C163" i="3"/>
  <c r="C179" i="3"/>
  <c r="C24" i="3"/>
  <c r="C48" i="3"/>
  <c r="C76" i="3"/>
  <c r="C96" i="3"/>
  <c r="C124" i="3"/>
  <c r="C144" i="3"/>
  <c r="C172" i="3"/>
  <c r="C192" i="3"/>
  <c r="C214" i="3"/>
  <c r="C235" i="3"/>
  <c r="C253" i="3"/>
  <c r="C272" i="3"/>
  <c r="C293" i="3"/>
  <c r="C311" i="3"/>
  <c r="C331" i="3"/>
  <c r="C349" i="3"/>
  <c r="C368" i="3"/>
  <c r="C389" i="3"/>
  <c r="C407" i="3"/>
  <c r="C427" i="3"/>
  <c r="C445" i="3"/>
  <c r="C464" i="3"/>
  <c r="C485" i="3"/>
  <c r="C503" i="3"/>
  <c r="C523" i="3"/>
  <c r="C541" i="3"/>
  <c r="C560" i="3"/>
  <c r="C581" i="3"/>
  <c r="C599" i="3"/>
  <c r="C619" i="3"/>
  <c r="C637" i="3"/>
  <c r="C656" i="3"/>
  <c r="C677" i="3"/>
  <c r="C695" i="3"/>
  <c r="C715" i="3"/>
  <c r="C733" i="3"/>
  <c r="C752" i="3"/>
  <c r="C773" i="3"/>
  <c r="C791" i="3"/>
  <c r="C811" i="3"/>
  <c r="C829" i="3"/>
  <c r="C848" i="3"/>
  <c r="C869" i="3"/>
  <c r="C887" i="3"/>
  <c r="C907" i="3"/>
  <c r="C925" i="3"/>
  <c r="C944" i="3"/>
  <c r="C965" i="3"/>
  <c r="C983" i="3"/>
  <c r="C1003" i="3"/>
  <c r="C1021" i="3"/>
  <c r="C1036" i="3"/>
  <c r="C1051" i="3"/>
  <c r="C1065" i="3"/>
  <c r="C1080" i="3"/>
  <c r="C1094" i="3"/>
  <c r="C1108" i="3"/>
  <c r="C1123" i="3"/>
  <c r="C25" i="3"/>
  <c r="C53" i="3"/>
  <c r="C77" i="3"/>
  <c r="C101" i="3"/>
  <c r="C125" i="3"/>
  <c r="C149" i="3"/>
  <c r="C173" i="3"/>
  <c r="C196" i="3"/>
  <c r="C215" i="3"/>
  <c r="C236" i="3"/>
  <c r="C256" i="3"/>
  <c r="C275" i="3"/>
  <c r="C294" i="3"/>
  <c r="C313" i="3"/>
  <c r="C332" i="3"/>
  <c r="C352" i="3"/>
  <c r="C371" i="3"/>
  <c r="C390" i="3"/>
  <c r="C409" i="3"/>
  <c r="C428" i="3"/>
  <c r="C448" i="3"/>
  <c r="C467" i="3"/>
  <c r="C486" i="3"/>
  <c r="C505" i="3"/>
  <c r="C524" i="3"/>
  <c r="C544" i="3"/>
  <c r="C563" i="3"/>
  <c r="C582" i="3"/>
  <c r="C29" i="3"/>
  <c r="C55" i="3"/>
  <c r="C79" i="3"/>
  <c r="C103" i="3"/>
  <c r="C127" i="3"/>
  <c r="C151" i="3"/>
  <c r="C175" i="3"/>
  <c r="C198" i="3"/>
  <c r="C221" i="3"/>
  <c r="C239" i="3"/>
  <c r="C259" i="3"/>
  <c r="C277" i="3"/>
  <c r="C298" i="3"/>
  <c r="C317" i="3"/>
  <c r="C335" i="3"/>
  <c r="C355" i="3"/>
  <c r="C373" i="3"/>
  <c r="C394" i="3"/>
  <c r="C413" i="3"/>
  <c r="C431" i="3"/>
  <c r="C451" i="3"/>
  <c r="C469" i="3"/>
  <c r="C490" i="3"/>
  <c r="C509" i="3"/>
  <c r="C527" i="3"/>
  <c r="C547" i="3"/>
  <c r="C565" i="3"/>
  <c r="C586" i="3"/>
  <c r="C605" i="3"/>
  <c r="C623" i="3"/>
  <c r="C643" i="3"/>
  <c r="C661" i="3"/>
  <c r="C682" i="3"/>
  <c r="C701" i="3"/>
  <c r="C719" i="3"/>
  <c r="C739" i="3"/>
  <c r="C757" i="3"/>
  <c r="C778" i="3"/>
  <c r="C797" i="3"/>
  <c r="C815" i="3"/>
  <c r="C835" i="3"/>
  <c r="C853" i="3"/>
  <c r="C874" i="3"/>
  <c r="C893" i="3"/>
  <c r="C911" i="3"/>
  <c r="C931" i="3"/>
  <c r="C949" i="3"/>
  <c r="C970" i="3"/>
  <c r="C989" i="3"/>
  <c r="C1007" i="3"/>
  <c r="C1026" i="3"/>
  <c r="C1040" i="3"/>
  <c r="C1055" i="3"/>
  <c r="C1069" i="3"/>
  <c r="C1083" i="3"/>
  <c r="C1098" i="3"/>
  <c r="C1112" i="3"/>
  <c r="C1127" i="3"/>
  <c r="C31" i="3"/>
  <c r="C59" i="3"/>
  <c r="C80" i="3"/>
  <c r="C107" i="3"/>
  <c r="C128" i="3"/>
  <c r="C155" i="3"/>
  <c r="C176" i="3"/>
  <c r="C199" i="3"/>
  <c r="C222" i="3"/>
  <c r="C240" i="3"/>
  <c r="C260" i="3"/>
  <c r="C280" i="3"/>
  <c r="C299" i="3"/>
  <c r="C318" i="3"/>
  <c r="C336" i="3"/>
  <c r="C356" i="3"/>
  <c r="C376" i="3"/>
  <c r="C395" i="3"/>
  <c r="C414" i="3"/>
  <c r="C432" i="3"/>
  <c r="C452" i="3"/>
  <c r="C472" i="3"/>
  <c r="C491" i="3"/>
  <c r="C510" i="3"/>
  <c r="C528" i="3"/>
  <c r="C548" i="3"/>
  <c r="C568" i="3"/>
  <c r="C40" i="3"/>
  <c r="C64" i="3"/>
  <c r="C88" i="3"/>
  <c r="C112" i="3"/>
  <c r="C136" i="3"/>
  <c r="C160" i="3"/>
  <c r="C184" i="3"/>
  <c r="C205" i="3"/>
  <c r="C227" i="3"/>
  <c r="C246" i="3"/>
  <c r="C265" i="3"/>
  <c r="C284" i="3"/>
  <c r="C304" i="3"/>
  <c r="C323" i="3"/>
  <c r="C342" i="3"/>
  <c r="C361" i="3"/>
  <c r="C380" i="3"/>
  <c r="C400" i="3"/>
  <c r="C419" i="3"/>
  <c r="C438" i="3"/>
  <c r="C457" i="3"/>
  <c r="C476" i="3"/>
  <c r="C496" i="3"/>
  <c r="C515" i="3"/>
  <c r="C534" i="3"/>
  <c r="C553" i="3"/>
  <c r="C572" i="3"/>
  <c r="C592" i="3"/>
  <c r="C611" i="3"/>
  <c r="C630" i="3"/>
  <c r="C649" i="3"/>
  <c r="C668" i="3"/>
  <c r="C688" i="3"/>
  <c r="C707" i="3"/>
  <c r="C726" i="3"/>
  <c r="C745" i="3"/>
  <c r="C764" i="3"/>
  <c r="C784" i="3"/>
  <c r="C803" i="3"/>
  <c r="C822" i="3"/>
  <c r="C841" i="3"/>
  <c r="C860" i="3"/>
  <c r="C880" i="3"/>
  <c r="C899" i="3"/>
  <c r="C918" i="3"/>
  <c r="C937" i="3"/>
  <c r="C956" i="3"/>
  <c r="C976" i="3"/>
  <c r="C995" i="3"/>
  <c r="C1014" i="3"/>
  <c r="C1031" i="3"/>
  <c r="C1045" i="3"/>
  <c r="C1059" i="3"/>
  <c r="C1074" i="3"/>
  <c r="C1088" i="3"/>
  <c r="C1103" i="3"/>
  <c r="C1117" i="3"/>
  <c r="C28" i="3"/>
  <c r="C70" i="3"/>
  <c r="C113" i="3"/>
  <c r="C156" i="3"/>
  <c r="C191" i="3"/>
  <c r="C229" i="3"/>
  <c r="C263" i="3"/>
  <c r="C295" i="3"/>
  <c r="C328" i="3"/>
  <c r="C364" i="3"/>
  <c r="C396" i="3"/>
  <c r="C426" i="3"/>
  <c r="C461" i="3"/>
  <c r="C493" i="3"/>
  <c r="C526" i="3"/>
  <c r="C558" i="3"/>
  <c r="C589" i="3"/>
  <c r="C616" i="3"/>
  <c r="C641" i="3"/>
  <c r="C667" i="3"/>
  <c r="C692" i="3"/>
  <c r="C718" i="3"/>
  <c r="C743" i="3"/>
  <c r="C768" i="3"/>
  <c r="C796" i="3"/>
  <c r="C821" i="3"/>
  <c r="C846" i="3"/>
  <c r="C871" i="3"/>
  <c r="C896" i="3"/>
  <c r="C923" i="3"/>
  <c r="C948" i="3"/>
  <c r="C973" i="3"/>
  <c r="C1000" i="3"/>
  <c r="C1024" i="3"/>
  <c r="C1044" i="3"/>
  <c r="C1063" i="3"/>
  <c r="C1082" i="3"/>
  <c r="C1101" i="3"/>
  <c r="C1120" i="3"/>
  <c r="C900" i="3"/>
  <c r="C1046" i="3"/>
  <c r="C43" i="3"/>
  <c r="C164" i="3"/>
  <c r="C238" i="3"/>
  <c r="C305" i="3"/>
  <c r="C367" i="3"/>
  <c r="C437" i="3"/>
  <c r="C535" i="3"/>
  <c r="C596" i="3"/>
  <c r="C647" i="3"/>
  <c r="C700" i="3"/>
  <c r="C775" i="3"/>
  <c r="C852" i="3"/>
  <c r="C929" i="3"/>
  <c r="C1006" i="3"/>
  <c r="C1048" i="3"/>
  <c r="C1106" i="3"/>
  <c r="C126" i="3"/>
  <c r="C208" i="3"/>
  <c r="C271" i="3"/>
  <c r="C372" i="3"/>
  <c r="C439" i="3"/>
  <c r="C538" i="3"/>
  <c r="C624" i="3"/>
  <c r="C702" i="3"/>
  <c r="C779" i="3"/>
  <c r="C856" i="3"/>
  <c r="C932" i="3"/>
  <c r="C1008" i="3"/>
  <c r="C1070" i="3"/>
  <c r="C4" i="3"/>
  <c r="C46" i="3"/>
  <c r="C91" i="3"/>
  <c r="C167" i="3"/>
  <c r="C209" i="3"/>
  <c r="C276" i="3"/>
  <c r="C406" i="3"/>
  <c r="C475" i="3"/>
  <c r="C574" i="3"/>
  <c r="C628" i="3"/>
  <c r="C678" i="3"/>
  <c r="C755" i="3"/>
  <c r="C805" i="3"/>
  <c r="C883" i="3"/>
  <c r="C934" i="3"/>
  <c r="C1012" i="3"/>
  <c r="C1071" i="3"/>
  <c r="C133" i="3"/>
  <c r="C211" i="3"/>
  <c r="C282" i="3"/>
  <c r="C346" i="3"/>
  <c r="C412" i="3"/>
  <c r="C478" i="3"/>
  <c r="C540" i="3"/>
  <c r="C629" i="3"/>
  <c r="C679" i="3"/>
  <c r="C756" i="3"/>
  <c r="C833" i="3"/>
  <c r="C910" i="3"/>
  <c r="C988" i="3"/>
  <c r="C1034" i="3"/>
  <c r="C1092" i="3"/>
  <c r="C94" i="3"/>
  <c r="C180" i="3"/>
  <c r="C250" i="3"/>
  <c r="C316" i="3"/>
  <c r="C382" i="3"/>
  <c r="C444" i="3"/>
  <c r="C512" i="3"/>
  <c r="C606" i="3"/>
  <c r="C655" i="3"/>
  <c r="C732" i="3"/>
  <c r="C810" i="3"/>
  <c r="C886" i="3"/>
  <c r="C36" i="3"/>
  <c r="C71" i="3"/>
  <c r="C116" i="3"/>
  <c r="C157" i="3"/>
  <c r="C197" i="3"/>
  <c r="C232" i="3"/>
  <c r="C268" i="3"/>
  <c r="C300" i="3"/>
  <c r="C330" i="3"/>
  <c r="C365" i="3"/>
  <c r="C397" i="3"/>
  <c r="C430" i="3"/>
  <c r="C462" i="3"/>
  <c r="C497" i="3"/>
  <c r="C532" i="3"/>
  <c r="C559" i="3"/>
  <c r="C593" i="3"/>
  <c r="C618" i="3"/>
  <c r="C644" i="3"/>
  <c r="C670" i="3"/>
  <c r="C694" i="3"/>
  <c r="C720" i="3"/>
  <c r="C748" i="3"/>
  <c r="C772" i="3"/>
  <c r="C798" i="3"/>
  <c r="C823" i="3"/>
  <c r="C847" i="3"/>
  <c r="C875" i="3"/>
  <c r="C924" i="3"/>
  <c r="C952" i="3"/>
  <c r="C977" i="3"/>
  <c r="C1002" i="3"/>
  <c r="C1027" i="3"/>
  <c r="C1064" i="3"/>
  <c r="C1084" i="3"/>
  <c r="C1104" i="3"/>
  <c r="C1122" i="3"/>
  <c r="C468" i="3"/>
  <c r="C622" i="3"/>
  <c r="C725" i="3"/>
  <c r="C800" i="3"/>
  <c r="C877" i="3"/>
  <c r="C955" i="3"/>
  <c r="C1029" i="3"/>
  <c r="C1087" i="3"/>
  <c r="C44" i="3"/>
  <c r="C341" i="3"/>
  <c r="C474" i="3"/>
  <c r="C571" i="3"/>
  <c r="C652" i="3"/>
  <c r="C727" i="3"/>
  <c r="C804" i="3"/>
  <c r="C881" i="3"/>
  <c r="C958" i="3"/>
  <c r="C1032" i="3"/>
  <c r="C1089" i="3"/>
  <c r="C132" i="3"/>
  <c r="C245" i="3"/>
  <c r="C308" i="3"/>
  <c r="C378" i="3"/>
  <c r="C442" i="3"/>
  <c r="C508" i="3"/>
  <c r="C539" i="3"/>
  <c r="C601" i="3"/>
  <c r="C653" i="3"/>
  <c r="C703" i="3"/>
  <c r="C780" i="3"/>
  <c r="C832" i="3"/>
  <c r="C908" i="3"/>
  <c r="C985" i="3"/>
  <c r="C1052" i="3"/>
  <c r="C1110" i="3"/>
  <c r="C47" i="3"/>
  <c r="C604" i="3"/>
  <c r="C704" i="3"/>
  <c r="C781" i="3"/>
  <c r="C859" i="3"/>
  <c r="C935" i="3"/>
  <c r="C1013" i="3"/>
  <c r="C1072" i="3"/>
  <c r="C54" i="3"/>
  <c r="C576" i="3"/>
  <c r="C683" i="3"/>
  <c r="C760" i="3"/>
  <c r="C836" i="3"/>
  <c r="C37" i="3"/>
  <c r="C78" i="3"/>
  <c r="C118" i="3"/>
  <c r="C161" i="3"/>
  <c r="C203" i="3"/>
  <c r="C234" i="3"/>
  <c r="C269" i="3"/>
  <c r="C301" i="3"/>
  <c r="C334" i="3"/>
  <c r="C366" i="3"/>
  <c r="C401" i="3"/>
  <c r="C436" i="3"/>
  <c r="C463" i="3"/>
  <c r="C499" i="3"/>
  <c r="C533" i="3"/>
  <c r="C564" i="3"/>
  <c r="C595" i="3"/>
  <c r="C620" i="3"/>
  <c r="C646" i="3"/>
  <c r="C671" i="3"/>
  <c r="C697" i="3"/>
  <c r="C724" i="3"/>
  <c r="C749" i="3"/>
  <c r="C774" i="3"/>
  <c r="C799" i="3"/>
  <c r="C826" i="3"/>
  <c r="C851" i="3"/>
  <c r="C876" i="3"/>
  <c r="C901" i="3"/>
  <c r="C928" i="3"/>
  <c r="C954" i="3"/>
  <c r="C979" i="3"/>
  <c r="C1004" i="3"/>
  <c r="C1028" i="3"/>
  <c r="C1047" i="3"/>
  <c r="C1067" i="3"/>
  <c r="C1086" i="3"/>
  <c r="C1105" i="3"/>
  <c r="C1124" i="3"/>
  <c r="C84" i="3"/>
  <c r="C119" i="3"/>
  <c r="C204" i="3"/>
  <c r="C270" i="3"/>
  <c r="C340" i="3"/>
  <c r="C403" i="3"/>
  <c r="C500" i="3"/>
  <c r="C570" i="3"/>
  <c r="C672" i="3"/>
  <c r="C750" i="3"/>
  <c r="C827" i="3"/>
  <c r="C904" i="3"/>
  <c r="C980" i="3"/>
  <c r="C1068" i="3"/>
  <c r="C1125" i="3"/>
  <c r="C85" i="3"/>
  <c r="C166" i="3"/>
  <c r="C244" i="3"/>
  <c r="C307" i="3"/>
  <c r="C404" i="3"/>
  <c r="C502" i="3"/>
  <c r="C598" i="3"/>
  <c r="C676" i="3"/>
  <c r="C751" i="3"/>
  <c r="C828" i="3"/>
  <c r="C906" i="3"/>
  <c r="C982" i="3"/>
  <c r="C1050" i="3"/>
  <c r="C1107" i="3"/>
  <c r="C343" i="3"/>
  <c r="C730" i="3"/>
  <c r="C858" i="3"/>
  <c r="C959" i="3"/>
  <c r="C1033" i="3"/>
  <c r="C1091" i="3"/>
  <c r="C92" i="3"/>
  <c r="C174" i="3"/>
  <c r="C247" i="3"/>
  <c r="C310" i="3"/>
  <c r="C379" i="3"/>
  <c r="C443" i="3"/>
  <c r="C511" i="3"/>
  <c r="C575" i="3"/>
  <c r="C654" i="3"/>
  <c r="C731" i="3"/>
  <c r="C808" i="3"/>
  <c r="C884" i="3"/>
  <c r="C960" i="3"/>
  <c r="C1053" i="3"/>
  <c r="C1111" i="3"/>
  <c r="C139" i="3"/>
  <c r="C212" i="3"/>
  <c r="C283" i="3"/>
  <c r="C347" i="3"/>
  <c r="C415" i="3"/>
  <c r="C479" i="3"/>
  <c r="C545" i="3"/>
  <c r="C631" i="3"/>
  <c r="C708" i="3"/>
  <c r="C785" i="3"/>
  <c r="C862" i="3"/>
  <c r="C1099" i="3"/>
  <c r="C942" i="3"/>
  <c r="C716" i="3"/>
  <c r="C460" i="3"/>
  <c r="C359" i="3"/>
  <c r="C19" i="3"/>
  <c r="C996" i="3"/>
  <c r="C257" i="3"/>
  <c r="C1043" i="3"/>
  <c r="C864" i="3"/>
  <c r="C635" i="3"/>
  <c r="C252" i="3"/>
  <c r="C1041" i="3"/>
  <c r="C863" i="3"/>
  <c r="C634" i="3"/>
  <c r="C251" i="3"/>
  <c r="C1039" i="3"/>
  <c r="C845" i="3"/>
  <c r="C613" i="3"/>
  <c r="C228" i="3"/>
  <c r="C1038" i="3"/>
  <c r="C844" i="3"/>
  <c r="C612" i="3"/>
  <c r="C224" i="3"/>
  <c r="C1077" i="3"/>
  <c r="C916" i="3"/>
  <c r="C685" i="3"/>
  <c r="C320" i="3"/>
  <c r="C1076" i="3"/>
  <c r="C967" i="3"/>
  <c r="C838" i="3"/>
  <c r="C607" i="3"/>
  <c r="C416" i="3"/>
  <c r="C95" i="3"/>
  <c r="C1020" i="3"/>
  <c r="C68" i="3"/>
  <c r="C1100" i="3"/>
  <c r="C1058" i="3"/>
  <c r="C1015" i="3"/>
  <c r="C943" i="3"/>
  <c r="C889" i="3"/>
  <c r="C812" i="3"/>
  <c r="C736" i="3"/>
  <c r="C659" i="3"/>
  <c r="C580" i="3"/>
  <c r="C480" i="3"/>
  <c r="C383" i="3"/>
  <c r="C286" i="3"/>
  <c r="C181" i="3"/>
  <c r="C60" i="3"/>
  <c r="Q214" i="1" l="1"/>
  <c r="O214" i="1"/>
  <c r="N214" i="1"/>
  <c r="K214" i="1"/>
  <c r="J214" i="1"/>
  <c r="Q329" i="1"/>
  <c r="O329" i="1"/>
  <c r="N329" i="1"/>
  <c r="K329" i="1"/>
  <c r="J329" i="1"/>
  <c r="Q217" i="1"/>
  <c r="O217" i="1"/>
  <c r="N217" i="1"/>
  <c r="K217" i="1"/>
  <c r="J217" i="1"/>
  <c r="Q208" i="1"/>
  <c r="O208" i="1"/>
  <c r="N208" i="1"/>
  <c r="K208" i="1"/>
  <c r="J208" i="1"/>
  <c r="Q336" i="1"/>
  <c r="O336" i="1"/>
  <c r="N336" i="1"/>
  <c r="K336" i="1"/>
  <c r="J336" i="1"/>
  <c r="Q127" i="1"/>
  <c r="O127" i="1"/>
  <c r="N127" i="1"/>
  <c r="K127" i="1"/>
  <c r="J127" i="1"/>
  <c r="Q153" i="1"/>
  <c r="O153" i="1"/>
  <c r="N153" i="1"/>
  <c r="K153" i="1"/>
  <c r="J153" i="1"/>
  <c r="Q335" i="1"/>
  <c r="O335" i="1"/>
  <c r="N335" i="1"/>
  <c r="K335" i="1"/>
  <c r="J335" i="1"/>
  <c r="Q248" i="1"/>
  <c r="O248" i="1"/>
  <c r="N248" i="1"/>
  <c r="K248" i="1"/>
  <c r="J248" i="1"/>
  <c r="Q118" i="1"/>
  <c r="O118" i="1"/>
  <c r="N118" i="1"/>
  <c r="K118" i="1"/>
  <c r="J118" i="1"/>
  <c r="Q179" i="1"/>
  <c r="O179" i="1"/>
  <c r="N179" i="1"/>
  <c r="K179" i="1"/>
  <c r="J179" i="1"/>
  <c r="Q139" i="1"/>
  <c r="O139" i="1"/>
  <c r="N139" i="1"/>
  <c r="K139" i="1"/>
  <c r="J139" i="1"/>
  <c r="Q308" i="1"/>
  <c r="O308" i="1"/>
  <c r="N308" i="1"/>
  <c r="K308" i="1"/>
  <c r="J308" i="1"/>
  <c r="Q216" i="1"/>
  <c r="O216" i="1"/>
  <c r="N216" i="1"/>
  <c r="K216" i="1"/>
  <c r="J216" i="1"/>
  <c r="Q178" i="1"/>
  <c r="O178" i="1"/>
  <c r="N178" i="1"/>
  <c r="K178" i="1"/>
  <c r="J178" i="1"/>
  <c r="Q247" i="1"/>
  <c r="O247" i="1"/>
  <c r="N247" i="1"/>
  <c r="K247" i="1"/>
  <c r="J247" i="1"/>
  <c r="Q168" i="1"/>
  <c r="O168" i="1"/>
  <c r="N168" i="1"/>
  <c r="K168" i="1"/>
  <c r="J168" i="1"/>
  <c r="Q185" i="1"/>
  <c r="O185" i="1"/>
  <c r="N185" i="1"/>
  <c r="K185" i="1"/>
  <c r="J185" i="1"/>
  <c r="Q213" i="1"/>
  <c r="O213" i="1"/>
  <c r="N213" i="1"/>
  <c r="K213" i="1"/>
  <c r="J213" i="1"/>
  <c r="Q101" i="1"/>
  <c r="O101" i="1"/>
  <c r="N101" i="1"/>
  <c r="K101" i="1"/>
  <c r="J101" i="1"/>
  <c r="Q246" i="1"/>
  <c r="O246" i="1"/>
  <c r="N246" i="1"/>
  <c r="K246" i="1"/>
  <c r="J246" i="1"/>
  <c r="Q116" i="1"/>
  <c r="O116" i="1"/>
  <c r="N116" i="1"/>
  <c r="K116" i="1"/>
  <c r="J116" i="1"/>
  <c r="Q122" i="1"/>
  <c r="O122" i="1"/>
  <c r="N122" i="1"/>
  <c r="K122" i="1"/>
  <c r="J122" i="1"/>
  <c r="Q236" i="1"/>
  <c r="O236" i="1"/>
  <c r="N236" i="1"/>
  <c r="K236" i="1"/>
  <c r="J236" i="1"/>
  <c r="Q324" i="1"/>
  <c r="O324" i="1"/>
  <c r="N324" i="1"/>
  <c r="K324" i="1"/>
  <c r="J324" i="1"/>
  <c r="Q334" i="1"/>
  <c r="O334" i="1"/>
  <c r="N334" i="1"/>
  <c r="K334" i="1"/>
  <c r="J334" i="1"/>
  <c r="Q111" i="1"/>
  <c r="O111" i="1"/>
  <c r="N111" i="1"/>
  <c r="K111" i="1"/>
  <c r="J111" i="1"/>
  <c r="Q280" i="1"/>
  <c r="O280" i="1"/>
  <c r="N280" i="1"/>
  <c r="K280" i="1"/>
  <c r="J280" i="1"/>
  <c r="Q212" i="1"/>
  <c r="O212" i="1"/>
  <c r="N212" i="1"/>
  <c r="K212" i="1"/>
  <c r="J212" i="1"/>
  <c r="Q211" i="1"/>
  <c r="O211" i="1"/>
  <c r="N211" i="1"/>
  <c r="K211" i="1"/>
  <c r="J211" i="1"/>
  <c r="Q189" i="1"/>
  <c r="O189" i="1"/>
  <c r="N189" i="1"/>
  <c r="K189" i="1"/>
  <c r="J189" i="1"/>
  <c r="Q163" i="1"/>
  <c r="O163" i="1"/>
  <c r="N163" i="1"/>
  <c r="K163" i="1"/>
  <c r="J163" i="1"/>
  <c r="Q207" i="1"/>
  <c r="O207" i="1"/>
  <c r="N207" i="1"/>
  <c r="K207" i="1"/>
  <c r="J207" i="1"/>
  <c r="Q228" i="1"/>
  <c r="O228" i="1"/>
  <c r="N228" i="1"/>
  <c r="K228" i="1"/>
  <c r="J228" i="1"/>
  <c r="Q162" i="1"/>
  <c r="O162" i="1"/>
  <c r="N162" i="1"/>
  <c r="K162" i="1"/>
  <c r="J162" i="1"/>
  <c r="Q124" i="1"/>
  <c r="O124" i="1"/>
  <c r="N124" i="1"/>
  <c r="K124" i="1"/>
  <c r="J124" i="1"/>
  <c r="Q157" i="1"/>
  <c r="O157" i="1"/>
  <c r="N157" i="1"/>
  <c r="K157" i="1"/>
  <c r="J157" i="1"/>
  <c r="Q119" i="1"/>
  <c r="O119" i="1"/>
  <c r="N119" i="1"/>
  <c r="K119" i="1"/>
  <c r="J119" i="1"/>
  <c r="Q146" i="1"/>
  <c r="O146" i="1"/>
  <c r="N146" i="1"/>
  <c r="K146" i="1"/>
  <c r="J146" i="1"/>
  <c r="Q123" i="1"/>
  <c r="O123" i="1"/>
  <c r="N123" i="1"/>
  <c r="K123" i="1"/>
  <c r="J123" i="1"/>
  <c r="Q206" i="1"/>
  <c r="O206" i="1"/>
  <c r="N206" i="1"/>
  <c r="K206" i="1"/>
  <c r="J206" i="1"/>
  <c r="Q205" i="1"/>
  <c r="O205" i="1"/>
  <c r="N205" i="1"/>
  <c r="K205" i="1"/>
  <c r="J205" i="1"/>
  <c r="Q171" i="1"/>
  <c r="O171" i="1"/>
  <c r="N171" i="1"/>
  <c r="K171" i="1"/>
  <c r="J171" i="1"/>
  <c r="Q130" i="1"/>
  <c r="O130" i="1"/>
  <c r="N130" i="1"/>
  <c r="K130" i="1"/>
  <c r="J130" i="1"/>
  <c r="Q99" i="1"/>
  <c r="O99" i="1"/>
  <c r="N99" i="1"/>
  <c r="K99" i="1"/>
  <c r="J99" i="1"/>
  <c r="Q198" i="1"/>
  <c r="O198" i="1"/>
  <c r="N198" i="1"/>
  <c r="K198" i="1"/>
  <c r="J198" i="1"/>
  <c r="Q143" i="1"/>
  <c r="O143" i="1"/>
  <c r="N143" i="1"/>
  <c r="K143" i="1"/>
  <c r="J143" i="1"/>
  <c r="Q256" i="1"/>
  <c r="O256" i="1"/>
  <c r="N256" i="1"/>
  <c r="K256" i="1"/>
  <c r="J256" i="1"/>
  <c r="Q149" i="1"/>
  <c r="O149" i="1"/>
  <c r="N149" i="1"/>
  <c r="K149" i="1"/>
  <c r="J149" i="1"/>
  <c r="Q164" i="1"/>
  <c r="O164" i="1"/>
  <c r="N164" i="1"/>
  <c r="K164" i="1"/>
  <c r="J164" i="1"/>
  <c r="Q255" i="1"/>
  <c r="O255" i="1"/>
  <c r="N255" i="1"/>
  <c r="K255" i="1"/>
  <c r="J255" i="1"/>
  <c r="Q245" i="1"/>
  <c r="O245" i="1"/>
  <c r="N245" i="1"/>
  <c r="K245" i="1"/>
  <c r="J245" i="1"/>
  <c r="Q254" i="1"/>
  <c r="O254" i="1"/>
  <c r="N254" i="1"/>
  <c r="K254" i="1"/>
  <c r="J254" i="1"/>
  <c r="Q184" i="1"/>
  <c r="O184" i="1"/>
  <c r="N184" i="1"/>
  <c r="K184" i="1"/>
  <c r="J184" i="1"/>
  <c r="Q113" i="1"/>
  <c r="O113" i="1"/>
  <c r="N113" i="1"/>
  <c r="K113" i="1"/>
  <c r="J113" i="1"/>
  <c r="Q204" i="1"/>
  <c r="O204" i="1"/>
  <c r="N204" i="1"/>
  <c r="K204" i="1"/>
  <c r="J204" i="1"/>
  <c r="Q244" i="1"/>
  <c r="O244" i="1"/>
  <c r="N244" i="1"/>
  <c r="K244" i="1"/>
  <c r="J244" i="1"/>
  <c r="Q172" i="1"/>
  <c r="O172" i="1"/>
  <c r="N172" i="1"/>
  <c r="K172" i="1"/>
  <c r="J172" i="1"/>
  <c r="Q235" i="1"/>
  <c r="O235" i="1"/>
  <c r="N235" i="1"/>
  <c r="K235" i="1"/>
  <c r="J235" i="1"/>
  <c r="Q221" i="1"/>
  <c r="O221" i="1"/>
  <c r="N221" i="1"/>
  <c r="K221" i="1"/>
  <c r="J221" i="1"/>
  <c r="Q333" i="1"/>
  <c r="O333" i="1"/>
  <c r="N333" i="1"/>
  <c r="K333" i="1"/>
  <c r="J333" i="1"/>
  <c r="Q253" i="1"/>
  <c r="O253" i="1"/>
  <c r="N253" i="1"/>
  <c r="K253" i="1"/>
  <c r="J253" i="1"/>
  <c r="Q96" i="1"/>
  <c r="O96" i="1"/>
  <c r="N96" i="1"/>
  <c r="K96" i="1"/>
  <c r="J96" i="1"/>
  <c r="Q332" i="1"/>
  <c r="O332" i="1"/>
  <c r="N332" i="1"/>
  <c r="K332" i="1"/>
  <c r="J332" i="1"/>
  <c r="Q315" i="1"/>
  <c r="O315" i="1"/>
  <c r="N315" i="1"/>
  <c r="K315" i="1"/>
  <c r="J315" i="1"/>
  <c r="Q134" i="1"/>
  <c r="O134" i="1"/>
  <c r="N134" i="1"/>
  <c r="K134" i="1"/>
  <c r="J134" i="1"/>
  <c r="Q203" i="1"/>
  <c r="O203" i="1"/>
  <c r="N203" i="1"/>
  <c r="K203" i="1"/>
  <c r="J203" i="1"/>
  <c r="Q8" i="1"/>
  <c r="O8" i="1"/>
  <c r="N8" i="1"/>
  <c r="K8" i="1"/>
  <c r="J8" i="1"/>
  <c r="Q305" i="1"/>
  <c r="O305" i="1"/>
  <c r="N305" i="1"/>
  <c r="K305" i="1"/>
  <c r="J305" i="1"/>
  <c r="Q22" i="1"/>
  <c r="O22" i="1"/>
  <c r="N22" i="1"/>
  <c r="K22" i="1"/>
  <c r="J22" i="1"/>
  <c r="Q65" i="1"/>
  <c r="O65" i="1"/>
  <c r="N65" i="1"/>
  <c r="K65" i="1"/>
  <c r="J65" i="1"/>
  <c r="Q31" i="1"/>
  <c r="O31" i="1"/>
  <c r="N31" i="1"/>
  <c r="K31" i="1"/>
  <c r="J31" i="1"/>
  <c r="Q74" i="1"/>
  <c r="O74" i="1"/>
  <c r="N74" i="1"/>
  <c r="K74" i="1"/>
  <c r="J74" i="1"/>
  <c r="Q73" i="1"/>
  <c r="O73" i="1"/>
  <c r="N73" i="1"/>
  <c r="K73" i="1"/>
  <c r="J73" i="1"/>
  <c r="Q17" i="1"/>
  <c r="O17" i="1"/>
  <c r="N17" i="1"/>
  <c r="K17" i="1"/>
  <c r="J17" i="1"/>
  <c r="Q95" i="1"/>
  <c r="O95" i="1"/>
  <c r="N95" i="1"/>
  <c r="K95" i="1"/>
  <c r="J95" i="1"/>
  <c r="Q225" i="1"/>
  <c r="O225" i="1"/>
  <c r="N225" i="1"/>
  <c r="K225" i="1"/>
  <c r="J225" i="1"/>
  <c r="Q331" i="1"/>
  <c r="O331" i="1"/>
  <c r="N331" i="1"/>
  <c r="K331" i="1"/>
  <c r="J331" i="1"/>
  <c r="Q234" i="1"/>
  <c r="O234" i="1"/>
  <c r="N234" i="1"/>
  <c r="K234" i="1"/>
  <c r="J234" i="1"/>
  <c r="Q219" i="1"/>
  <c r="O219" i="1"/>
  <c r="N219" i="1"/>
  <c r="K219" i="1"/>
  <c r="J219" i="1"/>
  <c r="Q252" i="1"/>
  <c r="O252" i="1"/>
  <c r="N252" i="1"/>
  <c r="K252" i="1"/>
  <c r="J252" i="1"/>
  <c r="Q282" i="1"/>
  <c r="O282" i="1"/>
  <c r="N282" i="1"/>
  <c r="K282" i="1"/>
  <c r="J282" i="1"/>
  <c r="Q37" i="1"/>
  <c r="O37" i="1"/>
  <c r="N37" i="1"/>
  <c r="K37" i="1"/>
  <c r="J37" i="1"/>
  <c r="Q55" i="1"/>
  <c r="O55" i="1"/>
  <c r="N55" i="1"/>
  <c r="K55" i="1"/>
  <c r="J55" i="1"/>
  <c r="Q72" i="1"/>
  <c r="O72" i="1"/>
  <c r="N72" i="1"/>
  <c r="K72" i="1"/>
  <c r="J72" i="1"/>
  <c r="Q175" i="1"/>
  <c r="O175" i="1"/>
  <c r="N175" i="1"/>
  <c r="K175" i="1"/>
  <c r="J175" i="1"/>
  <c r="Q188" i="1"/>
  <c r="O188" i="1"/>
  <c r="N188" i="1"/>
  <c r="K188" i="1"/>
  <c r="J188" i="1"/>
  <c r="Q224" i="1"/>
  <c r="O224" i="1"/>
  <c r="N224" i="1"/>
  <c r="K224" i="1"/>
  <c r="J224" i="1"/>
  <c r="Q328" i="1"/>
  <c r="O328" i="1"/>
  <c r="N328" i="1"/>
  <c r="K328" i="1"/>
  <c r="J328" i="1"/>
  <c r="Q159" i="1"/>
  <c r="O159" i="1"/>
  <c r="N159" i="1"/>
  <c r="K159" i="1"/>
  <c r="J159" i="1"/>
  <c r="Q243" i="1"/>
  <c r="O243" i="1"/>
  <c r="N243" i="1"/>
  <c r="K243" i="1"/>
  <c r="J243" i="1"/>
  <c r="Q112" i="1"/>
  <c r="O112" i="1"/>
  <c r="N112" i="1"/>
  <c r="K112" i="1"/>
  <c r="J112" i="1"/>
  <c r="Q338" i="1"/>
  <c r="O338" i="1"/>
  <c r="N338" i="1"/>
  <c r="K338" i="1"/>
  <c r="J338" i="1"/>
  <c r="Q304" i="1"/>
  <c r="O304" i="1"/>
  <c r="N304" i="1"/>
  <c r="K304" i="1"/>
  <c r="J304" i="1"/>
  <c r="Q293" i="1"/>
  <c r="O293" i="1"/>
  <c r="N293" i="1"/>
  <c r="K293" i="1"/>
  <c r="J293" i="1"/>
  <c r="Q82" i="1"/>
  <c r="O82" i="1"/>
  <c r="N82" i="1"/>
  <c r="K82" i="1"/>
  <c r="J82" i="1"/>
  <c r="Q64" i="1"/>
  <c r="O64" i="1"/>
  <c r="N64" i="1"/>
  <c r="K64" i="1"/>
  <c r="J64" i="1"/>
  <c r="Q36" i="1"/>
  <c r="O36" i="1"/>
  <c r="N36" i="1"/>
  <c r="K36" i="1"/>
  <c r="J36" i="1"/>
  <c r="Q110" i="1"/>
  <c r="O110" i="1"/>
  <c r="N110" i="1"/>
  <c r="K110" i="1"/>
  <c r="J110" i="1"/>
  <c r="Q251" i="1"/>
  <c r="O251" i="1"/>
  <c r="N251" i="1"/>
  <c r="K251" i="1"/>
  <c r="J251" i="1"/>
  <c r="Q150" i="1"/>
  <c r="O150" i="1"/>
  <c r="N150" i="1"/>
  <c r="K150" i="1"/>
  <c r="J150" i="1"/>
  <c r="Q176" i="1"/>
  <c r="O176" i="1"/>
  <c r="N176" i="1"/>
  <c r="K176" i="1"/>
  <c r="J176" i="1"/>
  <c r="Q190" i="1"/>
  <c r="O190" i="1"/>
  <c r="N190" i="1"/>
  <c r="K190" i="1"/>
  <c r="J190" i="1"/>
  <c r="Q303" i="1"/>
  <c r="O303" i="1"/>
  <c r="N303" i="1"/>
  <c r="K303" i="1"/>
  <c r="J303" i="1"/>
  <c r="Q83" i="1"/>
  <c r="O83" i="1"/>
  <c r="N83" i="1"/>
  <c r="K83" i="1"/>
  <c r="J83" i="1"/>
  <c r="Q30" i="1"/>
  <c r="O30" i="1"/>
  <c r="N30" i="1"/>
  <c r="K30" i="1"/>
  <c r="J30" i="1"/>
  <c r="Q52" i="1"/>
  <c r="O52" i="1"/>
  <c r="N52" i="1"/>
  <c r="K52" i="1"/>
  <c r="J52" i="1"/>
  <c r="Q104" i="1"/>
  <c r="O104" i="1"/>
  <c r="N104" i="1"/>
  <c r="K104" i="1"/>
  <c r="J104" i="1"/>
  <c r="Q100" i="1"/>
  <c r="O100" i="1"/>
  <c r="N100" i="1"/>
  <c r="K100" i="1"/>
  <c r="J100" i="1"/>
  <c r="Q177" i="1"/>
  <c r="O177" i="1"/>
  <c r="N177" i="1"/>
  <c r="K177" i="1"/>
  <c r="J177" i="1"/>
  <c r="Q242" i="1"/>
  <c r="O242" i="1"/>
  <c r="N242" i="1"/>
  <c r="K242" i="1"/>
  <c r="J242" i="1"/>
  <c r="Q297" i="1"/>
  <c r="O297" i="1"/>
  <c r="N297" i="1"/>
  <c r="K297" i="1"/>
  <c r="J297" i="1"/>
  <c r="Q125" i="1"/>
  <c r="O125" i="1"/>
  <c r="N125" i="1"/>
  <c r="K125" i="1"/>
  <c r="J125" i="1"/>
  <c r="Q233" i="1"/>
  <c r="O233" i="1"/>
  <c r="N233" i="1"/>
  <c r="K233" i="1"/>
  <c r="J233" i="1"/>
  <c r="Q137" i="1"/>
  <c r="O137" i="1"/>
  <c r="N137" i="1"/>
  <c r="K137" i="1"/>
  <c r="J137" i="1"/>
  <c r="Q323" i="1"/>
  <c r="O323" i="1"/>
  <c r="N323" i="1"/>
  <c r="K323" i="1"/>
  <c r="J323" i="1"/>
  <c r="Q97" i="1"/>
  <c r="O97" i="1"/>
  <c r="N97" i="1"/>
  <c r="K97" i="1"/>
  <c r="J97" i="1"/>
  <c r="Q227" i="1"/>
  <c r="O227" i="1"/>
  <c r="N227" i="1"/>
  <c r="K227" i="1"/>
  <c r="J227" i="1"/>
  <c r="Q232" i="1"/>
  <c r="O232" i="1"/>
  <c r="N232" i="1"/>
  <c r="K232" i="1"/>
  <c r="J232" i="1"/>
  <c r="Q167" i="1"/>
  <c r="O167" i="1"/>
  <c r="N167" i="1"/>
  <c r="K167" i="1"/>
  <c r="J167" i="1"/>
  <c r="Q312" i="1"/>
  <c r="O312" i="1"/>
  <c r="N312" i="1"/>
  <c r="K312" i="1"/>
  <c r="J312" i="1"/>
  <c r="Q278" i="1"/>
  <c r="O278" i="1"/>
  <c r="N278" i="1"/>
  <c r="K278" i="1"/>
  <c r="J278" i="1"/>
  <c r="Q223" i="1"/>
  <c r="O223" i="1"/>
  <c r="N223" i="1"/>
  <c r="K223" i="1"/>
  <c r="J223" i="1"/>
  <c r="Q313" i="1"/>
  <c r="O313" i="1"/>
  <c r="N313" i="1"/>
  <c r="K313" i="1"/>
  <c r="J313" i="1"/>
  <c r="Q322" i="1"/>
  <c r="O322" i="1"/>
  <c r="N322" i="1"/>
  <c r="K322" i="1"/>
  <c r="J322" i="1"/>
  <c r="Q250" i="1"/>
  <c r="O250" i="1"/>
  <c r="N250" i="1"/>
  <c r="K250" i="1"/>
  <c r="J250" i="1"/>
  <c r="Q218" i="1"/>
  <c r="O218" i="1"/>
  <c r="N218" i="1"/>
  <c r="K218" i="1"/>
  <c r="J218" i="1"/>
  <c r="Q183" i="1"/>
  <c r="O183" i="1"/>
  <c r="N183" i="1"/>
  <c r="K183" i="1"/>
  <c r="J183" i="1"/>
  <c r="Q318" i="1"/>
  <c r="O318" i="1"/>
  <c r="N318" i="1"/>
  <c r="K318" i="1"/>
  <c r="J318" i="1"/>
  <c r="Q86" i="1"/>
  <c r="O86" i="1"/>
  <c r="N86" i="1"/>
  <c r="K86" i="1"/>
  <c r="J86" i="1"/>
  <c r="Q60" i="1"/>
  <c r="O60" i="1"/>
  <c r="N60" i="1"/>
  <c r="K60" i="1"/>
  <c r="J60" i="1"/>
  <c r="Q128" i="1"/>
  <c r="O128" i="1"/>
  <c r="N128" i="1"/>
  <c r="K128" i="1"/>
  <c r="J128" i="1"/>
  <c r="Q202" i="1"/>
  <c r="O202" i="1"/>
  <c r="N202" i="1"/>
  <c r="K202" i="1"/>
  <c r="J202" i="1"/>
  <c r="Q144" i="1"/>
  <c r="O144" i="1"/>
  <c r="N144" i="1"/>
  <c r="K144" i="1"/>
  <c r="J144" i="1"/>
  <c r="Q330" i="1"/>
  <c r="O330" i="1"/>
  <c r="N330" i="1"/>
  <c r="K330" i="1"/>
  <c r="J330" i="1"/>
  <c r="Q191" i="1"/>
  <c r="O191" i="1"/>
  <c r="N191" i="1"/>
  <c r="K191" i="1"/>
  <c r="J191" i="1"/>
  <c r="Q75" i="1"/>
  <c r="O75" i="1"/>
  <c r="N75" i="1"/>
  <c r="K75" i="1"/>
  <c r="J75" i="1"/>
  <c r="Q33" i="1"/>
  <c r="O33" i="1"/>
  <c r="N33" i="1"/>
  <c r="K33" i="1"/>
  <c r="J33" i="1"/>
  <c r="Q35" i="1"/>
  <c r="O35" i="1"/>
  <c r="N35" i="1"/>
  <c r="K35" i="1"/>
  <c r="J35" i="1"/>
  <c r="Q154" i="1"/>
  <c r="O154" i="1"/>
  <c r="N154" i="1"/>
  <c r="K154" i="1"/>
  <c r="J154" i="1"/>
  <c r="Q284" i="1"/>
  <c r="O284" i="1"/>
  <c r="N284" i="1"/>
  <c r="K284" i="1"/>
  <c r="J284" i="1"/>
  <c r="Q269" i="1"/>
  <c r="O269" i="1"/>
  <c r="N269" i="1"/>
  <c r="K269" i="1"/>
  <c r="J269" i="1"/>
  <c r="Q45" i="1"/>
  <c r="O45" i="1"/>
  <c r="N45" i="1"/>
  <c r="K45" i="1"/>
  <c r="J45" i="1"/>
  <c r="Q81" i="1"/>
  <c r="O81" i="1"/>
  <c r="N81" i="1"/>
  <c r="K81" i="1"/>
  <c r="J81" i="1"/>
  <c r="Q54" i="1"/>
  <c r="O54" i="1"/>
  <c r="N54" i="1"/>
  <c r="K54" i="1"/>
  <c r="J54" i="1"/>
  <c r="Q337" i="1"/>
  <c r="O337" i="1"/>
  <c r="N337" i="1"/>
  <c r="K337" i="1"/>
  <c r="J337" i="1"/>
  <c r="Q166" i="1"/>
  <c r="O166" i="1"/>
  <c r="N166" i="1"/>
  <c r="K166" i="1"/>
  <c r="J166" i="1"/>
  <c r="Q120" i="1"/>
  <c r="O120" i="1"/>
  <c r="N120" i="1"/>
  <c r="K120" i="1"/>
  <c r="J120" i="1"/>
  <c r="Q241" i="1"/>
  <c r="O241" i="1"/>
  <c r="N241" i="1"/>
  <c r="K241" i="1"/>
  <c r="J241" i="1"/>
  <c r="Q102" i="1"/>
  <c r="O102" i="1"/>
  <c r="N102" i="1"/>
  <c r="K102" i="1"/>
  <c r="J102" i="1"/>
  <c r="Q210" i="1"/>
  <c r="O210" i="1"/>
  <c r="N210" i="1"/>
  <c r="K210" i="1"/>
  <c r="J210" i="1"/>
  <c r="Q170" i="1"/>
  <c r="O170" i="1"/>
  <c r="N170" i="1"/>
  <c r="K170" i="1"/>
  <c r="J170" i="1"/>
  <c r="Q160" i="1"/>
  <c r="O160" i="1"/>
  <c r="N160" i="1"/>
  <c r="K160" i="1"/>
  <c r="J160" i="1"/>
  <c r="Q103" i="1"/>
  <c r="O103" i="1"/>
  <c r="N103" i="1"/>
  <c r="K103" i="1"/>
  <c r="J103" i="1"/>
  <c r="Q114" i="1"/>
  <c r="O114" i="1"/>
  <c r="N114" i="1"/>
  <c r="K114" i="1"/>
  <c r="J114" i="1"/>
  <c r="Q106" i="1"/>
  <c r="O106" i="1"/>
  <c r="N106" i="1"/>
  <c r="K106" i="1"/>
  <c r="J106" i="1"/>
  <c r="Q182" i="1"/>
  <c r="O182" i="1"/>
  <c r="N182" i="1"/>
  <c r="K182" i="1"/>
  <c r="J182" i="1"/>
  <c r="Q277" i="1"/>
  <c r="O277" i="1"/>
  <c r="N277" i="1"/>
  <c r="K277" i="1"/>
  <c r="J277" i="1"/>
  <c r="Q311" i="1"/>
  <c r="O311" i="1"/>
  <c r="N311" i="1"/>
  <c r="K311" i="1"/>
  <c r="J311" i="1"/>
  <c r="Q187" i="1"/>
  <c r="O187" i="1"/>
  <c r="N187" i="1"/>
  <c r="K187" i="1"/>
  <c r="J187" i="1"/>
  <c r="Q107" i="1"/>
  <c r="O107" i="1"/>
  <c r="N107" i="1"/>
  <c r="K107" i="1"/>
  <c r="J107" i="1"/>
  <c r="Q310" i="1"/>
  <c r="O310" i="1"/>
  <c r="N310" i="1"/>
  <c r="K310" i="1"/>
  <c r="J310" i="1"/>
  <c r="Q201" i="1"/>
  <c r="O201" i="1"/>
  <c r="N201" i="1"/>
  <c r="K201" i="1"/>
  <c r="J201" i="1"/>
  <c r="Q295" i="1"/>
  <c r="O295" i="1"/>
  <c r="N295" i="1"/>
  <c r="K295" i="1"/>
  <c r="J295" i="1"/>
  <c r="Q47" i="1"/>
  <c r="O47" i="1"/>
  <c r="N47" i="1"/>
  <c r="K47" i="1"/>
  <c r="J47" i="1"/>
  <c r="Q325" i="1"/>
  <c r="O325" i="1"/>
  <c r="N325" i="1"/>
  <c r="K325" i="1"/>
  <c r="J325" i="1"/>
  <c r="Q29" i="1"/>
  <c r="O29" i="1"/>
  <c r="N29" i="1"/>
  <c r="K29" i="1"/>
  <c r="J29" i="1"/>
  <c r="Q59" i="1"/>
  <c r="O59" i="1"/>
  <c r="N59" i="1"/>
  <c r="K59" i="1"/>
  <c r="J59" i="1"/>
  <c r="Q268" i="1"/>
  <c r="O268" i="1"/>
  <c r="N268" i="1"/>
  <c r="K268" i="1"/>
  <c r="J268" i="1"/>
  <c r="Q80" i="1"/>
  <c r="O80" i="1"/>
  <c r="N80" i="1"/>
  <c r="K80" i="1"/>
  <c r="J80" i="1"/>
  <c r="Q132" i="1"/>
  <c r="O132" i="1"/>
  <c r="N132" i="1"/>
  <c r="K132" i="1"/>
  <c r="J132" i="1"/>
  <c r="Q260" i="1"/>
  <c r="O260" i="1"/>
  <c r="N260" i="1"/>
  <c r="K260" i="1"/>
  <c r="J260" i="1"/>
  <c r="Q273" i="1"/>
  <c r="O273" i="1"/>
  <c r="N273" i="1"/>
  <c r="K273" i="1"/>
  <c r="J273" i="1"/>
  <c r="Q296" i="1"/>
  <c r="O296" i="1"/>
  <c r="N296" i="1"/>
  <c r="K296" i="1"/>
  <c r="J296" i="1"/>
  <c r="Q126" i="1"/>
  <c r="O126" i="1"/>
  <c r="N126" i="1"/>
  <c r="K126" i="1"/>
  <c r="J126" i="1"/>
  <c r="Q267" i="1"/>
  <c r="O267" i="1"/>
  <c r="N267" i="1"/>
  <c r="K267" i="1"/>
  <c r="J267" i="1"/>
  <c r="Q266" i="1"/>
  <c r="O266" i="1"/>
  <c r="N266" i="1"/>
  <c r="K266" i="1"/>
  <c r="J266" i="1"/>
  <c r="Q14" i="1"/>
  <c r="O14" i="1"/>
  <c r="N14" i="1"/>
  <c r="K14" i="1"/>
  <c r="J14" i="1"/>
  <c r="Q302" i="1"/>
  <c r="O302" i="1"/>
  <c r="N302" i="1"/>
  <c r="K302" i="1"/>
  <c r="J302" i="1"/>
  <c r="Q85" i="1"/>
  <c r="O85" i="1"/>
  <c r="N85" i="1"/>
  <c r="K85" i="1"/>
  <c r="J85" i="1"/>
  <c r="Q28" i="1"/>
  <c r="O28" i="1"/>
  <c r="N28" i="1"/>
  <c r="K28" i="1"/>
  <c r="J28" i="1"/>
  <c r="Q165" i="1"/>
  <c r="O165" i="1"/>
  <c r="N165" i="1"/>
  <c r="K165" i="1"/>
  <c r="J165" i="1"/>
  <c r="Q151" i="1"/>
  <c r="O151" i="1"/>
  <c r="N151" i="1"/>
  <c r="K151" i="1"/>
  <c r="J151" i="1"/>
  <c r="Q231" i="1"/>
  <c r="O231" i="1"/>
  <c r="N231" i="1"/>
  <c r="K231" i="1"/>
  <c r="J231" i="1"/>
  <c r="Q209" i="1"/>
  <c r="O209" i="1"/>
  <c r="N209" i="1"/>
  <c r="K209" i="1"/>
  <c r="J209" i="1"/>
  <c r="Q309" i="1"/>
  <c r="O309" i="1"/>
  <c r="N309" i="1"/>
  <c r="K309" i="1"/>
  <c r="J309" i="1"/>
  <c r="Q161" i="1"/>
  <c r="O161" i="1"/>
  <c r="N161" i="1"/>
  <c r="K161" i="1"/>
  <c r="J161" i="1"/>
  <c r="Q109" i="1"/>
  <c r="O109" i="1"/>
  <c r="N109" i="1"/>
  <c r="K109" i="1"/>
  <c r="J109" i="1"/>
  <c r="Q98" i="1"/>
  <c r="O98" i="1"/>
  <c r="N98" i="1"/>
  <c r="K98" i="1"/>
  <c r="J98" i="1"/>
  <c r="Q276" i="1"/>
  <c r="O276" i="1"/>
  <c r="N276" i="1"/>
  <c r="K276" i="1"/>
  <c r="J276" i="1"/>
  <c r="Q197" i="1"/>
  <c r="O197" i="1"/>
  <c r="N197" i="1"/>
  <c r="K197" i="1"/>
  <c r="J197" i="1"/>
  <c r="Q292" i="1"/>
  <c r="O292" i="1"/>
  <c r="N292" i="1"/>
  <c r="K292" i="1"/>
  <c r="J292" i="1"/>
  <c r="Q21" i="1"/>
  <c r="O21" i="1"/>
  <c r="N21" i="1"/>
  <c r="K21" i="1"/>
  <c r="J21" i="1"/>
  <c r="Q91" i="1"/>
  <c r="O91" i="1"/>
  <c r="N91" i="1"/>
  <c r="K91" i="1"/>
  <c r="J91" i="1"/>
  <c r="Q79" i="1"/>
  <c r="O79" i="1"/>
  <c r="N79" i="1"/>
  <c r="K79" i="1"/>
  <c r="J79" i="1"/>
  <c r="Q51" i="1"/>
  <c r="O51" i="1"/>
  <c r="N51" i="1"/>
  <c r="K51" i="1"/>
  <c r="J51" i="1"/>
  <c r="Q78" i="1"/>
  <c r="O78" i="1"/>
  <c r="N78" i="1"/>
  <c r="K78" i="1"/>
  <c r="J78" i="1"/>
  <c r="Q46" i="1"/>
  <c r="O46" i="1"/>
  <c r="N46" i="1"/>
  <c r="K46" i="1"/>
  <c r="J46" i="1"/>
  <c r="Q63" i="1"/>
  <c r="O63" i="1"/>
  <c r="N63" i="1"/>
  <c r="K63" i="1"/>
  <c r="J63" i="1"/>
  <c r="Q34" i="1"/>
  <c r="O34" i="1"/>
  <c r="N34" i="1"/>
  <c r="K34" i="1"/>
  <c r="J34" i="1"/>
  <c r="Q180" i="1"/>
  <c r="O180" i="1"/>
  <c r="N180" i="1"/>
  <c r="K180" i="1"/>
  <c r="J180" i="1"/>
  <c r="Q226" i="1"/>
  <c r="O226" i="1"/>
  <c r="N226" i="1"/>
  <c r="K226" i="1"/>
  <c r="J226" i="1"/>
  <c r="Q174" i="1"/>
  <c r="O174" i="1"/>
  <c r="N174" i="1"/>
  <c r="K174" i="1"/>
  <c r="J174" i="1"/>
  <c r="Q298" i="1"/>
  <c r="O298" i="1"/>
  <c r="N298" i="1"/>
  <c r="K298" i="1"/>
  <c r="J298" i="1"/>
  <c r="Q140" i="1"/>
  <c r="O140" i="1"/>
  <c r="N140" i="1"/>
  <c r="K140" i="1"/>
  <c r="J140" i="1"/>
  <c r="Q272" i="1"/>
  <c r="O272" i="1"/>
  <c r="N272" i="1"/>
  <c r="K272" i="1"/>
  <c r="J272" i="1"/>
  <c r="Q27" i="1"/>
  <c r="O27" i="1"/>
  <c r="N27" i="1"/>
  <c r="K27" i="1"/>
  <c r="J27" i="1"/>
  <c r="Q321" i="1"/>
  <c r="O321" i="1"/>
  <c r="N321" i="1"/>
  <c r="K321" i="1"/>
  <c r="J321" i="1"/>
  <c r="Q7" i="1"/>
  <c r="O7" i="1"/>
  <c r="N7" i="1"/>
  <c r="K7" i="1"/>
  <c r="J7" i="1"/>
  <c r="Q291" i="1"/>
  <c r="O291" i="1"/>
  <c r="N291" i="1"/>
  <c r="K291" i="1"/>
  <c r="J291" i="1"/>
  <c r="Q13" i="1"/>
  <c r="O13" i="1"/>
  <c r="N13" i="1"/>
  <c r="K13" i="1"/>
  <c r="J13" i="1"/>
  <c r="Q53" i="1"/>
  <c r="O53" i="1"/>
  <c r="N53" i="1"/>
  <c r="K53" i="1"/>
  <c r="J53" i="1"/>
  <c r="Q193" i="1"/>
  <c r="O193" i="1"/>
  <c r="N193" i="1"/>
  <c r="K193" i="1"/>
  <c r="J193" i="1"/>
  <c r="Q71" i="1"/>
  <c r="O71" i="1"/>
  <c r="N71" i="1"/>
  <c r="K71" i="1"/>
  <c r="J71" i="1"/>
  <c r="Q44" i="1"/>
  <c r="O44" i="1"/>
  <c r="N44" i="1"/>
  <c r="K44" i="1"/>
  <c r="J44" i="1"/>
  <c r="Q62" i="1"/>
  <c r="O62" i="1"/>
  <c r="N62" i="1"/>
  <c r="K62" i="1"/>
  <c r="J62" i="1"/>
  <c r="Q43" i="1"/>
  <c r="O43" i="1"/>
  <c r="N43" i="1"/>
  <c r="K43" i="1"/>
  <c r="J43" i="1"/>
  <c r="Q186" i="1"/>
  <c r="O186" i="1"/>
  <c r="N186" i="1"/>
  <c r="K186" i="1"/>
  <c r="J186" i="1"/>
  <c r="Q283" i="1"/>
  <c r="O283" i="1"/>
  <c r="N283" i="1"/>
  <c r="K283" i="1"/>
  <c r="J283" i="1"/>
  <c r="Q249" i="1"/>
  <c r="O249" i="1"/>
  <c r="N249" i="1"/>
  <c r="K249" i="1"/>
  <c r="J249" i="1"/>
  <c r="Q196" i="1"/>
  <c r="O196" i="1"/>
  <c r="N196" i="1"/>
  <c r="K196" i="1"/>
  <c r="J196" i="1"/>
  <c r="Q70" i="1"/>
  <c r="O70" i="1"/>
  <c r="N70" i="1"/>
  <c r="K70" i="1"/>
  <c r="J70" i="1"/>
  <c r="Q69" i="1"/>
  <c r="O69" i="1"/>
  <c r="N69" i="1"/>
  <c r="K69" i="1"/>
  <c r="J69" i="1"/>
  <c r="Q301" i="1"/>
  <c r="O301" i="1"/>
  <c r="N301" i="1"/>
  <c r="K301" i="1"/>
  <c r="J301" i="1"/>
  <c r="Q26" i="1"/>
  <c r="O26" i="1"/>
  <c r="N26" i="1"/>
  <c r="K26" i="1"/>
  <c r="J26" i="1"/>
  <c r="Q230" i="1"/>
  <c r="O230" i="1"/>
  <c r="N230" i="1"/>
  <c r="K230" i="1"/>
  <c r="J230" i="1"/>
  <c r="Q220" i="1"/>
  <c r="O220" i="1"/>
  <c r="N220" i="1"/>
  <c r="K220" i="1"/>
  <c r="J220" i="1"/>
  <c r="Q229" i="1"/>
  <c r="O229" i="1"/>
  <c r="N229" i="1"/>
  <c r="K229" i="1"/>
  <c r="J229" i="1"/>
  <c r="Q133" i="1"/>
  <c r="O133" i="1"/>
  <c r="N133" i="1"/>
  <c r="K133" i="1"/>
  <c r="J133" i="1"/>
  <c r="Q147" i="1"/>
  <c r="O147" i="1"/>
  <c r="N147" i="1"/>
  <c r="K147" i="1"/>
  <c r="J147" i="1"/>
  <c r="Q40" i="1"/>
  <c r="O40" i="1"/>
  <c r="N40" i="1"/>
  <c r="K40" i="1"/>
  <c r="J40" i="1"/>
  <c r="Q10" i="1"/>
  <c r="O10" i="1"/>
  <c r="N10" i="1"/>
  <c r="K10" i="1"/>
  <c r="J10" i="1"/>
  <c r="Q195" i="1"/>
  <c r="O195" i="1"/>
  <c r="N195" i="1"/>
  <c r="K195" i="1"/>
  <c r="J195" i="1"/>
  <c r="Q92" i="1"/>
  <c r="O92" i="1"/>
  <c r="N92" i="1"/>
  <c r="K92" i="1"/>
  <c r="J92" i="1"/>
  <c r="Q200" i="1"/>
  <c r="O200" i="1"/>
  <c r="N200" i="1"/>
  <c r="K200" i="1"/>
  <c r="J200" i="1"/>
  <c r="Q222" i="1"/>
  <c r="O222" i="1"/>
  <c r="N222" i="1"/>
  <c r="K222" i="1"/>
  <c r="J222" i="1"/>
  <c r="Q135" i="1"/>
  <c r="O135" i="1"/>
  <c r="N135" i="1"/>
  <c r="K135" i="1"/>
  <c r="J135" i="1"/>
  <c r="Q115" i="1"/>
  <c r="O115" i="1"/>
  <c r="N115" i="1"/>
  <c r="K115" i="1"/>
  <c r="J115" i="1"/>
  <c r="Q89" i="1"/>
  <c r="O89" i="1"/>
  <c r="N89" i="1"/>
  <c r="K89" i="1"/>
  <c r="J89" i="1"/>
  <c r="Q66" i="1"/>
  <c r="O66" i="1"/>
  <c r="N66" i="1"/>
  <c r="K66" i="1"/>
  <c r="J66" i="1"/>
  <c r="Q12" i="1"/>
  <c r="O12" i="1"/>
  <c r="N12" i="1"/>
  <c r="K12" i="1"/>
  <c r="J12" i="1"/>
  <c r="Q77" i="1"/>
  <c r="O77" i="1"/>
  <c r="N77" i="1"/>
  <c r="K77" i="1"/>
  <c r="J77" i="1"/>
  <c r="Q145" i="1"/>
  <c r="O145" i="1"/>
  <c r="N145" i="1"/>
  <c r="K145" i="1"/>
  <c r="J145" i="1"/>
  <c r="Q314" i="1"/>
  <c r="O314" i="1"/>
  <c r="N314" i="1"/>
  <c r="K314" i="1"/>
  <c r="J314" i="1"/>
  <c r="Q105" i="1"/>
  <c r="O105" i="1"/>
  <c r="N105" i="1"/>
  <c r="K105" i="1"/>
  <c r="J105" i="1"/>
  <c r="Q142" i="1"/>
  <c r="O142" i="1"/>
  <c r="N142" i="1"/>
  <c r="K142" i="1"/>
  <c r="J142" i="1"/>
  <c r="Q87" i="1"/>
  <c r="O87" i="1"/>
  <c r="N87" i="1"/>
  <c r="K87" i="1"/>
  <c r="J87" i="1"/>
  <c r="Q271" i="1"/>
  <c r="O271" i="1"/>
  <c r="N271" i="1"/>
  <c r="K271" i="1"/>
  <c r="J271" i="1"/>
  <c r="Q289" i="1"/>
  <c r="O289" i="1"/>
  <c r="N289" i="1"/>
  <c r="K289" i="1"/>
  <c r="J289" i="1"/>
  <c r="Q265" i="1"/>
  <c r="O265" i="1"/>
  <c r="N265" i="1"/>
  <c r="K265" i="1"/>
  <c r="J265" i="1"/>
  <c r="Q194" i="1"/>
  <c r="O194" i="1"/>
  <c r="N194" i="1"/>
  <c r="K194" i="1"/>
  <c r="J194" i="1"/>
  <c r="Q279" i="1"/>
  <c r="O279" i="1"/>
  <c r="N279" i="1"/>
  <c r="K279" i="1"/>
  <c r="J279" i="1"/>
  <c r="Q39" i="1"/>
  <c r="O39" i="1"/>
  <c r="N39" i="1"/>
  <c r="K39" i="1"/>
  <c r="J39" i="1"/>
  <c r="Q317" i="1"/>
  <c r="O317" i="1"/>
  <c r="N317" i="1"/>
  <c r="K317" i="1"/>
  <c r="J317" i="1"/>
  <c r="Q320" i="1"/>
  <c r="O320" i="1"/>
  <c r="N320" i="1"/>
  <c r="K320" i="1"/>
  <c r="J320" i="1"/>
  <c r="Q319" i="1"/>
  <c r="O319" i="1"/>
  <c r="N319" i="1"/>
  <c r="K319" i="1"/>
  <c r="J319" i="1"/>
  <c r="Q288" i="1"/>
  <c r="O288" i="1"/>
  <c r="N288" i="1"/>
  <c r="K288" i="1"/>
  <c r="J288" i="1"/>
  <c r="Q287" i="1"/>
  <c r="O287" i="1"/>
  <c r="N287" i="1"/>
  <c r="K287" i="1"/>
  <c r="J287" i="1"/>
  <c r="Q286" i="1"/>
  <c r="O286" i="1"/>
  <c r="N286" i="1"/>
  <c r="K286" i="1"/>
  <c r="J286" i="1"/>
  <c r="Q290" i="1"/>
  <c r="O290" i="1"/>
  <c r="N290" i="1"/>
  <c r="K290" i="1"/>
  <c r="J290" i="1"/>
  <c r="Q68" i="1"/>
  <c r="O68" i="1"/>
  <c r="N68" i="1"/>
  <c r="K68" i="1"/>
  <c r="J68" i="1"/>
  <c r="Q58" i="1"/>
  <c r="O58" i="1"/>
  <c r="N58" i="1"/>
  <c r="K58" i="1"/>
  <c r="J58" i="1"/>
  <c r="Q264" i="1"/>
  <c r="O264" i="1"/>
  <c r="N264" i="1"/>
  <c r="K264" i="1"/>
  <c r="J264" i="1"/>
  <c r="Q9" i="1"/>
  <c r="O9" i="1"/>
  <c r="N9" i="1"/>
  <c r="K9" i="1"/>
  <c r="J9" i="1"/>
  <c r="Q259" i="1"/>
  <c r="O259" i="1"/>
  <c r="N259" i="1"/>
  <c r="K259" i="1"/>
  <c r="J259" i="1"/>
  <c r="Q199" i="1"/>
  <c r="O199" i="1"/>
  <c r="N199" i="1"/>
  <c r="K199" i="1"/>
  <c r="J199" i="1"/>
  <c r="Q20" i="1"/>
  <c r="O20" i="1"/>
  <c r="N20" i="1"/>
  <c r="K20" i="1"/>
  <c r="J20" i="1"/>
  <c r="Q88" i="1"/>
  <c r="O88" i="1"/>
  <c r="N88" i="1"/>
  <c r="K88" i="1"/>
  <c r="J88" i="1"/>
  <c r="Q294" i="1"/>
  <c r="O294" i="1"/>
  <c r="N294" i="1"/>
  <c r="K294" i="1"/>
  <c r="J294" i="1"/>
  <c r="Q129" i="1"/>
  <c r="O129" i="1"/>
  <c r="N129" i="1"/>
  <c r="K129" i="1"/>
  <c r="J129" i="1"/>
  <c r="Q158" i="1"/>
  <c r="O158" i="1"/>
  <c r="N158" i="1"/>
  <c r="K158" i="1"/>
  <c r="J158" i="1"/>
  <c r="Q258" i="1"/>
  <c r="O258" i="1"/>
  <c r="N258" i="1"/>
  <c r="K258" i="1"/>
  <c r="J258" i="1"/>
  <c r="Q61" i="1"/>
  <c r="O61" i="1"/>
  <c r="N61" i="1"/>
  <c r="K61" i="1"/>
  <c r="J61" i="1"/>
  <c r="Q25" i="1"/>
  <c r="O25" i="1"/>
  <c r="N25" i="1"/>
  <c r="K25" i="1"/>
  <c r="J25" i="1"/>
  <c r="Q307" i="1"/>
  <c r="O307" i="1"/>
  <c r="N307" i="1"/>
  <c r="K307" i="1"/>
  <c r="J307" i="1"/>
  <c r="Q42" i="1"/>
  <c r="O42" i="1"/>
  <c r="N42" i="1"/>
  <c r="K42" i="1"/>
  <c r="J42" i="1"/>
  <c r="Q6" i="1"/>
  <c r="O6" i="1"/>
  <c r="N6" i="1"/>
  <c r="K6" i="1"/>
  <c r="Q152" i="1"/>
  <c r="O152" i="1"/>
  <c r="N152" i="1"/>
  <c r="K152" i="1"/>
  <c r="J152" i="1"/>
  <c r="Q240" i="1"/>
  <c r="O240" i="1"/>
  <c r="N240" i="1"/>
  <c r="K240" i="1"/>
  <c r="J240" i="1"/>
  <c r="Q326" i="1"/>
  <c r="O326" i="1"/>
  <c r="N326" i="1"/>
  <c r="K326" i="1"/>
  <c r="J326" i="1"/>
  <c r="Q41" i="1"/>
  <c r="O41" i="1"/>
  <c r="N41" i="1"/>
  <c r="K41" i="1"/>
  <c r="J41" i="1"/>
  <c r="Q16" i="1"/>
  <c r="O16" i="1"/>
  <c r="N16" i="1"/>
  <c r="K16" i="1"/>
  <c r="J16" i="1"/>
  <c r="Q76" i="1"/>
  <c r="O76" i="1"/>
  <c r="N76" i="1"/>
  <c r="K76" i="1"/>
  <c r="J76" i="1"/>
  <c r="Q84" i="1"/>
  <c r="O84" i="1"/>
  <c r="N84" i="1"/>
  <c r="K84" i="1"/>
  <c r="J84" i="1"/>
  <c r="Q32" i="1"/>
  <c r="O32" i="1"/>
  <c r="N32" i="1"/>
  <c r="K32" i="1"/>
  <c r="J32" i="1"/>
  <c r="Q239" i="1"/>
  <c r="O239" i="1"/>
  <c r="N239" i="1"/>
  <c r="K239" i="1"/>
  <c r="J239" i="1"/>
  <c r="Q24" i="1"/>
  <c r="O24" i="1"/>
  <c r="N24" i="1"/>
  <c r="K24" i="1"/>
  <c r="J24" i="1"/>
  <c r="Q156" i="1"/>
  <c r="O156" i="1"/>
  <c r="N156" i="1"/>
  <c r="K156" i="1"/>
  <c r="J156" i="1"/>
  <c r="Q131" i="1"/>
  <c r="O131" i="1"/>
  <c r="N131" i="1"/>
  <c r="K131" i="1"/>
  <c r="J131" i="1"/>
  <c r="Q257" i="1"/>
  <c r="O257" i="1"/>
  <c r="N257" i="1"/>
  <c r="K257" i="1"/>
  <c r="J257" i="1"/>
  <c r="Q94" i="1"/>
  <c r="O94" i="1"/>
  <c r="N94" i="1"/>
  <c r="K94" i="1"/>
  <c r="J94" i="1"/>
  <c r="Q181" i="1"/>
  <c r="O181" i="1"/>
  <c r="N181" i="1"/>
  <c r="K181" i="1"/>
  <c r="J181" i="1"/>
  <c r="Q11" i="1"/>
  <c r="O11" i="1"/>
  <c r="N11" i="1"/>
  <c r="K11" i="1"/>
  <c r="J11" i="1"/>
  <c r="Q274" i="1"/>
  <c r="O274" i="1"/>
  <c r="N274" i="1"/>
  <c r="K274" i="1"/>
  <c r="J274" i="1"/>
  <c r="Q263" i="1"/>
  <c r="O263" i="1"/>
  <c r="N263" i="1"/>
  <c r="K263" i="1"/>
  <c r="J263" i="1"/>
  <c r="Q57" i="1"/>
  <c r="O57" i="1"/>
  <c r="N57" i="1"/>
  <c r="K57" i="1"/>
  <c r="J57" i="1"/>
  <c r="Q148" i="1"/>
  <c r="O148" i="1"/>
  <c r="N148" i="1"/>
  <c r="K148" i="1"/>
  <c r="J148" i="1"/>
  <c r="Q93" i="1"/>
  <c r="O93" i="1"/>
  <c r="N93" i="1"/>
  <c r="K93" i="1"/>
  <c r="J93" i="1"/>
  <c r="Q50" i="1"/>
  <c r="O50" i="1"/>
  <c r="N50" i="1"/>
  <c r="K50" i="1"/>
  <c r="J50" i="1"/>
  <c r="Q192" i="1"/>
  <c r="O192" i="1"/>
  <c r="N192" i="1"/>
  <c r="K192" i="1"/>
  <c r="J192" i="1"/>
  <c r="Q136" i="1"/>
  <c r="O136" i="1"/>
  <c r="N136" i="1"/>
  <c r="K136" i="1"/>
  <c r="J136" i="1"/>
  <c r="Q306" i="1"/>
  <c r="O306" i="1"/>
  <c r="N306" i="1"/>
  <c r="K306" i="1"/>
  <c r="J306" i="1"/>
  <c r="Q19" i="1"/>
  <c r="O19" i="1"/>
  <c r="N19" i="1"/>
  <c r="K19" i="1"/>
  <c r="J19" i="1"/>
  <c r="Q121" i="1"/>
  <c r="O121" i="1"/>
  <c r="N121" i="1"/>
  <c r="K121" i="1"/>
  <c r="J121" i="1"/>
  <c r="Q316" i="1"/>
  <c r="O316" i="1"/>
  <c r="N316" i="1"/>
  <c r="K316" i="1"/>
  <c r="J316" i="1"/>
  <c r="Q141" i="1"/>
  <c r="O141" i="1"/>
  <c r="N141" i="1"/>
  <c r="K141" i="1"/>
  <c r="J141" i="1"/>
  <c r="Q270" i="1"/>
  <c r="O270" i="1"/>
  <c r="N270" i="1"/>
  <c r="K270" i="1"/>
  <c r="J270" i="1"/>
  <c r="Q38" i="1"/>
  <c r="O38" i="1"/>
  <c r="N38" i="1"/>
  <c r="K38" i="1"/>
  <c r="J38" i="1"/>
  <c r="Q262" i="1"/>
  <c r="O262" i="1"/>
  <c r="N262" i="1"/>
  <c r="K262" i="1"/>
  <c r="J262" i="1"/>
  <c r="Q281" i="1"/>
  <c r="O281" i="1"/>
  <c r="N281" i="1"/>
  <c r="K281" i="1"/>
  <c r="J281" i="1"/>
  <c r="Q300" i="1"/>
  <c r="O300" i="1"/>
  <c r="N300" i="1"/>
  <c r="K300" i="1"/>
  <c r="J300" i="1"/>
  <c r="Q261" i="1"/>
  <c r="O261" i="1"/>
  <c r="N261" i="1"/>
  <c r="K261" i="1"/>
  <c r="J261" i="1"/>
  <c r="Q67" i="1"/>
  <c r="O67" i="1"/>
  <c r="N67" i="1"/>
  <c r="K67" i="1"/>
  <c r="J67" i="1"/>
  <c r="Q15" i="1"/>
  <c r="O15" i="1"/>
  <c r="N15" i="1"/>
  <c r="K15" i="1"/>
  <c r="J15" i="1"/>
  <c r="Q108" i="1"/>
  <c r="O108" i="1"/>
  <c r="N108" i="1"/>
  <c r="K108" i="1"/>
  <c r="J108" i="1"/>
  <c r="Q155" i="1"/>
  <c r="O155" i="1"/>
  <c r="N155" i="1"/>
  <c r="K155" i="1"/>
  <c r="J155" i="1"/>
  <c r="Q23" i="1"/>
  <c r="O23" i="1"/>
  <c r="N23" i="1"/>
  <c r="K23" i="1"/>
  <c r="J23" i="1"/>
  <c r="Q173" i="1"/>
  <c r="O173" i="1"/>
  <c r="N173" i="1"/>
  <c r="K173" i="1"/>
  <c r="J173" i="1"/>
  <c r="Q18" i="1"/>
  <c r="O18" i="1"/>
  <c r="N18" i="1"/>
  <c r="K18" i="1"/>
  <c r="J18" i="1"/>
  <c r="Q299" i="1"/>
  <c r="O299" i="1"/>
  <c r="N299" i="1"/>
  <c r="K299" i="1"/>
  <c r="J299" i="1"/>
  <c r="Q49" i="1"/>
  <c r="O49" i="1"/>
  <c r="N49" i="1"/>
  <c r="K49" i="1"/>
  <c r="J49" i="1"/>
  <c r="Q117" i="1"/>
  <c r="O117" i="1"/>
  <c r="N117" i="1"/>
  <c r="K117" i="1"/>
  <c r="J117" i="1"/>
  <c r="Q275" i="1"/>
  <c r="O275" i="1"/>
  <c r="N275" i="1"/>
  <c r="K275" i="1"/>
  <c r="J275" i="1"/>
</calcChain>
</file>

<file path=xl/sharedStrings.xml><?xml version="1.0" encoding="utf-8"?>
<sst xmlns="http://schemas.openxmlformats.org/spreadsheetml/2006/main" count="2058" uniqueCount="480">
  <si>
    <t>Outlet Id</t>
  </si>
  <si>
    <t>Outlet Name</t>
  </si>
  <si>
    <t>DSE Code</t>
  </si>
  <si>
    <t>New Category Outlet</t>
  </si>
  <si>
    <t>ISIMPLE</t>
  </si>
  <si>
    <t>SITE ID</t>
  </si>
  <si>
    <t>SP SELL IN</t>
  </si>
  <si>
    <t>ACH 3PCS</t>
  </si>
  <si>
    <t>ACH % SP SELL IN</t>
  </si>
  <si>
    <t>SP TAGGING</t>
  </si>
  <si>
    <t>TAGGING 3PCS</t>
  </si>
  <si>
    <t>ACH OSA</t>
  </si>
  <si>
    <t>Outlet 300K</t>
  </si>
  <si>
    <t>ACH % OSA</t>
  </si>
  <si>
    <t>SENIN</t>
  </si>
  <si>
    <t>SELASA</t>
  </si>
  <si>
    <t>RABU</t>
  </si>
  <si>
    <t>KAMIS</t>
  </si>
  <si>
    <t>JUMAT</t>
  </si>
  <si>
    <t>SABTU</t>
  </si>
  <si>
    <t>ABIY PONSEL</t>
  </si>
  <si>
    <t>DSE1147</t>
  </si>
  <si>
    <t>YES</t>
  </si>
  <si>
    <t>20BEK0066</t>
  </si>
  <si>
    <t>AJP CELL</t>
  </si>
  <si>
    <t>DSE1082</t>
  </si>
  <si>
    <t>NO</t>
  </si>
  <si>
    <t>20BEK0014</t>
  </si>
  <si>
    <t>Ajp Cell monterado</t>
  </si>
  <si>
    <t>20BEK0069</t>
  </si>
  <si>
    <t>Ajun ponsel</t>
  </si>
  <si>
    <t>DSE-JAGOIBABNG01</t>
  </si>
  <si>
    <t>20BEK0074</t>
  </si>
  <si>
    <t>ALAN PONSEL</t>
  </si>
  <si>
    <t>Aling cell</t>
  </si>
  <si>
    <t>DSE-JAGOIBABNG02</t>
  </si>
  <si>
    <t>20BEK0058</t>
  </si>
  <si>
    <t>All store</t>
  </si>
  <si>
    <t>20BEK0055</t>
  </si>
  <si>
    <t>Amelia ponsel</t>
  </si>
  <si>
    <t>20BEK0067</t>
  </si>
  <si>
    <t>Ana ponsel</t>
  </si>
  <si>
    <t>20BEK0020</t>
  </si>
  <si>
    <t>Andreono</t>
  </si>
  <si>
    <t>Angel ponsel</t>
  </si>
  <si>
    <t>Anindya cell</t>
  </si>
  <si>
    <t>20BEK0047</t>
  </si>
  <si>
    <t>Arkhana ponsel</t>
  </si>
  <si>
    <t>20BEK0076</t>
  </si>
  <si>
    <t>Asmanto</t>
  </si>
  <si>
    <t>20BEK0017</t>
  </si>
  <si>
    <t>Auto cell</t>
  </si>
  <si>
    <t>Ayu Ponsel</t>
  </si>
  <si>
    <t>20BEK0065</t>
  </si>
  <si>
    <t>Ba tiar</t>
  </si>
  <si>
    <t>20BEK0080</t>
  </si>
  <si>
    <t>Bahagia cell</t>
  </si>
  <si>
    <t>DSE-BENGKAYANG01</t>
  </si>
  <si>
    <t>20BEK0010</t>
  </si>
  <si>
    <t>barca ponsel</t>
  </si>
  <si>
    <t>20BEK0039</t>
  </si>
  <si>
    <t>Bela Bily</t>
  </si>
  <si>
    <t>20BEK0050</t>
  </si>
  <si>
    <t>Berlian ponsel</t>
  </si>
  <si>
    <t>Bina jaya</t>
  </si>
  <si>
    <t>20BEK0029</t>
  </si>
  <si>
    <t>bless cellular</t>
  </si>
  <si>
    <t>20BEK0036</t>
  </si>
  <si>
    <t>B-PHONE</t>
  </si>
  <si>
    <t>BUNTAT CELL</t>
  </si>
  <si>
    <t>BUSELINDO</t>
  </si>
  <si>
    <t>20BEK0013</t>
  </si>
  <si>
    <t>Caca ponsel</t>
  </si>
  <si>
    <t>20BEK0015</t>
  </si>
  <si>
    <t>Cahaya Mandiri</t>
  </si>
  <si>
    <t>20BEK0054</t>
  </si>
  <si>
    <t>Central Phone</t>
  </si>
  <si>
    <t>20BEK0007</t>
  </si>
  <si>
    <t>CERIA CELL</t>
  </si>
  <si>
    <t>20BEK0012</t>
  </si>
  <si>
    <t>CHILI PONSEL</t>
  </si>
  <si>
    <t>Cik Sap Nah Cell</t>
  </si>
  <si>
    <t>CITRA PONSEL</t>
  </si>
  <si>
    <t>20BEK0005</t>
  </si>
  <si>
    <t>CITY MOBILE</t>
  </si>
  <si>
    <t>20BEK0051</t>
  </si>
  <si>
    <t>Cs Jaya ponsel</t>
  </si>
  <si>
    <t>Dedek ria</t>
  </si>
  <si>
    <t>20BEK0042</t>
  </si>
  <si>
    <t>Dela ponsel</t>
  </si>
  <si>
    <t>20BEK0075</t>
  </si>
  <si>
    <t>dewa ponsel</t>
  </si>
  <si>
    <t>20BEK0026</t>
  </si>
  <si>
    <t>Dian ponsel</t>
  </si>
  <si>
    <t>20BEK0094</t>
  </si>
  <si>
    <t>DIMENSI SELLULER</t>
  </si>
  <si>
    <t>20BEK0072</t>
  </si>
  <si>
    <t>Dina sucipta</t>
  </si>
  <si>
    <t>20BEK0016</t>
  </si>
  <si>
    <t>Dragon Cell</t>
  </si>
  <si>
    <t>Dunia ponsel</t>
  </si>
  <si>
    <t>Duta cell</t>
  </si>
  <si>
    <t>Duta Celluler</t>
  </si>
  <si>
    <t>Duta phone</t>
  </si>
  <si>
    <t>20BEK0033</t>
  </si>
  <si>
    <t>20BEK0037</t>
  </si>
  <si>
    <t>Dwi ponsel</t>
  </si>
  <si>
    <t>20BEK0046</t>
  </si>
  <si>
    <t>Edi ponsel</t>
  </si>
  <si>
    <t>20BEK0040</t>
  </si>
  <si>
    <t>EKO CELLULER</t>
  </si>
  <si>
    <t>20BEK0057</t>
  </si>
  <si>
    <t>El shaddy</t>
  </si>
  <si>
    <t>20BEK0082</t>
  </si>
  <si>
    <t>Ela ponsel</t>
  </si>
  <si>
    <t>Elsematrix</t>
  </si>
  <si>
    <t>ENJOY SHOP</t>
  </si>
  <si>
    <t>20BEK0004</t>
  </si>
  <si>
    <t>Erik ponsel</t>
  </si>
  <si>
    <t>ET.COM</t>
  </si>
  <si>
    <t>20BEK0056</t>
  </si>
  <si>
    <t>Eva Nurjanah</t>
  </si>
  <si>
    <t>20BEK0092</t>
  </si>
  <si>
    <t>Evan</t>
  </si>
  <si>
    <t>Evi ponsel</t>
  </si>
  <si>
    <t>20BEK0091</t>
  </si>
  <si>
    <t>20BEK0086</t>
  </si>
  <si>
    <t>Extra ponsel</t>
  </si>
  <si>
    <t>Eza cell</t>
  </si>
  <si>
    <t>20BEK0060</t>
  </si>
  <si>
    <t>Fahri Bnl</t>
  </si>
  <si>
    <t>20BEK0044</t>
  </si>
  <si>
    <t>Family ponsel</t>
  </si>
  <si>
    <t>Farida ponsel</t>
  </si>
  <si>
    <t>FATRISIA,SKW</t>
  </si>
  <si>
    <t>20BEK0034</t>
  </si>
  <si>
    <t>Femi ponsel</t>
  </si>
  <si>
    <t>20BEK0022</t>
  </si>
  <si>
    <t>Fitri phonsel</t>
  </si>
  <si>
    <t>20BEK0087</t>
  </si>
  <si>
    <t>FIX CELLULER</t>
  </si>
  <si>
    <t>Formo Cell</t>
  </si>
  <si>
    <t>Gafi 21 cell</t>
  </si>
  <si>
    <t>Galaxy celluler</t>
  </si>
  <si>
    <t>Gatot celll</t>
  </si>
  <si>
    <t>20BEK0045</t>
  </si>
  <si>
    <t>GCELL</t>
  </si>
  <si>
    <t>20BEK0093</t>
  </si>
  <si>
    <t>Genius Cell</t>
  </si>
  <si>
    <t>GERAL Cell</t>
  </si>
  <si>
    <t>Gladiator</t>
  </si>
  <si>
    <t>20BEK0062</t>
  </si>
  <si>
    <t>GM CYBER</t>
  </si>
  <si>
    <t>GOGO Ponsel</t>
  </si>
  <si>
    <t>GOLDEN CELL</t>
  </si>
  <si>
    <t>SH028612</t>
  </si>
  <si>
    <t>google phone</t>
  </si>
  <si>
    <t>grand cell</t>
  </si>
  <si>
    <t>Grand Cell Karimunting</t>
  </si>
  <si>
    <t>20BEK0003</t>
  </si>
  <si>
    <t>Gunawan</t>
  </si>
  <si>
    <t>HAPPY CELL SUI JAGA</t>
  </si>
  <si>
    <t>20BEK0011</t>
  </si>
  <si>
    <t>Happy ponsel</t>
  </si>
  <si>
    <t>Harapan baru</t>
  </si>
  <si>
    <t>Hari cell</t>
  </si>
  <si>
    <t>Hartono</t>
  </si>
  <si>
    <t>SH028563</t>
  </si>
  <si>
    <t>heng phonsel</t>
  </si>
  <si>
    <t>Hentin ponsel</t>
  </si>
  <si>
    <t>hery ponsel</t>
  </si>
  <si>
    <t>SH028627</t>
  </si>
  <si>
    <t>hoki</t>
  </si>
  <si>
    <t>Hulis Ponsel</t>
  </si>
  <si>
    <t>Ibnati Ponsel</t>
  </si>
  <si>
    <t>20BEK0001</t>
  </si>
  <si>
    <t>ILA PONSEL</t>
  </si>
  <si>
    <t>20BEK0053</t>
  </si>
  <si>
    <t>IMAM Cell</t>
  </si>
  <si>
    <t>Imam Ponsel</t>
  </si>
  <si>
    <t>Impian ponsel</t>
  </si>
  <si>
    <t>INDO CELLULAR</t>
  </si>
  <si>
    <t>Indo Gadget</t>
  </si>
  <si>
    <t>Internasional Shop</t>
  </si>
  <si>
    <t>ira maya sfa</t>
  </si>
  <si>
    <t>20BEK0035</t>
  </si>
  <si>
    <t>IsJ ELEKTRONIK</t>
  </si>
  <si>
    <t>Iyan Konter</t>
  </si>
  <si>
    <t>J3 cell</t>
  </si>
  <si>
    <t>Jagoi studio</t>
  </si>
  <si>
    <t>20BEK0068</t>
  </si>
  <si>
    <t>Jaraf Ponsel</t>
  </si>
  <si>
    <t>SH028535</t>
  </si>
  <si>
    <t>JG Phonsel</t>
  </si>
  <si>
    <t>Kamil Ponsel</t>
  </si>
  <si>
    <t>Kartika Cell</t>
  </si>
  <si>
    <t>Keyla ponsel</t>
  </si>
  <si>
    <t>Khimberly</t>
  </si>
  <si>
    <t>Kios Eli Pereges</t>
  </si>
  <si>
    <t>20BEK0085</t>
  </si>
  <si>
    <t>Kios phone</t>
  </si>
  <si>
    <t>Klinik ponsel</t>
  </si>
  <si>
    <t>Konter madrid</t>
  </si>
  <si>
    <t>Leo Ponsel</t>
  </si>
  <si>
    <t>20BEK0064</t>
  </si>
  <si>
    <t>LG PONSEL</t>
  </si>
  <si>
    <t>LHONYZ</t>
  </si>
  <si>
    <t>20BEK0077</t>
  </si>
  <si>
    <t>Liby Ponsel</t>
  </si>
  <si>
    <t>ling ling ponsel</t>
  </si>
  <si>
    <t>LINI PONSEL</t>
  </si>
  <si>
    <t>20BEK0006</t>
  </si>
  <si>
    <t>Logasari ponsel</t>
  </si>
  <si>
    <t>Lotus Cell</t>
  </si>
  <si>
    <t>Louis Selindo</t>
  </si>
  <si>
    <t>LUCKY 7</t>
  </si>
  <si>
    <t>lucky cell</t>
  </si>
  <si>
    <t>Lusiani ponsel</t>
  </si>
  <si>
    <t>M 2000 Cell</t>
  </si>
  <si>
    <t>MAHKOTA CELL</t>
  </si>
  <si>
    <t>Mahkota Jaya</t>
  </si>
  <si>
    <t>Manis Ceria</t>
  </si>
  <si>
    <t>martina seluler</t>
  </si>
  <si>
    <t>MASHIROE PHONE</t>
  </si>
  <si>
    <t>Mecca ponsel</t>
  </si>
  <si>
    <t>20BEK0038</t>
  </si>
  <si>
    <t>Media phone cell</t>
  </si>
  <si>
    <t>Media Tek</t>
  </si>
  <si>
    <t>Mega jaya</t>
  </si>
  <si>
    <t>Melsi pulsa</t>
  </si>
  <si>
    <t>20BEK0025</t>
  </si>
  <si>
    <t>Memori Celluler</t>
  </si>
  <si>
    <t>Mentari cell</t>
  </si>
  <si>
    <t>mentari samalantan</t>
  </si>
  <si>
    <t>20BEK0023</t>
  </si>
  <si>
    <t>meysi ponsel</t>
  </si>
  <si>
    <t>20BEK0041</t>
  </si>
  <si>
    <t>Mikha Ponsel</t>
  </si>
  <si>
    <t>Mister ponsel</t>
  </si>
  <si>
    <t>Mita Ponsel</t>
  </si>
  <si>
    <t>mitra cell</t>
  </si>
  <si>
    <t>Mitra cell 2</t>
  </si>
  <si>
    <t>MITRA CELLULAR</t>
  </si>
  <si>
    <t>Mitra ponsel</t>
  </si>
  <si>
    <t>Monitor Selindo</t>
  </si>
  <si>
    <t>Monterado cell</t>
  </si>
  <si>
    <t>morning ponsel</t>
  </si>
  <si>
    <t>Muara ponsel</t>
  </si>
  <si>
    <t>Muliadi pulsa</t>
  </si>
  <si>
    <t>Mustika Jaya</t>
  </si>
  <si>
    <t>My smartphone</t>
  </si>
  <si>
    <t>Nela phonsel</t>
  </si>
  <si>
    <t>Nita</t>
  </si>
  <si>
    <t>Nita cyber</t>
  </si>
  <si>
    <t>Ns Cafee</t>
  </si>
  <si>
    <t>NS CELULAR</t>
  </si>
  <si>
    <t>One tronik</t>
  </si>
  <si>
    <t>one two one 2</t>
  </si>
  <si>
    <t>opera ponsel</t>
  </si>
  <si>
    <t>oscar ponsel</t>
  </si>
  <si>
    <t>Pasak Bumi</t>
  </si>
  <si>
    <t>20BEK0063</t>
  </si>
  <si>
    <t>Payphone</t>
  </si>
  <si>
    <t>Putri cell</t>
  </si>
  <si>
    <t>RA ponsel</t>
  </si>
  <si>
    <t>RAJA HA PE</t>
  </si>
  <si>
    <t>Rama</t>
  </si>
  <si>
    <t>Randi Ponsel</t>
  </si>
  <si>
    <t>Ratu Ponsel</t>
  </si>
  <si>
    <t>Raya cell</t>
  </si>
  <si>
    <t>Rikardus Rano cell</t>
  </si>
  <si>
    <t>20BEK0061</t>
  </si>
  <si>
    <t>Rina Cell</t>
  </si>
  <si>
    <t>Rizal selindo</t>
  </si>
  <si>
    <t>20BEK0070</t>
  </si>
  <si>
    <t>RM .SPORT</t>
  </si>
  <si>
    <t>20BEK0083</t>
  </si>
  <si>
    <t>Robi</t>
  </si>
  <si>
    <t>20BEK0084</t>
  </si>
  <si>
    <t>Sangu bodas</t>
  </si>
  <si>
    <t>Sapage</t>
  </si>
  <si>
    <t>20BEK0018</t>
  </si>
  <si>
    <t>Sinar Menterado</t>
  </si>
  <si>
    <t>Sinar Rejeki</t>
  </si>
  <si>
    <t>20BEK0002</t>
  </si>
  <si>
    <t>SION CELLULAR</t>
  </si>
  <si>
    <t>Siput sport cell</t>
  </si>
  <si>
    <t>SOLUSI CELL</t>
  </si>
  <si>
    <t>SrC Herni</t>
  </si>
  <si>
    <t>Staracc</t>
  </si>
  <si>
    <t>20BEK0043</t>
  </si>
  <si>
    <t>STARS PHONE</t>
  </si>
  <si>
    <t>Stela ponsel</t>
  </si>
  <si>
    <t>SUBEKTI GROUP</t>
  </si>
  <si>
    <t>SUKMi Cell</t>
  </si>
  <si>
    <t>Sultan cell</t>
  </si>
  <si>
    <t>20BEK0032</t>
  </si>
  <si>
    <t>Super kuat cell</t>
  </si>
  <si>
    <t>SUPER STAR</t>
  </si>
  <si>
    <t>susie ponsel</t>
  </si>
  <si>
    <t>Sys ponsel</t>
  </si>
  <si>
    <t>The One</t>
  </si>
  <si>
    <t>Tio ponsel</t>
  </si>
  <si>
    <t>titisan embun pagi</t>
  </si>
  <si>
    <t>20BEK0027</t>
  </si>
  <si>
    <t>TK keiyla</t>
  </si>
  <si>
    <t>Tk SG zoya</t>
  </si>
  <si>
    <t>TK.Serba serbi</t>
  </si>
  <si>
    <t>20BEK0079</t>
  </si>
  <si>
    <t>Tkriaceria</t>
  </si>
  <si>
    <t>Toko achung</t>
  </si>
  <si>
    <t>20BEK0008</t>
  </si>
  <si>
    <t>Toko Agnes</t>
  </si>
  <si>
    <t>Toko Along</t>
  </si>
  <si>
    <t>Toko Aloy</t>
  </si>
  <si>
    <t>Toko Alvin Jaya</t>
  </si>
  <si>
    <t>20BEK0089</t>
  </si>
  <si>
    <t>Toko Angok</t>
  </si>
  <si>
    <t>Toko atk ezra</t>
  </si>
  <si>
    <t>Toko Ayla</t>
  </si>
  <si>
    <t>Toko Banto</t>
  </si>
  <si>
    <t>Toko bastian</t>
  </si>
  <si>
    <t>Toko Bu Kurianegsih</t>
  </si>
  <si>
    <t>Toko Caca</t>
  </si>
  <si>
    <t>Toko Christi</t>
  </si>
  <si>
    <t>Toko david</t>
  </si>
  <si>
    <t>Toko eben</t>
  </si>
  <si>
    <t>Toko edi</t>
  </si>
  <si>
    <t>Toko Fantasi</t>
  </si>
  <si>
    <t>Toko jela</t>
  </si>
  <si>
    <t>Toko Keled</t>
  </si>
  <si>
    <t>Toko Kharisma</t>
  </si>
  <si>
    <t>Toko Linda Kosmetik</t>
  </si>
  <si>
    <t>Toko lini</t>
  </si>
  <si>
    <t>Toko Lisa</t>
  </si>
  <si>
    <t>Toko Lisa Sepingan</t>
  </si>
  <si>
    <t>Toko Mala</t>
  </si>
  <si>
    <t>Toko mekar baru</t>
  </si>
  <si>
    <t>20BEK0088</t>
  </si>
  <si>
    <t>Toko Mura Jaya</t>
  </si>
  <si>
    <t>Toko netha</t>
  </si>
  <si>
    <t>Toko pak apri</t>
  </si>
  <si>
    <t>Toko Panji</t>
  </si>
  <si>
    <t>Toko Sama</t>
  </si>
  <si>
    <t>Toko sandy</t>
  </si>
  <si>
    <t>Toko septian</t>
  </si>
  <si>
    <t>Toko Sinar Jagoi</t>
  </si>
  <si>
    <t>Toko Sinar Rezeki</t>
  </si>
  <si>
    <t>Toko Suiling</t>
  </si>
  <si>
    <t>Toko sun</t>
  </si>
  <si>
    <t>Toko Suratmi</t>
  </si>
  <si>
    <t>Toko TETI</t>
  </si>
  <si>
    <t>Toko tiga berlian</t>
  </si>
  <si>
    <t>20BEK0090</t>
  </si>
  <si>
    <t>Toko Titin</t>
  </si>
  <si>
    <t>Toko tomar</t>
  </si>
  <si>
    <t>Toko Yuni</t>
  </si>
  <si>
    <t>Toko yuyun</t>
  </si>
  <si>
    <t>Tono</t>
  </si>
  <si>
    <t>Tri Cell monte</t>
  </si>
  <si>
    <t>Trisman ponsel</t>
  </si>
  <si>
    <t>TSURAYYA PONSEL</t>
  </si>
  <si>
    <t>Tunas Harapan</t>
  </si>
  <si>
    <t>Usaha baru</t>
  </si>
  <si>
    <t>20BEK0031</t>
  </si>
  <si>
    <t>V mobile ponsel</t>
  </si>
  <si>
    <t>Valencia</t>
  </si>
  <si>
    <t>Vanny ponsel</t>
  </si>
  <si>
    <t>Venus ponsel</t>
  </si>
  <si>
    <t>Vi cell</t>
  </si>
  <si>
    <t>Via Cell</t>
  </si>
  <si>
    <t>Vin cellular</t>
  </si>
  <si>
    <t>VITHA PONSEL</t>
  </si>
  <si>
    <t>Viva Net</t>
  </si>
  <si>
    <t>Warkop niko</t>
  </si>
  <si>
    <t>Warkop Selin</t>
  </si>
  <si>
    <t>Warkop Simpang Tiga</t>
  </si>
  <si>
    <t>Warung aida</t>
  </si>
  <si>
    <t>Warung AJI</t>
  </si>
  <si>
    <t>Warung atep</t>
  </si>
  <si>
    <t>Warung Ayu</t>
  </si>
  <si>
    <t>Warung Beneyy</t>
  </si>
  <si>
    <t>Warung brigitha</t>
  </si>
  <si>
    <t>Warung Dian</t>
  </si>
  <si>
    <t>20BEK0009</t>
  </si>
  <si>
    <t>Warung ekonomis</t>
  </si>
  <si>
    <t>Warung Ghafin</t>
  </si>
  <si>
    <t>Warung ibu ina</t>
  </si>
  <si>
    <t>Warung kak Meli</t>
  </si>
  <si>
    <t>Warung kiana</t>
  </si>
  <si>
    <t>Warung Kristianus</t>
  </si>
  <si>
    <t>Warung lena</t>
  </si>
  <si>
    <t>Warung Mak lexsi</t>
  </si>
  <si>
    <t>Warung Muji</t>
  </si>
  <si>
    <t>Warung Musyawarah</t>
  </si>
  <si>
    <t>Warung Page Diri</t>
  </si>
  <si>
    <t>Warung pak cik</t>
  </si>
  <si>
    <t>Warung pak Edo</t>
  </si>
  <si>
    <t>Warung pak Yusuf</t>
  </si>
  <si>
    <t>Warung Pakngah bujang</t>
  </si>
  <si>
    <t>Warung Parmah</t>
  </si>
  <si>
    <t>Warung Resti</t>
  </si>
  <si>
    <t>Warung Rini</t>
  </si>
  <si>
    <t>Warung Santuy</t>
  </si>
  <si>
    <t>Warung serba ada</t>
  </si>
  <si>
    <t>Warung Simpang Capkala</t>
  </si>
  <si>
    <t>Warung Simpang pangsun</t>
  </si>
  <si>
    <t>Warung simpang paniban</t>
  </si>
  <si>
    <t>Warung Siti</t>
  </si>
  <si>
    <t>Warung suwawan</t>
  </si>
  <si>
    <t>Warung Yuyun</t>
  </si>
  <si>
    <t>Wati</t>
  </si>
  <si>
    <t>20BEK0052</t>
  </si>
  <si>
    <t>Waung Anwar</t>
  </si>
  <si>
    <t>Wawan cell</t>
  </si>
  <si>
    <t>witono</t>
  </si>
  <si>
    <t>20BEK0028</t>
  </si>
  <si>
    <t>Wk basuki</t>
  </si>
  <si>
    <t>Wk bunda</t>
  </si>
  <si>
    <t>WK Family</t>
  </si>
  <si>
    <t>WK.Ermina</t>
  </si>
  <si>
    <t>Wk.opik ponsel</t>
  </si>
  <si>
    <t>Wr Rizal</t>
  </si>
  <si>
    <t>Wr ting ting</t>
  </si>
  <si>
    <t>Yamanashi ponsel</t>
  </si>
  <si>
    <t>Yona Ponsel</t>
  </si>
  <si>
    <t>Yosia Pulsa</t>
  </si>
  <si>
    <t>Z - PONSEL</t>
  </si>
  <si>
    <t>Zona ponsel</t>
  </si>
  <si>
    <t>SH037271</t>
  </si>
  <si>
    <t>SH033985</t>
  </si>
  <si>
    <t>SH030587</t>
  </si>
  <si>
    <t>SH030967</t>
  </si>
  <si>
    <t>Lisa ponsel</t>
  </si>
  <si>
    <t>Warung Dovi</t>
  </si>
  <si>
    <t>Ponsel kite</t>
  </si>
  <si>
    <t>SDP NAME</t>
  </si>
  <si>
    <t>TARGET OSA AGUSTUS</t>
  </si>
  <si>
    <t>TARGET RGUGA BIOMETRIX</t>
  </si>
  <si>
    <t>RGUGA BIOMETRIX MTD</t>
  </si>
  <si>
    <t>Outlet Regular</t>
  </si>
  <si>
    <t>SDP JAGOI BABANG BENGKAYANG</t>
  </si>
  <si>
    <t>Outlet Non-Telco</t>
  </si>
  <si>
    <t>SDP MONTERADO BENGKAYANG</t>
  </si>
  <si>
    <t>Outlet Telco Non-Chip</t>
  </si>
  <si>
    <t>SH033133</t>
  </si>
  <si>
    <t>WARUNG SARAPAN</t>
  </si>
  <si>
    <t>Central phone</t>
  </si>
  <si>
    <t>Warung Fitria</t>
  </si>
  <si>
    <t>Outlet KRO</t>
  </si>
  <si>
    <t>SH039191</t>
  </si>
  <si>
    <t>ave phone</t>
  </si>
  <si>
    <t>TARGET SP SELL IN 3GB</t>
  </si>
  <si>
    <t>SH028283</t>
  </si>
  <si>
    <t>SH027928</t>
  </si>
  <si>
    <t>SH027971</t>
  </si>
  <si>
    <t>SH028132</t>
  </si>
  <si>
    <t>SH030965</t>
  </si>
  <si>
    <t>SH032339</t>
  </si>
  <si>
    <t>SH032650</t>
  </si>
  <si>
    <t>SH033506</t>
  </si>
  <si>
    <t>SH031426</t>
  </si>
  <si>
    <t>Row Labels</t>
  </si>
  <si>
    <t>(blank)</t>
  </si>
  <si>
    <t>Grand Total</t>
  </si>
  <si>
    <t>Sum of osa</t>
  </si>
  <si>
    <t>Sum of sellin_3gb_sla</t>
  </si>
  <si>
    <t>Sum of rguga_3gb</t>
  </si>
  <si>
    <t>FWA RGUGA</t>
  </si>
  <si>
    <t>Mujarob cell</t>
  </si>
  <si>
    <t>Cahaya Borneo</t>
  </si>
  <si>
    <t>Rumah kuota</t>
  </si>
  <si>
    <t>Manuela ponsel</t>
  </si>
  <si>
    <t>Warung Manda</t>
  </si>
  <si>
    <t>Toko Darminto</t>
  </si>
  <si>
    <t>KANTIN ZEO</t>
  </si>
  <si>
    <t>Rezeki ponsel</t>
  </si>
  <si>
    <t>SH039647</t>
  </si>
  <si>
    <t>Kantin Siana</t>
  </si>
  <si>
    <t>20BEK0030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</si>
</sst>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0"/>
      <color indexed="9"/>
      <name val="Indosat Bold Bold"/>
      <charset val="134"/>
    </font>
    <font>
      <b/>
      <sz val="20"/>
      <color rgb="FFFF0000"/>
      <name val="Calibri"/>
      <family val="2"/>
      <scheme val="minor"/>
    </font>
    <font>
      <b/>
      <sz val="20"/>
      <color theme="0"/>
      <name val="Indosat Bold Bold"/>
      <charset val="134"/>
    </font>
    <font>
      <b/>
      <sz val="20"/>
      <color indexed="8"/>
      <name val="Indosat Bold Bold"/>
      <charset val="134"/>
    </font>
    <font>
      <sz val="20"/>
      <color theme="1"/>
      <name val="Indosat Sans Regular"/>
      <charset val="134"/>
    </font>
    <font>
      <b/>
      <sz val="20"/>
      <color indexed="8"/>
      <name val="Calibri"/>
      <family val="2"/>
      <scheme val="minor"/>
    </font>
    <font>
      <sz val="20"/>
      <color indexed="8"/>
      <name val="Calibri"/>
      <family val="2"/>
      <scheme val="minor"/>
    </font>
    <font>
      <sz val="12"/>
      <color theme="1"/>
      <name val="Arial Narrow"/>
      <family val="2"/>
    </font>
    <font>
      <sz val="9"/>
      <color theme="1"/>
      <name val="Century Gothic"/>
      <family val="2"/>
    </font>
    <font>
      <sz val="10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51154A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6">
    <xf numFmtId="0" fontId="0" fillId="0" borderId="0" xfId="0"/>
    <xf numFmtId="0" fontId="7" fillId="7" borderId="1" xfId="0" applyNumberFormat="1" applyFont="1" applyFill="1" applyBorder="1" applyAlignment="1">
      <alignment horizontal="center" vertical="center"/>
    </xf>
    <xf numFmtId="164" fontId="7" fillId="7" borderId="1" xfId="1" applyNumberFormat="1" applyFont="1" applyFill="1" applyBorder="1" applyAlignment="1">
      <alignment horizontal="center" vertical="center"/>
    </xf>
    <xf numFmtId="164" fontId="8" fillId="7" borderId="1" xfId="1" applyNumberFormat="1" applyFont="1" applyFill="1" applyBorder="1" applyAlignment="1">
      <alignment horizontal="center" vertical="center"/>
    </xf>
    <xf numFmtId="0" fontId="7" fillId="0" borderId="1" xfId="0" applyNumberFormat="1" applyFont="1" applyBorder="1" applyAlignment="1">
      <alignment horizontal="center" vertical="center"/>
    </xf>
    <xf numFmtId="9" fontId="7" fillId="0" borderId="1" xfId="2" applyNumberFormat="1" applyFont="1" applyBorder="1" applyAlignment="1">
      <alignment horizontal="center" vertical="center"/>
    </xf>
    <xf numFmtId="164" fontId="7" fillId="0" borderId="1" xfId="1" applyNumberFormat="1" applyFont="1" applyBorder="1" applyAlignment="1">
      <alignment horizontal="center" vertical="center"/>
    </xf>
    <xf numFmtId="164" fontId="6" fillId="7" borderId="1" xfId="1" applyNumberFormat="1" applyFont="1" applyFill="1" applyBorder="1" applyAlignment="1">
      <alignment horizontal="center" vertical="center"/>
    </xf>
    <xf numFmtId="9" fontId="2" fillId="2" borderId="1" xfId="0" applyNumberFormat="1" applyFont="1" applyFill="1" applyBorder="1" applyAlignment="1">
      <alignment horizontal="center" vertical="center" wrapText="1"/>
    </xf>
    <xf numFmtId="9" fontId="2" fillId="3" borderId="1" xfId="0" applyNumberFormat="1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43" fontId="4" fillId="5" borderId="1" xfId="1" applyNumberFormat="1" applyFont="1" applyFill="1" applyBorder="1" applyAlignment="1">
      <alignment horizontal="center" vertical="center" wrapText="1"/>
    </xf>
    <xf numFmtId="9" fontId="4" fillId="5" borderId="1" xfId="0" applyNumberFormat="1" applyFont="1" applyFill="1" applyBorder="1" applyAlignment="1">
      <alignment horizontal="center" vertical="center" wrapText="1"/>
    </xf>
    <xf numFmtId="164" fontId="4" fillId="5" borderId="1" xfId="1" applyNumberFormat="1" applyFont="1" applyFill="1" applyBorder="1" applyAlignment="1">
      <alignment horizontal="center" vertical="center" wrapText="1"/>
    </xf>
    <xf numFmtId="9" fontId="2" fillId="6" borderId="1" xfId="0" applyNumberFormat="1" applyFont="1" applyFill="1" applyBorder="1" applyAlignment="1">
      <alignment horizontal="center" vertical="center" wrapText="1"/>
    </xf>
    <xf numFmtId="164" fontId="5" fillId="4" borderId="1" xfId="1" applyNumberFormat="1" applyFont="1" applyFill="1" applyBorder="1" applyAlignment="1">
      <alignment horizontal="center" vertical="center" wrapText="1"/>
    </xf>
    <xf numFmtId="0" fontId="9" fillId="8" borderId="1" xfId="0" applyFont="1" applyFill="1" applyBorder="1" applyAlignment="1">
      <alignment horizontal="center" vertical="center"/>
    </xf>
    <xf numFmtId="10" fontId="7" fillId="7" borderId="1" xfId="2" applyNumberFormat="1" applyFont="1" applyFill="1" applyBorder="1" applyAlignment="1">
      <alignment horizontal="center" vertical="center"/>
    </xf>
    <xf numFmtId="164" fontId="7" fillId="7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1" fillId="0" borderId="1" xfId="0" applyFont="1" applyBorder="1"/>
    <xf numFmtId="0" fontId="10" fillId="0" borderId="1" xfId="0" applyFont="1" applyBorder="1" applyAlignment="1">
      <alignment horizontal="left" vertical="center"/>
    </xf>
    <xf numFmtId="0" fontId="0" fillId="0" borderId="1" xfId="0" applyBorder="1"/>
    <xf numFmtId="0" fontId="1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3">
    <cellStyle name="Comma" xfId="1" builtinId="3"/>
    <cellStyle name="Normal" xfId="0" builtinId="0"/>
    <cellStyle name="Percent" xfId="2" builtinId="5"/>
  </cellStyles>
  <dxfs count="5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MN-IOH/Downloads/OUTLET%20PERFORMANCE%20(19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xport"/>
    </sheetNames>
    <sheetDataSet>
      <sheetData sheetId="0">
        <row r="1">
          <cell r="E1">
            <v>0</v>
          </cell>
          <cell r="F1">
            <v>0</v>
          </cell>
          <cell r="G1" t="str">
            <v>#SP ORI + INJECT SELLIN</v>
          </cell>
          <cell r="H1" t="str">
            <v>#SP ZERO SELLIN</v>
          </cell>
          <cell r="I1" t="str">
            <v>#VOUCHER ORI SELLIN</v>
          </cell>
          <cell r="J1" t="str">
            <v>#VOUCHER ZERO SELLIN</v>
          </cell>
          <cell r="K1" t="str">
            <v>#GA TRADE TOTAL</v>
          </cell>
          <cell r="L1" t="str">
            <v>#GA TRADE BIOMETRIC</v>
          </cell>
          <cell r="M1" t="str">
            <v>#GA TRADE NIK NOKK</v>
          </cell>
          <cell r="N1" t="str">
            <v>#GA TRADE 500MB</v>
          </cell>
          <cell r="O1" t="str">
            <v>#GA TRADE 500MB BIOMETRIC</v>
          </cell>
          <cell r="P1" t="str">
            <v>#GA TRADE 500MB NIK NOKK</v>
          </cell>
          <cell r="Q1" t="str">
            <v>#GA TRADE 100MB</v>
          </cell>
          <cell r="R1" t="str">
            <v>#GA TRADE 100MB BIOMETRIC</v>
          </cell>
          <cell r="S1" t="str">
            <v>#GA TRADE 100MB NIK NOKK</v>
          </cell>
          <cell r="T1" t="str">
            <v>#SP TAGGING</v>
          </cell>
          <cell r="U1" t="str">
            <v>#SP TAGGING GA</v>
          </cell>
          <cell r="V1" t="str">
            <v>#SP TAGGING INCENTIVE</v>
          </cell>
          <cell r="W1" t="str">
            <v>AMOUNT ONLINE PURCHASE</v>
          </cell>
          <cell r="X1" t="str">
            <v>SUGGESTION SELLIN</v>
          </cell>
          <cell r="Y1" t="str">
            <v>OSA AMOUNT</v>
          </cell>
        </row>
        <row r="2">
          <cell r="E2">
            <v>0</v>
          </cell>
          <cell r="F2" t="str">
            <v>outlet_name</v>
          </cell>
          <cell r="G2" t="str">
            <v>mtd_outlet</v>
          </cell>
          <cell r="H2" t="str">
            <v>mtd_outlet</v>
          </cell>
          <cell r="I2" t="str">
            <v>mtd_outlet</v>
          </cell>
          <cell r="J2" t="str">
            <v>mtd_outlet</v>
          </cell>
          <cell r="K2" t="str">
            <v>mtd_outlet</v>
          </cell>
          <cell r="L2" t="str">
            <v>mtd_outlet</v>
          </cell>
          <cell r="M2" t="str">
            <v>mtd_outlet</v>
          </cell>
          <cell r="N2" t="str">
            <v>mtd_outlet</v>
          </cell>
          <cell r="O2" t="str">
            <v>mtd_outlet</v>
          </cell>
          <cell r="P2" t="str">
            <v>mtd_outlet</v>
          </cell>
          <cell r="Q2" t="str">
            <v>mtd_outlet</v>
          </cell>
          <cell r="R2" t="str">
            <v>mtd_outlet</v>
          </cell>
          <cell r="S2" t="str">
            <v>mtd_outlet</v>
          </cell>
          <cell r="T2" t="str">
            <v>mtd_outlet</v>
          </cell>
          <cell r="U2" t="str">
            <v>mtd_outlet</v>
          </cell>
          <cell r="V2" t="str">
            <v>mtd_outlet</v>
          </cell>
          <cell r="W2" t="str">
            <v>mtd_outlet</v>
          </cell>
          <cell r="X2" t="str">
            <v>mtd_outlet</v>
          </cell>
          <cell r="Y2" t="str">
            <v>mtd_outlet</v>
          </cell>
        </row>
        <row r="3">
          <cell r="E3">
            <v>1073854</v>
          </cell>
          <cell r="F3" t="str">
            <v>Hery ponsel</v>
          </cell>
          <cell r="G3">
            <v>0</v>
          </cell>
          <cell r="H3">
            <v>0</v>
          </cell>
          <cell r="I3">
            <v>1</v>
          </cell>
          <cell r="J3">
            <v>1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  <cell r="O3">
            <v>0</v>
          </cell>
          <cell r="P3">
            <v>0</v>
          </cell>
          <cell r="Q3">
            <v>0</v>
          </cell>
          <cell r="R3">
            <v>0</v>
          </cell>
          <cell r="S3">
            <v>0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420000</v>
          </cell>
        </row>
        <row r="4">
          <cell r="E4">
            <v>1296234</v>
          </cell>
          <cell r="F4" t="str">
            <v>Dewa Ponsel</v>
          </cell>
          <cell r="G4">
            <v>0</v>
          </cell>
          <cell r="H4">
            <v>0</v>
          </cell>
          <cell r="I4">
            <v>1</v>
          </cell>
          <cell r="J4">
            <v>1</v>
          </cell>
          <cell r="K4">
            <v>4</v>
          </cell>
          <cell r="L4">
            <v>4</v>
          </cell>
          <cell r="M4">
            <v>0</v>
          </cell>
          <cell r="N4">
            <v>1</v>
          </cell>
          <cell r="O4">
            <v>1</v>
          </cell>
          <cell r="P4">
            <v>0</v>
          </cell>
          <cell r="Q4">
            <v>1</v>
          </cell>
          <cell r="R4">
            <v>1</v>
          </cell>
          <cell r="S4">
            <v>0</v>
          </cell>
          <cell r="T4">
            <v>0</v>
          </cell>
          <cell r="U4">
            <v>2</v>
          </cell>
          <cell r="V4">
            <v>0</v>
          </cell>
          <cell r="W4">
            <v>0</v>
          </cell>
          <cell r="X4">
            <v>0</v>
          </cell>
          <cell r="Y4">
            <v>600000</v>
          </cell>
        </row>
        <row r="5">
          <cell r="E5">
            <v>1325081</v>
          </cell>
          <cell r="F5" t="str">
            <v>mentari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  <cell r="U5">
            <v>0</v>
          </cell>
          <cell r="V5">
            <v>0</v>
          </cell>
          <cell r="W5">
            <v>0</v>
          </cell>
          <cell r="X5">
            <v>0</v>
          </cell>
          <cell r="Y5">
            <v>0</v>
          </cell>
        </row>
        <row r="6">
          <cell r="E6">
            <v>1376915</v>
          </cell>
          <cell r="F6" t="str">
            <v>witono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</row>
        <row r="7">
          <cell r="E7">
            <v>1529317</v>
          </cell>
          <cell r="F7" t="str">
            <v>MITRA CELL</v>
          </cell>
          <cell r="G7">
            <v>0</v>
          </cell>
          <cell r="H7">
            <v>0</v>
          </cell>
          <cell r="I7">
            <v>1</v>
          </cell>
          <cell r="J7">
            <v>1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840000</v>
          </cell>
        </row>
        <row r="8">
          <cell r="E8">
            <v>1538977</v>
          </cell>
          <cell r="F8" t="str">
            <v>titisan embun pagi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</row>
        <row r="9">
          <cell r="E9">
            <v>1541579</v>
          </cell>
          <cell r="F9" t="str">
            <v>mentari samalantan</v>
          </cell>
          <cell r="G9">
            <v>0</v>
          </cell>
          <cell r="H9">
            <v>0</v>
          </cell>
          <cell r="I9">
            <v>1</v>
          </cell>
          <cell r="J9">
            <v>1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420000</v>
          </cell>
        </row>
        <row r="10">
          <cell r="E10">
            <v>17133724</v>
          </cell>
          <cell r="F10" t="str">
            <v>Kartika Cell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</row>
        <row r="11">
          <cell r="E11">
            <v>17210724</v>
          </cell>
          <cell r="F11" t="str">
            <v>Sys ponsel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300000</v>
          </cell>
        </row>
        <row r="12">
          <cell r="E12">
            <v>17222435</v>
          </cell>
          <cell r="F12" t="str">
            <v>VALENCIA</v>
          </cell>
          <cell r="G12">
            <v>0</v>
          </cell>
          <cell r="H12">
            <v>0</v>
          </cell>
          <cell r="I12">
            <v>1</v>
          </cell>
          <cell r="J12">
            <v>1</v>
          </cell>
          <cell r="K12">
            <v>3</v>
          </cell>
          <cell r="L12">
            <v>3</v>
          </cell>
          <cell r="M12">
            <v>0</v>
          </cell>
          <cell r="N12">
            <v>1</v>
          </cell>
          <cell r="O12">
            <v>1</v>
          </cell>
          <cell r="P12">
            <v>0</v>
          </cell>
          <cell r="Q12">
            <v>2</v>
          </cell>
          <cell r="R12">
            <v>2</v>
          </cell>
          <cell r="S12">
            <v>0</v>
          </cell>
          <cell r="T12">
            <v>0</v>
          </cell>
          <cell r="U12">
            <v>1</v>
          </cell>
          <cell r="V12">
            <v>0</v>
          </cell>
          <cell r="W12">
            <v>0</v>
          </cell>
          <cell r="X12">
            <v>0</v>
          </cell>
          <cell r="Y12">
            <v>840000</v>
          </cell>
        </row>
        <row r="13">
          <cell r="E13">
            <v>17223145</v>
          </cell>
          <cell r="F13" t="str">
            <v>angel ponsel</v>
          </cell>
          <cell r="G13">
            <v>0</v>
          </cell>
          <cell r="H13">
            <v>0</v>
          </cell>
          <cell r="I13">
            <v>1</v>
          </cell>
          <cell r="J13">
            <v>1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505000</v>
          </cell>
        </row>
        <row r="14">
          <cell r="E14">
            <v>17227713</v>
          </cell>
          <cell r="F14" t="str">
            <v>DIAN PONSEL</v>
          </cell>
          <cell r="G14">
            <v>0</v>
          </cell>
          <cell r="H14">
            <v>0</v>
          </cell>
          <cell r="I14">
            <v>1</v>
          </cell>
          <cell r="J14">
            <v>1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420000</v>
          </cell>
        </row>
        <row r="15">
          <cell r="E15">
            <v>17228035</v>
          </cell>
          <cell r="F15" t="str">
            <v>Bina jaya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E16">
            <v>17232911</v>
          </cell>
          <cell r="F16" t="str">
            <v>Muliadi pulsa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E17">
            <v>17232965</v>
          </cell>
          <cell r="F17" t="str">
            <v>Hentin ponsel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100000</v>
          </cell>
        </row>
        <row r="18">
          <cell r="E18">
            <v>17244951</v>
          </cell>
          <cell r="F18" t="str">
            <v>berlian ponsel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1</v>
          </cell>
          <cell r="L18">
            <v>1</v>
          </cell>
          <cell r="M18">
            <v>0</v>
          </cell>
          <cell r="N18">
            <v>1</v>
          </cell>
          <cell r="O18">
            <v>1</v>
          </cell>
          <cell r="P18">
            <v>0</v>
          </cell>
          <cell r="Q18">
            <v>1</v>
          </cell>
          <cell r="R18">
            <v>1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E19">
            <v>17254935</v>
          </cell>
          <cell r="F19" t="str">
            <v>USAHA BARU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E20">
            <v>17259641</v>
          </cell>
          <cell r="F20" t="str">
            <v>KIOS PHONE</v>
          </cell>
          <cell r="G20">
            <v>0</v>
          </cell>
          <cell r="H20">
            <v>0</v>
          </cell>
          <cell r="I20">
            <v>2</v>
          </cell>
          <cell r="J20">
            <v>2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2335000</v>
          </cell>
        </row>
        <row r="21">
          <cell r="E21">
            <v>17273097</v>
          </cell>
          <cell r="F21" t="str">
            <v>Restu jubata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E22">
            <v>17362939</v>
          </cell>
          <cell r="F22" t="str">
            <v>ANA PONSEL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E23">
            <v>17483035</v>
          </cell>
          <cell r="F23" t="str">
            <v>Yosia Pulsa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E24">
            <v>17497275</v>
          </cell>
          <cell r="F24" t="str">
            <v>The One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E25">
            <v>17518440</v>
          </cell>
          <cell r="F25" t="str">
            <v>Raya Cell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E26">
            <v>17548000</v>
          </cell>
          <cell r="F26" t="str">
            <v>ELA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E27">
            <v>17562101</v>
          </cell>
          <cell r="F27" t="str">
            <v>Monterado cell</v>
          </cell>
          <cell r="G27">
            <v>0</v>
          </cell>
          <cell r="H27">
            <v>0</v>
          </cell>
          <cell r="I27">
            <v>1</v>
          </cell>
          <cell r="J27">
            <v>1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662500</v>
          </cell>
        </row>
        <row r="28">
          <cell r="E28">
            <v>17564305</v>
          </cell>
          <cell r="F28" t="str">
            <v>AJP CELL</v>
          </cell>
          <cell r="G28">
            <v>0</v>
          </cell>
          <cell r="H28">
            <v>0</v>
          </cell>
          <cell r="I28">
            <v>1</v>
          </cell>
          <cell r="J28">
            <v>1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900000</v>
          </cell>
        </row>
        <row r="29">
          <cell r="E29">
            <v>17564427</v>
          </cell>
          <cell r="F29" t="str">
            <v>WARUNG BLOK AF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E30">
            <v>17564519</v>
          </cell>
          <cell r="F30" t="str">
            <v>GUNAWAN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E31">
            <v>17570713</v>
          </cell>
          <cell r="F31" t="str">
            <v>Cik Sap Nah Cell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E32">
            <v>17602077</v>
          </cell>
          <cell r="F32" t="str">
            <v>Wawan cell</v>
          </cell>
          <cell r="G32">
            <v>0</v>
          </cell>
          <cell r="H32">
            <v>0</v>
          </cell>
          <cell r="I32">
            <v>1</v>
          </cell>
          <cell r="J32">
            <v>1</v>
          </cell>
          <cell r="K32">
            <v>3</v>
          </cell>
          <cell r="L32">
            <v>3</v>
          </cell>
          <cell r="M32">
            <v>0</v>
          </cell>
          <cell r="N32">
            <v>2</v>
          </cell>
          <cell r="O32">
            <v>2</v>
          </cell>
          <cell r="P32">
            <v>0</v>
          </cell>
          <cell r="Q32">
            <v>2</v>
          </cell>
          <cell r="R32">
            <v>2</v>
          </cell>
          <cell r="S32">
            <v>0</v>
          </cell>
          <cell r="T32">
            <v>1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820000</v>
          </cell>
        </row>
        <row r="33">
          <cell r="E33">
            <v>17613115</v>
          </cell>
          <cell r="F33" t="str">
            <v>Cahaya Borneo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1</v>
          </cell>
          <cell r="L33">
            <v>1</v>
          </cell>
          <cell r="M33">
            <v>0</v>
          </cell>
          <cell r="N33">
            <v>1</v>
          </cell>
          <cell r="O33">
            <v>1</v>
          </cell>
          <cell r="P33">
            <v>0</v>
          </cell>
          <cell r="Q33">
            <v>1</v>
          </cell>
          <cell r="R33">
            <v>1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E34">
            <v>17631777</v>
          </cell>
          <cell r="F34" t="str">
            <v>RUMAH KUOTA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E35">
            <v>17641507</v>
          </cell>
          <cell r="F35" t="str">
            <v>Queen pulsa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</row>
        <row r="36">
          <cell r="E36">
            <v>17665487</v>
          </cell>
          <cell r="F36" t="str">
            <v>HOKI PONSEL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E37">
            <v>17666078</v>
          </cell>
          <cell r="F37" t="str">
            <v>LHONYZ</v>
          </cell>
          <cell r="G37">
            <v>0</v>
          </cell>
          <cell r="H37">
            <v>0</v>
          </cell>
          <cell r="I37">
            <v>2</v>
          </cell>
          <cell r="J37">
            <v>2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2140000</v>
          </cell>
        </row>
        <row r="38">
          <cell r="E38">
            <v>17673837</v>
          </cell>
          <cell r="F38" t="str">
            <v>Tri Cell monte</v>
          </cell>
          <cell r="G38">
            <v>0</v>
          </cell>
          <cell r="H38">
            <v>0</v>
          </cell>
          <cell r="I38">
            <v>1</v>
          </cell>
          <cell r="J38">
            <v>1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725000</v>
          </cell>
        </row>
        <row r="39">
          <cell r="E39">
            <v>17678771</v>
          </cell>
          <cell r="F39" t="str">
            <v>Toko septian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1</v>
          </cell>
          <cell r="L39">
            <v>1</v>
          </cell>
          <cell r="M39">
            <v>0</v>
          </cell>
          <cell r="N39">
            <v>1</v>
          </cell>
          <cell r="O39">
            <v>1</v>
          </cell>
          <cell r="P39">
            <v>0</v>
          </cell>
          <cell r="Q39">
            <v>1</v>
          </cell>
          <cell r="R39">
            <v>1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E40">
            <v>17678795</v>
          </cell>
          <cell r="F40" t="str">
            <v>Ajp Cell monterado</v>
          </cell>
          <cell r="G40">
            <v>0</v>
          </cell>
          <cell r="H40">
            <v>0</v>
          </cell>
          <cell r="I40">
            <v>1</v>
          </cell>
          <cell r="J40">
            <v>1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1620000</v>
          </cell>
        </row>
        <row r="41">
          <cell r="E41">
            <v>17680832</v>
          </cell>
          <cell r="F41" t="str">
            <v>Asmanto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E42">
            <v>17680842</v>
          </cell>
          <cell r="F42" t="str">
            <v>Toko bastian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1</v>
          </cell>
          <cell r="L42">
            <v>1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E43">
            <v>17681290</v>
          </cell>
          <cell r="F43" t="str">
            <v>Sapage</v>
          </cell>
          <cell r="G43">
            <v>0</v>
          </cell>
          <cell r="H43">
            <v>0</v>
          </cell>
          <cell r="I43">
            <v>2</v>
          </cell>
          <cell r="J43">
            <v>2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1800000</v>
          </cell>
        </row>
        <row r="44">
          <cell r="E44">
            <v>17681325</v>
          </cell>
          <cell r="F44" t="str">
            <v>Hartono</v>
          </cell>
          <cell r="G44">
            <v>0</v>
          </cell>
          <cell r="H44">
            <v>0</v>
          </cell>
          <cell r="I44">
            <v>1</v>
          </cell>
          <cell r="J44">
            <v>1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600000</v>
          </cell>
        </row>
        <row r="45">
          <cell r="E45">
            <v>17681335</v>
          </cell>
          <cell r="F45" t="str">
            <v>Warung atep</v>
          </cell>
          <cell r="G45">
            <v>0</v>
          </cell>
          <cell r="H45">
            <v>0</v>
          </cell>
          <cell r="I45">
            <v>1</v>
          </cell>
          <cell r="J45">
            <v>1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900000</v>
          </cell>
        </row>
        <row r="46">
          <cell r="E46">
            <v>17689411</v>
          </cell>
          <cell r="F46" t="str">
            <v>MITRA PONSEL</v>
          </cell>
          <cell r="G46">
            <v>0</v>
          </cell>
          <cell r="H46">
            <v>0</v>
          </cell>
          <cell r="I46">
            <v>1</v>
          </cell>
          <cell r="J46">
            <v>1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420000</v>
          </cell>
        </row>
        <row r="47">
          <cell r="E47">
            <v>17693170</v>
          </cell>
          <cell r="F47" t="str">
            <v>Raya mas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E48">
            <v>17694207</v>
          </cell>
          <cell r="F48" t="str">
            <v>RAMA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E49">
            <v>17695888</v>
          </cell>
          <cell r="F49" t="str">
            <v>Melsi pulsa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E50">
            <v>17697385</v>
          </cell>
          <cell r="F50" t="str">
            <v>Jhofra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E51">
            <v>17703858</v>
          </cell>
          <cell r="F51" t="str">
            <v>Warung Mak lexsi</v>
          </cell>
          <cell r="G51">
            <v>0</v>
          </cell>
          <cell r="H51">
            <v>0</v>
          </cell>
          <cell r="I51">
            <v>1</v>
          </cell>
          <cell r="J51">
            <v>1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420000</v>
          </cell>
        </row>
        <row r="52">
          <cell r="E52">
            <v>17703860</v>
          </cell>
          <cell r="F52" t="str">
            <v>Warung ekonomis</v>
          </cell>
          <cell r="G52">
            <v>0</v>
          </cell>
          <cell r="H52">
            <v>0</v>
          </cell>
          <cell r="I52">
            <v>1</v>
          </cell>
          <cell r="J52">
            <v>1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1200000</v>
          </cell>
        </row>
        <row r="53">
          <cell r="E53">
            <v>17703866</v>
          </cell>
          <cell r="F53" t="str">
            <v>Warung pak Edo</v>
          </cell>
          <cell r="G53">
            <v>0</v>
          </cell>
          <cell r="H53">
            <v>0</v>
          </cell>
          <cell r="I53">
            <v>1</v>
          </cell>
          <cell r="J53">
            <v>1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900000</v>
          </cell>
        </row>
        <row r="54">
          <cell r="E54">
            <v>17703872</v>
          </cell>
          <cell r="F54" t="str">
            <v>Warung Simpang pangsun</v>
          </cell>
          <cell r="G54">
            <v>0</v>
          </cell>
          <cell r="H54">
            <v>0</v>
          </cell>
          <cell r="I54">
            <v>1</v>
          </cell>
          <cell r="J54">
            <v>1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360000</v>
          </cell>
        </row>
        <row r="55">
          <cell r="E55">
            <v>17703880</v>
          </cell>
          <cell r="F55" t="str">
            <v>El shaddy</v>
          </cell>
          <cell r="G55">
            <v>0</v>
          </cell>
          <cell r="H55">
            <v>0</v>
          </cell>
          <cell r="I55">
            <v>1</v>
          </cell>
          <cell r="J55">
            <v>1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480000</v>
          </cell>
        </row>
        <row r="56">
          <cell r="E56">
            <v>17703891</v>
          </cell>
          <cell r="F56" t="str">
            <v>Erik ponsel</v>
          </cell>
          <cell r="G56">
            <v>0</v>
          </cell>
          <cell r="H56">
            <v>0</v>
          </cell>
          <cell r="I56">
            <v>1</v>
          </cell>
          <cell r="J56">
            <v>1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1200000</v>
          </cell>
        </row>
        <row r="57">
          <cell r="E57">
            <v>17703900</v>
          </cell>
          <cell r="F57" t="str">
            <v>Warung serba ada</v>
          </cell>
          <cell r="G57">
            <v>0</v>
          </cell>
          <cell r="H57">
            <v>0</v>
          </cell>
          <cell r="I57">
            <v>1</v>
          </cell>
          <cell r="J57">
            <v>1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660000</v>
          </cell>
        </row>
        <row r="58">
          <cell r="E58">
            <v>17703932</v>
          </cell>
          <cell r="F58" t="str">
            <v>Warung citra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E59">
            <v>17703938</v>
          </cell>
          <cell r="F59" t="str">
            <v>Warung Rini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E60">
            <v>17703945</v>
          </cell>
          <cell r="F60" t="str">
            <v>Warung brigitha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E61">
            <v>17703957</v>
          </cell>
          <cell r="F61" t="str">
            <v>Warung Ghafin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E62">
            <v>17703961</v>
          </cell>
          <cell r="F62" t="str">
            <v>Dina sucipta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E63">
            <v>17704140</v>
          </cell>
          <cell r="F63" t="str">
            <v>Warung simpang paniban</v>
          </cell>
          <cell r="G63">
            <v>0</v>
          </cell>
          <cell r="H63">
            <v>0</v>
          </cell>
          <cell r="I63">
            <v>1</v>
          </cell>
          <cell r="J63">
            <v>1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725000</v>
          </cell>
        </row>
        <row r="64">
          <cell r="E64">
            <v>17704148</v>
          </cell>
          <cell r="F64" t="str">
            <v>Warung pak Yusuf</v>
          </cell>
          <cell r="G64">
            <v>0</v>
          </cell>
          <cell r="H64">
            <v>0</v>
          </cell>
          <cell r="I64">
            <v>2</v>
          </cell>
          <cell r="J64">
            <v>2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2300000</v>
          </cell>
        </row>
        <row r="65">
          <cell r="E65">
            <v>17704154</v>
          </cell>
          <cell r="F65" t="str">
            <v>Paniban shop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E66">
            <v>17706331</v>
          </cell>
          <cell r="F66" t="str">
            <v>Mitra cell 2</v>
          </cell>
          <cell r="G66">
            <v>0</v>
          </cell>
          <cell r="H66">
            <v>0</v>
          </cell>
          <cell r="I66">
            <v>1</v>
          </cell>
          <cell r="J66">
            <v>1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840000</v>
          </cell>
        </row>
        <row r="67">
          <cell r="E67">
            <v>17745379</v>
          </cell>
          <cell r="F67" t="str">
            <v>Nita cyber</v>
          </cell>
          <cell r="G67">
            <v>0</v>
          </cell>
          <cell r="H67">
            <v>0</v>
          </cell>
          <cell r="I67">
            <v>1</v>
          </cell>
          <cell r="J67">
            <v>1</v>
          </cell>
          <cell r="K67">
            <v>1</v>
          </cell>
          <cell r="L67">
            <v>1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1</v>
          </cell>
          <cell r="V67">
            <v>0</v>
          </cell>
          <cell r="W67">
            <v>0</v>
          </cell>
          <cell r="X67">
            <v>0</v>
          </cell>
          <cell r="Y67">
            <v>1200000</v>
          </cell>
        </row>
        <row r="68">
          <cell r="E68">
            <v>17745417</v>
          </cell>
          <cell r="F68" t="str">
            <v>Andreono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0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</row>
        <row r="69">
          <cell r="E69">
            <v>17745424</v>
          </cell>
          <cell r="F69" t="str">
            <v>Elsematrix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</row>
        <row r="70">
          <cell r="E70">
            <v>17750748</v>
          </cell>
          <cell r="F70" t="str">
            <v>YOSUA CELL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</row>
        <row r="71">
          <cell r="E71">
            <v>17754618</v>
          </cell>
          <cell r="F71" t="str">
            <v>Smile ponsel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</row>
        <row r="72">
          <cell r="E72">
            <v>17754764</v>
          </cell>
          <cell r="F72" t="str">
            <v>Khimberly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1</v>
          </cell>
          <cell r="L72">
            <v>1</v>
          </cell>
          <cell r="M72">
            <v>0</v>
          </cell>
          <cell r="N72">
            <v>1</v>
          </cell>
          <cell r="O72">
            <v>1</v>
          </cell>
          <cell r="P72">
            <v>0</v>
          </cell>
          <cell r="Q72">
            <v>1</v>
          </cell>
          <cell r="R72">
            <v>1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</row>
        <row r="73">
          <cell r="E73">
            <v>17756605</v>
          </cell>
          <cell r="F73" t="str">
            <v>JG Phonsel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</row>
        <row r="74">
          <cell r="E74">
            <v>17764294</v>
          </cell>
          <cell r="F74" t="str">
            <v>warung aji</v>
          </cell>
          <cell r="G74">
            <v>0</v>
          </cell>
          <cell r="H74">
            <v>0</v>
          </cell>
          <cell r="I74">
            <v>1</v>
          </cell>
          <cell r="J74">
            <v>1</v>
          </cell>
          <cell r="K74">
            <v>1</v>
          </cell>
          <cell r="L74">
            <v>1</v>
          </cell>
          <cell r="M74">
            <v>0</v>
          </cell>
          <cell r="N74">
            <v>1</v>
          </cell>
          <cell r="O74">
            <v>1</v>
          </cell>
          <cell r="P74">
            <v>0</v>
          </cell>
          <cell r="Q74">
            <v>1</v>
          </cell>
          <cell r="R74">
            <v>1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900000</v>
          </cell>
        </row>
        <row r="75">
          <cell r="E75">
            <v>17764352</v>
          </cell>
          <cell r="F75" t="str">
            <v>Vi Cell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1</v>
          </cell>
          <cell r="L75">
            <v>1</v>
          </cell>
          <cell r="M75">
            <v>0</v>
          </cell>
          <cell r="N75">
            <v>1</v>
          </cell>
          <cell r="O75">
            <v>1</v>
          </cell>
          <cell r="P75">
            <v>0</v>
          </cell>
          <cell r="Q75">
            <v>1</v>
          </cell>
          <cell r="R75">
            <v>1</v>
          </cell>
          <cell r="S75">
            <v>0</v>
          </cell>
          <cell r="T75">
            <v>2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</row>
        <row r="76">
          <cell r="E76">
            <v>17764364</v>
          </cell>
          <cell r="F76" t="str">
            <v>Femi ponsel</v>
          </cell>
          <cell r="G76">
            <v>0</v>
          </cell>
          <cell r="H76">
            <v>0</v>
          </cell>
          <cell r="I76">
            <v>1</v>
          </cell>
          <cell r="J76">
            <v>1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420000</v>
          </cell>
        </row>
        <row r="77">
          <cell r="E77">
            <v>17768623</v>
          </cell>
          <cell r="F77" t="str">
            <v>Warung Yuyun</v>
          </cell>
          <cell r="G77">
            <v>0</v>
          </cell>
          <cell r="H77">
            <v>0</v>
          </cell>
          <cell r="I77">
            <v>1</v>
          </cell>
          <cell r="J77">
            <v>1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425000</v>
          </cell>
        </row>
        <row r="78">
          <cell r="E78">
            <v>17768735</v>
          </cell>
          <cell r="F78" t="str">
            <v>Toko mekar baru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</row>
        <row r="79">
          <cell r="E79">
            <v>17768830</v>
          </cell>
          <cell r="F79" t="str">
            <v>Nela phonsel</v>
          </cell>
          <cell r="G79">
            <v>0</v>
          </cell>
          <cell r="H79">
            <v>0</v>
          </cell>
          <cell r="I79">
            <v>1</v>
          </cell>
          <cell r="J79">
            <v>1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425000</v>
          </cell>
        </row>
        <row r="80">
          <cell r="E80">
            <v>17771119</v>
          </cell>
          <cell r="F80" t="str">
            <v>Mustika Jaya</v>
          </cell>
          <cell r="G80">
            <v>0</v>
          </cell>
          <cell r="H80">
            <v>0</v>
          </cell>
          <cell r="I80">
            <v>1</v>
          </cell>
          <cell r="J80">
            <v>1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420000</v>
          </cell>
        </row>
        <row r="81">
          <cell r="E81">
            <v>17774309</v>
          </cell>
          <cell r="F81" t="str">
            <v>Lusiani ponsel</v>
          </cell>
          <cell r="G81">
            <v>0</v>
          </cell>
          <cell r="H81">
            <v>0</v>
          </cell>
          <cell r="I81">
            <v>1</v>
          </cell>
          <cell r="J81">
            <v>1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505000</v>
          </cell>
        </row>
        <row r="82">
          <cell r="E82">
            <v>17774312</v>
          </cell>
          <cell r="F82" t="str">
            <v>Toko pak apri</v>
          </cell>
          <cell r="G82">
            <v>0</v>
          </cell>
          <cell r="H82">
            <v>0</v>
          </cell>
          <cell r="I82">
            <v>1</v>
          </cell>
          <cell r="J82">
            <v>1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505000</v>
          </cell>
        </row>
        <row r="83">
          <cell r="E83">
            <v>17774316</v>
          </cell>
          <cell r="F83" t="str">
            <v>Arkhana ponsel</v>
          </cell>
          <cell r="G83">
            <v>0</v>
          </cell>
          <cell r="H83">
            <v>0</v>
          </cell>
          <cell r="I83">
            <v>1</v>
          </cell>
          <cell r="J83">
            <v>1</v>
          </cell>
          <cell r="K83">
            <v>1</v>
          </cell>
          <cell r="L83">
            <v>1</v>
          </cell>
          <cell r="M83">
            <v>0</v>
          </cell>
          <cell r="N83">
            <v>1</v>
          </cell>
          <cell r="O83">
            <v>1</v>
          </cell>
          <cell r="P83">
            <v>0</v>
          </cell>
          <cell r="Q83">
            <v>1</v>
          </cell>
          <cell r="R83">
            <v>1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505000</v>
          </cell>
        </row>
        <row r="84">
          <cell r="E84">
            <v>17774332</v>
          </cell>
          <cell r="F84" t="str">
            <v>Warung ayu</v>
          </cell>
          <cell r="G84">
            <v>0</v>
          </cell>
          <cell r="H84">
            <v>0</v>
          </cell>
          <cell r="I84">
            <v>1</v>
          </cell>
          <cell r="J84">
            <v>1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505000</v>
          </cell>
        </row>
        <row r="85">
          <cell r="E85">
            <v>17774580</v>
          </cell>
          <cell r="F85" t="str">
            <v>Warung suwawan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98</v>
          </cell>
          <cell r="L85">
            <v>98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50</v>
          </cell>
          <cell r="U85">
            <v>98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</row>
        <row r="86">
          <cell r="E86">
            <v>17774583</v>
          </cell>
          <cell r="F86" t="str">
            <v>Warung ibu ina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100</v>
          </cell>
          <cell r="L86">
            <v>100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100</v>
          </cell>
          <cell r="U86">
            <v>100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</row>
        <row r="87">
          <cell r="E87">
            <v>17776942</v>
          </cell>
          <cell r="F87" t="str">
            <v>Bu Erma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</row>
        <row r="88">
          <cell r="E88">
            <v>17779134</v>
          </cell>
          <cell r="F88" t="str">
            <v>Fitri phonsel</v>
          </cell>
          <cell r="G88">
            <v>0</v>
          </cell>
          <cell r="H88">
            <v>0</v>
          </cell>
          <cell r="I88">
            <v>1</v>
          </cell>
          <cell r="J88">
            <v>1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425000</v>
          </cell>
        </row>
        <row r="89">
          <cell r="E89">
            <v>17783431</v>
          </cell>
          <cell r="F89" t="str">
            <v>Warung Kaka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</row>
        <row r="90">
          <cell r="E90">
            <v>697740</v>
          </cell>
          <cell r="F90" t="str">
            <v>Sinar Menterado</v>
          </cell>
          <cell r="G90">
            <v>0</v>
          </cell>
          <cell r="H90">
            <v>0</v>
          </cell>
          <cell r="I90">
            <v>2</v>
          </cell>
          <cell r="J90">
            <v>2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2335000</v>
          </cell>
        </row>
        <row r="91">
          <cell r="E91">
            <v>766491</v>
          </cell>
          <cell r="F91" t="str">
            <v>Randi Ponsel</v>
          </cell>
          <cell r="G91">
            <v>0</v>
          </cell>
          <cell r="H91">
            <v>0</v>
          </cell>
          <cell r="I91">
            <v>2</v>
          </cell>
          <cell r="J91">
            <v>2</v>
          </cell>
          <cell r="K91">
            <v>4</v>
          </cell>
          <cell r="L91">
            <v>4</v>
          </cell>
          <cell r="M91">
            <v>0</v>
          </cell>
          <cell r="N91">
            <v>2</v>
          </cell>
          <cell r="O91">
            <v>2</v>
          </cell>
          <cell r="P91">
            <v>0</v>
          </cell>
          <cell r="Q91">
            <v>2</v>
          </cell>
          <cell r="R91">
            <v>2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4010000</v>
          </cell>
        </row>
        <row r="92">
          <cell r="E92">
            <v>1545922</v>
          </cell>
          <cell r="F92" t="str">
            <v>alan ponsel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>
            <v>0</v>
          </cell>
          <cell r="V92">
            <v>0</v>
          </cell>
          <cell r="W92">
            <v>0</v>
          </cell>
          <cell r="X92">
            <v>0</v>
          </cell>
          <cell r="Y92">
            <v>2000000</v>
          </cell>
        </row>
        <row r="93">
          <cell r="E93">
            <v>1546472</v>
          </cell>
          <cell r="F93" t="str">
            <v>LG PONSEL</v>
          </cell>
          <cell r="G93">
            <v>0</v>
          </cell>
          <cell r="H93">
            <v>0</v>
          </cell>
          <cell r="I93">
            <v>1</v>
          </cell>
          <cell r="J93">
            <v>1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4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240000</v>
          </cell>
        </row>
        <row r="94">
          <cell r="E94">
            <v>17227194</v>
          </cell>
          <cell r="F94" t="str">
            <v>BUNTAT CELL</v>
          </cell>
          <cell r="G94">
            <v>0</v>
          </cell>
          <cell r="H94">
            <v>0</v>
          </cell>
          <cell r="I94">
            <v>1</v>
          </cell>
          <cell r="J94">
            <v>1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5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785000</v>
          </cell>
        </row>
        <row r="95">
          <cell r="E95">
            <v>17239588</v>
          </cell>
          <cell r="F95" t="str">
            <v>EZA CELL</v>
          </cell>
          <cell r="G95">
            <v>0</v>
          </cell>
          <cell r="H95">
            <v>0</v>
          </cell>
          <cell r="I95">
            <v>1</v>
          </cell>
          <cell r="J95">
            <v>1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132000</v>
          </cell>
        </row>
        <row r="96">
          <cell r="E96">
            <v>17255305</v>
          </cell>
          <cell r="F96" t="str">
            <v>Konter madrid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  <cell r="Q96">
            <v>0</v>
          </cell>
          <cell r="R96">
            <v>0</v>
          </cell>
          <cell r="S96">
            <v>0</v>
          </cell>
          <cell r="T96">
            <v>0</v>
          </cell>
          <cell r="U96">
            <v>0</v>
          </cell>
          <cell r="V96">
            <v>0</v>
          </cell>
          <cell r="W96">
            <v>0</v>
          </cell>
          <cell r="X96">
            <v>0</v>
          </cell>
          <cell r="Y96">
            <v>1000000</v>
          </cell>
        </row>
        <row r="97">
          <cell r="E97">
            <v>17269327</v>
          </cell>
          <cell r="F97" t="str">
            <v>MAHARDIKA CELLULER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1</v>
          </cell>
          <cell r="L97">
            <v>1</v>
          </cell>
          <cell r="M97">
            <v>0</v>
          </cell>
          <cell r="N97">
            <v>1</v>
          </cell>
          <cell r="O97">
            <v>1</v>
          </cell>
          <cell r="P97">
            <v>0</v>
          </cell>
          <cell r="Q97">
            <v>1</v>
          </cell>
          <cell r="R97">
            <v>1</v>
          </cell>
          <cell r="S97">
            <v>0</v>
          </cell>
          <cell r="T97">
            <v>1</v>
          </cell>
          <cell r="U97">
            <v>0</v>
          </cell>
          <cell r="V97">
            <v>0</v>
          </cell>
          <cell r="W97">
            <v>400000</v>
          </cell>
          <cell r="X97">
            <v>0</v>
          </cell>
          <cell r="Y97">
            <v>400000</v>
          </cell>
        </row>
        <row r="98">
          <cell r="E98">
            <v>17282971</v>
          </cell>
          <cell r="F98" t="str">
            <v>MUARA PONSEL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1</v>
          </cell>
          <cell r="L98">
            <v>1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</row>
        <row r="99">
          <cell r="E99">
            <v>17422989</v>
          </cell>
          <cell r="F99" t="str">
            <v>VIN CELLULAR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O99">
            <v>0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5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2000000</v>
          </cell>
        </row>
        <row r="100">
          <cell r="E100">
            <v>17440382</v>
          </cell>
          <cell r="F100" t="str">
            <v>Toko jela</v>
          </cell>
          <cell r="G100">
            <v>0</v>
          </cell>
          <cell r="H100">
            <v>0</v>
          </cell>
          <cell r="I100">
            <v>1</v>
          </cell>
          <cell r="J100">
            <v>1</v>
          </cell>
          <cell r="K100">
            <v>0</v>
          </cell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9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132000</v>
          </cell>
        </row>
        <row r="101">
          <cell r="E101">
            <v>17444152</v>
          </cell>
          <cell r="F101" t="str">
            <v>Caca ponsel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0</v>
          </cell>
          <cell r="T101">
            <v>0</v>
          </cell>
          <cell r="U101">
            <v>0</v>
          </cell>
          <cell r="V101">
            <v>0</v>
          </cell>
          <cell r="W101">
            <v>0</v>
          </cell>
          <cell r="X101">
            <v>0</v>
          </cell>
          <cell r="Y101">
            <v>0</v>
          </cell>
        </row>
        <row r="102">
          <cell r="E102">
            <v>17459755</v>
          </cell>
          <cell r="F102" t="str">
            <v>Golden cell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1</v>
          </cell>
          <cell r="L102">
            <v>1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E103">
            <v>17552372</v>
          </cell>
          <cell r="F103" t="str">
            <v>Hari cell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0</v>
          </cell>
          <cell r="X103">
            <v>0</v>
          </cell>
          <cell r="Y103">
            <v>3000000</v>
          </cell>
        </row>
        <row r="104">
          <cell r="E104">
            <v>17562513</v>
          </cell>
          <cell r="F104" t="str">
            <v>MASHIROE PHONE</v>
          </cell>
          <cell r="G104">
            <v>0</v>
          </cell>
          <cell r="H104">
            <v>0</v>
          </cell>
          <cell r="I104">
            <v>1</v>
          </cell>
          <cell r="J104">
            <v>1</v>
          </cell>
          <cell r="K104">
            <v>1</v>
          </cell>
          <cell r="L104">
            <v>1</v>
          </cell>
          <cell r="M104">
            <v>0</v>
          </cell>
          <cell r="N104">
            <v>1</v>
          </cell>
          <cell r="O104">
            <v>1</v>
          </cell>
          <cell r="P104">
            <v>0</v>
          </cell>
          <cell r="Q104">
            <v>1</v>
          </cell>
          <cell r="R104">
            <v>1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468000</v>
          </cell>
        </row>
        <row r="105">
          <cell r="E105">
            <v>17565276</v>
          </cell>
          <cell r="F105" t="str">
            <v>Mujarob cell</v>
          </cell>
          <cell r="G105">
            <v>0</v>
          </cell>
          <cell r="H105">
            <v>0</v>
          </cell>
          <cell r="I105">
            <v>1</v>
          </cell>
          <cell r="J105">
            <v>1</v>
          </cell>
          <cell r="K105">
            <v>1</v>
          </cell>
          <cell r="L105">
            <v>1</v>
          </cell>
          <cell r="M105">
            <v>0</v>
          </cell>
          <cell r="N105">
            <v>1</v>
          </cell>
          <cell r="O105">
            <v>1</v>
          </cell>
          <cell r="P105">
            <v>0</v>
          </cell>
          <cell r="Q105">
            <v>1</v>
          </cell>
          <cell r="R105">
            <v>1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180000</v>
          </cell>
        </row>
        <row r="106">
          <cell r="E106">
            <v>17565415</v>
          </cell>
          <cell r="F106" t="str">
            <v>Toko Banto</v>
          </cell>
          <cell r="G106">
            <v>0</v>
          </cell>
          <cell r="H106">
            <v>0</v>
          </cell>
          <cell r="I106">
            <v>1</v>
          </cell>
          <cell r="J106">
            <v>1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168000</v>
          </cell>
        </row>
        <row r="107">
          <cell r="E107">
            <v>17569071</v>
          </cell>
          <cell r="F107" t="str">
            <v>Toko Suiling</v>
          </cell>
          <cell r="G107">
            <v>0</v>
          </cell>
          <cell r="H107">
            <v>0</v>
          </cell>
          <cell r="I107">
            <v>1</v>
          </cell>
          <cell r="J107">
            <v>1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132000</v>
          </cell>
        </row>
        <row r="108">
          <cell r="E108">
            <v>17569102</v>
          </cell>
          <cell r="F108" t="str">
            <v>Amelia ponsel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5</v>
          </cell>
          <cell r="L108">
            <v>5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5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</row>
        <row r="109">
          <cell r="E109">
            <v>17571864</v>
          </cell>
          <cell r="F109" t="str">
            <v>Jagoi studio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N109">
            <v>0</v>
          </cell>
          <cell r="O109">
            <v>0</v>
          </cell>
          <cell r="P109">
            <v>0</v>
          </cell>
          <cell r="Q109">
            <v>0</v>
          </cell>
          <cell r="R109">
            <v>0</v>
          </cell>
          <cell r="S109">
            <v>0</v>
          </cell>
          <cell r="T109">
            <v>0</v>
          </cell>
          <cell r="U109">
            <v>0</v>
          </cell>
          <cell r="V109">
            <v>0</v>
          </cell>
          <cell r="W109">
            <v>0</v>
          </cell>
          <cell r="X109">
            <v>0</v>
          </cell>
          <cell r="Y109">
            <v>0</v>
          </cell>
        </row>
        <row r="110">
          <cell r="E110">
            <v>17582760</v>
          </cell>
          <cell r="F110" t="str">
            <v>RAJA HA PE</v>
          </cell>
          <cell r="G110">
            <v>0</v>
          </cell>
          <cell r="H110">
            <v>0</v>
          </cell>
          <cell r="I110">
            <v>1</v>
          </cell>
          <cell r="J110">
            <v>1</v>
          </cell>
          <cell r="K110">
            <v>5</v>
          </cell>
          <cell r="L110">
            <v>5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0</v>
          </cell>
          <cell r="S110">
            <v>0</v>
          </cell>
          <cell r="T110">
            <v>0</v>
          </cell>
          <cell r="U110">
            <v>5</v>
          </cell>
          <cell r="V110">
            <v>0</v>
          </cell>
          <cell r="W110">
            <v>0</v>
          </cell>
          <cell r="X110">
            <v>0</v>
          </cell>
          <cell r="Y110">
            <v>1680000</v>
          </cell>
        </row>
        <row r="111">
          <cell r="E111">
            <v>17595029</v>
          </cell>
          <cell r="F111" t="str">
            <v>TOKO LISA</v>
          </cell>
          <cell r="G111">
            <v>0</v>
          </cell>
          <cell r="H111">
            <v>0</v>
          </cell>
          <cell r="I111">
            <v>1</v>
          </cell>
          <cell r="J111">
            <v>1</v>
          </cell>
          <cell r="K111">
            <v>5</v>
          </cell>
          <cell r="L111">
            <v>5</v>
          </cell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>
            <v>5</v>
          </cell>
          <cell r="V111">
            <v>0</v>
          </cell>
          <cell r="W111">
            <v>0</v>
          </cell>
          <cell r="X111">
            <v>0</v>
          </cell>
          <cell r="Y111">
            <v>300000</v>
          </cell>
        </row>
        <row r="112">
          <cell r="E112">
            <v>17608447</v>
          </cell>
          <cell r="F112" t="str">
            <v>SION CELLULAR</v>
          </cell>
          <cell r="G112">
            <v>0</v>
          </cell>
          <cell r="H112">
            <v>0</v>
          </cell>
          <cell r="I112">
            <v>1</v>
          </cell>
          <cell r="J112">
            <v>1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0</v>
          </cell>
          <cell r="V112">
            <v>0</v>
          </cell>
          <cell r="W112">
            <v>0</v>
          </cell>
          <cell r="X112">
            <v>0</v>
          </cell>
          <cell r="Y112">
            <v>182000</v>
          </cell>
        </row>
        <row r="113">
          <cell r="E113">
            <v>17611798</v>
          </cell>
          <cell r="F113" t="str">
            <v>Anindya cell</v>
          </cell>
          <cell r="G113">
            <v>0</v>
          </cell>
          <cell r="H113">
            <v>0</v>
          </cell>
          <cell r="I113">
            <v>1</v>
          </cell>
          <cell r="J113">
            <v>1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85000</v>
          </cell>
        </row>
        <row r="114">
          <cell r="E114">
            <v>17612187</v>
          </cell>
          <cell r="F114" t="str">
            <v>Ratu ponsel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  <cell r="Y114">
            <v>0</v>
          </cell>
        </row>
        <row r="115">
          <cell r="E115">
            <v>17630100</v>
          </cell>
          <cell r="F115" t="str">
            <v>WATI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</row>
        <row r="116">
          <cell r="E116">
            <v>17634234</v>
          </cell>
          <cell r="F116" t="str">
            <v>WK Family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9</v>
          </cell>
          <cell r="L116">
            <v>9</v>
          </cell>
          <cell r="M116">
            <v>0</v>
          </cell>
          <cell r="N116">
            <v>7</v>
          </cell>
          <cell r="O116">
            <v>7</v>
          </cell>
          <cell r="P116">
            <v>0</v>
          </cell>
          <cell r="Q116">
            <v>7</v>
          </cell>
          <cell r="R116">
            <v>7</v>
          </cell>
          <cell r="S116">
            <v>0</v>
          </cell>
          <cell r="T116">
            <v>0</v>
          </cell>
          <cell r="U116">
            <v>2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</row>
        <row r="117">
          <cell r="E117">
            <v>17647227</v>
          </cell>
          <cell r="F117" t="str">
            <v>Pasak Bumi</v>
          </cell>
          <cell r="G117">
            <v>0</v>
          </cell>
          <cell r="H117">
            <v>0</v>
          </cell>
          <cell r="I117">
            <v>1</v>
          </cell>
          <cell r="J117">
            <v>1</v>
          </cell>
          <cell r="K117">
            <v>0</v>
          </cell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85000</v>
          </cell>
        </row>
        <row r="118">
          <cell r="E118">
            <v>17663066</v>
          </cell>
          <cell r="F118" t="str">
            <v>Memori Celluler</v>
          </cell>
          <cell r="G118">
            <v>0</v>
          </cell>
          <cell r="H118">
            <v>0</v>
          </cell>
          <cell r="I118">
            <v>1</v>
          </cell>
          <cell r="J118">
            <v>1</v>
          </cell>
          <cell r="K118">
            <v>2</v>
          </cell>
          <cell r="L118">
            <v>2</v>
          </cell>
          <cell r="M118">
            <v>0</v>
          </cell>
          <cell r="N118">
            <v>1</v>
          </cell>
          <cell r="O118">
            <v>1</v>
          </cell>
          <cell r="P118">
            <v>0</v>
          </cell>
          <cell r="Q118">
            <v>1</v>
          </cell>
          <cell r="R118">
            <v>1</v>
          </cell>
          <cell r="S118">
            <v>0</v>
          </cell>
          <cell r="T118">
            <v>14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1320000</v>
          </cell>
        </row>
        <row r="119">
          <cell r="E119">
            <v>17664125</v>
          </cell>
          <cell r="F119" t="str">
            <v>Kamil ponsel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</row>
        <row r="120">
          <cell r="E120">
            <v>17664400</v>
          </cell>
          <cell r="F120" t="str">
            <v>Jaraf Ponsel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5</v>
          </cell>
          <cell r="L120">
            <v>5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</row>
        <row r="121">
          <cell r="E121">
            <v>17664687</v>
          </cell>
          <cell r="F121" t="str">
            <v>Leo Ponsel</v>
          </cell>
          <cell r="G121">
            <v>0</v>
          </cell>
          <cell r="H121">
            <v>0</v>
          </cell>
          <cell r="I121">
            <v>1</v>
          </cell>
          <cell r="J121">
            <v>1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1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132000</v>
          </cell>
        </row>
        <row r="122">
          <cell r="E122">
            <v>17666253</v>
          </cell>
          <cell r="F122" t="str">
            <v>Media Tek</v>
          </cell>
          <cell r="G122">
            <v>0</v>
          </cell>
          <cell r="H122">
            <v>0</v>
          </cell>
          <cell r="I122">
            <v>1</v>
          </cell>
          <cell r="J122">
            <v>1</v>
          </cell>
          <cell r="K122">
            <v>2</v>
          </cell>
          <cell r="L122">
            <v>2</v>
          </cell>
          <cell r="M122">
            <v>0</v>
          </cell>
          <cell r="N122">
            <v>1</v>
          </cell>
          <cell r="O122">
            <v>1</v>
          </cell>
          <cell r="P122">
            <v>0</v>
          </cell>
          <cell r="Q122">
            <v>1</v>
          </cell>
          <cell r="R122">
            <v>1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1275000</v>
          </cell>
        </row>
        <row r="123">
          <cell r="E123">
            <v>17674665</v>
          </cell>
          <cell r="F123" t="str">
            <v>Hulis Ponsel</v>
          </cell>
          <cell r="G123">
            <v>0</v>
          </cell>
          <cell r="H123">
            <v>0</v>
          </cell>
          <cell r="I123">
            <v>1</v>
          </cell>
          <cell r="J123">
            <v>1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132000</v>
          </cell>
        </row>
        <row r="124">
          <cell r="E124">
            <v>17675844</v>
          </cell>
          <cell r="F124" t="str">
            <v>SUKMi Cell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3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</row>
        <row r="125">
          <cell r="E125">
            <v>17681735</v>
          </cell>
          <cell r="F125" t="str">
            <v>Cahaya Mandiri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475000</v>
          </cell>
          <cell r="X125">
            <v>0</v>
          </cell>
          <cell r="Y125">
            <v>475000</v>
          </cell>
        </row>
        <row r="126">
          <cell r="E126">
            <v>17685979</v>
          </cell>
          <cell r="F126" t="str">
            <v>Geral cell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</row>
        <row r="127">
          <cell r="E127">
            <v>17691033</v>
          </cell>
          <cell r="F127" t="str">
            <v>Warung pak cik</v>
          </cell>
          <cell r="G127">
            <v>0</v>
          </cell>
          <cell r="H127">
            <v>0</v>
          </cell>
          <cell r="I127">
            <v>1</v>
          </cell>
          <cell r="J127">
            <v>1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300000</v>
          </cell>
        </row>
        <row r="128">
          <cell r="E128">
            <v>17692826</v>
          </cell>
          <cell r="F128" t="str">
            <v>Mita ponsel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200000</v>
          </cell>
          <cell r="X128">
            <v>0</v>
          </cell>
          <cell r="Y128">
            <v>200000</v>
          </cell>
        </row>
        <row r="129">
          <cell r="E129">
            <v>17698994</v>
          </cell>
          <cell r="F129" t="str">
            <v>Ayu ponsel</v>
          </cell>
          <cell r="G129">
            <v>0</v>
          </cell>
          <cell r="H129">
            <v>0</v>
          </cell>
          <cell r="I129">
            <v>1</v>
          </cell>
          <cell r="J129">
            <v>1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217000</v>
          </cell>
        </row>
        <row r="130">
          <cell r="E130">
            <v>17699495</v>
          </cell>
          <cell r="F130" t="str">
            <v>ET.COM</v>
          </cell>
          <cell r="G130">
            <v>0</v>
          </cell>
          <cell r="H130">
            <v>0</v>
          </cell>
          <cell r="I130">
            <v>2</v>
          </cell>
          <cell r="J130">
            <v>2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20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1680000</v>
          </cell>
        </row>
        <row r="131">
          <cell r="E131">
            <v>17699722</v>
          </cell>
          <cell r="F131" t="str">
            <v>Ela Ponsel</v>
          </cell>
          <cell r="G131">
            <v>0</v>
          </cell>
          <cell r="H131">
            <v>0</v>
          </cell>
          <cell r="I131">
            <v>1</v>
          </cell>
          <cell r="J131">
            <v>1</v>
          </cell>
          <cell r="K131">
            <v>0</v>
          </cell>
          <cell r="L131">
            <v>0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0</v>
          </cell>
          <cell r="V131">
            <v>0</v>
          </cell>
          <cell r="W131">
            <v>0</v>
          </cell>
          <cell r="X131">
            <v>0</v>
          </cell>
          <cell r="Y131">
            <v>85000</v>
          </cell>
        </row>
        <row r="132">
          <cell r="E132">
            <v>17703756</v>
          </cell>
          <cell r="F132" t="str">
            <v>toko wiwin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E133">
            <v>17705470</v>
          </cell>
          <cell r="F133" t="str">
            <v>Toko Suratmi</v>
          </cell>
          <cell r="G133">
            <v>0</v>
          </cell>
          <cell r="H133">
            <v>0</v>
          </cell>
          <cell r="I133">
            <v>1</v>
          </cell>
          <cell r="J133">
            <v>1</v>
          </cell>
          <cell r="K133">
            <v>2</v>
          </cell>
          <cell r="L133">
            <v>2</v>
          </cell>
          <cell r="M133">
            <v>0</v>
          </cell>
          <cell r="N133">
            <v>2</v>
          </cell>
          <cell r="O133">
            <v>2</v>
          </cell>
          <cell r="P133">
            <v>0</v>
          </cell>
          <cell r="Q133">
            <v>2</v>
          </cell>
          <cell r="R133">
            <v>2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580000</v>
          </cell>
        </row>
        <row r="134">
          <cell r="E134">
            <v>17705764</v>
          </cell>
          <cell r="F134" t="str">
            <v>B-PHONE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E135">
            <v>17705774</v>
          </cell>
          <cell r="F135" t="str">
            <v>Warung Kristianus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E136">
            <v>17706862</v>
          </cell>
          <cell r="F136" t="str">
            <v>Toko Sinar Jagoi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1</v>
          </cell>
          <cell r="L136">
            <v>1</v>
          </cell>
          <cell r="M136">
            <v>0</v>
          </cell>
          <cell r="N136">
            <v>1</v>
          </cell>
          <cell r="O136">
            <v>1</v>
          </cell>
          <cell r="P136">
            <v>0</v>
          </cell>
          <cell r="Q136">
            <v>1</v>
          </cell>
          <cell r="R136">
            <v>1</v>
          </cell>
          <cell r="S136">
            <v>0</v>
          </cell>
          <cell r="T136">
            <v>0</v>
          </cell>
          <cell r="U136">
            <v>0</v>
          </cell>
          <cell r="V136">
            <v>0</v>
          </cell>
          <cell r="W136">
            <v>0</v>
          </cell>
          <cell r="X136">
            <v>0</v>
          </cell>
          <cell r="Y136">
            <v>0</v>
          </cell>
        </row>
        <row r="137">
          <cell r="E137">
            <v>17707156</v>
          </cell>
          <cell r="F137" t="str">
            <v>Toko Yuni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5</v>
          </cell>
          <cell r="L137">
            <v>5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5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E138">
            <v>17707547</v>
          </cell>
          <cell r="F138" t="str">
            <v>Warkop Selin</v>
          </cell>
          <cell r="G138">
            <v>0</v>
          </cell>
          <cell r="H138">
            <v>0</v>
          </cell>
          <cell r="I138">
            <v>1</v>
          </cell>
          <cell r="J138">
            <v>1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132000</v>
          </cell>
        </row>
        <row r="139">
          <cell r="E139">
            <v>17707600</v>
          </cell>
          <cell r="F139" t="str">
            <v>Toko Darminto</v>
          </cell>
          <cell r="G139">
            <v>0</v>
          </cell>
          <cell r="H139">
            <v>0</v>
          </cell>
          <cell r="I139">
            <v>1</v>
          </cell>
          <cell r="J139">
            <v>1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264000</v>
          </cell>
        </row>
        <row r="140">
          <cell r="E140">
            <v>17707977</v>
          </cell>
          <cell r="F140" t="str">
            <v>Imam ponsel</v>
          </cell>
          <cell r="G140">
            <v>0</v>
          </cell>
          <cell r="H140">
            <v>0</v>
          </cell>
          <cell r="I140">
            <v>1</v>
          </cell>
          <cell r="J140">
            <v>1</v>
          </cell>
          <cell r="K140">
            <v>0</v>
          </cell>
          <cell r="L140">
            <v>0</v>
          </cell>
          <cell r="M140">
            <v>0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336000</v>
          </cell>
        </row>
        <row r="141">
          <cell r="E141">
            <v>17708464</v>
          </cell>
          <cell r="F141" t="str">
            <v>TUNAS HARAPAN</v>
          </cell>
          <cell r="G141">
            <v>0</v>
          </cell>
          <cell r="H141">
            <v>0</v>
          </cell>
          <cell r="I141">
            <v>1</v>
          </cell>
          <cell r="J141">
            <v>1</v>
          </cell>
          <cell r="K141">
            <v>0</v>
          </cell>
          <cell r="L141">
            <v>0</v>
          </cell>
          <cell r="M141">
            <v>0</v>
          </cell>
          <cell r="N141">
            <v>0</v>
          </cell>
          <cell r="O141">
            <v>0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0</v>
          </cell>
          <cell r="U141">
            <v>0</v>
          </cell>
          <cell r="V141">
            <v>0</v>
          </cell>
          <cell r="W141">
            <v>0</v>
          </cell>
          <cell r="X141">
            <v>0</v>
          </cell>
          <cell r="Y141">
            <v>217000</v>
          </cell>
        </row>
        <row r="142">
          <cell r="E142">
            <v>17708668</v>
          </cell>
          <cell r="F142" t="str">
            <v>Warung Page Diri</v>
          </cell>
          <cell r="G142">
            <v>0</v>
          </cell>
          <cell r="H142">
            <v>0</v>
          </cell>
          <cell r="I142">
            <v>1</v>
          </cell>
          <cell r="J142">
            <v>1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132000</v>
          </cell>
        </row>
        <row r="143">
          <cell r="E143">
            <v>17712252</v>
          </cell>
          <cell r="F143" t="str">
            <v>Toko Sama</v>
          </cell>
          <cell r="G143">
            <v>0</v>
          </cell>
          <cell r="H143">
            <v>0</v>
          </cell>
          <cell r="I143">
            <v>1</v>
          </cell>
          <cell r="J143">
            <v>1</v>
          </cell>
          <cell r="K143">
            <v>5</v>
          </cell>
          <cell r="L143">
            <v>5</v>
          </cell>
          <cell r="M143">
            <v>0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5</v>
          </cell>
          <cell r="V143">
            <v>0</v>
          </cell>
          <cell r="W143">
            <v>0</v>
          </cell>
          <cell r="X143">
            <v>0</v>
          </cell>
          <cell r="Y143">
            <v>300000</v>
          </cell>
        </row>
        <row r="144">
          <cell r="E144">
            <v>17714371</v>
          </cell>
          <cell r="F144" t="str">
            <v>Toko Christi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</row>
        <row r="145">
          <cell r="E145">
            <v>17717259</v>
          </cell>
          <cell r="F145" t="str">
            <v>ABIY PONSEL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8</v>
          </cell>
          <cell r="L145">
            <v>8</v>
          </cell>
          <cell r="M145">
            <v>0</v>
          </cell>
          <cell r="N145">
            <v>8</v>
          </cell>
          <cell r="O145">
            <v>8</v>
          </cell>
          <cell r="P145">
            <v>0</v>
          </cell>
          <cell r="Q145">
            <v>8</v>
          </cell>
          <cell r="R145">
            <v>8</v>
          </cell>
          <cell r="S145">
            <v>0</v>
          </cell>
          <cell r="T145">
            <v>12</v>
          </cell>
          <cell r="U145">
            <v>0</v>
          </cell>
          <cell r="V145">
            <v>0</v>
          </cell>
          <cell r="W145">
            <v>0</v>
          </cell>
          <cell r="X145">
            <v>0</v>
          </cell>
          <cell r="Y145">
            <v>2000000</v>
          </cell>
        </row>
        <row r="146">
          <cell r="E146">
            <v>17721015</v>
          </cell>
          <cell r="F146" t="str">
            <v>Tsurayya ponsel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  <cell r="L146">
            <v>0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0</v>
          </cell>
          <cell r="V146">
            <v>0</v>
          </cell>
          <cell r="W146">
            <v>0</v>
          </cell>
          <cell r="X146">
            <v>0</v>
          </cell>
          <cell r="Y146">
            <v>0</v>
          </cell>
        </row>
        <row r="147">
          <cell r="E147">
            <v>17723382</v>
          </cell>
          <cell r="F147" t="str">
            <v>Liby Ponsel</v>
          </cell>
          <cell r="G147">
            <v>0</v>
          </cell>
          <cell r="H147">
            <v>0</v>
          </cell>
          <cell r="I147">
            <v>1</v>
          </cell>
          <cell r="J147">
            <v>1</v>
          </cell>
          <cell r="K147">
            <v>5</v>
          </cell>
          <cell r="L147">
            <v>5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5</v>
          </cell>
          <cell r="V147">
            <v>0</v>
          </cell>
          <cell r="W147">
            <v>0</v>
          </cell>
          <cell r="X147">
            <v>0</v>
          </cell>
          <cell r="Y147">
            <v>132000</v>
          </cell>
        </row>
        <row r="148">
          <cell r="E148">
            <v>17724158</v>
          </cell>
          <cell r="F148" t="str">
            <v>MIKHA PONSEL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5</v>
          </cell>
          <cell r="L148">
            <v>5</v>
          </cell>
          <cell r="M148">
            <v>0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5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</row>
        <row r="149">
          <cell r="E149">
            <v>17725044</v>
          </cell>
          <cell r="F149" t="str">
            <v>RAMLI STUDIO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</row>
        <row r="150">
          <cell r="E150">
            <v>17736369</v>
          </cell>
          <cell r="F150" t="str">
            <v>Solusi Cell</v>
          </cell>
          <cell r="G150">
            <v>0</v>
          </cell>
          <cell r="H150">
            <v>0</v>
          </cell>
          <cell r="I150">
            <v>1</v>
          </cell>
          <cell r="J150">
            <v>1</v>
          </cell>
          <cell r="K150">
            <v>1</v>
          </cell>
          <cell r="L150">
            <v>1</v>
          </cell>
          <cell r="M150">
            <v>0</v>
          </cell>
          <cell r="N150">
            <v>1</v>
          </cell>
          <cell r="O150">
            <v>1</v>
          </cell>
          <cell r="P150">
            <v>0</v>
          </cell>
          <cell r="Q150">
            <v>1</v>
          </cell>
          <cell r="R150">
            <v>1</v>
          </cell>
          <cell r="S150">
            <v>0</v>
          </cell>
          <cell r="T150">
            <v>7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507000</v>
          </cell>
        </row>
        <row r="151">
          <cell r="E151">
            <v>17741675</v>
          </cell>
          <cell r="F151" t="str">
            <v>KANTIN ZEO</v>
          </cell>
          <cell r="G151">
            <v>0</v>
          </cell>
          <cell r="H151">
            <v>0</v>
          </cell>
          <cell r="I151">
            <v>1</v>
          </cell>
          <cell r="J151">
            <v>1</v>
          </cell>
          <cell r="K151">
            <v>0</v>
          </cell>
          <cell r="L151">
            <v>0</v>
          </cell>
          <cell r="M151">
            <v>0</v>
          </cell>
          <cell r="N151">
            <v>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132000</v>
          </cell>
        </row>
        <row r="152">
          <cell r="E152">
            <v>17741887</v>
          </cell>
          <cell r="F152" t="str">
            <v>Iyan Konter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0</v>
          </cell>
          <cell r="V152">
            <v>0</v>
          </cell>
          <cell r="W152">
            <v>0</v>
          </cell>
          <cell r="X152">
            <v>0</v>
          </cell>
          <cell r="Y152">
            <v>0</v>
          </cell>
        </row>
        <row r="153">
          <cell r="E153">
            <v>17742351</v>
          </cell>
          <cell r="F153" t="str">
            <v>Toko Agnes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5</v>
          </cell>
          <cell r="L153">
            <v>5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5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</row>
        <row r="154">
          <cell r="E154">
            <v>17744463</v>
          </cell>
          <cell r="F154" t="str">
            <v>Toko Linda Kosmetik</v>
          </cell>
          <cell r="G154">
            <v>0</v>
          </cell>
          <cell r="H154">
            <v>0</v>
          </cell>
          <cell r="I154">
            <v>1</v>
          </cell>
          <cell r="J154">
            <v>1</v>
          </cell>
          <cell r="K154">
            <v>5</v>
          </cell>
          <cell r="L154">
            <v>5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5</v>
          </cell>
          <cell r="V154">
            <v>0</v>
          </cell>
          <cell r="W154">
            <v>0</v>
          </cell>
          <cell r="X154">
            <v>0</v>
          </cell>
          <cell r="Y154">
            <v>336000</v>
          </cell>
        </row>
        <row r="155">
          <cell r="E155">
            <v>17746504</v>
          </cell>
          <cell r="F155" t="str">
            <v>Gcell</v>
          </cell>
          <cell r="G155">
            <v>0</v>
          </cell>
          <cell r="H155">
            <v>0</v>
          </cell>
          <cell r="I155">
            <v>2</v>
          </cell>
          <cell r="J155">
            <v>2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600000</v>
          </cell>
        </row>
        <row r="156">
          <cell r="E156">
            <v>17746582</v>
          </cell>
          <cell r="F156" t="str">
            <v>M 2000 Cell</v>
          </cell>
          <cell r="G156">
            <v>0</v>
          </cell>
          <cell r="H156">
            <v>0</v>
          </cell>
          <cell r="I156">
            <v>1</v>
          </cell>
          <cell r="J156">
            <v>1</v>
          </cell>
          <cell r="K156">
            <v>5</v>
          </cell>
          <cell r="L156">
            <v>5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5</v>
          </cell>
          <cell r="V156">
            <v>0</v>
          </cell>
          <cell r="W156">
            <v>0</v>
          </cell>
          <cell r="X156">
            <v>0</v>
          </cell>
          <cell r="Y156">
            <v>168000</v>
          </cell>
        </row>
        <row r="157">
          <cell r="E157">
            <v>17746764</v>
          </cell>
          <cell r="F157" t="str">
            <v>Toko Lisa Sepingan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0</v>
          </cell>
          <cell r="O157">
            <v>0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0</v>
          </cell>
          <cell r="U157">
            <v>0</v>
          </cell>
          <cell r="V157">
            <v>0</v>
          </cell>
          <cell r="W157">
            <v>0</v>
          </cell>
          <cell r="X157">
            <v>0</v>
          </cell>
          <cell r="Y157">
            <v>0</v>
          </cell>
        </row>
        <row r="158">
          <cell r="E158">
            <v>17747746</v>
          </cell>
          <cell r="F158" t="str">
            <v>Toko Bu Kurianegsih</v>
          </cell>
          <cell r="G158">
            <v>0</v>
          </cell>
          <cell r="H158">
            <v>0</v>
          </cell>
          <cell r="I158">
            <v>1</v>
          </cell>
          <cell r="J158">
            <v>1</v>
          </cell>
          <cell r="K158">
            <v>5</v>
          </cell>
          <cell r="L158">
            <v>5</v>
          </cell>
          <cell r="M158">
            <v>0</v>
          </cell>
          <cell r="N158">
            <v>0</v>
          </cell>
          <cell r="O158">
            <v>0</v>
          </cell>
          <cell r="P158">
            <v>0</v>
          </cell>
          <cell r="Q158">
            <v>0</v>
          </cell>
          <cell r="R158">
            <v>0</v>
          </cell>
          <cell r="S158">
            <v>0</v>
          </cell>
          <cell r="T158">
            <v>0</v>
          </cell>
          <cell r="U158">
            <v>5</v>
          </cell>
          <cell r="V158">
            <v>0</v>
          </cell>
          <cell r="W158">
            <v>0</v>
          </cell>
          <cell r="X158">
            <v>0</v>
          </cell>
          <cell r="Y158">
            <v>168000</v>
          </cell>
        </row>
        <row r="159">
          <cell r="E159">
            <v>17750165</v>
          </cell>
          <cell r="F159" t="str">
            <v>Toko Keled</v>
          </cell>
          <cell r="G159">
            <v>0</v>
          </cell>
          <cell r="H159">
            <v>0</v>
          </cell>
          <cell r="I159">
            <v>1</v>
          </cell>
          <cell r="J159">
            <v>1</v>
          </cell>
          <cell r="K159">
            <v>0</v>
          </cell>
          <cell r="L159">
            <v>0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170000</v>
          </cell>
        </row>
        <row r="160">
          <cell r="E160">
            <v>17753641</v>
          </cell>
          <cell r="F160" t="str">
            <v>VIA CELL</v>
          </cell>
          <cell r="G160">
            <v>0</v>
          </cell>
          <cell r="H160">
            <v>0</v>
          </cell>
          <cell r="I160">
            <v>1</v>
          </cell>
          <cell r="J160">
            <v>1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253000</v>
          </cell>
        </row>
        <row r="161">
          <cell r="E161">
            <v>17754071</v>
          </cell>
          <cell r="F161" t="str">
            <v>Toko Aloy</v>
          </cell>
          <cell r="G161">
            <v>0</v>
          </cell>
          <cell r="H161">
            <v>0</v>
          </cell>
          <cell r="I161">
            <v>1</v>
          </cell>
          <cell r="J161">
            <v>1</v>
          </cell>
          <cell r="K161">
            <v>5</v>
          </cell>
          <cell r="L161">
            <v>5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5</v>
          </cell>
          <cell r="V161">
            <v>0</v>
          </cell>
          <cell r="W161">
            <v>0</v>
          </cell>
          <cell r="X161">
            <v>0</v>
          </cell>
          <cell r="Y161">
            <v>132000</v>
          </cell>
        </row>
        <row r="162">
          <cell r="E162">
            <v>17762645</v>
          </cell>
          <cell r="F162" t="str">
            <v>Eva Nurjanah</v>
          </cell>
          <cell r="G162">
            <v>0</v>
          </cell>
          <cell r="H162">
            <v>0</v>
          </cell>
          <cell r="I162">
            <v>1</v>
          </cell>
          <cell r="J162">
            <v>1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168000</v>
          </cell>
        </row>
        <row r="163">
          <cell r="E163">
            <v>17762658</v>
          </cell>
          <cell r="F163" t="str">
            <v>Toko Siswoto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</row>
        <row r="164">
          <cell r="E164">
            <v>17763651</v>
          </cell>
          <cell r="F164" t="str">
            <v>Warung Muji</v>
          </cell>
          <cell r="G164">
            <v>0</v>
          </cell>
          <cell r="H164">
            <v>0</v>
          </cell>
          <cell r="I164">
            <v>1</v>
          </cell>
          <cell r="J164">
            <v>1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325000</v>
          </cell>
        </row>
        <row r="165">
          <cell r="E165">
            <v>17763664</v>
          </cell>
          <cell r="F165" t="str">
            <v>Toko Alvin Jaya</v>
          </cell>
          <cell r="G165">
            <v>0</v>
          </cell>
          <cell r="H165">
            <v>0</v>
          </cell>
          <cell r="I165">
            <v>1</v>
          </cell>
          <cell r="J165">
            <v>1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180000</v>
          </cell>
        </row>
        <row r="166">
          <cell r="E166">
            <v>17763874</v>
          </cell>
          <cell r="F166" t="str">
            <v>Warung  Fitria</v>
          </cell>
          <cell r="G166">
            <v>0</v>
          </cell>
          <cell r="H166">
            <v>0</v>
          </cell>
          <cell r="I166">
            <v>1</v>
          </cell>
          <cell r="J166">
            <v>1</v>
          </cell>
          <cell r="K166">
            <v>6</v>
          </cell>
          <cell r="L166">
            <v>6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6</v>
          </cell>
          <cell r="V166">
            <v>0</v>
          </cell>
          <cell r="W166">
            <v>0</v>
          </cell>
          <cell r="X166">
            <v>0</v>
          </cell>
          <cell r="Y166">
            <v>132000</v>
          </cell>
        </row>
        <row r="167">
          <cell r="E167">
            <v>17764101</v>
          </cell>
          <cell r="F167" t="str">
            <v>Toko panji</v>
          </cell>
          <cell r="G167">
            <v>0</v>
          </cell>
          <cell r="H167">
            <v>0</v>
          </cell>
          <cell r="I167">
            <v>1</v>
          </cell>
          <cell r="J167">
            <v>1</v>
          </cell>
          <cell r="K167">
            <v>0</v>
          </cell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4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132000</v>
          </cell>
        </row>
        <row r="168">
          <cell r="E168">
            <v>17765205</v>
          </cell>
          <cell r="F168" t="str">
            <v>Toko Sinar Rezeki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5</v>
          </cell>
          <cell r="L168">
            <v>5</v>
          </cell>
          <cell r="M168">
            <v>0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5</v>
          </cell>
          <cell r="V168">
            <v>0</v>
          </cell>
          <cell r="W168">
            <v>0</v>
          </cell>
          <cell r="X168">
            <v>0</v>
          </cell>
          <cell r="Y168">
            <v>0</v>
          </cell>
        </row>
        <row r="169">
          <cell r="E169">
            <v>17766037</v>
          </cell>
          <cell r="F169" t="str">
            <v>Kios Eli Pereges</v>
          </cell>
          <cell r="G169">
            <v>0</v>
          </cell>
          <cell r="H169">
            <v>0</v>
          </cell>
          <cell r="I169">
            <v>1</v>
          </cell>
          <cell r="J169">
            <v>1</v>
          </cell>
          <cell r="K169">
            <v>0</v>
          </cell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182000</v>
          </cell>
        </row>
        <row r="170">
          <cell r="E170">
            <v>17766225</v>
          </cell>
          <cell r="F170" t="str">
            <v>Warkop Simpang Tiga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E171">
            <v>17768368</v>
          </cell>
          <cell r="F171" t="str">
            <v>Juang Pulsa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E172">
            <v>17768983</v>
          </cell>
          <cell r="F172" t="str">
            <v>Toko Mala</v>
          </cell>
          <cell r="G172">
            <v>0</v>
          </cell>
          <cell r="H172">
            <v>0</v>
          </cell>
          <cell r="I172">
            <v>1</v>
          </cell>
          <cell r="J172">
            <v>1</v>
          </cell>
          <cell r="K172">
            <v>5</v>
          </cell>
          <cell r="L172">
            <v>5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5</v>
          </cell>
          <cell r="V172">
            <v>0</v>
          </cell>
          <cell r="W172">
            <v>0</v>
          </cell>
          <cell r="X172">
            <v>0</v>
          </cell>
          <cell r="Y172">
            <v>397000</v>
          </cell>
        </row>
        <row r="173">
          <cell r="E173">
            <v>17779344</v>
          </cell>
          <cell r="F173" t="str">
            <v>Toko Kharisma</v>
          </cell>
          <cell r="G173">
            <v>0</v>
          </cell>
          <cell r="H173">
            <v>0</v>
          </cell>
          <cell r="I173">
            <v>1</v>
          </cell>
          <cell r="J173">
            <v>1</v>
          </cell>
          <cell r="K173">
            <v>0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168000</v>
          </cell>
        </row>
        <row r="174">
          <cell r="E174">
            <v>17783359</v>
          </cell>
          <cell r="F174" t="str">
            <v>Toko Mura Jaya</v>
          </cell>
          <cell r="G174">
            <v>0</v>
          </cell>
          <cell r="H174">
            <v>0</v>
          </cell>
          <cell r="I174">
            <v>1</v>
          </cell>
          <cell r="J174">
            <v>1</v>
          </cell>
          <cell r="K174">
            <v>0</v>
          </cell>
          <cell r="L174">
            <v>0</v>
          </cell>
          <cell r="M174">
            <v>0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>
            <v>0</v>
          </cell>
          <cell r="V174">
            <v>0</v>
          </cell>
          <cell r="W174">
            <v>0</v>
          </cell>
          <cell r="X174">
            <v>0</v>
          </cell>
          <cell r="Y174">
            <v>132000</v>
          </cell>
        </row>
        <row r="175">
          <cell r="E175">
            <v>17783845</v>
          </cell>
          <cell r="F175" t="str">
            <v>FIX CELLULER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0</v>
          </cell>
          <cell r="M175">
            <v>0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>
            <v>0</v>
          </cell>
          <cell r="V175">
            <v>0</v>
          </cell>
          <cell r="W175">
            <v>0</v>
          </cell>
          <cell r="X175">
            <v>0</v>
          </cell>
          <cell r="Y175">
            <v>1500000</v>
          </cell>
        </row>
        <row r="176">
          <cell r="E176">
            <v>17783930</v>
          </cell>
          <cell r="F176" t="str">
            <v>IMAM CELL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2</v>
          </cell>
          <cell r="L176">
            <v>2</v>
          </cell>
          <cell r="M176">
            <v>0</v>
          </cell>
          <cell r="N176">
            <v>2</v>
          </cell>
          <cell r="O176">
            <v>2</v>
          </cell>
          <cell r="P176">
            <v>0</v>
          </cell>
          <cell r="Q176">
            <v>2</v>
          </cell>
          <cell r="R176">
            <v>2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800000</v>
          </cell>
        </row>
        <row r="177">
          <cell r="E177">
            <v>17785546</v>
          </cell>
          <cell r="F177" t="str">
            <v>Warung Resti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N177">
            <v>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</row>
        <row r="178">
          <cell r="E178">
            <v>17790525</v>
          </cell>
          <cell r="F178" t="str">
            <v>TOKO ALONG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4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500000</v>
          </cell>
        </row>
        <row r="179">
          <cell r="E179">
            <v>17803417</v>
          </cell>
          <cell r="F179" t="str">
            <v>Toko TITIN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1</v>
          </cell>
          <cell r="L179">
            <v>1</v>
          </cell>
          <cell r="M179">
            <v>0</v>
          </cell>
          <cell r="N179">
            <v>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</row>
        <row r="180">
          <cell r="E180">
            <v>17804899</v>
          </cell>
          <cell r="F180" t="str">
            <v>Toko TETI</v>
          </cell>
          <cell r="G180">
            <v>0</v>
          </cell>
          <cell r="H180">
            <v>0</v>
          </cell>
          <cell r="I180">
            <v>1</v>
          </cell>
          <cell r="J180">
            <v>1</v>
          </cell>
          <cell r="K180">
            <v>0</v>
          </cell>
          <cell r="L180">
            <v>0</v>
          </cell>
          <cell r="M180">
            <v>0</v>
          </cell>
          <cell r="N180">
            <v>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168000</v>
          </cell>
        </row>
        <row r="181">
          <cell r="E181">
            <v>507427</v>
          </cell>
          <cell r="F181" t="str">
            <v>Eko celluler</v>
          </cell>
          <cell r="G181">
            <v>0</v>
          </cell>
          <cell r="H181">
            <v>0</v>
          </cell>
          <cell r="I181">
            <v>1</v>
          </cell>
          <cell r="J181">
            <v>1</v>
          </cell>
          <cell r="K181">
            <v>0</v>
          </cell>
          <cell r="L181">
            <v>0</v>
          </cell>
          <cell r="M181">
            <v>0</v>
          </cell>
          <cell r="N181">
            <v>0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5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120000</v>
          </cell>
        </row>
        <row r="182">
          <cell r="E182">
            <v>659110</v>
          </cell>
          <cell r="F182" t="str">
            <v>Harapan baru</v>
          </cell>
          <cell r="G182">
            <v>0</v>
          </cell>
          <cell r="H182">
            <v>0</v>
          </cell>
          <cell r="I182">
            <v>3</v>
          </cell>
          <cell r="J182">
            <v>3</v>
          </cell>
          <cell r="K182">
            <v>0</v>
          </cell>
          <cell r="L182">
            <v>0</v>
          </cell>
          <cell r="M182">
            <v>0</v>
          </cell>
          <cell r="N182">
            <v>0</v>
          </cell>
          <cell r="O182">
            <v>0</v>
          </cell>
          <cell r="P182">
            <v>0</v>
          </cell>
          <cell r="Q182">
            <v>0</v>
          </cell>
          <cell r="R182">
            <v>0</v>
          </cell>
          <cell r="S182">
            <v>0</v>
          </cell>
          <cell r="T182">
            <v>39</v>
          </cell>
          <cell r="U182">
            <v>0</v>
          </cell>
          <cell r="V182">
            <v>0</v>
          </cell>
          <cell r="W182">
            <v>0</v>
          </cell>
          <cell r="X182">
            <v>0</v>
          </cell>
          <cell r="Y182">
            <v>3720000</v>
          </cell>
        </row>
        <row r="183">
          <cell r="E183">
            <v>1077160</v>
          </cell>
          <cell r="F183" t="str">
            <v>susie ponsel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  <cell r="L183">
            <v>0</v>
          </cell>
          <cell r="M183">
            <v>0</v>
          </cell>
          <cell r="N183">
            <v>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</row>
        <row r="184">
          <cell r="E184">
            <v>1318548</v>
          </cell>
          <cell r="F184" t="str">
            <v>Zona ponsel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</row>
        <row r="185">
          <cell r="E185">
            <v>1448552</v>
          </cell>
          <cell r="F185" t="str">
            <v>LOUIS SELINDO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  <cell r="L185">
            <v>0</v>
          </cell>
          <cell r="M185">
            <v>0</v>
          </cell>
          <cell r="N185">
            <v>0</v>
          </cell>
          <cell r="O185">
            <v>0</v>
          </cell>
          <cell r="P185">
            <v>0</v>
          </cell>
          <cell r="Q185">
            <v>0</v>
          </cell>
          <cell r="R185">
            <v>0</v>
          </cell>
          <cell r="S185">
            <v>0</v>
          </cell>
          <cell r="T185">
            <v>0</v>
          </cell>
          <cell r="U185">
            <v>0</v>
          </cell>
          <cell r="V185">
            <v>0</v>
          </cell>
          <cell r="W185">
            <v>0</v>
          </cell>
          <cell r="X185">
            <v>0</v>
          </cell>
          <cell r="Y185">
            <v>0</v>
          </cell>
        </row>
        <row r="186">
          <cell r="E186">
            <v>17053268</v>
          </cell>
          <cell r="F186" t="str">
            <v>Formo Cell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</row>
        <row r="187">
          <cell r="E187">
            <v>17224859</v>
          </cell>
          <cell r="F187" t="str">
            <v>Ibnati Ponsel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</row>
        <row r="188">
          <cell r="E188">
            <v>17236843</v>
          </cell>
          <cell r="F188" t="str">
            <v>BUSELINDO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0</v>
          </cell>
          <cell r="M188">
            <v>0</v>
          </cell>
          <cell r="N188">
            <v>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</row>
        <row r="189">
          <cell r="E189">
            <v>17256272</v>
          </cell>
          <cell r="F189" t="str">
            <v>MONITOR SELINDO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</row>
        <row r="190">
          <cell r="E190">
            <v>17272708</v>
          </cell>
          <cell r="F190" t="str">
            <v>Dragon Cell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  <cell r="L190">
            <v>0</v>
          </cell>
          <cell r="M190">
            <v>0</v>
          </cell>
          <cell r="N190">
            <v>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</row>
        <row r="191">
          <cell r="E191">
            <v>17400773</v>
          </cell>
          <cell r="F191" t="str">
            <v>Yona Ponsel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  <cell r="L191">
            <v>0</v>
          </cell>
          <cell r="M191">
            <v>0</v>
          </cell>
          <cell r="N191">
            <v>0</v>
          </cell>
          <cell r="O191">
            <v>0</v>
          </cell>
          <cell r="P191">
            <v>0</v>
          </cell>
          <cell r="Q191">
            <v>0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</row>
        <row r="192">
          <cell r="E192">
            <v>17407927</v>
          </cell>
          <cell r="F192" t="str">
            <v>LINI PONSEL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1000000</v>
          </cell>
        </row>
        <row r="193">
          <cell r="E193">
            <v>17434658</v>
          </cell>
          <cell r="F193" t="str">
            <v>ceria cell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</row>
        <row r="194">
          <cell r="E194">
            <v>17434670</v>
          </cell>
          <cell r="F194" t="str">
            <v>NS CELULAR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2</v>
          </cell>
          <cell r="L194">
            <v>2</v>
          </cell>
          <cell r="M194">
            <v>0</v>
          </cell>
          <cell r="N194">
            <v>2</v>
          </cell>
          <cell r="O194">
            <v>2</v>
          </cell>
          <cell r="P194">
            <v>0</v>
          </cell>
          <cell r="Q194">
            <v>2</v>
          </cell>
          <cell r="R194">
            <v>2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</row>
        <row r="195">
          <cell r="E195">
            <v>17546521</v>
          </cell>
          <cell r="F195" t="str">
            <v>CITRA PONSEL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500000</v>
          </cell>
        </row>
        <row r="196">
          <cell r="E196">
            <v>17546556</v>
          </cell>
          <cell r="F196" t="str">
            <v>ENJOY SHOP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</row>
        <row r="197">
          <cell r="E197">
            <v>17564430</v>
          </cell>
          <cell r="F197" t="str">
            <v>HAPPY CELL SUI JAGA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0</v>
          </cell>
          <cell r="U197">
            <v>0</v>
          </cell>
          <cell r="V197">
            <v>0</v>
          </cell>
          <cell r="W197">
            <v>0</v>
          </cell>
          <cell r="X197">
            <v>0</v>
          </cell>
          <cell r="Y197">
            <v>0</v>
          </cell>
        </row>
        <row r="198">
          <cell r="E198">
            <v>17570839</v>
          </cell>
          <cell r="F198" t="str">
            <v>Central phone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  <cell r="L198">
            <v>0</v>
          </cell>
          <cell r="M198">
            <v>0</v>
          </cell>
          <cell r="N198">
            <v>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</row>
        <row r="199">
          <cell r="E199">
            <v>17575257</v>
          </cell>
          <cell r="F199" t="str">
            <v>VITHA PONSEL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E200">
            <v>17579363</v>
          </cell>
          <cell r="F200" t="str">
            <v>INDO CELLULAR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E201">
            <v>17588929</v>
          </cell>
          <cell r="F201" t="str">
            <v>IsJ ELEKTRONIK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</row>
        <row r="202">
          <cell r="E202">
            <v>17588948</v>
          </cell>
          <cell r="F202" t="str">
            <v>Mahkota Jaya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E203">
            <v>17589390</v>
          </cell>
          <cell r="F203" t="str">
            <v>DUTA CELLULER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3</v>
          </cell>
          <cell r="L203">
            <v>3</v>
          </cell>
          <cell r="M203">
            <v>0</v>
          </cell>
          <cell r="N203">
            <v>3</v>
          </cell>
          <cell r="O203">
            <v>3</v>
          </cell>
          <cell r="P203">
            <v>0</v>
          </cell>
          <cell r="Q203">
            <v>3</v>
          </cell>
          <cell r="R203">
            <v>3</v>
          </cell>
          <cell r="S203">
            <v>0</v>
          </cell>
          <cell r="T203">
            <v>0</v>
          </cell>
          <cell r="U203">
            <v>0</v>
          </cell>
          <cell r="V203">
            <v>0</v>
          </cell>
          <cell r="W203">
            <v>0</v>
          </cell>
          <cell r="X203">
            <v>0</v>
          </cell>
          <cell r="Y203">
            <v>0</v>
          </cell>
        </row>
        <row r="204">
          <cell r="E204">
            <v>17612118</v>
          </cell>
          <cell r="F204" t="str">
            <v>Toko Fantasi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E205">
            <v>17612149</v>
          </cell>
          <cell r="F205" t="str">
            <v>SINAR REJEKI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E206">
            <v>17613077</v>
          </cell>
          <cell r="F206" t="str">
            <v>SrC Herni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</row>
        <row r="207">
          <cell r="E207">
            <v>17614624</v>
          </cell>
          <cell r="F207" t="str">
            <v>Grand Cell Karimunting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E208">
            <v>17621357</v>
          </cell>
          <cell r="F208" t="str">
            <v>Warung Mak Ning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09">
          <cell r="E209">
            <v>17621375</v>
          </cell>
          <cell r="F209" t="str">
            <v>Warung Pakngah bujang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  <cell r="L209">
            <v>0</v>
          </cell>
          <cell r="M209">
            <v>0</v>
          </cell>
          <cell r="N209">
            <v>0</v>
          </cell>
          <cell r="O209">
            <v>0</v>
          </cell>
          <cell r="P209">
            <v>0</v>
          </cell>
          <cell r="Q209">
            <v>0</v>
          </cell>
          <cell r="R209">
            <v>0</v>
          </cell>
          <cell r="S209">
            <v>0</v>
          </cell>
          <cell r="T209">
            <v>0</v>
          </cell>
          <cell r="U209">
            <v>0</v>
          </cell>
          <cell r="V209">
            <v>0</v>
          </cell>
          <cell r="W209">
            <v>0</v>
          </cell>
          <cell r="X209">
            <v>0</v>
          </cell>
          <cell r="Y209">
            <v>0</v>
          </cell>
        </row>
        <row r="210">
          <cell r="E210">
            <v>17621378</v>
          </cell>
          <cell r="F210" t="str">
            <v>Tk pak Latri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</row>
        <row r="211">
          <cell r="E211">
            <v>17622706</v>
          </cell>
          <cell r="F211" t="str">
            <v>Warung Siti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  <cell r="L211">
            <v>0</v>
          </cell>
          <cell r="M211">
            <v>0</v>
          </cell>
          <cell r="N211">
            <v>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0</v>
          </cell>
          <cell r="X211">
            <v>0</v>
          </cell>
          <cell r="Y211">
            <v>0</v>
          </cell>
        </row>
        <row r="212">
          <cell r="E212">
            <v>17628858</v>
          </cell>
          <cell r="F212" t="str">
            <v>Warung Simpang Capkala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  <cell r="L212">
            <v>0</v>
          </cell>
          <cell r="M212">
            <v>0</v>
          </cell>
          <cell r="N212">
            <v>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0</v>
          </cell>
          <cell r="T212">
            <v>0</v>
          </cell>
          <cell r="U212">
            <v>0</v>
          </cell>
          <cell r="V212">
            <v>0</v>
          </cell>
          <cell r="W212">
            <v>0</v>
          </cell>
          <cell r="X212">
            <v>0</v>
          </cell>
          <cell r="Y212">
            <v>0</v>
          </cell>
        </row>
        <row r="213">
          <cell r="E213">
            <v>17628917</v>
          </cell>
          <cell r="F213" t="str">
            <v>Warung Beneyy</v>
          </cell>
          <cell r="G213">
            <v>0</v>
          </cell>
          <cell r="H213">
            <v>0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</row>
        <row r="214">
          <cell r="E214">
            <v>17635487</v>
          </cell>
          <cell r="F214" t="str">
            <v>Lotus Cell</v>
          </cell>
          <cell r="G214">
            <v>0</v>
          </cell>
          <cell r="H214">
            <v>0</v>
          </cell>
          <cell r="I214">
            <v>0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</row>
        <row r="215">
          <cell r="E215">
            <v>17636261</v>
          </cell>
          <cell r="F215" t="str">
            <v>Tk SG zoya</v>
          </cell>
          <cell r="G215">
            <v>0</v>
          </cell>
          <cell r="H215">
            <v>0</v>
          </cell>
          <cell r="I215">
            <v>0</v>
          </cell>
          <cell r="J215">
            <v>0</v>
          </cell>
          <cell r="K215">
            <v>0</v>
          </cell>
          <cell r="L215">
            <v>0</v>
          </cell>
          <cell r="M215">
            <v>0</v>
          </cell>
          <cell r="N215">
            <v>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</row>
        <row r="216">
          <cell r="E216">
            <v>17639127</v>
          </cell>
          <cell r="F216" t="str">
            <v>Warung Dian</v>
          </cell>
          <cell r="G216">
            <v>0</v>
          </cell>
          <cell r="H216">
            <v>0</v>
          </cell>
          <cell r="I216">
            <v>0</v>
          </cell>
          <cell r="J216">
            <v>0</v>
          </cell>
          <cell r="K216">
            <v>0</v>
          </cell>
          <cell r="L216">
            <v>0</v>
          </cell>
          <cell r="M216">
            <v>0</v>
          </cell>
          <cell r="N216">
            <v>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</row>
        <row r="217">
          <cell r="E217">
            <v>17659124</v>
          </cell>
          <cell r="F217" t="str">
            <v>TK.Serba serbi</v>
          </cell>
          <cell r="G217">
            <v>0</v>
          </cell>
          <cell r="H217">
            <v>0</v>
          </cell>
          <cell r="I217">
            <v>0</v>
          </cell>
          <cell r="J217">
            <v>0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</row>
        <row r="218">
          <cell r="E218">
            <v>17691426</v>
          </cell>
          <cell r="F218" t="str">
            <v>Warung Manda</v>
          </cell>
          <cell r="G218">
            <v>0</v>
          </cell>
          <cell r="H218">
            <v>0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</row>
        <row r="219">
          <cell r="E219">
            <v>17692185</v>
          </cell>
          <cell r="F219" t="str">
            <v>BAHAGIA CELL</v>
          </cell>
          <cell r="G219">
            <v>0</v>
          </cell>
          <cell r="H219">
            <v>0</v>
          </cell>
          <cell r="I219">
            <v>0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  <cell r="N219">
            <v>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</row>
        <row r="220">
          <cell r="E220">
            <v>17692277</v>
          </cell>
          <cell r="F220" t="str">
            <v>Internasional Shop</v>
          </cell>
          <cell r="G220">
            <v>0</v>
          </cell>
          <cell r="H220">
            <v>0</v>
          </cell>
          <cell r="I220">
            <v>0</v>
          </cell>
          <cell r="J220">
            <v>0</v>
          </cell>
          <cell r="K220">
            <v>0</v>
          </cell>
          <cell r="L220">
            <v>0</v>
          </cell>
          <cell r="M220">
            <v>0</v>
          </cell>
          <cell r="N220">
            <v>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</row>
        <row r="221">
          <cell r="E221">
            <v>17692760</v>
          </cell>
          <cell r="F221" t="str">
            <v>Rina cell</v>
          </cell>
          <cell r="G221">
            <v>0</v>
          </cell>
          <cell r="H221">
            <v>0</v>
          </cell>
          <cell r="I221">
            <v>0</v>
          </cell>
          <cell r="J221">
            <v>0</v>
          </cell>
          <cell r="K221">
            <v>0</v>
          </cell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</row>
        <row r="222">
          <cell r="E222">
            <v>17693806</v>
          </cell>
          <cell r="F222" t="str">
            <v>INDO GADGET</v>
          </cell>
          <cell r="G222">
            <v>0</v>
          </cell>
          <cell r="H222">
            <v>0</v>
          </cell>
          <cell r="I222">
            <v>0</v>
          </cell>
          <cell r="J222">
            <v>0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</row>
        <row r="223">
          <cell r="E223">
            <v>17694556</v>
          </cell>
          <cell r="F223" t="str">
            <v>Warung Parmah</v>
          </cell>
          <cell r="G223">
            <v>0</v>
          </cell>
          <cell r="H223">
            <v>0</v>
          </cell>
          <cell r="I223">
            <v>0</v>
          </cell>
          <cell r="J223">
            <v>0</v>
          </cell>
          <cell r="K223">
            <v>0</v>
          </cell>
          <cell r="L223">
            <v>0</v>
          </cell>
          <cell r="M223">
            <v>0</v>
          </cell>
          <cell r="N223">
            <v>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0</v>
          </cell>
          <cell r="X223">
            <v>0</v>
          </cell>
          <cell r="Y223">
            <v>0</v>
          </cell>
        </row>
        <row r="224">
          <cell r="E224">
            <v>17742642</v>
          </cell>
          <cell r="F224" t="str">
            <v>Toko Angok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</row>
        <row r="225">
          <cell r="E225">
            <v>17742643</v>
          </cell>
          <cell r="F225" t="str">
            <v>RM .SPORT</v>
          </cell>
          <cell r="G225">
            <v>0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0</v>
          </cell>
          <cell r="M225">
            <v>0</v>
          </cell>
          <cell r="N225">
            <v>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</row>
        <row r="226">
          <cell r="E226">
            <v>17763995</v>
          </cell>
          <cell r="F226" t="str">
            <v>Toko tiga berlian</v>
          </cell>
          <cell r="G226">
            <v>0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0</v>
          </cell>
          <cell r="M226">
            <v>0</v>
          </cell>
          <cell r="N226">
            <v>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</row>
        <row r="227">
          <cell r="E227">
            <v>17763996</v>
          </cell>
          <cell r="F227" t="str">
            <v>TOKO ANA</v>
          </cell>
          <cell r="G227">
            <v>0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</row>
        <row r="228">
          <cell r="E228">
            <v>17764704</v>
          </cell>
          <cell r="F228" t="str">
            <v>Rizal selindo</v>
          </cell>
          <cell r="G228">
            <v>0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0</v>
          </cell>
          <cell r="M228">
            <v>0</v>
          </cell>
          <cell r="N228">
            <v>0</v>
          </cell>
          <cell r="O228">
            <v>0</v>
          </cell>
          <cell r="P228">
            <v>0</v>
          </cell>
          <cell r="Q228">
            <v>0</v>
          </cell>
          <cell r="R228">
            <v>0</v>
          </cell>
          <cell r="S228">
            <v>0</v>
          </cell>
          <cell r="T228">
            <v>0</v>
          </cell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Y228">
            <v>0</v>
          </cell>
        </row>
        <row r="229">
          <cell r="E229">
            <v>17771261</v>
          </cell>
          <cell r="F229" t="str">
            <v>Toko achung</v>
          </cell>
          <cell r="G229">
            <v>0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</row>
        <row r="230">
          <cell r="E230">
            <v>17773148</v>
          </cell>
          <cell r="F230" t="str">
            <v>Warung kak Meli</v>
          </cell>
          <cell r="G230">
            <v>0</v>
          </cell>
          <cell r="H230">
            <v>0</v>
          </cell>
          <cell r="I230">
            <v>0</v>
          </cell>
          <cell r="J230">
            <v>0</v>
          </cell>
          <cell r="K230">
            <v>0</v>
          </cell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</row>
        <row r="231">
          <cell r="E231">
            <v>17796932</v>
          </cell>
          <cell r="F231" t="str">
            <v>Renaya</v>
          </cell>
          <cell r="G231">
            <v>0</v>
          </cell>
          <cell r="H231">
            <v>0</v>
          </cell>
          <cell r="I231">
            <v>0</v>
          </cell>
          <cell r="J231">
            <v>0</v>
          </cell>
          <cell r="K231">
            <v>0</v>
          </cell>
          <cell r="L231">
            <v>0</v>
          </cell>
          <cell r="M231">
            <v>0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</row>
        <row r="232">
          <cell r="E232">
            <v>17796939</v>
          </cell>
          <cell r="F232" t="str">
            <v>TOKO DAVID</v>
          </cell>
          <cell r="G232">
            <v>0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</row>
        <row r="233">
          <cell r="E233">
            <v>17799029</v>
          </cell>
          <cell r="F233" t="str">
            <v>J3 cell</v>
          </cell>
          <cell r="G233">
            <v>0</v>
          </cell>
          <cell r="H233">
            <v>0</v>
          </cell>
          <cell r="I233">
            <v>0</v>
          </cell>
          <cell r="J233">
            <v>0</v>
          </cell>
          <cell r="K233">
            <v>0</v>
          </cell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</row>
        <row r="234">
          <cell r="E234">
            <v>17805758</v>
          </cell>
          <cell r="F234" t="str">
            <v>Toko arie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E235">
            <v>698921</v>
          </cell>
          <cell r="F235" t="str">
            <v>Manis Ceria</v>
          </cell>
          <cell r="G235">
            <v>0</v>
          </cell>
          <cell r="H235">
            <v>0</v>
          </cell>
          <cell r="I235">
            <v>0</v>
          </cell>
          <cell r="J235">
            <v>0</v>
          </cell>
          <cell r="K235">
            <v>0</v>
          </cell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E236">
            <v>698993</v>
          </cell>
          <cell r="F236" t="str">
            <v>Vanny ponsel</v>
          </cell>
          <cell r="G236">
            <v>0</v>
          </cell>
          <cell r="H236">
            <v>0</v>
          </cell>
          <cell r="I236">
            <v>0</v>
          </cell>
          <cell r="J236">
            <v>0</v>
          </cell>
          <cell r="K236">
            <v>0</v>
          </cell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500000</v>
          </cell>
        </row>
        <row r="237">
          <cell r="E237">
            <v>1078285</v>
          </cell>
          <cell r="F237" t="str">
            <v>BARCA ponsel</v>
          </cell>
          <cell r="G237">
            <v>0</v>
          </cell>
          <cell r="H237">
            <v>0</v>
          </cell>
          <cell r="I237">
            <v>2</v>
          </cell>
          <cell r="J237">
            <v>2</v>
          </cell>
          <cell r="K237">
            <v>0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729600</v>
          </cell>
        </row>
        <row r="238">
          <cell r="E238">
            <v>1291615</v>
          </cell>
          <cell r="F238" t="str">
            <v>CHILI PONSEL</v>
          </cell>
          <cell r="G238">
            <v>0</v>
          </cell>
          <cell r="H238">
            <v>0</v>
          </cell>
          <cell r="I238">
            <v>1</v>
          </cell>
          <cell r="J238">
            <v>1</v>
          </cell>
          <cell r="K238">
            <v>0</v>
          </cell>
          <cell r="L238">
            <v>0</v>
          </cell>
          <cell r="M238">
            <v>0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312000</v>
          </cell>
        </row>
        <row r="239">
          <cell r="E239">
            <v>1329385</v>
          </cell>
          <cell r="F239" t="str">
            <v>one two one 2</v>
          </cell>
          <cell r="G239">
            <v>0</v>
          </cell>
          <cell r="H239">
            <v>0</v>
          </cell>
          <cell r="I239">
            <v>2</v>
          </cell>
          <cell r="J239">
            <v>2</v>
          </cell>
          <cell r="K239">
            <v>0</v>
          </cell>
          <cell r="L239">
            <v>0</v>
          </cell>
          <cell r="M239">
            <v>0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1365600</v>
          </cell>
        </row>
        <row r="240">
          <cell r="E240">
            <v>1370953</v>
          </cell>
          <cell r="F240" t="str">
            <v>LUCKY CELL</v>
          </cell>
          <cell r="G240">
            <v>0</v>
          </cell>
          <cell r="H240">
            <v>0</v>
          </cell>
          <cell r="I240">
            <v>2</v>
          </cell>
          <cell r="J240">
            <v>2</v>
          </cell>
          <cell r="K240">
            <v>0</v>
          </cell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753600</v>
          </cell>
        </row>
        <row r="241">
          <cell r="E241">
            <v>1375110</v>
          </cell>
          <cell r="F241" t="str">
            <v>martina seluler</v>
          </cell>
          <cell r="G241">
            <v>0</v>
          </cell>
          <cell r="H241">
            <v>0</v>
          </cell>
          <cell r="I241">
            <v>1</v>
          </cell>
          <cell r="J241">
            <v>1</v>
          </cell>
          <cell r="K241">
            <v>0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312000</v>
          </cell>
        </row>
        <row r="242">
          <cell r="E242">
            <v>1375440</v>
          </cell>
          <cell r="F242" t="str">
            <v>bless cellular</v>
          </cell>
          <cell r="G242">
            <v>0</v>
          </cell>
          <cell r="H242">
            <v>0</v>
          </cell>
          <cell r="I242">
            <v>1</v>
          </cell>
          <cell r="J242">
            <v>1</v>
          </cell>
          <cell r="K242">
            <v>0</v>
          </cell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252800</v>
          </cell>
        </row>
        <row r="243">
          <cell r="E243">
            <v>1486638</v>
          </cell>
          <cell r="F243" t="str">
            <v>GM CYBER</v>
          </cell>
          <cell r="G243">
            <v>0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4">
          <cell r="E244">
            <v>1496057</v>
          </cell>
          <cell r="F244" t="str">
            <v>Grand cell</v>
          </cell>
          <cell r="G244">
            <v>0</v>
          </cell>
          <cell r="H244">
            <v>0</v>
          </cell>
          <cell r="I244">
            <v>6</v>
          </cell>
          <cell r="J244">
            <v>6</v>
          </cell>
          <cell r="K244">
            <v>0</v>
          </cell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0</v>
          </cell>
          <cell r="Q244">
            <v>0</v>
          </cell>
          <cell r="R244">
            <v>0</v>
          </cell>
          <cell r="S244">
            <v>0</v>
          </cell>
          <cell r="T244">
            <v>0</v>
          </cell>
          <cell r="U244">
            <v>0</v>
          </cell>
          <cell r="V244">
            <v>0</v>
          </cell>
          <cell r="W244">
            <v>0</v>
          </cell>
          <cell r="X244">
            <v>0</v>
          </cell>
          <cell r="Y244">
            <v>5712000</v>
          </cell>
        </row>
        <row r="245">
          <cell r="E245">
            <v>1570103</v>
          </cell>
          <cell r="F245" t="str">
            <v>Morning Ponsel</v>
          </cell>
          <cell r="G245">
            <v>0</v>
          </cell>
          <cell r="H245">
            <v>0</v>
          </cell>
          <cell r="I245">
            <v>1</v>
          </cell>
          <cell r="J245">
            <v>1</v>
          </cell>
          <cell r="K245">
            <v>0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  <cell r="R245">
            <v>0</v>
          </cell>
          <cell r="S245">
            <v>0</v>
          </cell>
          <cell r="T245">
            <v>0</v>
          </cell>
          <cell r="U245">
            <v>0</v>
          </cell>
          <cell r="V245">
            <v>0</v>
          </cell>
          <cell r="W245">
            <v>0</v>
          </cell>
          <cell r="X245">
            <v>0</v>
          </cell>
          <cell r="Y245">
            <v>52800</v>
          </cell>
        </row>
        <row r="246">
          <cell r="E246">
            <v>17033536</v>
          </cell>
          <cell r="F246" t="str">
            <v>MEGA JAYA</v>
          </cell>
          <cell r="G246">
            <v>0</v>
          </cell>
          <cell r="H246">
            <v>0</v>
          </cell>
          <cell r="I246">
            <v>1</v>
          </cell>
          <cell r="J246">
            <v>1</v>
          </cell>
          <cell r="K246">
            <v>1</v>
          </cell>
          <cell r="L246">
            <v>1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1</v>
          </cell>
          <cell r="U246">
            <v>1</v>
          </cell>
          <cell r="V246">
            <v>0</v>
          </cell>
          <cell r="W246">
            <v>0</v>
          </cell>
          <cell r="X246">
            <v>0</v>
          </cell>
          <cell r="Y246">
            <v>240000</v>
          </cell>
        </row>
        <row r="247">
          <cell r="E247">
            <v>17209980</v>
          </cell>
          <cell r="F247" t="str">
            <v>Keyla ponsel</v>
          </cell>
          <cell r="G247">
            <v>0</v>
          </cell>
          <cell r="H247">
            <v>0</v>
          </cell>
          <cell r="I247">
            <v>0</v>
          </cell>
          <cell r="J247">
            <v>0</v>
          </cell>
          <cell r="K247">
            <v>0</v>
          </cell>
          <cell r="L247">
            <v>0</v>
          </cell>
          <cell r="M247">
            <v>0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</row>
        <row r="248">
          <cell r="E248">
            <v>17211864</v>
          </cell>
          <cell r="F248" t="str">
            <v>GALAXY CELLULER</v>
          </cell>
          <cell r="G248">
            <v>0</v>
          </cell>
          <cell r="H248">
            <v>0</v>
          </cell>
          <cell r="I248">
            <v>2</v>
          </cell>
          <cell r="J248">
            <v>2</v>
          </cell>
          <cell r="K248">
            <v>0</v>
          </cell>
          <cell r="L248">
            <v>0</v>
          </cell>
          <cell r="M248">
            <v>0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211200</v>
          </cell>
        </row>
        <row r="249">
          <cell r="E249">
            <v>17221170</v>
          </cell>
          <cell r="F249" t="str">
            <v>Mitra Cellular</v>
          </cell>
          <cell r="G249">
            <v>0</v>
          </cell>
          <cell r="H249">
            <v>0</v>
          </cell>
          <cell r="I249">
            <v>2</v>
          </cell>
          <cell r="J249">
            <v>2</v>
          </cell>
          <cell r="K249">
            <v>0</v>
          </cell>
          <cell r="L249">
            <v>0</v>
          </cell>
          <cell r="M249">
            <v>0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904000</v>
          </cell>
        </row>
        <row r="250">
          <cell r="E250">
            <v>17223680</v>
          </cell>
          <cell r="F250" t="str">
            <v>Nita</v>
          </cell>
          <cell r="G250">
            <v>0</v>
          </cell>
          <cell r="H250">
            <v>0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</row>
        <row r="251">
          <cell r="E251">
            <v>17232076</v>
          </cell>
          <cell r="F251" t="str">
            <v>EVAN</v>
          </cell>
          <cell r="G251">
            <v>0</v>
          </cell>
          <cell r="H251">
            <v>0</v>
          </cell>
          <cell r="I251">
            <v>2</v>
          </cell>
          <cell r="J251">
            <v>2</v>
          </cell>
          <cell r="K251">
            <v>10</v>
          </cell>
          <cell r="L251">
            <v>10</v>
          </cell>
          <cell r="M251">
            <v>0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10</v>
          </cell>
          <cell r="V251">
            <v>0</v>
          </cell>
          <cell r="W251">
            <v>0</v>
          </cell>
          <cell r="X251">
            <v>0</v>
          </cell>
          <cell r="Y251">
            <v>3147600</v>
          </cell>
        </row>
        <row r="252">
          <cell r="E252">
            <v>17232998</v>
          </cell>
          <cell r="F252" t="str">
            <v>Tio ponsel</v>
          </cell>
          <cell r="G252">
            <v>0</v>
          </cell>
          <cell r="H252">
            <v>0</v>
          </cell>
          <cell r="I252">
            <v>1</v>
          </cell>
          <cell r="J252">
            <v>1</v>
          </cell>
          <cell r="K252">
            <v>0</v>
          </cell>
          <cell r="L252">
            <v>0</v>
          </cell>
          <cell r="M252">
            <v>0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0</v>
          </cell>
          <cell r="T252">
            <v>0</v>
          </cell>
          <cell r="U252">
            <v>0</v>
          </cell>
          <cell r="V252">
            <v>0</v>
          </cell>
          <cell r="W252">
            <v>0</v>
          </cell>
          <cell r="X252">
            <v>0</v>
          </cell>
          <cell r="Y252">
            <v>792000</v>
          </cell>
        </row>
        <row r="253">
          <cell r="E253">
            <v>17242821</v>
          </cell>
          <cell r="F253" t="str">
            <v>ONE TRONIK</v>
          </cell>
          <cell r="G253">
            <v>0</v>
          </cell>
          <cell r="H253">
            <v>0</v>
          </cell>
          <cell r="I253">
            <v>1</v>
          </cell>
          <cell r="J253">
            <v>1</v>
          </cell>
          <cell r="K253">
            <v>0</v>
          </cell>
          <cell r="L253">
            <v>0</v>
          </cell>
          <cell r="M253">
            <v>0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0</v>
          </cell>
          <cell r="V253">
            <v>0</v>
          </cell>
          <cell r="W253">
            <v>0</v>
          </cell>
          <cell r="X253">
            <v>0</v>
          </cell>
          <cell r="Y253">
            <v>52800</v>
          </cell>
        </row>
        <row r="254">
          <cell r="E254">
            <v>17308382</v>
          </cell>
          <cell r="F254" t="str">
            <v>duta phone</v>
          </cell>
          <cell r="G254">
            <v>0</v>
          </cell>
          <cell r="H254">
            <v>0</v>
          </cell>
          <cell r="I254">
            <v>1</v>
          </cell>
          <cell r="J254">
            <v>1</v>
          </cell>
          <cell r="K254">
            <v>0</v>
          </cell>
          <cell r="L254">
            <v>0</v>
          </cell>
          <cell r="M254">
            <v>0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V254">
            <v>0</v>
          </cell>
          <cell r="W254">
            <v>0</v>
          </cell>
          <cell r="X254">
            <v>0</v>
          </cell>
          <cell r="Y254">
            <v>666000</v>
          </cell>
        </row>
        <row r="255">
          <cell r="E255">
            <v>17342969</v>
          </cell>
          <cell r="F255" t="str">
            <v>CS JAYA PONSEL</v>
          </cell>
          <cell r="G255">
            <v>0</v>
          </cell>
          <cell r="H255">
            <v>0</v>
          </cell>
          <cell r="I255">
            <v>1</v>
          </cell>
          <cell r="J255">
            <v>1</v>
          </cell>
          <cell r="K255">
            <v>0</v>
          </cell>
          <cell r="L255">
            <v>0</v>
          </cell>
          <cell r="M255">
            <v>0</v>
          </cell>
          <cell r="N255">
            <v>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105600</v>
          </cell>
        </row>
        <row r="256">
          <cell r="E256">
            <v>17373486</v>
          </cell>
          <cell r="F256" t="str">
            <v>dwi ponsel</v>
          </cell>
          <cell r="G256">
            <v>0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</row>
        <row r="257">
          <cell r="E257">
            <v>17447472</v>
          </cell>
          <cell r="F257" t="str">
            <v>Kohen cell</v>
          </cell>
          <cell r="G257">
            <v>0</v>
          </cell>
          <cell r="H257">
            <v>0</v>
          </cell>
          <cell r="I257">
            <v>0</v>
          </cell>
          <cell r="J257">
            <v>0</v>
          </cell>
          <cell r="K257">
            <v>0</v>
          </cell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</row>
        <row r="258">
          <cell r="E258">
            <v>17474551</v>
          </cell>
          <cell r="F258" t="str">
            <v>TOP CELL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</row>
        <row r="259">
          <cell r="E259">
            <v>17524586</v>
          </cell>
          <cell r="F259" t="str">
            <v>PAYPHONE</v>
          </cell>
          <cell r="G259">
            <v>0</v>
          </cell>
          <cell r="H259">
            <v>0</v>
          </cell>
          <cell r="I259">
            <v>2</v>
          </cell>
          <cell r="J259">
            <v>2</v>
          </cell>
          <cell r="K259">
            <v>0</v>
          </cell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1152000</v>
          </cell>
        </row>
        <row r="260">
          <cell r="E260">
            <v>17564330</v>
          </cell>
          <cell r="F260" t="str">
            <v>Mecca ponsel</v>
          </cell>
          <cell r="G260">
            <v>0</v>
          </cell>
          <cell r="H260">
            <v>0</v>
          </cell>
          <cell r="I260">
            <v>2</v>
          </cell>
          <cell r="J260">
            <v>2</v>
          </cell>
          <cell r="K260">
            <v>0</v>
          </cell>
          <cell r="L260">
            <v>0</v>
          </cell>
          <cell r="M260">
            <v>0</v>
          </cell>
          <cell r="N260">
            <v>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528000</v>
          </cell>
        </row>
        <row r="261">
          <cell r="E261">
            <v>17569366</v>
          </cell>
          <cell r="F261" t="str">
            <v>STARS PHONE</v>
          </cell>
          <cell r="G261">
            <v>0</v>
          </cell>
          <cell r="H261">
            <v>0</v>
          </cell>
          <cell r="I261">
            <v>1</v>
          </cell>
          <cell r="J261">
            <v>1</v>
          </cell>
          <cell r="K261">
            <v>0</v>
          </cell>
          <cell r="L261">
            <v>0</v>
          </cell>
          <cell r="M261">
            <v>0</v>
          </cell>
          <cell r="N261">
            <v>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52800</v>
          </cell>
        </row>
        <row r="262">
          <cell r="E262">
            <v>17607319</v>
          </cell>
          <cell r="F262" t="str">
            <v>dunia ponsel</v>
          </cell>
          <cell r="G262">
            <v>0</v>
          </cell>
          <cell r="H262">
            <v>0</v>
          </cell>
          <cell r="I262">
            <v>1</v>
          </cell>
          <cell r="J262">
            <v>1</v>
          </cell>
          <cell r="K262">
            <v>0</v>
          </cell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52800</v>
          </cell>
        </row>
        <row r="263">
          <cell r="E263">
            <v>17609597</v>
          </cell>
          <cell r="F263" t="str">
            <v>V mobile ponsel</v>
          </cell>
          <cell r="G263">
            <v>0</v>
          </cell>
          <cell r="H263">
            <v>0</v>
          </cell>
          <cell r="I263">
            <v>2</v>
          </cell>
          <cell r="J263">
            <v>2</v>
          </cell>
          <cell r="K263">
            <v>10</v>
          </cell>
          <cell r="L263">
            <v>10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10</v>
          </cell>
          <cell r="V263">
            <v>0</v>
          </cell>
          <cell r="W263">
            <v>0</v>
          </cell>
          <cell r="X263">
            <v>0</v>
          </cell>
          <cell r="Y263">
            <v>2641200</v>
          </cell>
        </row>
        <row r="264">
          <cell r="E264">
            <v>17612215</v>
          </cell>
          <cell r="F264" t="str">
            <v>Wk.opik ponsel</v>
          </cell>
          <cell r="G264">
            <v>0</v>
          </cell>
          <cell r="H264">
            <v>0</v>
          </cell>
          <cell r="I264">
            <v>1</v>
          </cell>
          <cell r="J264">
            <v>1</v>
          </cell>
          <cell r="K264">
            <v>0</v>
          </cell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552000</v>
          </cell>
        </row>
        <row r="265">
          <cell r="E265">
            <v>17612227</v>
          </cell>
          <cell r="F265" t="str">
            <v>Refleksi ponsel</v>
          </cell>
          <cell r="G265">
            <v>0</v>
          </cell>
          <cell r="H265">
            <v>0</v>
          </cell>
          <cell r="I265">
            <v>0</v>
          </cell>
          <cell r="J265">
            <v>0</v>
          </cell>
          <cell r="K265">
            <v>0</v>
          </cell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</row>
        <row r="266">
          <cell r="E266">
            <v>17622240</v>
          </cell>
          <cell r="F266" t="str">
            <v>duta phone</v>
          </cell>
          <cell r="G266">
            <v>0</v>
          </cell>
          <cell r="H266">
            <v>0</v>
          </cell>
          <cell r="I266">
            <v>2</v>
          </cell>
          <cell r="J266">
            <v>2</v>
          </cell>
          <cell r="K266">
            <v>0</v>
          </cell>
          <cell r="L266">
            <v>0</v>
          </cell>
          <cell r="M266">
            <v>0</v>
          </cell>
          <cell r="N266">
            <v>0</v>
          </cell>
          <cell r="O266">
            <v>0</v>
          </cell>
          <cell r="P266">
            <v>0</v>
          </cell>
          <cell r="Q266">
            <v>0</v>
          </cell>
          <cell r="R266">
            <v>0</v>
          </cell>
          <cell r="S266">
            <v>0</v>
          </cell>
          <cell r="T266">
            <v>0</v>
          </cell>
          <cell r="U266">
            <v>0</v>
          </cell>
          <cell r="V266">
            <v>0</v>
          </cell>
          <cell r="W266">
            <v>0</v>
          </cell>
          <cell r="X266">
            <v>0</v>
          </cell>
          <cell r="Y266">
            <v>717600</v>
          </cell>
        </row>
        <row r="267">
          <cell r="E267">
            <v>17628296</v>
          </cell>
          <cell r="F267" t="str">
            <v>Kasta ponsel</v>
          </cell>
          <cell r="G267">
            <v>0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0</v>
          </cell>
          <cell r="M267">
            <v>0</v>
          </cell>
          <cell r="N267">
            <v>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</row>
        <row r="268">
          <cell r="E268">
            <v>17628304</v>
          </cell>
          <cell r="F268" t="str">
            <v>Ceria ponsel</v>
          </cell>
          <cell r="G268">
            <v>0</v>
          </cell>
          <cell r="H268">
            <v>0</v>
          </cell>
          <cell r="I268">
            <v>0</v>
          </cell>
          <cell r="J268">
            <v>0</v>
          </cell>
          <cell r="K268">
            <v>0</v>
          </cell>
          <cell r="L268">
            <v>0</v>
          </cell>
          <cell r="M268">
            <v>0</v>
          </cell>
          <cell r="N268">
            <v>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</row>
        <row r="269">
          <cell r="E269">
            <v>17630237</v>
          </cell>
          <cell r="F269" t="str">
            <v>Pejuangsolo ponsel</v>
          </cell>
          <cell r="G269">
            <v>0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E270">
            <v>17640992</v>
          </cell>
          <cell r="F270" t="str">
            <v>Mentari cell</v>
          </cell>
          <cell r="G270">
            <v>0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E271">
            <v>17654629</v>
          </cell>
          <cell r="F271" t="str">
            <v>Auto Cell</v>
          </cell>
          <cell r="G271">
            <v>0</v>
          </cell>
          <cell r="H271">
            <v>0</v>
          </cell>
          <cell r="I271">
            <v>0</v>
          </cell>
          <cell r="J271">
            <v>0</v>
          </cell>
          <cell r="K271">
            <v>0</v>
          </cell>
          <cell r="L271">
            <v>0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</row>
        <row r="272">
          <cell r="E272">
            <v>17656507</v>
          </cell>
          <cell r="F272" t="str">
            <v>Toko sanen</v>
          </cell>
          <cell r="G272">
            <v>0</v>
          </cell>
          <cell r="H272">
            <v>0</v>
          </cell>
          <cell r="I272">
            <v>0</v>
          </cell>
          <cell r="J272">
            <v>0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E273">
            <v>17664158</v>
          </cell>
          <cell r="F273" t="str">
            <v>WK.Ermina</v>
          </cell>
          <cell r="G273">
            <v>0</v>
          </cell>
          <cell r="H273">
            <v>0</v>
          </cell>
          <cell r="I273">
            <v>1</v>
          </cell>
          <cell r="J273">
            <v>1</v>
          </cell>
          <cell r="K273">
            <v>0</v>
          </cell>
          <cell r="L273">
            <v>0</v>
          </cell>
          <cell r="M273">
            <v>0</v>
          </cell>
          <cell r="N273">
            <v>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312000</v>
          </cell>
        </row>
        <row r="274">
          <cell r="E274">
            <v>17667148</v>
          </cell>
          <cell r="F274" t="str">
            <v>Wr.Popy</v>
          </cell>
          <cell r="G274">
            <v>0</v>
          </cell>
          <cell r="H274">
            <v>0</v>
          </cell>
          <cell r="I274">
            <v>0</v>
          </cell>
          <cell r="J274">
            <v>0</v>
          </cell>
          <cell r="K274">
            <v>0</v>
          </cell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E275">
            <v>17667161</v>
          </cell>
          <cell r="F275" t="str">
            <v>Super kuat cell</v>
          </cell>
          <cell r="G275">
            <v>0</v>
          </cell>
          <cell r="H275">
            <v>0</v>
          </cell>
          <cell r="I275">
            <v>1</v>
          </cell>
          <cell r="J275">
            <v>1</v>
          </cell>
          <cell r="K275">
            <v>1</v>
          </cell>
          <cell r="L275">
            <v>1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1</v>
          </cell>
          <cell r="R275">
            <v>1</v>
          </cell>
          <cell r="S275">
            <v>0</v>
          </cell>
          <cell r="T275">
            <v>1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312000</v>
          </cell>
        </row>
        <row r="276">
          <cell r="E276">
            <v>17668112</v>
          </cell>
          <cell r="F276" t="str">
            <v>Warung Mandering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  <cell r="K276">
            <v>0</v>
          </cell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E277">
            <v>17668115</v>
          </cell>
          <cell r="F277" t="str">
            <v>STAR PONSEL</v>
          </cell>
          <cell r="G277">
            <v>0</v>
          </cell>
          <cell r="H277">
            <v>0</v>
          </cell>
          <cell r="I277">
            <v>0</v>
          </cell>
          <cell r="J277">
            <v>0</v>
          </cell>
          <cell r="K277">
            <v>0</v>
          </cell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E278">
            <v>17677945</v>
          </cell>
          <cell r="F278" t="str">
            <v>Manuela ponsel</v>
          </cell>
          <cell r="G278">
            <v>0</v>
          </cell>
          <cell r="H278">
            <v>0</v>
          </cell>
          <cell r="I278">
            <v>0</v>
          </cell>
          <cell r="J278">
            <v>0</v>
          </cell>
          <cell r="K278">
            <v>0</v>
          </cell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79">
          <cell r="E279">
            <v>17679733</v>
          </cell>
          <cell r="F279" t="str">
            <v>Klinik Ponsel</v>
          </cell>
          <cell r="G279">
            <v>0</v>
          </cell>
          <cell r="H279">
            <v>0</v>
          </cell>
          <cell r="I279">
            <v>0</v>
          </cell>
          <cell r="J279">
            <v>0</v>
          </cell>
          <cell r="K279">
            <v>0</v>
          </cell>
          <cell r="L279">
            <v>0</v>
          </cell>
          <cell r="M279">
            <v>0</v>
          </cell>
          <cell r="N279">
            <v>0</v>
          </cell>
          <cell r="O279">
            <v>0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0</v>
          </cell>
          <cell r="U279">
            <v>0</v>
          </cell>
          <cell r="V279">
            <v>0</v>
          </cell>
          <cell r="W279">
            <v>0</v>
          </cell>
          <cell r="X279">
            <v>0</v>
          </cell>
          <cell r="Y279">
            <v>0</v>
          </cell>
        </row>
        <row r="280">
          <cell r="E280">
            <v>17689734</v>
          </cell>
          <cell r="F280" t="str">
            <v>Wk basuki</v>
          </cell>
          <cell r="G280">
            <v>0</v>
          </cell>
          <cell r="H280">
            <v>0</v>
          </cell>
          <cell r="I280">
            <v>0</v>
          </cell>
          <cell r="J280">
            <v>0</v>
          </cell>
          <cell r="K280">
            <v>5</v>
          </cell>
          <cell r="L280">
            <v>5</v>
          </cell>
          <cell r="M280">
            <v>0</v>
          </cell>
          <cell r="N280">
            <v>0</v>
          </cell>
          <cell r="O280">
            <v>0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0</v>
          </cell>
          <cell r="U280">
            <v>5</v>
          </cell>
          <cell r="V280">
            <v>0</v>
          </cell>
          <cell r="W280">
            <v>0</v>
          </cell>
          <cell r="X280">
            <v>0</v>
          </cell>
          <cell r="Y280">
            <v>0</v>
          </cell>
        </row>
        <row r="281">
          <cell r="E281">
            <v>17689741</v>
          </cell>
          <cell r="F281" t="str">
            <v>Yamanashi ponsel</v>
          </cell>
          <cell r="G281">
            <v>0</v>
          </cell>
          <cell r="H281">
            <v>0</v>
          </cell>
          <cell r="I281">
            <v>0</v>
          </cell>
          <cell r="J281">
            <v>0</v>
          </cell>
          <cell r="K281">
            <v>1</v>
          </cell>
          <cell r="L281">
            <v>0</v>
          </cell>
          <cell r="M281">
            <v>1</v>
          </cell>
          <cell r="N281">
            <v>0</v>
          </cell>
          <cell r="O281">
            <v>0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0</v>
          </cell>
          <cell r="U281">
            <v>0</v>
          </cell>
          <cell r="V281">
            <v>0</v>
          </cell>
          <cell r="W281">
            <v>0</v>
          </cell>
          <cell r="X281">
            <v>0</v>
          </cell>
          <cell r="Y281">
            <v>0</v>
          </cell>
        </row>
        <row r="282">
          <cell r="E282">
            <v>17689754</v>
          </cell>
          <cell r="F282" t="str">
            <v>Wk bunda</v>
          </cell>
          <cell r="G282">
            <v>0</v>
          </cell>
          <cell r="H282">
            <v>0</v>
          </cell>
          <cell r="I282">
            <v>0</v>
          </cell>
          <cell r="J282">
            <v>0</v>
          </cell>
          <cell r="K282">
            <v>5</v>
          </cell>
          <cell r="L282">
            <v>5</v>
          </cell>
          <cell r="M282">
            <v>0</v>
          </cell>
          <cell r="N282">
            <v>0</v>
          </cell>
          <cell r="O282">
            <v>0</v>
          </cell>
          <cell r="P282">
            <v>0</v>
          </cell>
          <cell r="Q282">
            <v>0</v>
          </cell>
          <cell r="R282">
            <v>0</v>
          </cell>
          <cell r="S282">
            <v>0</v>
          </cell>
          <cell r="T282">
            <v>0</v>
          </cell>
          <cell r="U282">
            <v>5</v>
          </cell>
          <cell r="V282">
            <v>0</v>
          </cell>
          <cell r="W282">
            <v>0</v>
          </cell>
          <cell r="X282">
            <v>0</v>
          </cell>
          <cell r="Y282">
            <v>0</v>
          </cell>
        </row>
        <row r="283">
          <cell r="E283">
            <v>17689755</v>
          </cell>
          <cell r="F283" t="str">
            <v>Dela Ponsel</v>
          </cell>
          <cell r="G283">
            <v>0</v>
          </cell>
          <cell r="H283">
            <v>0</v>
          </cell>
          <cell r="I283">
            <v>0</v>
          </cell>
          <cell r="J283">
            <v>0</v>
          </cell>
          <cell r="K283">
            <v>0</v>
          </cell>
          <cell r="L283">
            <v>0</v>
          </cell>
          <cell r="M283">
            <v>0</v>
          </cell>
          <cell r="N283">
            <v>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</row>
        <row r="284">
          <cell r="E284">
            <v>17690318</v>
          </cell>
          <cell r="F284" t="str">
            <v>Staracc</v>
          </cell>
          <cell r="G284">
            <v>0</v>
          </cell>
          <cell r="H284">
            <v>0</v>
          </cell>
          <cell r="I284">
            <v>0</v>
          </cell>
          <cell r="J284">
            <v>0</v>
          </cell>
          <cell r="K284">
            <v>1</v>
          </cell>
          <cell r="L284">
            <v>1</v>
          </cell>
          <cell r="M284">
            <v>0</v>
          </cell>
          <cell r="N284">
            <v>1</v>
          </cell>
          <cell r="O284">
            <v>1</v>
          </cell>
          <cell r="P284">
            <v>0</v>
          </cell>
          <cell r="Q284">
            <v>1</v>
          </cell>
          <cell r="R284">
            <v>1</v>
          </cell>
          <cell r="S284">
            <v>0</v>
          </cell>
          <cell r="T284">
            <v>0</v>
          </cell>
          <cell r="U284">
            <v>0</v>
          </cell>
          <cell r="V284">
            <v>0</v>
          </cell>
          <cell r="W284">
            <v>0</v>
          </cell>
          <cell r="X284">
            <v>0</v>
          </cell>
          <cell r="Y284">
            <v>0</v>
          </cell>
        </row>
        <row r="285">
          <cell r="E285">
            <v>17690510</v>
          </cell>
          <cell r="F285" t="str">
            <v>Ajun ponsel</v>
          </cell>
          <cell r="G285">
            <v>0</v>
          </cell>
          <cell r="H285">
            <v>0</v>
          </cell>
          <cell r="I285">
            <v>0</v>
          </cell>
          <cell r="J285">
            <v>0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0</v>
          </cell>
          <cell r="X285">
            <v>0</v>
          </cell>
          <cell r="Y285">
            <v>0</v>
          </cell>
        </row>
        <row r="286">
          <cell r="E286">
            <v>17692924</v>
          </cell>
          <cell r="F286" t="str">
            <v>Gatot celll</v>
          </cell>
          <cell r="G286">
            <v>0</v>
          </cell>
          <cell r="H286">
            <v>0</v>
          </cell>
          <cell r="I286">
            <v>0</v>
          </cell>
          <cell r="J286">
            <v>0</v>
          </cell>
          <cell r="K286">
            <v>0</v>
          </cell>
          <cell r="L286">
            <v>0</v>
          </cell>
          <cell r="M286">
            <v>0</v>
          </cell>
          <cell r="N286">
            <v>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</row>
        <row r="287">
          <cell r="E287">
            <v>17696373</v>
          </cell>
          <cell r="F287" t="str">
            <v>Toko sun</v>
          </cell>
          <cell r="G287">
            <v>0</v>
          </cell>
          <cell r="H287">
            <v>0</v>
          </cell>
          <cell r="I287">
            <v>0</v>
          </cell>
          <cell r="J287">
            <v>0</v>
          </cell>
          <cell r="K287">
            <v>5</v>
          </cell>
          <cell r="L287">
            <v>5</v>
          </cell>
          <cell r="M287">
            <v>0</v>
          </cell>
          <cell r="N287">
            <v>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5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</row>
        <row r="288">
          <cell r="E288">
            <v>17707702</v>
          </cell>
          <cell r="F288" t="str">
            <v>Toko netha</v>
          </cell>
          <cell r="G288">
            <v>0</v>
          </cell>
          <cell r="H288">
            <v>0</v>
          </cell>
          <cell r="I288">
            <v>0</v>
          </cell>
          <cell r="J288">
            <v>0</v>
          </cell>
          <cell r="K288">
            <v>5</v>
          </cell>
          <cell r="L288">
            <v>5</v>
          </cell>
          <cell r="M288">
            <v>0</v>
          </cell>
          <cell r="N288">
            <v>0</v>
          </cell>
          <cell r="O288">
            <v>0</v>
          </cell>
          <cell r="P288">
            <v>0</v>
          </cell>
          <cell r="Q288">
            <v>0</v>
          </cell>
          <cell r="R288">
            <v>0</v>
          </cell>
          <cell r="S288">
            <v>0</v>
          </cell>
          <cell r="T288">
            <v>0</v>
          </cell>
          <cell r="U288">
            <v>5</v>
          </cell>
          <cell r="V288">
            <v>0</v>
          </cell>
          <cell r="W288">
            <v>0</v>
          </cell>
          <cell r="X288">
            <v>0</v>
          </cell>
          <cell r="Y288">
            <v>0</v>
          </cell>
        </row>
        <row r="289">
          <cell r="E289">
            <v>17717812</v>
          </cell>
          <cell r="F289" t="str">
            <v>GOGO Ponsel</v>
          </cell>
          <cell r="G289">
            <v>0</v>
          </cell>
          <cell r="H289">
            <v>0</v>
          </cell>
          <cell r="I289">
            <v>1</v>
          </cell>
          <cell r="J289">
            <v>1</v>
          </cell>
          <cell r="K289">
            <v>0</v>
          </cell>
          <cell r="L289">
            <v>0</v>
          </cell>
          <cell r="M289">
            <v>0</v>
          </cell>
          <cell r="N289">
            <v>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52800</v>
          </cell>
        </row>
        <row r="290">
          <cell r="E290">
            <v>17741642</v>
          </cell>
          <cell r="F290" t="str">
            <v>Wr ting ting</v>
          </cell>
          <cell r="G290">
            <v>0</v>
          </cell>
          <cell r="H290">
            <v>0</v>
          </cell>
          <cell r="I290">
            <v>1</v>
          </cell>
          <cell r="J290">
            <v>1</v>
          </cell>
          <cell r="K290">
            <v>5</v>
          </cell>
          <cell r="L290">
            <v>5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5</v>
          </cell>
          <cell r="V290">
            <v>0</v>
          </cell>
          <cell r="W290">
            <v>0</v>
          </cell>
          <cell r="X290">
            <v>0</v>
          </cell>
          <cell r="Y290">
            <v>1267800</v>
          </cell>
        </row>
        <row r="291">
          <cell r="E291">
            <v>17764380</v>
          </cell>
          <cell r="F291" t="str">
            <v>evi ponsel</v>
          </cell>
          <cell r="G291">
            <v>0</v>
          </cell>
          <cell r="H291">
            <v>0</v>
          </cell>
          <cell r="I291">
            <v>0</v>
          </cell>
          <cell r="J291">
            <v>0</v>
          </cell>
          <cell r="K291">
            <v>5</v>
          </cell>
          <cell r="L291">
            <v>5</v>
          </cell>
          <cell r="M291">
            <v>0</v>
          </cell>
          <cell r="N291">
            <v>0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5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</row>
        <row r="292">
          <cell r="E292">
            <v>17768632</v>
          </cell>
          <cell r="F292" t="str">
            <v>Rezeki Ponsel</v>
          </cell>
          <cell r="G292">
            <v>0</v>
          </cell>
          <cell r="H292">
            <v>0</v>
          </cell>
          <cell r="I292">
            <v>0</v>
          </cell>
          <cell r="J292">
            <v>0</v>
          </cell>
          <cell r="K292">
            <v>0</v>
          </cell>
          <cell r="L292">
            <v>0</v>
          </cell>
          <cell r="M292">
            <v>0</v>
          </cell>
          <cell r="N292">
            <v>0</v>
          </cell>
          <cell r="O292">
            <v>0</v>
          </cell>
          <cell r="P292">
            <v>0</v>
          </cell>
          <cell r="Q292">
            <v>0</v>
          </cell>
          <cell r="R292">
            <v>0</v>
          </cell>
          <cell r="S292">
            <v>0</v>
          </cell>
          <cell r="T292">
            <v>0</v>
          </cell>
          <cell r="U292">
            <v>0</v>
          </cell>
          <cell r="V292">
            <v>0</v>
          </cell>
          <cell r="W292">
            <v>0</v>
          </cell>
          <cell r="X292">
            <v>0</v>
          </cell>
          <cell r="Y292">
            <v>0</v>
          </cell>
        </row>
        <row r="293">
          <cell r="E293">
            <v>504933</v>
          </cell>
          <cell r="F293" t="str">
            <v>LUCKY 7</v>
          </cell>
          <cell r="G293">
            <v>0</v>
          </cell>
          <cell r="H293">
            <v>0</v>
          </cell>
          <cell r="I293">
            <v>2</v>
          </cell>
          <cell r="J293">
            <v>2</v>
          </cell>
          <cell r="K293">
            <v>0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3105600</v>
          </cell>
        </row>
        <row r="294">
          <cell r="E294">
            <v>507357</v>
          </cell>
          <cell r="F294" t="str">
            <v>Logasari ponsel</v>
          </cell>
          <cell r="G294">
            <v>0</v>
          </cell>
          <cell r="H294">
            <v>0</v>
          </cell>
          <cell r="I294">
            <v>2</v>
          </cell>
          <cell r="J294">
            <v>2</v>
          </cell>
          <cell r="K294">
            <v>0</v>
          </cell>
          <cell r="L294">
            <v>0</v>
          </cell>
          <cell r="M294">
            <v>0</v>
          </cell>
          <cell r="N294">
            <v>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211200</v>
          </cell>
        </row>
        <row r="295">
          <cell r="E295">
            <v>515112</v>
          </cell>
          <cell r="F295" t="str">
            <v>SUPER STAR</v>
          </cell>
          <cell r="G295">
            <v>0</v>
          </cell>
          <cell r="H295">
            <v>0</v>
          </cell>
          <cell r="I295">
            <v>2</v>
          </cell>
          <cell r="J295">
            <v>2</v>
          </cell>
          <cell r="K295">
            <v>0</v>
          </cell>
          <cell r="L295">
            <v>0</v>
          </cell>
          <cell r="M295">
            <v>0</v>
          </cell>
          <cell r="N295">
            <v>0</v>
          </cell>
          <cell r="O295">
            <v>0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>
            <v>0</v>
          </cell>
          <cell r="V295">
            <v>0</v>
          </cell>
          <cell r="W295">
            <v>0</v>
          </cell>
          <cell r="X295">
            <v>0</v>
          </cell>
          <cell r="Y295">
            <v>717600</v>
          </cell>
        </row>
        <row r="296">
          <cell r="E296">
            <v>658571</v>
          </cell>
          <cell r="F296" t="str">
            <v>Family ponsel</v>
          </cell>
          <cell r="G296">
            <v>0</v>
          </cell>
          <cell r="H296">
            <v>0</v>
          </cell>
          <cell r="I296">
            <v>1</v>
          </cell>
          <cell r="J296">
            <v>1</v>
          </cell>
          <cell r="K296">
            <v>0</v>
          </cell>
          <cell r="L296">
            <v>0</v>
          </cell>
          <cell r="M296">
            <v>0</v>
          </cell>
          <cell r="N296">
            <v>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306000</v>
          </cell>
        </row>
        <row r="297">
          <cell r="E297">
            <v>658632</v>
          </cell>
          <cell r="F297" t="str">
            <v>oscar ponsel</v>
          </cell>
          <cell r="G297">
            <v>0</v>
          </cell>
          <cell r="H297">
            <v>0</v>
          </cell>
          <cell r="I297">
            <v>2</v>
          </cell>
          <cell r="J297">
            <v>2</v>
          </cell>
          <cell r="K297">
            <v>0</v>
          </cell>
          <cell r="L297">
            <v>0</v>
          </cell>
          <cell r="M297">
            <v>0</v>
          </cell>
          <cell r="N297">
            <v>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>
            <v>0</v>
          </cell>
          <cell r="V297">
            <v>0</v>
          </cell>
          <cell r="W297">
            <v>0</v>
          </cell>
          <cell r="X297">
            <v>0</v>
          </cell>
          <cell r="Y297">
            <v>211200</v>
          </cell>
        </row>
        <row r="298">
          <cell r="E298">
            <v>664096</v>
          </cell>
          <cell r="F298" t="str">
            <v>Venus ponsel</v>
          </cell>
          <cell r="G298">
            <v>0</v>
          </cell>
          <cell r="H298">
            <v>0</v>
          </cell>
          <cell r="I298">
            <v>2</v>
          </cell>
          <cell r="J298">
            <v>2</v>
          </cell>
          <cell r="K298">
            <v>0</v>
          </cell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580800</v>
          </cell>
        </row>
        <row r="299">
          <cell r="E299">
            <v>751422</v>
          </cell>
          <cell r="F299" t="str">
            <v>Tono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  <cell r="K299">
            <v>0</v>
          </cell>
          <cell r="L299">
            <v>0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0</v>
          </cell>
          <cell r="U299">
            <v>0</v>
          </cell>
          <cell r="V299">
            <v>0</v>
          </cell>
          <cell r="W299">
            <v>0</v>
          </cell>
          <cell r="X299">
            <v>0</v>
          </cell>
          <cell r="Y299">
            <v>300000</v>
          </cell>
        </row>
        <row r="300">
          <cell r="E300">
            <v>818388</v>
          </cell>
          <cell r="F300" t="str">
            <v>meysi ponsel</v>
          </cell>
          <cell r="G300">
            <v>0</v>
          </cell>
          <cell r="H300">
            <v>0</v>
          </cell>
          <cell r="I300">
            <v>0</v>
          </cell>
          <cell r="J300">
            <v>0</v>
          </cell>
          <cell r="K300">
            <v>0</v>
          </cell>
          <cell r="L300">
            <v>0</v>
          </cell>
          <cell r="M300">
            <v>0</v>
          </cell>
          <cell r="N300">
            <v>0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0</v>
          </cell>
          <cell r="U300">
            <v>0</v>
          </cell>
          <cell r="V300">
            <v>0</v>
          </cell>
          <cell r="W300">
            <v>0</v>
          </cell>
          <cell r="X300">
            <v>0</v>
          </cell>
          <cell r="Y300">
            <v>0</v>
          </cell>
        </row>
        <row r="301">
          <cell r="E301">
            <v>966775</v>
          </cell>
          <cell r="F301" t="str">
            <v>ira maya sfa</v>
          </cell>
          <cell r="G301">
            <v>0</v>
          </cell>
          <cell r="H301">
            <v>0</v>
          </cell>
          <cell r="I301">
            <v>1</v>
          </cell>
          <cell r="J301">
            <v>1</v>
          </cell>
          <cell r="K301">
            <v>0</v>
          </cell>
          <cell r="L301">
            <v>0</v>
          </cell>
          <cell r="M301">
            <v>0</v>
          </cell>
          <cell r="N301">
            <v>0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0</v>
          </cell>
          <cell r="U301">
            <v>0</v>
          </cell>
          <cell r="V301">
            <v>0</v>
          </cell>
          <cell r="W301">
            <v>0</v>
          </cell>
          <cell r="X301">
            <v>0</v>
          </cell>
          <cell r="Y301">
            <v>52800</v>
          </cell>
        </row>
        <row r="302">
          <cell r="E302">
            <v>1069320</v>
          </cell>
          <cell r="F302" t="str">
            <v>Stela ponsel</v>
          </cell>
          <cell r="G302">
            <v>0</v>
          </cell>
          <cell r="H302">
            <v>0</v>
          </cell>
          <cell r="I302">
            <v>1</v>
          </cell>
          <cell r="J302">
            <v>1</v>
          </cell>
          <cell r="K302">
            <v>1</v>
          </cell>
          <cell r="L302">
            <v>1</v>
          </cell>
          <cell r="M302">
            <v>0</v>
          </cell>
          <cell r="N302">
            <v>1</v>
          </cell>
          <cell r="O302">
            <v>1</v>
          </cell>
          <cell r="P302">
            <v>0</v>
          </cell>
          <cell r="Q302">
            <v>1</v>
          </cell>
          <cell r="R302">
            <v>1</v>
          </cell>
          <cell r="S302">
            <v>0</v>
          </cell>
          <cell r="T302">
            <v>6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840000</v>
          </cell>
        </row>
        <row r="303">
          <cell r="E303">
            <v>1070922</v>
          </cell>
          <cell r="F303" t="str">
            <v>DUTA CELL</v>
          </cell>
          <cell r="G303">
            <v>0</v>
          </cell>
          <cell r="H303">
            <v>0</v>
          </cell>
          <cell r="I303">
            <v>0</v>
          </cell>
          <cell r="J303">
            <v>0</v>
          </cell>
          <cell r="K303">
            <v>0</v>
          </cell>
          <cell r="L303">
            <v>0</v>
          </cell>
          <cell r="M303">
            <v>0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15000000</v>
          </cell>
        </row>
        <row r="304">
          <cell r="E304">
            <v>1289502</v>
          </cell>
          <cell r="F304" t="str">
            <v>ZAHRA PONSEL</v>
          </cell>
          <cell r="G304">
            <v>0</v>
          </cell>
          <cell r="H304">
            <v>0</v>
          </cell>
          <cell r="I304">
            <v>0</v>
          </cell>
          <cell r="J304">
            <v>0</v>
          </cell>
          <cell r="K304">
            <v>0</v>
          </cell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</row>
        <row r="305">
          <cell r="E305">
            <v>1335665</v>
          </cell>
          <cell r="F305" t="str">
            <v>Happy ponsel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0</v>
          </cell>
          <cell r="M305">
            <v>0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1500000</v>
          </cell>
        </row>
        <row r="306">
          <cell r="E306">
            <v>1483993</v>
          </cell>
          <cell r="F306" t="str">
            <v>OPERA PONSEL</v>
          </cell>
          <cell r="G306">
            <v>0</v>
          </cell>
          <cell r="H306">
            <v>0</v>
          </cell>
          <cell r="I306">
            <v>3</v>
          </cell>
          <cell r="J306">
            <v>3</v>
          </cell>
          <cell r="K306">
            <v>6</v>
          </cell>
          <cell r="L306">
            <v>3</v>
          </cell>
          <cell r="M306">
            <v>3</v>
          </cell>
          <cell r="N306">
            <v>0</v>
          </cell>
          <cell r="O306">
            <v>0</v>
          </cell>
          <cell r="P306">
            <v>0</v>
          </cell>
          <cell r="Q306">
            <v>3</v>
          </cell>
          <cell r="R306">
            <v>3</v>
          </cell>
          <cell r="S306">
            <v>0</v>
          </cell>
          <cell r="T306">
            <v>3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3720000</v>
          </cell>
        </row>
        <row r="307">
          <cell r="E307">
            <v>17006852</v>
          </cell>
          <cell r="F307" t="str">
            <v>DIMENSI SELLULER</v>
          </cell>
          <cell r="G307">
            <v>0</v>
          </cell>
          <cell r="H307">
            <v>0</v>
          </cell>
          <cell r="I307">
            <v>3</v>
          </cell>
          <cell r="J307">
            <v>3</v>
          </cell>
          <cell r="K307">
            <v>0</v>
          </cell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8400000</v>
          </cell>
        </row>
        <row r="308">
          <cell r="E308">
            <v>17061867</v>
          </cell>
          <cell r="F308" t="str">
            <v>Z - PONSEL</v>
          </cell>
          <cell r="G308">
            <v>0</v>
          </cell>
          <cell r="H308">
            <v>0</v>
          </cell>
          <cell r="I308">
            <v>2</v>
          </cell>
          <cell r="J308">
            <v>2</v>
          </cell>
          <cell r="K308">
            <v>0</v>
          </cell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3336000</v>
          </cell>
        </row>
        <row r="309">
          <cell r="E309">
            <v>17120321</v>
          </cell>
          <cell r="F309" t="str">
            <v>city mobile</v>
          </cell>
          <cell r="G309">
            <v>0</v>
          </cell>
          <cell r="H309">
            <v>0</v>
          </cell>
          <cell r="I309">
            <v>2</v>
          </cell>
          <cell r="J309">
            <v>2</v>
          </cell>
          <cell r="K309">
            <v>0</v>
          </cell>
          <cell r="L309">
            <v>0</v>
          </cell>
          <cell r="M309">
            <v>0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3680000</v>
          </cell>
        </row>
        <row r="310">
          <cell r="E310">
            <v>17175500</v>
          </cell>
          <cell r="F310" t="str">
            <v>Farida 2 ponsel</v>
          </cell>
          <cell r="G310">
            <v>0</v>
          </cell>
          <cell r="H310">
            <v>0</v>
          </cell>
          <cell r="I310">
            <v>0</v>
          </cell>
          <cell r="J310">
            <v>0</v>
          </cell>
          <cell r="K310">
            <v>0</v>
          </cell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E311">
            <v>17228835</v>
          </cell>
          <cell r="F311" t="str">
            <v>Dedek ria</v>
          </cell>
          <cell r="G311">
            <v>0</v>
          </cell>
          <cell r="H311">
            <v>0</v>
          </cell>
          <cell r="I311">
            <v>1</v>
          </cell>
          <cell r="J311">
            <v>1</v>
          </cell>
          <cell r="K311">
            <v>0</v>
          </cell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418000</v>
          </cell>
        </row>
        <row r="312">
          <cell r="E312">
            <v>17232381</v>
          </cell>
          <cell r="F312" t="str">
            <v>Warung lena</v>
          </cell>
          <cell r="G312">
            <v>0</v>
          </cell>
          <cell r="H312">
            <v>0</v>
          </cell>
          <cell r="I312">
            <v>2</v>
          </cell>
          <cell r="J312">
            <v>2</v>
          </cell>
          <cell r="K312">
            <v>10</v>
          </cell>
          <cell r="L312">
            <v>10</v>
          </cell>
          <cell r="M312">
            <v>0</v>
          </cell>
          <cell r="N312">
            <v>6</v>
          </cell>
          <cell r="O312">
            <v>6</v>
          </cell>
          <cell r="P312">
            <v>0</v>
          </cell>
          <cell r="Q312">
            <v>10</v>
          </cell>
          <cell r="R312">
            <v>10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360000</v>
          </cell>
        </row>
        <row r="313">
          <cell r="E313">
            <v>17236338</v>
          </cell>
          <cell r="F313" t="str">
            <v>V celluler</v>
          </cell>
          <cell r="G313">
            <v>0</v>
          </cell>
          <cell r="H313">
            <v>0</v>
          </cell>
          <cell r="I313">
            <v>0</v>
          </cell>
          <cell r="J313">
            <v>0</v>
          </cell>
          <cell r="K313">
            <v>0</v>
          </cell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E314">
            <v>17236778</v>
          </cell>
          <cell r="F314" t="str">
            <v>EDI PONSEL</v>
          </cell>
          <cell r="G314">
            <v>0</v>
          </cell>
          <cell r="H314">
            <v>0</v>
          </cell>
          <cell r="I314">
            <v>0</v>
          </cell>
          <cell r="J314">
            <v>0</v>
          </cell>
          <cell r="K314">
            <v>0</v>
          </cell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1000000</v>
          </cell>
        </row>
        <row r="315">
          <cell r="E315">
            <v>17245632</v>
          </cell>
          <cell r="F315" t="str">
            <v>Impian ponsel</v>
          </cell>
          <cell r="G315">
            <v>0</v>
          </cell>
          <cell r="H315">
            <v>0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E316">
            <v>17347639</v>
          </cell>
          <cell r="F316" t="str">
            <v>Mister ponsel</v>
          </cell>
          <cell r="G316">
            <v>0</v>
          </cell>
          <cell r="H316">
            <v>0</v>
          </cell>
          <cell r="I316">
            <v>3</v>
          </cell>
          <cell r="J316">
            <v>3</v>
          </cell>
          <cell r="K316">
            <v>0</v>
          </cell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540000</v>
          </cell>
        </row>
        <row r="317">
          <cell r="E317">
            <v>17377232</v>
          </cell>
          <cell r="F317" t="str">
            <v>Robi</v>
          </cell>
          <cell r="G317">
            <v>0</v>
          </cell>
          <cell r="H317">
            <v>0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N317">
            <v>0</v>
          </cell>
          <cell r="O317">
            <v>0</v>
          </cell>
          <cell r="P317">
            <v>0</v>
          </cell>
          <cell r="Q317">
            <v>0</v>
          </cell>
          <cell r="R317">
            <v>0</v>
          </cell>
          <cell r="S317">
            <v>0</v>
          </cell>
          <cell r="T317">
            <v>0</v>
          </cell>
          <cell r="U317">
            <v>0</v>
          </cell>
          <cell r="V317">
            <v>0</v>
          </cell>
          <cell r="W317">
            <v>0</v>
          </cell>
          <cell r="X317">
            <v>0</v>
          </cell>
          <cell r="Y317">
            <v>0</v>
          </cell>
        </row>
        <row r="318">
          <cell r="E318">
            <v>17379579</v>
          </cell>
          <cell r="F318" t="str">
            <v>Toko yuyun</v>
          </cell>
          <cell r="G318">
            <v>0</v>
          </cell>
          <cell r="H318">
            <v>0</v>
          </cell>
          <cell r="I318">
            <v>0</v>
          </cell>
          <cell r="J318">
            <v>0</v>
          </cell>
          <cell r="K318">
            <v>0</v>
          </cell>
          <cell r="L318">
            <v>0</v>
          </cell>
          <cell r="M318">
            <v>0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0</v>
          </cell>
        </row>
        <row r="319">
          <cell r="E319">
            <v>17438394</v>
          </cell>
          <cell r="F319" t="str">
            <v>Toko eben</v>
          </cell>
          <cell r="G319">
            <v>0</v>
          </cell>
          <cell r="H319">
            <v>0</v>
          </cell>
          <cell r="I319">
            <v>0</v>
          </cell>
          <cell r="J319">
            <v>0</v>
          </cell>
          <cell r="K319">
            <v>5</v>
          </cell>
          <cell r="L319">
            <v>5</v>
          </cell>
          <cell r="M319">
            <v>0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5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</row>
        <row r="320">
          <cell r="E320">
            <v>17446543</v>
          </cell>
          <cell r="F320" t="str">
            <v>Rikardus Rano cell</v>
          </cell>
          <cell r="G320">
            <v>0</v>
          </cell>
          <cell r="H320">
            <v>0</v>
          </cell>
          <cell r="I320">
            <v>0</v>
          </cell>
          <cell r="J320">
            <v>0</v>
          </cell>
          <cell r="K320">
            <v>5</v>
          </cell>
          <cell r="L320">
            <v>5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U320">
            <v>5</v>
          </cell>
          <cell r="V320">
            <v>0</v>
          </cell>
          <cell r="W320">
            <v>0</v>
          </cell>
          <cell r="X320">
            <v>0</v>
          </cell>
          <cell r="Y320">
            <v>0</v>
          </cell>
        </row>
        <row r="321">
          <cell r="E321">
            <v>17449128</v>
          </cell>
          <cell r="F321" t="str">
            <v>Siput sport cell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</row>
        <row r="322">
          <cell r="E322">
            <v>17478838</v>
          </cell>
          <cell r="F322" t="str">
            <v>SUBEKTI GROUP</v>
          </cell>
          <cell r="G322">
            <v>0</v>
          </cell>
          <cell r="H322">
            <v>0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</row>
        <row r="323">
          <cell r="E323">
            <v>17519344</v>
          </cell>
          <cell r="F323" t="str">
            <v>LING LING PONSEL</v>
          </cell>
          <cell r="G323">
            <v>0</v>
          </cell>
          <cell r="H323">
            <v>0</v>
          </cell>
          <cell r="I323">
            <v>3</v>
          </cell>
          <cell r="J323">
            <v>3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1801500</v>
          </cell>
        </row>
        <row r="324">
          <cell r="E324">
            <v>17546493</v>
          </cell>
          <cell r="F324" t="str">
            <v>MAHKOTA CELL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3000000</v>
          </cell>
        </row>
        <row r="325">
          <cell r="E325">
            <v>17563421</v>
          </cell>
          <cell r="F325" t="str">
            <v>Toko Caca</v>
          </cell>
          <cell r="G325">
            <v>0</v>
          </cell>
          <cell r="H325">
            <v>0</v>
          </cell>
          <cell r="I325">
            <v>0</v>
          </cell>
          <cell r="J325">
            <v>0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</row>
        <row r="326">
          <cell r="E326">
            <v>17569926</v>
          </cell>
          <cell r="F326" t="str">
            <v>Toko Reva Rama</v>
          </cell>
          <cell r="G326">
            <v>0</v>
          </cell>
          <cell r="H326">
            <v>0</v>
          </cell>
          <cell r="I326">
            <v>0</v>
          </cell>
          <cell r="J326">
            <v>0</v>
          </cell>
          <cell r="K326">
            <v>0</v>
          </cell>
          <cell r="L326">
            <v>0</v>
          </cell>
          <cell r="M326">
            <v>0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</row>
        <row r="327">
          <cell r="E327">
            <v>17572210</v>
          </cell>
          <cell r="F327" t="str">
            <v>Warung Musyawarah</v>
          </cell>
          <cell r="G327">
            <v>0</v>
          </cell>
          <cell r="H327">
            <v>0</v>
          </cell>
          <cell r="I327">
            <v>0</v>
          </cell>
          <cell r="J327">
            <v>0</v>
          </cell>
          <cell r="K327">
            <v>0</v>
          </cell>
          <cell r="L327">
            <v>0</v>
          </cell>
          <cell r="M327">
            <v>0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0</v>
          </cell>
        </row>
        <row r="328">
          <cell r="E328">
            <v>17572251</v>
          </cell>
          <cell r="F328" t="str">
            <v>Toko Raven</v>
          </cell>
          <cell r="G328">
            <v>0</v>
          </cell>
          <cell r="H328">
            <v>0</v>
          </cell>
          <cell r="I328">
            <v>0</v>
          </cell>
          <cell r="J328">
            <v>0</v>
          </cell>
          <cell r="K328">
            <v>0</v>
          </cell>
          <cell r="L328">
            <v>0</v>
          </cell>
          <cell r="M328">
            <v>0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</row>
        <row r="329">
          <cell r="E329">
            <v>17611702</v>
          </cell>
          <cell r="F329" t="str">
            <v>Aling Cell</v>
          </cell>
          <cell r="G329">
            <v>0</v>
          </cell>
          <cell r="H329">
            <v>0</v>
          </cell>
          <cell r="I329">
            <v>0</v>
          </cell>
          <cell r="J329">
            <v>0</v>
          </cell>
          <cell r="K329">
            <v>3</v>
          </cell>
          <cell r="L329">
            <v>3</v>
          </cell>
          <cell r="M329">
            <v>0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0</v>
          </cell>
          <cell r="T329">
            <v>0</v>
          </cell>
          <cell r="U329">
            <v>0</v>
          </cell>
          <cell r="V329">
            <v>0</v>
          </cell>
          <cell r="W329">
            <v>100000</v>
          </cell>
          <cell r="X329">
            <v>0</v>
          </cell>
          <cell r="Y329">
            <v>150000</v>
          </cell>
        </row>
        <row r="330">
          <cell r="E330">
            <v>17611830</v>
          </cell>
          <cell r="F330" t="str">
            <v>Viva Net</v>
          </cell>
          <cell r="G330">
            <v>0</v>
          </cell>
          <cell r="H330">
            <v>0</v>
          </cell>
          <cell r="I330">
            <v>3</v>
          </cell>
          <cell r="J330">
            <v>3</v>
          </cell>
          <cell r="K330">
            <v>0</v>
          </cell>
          <cell r="L330">
            <v>0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504000</v>
          </cell>
        </row>
        <row r="331">
          <cell r="E331">
            <v>17612210</v>
          </cell>
          <cell r="F331" t="str">
            <v>Toko Ayla</v>
          </cell>
          <cell r="G331">
            <v>0</v>
          </cell>
          <cell r="H331">
            <v>0</v>
          </cell>
          <cell r="I331">
            <v>0</v>
          </cell>
          <cell r="J331">
            <v>0</v>
          </cell>
          <cell r="K331">
            <v>10</v>
          </cell>
          <cell r="L331">
            <v>10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  <cell r="Q331">
            <v>0</v>
          </cell>
          <cell r="R331">
            <v>0</v>
          </cell>
          <cell r="S331">
            <v>0</v>
          </cell>
          <cell r="T331">
            <v>0</v>
          </cell>
          <cell r="U331">
            <v>10</v>
          </cell>
          <cell r="V331">
            <v>0</v>
          </cell>
          <cell r="W331">
            <v>0</v>
          </cell>
          <cell r="X331">
            <v>0</v>
          </cell>
          <cell r="Y331">
            <v>0</v>
          </cell>
        </row>
        <row r="332">
          <cell r="E332">
            <v>17626277</v>
          </cell>
          <cell r="F332" t="str">
            <v>My smartphone</v>
          </cell>
          <cell r="G332">
            <v>0</v>
          </cell>
          <cell r="H332">
            <v>0</v>
          </cell>
          <cell r="I332">
            <v>2</v>
          </cell>
          <cell r="J332">
            <v>2</v>
          </cell>
          <cell r="K332">
            <v>0</v>
          </cell>
          <cell r="L332">
            <v>0</v>
          </cell>
          <cell r="M332">
            <v>0</v>
          </cell>
          <cell r="N332">
            <v>0</v>
          </cell>
          <cell r="O332">
            <v>0</v>
          </cell>
          <cell r="P332">
            <v>0</v>
          </cell>
          <cell r="Q332">
            <v>0</v>
          </cell>
          <cell r="R332">
            <v>0</v>
          </cell>
          <cell r="S332">
            <v>0</v>
          </cell>
          <cell r="T332">
            <v>0</v>
          </cell>
          <cell r="U332">
            <v>0</v>
          </cell>
          <cell r="V332">
            <v>0</v>
          </cell>
          <cell r="W332">
            <v>0</v>
          </cell>
          <cell r="X332">
            <v>0</v>
          </cell>
          <cell r="Y332">
            <v>336000</v>
          </cell>
        </row>
        <row r="333">
          <cell r="E333">
            <v>17628338</v>
          </cell>
          <cell r="F333" t="str">
            <v>Ns Cafee</v>
          </cell>
          <cell r="G333">
            <v>0</v>
          </cell>
          <cell r="H333">
            <v>0</v>
          </cell>
          <cell r="I333">
            <v>2</v>
          </cell>
          <cell r="J333">
            <v>2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4265000</v>
          </cell>
        </row>
        <row r="334">
          <cell r="E334">
            <v>17631792</v>
          </cell>
          <cell r="F334" t="str">
            <v>Wr Rizal</v>
          </cell>
          <cell r="G334">
            <v>0</v>
          </cell>
          <cell r="H334">
            <v>0</v>
          </cell>
          <cell r="I334">
            <v>0</v>
          </cell>
          <cell r="J334">
            <v>0</v>
          </cell>
          <cell r="K334">
            <v>0</v>
          </cell>
          <cell r="L334">
            <v>0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  <cell r="Q334">
            <v>0</v>
          </cell>
          <cell r="R334">
            <v>0</v>
          </cell>
          <cell r="S334">
            <v>0</v>
          </cell>
          <cell r="T334">
            <v>0</v>
          </cell>
          <cell r="U334">
            <v>0</v>
          </cell>
          <cell r="V334">
            <v>0</v>
          </cell>
          <cell r="W334">
            <v>0</v>
          </cell>
          <cell r="X334">
            <v>0</v>
          </cell>
          <cell r="Y334">
            <v>0</v>
          </cell>
        </row>
        <row r="335">
          <cell r="E335">
            <v>17634230</v>
          </cell>
          <cell r="F335" t="str">
            <v>Genius Cell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5</v>
          </cell>
          <cell r="L335">
            <v>5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  <cell r="Q335">
            <v>0</v>
          </cell>
          <cell r="R335">
            <v>0</v>
          </cell>
          <cell r="S335">
            <v>0</v>
          </cell>
          <cell r="T335">
            <v>0</v>
          </cell>
          <cell r="U335">
            <v>5</v>
          </cell>
          <cell r="V335">
            <v>0</v>
          </cell>
          <cell r="W335">
            <v>0</v>
          </cell>
          <cell r="X335">
            <v>0</v>
          </cell>
          <cell r="Y335">
            <v>5058000</v>
          </cell>
        </row>
        <row r="336">
          <cell r="E336">
            <v>17634238</v>
          </cell>
          <cell r="F336" t="str">
            <v>Fahri Bnl</v>
          </cell>
          <cell r="G336">
            <v>0</v>
          </cell>
          <cell r="H336">
            <v>0</v>
          </cell>
          <cell r="I336">
            <v>0</v>
          </cell>
          <cell r="J336">
            <v>0</v>
          </cell>
          <cell r="K336">
            <v>0</v>
          </cell>
          <cell r="L336">
            <v>0</v>
          </cell>
          <cell r="M336">
            <v>0</v>
          </cell>
          <cell r="N336">
            <v>0</v>
          </cell>
          <cell r="O336">
            <v>0</v>
          </cell>
          <cell r="P336">
            <v>0</v>
          </cell>
          <cell r="Q336">
            <v>0</v>
          </cell>
          <cell r="R336">
            <v>0</v>
          </cell>
          <cell r="S336">
            <v>0</v>
          </cell>
          <cell r="T336">
            <v>0</v>
          </cell>
          <cell r="U336">
            <v>0</v>
          </cell>
          <cell r="V336">
            <v>0</v>
          </cell>
          <cell r="W336">
            <v>0</v>
          </cell>
          <cell r="X336">
            <v>0</v>
          </cell>
          <cell r="Y336">
            <v>0</v>
          </cell>
        </row>
        <row r="337">
          <cell r="E337">
            <v>17634254</v>
          </cell>
          <cell r="F337" t="str">
            <v>Gladiator</v>
          </cell>
          <cell r="G337">
            <v>0</v>
          </cell>
          <cell r="H337">
            <v>0</v>
          </cell>
          <cell r="I337">
            <v>0</v>
          </cell>
          <cell r="J337">
            <v>0</v>
          </cell>
          <cell r="K337">
            <v>0</v>
          </cell>
          <cell r="L337">
            <v>0</v>
          </cell>
          <cell r="M337">
            <v>0</v>
          </cell>
          <cell r="N337">
            <v>0</v>
          </cell>
          <cell r="O337">
            <v>0</v>
          </cell>
          <cell r="P337">
            <v>0</v>
          </cell>
          <cell r="Q337">
            <v>0</v>
          </cell>
          <cell r="R337">
            <v>0</v>
          </cell>
          <cell r="S337">
            <v>0</v>
          </cell>
          <cell r="T337">
            <v>0</v>
          </cell>
          <cell r="U337">
            <v>0</v>
          </cell>
          <cell r="V337">
            <v>0</v>
          </cell>
          <cell r="W337">
            <v>0</v>
          </cell>
          <cell r="X337">
            <v>0</v>
          </cell>
          <cell r="Y337">
            <v>0</v>
          </cell>
        </row>
        <row r="338">
          <cell r="E338">
            <v>17634262</v>
          </cell>
          <cell r="F338" t="str">
            <v>Toko tomar</v>
          </cell>
          <cell r="G338">
            <v>0</v>
          </cell>
          <cell r="H338">
            <v>0</v>
          </cell>
          <cell r="I338">
            <v>1</v>
          </cell>
          <cell r="J338">
            <v>1</v>
          </cell>
          <cell r="K338">
            <v>5</v>
          </cell>
          <cell r="L338">
            <v>5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  <cell r="Q338">
            <v>0</v>
          </cell>
          <cell r="R338">
            <v>0</v>
          </cell>
          <cell r="S338">
            <v>0</v>
          </cell>
          <cell r="T338">
            <v>0</v>
          </cell>
          <cell r="U338">
            <v>5</v>
          </cell>
          <cell r="V338">
            <v>0</v>
          </cell>
          <cell r="W338">
            <v>0</v>
          </cell>
          <cell r="X338">
            <v>0</v>
          </cell>
          <cell r="Y338">
            <v>336000</v>
          </cell>
        </row>
        <row r="339">
          <cell r="E339">
            <v>17646638</v>
          </cell>
          <cell r="F339" t="str">
            <v>Toko edi</v>
          </cell>
          <cell r="G339">
            <v>0</v>
          </cell>
          <cell r="H339">
            <v>0</v>
          </cell>
          <cell r="I339">
            <v>1</v>
          </cell>
          <cell r="J339">
            <v>1</v>
          </cell>
          <cell r="K339">
            <v>0</v>
          </cell>
          <cell r="L339">
            <v>0</v>
          </cell>
          <cell r="M339">
            <v>0</v>
          </cell>
          <cell r="N339">
            <v>0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  <cell r="T339">
            <v>0</v>
          </cell>
          <cell r="U339">
            <v>0</v>
          </cell>
          <cell r="V339">
            <v>0</v>
          </cell>
          <cell r="W339">
            <v>0</v>
          </cell>
          <cell r="X339">
            <v>0</v>
          </cell>
          <cell r="Y339">
            <v>240000</v>
          </cell>
        </row>
        <row r="340">
          <cell r="E340">
            <v>17646915</v>
          </cell>
          <cell r="F340" t="str">
            <v>Warung Santuy</v>
          </cell>
          <cell r="G340">
            <v>0</v>
          </cell>
          <cell r="H340">
            <v>0</v>
          </cell>
          <cell r="I340">
            <v>0</v>
          </cell>
          <cell r="J340">
            <v>0</v>
          </cell>
          <cell r="K340">
            <v>5</v>
          </cell>
          <cell r="L340">
            <v>5</v>
          </cell>
          <cell r="M340">
            <v>0</v>
          </cell>
          <cell r="N340">
            <v>0</v>
          </cell>
          <cell r="O340">
            <v>0</v>
          </cell>
          <cell r="P340">
            <v>0</v>
          </cell>
          <cell r="Q340">
            <v>0</v>
          </cell>
          <cell r="R340">
            <v>0</v>
          </cell>
          <cell r="S340">
            <v>0</v>
          </cell>
          <cell r="T340">
            <v>0</v>
          </cell>
          <cell r="U340">
            <v>5</v>
          </cell>
          <cell r="V340">
            <v>0</v>
          </cell>
          <cell r="W340">
            <v>0</v>
          </cell>
          <cell r="X340">
            <v>0</v>
          </cell>
          <cell r="Y340">
            <v>0</v>
          </cell>
        </row>
        <row r="341">
          <cell r="E341">
            <v>17648919</v>
          </cell>
          <cell r="F341" t="str">
            <v>Waung Anwar</v>
          </cell>
          <cell r="G341">
            <v>0</v>
          </cell>
          <cell r="H341">
            <v>0</v>
          </cell>
          <cell r="I341">
            <v>0</v>
          </cell>
          <cell r="J341">
            <v>0</v>
          </cell>
          <cell r="K341">
            <v>5</v>
          </cell>
          <cell r="L341">
            <v>5</v>
          </cell>
          <cell r="M341">
            <v>0</v>
          </cell>
          <cell r="N341">
            <v>0</v>
          </cell>
          <cell r="O341">
            <v>0</v>
          </cell>
          <cell r="P341">
            <v>0</v>
          </cell>
          <cell r="Q341">
            <v>0</v>
          </cell>
          <cell r="R341">
            <v>0</v>
          </cell>
          <cell r="S341">
            <v>0</v>
          </cell>
          <cell r="T341">
            <v>0</v>
          </cell>
          <cell r="U341">
            <v>5</v>
          </cell>
          <cell r="V341">
            <v>0</v>
          </cell>
          <cell r="W341">
            <v>0</v>
          </cell>
          <cell r="X341">
            <v>0</v>
          </cell>
          <cell r="Y341">
            <v>0</v>
          </cell>
        </row>
        <row r="342">
          <cell r="E342">
            <v>17651452</v>
          </cell>
          <cell r="F342" t="str">
            <v>Bela Bily</v>
          </cell>
          <cell r="G342">
            <v>0</v>
          </cell>
          <cell r="H342">
            <v>0</v>
          </cell>
          <cell r="I342">
            <v>0</v>
          </cell>
          <cell r="J342">
            <v>0</v>
          </cell>
          <cell r="K342">
            <v>0</v>
          </cell>
          <cell r="L342">
            <v>0</v>
          </cell>
          <cell r="M342">
            <v>0</v>
          </cell>
          <cell r="N342">
            <v>0</v>
          </cell>
          <cell r="O342">
            <v>0</v>
          </cell>
          <cell r="P342">
            <v>0</v>
          </cell>
          <cell r="Q342">
            <v>0</v>
          </cell>
          <cell r="R342">
            <v>0</v>
          </cell>
          <cell r="S342">
            <v>0</v>
          </cell>
          <cell r="T342">
            <v>0</v>
          </cell>
          <cell r="U342">
            <v>0</v>
          </cell>
          <cell r="V342">
            <v>0</v>
          </cell>
          <cell r="W342">
            <v>0</v>
          </cell>
          <cell r="X342">
            <v>0</v>
          </cell>
          <cell r="Y342">
            <v>200000</v>
          </cell>
        </row>
        <row r="343">
          <cell r="E343">
            <v>17654507</v>
          </cell>
          <cell r="F343" t="str">
            <v>EXTRA PONSEL</v>
          </cell>
          <cell r="G343">
            <v>0</v>
          </cell>
          <cell r="H343">
            <v>0</v>
          </cell>
          <cell r="I343">
            <v>1</v>
          </cell>
          <cell r="J343">
            <v>1</v>
          </cell>
          <cell r="K343">
            <v>5</v>
          </cell>
          <cell r="L343">
            <v>5</v>
          </cell>
          <cell r="M343">
            <v>0</v>
          </cell>
          <cell r="N343">
            <v>0</v>
          </cell>
          <cell r="O343">
            <v>0</v>
          </cell>
          <cell r="P343">
            <v>0</v>
          </cell>
          <cell r="Q343">
            <v>0</v>
          </cell>
          <cell r="R343">
            <v>0</v>
          </cell>
          <cell r="S343">
            <v>0</v>
          </cell>
          <cell r="T343">
            <v>0</v>
          </cell>
          <cell r="U343">
            <v>5</v>
          </cell>
          <cell r="V343">
            <v>0</v>
          </cell>
          <cell r="W343">
            <v>0</v>
          </cell>
          <cell r="X343">
            <v>0</v>
          </cell>
          <cell r="Y343">
            <v>2520000</v>
          </cell>
        </row>
        <row r="344">
          <cell r="E344">
            <v>17667163</v>
          </cell>
          <cell r="F344" t="str">
            <v>TK keiyla</v>
          </cell>
          <cell r="G344">
            <v>0</v>
          </cell>
          <cell r="H344">
            <v>0</v>
          </cell>
          <cell r="I344">
            <v>1</v>
          </cell>
          <cell r="J344">
            <v>1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  <cell r="Q344">
            <v>0</v>
          </cell>
          <cell r="R344">
            <v>0</v>
          </cell>
          <cell r="S344">
            <v>0</v>
          </cell>
          <cell r="T344">
            <v>0</v>
          </cell>
          <cell r="U344">
            <v>0</v>
          </cell>
          <cell r="V344">
            <v>0</v>
          </cell>
          <cell r="W344">
            <v>0</v>
          </cell>
          <cell r="X344">
            <v>0</v>
          </cell>
          <cell r="Y344">
            <v>168000</v>
          </cell>
        </row>
        <row r="345">
          <cell r="E345">
            <v>17668458</v>
          </cell>
          <cell r="F345" t="str">
            <v>Sangu bodas</v>
          </cell>
          <cell r="G345">
            <v>0</v>
          </cell>
          <cell r="H345">
            <v>0</v>
          </cell>
          <cell r="I345">
            <v>1</v>
          </cell>
          <cell r="J345">
            <v>1</v>
          </cell>
          <cell r="K345">
            <v>0</v>
          </cell>
          <cell r="L345">
            <v>0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  <cell r="Q345">
            <v>0</v>
          </cell>
          <cell r="R345">
            <v>0</v>
          </cell>
          <cell r="S345">
            <v>0</v>
          </cell>
          <cell r="T345">
            <v>0</v>
          </cell>
          <cell r="U345">
            <v>0</v>
          </cell>
          <cell r="V345">
            <v>0</v>
          </cell>
          <cell r="W345">
            <v>0</v>
          </cell>
          <cell r="X345">
            <v>0</v>
          </cell>
          <cell r="Y345">
            <v>1260000</v>
          </cell>
        </row>
        <row r="346">
          <cell r="E346">
            <v>17674081</v>
          </cell>
          <cell r="F346" t="str">
            <v>RA PONSEL</v>
          </cell>
          <cell r="G346">
            <v>0</v>
          </cell>
          <cell r="H346">
            <v>0</v>
          </cell>
          <cell r="I346">
            <v>1</v>
          </cell>
          <cell r="J346">
            <v>1</v>
          </cell>
          <cell r="K346">
            <v>5</v>
          </cell>
          <cell r="L346">
            <v>5</v>
          </cell>
          <cell r="M346">
            <v>0</v>
          </cell>
          <cell r="N346">
            <v>0</v>
          </cell>
          <cell r="O346">
            <v>0</v>
          </cell>
          <cell r="P346">
            <v>0</v>
          </cell>
          <cell r="Q346">
            <v>0</v>
          </cell>
          <cell r="R346">
            <v>0</v>
          </cell>
          <cell r="S346">
            <v>0</v>
          </cell>
          <cell r="T346">
            <v>0</v>
          </cell>
          <cell r="U346">
            <v>4</v>
          </cell>
          <cell r="V346">
            <v>0</v>
          </cell>
          <cell r="W346">
            <v>0</v>
          </cell>
          <cell r="X346">
            <v>0</v>
          </cell>
          <cell r="Y346">
            <v>3375000</v>
          </cell>
        </row>
        <row r="347">
          <cell r="E347">
            <v>17691756</v>
          </cell>
          <cell r="F347" t="str">
            <v>Tkriaceria</v>
          </cell>
          <cell r="G347">
            <v>0</v>
          </cell>
          <cell r="H347">
            <v>0</v>
          </cell>
          <cell r="I347">
            <v>1</v>
          </cell>
          <cell r="J347">
            <v>1</v>
          </cell>
          <cell r="K347">
            <v>5</v>
          </cell>
          <cell r="L347">
            <v>5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5</v>
          </cell>
          <cell r="V347">
            <v>0</v>
          </cell>
          <cell r="W347">
            <v>0</v>
          </cell>
          <cell r="X347">
            <v>0</v>
          </cell>
          <cell r="Y347">
            <v>2520000</v>
          </cell>
        </row>
        <row r="348">
          <cell r="E348">
            <v>17692847</v>
          </cell>
          <cell r="F348" t="str">
            <v>Warung kiana</v>
          </cell>
          <cell r="G348">
            <v>0</v>
          </cell>
          <cell r="H348">
            <v>0</v>
          </cell>
          <cell r="I348">
            <v>0</v>
          </cell>
          <cell r="J348">
            <v>0</v>
          </cell>
          <cell r="K348">
            <v>4</v>
          </cell>
          <cell r="L348">
            <v>4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4</v>
          </cell>
          <cell r="V348">
            <v>0</v>
          </cell>
          <cell r="W348">
            <v>0</v>
          </cell>
          <cell r="X348">
            <v>0</v>
          </cell>
          <cell r="Y348">
            <v>4005000</v>
          </cell>
        </row>
        <row r="349">
          <cell r="E349">
            <v>17693220</v>
          </cell>
          <cell r="F349" t="str">
            <v>Ba tiar</v>
          </cell>
          <cell r="G349">
            <v>0</v>
          </cell>
          <cell r="H349">
            <v>0</v>
          </cell>
          <cell r="I349">
            <v>0</v>
          </cell>
          <cell r="J349">
            <v>0</v>
          </cell>
          <cell r="K349">
            <v>1</v>
          </cell>
          <cell r="L349">
            <v>1</v>
          </cell>
          <cell r="M349">
            <v>0</v>
          </cell>
          <cell r="N349">
            <v>1</v>
          </cell>
          <cell r="O349">
            <v>1</v>
          </cell>
          <cell r="P349">
            <v>0</v>
          </cell>
          <cell r="Q349">
            <v>1</v>
          </cell>
          <cell r="R349">
            <v>1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130000</v>
          </cell>
        </row>
        <row r="350">
          <cell r="E350">
            <v>17694192</v>
          </cell>
          <cell r="F350" t="str">
            <v>Toko lini</v>
          </cell>
          <cell r="G350">
            <v>0</v>
          </cell>
          <cell r="H350">
            <v>0</v>
          </cell>
          <cell r="I350">
            <v>1</v>
          </cell>
          <cell r="J350">
            <v>1</v>
          </cell>
          <cell r="K350">
            <v>0</v>
          </cell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1168000</v>
          </cell>
        </row>
        <row r="351">
          <cell r="E351">
            <v>17694204</v>
          </cell>
          <cell r="F351" t="str">
            <v>Sultan cell</v>
          </cell>
          <cell r="G351">
            <v>0</v>
          </cell>
          <cell r="H351">
            <v>0</v>
          </cell>
          <cell r="I351">
            <v>2</v>
          </cell>
          <cell r="J351">
            <v>2</v>
          </cell>
          <cell r="K351">
            <v>0</v>
          </cell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360000</v>
          </cell>
        </row>
        <row r="352">
          <cell r="E352">
            <v>17697397</v>
          </cell>
          <cell r="F352" t="str">
            <v>Warkop niko</v>
          </cell>
          <cell r="G352">
            <v>0</v>
          </cell>
          <cell r="H352">
            <v>0</v>
          </cell>
          <cell r="I352">
            <v>1</v>
          </cell>
          <cell r="J352">
            <v>1</v>
          </cell>
          <cell r="K352">
            <v>5</v>
          </cell>
          <cell r="L352">
            <v>5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5</v>
          </cell>
          <cell r="V352">
            <v>0</v>
          </cell>
          <cell r="W352">
            <v>0</v>
          </cell>
          <cell r="X352">
            <v>0</v>
          </cell>
          <cell r="Y352">
            <v>1260000</v>
          </cell>
        </row>
        <row r="353">
          <cell r="E353">
            <v>17698056</v>
          </cell>
          <cell r="F353" t="str">
            <v>Melati</v>
          </cell>
          <cell r="G353">
            <v>0</v>
          </cell>
          <cell r="H353">
            <v>0</v>
          </cell>
          <cell r="I353">
            <v>0</v>
          </cell>
          <cell r="J353">
            <v>0</v>
          </cell>
          <cell r="K353">
            <v>0</v>
          </cell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E354">
            <v>17698846</v>
          </cell>
          <cell r="F354" t="str">
            <v>Cyber cell</v>
          </cell>
          <cell r="G354">
            <v>0</v>
          </cell>
          <cell r="H354">
            <v>0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  <row r="355">
          <cell r="E355">
            <v>17741915</v>
          </cell>
          <cell r="F355" t="str">
            <v>Warung arkiana</v>
          </cell>
          <cell r="G355">
            <v>0</v>
          </cell>
          <cell r="H355">
            <v>0</v>
          </cell>
          <cell r="I355">
            <v>0</v>
          </cell>
          <cell r="J355">
            <v>0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0</v>
          </cell>
        </row>
        <row r="356">
          <cell r="E356">
            <v>17741916</v>
          </cell>
          <cell r="F356" t="str">
            <v>Toko atk ezra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  <cell r="U356">
            <v>0</v>
          </cell>
          <cell r="V356">
            <v>0</v>
          </cell>
          <cell r="W356">
            <v>0</v>
          </cell>
          <cell r="X356">
            <v>0</v>
          </cell>
          <cell r="Y356">
            <v>0</v>
          </cell>
        </row>
        <row r="357">
          <cell r="E357">
            <v>17742066</v>
          </cell>
          <cell r="F357" t="str">
            <v>Rosiana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0</v>
          </cell>
          <cell r="Q357">
            <v>0</v>
          </cell>
          <cell r="R357">
            <v>0</v>
          </cell>
          <cell r="S357">
            <v>0</v>
          </cell>
          <cell r="T357">
            <v>0</v>
          </cell>
          <cell r="U357">
            <v>0</v>
          </cell>
          <cell r="V357">
            <v>0</v>
          </cell>
          <cell r="W357">
            <v>0</v>
          </cell>
          <cell r="X357">
            <v>0</v>
          </cell>
          <cell r="Y357">
            <v>0</v>
          </cell>
        </row>
        <row r="358">
          <cell r="E358">
            <v>17742067</v>
          </cell>
          <cell r="F358" t="str">
            <v>WARUNG NIA</v>
          </cell>
          <cell r="G358">
            <v>0</v>
          </cell>
          <cell r="H358">
            <v>0</v>
          </cell>
          <cell r="I358">
            <v>0</v>
          </cell>
          <cell r="J358">
            <v>0</v>
          </cell>
          <cell r="K358">
            <v>0</v>
          </cell>
          <cell r="L358">
            <v>0</v>
          </cell>
          <cell r="M358">
            <v>0</v>
          </cell>
          <cell r="N358">
            <v>0</v>
          </cell>
          <cell r="O358">
            <v>0</v>
          </cell>
          <cell r="P358">
            <v>0</v>
          </cell>
          <cell r="Q358">
            <v>0</v>
          </cell>
          <cell r="R358">
            <v>0</v>
          </cell>
          <cell r="S358">
            <v>0</v>
          </cell>
          <cell r="T358">
            <v>0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0</v>
          </cell>
        </row>
        <row r="359">
          <cell r="E359">
            <v>17750171</v>
          </cell>
          <cell r="F359" t="str">
            <v>evi ponsel</v>
          </cell>
          <cell r="G359">
            <v>0</v>
          </cell>
          <cell r="H359">
            <v>0</v>
          </cell>
          <cell r="I359">
            <v>0</v>
          </cell>
          <cell r="J359">
            <v>0</v>
          </cell>
          <cell r="K359">
            <v>5</v>
          </cell>
          <cell r="L359">
            <v>5</v>
          </cell>
          <cell r="M359">
            <v>0</v>
          </cell>
          <cell r="N359">
            <v>0</v>
          </cell>
          <cell r="O359">
            <v>0</v>
          </cell>
          <cell r="P359">
            <v>0</v>
          </cell>
          <cell r="Q359">
            <v>0</v>
          </cell>
          <cell r="R359">
            <v>0</v>
          </cell>
          <cell r="S359">
            <v>0</v>
          </cell>
          <cell r="T359">
            <v>0</v>
          </cell>
          <cell r="U359">
            <v>5</v>
          </cell>
          <cell r="V359">
            <v>0</v>
          </cell>
          <cell r="W359">
            <v>0</v>
          </cell>
          <cell r="X359">
            <v>0</v>
          </cell>
          <cell r="Y359">
            <v>0</v>
          </cell>
        </row>
        <row r="360">
          <cell r="E360">
            <v>17750177</v>
          </cell>
          <cell r="F360" t="str">
            <v>Toko sandy</v>
          </cell>
          <cell r="G360">
            <v>0</v>
          </cell>
          <cell r="H360">
            <v>0</v>
          </cell>
          <cell r="I360">
            <v>0</v>
          </cell>
          <cell r="J360">
            <v>0</v>
          </cell>
          <cell r="K360">
            <v>5</v>
          </cell>
          <cell r="L360">
            <v>5</v>
          </cell>
          <cell r="M360">
            <v>0</v>
          </cell>
          <cell r="N360">
            <v>0</v>
          </cell>
          <cell r="O360">
            <v>0</v>
          </cell>
          <cell r="P360">
            <v>0</v>
          </cell>
          <cell r="Q360">
            <v>0</v>
          </cell>
          <cell r="R360">
            <v>0</v>
          </cell>
          <cell r="S360">
            <v>0</v>
          </cell>
          <cell r="T360">
            <v>0</v>
          </cell>
          <cell r="U360">
            <v>5</v>
          </cell>
          <cell r="V360">
            <v>0</v>
          </cell>
          <cell r="W360">
            <v>0</v>
          </cell>
          <cell r="X360">
            <v>0</v>
          </cell>
          <cell r="Y360">
            <v>0</v>
          </cell>
        </row>
        <row r="361">
          <cell r="E361">
            <v>17750185</v>
          </cell>
          <cell r="F361" t="str">
            <v>Warung aida</v>
          </cell>
          <cell r="G361">
            <v>0</v>
          </cell>
          <cell r="H361">
            <v>0</v>
          </cell>
          <cell r="I361">
            <v>0</v>
          </cell>
          <cell r="J361">
            <v>0</v>
          </cell>
          <cell r="K361">
            <v>0</v>
          </cell>
          <cell r="L361">
            <v>0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0</v>
          </cell>
          <cell r="U361">
            <v>0</v>
          </cell>
          <cell r="V361">
            <v>0</v>
          </cell>
          <cell r="W361">
            <v>0</v>
          </cell>
          <cell r="X361">
            <v>0</v>
          </cell>
          <cell r="Y361">
            <v>0</v>
          </cell>
        </row>
        <row r="362">
          <cell r="E362">
            <v>17754185</v>
          </cell>
          <cell r="F362" t="str">
            <v>All store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0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0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0</v>
          </cell>
        </row>
        <row r="363">
          <cell r="E363">
            <v>17756503</v>
          </cell>
          <cell r="F363" t="str">
            <v>Toko Mala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  <cell r="K363">
            <v>0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0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0</v>
          </cell>
        </row>
        <row r="364">
          <cell r="E364">
            <v>17775710</v>
          </cell>
          <cell r="F364" t="str">
            <v>Putri cell</v>
          </cell>
          <cell r="G364">
            <v>0</v>
          </cell>
          <cell r="H364">
            <v>0</v>
          </cell>
          <cell r="I364">
            <v>1</v>
          </cell>
          <cell r="J364">
            <v>1</v>
          </cell>
          <cell r="K364">
            <v>5</v>
          </cell>
          <cell r="L364">
            <v>5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5</v>
          </cell>
          <cell r="V364">
            <v>0</v>
          </cell>
          <cell r="W364">
            <v>0</v>
          </cell>
          <cell r="X364">
            <v>0</v>
          </cell>
          <cell r="Y364">
            <v>1260000</v>
          </cell>
        </row>
        <row r="365">
          <cell r="E365">
            <v>17799381</v>
          </cell>
          <cell r="F365" t="str">
            <v>Gafi 21 cell</v>
          </cell>
          <cell r="G365">
            <v>0</v>
          </cell>
          <cell r="H365">
            <v>0</v>
          </cell>
          <cell r="I365">
            <v>2</v>
          </cell>
          <cell r="J365">
            <v>2</v>
          </cell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0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5600000</v>
          </cell>
        </row>
        <row r="366">
          <cell r="E366">
            <v>507409</v>
          </cell>
          <cell r="F366" t="str">
            <v>FATRISIA,SKW</v>
          </cell>
          <cell r="G366">
            <v>0</v>
          </cell>
          <cell r="H366">
            <v>0</v>
          </cell>
          <cell r="I366">
            <v>1</v>
          </cell>
          <cell r="J366">
            <v>1</v>
          </cell>
          <cell r="K366">
            <v>0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0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1668000</v>
          </cell>
        </row>
        <row r="367">
          <cell r="E367">
            <v>658678</v>
          </cell>
          <cell r="F367" t="str">
            <v>Trisman ponsel</v>
          </cell>
          <cell r="G367">
            <v>0</v>
          </cell>
          <cell r="H367">
            <v>0</v>
          </cell>
          <cell r="I367">
            <v>2</v>
          </cell>
          <cell r="J367">
            <v>2</v>
          </cell>
          <cell r="K367">
            <v>0</v>
          </cell>
          <cell r="L367">
            <v>0</v>
          </cell>
          <cell r="M367">
            <v>0</v>
          </cell>
          <cell r="N367">
            <v>0</v>
          </cell>
          <cell r="O367">
            <v>0</v>
          </cell>
          <cell r="P367">
            <v>0</v>
          </cell>
          <cell r="Q367">
            <v>0</v>
          </cell>
          <cell r="R367">
            <v>0</v>
          </cell>
          <cell r="S367">
            <v>0</v>
          </cell>
          <cell r="T367">
            <v>0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Y367">
            <v>2520000</v>
          </cell>
        </row>
        <row r="368">
          <cell r="E368">
            <v>971296</v>
          </cell>
          <cell r="F368" t="str">
            <v>FARIDA PONSEL</v>
          </cell>
          <cell r="G368">
            <v>0</v>
          </cell>
          <cell r="H368">
            <v>0</v>
          </cell>
          <cell r="I368">
            <v>1</v>
          </cell>
          <cell r="J368">
            <v>1</v>
          </cell>
          <cell r="K368">
            <v>1</v>
          </cell>
          <cell r="L368">
            <v>1</v>
          </cell>
          <cell r="M368">
            <v>0</v>
          </cell>
          <cell r="N368">
            <v>1</v>
          </cell>
          <cell r="O368">
            <v>1</v>
          </cell>
          <cell r="P368">
            <v>0</v>
          </cell>
          <cell r="Q368">
            <v>1</v>
          </cell>
          <cell r="R368">
            <v>1</v>
          </cell>
          <cell r="S368">
            <v>0</v>
          </cell>
          <cell r="T368">
            <v>4</v>
          </cell>
          <cell r="U368">
            <v>0</v>
          </cell>
          <cell r="V368">
            <v>0</v>
          </cell>
          <cell r="W368">
            <v>0</v>
          </cell>
          <cell r="X368">
            <v>0</v>
          </cell>
          <cell r="Y368">
            <v>168000</v>
          </cell>
        </row>
        <row r="369">
          <cell r="E369">
            <v>0</v>
          </cell>
          <cell r="F369" t="str">
            <v>laser ponsel</v>
          </cell>
          <cell r="G369">
            <v>0</v>
          </cell>
          <cell r="H369">
            <v>0</v>
          </cell>
          <cell r="I369">
            <v>1</v>
          </cell>
          <cell r="J369">
            <v>1</v>
          </cell>
          <cell r="K369">
            <v>0</v>
          </cell>
          <cell r="L369">
            <v>0</v>
          </cell>
          <cell r="M369">
            <v>0</v>
          </cell>
          <cell r="N369">
            <v>0</v>
          </cell>
          <cell r="O369">
            <v>0</v>
          </cell>
          <cell r="P369">
            <v>0</v>
          </cell>
          <cell r="Q369">
            <v>0</v>
          </cell>
          <cell r="R369">
            <v>0</v>
          </cell>
          <cell r="S369">
            <v>0</v>
          </cell>
          <cell r="T369">
            <v>0</v>
          </cell>
          <cell r="U369">
            <v>0</v>
          </cell>
          <cell r="V369">
            <v>0</v>
          </cell>
          <cell r="W369">
            <v>0</v>
          </cell>
          <cell r="X369">
            <v>201489.70967741901</v>
          </cell>
          <cell r="Y369">
            <v>350400</v>
          </cell>
        </row>
        <row r="370">
          <cell r="E370">
            <v>0</v>
          </cell>
          <cell r="F370" t="str">
            <v>MJ Ponsel</v>
          </cell>
          <cell r="G370">
            <v>0</v>
          </cell>
          <cell r="H370">
            <v>0</v>
          </cell>
          <cell r="I370">
            <v>1</v>
          </cell>
          <cell r="J370">
            <v>1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  <cell r="Q370">
            <v>0</v>
          </cell>
          <cell r="R370">
            <v>0</v>
          </cell>
          <cell r="S370">
            <v>0</v>
          </cell>
          <cell r="T370">
            <v>0</v>
          </cell>
          <cell r="U370">
            <v>0</v>
          </cell>
          <cell r="V370">
            <v>0</v>
          </cell>
          <cell r="W370">
            <v>0</v>
          </cell>
          <cell r="X370">
            <v>185919.67741935499</v>
          </cell>
          <cell r="Y370">
            <v>100800</v>
          </cell>
        </row>
        <row r="371">
          <cell r="E371">
            <v>0</v>
          </cell>
          <cell r="F371" t="str">
            <v>Annisa</v>
          </cell>
          <cell r="G371">
            <v>0</v>
          </cell>
          <cell r="H371">
            <v>0</v>
          </cell>
          <cell r="I371">
            <v>1</v>
          </cell>
          <cell r="J371">
            <v>1</v>
          </cell>
          <cell r="K371">
            <v>0</v>
          </cell>
          <cell r="L371">
            <v>0</v>
          </cell>
          <cell r="M371">
            <v>0</v>
          </cell>
          <cell r="N371">
            <v>0</v>
          </cell>
          <cell r="O371">
            <v>0</v>
          </cell>
          <cell r="P371">
            <v>0</v>
          </cell>
          <cell r="Q371">
            <v>0</v>
          </cell>
          <cell r="R371">
            <v>0</v>
          </cell>
          <cell r="S371">
            <v>0</v>
          </cell>
          <cell r="T371">
            <v>0</v>
          </cell>
          <cell r="U371">
            <v>0</v>
          </cell>
          <cell r="V371">
            <v>0</v>
          </cell>
          <cell r="W371">
            <v>0</v>
          </cell>
          <cell r="X371">
            <v>476466.04838709702</v>
          </cell>
          <cell r="Y371">
            <v>603300</v>
          </cell>
        </row>
        <row r="372">
          <cell r="E372">
            <v>0</v>
          </cell>
          <cell r="F372" t="str">
            <v>APRIANTO</v>
          </cell>
          <cell r="G372">
            <v>0</v>
          </cell>
          <cell r="H372">
            <v>0</v>
          </cell>
          <cell r="I372">
            <v>0</v>
          </cell>
          <cell r="J372">
            <v>0</v>
          </cell>
          <cell r="K372">
            <v>0</v>
          </cell>
          <cell r="L372">
            <v>0</v>
          </cell>
          <cell r="M372">
            <v>0</v>
          </cell>
          <cell r="N372">
            <v>0</v>
          </cell>
          <cell r="O372">
            <v>0</v>
          </cell>
          <cell r="P372">
            <v>0</v>
          </cell>
          <cell r="Q372">
            <v>0</v>
          </cell>
          <cell r="R372">
            <v>0</v>
          </cell>
          <cell r="S372">
            <v>0</v>
          </cell>
          <cell r="T372">
            <v>0</v>
          </cell>
          <cell r="U372">
            <v>0</v>
          </cell>
          <cell r="V372">
            <v>0</v>
          </cell>
          <cell r="W372">
            <v>0</v>
          </cell>
          <cell r="X372">
            <v>0</v>
          </cell>
          <cell r="Y372">
            <v>0</v>
          </cell>
        </row>
        <row r="373">
          <cell r="E373">
            <v>0</v>
          </cell>
          <cell r="F373" t="str">
            <v>JHOLLY CELL</v>
          </cell>
          <cell r="G373">
            <v>0</v>
          </cell>
          <cell r="H373">
            <v>0</v>
          </cell>
          <cell r="I373">
            <v>1</v>
          </cell>
          <cell r="J373">
            <v>1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617002.17741935502</v>
          </cell>
          <cell r="Y373">
            <v>450400</v>
          </cell>
        </row>
        <row r="374">
          <cell r="E374">
            <v>0</v>
          </cell>
          <cell r="F374" t="str">
            <v>reno ponsel</v>
          </cell>
          <cell r="G374">
            <v>0</v>
          </cell>
          <cell r="H374">
            <v>0</v>
          </cell>
          <cell r="I374">
            <v>1</v>
          </cell>
          <cell r="J374">
            <v>1</v>
          </cell>
          <cell r="K374">
            <v>0</v>
          </cell>
          <cell r="L374">
            <v>0</v>
          </cell>
          <cell r="M374">
            <v>0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141531.58064516101</v>
          </cell>
          <cell r="Y374">
            <v>100800</v>
          </cell>
        </row>
        <row r="375">
          <cell r="E375">
            <v>0</v>
          </cell>
          <cell r="F375" t="str">
            <v>Anshori ponsel</v>
          </cell>
          <cell r="G375">
            <v>0</v>
          </cell>
          <cell r="H375">
            <v>0</v>
          </cell>
          <cell r="I375">
            <v>0</v>
          </cell>
          <cell r="J375">
            <v>0</v>
          </cell>
          <cell r="K375">
            <v>0</v>
          </cell>
          <cell r="L375">
            <v>0</v>
          </cell>
          <cell r="M375">
            <v>0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</row>
        <row r="376">
          <cell r="E376">
            <v>0</v>
          </cell>
          <cell r="F376" t="str">
            <v>Roda Ponsel</v>
          </cell>
          <cell r="G376">
            <v>0</v>
          </cell>
          <cell r="H376">
            <v>0</v>
          </cell>
          <cell r="I376">
            <v>1</v>
          </cell>
          <cell r="J376">
            <v>1</v>
          </cell>
          <cell r="K376">
            <v>0</v>
          </cell>
          <cell r="L376">
            <v>0</v>
          </cell>
          <cell r="M376">
            <v>0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264009.19015414501</v>
          </cell>
          <cell r="Y376">
            <v>50400</v>
          </cell>
        </row>
        <row r="377">
          <cell r="E377">
            <v>0</v>
          </cell>
          <cell r="F377" t="str">
            <v>Joz Ponsel</v>
          </cell>
          <cell r="G377">
            <v>0</v>
          </cell>
          <cell r="H377">
            <v>0</v>
          </cell>
          <cell r="I377">
            <v>1</v>
          </cell>
          <cell r="J377">
            <v>1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26783.541030131</v>
          </cell>
          <cell r="Y377">
            <v>50400</v>
          </cell>
        </row>
        <row r="378">
          <cell r="E378">
            <v>0</v>
          </cell>
          <cell r="F378" t="str">
            <v>MELLY PONSEL</v>
          </cell>
          <cell r="G378">
            <v>0</v>
          </cell>
          <cell r="H378">
            <v>0</v>
          </cell>
          <cell r="I378">
            <v>0</v>
          </cell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</row>
        <row r="379">
          <cell r="E379">
            <v>0</v>
          </cell>
          <cell r="F379" t="str">
            <v>Aan ponsel</v>
          </cell>
          <cell r="G379">
            <v>0</v>
          </cell>
          <cell r="H379">
            <v>0</v>
          </cell>
          <cell r="I379">
            <v>1</v>
          </cell>
          <cell r="J379">
            <v>1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10</v>
          </cell>
          <cell r="U379">
            <v>0</v>
          </cell>
          <cell r="V379">
            <v>0</v>
          </cell>
          <cell r="W379">
            <v>0</v>
          </cell>
          <cell r="X379">
            <v>324363.67741935502</v>
          </cell>
          <cell r="Y379">
            <v>50400</v>
          </cell>
        </row>
        <row r="380">
          <cell r="E380">
            <v>0</v>
          </cell>
          <cell r="F380" t="str">
            <v>CINCIN PUTIH PONSEL</v>
          </cell>
          <cell r="G380">
            <v>0</v>
          </cell>
          <cell r="H380">
            <v>0</v>
          </cell>
          <cell r="I380">
            <v>1</v>
          </cell>
          <cell r="J380">
            <v>1</v>
          </cell>
          <cell r="K380">
            <v>2</v>
          </cell>
          <cell r="L380">
            <v>2</v>
          </cell>
          <cell r="M380">
            <v>0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1</v>
          </cell>
          <cell r="V380">
            <v>0</v>
          </cell>
          <cell r="W380">
            <v>0</v>
          </cell>
          <cell r="X380">
            <v>625527.32258064498</v>
          </cell>
          <cell r="Y380">
            <v>250400</v>
          </cell>
        </row>
        <row r="381">
          <cell r="E381">
            <v>0</v>
          </cell>
          <cell r="F381" t="str">
            <v>Afeng Ponsel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</row>
        <row r="382">
          <cell r="E382">
            <v>0</v>
          </cell>
          <cell r="F382" t="str">
            <v>Nila Ponsel</v>
          </cell>
          <cell r="G382">
            <v>0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0</v>
          </cell>
          <cell r="M382">
            <v>0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37411.930327802002</v>
          </cell>
          <cell r="Y382">
            <v>0</v>
          </cell>
        </row>
        <row r="383">
          <cell r="E383">
            <v>0</v>
          </cell>
          <cell r="F383" t="str">
            <v>EKA PONSEL</v>
          </cell>
          <cell r="G383">
            <v>0</v>
          </cell>
          <cell r="H383">
            <v>0</v>
          </cell>
          <cell r="I383">
            <v>1</v>
          </cell>
          <cell r="J383">
            <v>1</v>
          </cell>
          <cell r="K383">
            <v>0</v>
          </cell>
          <cell r="L383">
            <v>0</v>
          </cell>
          <cell r="M383">
            <v>0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0</v>
          </cell>
          <cell r="T383">
            <v>10</v>
          </cell>
          <cell r="U383">
            <v>0</v>
          </cell>
          <cell r="V383">
            <v>0</v>
          </cell>
          <cell r="W383">
            <v>0</v>
          </cell>
          <cell r="X383">
            <v>196920.48387096799</v>
          </cell>
          <cell r="Y383">
            <v>50400</v>
          </cell>
        </row>
        <row r="384">
          <cell r="E384">
            <v>0</v>
          </cell>
          <cell r="F384" t="str">
            <v>velita ponsel</v>
          </cell>
          <cell r="G384">
            <v>0</v>
          </cell>
          <cell r="H384">
            <v>0</v>
          </cell>
          <cell r="I384">
            <v>1</v>
          </cell>
          <cell r="J384">
            <v>1</v>
          </cell>
          <cell r="K384">
            <v>0</v>
          </cell>
          <cell r="L384">
            <v>0</v>
          </cell>
          <cell r="M384">
            <v>0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92127.209677418999</v>
          </cell>
          <cell r="Y384">
            <v>50400</v>
          </cell>
        </row>
        <row r="385">
          <cell r="E385">
            <v>0</v>
          </cell>
          <cell r="F385" t="str">
            <v>aidandi cell</v>
          </cell>
          <cell r="G385">
            <v>0</v>
          </cell>
          <cell r="H385">
            <v>0</v>
          </cell>
          <cell r="I385">
            <v>1</v>
          </cell>
          <cell r="J385">
            <v>1</v>
          </cell>
          <cell r="K385">
            <v>0</v>
          </cell>
          <cell r="L385">
            <v>0</v>
          </cell>
          <cell r="M385">
            <v>0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1004773.381936589</v>
          </cell>
          <cell r="Y385">
            <v>450400</v>
          </cell>
        </row>
        <row r="386">
          <cell r="E386">
            <v>0</v>
          </cell>
          <cell r="F386" t="str">
            <v>Herul Ponsel</v>
          </cell>
          <cell r="G386">
            <v>0</v>
          </cell>
          <cell r="H386">
            <v>0</v>
          </cell>
          <cell r="I386">
            <v>1</v>
          </cell>
          <cell r="J386">
            <v>1</v>
          </cell>
          <cell r="K386">
            <v>0</v>
          </cell>
          <cell r="L386">
            <v>0</v>
          </cell>
          <cell r="M386">
            <v>0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486372.73387096799</v>
          </cell>
          <cell r="Y386">
            <v>150800</v>
          </cell>
        </row>
        <row r="387">
          <cell r="E387">
            <v>0</v>
          </cell>
          <cell r="F387" t="str">
            <v>Warung Online</v>
          </cell>
          <cell r="G387">
            <v>0</v>
          </cell>
          <cell r="H387">
            <v>0</v>
          </cell>
          <cell r="I387">
            <v>1</v>
          </cell>
          <cell r="J387">
            <v>1</v>
          </cell>
          <cell r="K387">
            <v>0</v>
          </cell>
          <cell r="L387">
            <v>0</v>
          </cell>
          <cell r="M387">
            <v>0</v>
          </cell>
          <cell r="N387">
            <v>0</v>
          </cell>
          <cell r="O387">
            <v>0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99991.5</v>
          </cell>
          <cell r="Y387">
            <v>50400</v>
          </cell>
        </row>
        <row r="388">
          <cell r="E388">
            <v>0</v>
          </cell>
          <cell r="F388" t="str">
            <v>putra ponsel</v>
          </cell>
          <cell r="G388">
            <v>0</v>
          </cell>
          <cell r="H388">
            <v>0</v>
          </cell>
          <cell r="I388">
            <v>0</v>
          </cell>
          <cell r="J388">
            <v>0</v>
          </cell>
          <cell r="K388">
            <v>0</v>
          </cell>
          <cell r="L388">
            <v>0</v>
          </cell>
          <cell r="M388">
            <v>0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</row>
        <row r="389">
          <cell r="E389">
            <v>0</v>
          </cell>
          <cell r="F389" t="str">
            <v>RAYHANUN CELL</v>
          </cell>
          <cell r="G389">
            <v>0</v>
          </cell>
          <cell r="H389">
            <v>0</v>
          </cell>
          <cell r="I389">
            <v>1</v>
          </cell>
          <cell r="J389">
            <v>1</v>
          </cell>
          <cell r="K389">
            <v>0</v>
          </cell>
          <cell r="L389">
            <v>0</v>
          </cell>
          <cell r="M389">
            <v>0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210643.90322580599</v>
          </cell>
          <cell r="Y389">
            <v>400800</v>
          </cell>
        </row>
        <row r="390">
          <cell r="E390">
            <v>0</v>
          </cell>
          <cell r="F390" t="str">
            <v>RIA PONSEL</v>
          </cell>
          <cell r="G390">
            <v>0</v>
          </cell>
          <cell r="H390">
            <v>0</v>
          </cell>
          <cell r="I390">
            <v>1</v>
          </cell>
          <cell r="J390">
            <v>1</v>
          </cell>
          <cell r="K390">
            <v>0</v>
          </cell>
          <cell r="L390">
            <v>0</v>
          </cell>
          <cell r="M390">
            <v>0</v>
          </cell>
          <cell r="N390">
            <v>0</v>
          </cell>
          <cell r="O390">
            <v>0</v>
          </cell>
          <cell r="P390">
            <v>0</v>
          </cell>
          <cell r="Q390">
            <v>0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  <cell r="X390">
            <v>243916.32258064501</v>
          </cell>
          <cell r="Y390">
            <v>100800</v>
          </cell>
        </row>
        <row r="391">
          <cell r="E391">
            <v>0</v>
          </cell>
          <cell r="F391" t="str">
            <v>Lian Ponsel</v>
          </cell>
          <cell r="G391">
            <v>0</v>
          </cell>
          <cell r="H391">
            <v>0</v>
          </cell>
          <cell r="I391">
            <v>1</v>
          </cell>
          <cell r="J391">
            <v>1</v>
          </cell>
          <cell r="K391">
            <v>0</v>
          </cell>
          <cell r="L391">
            <v>0</v>
          </cell>
          <cell r="M391">
            <v>0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215357.20967741901</v>
          </cell>
          <cell r="Y391">
            <v>50400</v>
          </cell>
        </row>
        <row r="392">
          <cell r="E392">
            <v>0</v>
          </cell>
          <cell r="F392" t="str">
            <v>ALFATAH PONSEL</v>
          </cell>
          <cell r="G392">
            <v>0</v>
          </cell>
          <cell r="H392">
            <v>0</v>
          </cell>
          <cell r="I392">
            <v>1</v>
          </cell>
          <cell r="J392">
            <v>1</v>
          </cell>
          <cell r="K392">
            <v>0</v>
          </cell>
          <cell r="L392">
            <v>0</v>
          </cell>
          <cell r="M392">
            <v>0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436776.31528510997</v>
          </cell>
          <cell r="Y392">
            <v>550400</v>
          </cell>
        </row>
        <row r="393">
          <cell r="E393">
            <v>0</v>
          </cell>
          <cell r="F393" t="str">
            <v>SAPWAN CELL</v>
          </cell>
          <cell r="G393">
            <v>0</v>
          </cell>
          <cell r="H393">
            <v>0</v>
          </cell>
          <cell r="I393">
            <v>1</v>
          </cell>
          <cell r="J393">
            <v>1</v>
          </cell>
          <cell r="K393">
            <v>0</v>
          </cell>
          <cell r="L393">
            <v>0</v>
          </cell>
          <cell r="M393">
            <v>0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579649.52254713001</v>
          </cell>
          <cell r="Y393">
            <v>552900</v>
          </cell>
        </row>
        <row r="394">
          <cell r="E394">
            <v>0</v>
          </cell>
          <cell r="F394" t="str">
            <v>sulis ponsel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</row>
        <row r="395">
          <cell r="E395">
            <v>0</v>
          </cell>
          <cell r="F395" t="str">
            <v>Yogi cell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0</v>
          </cell>
          <cell r="M395">
            <v>0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</row>
        <row r="396">
          <cell r="E396">
            <v>0</v>
          </cell>
          <cell r="F396" t="str">
            <v>BAROKAH CELULER</v>
          </cell>
          <cell r="G396">
            <v>0</v>
          </cell>
          <cell r="H396">
            <v>0</v>
          </cell>
          <cell r="I396">
            <v>1</v>
          </cell>
          <cell r="J396">
            <v>1</v>
          </cell>
          <cell r="K396">
            <v>2</v>
          </cell>
          <cell r="L396">
            <v>2</v>
          </cell>
          <cell r="M396">
            <v>0</v>
          </cell>
          <cell r="N396">
            <v>2</v>
          </cell>
          <cell r="O396">
            <v>2</v>
          </cell>
          <cell r="P396">
            <v>0</v>
          </cell>
          <cell r="Q396">
            <v>2</v>
          </cell>
          <cell r="R396">
            <v>2</v>
          </cell>
          <cell r="S396">
            <v>0</v>
          </cell>
          <cell r="T396">
            <v>5</v>
          </cell>
          <cell r="U396">
            <v>0</v>
          </cell>
          <cell r="V396">
            <v>0</v>
          </cell>
          <cell r="W396">
            <v>0</v>
          </cell>
          <cell r="X396">
            <v>1895268.268021801</v>
          </cell>
          <cell r="Y396">
            <v>1552900</v>
          </cell>
        </row>
        <row r="397">
          <cell r="E397">
            <v>0</v>
          </cell>
          <cell r="F397" t="str">
            <v>BALQIS PONSEL</v>
          </cell>
          <cell r="G397">
            <v>0</v>
          </cell>
          <cell r="H397">
            <v>0</v>
          </cell>
          <cell r="I397">
            <v>0</v>
          </cell>
          <cell r="J397">
            <v>0</v>
          </cell>
          <cell r="K397">
            <v>1</v>
          </cell>
          <cell r="L397">
            <v>1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1</v>
          </cell>
          <cell r="U397">
            <v>1</v>
          </cell>
          <cell r="V397">
            <v>0</v>
          </cell>
          <cell r="W397">
            <v>0</v>
          </cell>
          <cell r="X397">
            <v>280589.477458512</v>
          </cell>
          <cell r="Y397">
            <v>300000</v>
          </cell>
        </row>
        <row r="398">
          <cell r="E398">
            <v>0</v>
          </cell>
          <cell r="F398" t="str">
            <v>toko kholison</v>
          </cell>
          <cell r="G398">
            <v>0</v>
          </cell>
          <cell r="H398">
            <v>0</v>
          </cell>
          <cell r="I398">
            <v>1</v>
          </cell>
          <cell r="J398">
            <v>1</v>
          </cell>
          <cell r="K398">
            <v>0</v>
          </cell>
          <cell r="L398">
            <v>0</v>
          </cell>
          <cell r="M398">
            <v>0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4186235.8064516131</v>
          </cell>
          <cell r="Y398">
            <v>3750400</v>
          </cell>
        </row>
        <row r="399">
          <cell r="E399">
            <v>0</v>
          </cell>
          <cell r="F399" t="str">
            <v>Aphone cell</v>
          </cell>
          <cell r="G399">
            <v>0</v>
          </cell>
          <cell r="H399">
            <v>0</v>
          </cell>
          <cell r="I399">
            <v>1</v>
          </cell>
          <cell r="J399">
            <v>1</v>
          </cell>
          <cell r="K399">
            <v>0</v>
          </cell>
          <cell r="L399">
            <v>0</v>
          </cell>
          <cell r="M399">
            <v>0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1599788.7096774189</v>
          </cell>
          <cell r="Y399">
            <v>100800</v>
          </cell>
        </row>
        <row r="400">
          <cell r="E400">
            <v>0</v>
          </cell>
          <cell r="F400" t="str">
            <v>Kheyla ponsel</v>
          </cell>
          <cell r="G400">
            <v>0</v>
          </cell>
          <cell r="H400">
            <v>0</v>
          </cell>
          <cell r="I400">
            <v>1</v>
          </cell>
          <cell r="J400">
            <v>1</v>
          </cell>
          <cell r="K400">
            <v>0</v>
          </cell>
          <cell r="L400">
            <v>0</v>
          </cell>
          <cell r="M400">
            <v>0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8</v>
          </cell>
          <cell r="U400">
            <v>0</v>
          </cell>
          <cell r="V400">
            <v>0</v>
          </cell>
          <cell r="W400">
            <v>0</v>
          </cell>
          <cell r="X400">
            <v>99825</v>
          </cell>
          <cell r="Y400">
            <v>50400</v>
          </cell>
        </row>
        <row r="401">
          <cell r="E401">
            <v>0</v>
          </cell>
          <cell r="F401" t="str">
            <v>Fix ard cell</v>
          </cell>
          <cell r="G401">
            <v>0</v>
          </cell>
          <cell r="H401">
            <v>0</v>
          </cell>
          <cell r="I401">
            <v>1</v>
          </cell>
          <cell r="J401">
            <v>1</v>
          </cell>
          <cell r="K401">
            <v>2</v>
          </cell>
          <cell r="L401">
            <v>2</v>
          </cell>
          <cell r="M401">
            <v>0</v>
          </cell>
          <cell r="N401">
            <v>1</v>
          </cell>
          <cell r="O401">
            <v>1</v>
          </cell>
          <cell r="P401">
            <v>0</v>
          </cell>
          <cell r="Q401">
            <v>1</v>
          </cell>
          <cell r="R401">
            <v>1</v>
          </cell>
          <cell r="S401">
            <v>0</v>
          </cell>
          <cell r="T401">
            <v>1</v>
          </cell>
          <cell r="U401">
            <v>1</v>
          </cell>
          <cell r="V401">
            <v>0</v>
          </cell>
          <cell r="W401">
            <v>0</v>
          </cell>
          <cell r="X401">
            <v>330902.49838709697</v>
          </cell>
          <cell r="Y401">
            <v>350400</v>
          </cell>
        </row>
        <row r="402">
          <cell r="E402">
            <v>0</v>
          </cell>
          <cell r="F402" t="str">
            <v>zava</v>
          </cell>
          <cell r="G402">
            <v>0</v>
          </cell>
          <cell r="H402">
            <v>0</v>
          </cell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</row>
        <row r="403">
          <cell r="E403">
            <v>0</v>
          </cell>
          <cell r="F403" t="str">
            <v>UUL  CELL</v>
          </cell>
          <cell r="G403">
            <v>0</v>
          </cell>
          <cell r="H403">
            <v>0</v>
          </cell>
          <cell r="I403">
            <v>1</v>
          </cell>
          <cell r="J403">
            <v>1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10</v>
          </cell>
          <cell r="U403">
            <v>0</v>
          </cell>
          <cell r="V403">
            <v>0</v>
          </cell>
          <cell r="W403">
            <v>0</v>
          </cell>
          <cell r="X403">
            <v>437068.14516129001</v>
          </cell>
          <cell r="Y403">
            <v>100800</v>
          </cell>
        </row>
        <row r="404">
          <cell r="E404">
            <v>0</v>
          </cell>
          <cell r="F404" t="str">
            <v>toko pak abdul</v>
          </cell>
          <cell r="G404">
            <v>0</v>
          </cell>
          <cell r="H404">
            <v>0</v>
          </cell>
          <cell r="I404">
            <v>1</v>
          </cell>
          <cell r="J404">
            <v>1</v>
          </cell>
          <cell r="K404">
            <v>0</v>
          </cell>
          <cell r="L404">
            <v>0</v>
          </cell>
          <cell r="M404">
            <v>0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>
            <v>0</v>
          </cell>
          <cell r="V404">
            <v>0</v>
          </cell>
          <cell r="W404">
            <v>0</v>
          </cell>
          <cell r="X404">
            <v>101151.61290322601</v>
          </cell>
          <cell r="Y404">
            <v>50400</v>
          </cell>
        </row>
        <row r="405">
          <cell r="E405">
            <v>0</v>
          </cell>
          <cell r="F405" t="str">
            <v>Anggi cell</v>
          </cell>
          <cell r="G405">
            <v>0</v>
          </cell>
          <cell r="H405">
            <v>0</v>
          </cell>
          <cell r="I405">
            <v>0</v>
          </cell>
          <cell r="J405">
            <v>0</v>
          </cell>
          <cell r="K405">
            <v>0</v>
          </cell>
          <cell r="L405">
            <v>0</v>
          </cell>
          <cell r="M405">
            <v>0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>
            <v>0</v>
          </cell>
          <cell r="V405">
            <v>0</v>
          </cell>
          <cell r="W405">
            <v>0</v>
          </cell>
          <cell r="X405">
            <v>0</v>
          </cell>
          <cell r="Y405">
            <v>0</v>
          </cell>
        </row>
        <row r="406">
          <cell r="E406">
            <v>0</v>
          </cell>
          <cell r="F406" t="str">
            <v>toko merry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</row>
        <row r="407">
          <cell r="E407">
            <v>0</v>
          </cell>
          <cell r="F407" t="str">
            <v>OZ PONSEL</v>
          </cell>
          <cell r="G407">
            <v>0</v>
          </cell>
          <cell r="H407">
            <v>0</v>
          </cell>
          <cell r="I407">
            <v>1</v>
          </cell>
          <cell r="J407">
            <v>1</v>
          </cell>
          <cell r="K407">
            <v>0</v>
          </cell>
          <cell r="L407">
            <v>0</v>
          </cell>
          <cell r="M407">
            <v>0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183578.854144021</v>
          </cell>
          <cell r="Y407">
            <v>100800</v>
          </cell>
        </row>
        <row r="408">
          <cell r="E408">
            <v>0</v>
          </cell>
          <cell r="F408" t="str">
            <v>BM CELL</v>
          </cell>
          <cell r="G408">
            <v>0</v>
          </cell>
          <cell r="H408">
            <v>0</v>
          </cell>
          <cell r="I408">
            <v>1</v>
          </cell>
          <cell r="J408">
            <v>1</v>
          </cell>
          <cell r="K408">
            <v>0</v>
          </cell>
          <cell r="L408">
            <v>0</v>
          </cell>
          <cell r="M408">
            <v>0</v>
          </cell>
          <cell r="N408">
            <v>0</v>
          </cell>
          <cell r="O408">
            <v>0</v>
          </cell>
          <cell r="P408">
            <v>0</v>
          </cell>
          <cell r="Q408">
            <v>0</v>
          </cell>
          <cell r="R408">
            <v>0</v>
          </cell>
          <cell r="S408">
            <v>0</v>
          </cell>
          <cell r="T408">
            <v>10</v>
          </cell>
          <cell r="U408">
            <v>0</v>
          </cell>
          <cell r="V408">
            <v>0</v>
          </cell>
          <cell r="W408">
            <v>0</v>
          </cell>
          <cell r="X408">
            <v>114294.153225806</v>
          </cell>
          <cell r="Y408">
            <v>50400</v>
          </cell>
        </row>
        <row r="409">
          <cell r="E409">
            <v>0</v>
          </cell>
          <cell r="F409" t="str">
            <v>SCE_MIM3 SDP</v>
          </cell>
          <cell r="G409">
            <v>0</v>
          </cell>
          <cell r="H409">
            <v>0</v>
          </cell>
          <cell r="I409">
            <v>0</v>
          </cell>
          <cell r="J409">
            <v>0</v>
          </cell>
          <cell r="K409">
            <v>0</v>
          </cell>
          <cell r="L409">
            <v>0</v>
          </cell>
          <cell r="M409">
            <v>0</v>
          </cell>
          <cell r="N409">
            <v>0</v>
          </cell>
          <cell r="O409">
            <v>0</v>
          </cell>
          <cell r="P409">
            <v>0</v>
          </cell>
          <cell r="Q409">
            <v>0</v>
          </cell>
          <cell r="R409">
            <v>0</v>
          </cell>
          <cell r="S409">
            <v>0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</row>
        <row r="410">
          <cell r="E410">
            <v>0</v>
          </cell>
          <cell r="F410" t="str">
            <v>putra ponsel</v>
          </cell>
          <cell r="G410">
            <v>0</v>
          </cell>
          <cell r="H410">
            <v>0</v>
          </cell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0</v>
          </cell>
          <cell r="X410">
            <v>199127.01612903201</v>
          </cell>
          <cell r="Y410">
            <v>0</v>
          </cell>
        </row>
        <row r="411">
          <cell r="E411">
            <v>0</v>
          </cell>
          <cell r="F411" t="str">
            <v>NDY</v>
          </cell>
          <cell r="G411">
            <v>0</v>
          </cell>
          <cell r="H411">
            <v>0</v>
          </cell>
          <cell r="I411">
            <v>1</v>
          </cell>
          <cell r="J411">
            <v>1</v>
          </cell>
          <cell r="K411">
            <v>1</v>
          </cell>
          <cell r="L411">
            <v>1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  <cell r="Q411">
            <v>1</v>
          </cell>
          <cell r="R411">
            <v>1</v>
          </cell>
          <cell r="S411">
            <v>0</v>
          </cell>
          <cell r="T411">
            <v>0</v>
          </cell>
          <cell r="U411">
            <v>0</v>
          </cell>
          <cell r="V411">
            <v>0</v>
          </cell>
          <cell r="W411">
            <v>0</v>
          </cell>
          <cell r="X411">
            <v>8183.859759207</v>
          </cell>
          <cell r="Y411">
            <v>50400</v>
          </cell>
        </row>
        <row r="412">
          <cell r="E412">
            <v>0</v>
          </cell>
          <cell r="F412" t="str">
            <v>positif ponsel</v>
          </cell>
          <cell r="G412">
            <v>0</v>
          </cell>
          <cell r="H412">
            <v>0</v>
          </cell>
          <cell r="I412">
            <v>1</v>
          </cell>
          <cell r="J412">
            <v>1</v>
          </cell>
          <cell r="K412">
            <v>0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0</v>
          </cell>
          <cell r="Q412">
            <v>0</v>
          </cell>
          <cell r="R412">
            <v>0</v>
          </cell>
          <cell r="S412">
            <v>0</v>
          </cell>
          <cell r="T412">
            <v>0</v>
          </cell>
          <cell r="U412">
            <v>0</v>
          </cell>
          <cell r="V412">
            <v>0</v>
          </cell>
          <cell r="W412">
            <v>0</v>
          </cell>
          <cell r="X412">
            <v>4210194.3548387103</v>
          </cell>
          <cell r="Y412">
            <v>3750400</v>
          </cell>
        </row>
        <row r="413">
          <cell r="E413">
            <v>0</v>
          </cell>
          <cell r="F413" t="str">
            <v>778 cell</v>
          </cell>
          <cell r="G413">
            <v>0</v>
          </cell>
          <cell r="H413">
            <v>0</v>
          </cell>
          <cell r="I413">
            <v>1</v>
          </cell>
          <cell r="J413">
            <v>1</v>
          </cell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0</v>
          </cell>
          <cell r="Q413">
            <v>0</v>
          </cell>
          <cell r="R413">
            <v>0</v>
          </cell>
          <cell r="S413">
            <v>0</v>
          </cell>
          <cell r="T413">
            <v>0</v>
          </cell>
          <cell r="U413">
            <v>0</v>
          </cell>
          <cell r="V413">
            <v>0</v>
          </cell>
          <cell r="W413">
            <v>0</v>
          </cell>
          <cell r="X413">
            <v>95000</v>
          </cell>
          <cell r="Y413">
            <v>50400</v>
          </cell>
        </row>
        <row r="414">
          <cell r="E414">
            <v>0</v>
          </cell>
          <cell r="F414" t="str">
            <v>HAdi ponsel</v>
          </cell>
          <cell r="G414">
            <v>0</v>
          </cell>
          <cell r="H414">
            <v>0</v>
          </cell>
          <cell r="I414">
            <v>1</v>
          </cell>
          <cell r="J414">
            <v>1</v>
          </cell>
          <cell r="K414">
            <v>0</v>
          </cell>
          <cell r="L414">
            <v>0</v>
          </cell>
          <cell r="M414">
            <v>0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95000</v>
          </cell>
          <cell r="Y414">
            <v>50400</v>
          </cell>
        </row>
        <row r="415">
          <cell r="E415">
            <v>0</v>
          </cell>
          <cell r="F415" t="str">
            <v>Nurulaini ponsel</v>
          </cell>
          <cell r="G415">
            <v>0</v>
          </cell>
          <cell r="H415">
            <v>0</v>
          </cell>
          <cell r="I415">
            <v>1</v>
          </cell>
          <cell r="J415">
            <v>1</v>
          </cell>
          <cell r="K415">
            <v>0</v>
          </cell>
          <cell r="L415">
            <v>0</v>
          </cell>
          <cell r="M415">
            <v>0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16289548.387096776</v>
          </cell>
          <cell r="Y415">
            <v>50400</v>
          </cell>
        </row>
        <row r="416">
          <cell r="E416">
            <v>0</v>
          </cell>
          <cell r="F416" t="str">
            <v>Azzura ponsel</v>
          </cell>
          <cell r="G416">
            <v>0</v>
          </cell>
          <cell r="H416">
            <v>0</v>
          </cell>
          <cell r="I416">
            <v>1</v>
          </cell>
          <cell r="J416">
            <v>1</v>
          </cell>
          <cell r="K416">
            <v>0</v>
          </cell>
          <cell r="L416">
            <v>0</v>
          </cell>
          <cell r="M416">
            <v>0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0</v>
          </cell>
          <cell r="U416">
            <v>0</v>
          </cell>
          <cell r="V416">
            <v>0</v>
          </cell>
          <cell r="W416">
            <v>0</v>
          </cell>
          <cell r="X416">
            <v>216891.129032258</v>
          </cell>
          <cell r="Y416">
            <v>100800</v>
          </cell>
        </row>
        <row r="417">
          <cell r="E417">
            <v>0</v>
          </cell>
          <cell r="F417" t="str">
            <v>Anaer cell</v>
          </cell>
          <cell r="G417">
            <v>0</v>
          </cell>
          <cell r="H417">
            <v>0</v>
          </cell>
          <cell r="I417">
            <v>0</v>
          </cell>
          <cell r="J417">
            <v>0</v>
          </cell>
          <cell r="K417">
            <v>1</v>
          </cell>
          <cell r="L417">
            <v>1</v>
          </cell>
          <cell r="M417">
            <v>0</v>
          </cell>
          <cell r="N417">
            <v>0</v>
          </cell>
          <cell r="O417">
            <v>0</v>
          </cell>
          <cell r="P417">
            <v>0</v>
          </cell>
          <cell r="Q417">
            <v>0</v>
          </cell>
          <cell r="R417">
            <v>0</v>
          </cell>
          <cell r="S417">
            <v>0</v>
          </cell>
          <cell r="T417">
            <v>0</v>
          </cell>
          <cell r="U417">
            <v>0</v>
          </cell>
          <cell r="V417">
            <v>0</v>
          </cell>
          <cell r="W417">
            <v>0</v>
          </cell>
          <cell r="X417">
            <v>32383.064516129001</v>
          </cell>
          <cell r="Y417">
            <v>0</v>
          </cell>
        </row>
        <row r="418">
          <cell r="E418">
            <v>0</v>
          </cell>
          <cell r="F418" t="str">
            <v>Rumah Ponsel</v>
          </cell>
          <cell r="G418">
            <v>0</v>
          </cell>
          <cell r="H418">
            <v>0</v>
          </cell>
          <cell r="I418">
            <v>0</v>
          </cell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  <cell r="Q418">
            <v>0</v>
          </cell>
          <cell r="R418">
            <v>0</v>
          </cell>
          <cell r="S418">
            <v>0</v>
          </cell>
          <cell r="T418">
            <v>0</v>
          </cell>
          <cell r="U418">
            <v>0</v>
          </cell>
          <cell r="V418">
            <v>0</v>
          </cell>
          <cell r="W418">
            <v>0</v>
          </cell>
          <cell r="X418">
            <v>100000</v>
          </cell>
          <cell r="Y418">
            <v>0</v>
          </cell>
        </row>
        <row r="419">
          <cell r="E419">
            <v>0</v>
          </cell>
          <cell r="F419" t="str">
            <v>Rezeki Ponsel</v>
          </cell>
          <cell r="G419">
            <v>0</v>
          </cell>
          <cell r="H419">
            <v>0</v>
          </cell>
          <cell r="I419">
            <v>1</v>
          </cell>
          <cell r="J419">
            <v>1</v>
          </cell>
          <cell r="K419">
            <v>0</v>
          </cell>
          <cell r="L419">
            <v>0</v>
          </cell>
          <cell r="M419">
            <v>0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41981.790322581001</v>
          </cell>
          <cell r="Y419">
            <v>100800</v>
          </cell>
        </row>
        <row r="420">
          <cell r="E420">
            <v>0</v>
          </cell>
          <cell r="F420" t="str">
            <v>William PONSEL</v>
          </cell>
          <cell r="G420">
            <v>0</v>
          </cell>
          <cell r="H420">
            <v>0</v>
          </cell>
          <cell r="I420">
            <v>1</v>
          </cell>
          <cell r="J420">
            <v>1</v>
          </cell>
          <cell r="K420">
            <v>1</v>
          </cell>
          <cell r="L420">
            <v>1</v>
          </cell>
          <cell r="M420">
            <v>0</v>
          </cell>
          <cell r="N420">
            <v>1</v>
          </cell>
          <cell r="O420">
            <v>1</v>
          </cell>
          <cell r="P420">
            <v>0</v>
          </cell>
          <cell r="Q420">
            <v>1</v>
          </cell>
          <cell r="R420">
            <v>1</v>
          </cell>
          <cell r="S420">
            <v>0</v>
          </cell>
          <cell r="T420">
            <v>0</v>
          </cell>
          <cell r="U420">
            <v>0</v>
          </cell>
          <cell r="V420">
            <v>0</v>
          </cell>
          <cell r="W420">
            <v>0</v>
          </cell>
          <cell r="X420">
            <v>237331.93301699101</v>
          </cell>
          <cell r="Y420">
            <v>300800</v>
          </cell>
        </row>
        <row r="421">
          <cell r="E421">
            <v>0</v>
          </cell>
          <cell r="F421" t="str">
            <v>MM DISC PONSEL</v>
          </cell>
          <cell r="G421">
            <v>0</v>
          </cell>
          <cell r="H421">
            <v>0</v>
          </cell>
          <cell r="I421">
            <v>1</v>
          </cell>
          <cell r="J421">
            <v>1</v>
          </cell>
          <cell r="K421">
            <v>1</v>
          </cell>
          <cell r="L421">
            <v>1</v>
          </cell>
          <cell r="M421">
            <v>0</v>
          </cell>
          <cell r="N421">
            <v>1</v>
          </cell>
          <cell r="O421">
            <v>1</v>
          </cell>
          <cell r="P421">
            <v>0</v>
          </cell>
          <cell r="Q421">
            <v>1</v>
          </cell>
          <cell r="R421">
            <v>1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881236.917741935</v>
          </cell>
          <cell r="Y421">
            <v>50400</v>
          </cell>
        </row>
        <row r="422">
          <cell r="E422">
            <v>0</v>
          </cell>
          <cell r="F422" t="str">
            <v>899 PONSEL</v>
          </cell>
          <cell r="G422">
            <v>0</v>
          </cell>
          <cell r="H422">
            <v>0</v>
          </cell>
          <cell r="I422">
            <v>1</v>
          </cell>
          <cell r="J422">
            <v>1</v>
          </cell>
          <cell r="K422">
            <v>0</v>
          </cell>
          <cell r="L422">
            <v>0</v>
          </cell>
          <cell r="M422">
            <v>0</v>
          </cell>
          <cell r="N422">
            <v>0</v>
          </cell>
          <cell r="O422">
            <v>0</v>
          </cell>
          <cell r="P422">
            <v>0</v>
          </cell>
          <cell r="Q422">
            <v>0</v>
          </cell>
          <cell r="R422">
            <v>0</v>
          </cell>
          <cell r="S422">
            <v>0</v>
          </cell>
          <cell r="T422">
            <v>0</v>
          </cell>
          <cell r="U422">
            <v>0</v>
          </cell>
          <cell r="V422">
            <v>0</v>
          </cell>
          <cell r="W422">
            <v>0</v>
          </cell>
          <cell r="X422">
            <v>188433.37095573201</v>
          </cell>
          <cell r="Y422">
            <v>50400</v>
          </cell>
        </row>
        <row r="423">
          <cell r="E423">
            <v>0</v>
          </cell>
          <cell r="F423" t="str">
            <v>SEAREZ 2</v>
          </cell>
          <cell r="G423">
            <v>0</v>
          </cell>
          <cell r="H423">
            <v>0</v>
          </cell>
          <cell r="I423">
            <v>1</v>
          </cell>
          <cell r="J423">
            <v>1</v>
          </cell>
          <cell r="K423">
            <v>0</v>
          </cell>
          <cell r="L423">
            <v>0</v>
          </cell>
          <cell r="M423">
            <v>0</v>
          </cell>
          <cell r="N423">
            <v>0</v>
          </cell>
          <cell r="O423">
            <v>0</v>
          </cell>
          <cell r="P423">
            <v>0</v>
          </cell>
          <cell r="Q423">
            <v>0</v>
          </cell>
          <cell r="R423">
            <v>0</v>
          </cell>
          <cell r="S423">
            <v>0</v>
          </cell>
          <cell r="T423">
            <v>0</v>
          </cell>
          <cell r="U423">
            <v>0</v>
          </cell>
          <cell r="V423">
            <v>0</v>
          </cell>
          <cell r="W423">
            <v>0</v>
          </cell>
          <cell r="X423">
            <v>52152.5</v>
          </cell>
          <cell r="Y423">
            <v>50400</v>
          </cell>
        </row>
        <row r="424">
          <cell r="E424">
            <v>0</v>
          </cell>
          <cell r="F424" t="str">
            <v>iyan ponsel</v>
          </cell>
          <cell r="G424">
            <v>0</v>
          </cell>
          <cell r="H424">
            <v>0</v>
          </cell>
          <cell r="I424">
            <v>1</v>
          </cell>
          <cell r="J424">
            <v>1</v>
          </cell>
          <cell r="K424">
            <v>0</v>
          </cell>
          <cell r="L424">
            <v>0</v>
          </cell>
          <cell r="M424">
            <v>0</v>
          </cell>
          <cell r="N424">
            <v>0</v>
          </cell>
          <cell r="O424">
            <v>0</v>
          </cell>
          <cell r="P424">
            <v>0</v>
          </cell>
          <cell r="Q424">
            <v>0</v>
          </cell>
          <cell r="R424">
            <v>0</v>
          </cell>
          <cell r="S424">
            <v>0</v>
          </cell>
          <cell r="T424">
            <v>0</v>
          </cell>
          <cell r="U424">
            <v>0</v>
          </cell>
          <cell r="V424">
            <v>0</v>
          </cell>
          <cell r="W424">
            <v>0</v>
          </cell>
          <cell r="X424">
            <v>149304.77419354799</v>
          </cell>
          <cell r="Y424">
            <v>150400</v>
          </cell>
        </row>
        <row r="425">
          <cell r="E425">
            <v>0</v>
          </cell>
          <cell r="F425" t="str">
            <v>IBEL PONSEL</v>
          </cell>
          <cell r="G425">
            <v>0</v>
          </cell>
          <cell r="H425">
            <v>0</v>
          </cell>
          <cell r="I425">
            <v>0</v>
          </cell>
          <cell r="J425">
            <v>0</v>
          </cell>
          <cell r="K425">
            <v>0</v>
          </cell>
          <cell r="L425">
            <v>0</v>
          </cell>
          <cell r="M425">
            <v>0</v>
          </cell>
          <cell r="N425">
            <v>0</v>
          </cell>
          <cell r="O425">
            <v>0</v>
          </cell>
          <cell r="P425">
            <v>0</v>
          </cell>
          <cell r="Q425">
            <v>0</v>
          </cell>
          <cell r="R425">
            <v>0</v>
          </cell>
          <cell r="S425">
            <v>0</v>
          </cell>
          <cell r="T425">
            <v>0</v>
          </cell>
          <cell r="U425">
            <v>0</v>
          </cell>
          <cell r="V425">
            <v>0</v>
          </cell>
          <cell r="W425">
            <v>0</v>
          </cell>
          <cell r="X425">
            <v>0</v>
          </cell>
          <cell r="Y425">
            <v>0</v>
          </cell>
        </row>
        <row r="426">
          <cell r="E426">
            <v>0</v>
          </cell>
          <cell r="F426" t="str">
            <v>SEROJA PONSEL</v>
          </cell>
          <cell r="G426">
            <v>0</v>
          </cell>
          <cell r="H426">
            <v>0</v>
          </cell>
          <cell r="I426">
            <v>1</v>
          </cell>
          <cell r="J426">
            <v>1</v>
          </cell>
          <cell r="K426">
            <v>0</v>
          </cell>
          <cell r="L426">
            <v>0</v>
          </cell>
          <cell r="M426">
            <v>0</v>
          </cell>
          <cell r="N426">
            <v>0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0</v>
          </cell>
          <cell r="T426">
            <v>0</v>
          </cell>
          <cell r="U426">
            <v>0</v>
          </cell>
          <cell r="V426">
            <v>0</v>
          </cell>
          <cell r="W426">
            <v>0</v>
          </cell>
          <cell r="X426">
            <v>15623.732267576001</v>
          </cell>
          <cell r="Y426">
            <v>50400</v>
          </cell>
        </row>
        <row r="427">
          <cell r="E427">
            <v>0</v>
          </cell>
          <cell r="F427" t="str">
            <v>Jaya ponsel</v>
          </cell>
          <cell r="G427">
            <v>0</v>
          </cell>
          <cell r="H427">
            <v>0</v>
          </cell>
          <cell r="I427">
            <v>1</v>
          </cell>
          <cell r="J427">
            <v>1</v>
          </cell>
          <cell r="K427">
            <v>0</v>
          </cell>
          <cell r="L427">
            <v>0</v>
          </cell>
          <cell r="M427">
            <v>0</v>
          </cell>
          <cell r="N427">
            <v>0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0</v>
          </cell>
          <cell r="U427">
            <v>0</v>
          </cell>
          <cell r="V427">
            <v>0</v>
          </cell>
          <cell r="W427">
            <v>0</v>
          </cell>
          <cell r="X427">
            <v>480594.507262083</v>
          </cell>
          <cell r="Y427">
            <v>567200</v>
          </cell>
        </row>
        <row r="428">
          <cell r="E428">
            <v>0</v>
          </cell>
          <cell r="F428" t="str">
            <v>aliang ponsel</v>
          </cell>
          <cell r="G428">
            <v>0</v>
          </cell>
          <cell r="H428">
            <v>0</v>
          </cell>
          <cell r="I428">
            <v>1</v>
          </cell>
          <cell r="J428">
            <v>1</v>
          </cell>
          <cell r="K428">
            <v>1</v>
          </cell>
          <cell r="L428">
            <v>1</v>
          </cell>
          <cell r="M428">
            <v>0</v>
          </cell>
          <cell r="N428">
            <v>1</v>
          </cell>
          <cell r="O428">
            <v>1</v>
          </cell>
          <cell r="P428">
            <v>0</v>
          </cell>
          <cell r="Q428">
            <v>1</v>
          </cell>
          <cell r="R428">
            <v>1</v>
          </cell>
          <cell r="S428">
            <v>0</v>
          </cell>
          <cell r="T428">
            <v>0</v>
          </cell>
          <cell r="U428">
            <v>0</v>
          </cell>
          <cell r="V428">
            <v>0</v>
          </cell>
          <cell r="W428">
            <v>0</v>
          </cell>
          <cell r="X428">
            <v>1985327.8627921629</v>
          </cell>
          <cell r="Y428">
            <v>54000</v>
          </cell>
        </row>
        <row r="429">
          <cell r="E429">
            <v>0</v>
          </cell>
          <cell r="F429" t="str">
            <v>dua bersaudara</v>
          </cell>
          <cell r="G429">
            <v>0</v>
          </cell>
          <cell r="H429">
            <v>0</v>
          </cell>
          <cell r="I429">
            <v>1</v>
          </cell>
          <cell r="J429">
            <v>1</v>
          </cell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O429">
            <v>0</v>
          </cell>
          <cell r="P429">
            <v>0</v>
          </cell>
          <cell r="Q429">
            <v>0</v>
          </cell>
          <cell r="R429">
            <v>0</v>
          </cell>
          <cell r="S429">
            <v>0</v>
          </cell>
          <cell r="T429">
            <v>0</v>
          </cell>
          <cell r="U429">
            <v>0</v>
          </cell>
          <cell r="V429">
            <v>0</v>
          </cell>
          <cell r="W429">
            <v>0</v>
          </cell>
          <cell r="X429">
            <v>39357.427423460998</v>
          </cell>
          <cell r="Y429">
            <v>54000</v>
          </cell>
        </row>
        <row r="430">
          <cell r="E430">
            <v>0</v>
          </cell>
          <cell r="F430" t="str">
            <v>Cahaya Indah</v>
          </cell>
          <cell r="G430">
            <v>0</v>
          </cell>
          <cell r="H430">
            <v>0</v>
          </cell>
          <cell r="I430">
            <v>1</v>
          </cell>
          <cell r="J430">
            <v>1</v>
          </cell>
          <cell r="K430">
            <v>0</v>
          </cell>
          <cell r="L430">
            <v>0</v>
          </cell>
          <cell r="M430">
            <v>0</v>
          </cell>
          <cell r="N430">
            <v>0</v>
          </cell>
          <cell r="O430">
            <v>0</v>
          </cell>
          <cell r="P430">
            <v>0</v>
          </cell>
          <cell r="Q430">
            <v>0</v>
          </cell>
          <cell r="R430">
            <v>0</v>
          </cell>
          <cell r="S430">
            <v>0</v>
          </cell>
          <cell r="T430">
            <v>0</v>
          </cell>
          <cell r="U430">
            <v>0</v>
          </cell>
          <cell r="V430">
            <v>0</v>
          </cell>
          <cell r="W430">
            <v>0</v>
          </cell>
          <cell r="X430">
            <v>218546.171992847</v>
          </cell>
          <cell r="Y430">
            <v>54000</v>
          </cell>
        </row>
        <row r="431">
          <cell r="E431">
            <v>0</v>
          </cell>
          <cell r="F431" t="str">
            <v>QUEEN PONSEL</v>
          </cell>
          <cell r="G431">
            <v>0</v>
          </cell>
          <cell r="H431">
            <v>0</v>
          </cell>
          <cell r="I431">
            <v>1</v>
          </cell>
          <cell r="J431">
            <v>1</v>
          </cell>
          <cell r="K431">
            <v>0</v>
          </cell>
          <cell r="L431">
            <v>0</v>
          </cell>
          <cell r="M431">
            <v>0</v>
          </cell>
          <cell r="N431">
            <v>0</v>
          </cell>
          <cell r="O431">
            <v>0</v>
          </cell>
          <cell r="P431">
            <v>0</v>
          </cell>
          <cell r="Q431">
            <v>0</v>
          </cell>
          <cell r="R431">
            <v>0</v>
          </cell>
          <cell r="S431">
            <v>0</v>
          </cell>
          <cell r="T431">
            <v>0</v>
          </cell>
          <cell r="U431">
            <v>0</v>
          </cell>
          <cell r="V431">
            <v>0</v>
          </cell>
          <cell r="W431">
            <v>0</v>
          </cell>
          <cell r="X431">
            <v>114723.20161290299</v>
          </cell>
          <cell r="Y431">
            <v>54000</v>
          </cell>
        </row>
        <row r="432">
          <cell r="E432">
            <v>0</v>
          </cell>
          <cell r="F432" t="str">
            <v>STARZ PONSEL</v>
          </cell>
          <cell r="G432">
            <v>0</v>
          </cell>
          <cell r="H432">
            <v>0</v>
          </cell>
          <cell r="I432">
            <v>1</v>
          </cell>
          <cell r="J432">
            <v>1</v>
          </cell>
          <cell r="K432">
            <v>3</v>
          </cell>
          <cell r="L432">
            <v>3</v>
          </cell>
          <cell r="M432">
            <v>0</v>
          </cell>
          <cell r="N432">
            <v>2</v>
          </cell>
          <cell r="O432">
            <v>2</v>
          </cell>
          <cell r="P432">
            <v>0</v>
          </cell>
          <cell r="Q432">
            <v>3</v>
          </cell>
          <cell r="R432">
            <v>3</v>
          </cell>
          <cell r="S432">
            <v>0</v>
          </cell>
          <cell r="T432">
            <v>0</v>
          </cell>
          <cell r="U432">
            <v>0</v>
          </cell>
          <cell r="V432">
            <v>0</v>
          </cell>
          <cell r="W432">
            <v>0</v>
          </cell>
          <cell r="X432">
            <v>0</v>
          </cell>
          <cell r="Y432">
            <v>54000</v>
          </cell>
        </row>
        <row r="433">
          <cell r="E433">
            <v>0</v>
          </cell>
          <cell r="F433" t="str">
            <v>GALLERY CELLULAR</v>
          </cell>
          <cell r="G433">
            <v>0</v>
          </cell>
          <cell r="H433">
            <v>0</v>
          </cell>
          <cell r="I433">
            <v>0</v>
          </cell>
          <cell r="J433">
            <v>0</v>
          </cell>
          <cell r="K433">
            <v>0</v>
          </cell>
          <cell r="L433">
            <v>0</v>
          </cell>
          <cell r="M433">
            <v>0</v>
          </cell>
          <cell r="N433">
            <v>0</v>
          </cell>
          <cell r="O433">
            <v>0</v>
          </cell>
          <cell r="P433">
            <v>0</v>
          </cell>
          <cell r="Q433">
            <v>0</v>
          </cell>
          <cell r="R433">
            <v>0</v>
          </cell>
          <cell r="S433">
            <v>0</v>
          </cell>
          <cell r="T433">
            <v>0</v>
          </cell>
          <cell r="U433">
            <v>0</v>
          </cell>
          <cell r="V433">
            <v>0</v>
          </cell>
          <cell r="W433">
            <v>0</v>
          </cell>
          <cell r="X433">
            <v>58592.419354839003</v>
          </cell>
          <cell r="Y433">
            <v>200000</v>
          </cell>
        </row>
        <row r="434">
          <cell r="E434">
            <v>0</v>
          </cell>
          <cell r="F434" t="str">
            <v>MELLY PONSEL</v>
          </cell>
          <cell r="G434">
            <v>0</v>
          </cell>
          <cell r="H434">
            <v>0</v>
          </cell>
          <cell r="I434">
            <v>1</v>
          </cell>
          <cell r="J434">
            <v>1</v>
          </cell>
          <cell r="K434">
            <v>0</v>
          </cell>
          <cell r="L434">
            <v>0</v>
          </cell>
          <cell r="M434">
            <v>0</v>
          </cell>
          <cell r="N434">
            <v>0</v>
          </cell>
          <cell r="O434">
            <v>0</v>
          </cell>
          <cell r="P434">
            <v>0</v>
          </cell>
          <cell r="Q434">
            <v>0</v>
          </cell>
          <cell r="R434">
            <v>0</v>
          </cell>
          <cell r="S434">
            <v>0</v>
          </cell>
          <cell r="T434">
            <v>0</v>
          </cell>
          <cell r="U434">
            <v>0</v>
          </cell>
          <cell r="V434">
            <v>0</v>
          </cell>
          <cell r="W434">
            <v>0</v>
          </cell>
          <cell r="X434">
            <v>69184.734920813004</v>
          </cell>
          <cell r="Y434">
            <v>54000</v>
          </cell>
        </row>
        <row r="435">
          <cell r="E435">
            <v>0</v>
          </cell>
          <cell r="F435" t="str">
            <v>AT - Taisir Ponsel</v>
          </cell>
          <cell r="G435">
            <v>0</v>
          </cell>
          <cell r="H435">
            <v>0</v>
          </cell>
          <cell r="I435">
            <v>0</v>
          </cell>
          <cell r="J435">
            <v>0</v>
          </cell>
          <cell r="K435">
            <v>0</v>
          </cell>
          <cell r="L435">
            <v>0</v>
          </cell>
          <cell r="M435">
            <v>0</v>
          </cell>
          <cell r="N435">
            <v>0</v>
          </cell>
          <cell r="O435">
            <v>0</v>
          </cell>
          <cell r="P435">
            <v>0</v>
          </cell>
          <cell r="Q435">
            <v>0</v>
          </cell>
          <cell r="R435">
            <v>0</v>
          </cell>
          <cell r="S435">
            <v>0</v>
          </cell>
          <cell r="T435">
            <v>0</v>
          </cell>
          <cell r="U435">
            <v>0</v>
          </cell>
          <cell r="V435">
            <v>0</v>
          </cell>
          <cell r="W435">
            <v>0</v>
          </cell>
          <cell r="X435">
            <v>662936.42161290301</v>
          </cell>
          <cell r="Y435">
            <v>0</v>
          </cell>
        </row>
        <row r="436">
          <cell r="E436">
            <v>0</v>
          </cell>
          <cell r="F436" t="str">
            <v>Tony Ponsel</v>
          </cell>
          <cell r="G436">
            <v>0</v>
          </cell>
          <cell r="H436">
            <v>0</v>
          </cell>
          <cell r="I436">
            <v>1</v>
          </cell>
          <cell r="J436">
            <v>1</v>
          </cell>
          <cell r="K436">
            <v>0</v>
          </cell>
          <cell r="L436">
            <v>0</v>
          </cell>
          <cell r="M436">
            <v>0</v>
          </cell>
          <cell r="N436">
            <v>0</v>
          </cell>
          <cell r="O436">
            <v>0</v>
          </cell>
          <cell r="P436">
            <v>0</v>
          </cell>
          <cell r="Q436">
            <v>0</v>
          </cell>
          <cell r="R436">
            <v>0</v>
          </cell>
          <cell r="S436">
            <v>0</v>
          </cell>
          <cell r="T436">
            <v>0</v>
          </cell>
          <cell r="U436">
            <v>0</v>
          </cell>
          <cell r="V436">
            <v>0</v>
          </cell>
          <cell r="W436">
            <v>0</v>
          </cell>
          <cell r="X436">
            <v>430860.90322580701</v>
          </cell>
          <cell r="Y436">
            <v>54000</v>
          </cell>
        </row>
        <row r="437">
          <cell r="E437">
            <v>0</v>
          </cell>
          <cell r="F437" t="str">
            <v>SUSI Celluler</v>
          </cell>
          <cell r="G437">
            <v>0</v>
          </cell>
          <cell r="H437">
            <v>0</v>
          </cell>
          <cell r="I437">
            <v>0</v>
          </cell>
          <cell r="J437">
            <v>0</v>
          </cell>
          <cell r="K437">
            <v>0</v>
          </cell>
          <cell r="L437">
            <v>0</v>
          </cell>
          <cell r="M437">
            <v>0</v>
          </cell>
          <cell r="N437">
            <v>0</v>
          </cell>
          <cell r="O437">
            <v>0</v>
          </cell>
          <cell r="P437">
            <v>0</v>
          </cell>
          <cell r="Q437">
            <v>0</v>
          </cell>
          <cell r="R437">
            <v>0</v>
          </cell>
          <cell r="S437">
            <v>0</v>
          </cell>
          <cell r="T437">
            <v>5</v>
          </cell>
          <cell r="U437">
            <v>0</v>
          </cell>
          <cell r="V437">
            <v>0</v>
          </cell>
          <cell r="W437">
            <v>0</v>
          </cell>
          <cell r="X437">
            <v>0</v>
          </cell>
          <cell r="Y437">
            <v>0</v>
          </cell>
        </row>
        <row r="438">
          <cell r="E438">
            <v>0</v>
          </cell>
          <cell r="F438" t="str">
            <v>Dhifa Jaya</v>
          </cell>
          <cell r="G438">
            <v>0</v>
          </cell>
          <cell r="H438">
            <v>0</v>
          </cell>
          <cell r="I438">
            <v>1</v>
          </cell>
          <cell r="J438">
            <v>1</v>
          </cell>
          <cell r="K438">
            <v>0</v>
          </cell>
          <cell r="L438">
            <v>0</v>
          </cell>
          <cell r="M438">
            <v>0</v>
          </cell>
          <cell r="N438">
            <v>0</v>
          </cell>
          <cell r="O438">
            <v>0</v>
          </cell>
          <cell r="P438">
            <v>0</v>
          </cell>
          <cell r="Q438">
            <v>0</v>
          </cell>
          <cell r="R438">
            <v>0</v>
          </cell>
          <cell r="S438">
            <v>0</v>
          </cell>
          <cell r="T438">
            <v>0</v>
          </cell>
          <cell r="U438">
            <v>0</v>
          </cell>
          <cell r="V438">
            <v>0</v>
          </cell>
          <cell r="W438">
            <v>0</v>
          </cell>
          <cell r="X438">
            <v>652484.71774193598</v>
          </cell>
          <cell r="Y438">
            <v>54000</v>
          </cell>
        </row>
        <row r="439">
          <cell r="E439">
            <v>0</v>
          </cell>
          <cell r="F439" t="str">
            <v>MITRA JAYA</v>
          </cell>
          <cell r="G439">
            <v>0</v>
          </cell>
          <cell r="H439">
            <v>0</v>
          </cell>
          <cell r="I439">
            <v>1</v>
          </cell>
          <cell r="J439">
            <v>1</v>
          </cell>
          <cell r="K439">
            <v>1</v>
          </cell>
          <cell r="L439">
            <v>1</v>
          </cell>
          <cell r="M439">
            <v>0</v>
          </cell>
          <cell r="N439">
            <v>1</v>
          </cell>
          <cell r="O439">
            <v>1</v>
          </cell>
          <cell r="P439">
            <v>0</v>
          </cell>
          <cell r="Q439">
            <v>1</v>
          </cell>
          <cell r="R439">
            <v>1</v>
          </cell>
          <cell r="S439">
            <v>0</v>
          </cell>
          <cell r="T439">
            <v>0</v>
          </cell>
          <cell r="U439">
            <v>0</v>
          </cell>
          <cell r="V439">
            <v>0</v>
          </cell>
          <cell r="W439">
            <v>0</v>
          </cell>
          <cell r="X439">
            <v>314685.17741935502</v>
          </cell>
          <cell r="Y439">
            <v>54000</v>
          </cell>
        </row>
        <row r="440">
          <cell r="E440">
            <v>0</v>
          </cell>
          <cell r="F440" t="str">
            <v>AIMAN PONSEL</v>
          </cell>
          <cell r="G440">
            <v>0</v>
          </cell>
          <cell r="H440">
            <v>0</v>
          </cell>
          <cell r="I440">
            <v>0</v>
          </cell>
          <cell r="J440">
            <v>0</v>
          </cell>
          <cell r="K440">
            <v>0</v>
          </cell>
          <cell r="L440">
            <v>0</v>
          </cell>
          <cell r="M440">
            <v>0</v>
          </cell>
          <cell r="N440">
            <v>0</v>
          </cell>
          <cell r="O440">
            <v>0</v>
          </cell>
          <cell r="P440">
            <v>0</v>
          </cell>
          <cell r="Q440">
            <v>0</v>
          </cell>
          <cell r="R440">
            <v>0</v>
          </cell>
          <cell r="S440">
            <v>0</v>
          </cell>
          <cell r="T440">
            <v>0</v>
          </cell>
          <cell r="U440">
            <v>0</v>
          </cell>
          <cell r="V440">
            <v>0</v>
          </cell>
          <cell r="W440">
            <v>0</v>
          </cell>
          <cell r="X440">
            <v>0</v>
          </cell>
          <cell r="Y440">
            <v>0</v>
          </cell>
        </row>
        <row r="441">
          <cell r="E441">
            <v>0</v>
          </cell>
          <cell r="F441" t="str">
            <v>Rio ponsel</v>
          </cell>
          <cell r="G441">
            <v>0</v>
          </cell>
          <cell r="H441">
            <v>0</v>
          </cell>
          <cell r="I441">
            <v>0</v>
          </cell>
          <cell r="J441">
            <v>0</v>
          </cell>
          <cell r="K441">
            <v>0</v>
          </cell>
          <cell r="L441">
            <v>0</v>
          </cell>
          <cell r="M441">
            <v>0</v>
          </cell>
          <cell r="N441">
            <v>0</v>
          </cell>
          <cell r="O441">
            <v>0</v>
          </cell>
          <cell r="P441">
            <v>0</v>
          </cell>
          <cell r="Q441">
            <v>0</v>
          </cell>
          <cell r="R441">
            <v>0</v>
          </cell>
          <cell r="S441">
            <v>0</v>
          </cell>
          <cell r="T441">
            <v>0</v>
          </cell>
          <cell r="U441">
            <v>0</v>
          </cell>
          <cell r="V441">
            <v>0</v>
          </cell>
          <cell r="W441">
            <v>0</v>
          </cell>
          <cell r="X441">
            <v>0</v>
          </cell>
          <cell r="Y441">
            <v>0</v>
          </cell>
        </row>
        <row r="442">
          <cell r="E442">
            <v>0</v>
          </cell>
          <cell r="F442" t="str">
            <v>TOKO ARFAN</v>
          </cell>
          <cell r="G442">
            <v>0</v>
          </cell>
          <cell r="H442">
            <v>0</v>
          </cell>
          <cell r="I442">
            <v>0</v>
          </cell>
          <cell r="J442">
            <v>0</v>
          </cell>
          <cell r="K442">
            <v>0</v>
          </cell>
          <cell r="L442">
            <v>0</v>
          </cell>
          <cell r="M442">
            <v>0</v>
          </cell>
          <cell r="N442">
            <v>0</v>
          </cell>
          <cell r="O442">
            <v>0</v>
          </cell>
          <cell r="P442">
            <v>0</v>
          </cell>
          <cell r="Q442">
            <v>0</v>
          </cell>
          <cell r="R442">
            <v>0</v>
          </cell>
          <cell r="S442">
            <v>0</v>
          </cell>
          <cell r="T442">
            <v>0</v>
          </cell>
          <cell r="U442">
            <v>0</v>
          </cell>
          <cell r="V442">
            <v>0</v>
          </cell>
          <cell r="W442">
            <v>0</v>
          </cell>
          <cell r="X442">
            <v>0</v>
          </cell>
          <cell r="Y442">
            <v>0</v>
          </cell>
        </row>
        <row r="443">
          <cell r="E443">
            <v>0</v>
          </cell>
          <cell r="F443" t="str">
            <v>Shazia Azmi Ponsel</v>
          </cell>
          <cell r="G443">
            <v>0</v>
          </cell>
          <cell r="H443">
            <v>0</v>
          </cell>
          <cell r="I443">
            <v>0</v>
          </cell>
          <cell r="J443">
            <v>0</v>
          </cell>
          <cell r="K443">
            <v>0</v>
          </cell>
          <cell r="L443">
            <v>0</v>
          </cell>
          <cell r="M443">
            <v>0</v>
          </cell>
          <cell r="N443">
            <v>0</v>
          </cell>
          <cell r="O443">
            <v>0</v>
          </cell>
          <cell r="P443">
            <v>0</v>
          </cell>
          <cell r="Q443">
            <v>0</v>
          </cell>
          <cell r="R443">
            <v>0</v>
          </cell>
          <cell r="S443">
            <v>0</v>
          </cell>
          <cell r="T443">
            <v>0</v>
          </cell>
          <cell r="U443">
            <v>0</v>
          </cell>
          <cell r="V443">
            <v>0</v>
          </cell>
          <cell r="W443">
            <v>0</v>
          </cell>
          <cell r="X443">
            <v>6688.5806451609997</v>
          </cell>
          <cell r="Y443">
            <v>0</v>
          </cell>
        </row>
        <row r="444">
          <cell r="E444">
            <v>0</v>
          </cell>
          <cell r="F444" t="str">
            <v>Kak Ana Store</v>
          </cell>
          <cell r="G444">
            <v>0</v>
          </cell>
          <cell r="H444">
            <v>0</v>
          </cell>
          <cell r="I444">
            <v>1</v>
          </cell>
          <cell r="J444">
            <v>1</v>
          </cell>
          <cell r="K444">
            <v>0</v>
          </cell>
          <cell r="L444">
            <v>0</v>
          </cell>
          <cell r="M444">
            <v>0</v>
          </cell>
          <cell r="N444">
            <v>0</v>
          </cell>
          <cell r="O444">
            <v>0</v>
          </cell>
          <cell r="P444">
            <v>0</v>
          </cell>
          <cell r="Q444">
            <v>0</v>
          </cell>
          <cell r="R444">
            <v>0</v>
          </cell>
          <cell r="S444">
            <v>0</v>
          </cell>
          <cell r="T444">
            <v>0</v>
          </cell>
          <cell r="U444">
            <v>0</v>
          </cell>
          <cell r="V444">
            <v>0</v>
          </cell>
          <cell r="W444">
            <v>0</v>
          </cell>
          <cell r="X444">
            <v>103621.45161290299</v>
          </cell>
          <cell r="Y444">
            <v>54000</v>
          </cell>
        </row>
        <row r="445">
          <cell r="E445">
            <v>0</v>
          </cell>
          <cell r="F445" t="str">
            <v>HN CELLULAR</v>
          </cell>
          <cell r="G445">
            <v>0</v>
          </cell>
          <cell r="H445">
            <v>0</v>
          </cell>
          <cell r="I445">
            <v>1</v>
          </cell>
          <cell r="J445">
            <v>1</v>
          </cell>
          <cell r="K445">
            <v>6</v>
          </cell>
          <cell r="L445">
            <v>6</v>
          </cell>
          <cell r="M445">
            <v>0</v>
          </cell>
          <cell r="N445">
            <v>3</v>
          </cell>
          <cell r="O445">
            <v>3</v>
          </cell>
          <cell r="P445">
            <v>0</v>
          </cell>
          <cell r="Q445">
            <v>3</v>
          </cell>
          <cell r="R445">
            <v>3</v>
          </cell>
          <cell r="S445">
            <v>0</v>
          </cell>
          <cell r="T445">
            <v>0</v>
          </cell>
          <cell r="U445">
            <v>0</v>
          </cell>
          <cell r="V445">
            <v>0</v>
          </cell>
          <cell r="W445">
            <v>0</v>
          </cell>
          <cell r="X445">
            <v>476093.629032258</v>
          </cell>
          <cell r="Y445">
            <v>54000</v>
          </cell>
        </row>
        <row r="446">
          <cell r="E446">
            <v>0</v>
          </cell>
          <cell r="F446" t="str">
            <v>Acc ponsel</v>
          </cell>
          <cell r="G446">
            <v>0</v>
          </cell>
          <cell r="H446">
            <v>0</v>
          </cell>
          <cell r="I446">
            <v>1</v>
          </cell>
          <cell r="J446">
            <v>1</v>
          </cell>
          <cell r="K446">
            <v>0</v>
          </cell>
          <cell r="L446">
            <v>0</v>
          </cell>
          <cell r="M446">
            <v>0</v>
          </cell>
          <cell r="N446">
            <v>0</v>
          </cell>
          <cell r="O446">
            <v>0</v>
          </cell>
          <cell r="P446">
            <v>0</v>
          </cell>
          <cell r="Q446">
            <v>0</v>
          </cell>
          <cell r="R446">
            <v>0</v>
          </cell>
          <cell r="S446">
            <v>0</v>
          </cell>
          <cell r="T446">
            <v>0</v>
          </cell>
          <cell r="U446">
            <v>0</v>
          </cell>
          <cell r="V446">
            <v>0</v>
          </cell>
          <cell r="W446">
            <v>0</v>
          </cell>
          <cell r="X446">
            <v>921231.53931050794</v>
          </cell>
          <cell r="Y446">
            <v>54000</v>
          </cell>
        </row>
        <row r="447">
          <cell r="E447">
            <v>0</v>
          </cell>
          <cell r="F447" t="str">
            <v>FFA PONSEL</v>
          </cell>
          <cell r="G447">
            <v>0</v>
          </cell>
          <cell r="H447">
            <v>0</v>
          </cell>
          <cell r="I447">
            <v>1</v>
          </cell>
          <cell r="J447">
            <v>1</v>
          </cell>
          <cell r="K447">
            <v>0</v>
          </cell>
          <cell r="L447">
            <v>0</v>
          </cell>
          <cell r="M447">
            <v>0</v>
          </cell>
          <cell r="N447">
            <v>0</v>
          </cell>
          <cell r="O447">
            <v>0</v>
          </cell>
          <cell r="P447">
            <v>0</v>
          </cell>
          <cell r="Q447">
            <v>0</v>
          </cell>
          <cell r="R447">
            <v>0</v>
          </cell>
          <cell r="S447">
            <v>0</v>
          </cell>
          <cell r="T447">
            <v>0</v>
          </cell>
          <cell r="U447">
            <v>0</v>
          </cell>
          <cell r="V447">
            <v>0</v>
          </cell>
          <cell r="W447">
            <v>0</v>
          </cell>
          <cell r="X447">
            <v>110164.290322581</v>
          </cell>
          <cell r="Y447">
            <v>54000</v>
          </cell>
        </row>
        <row r="448">
          <cell r="E448">
            <v>0</v>
          </cell>
          <cell r="F448" t="str">
            <v>Aliya Cell</v>
          </cell>
          <cell r="G448">
            <v>0</v>
          </cell>
          <cell r="H448">
            <v>0</v>
          </cell>
          <cell r="I448">
            <v>1</v>
          </cell>
          <cell r="J448">
            <v>1</v>
          </cell>
          <cell r="K448">
            <v>0</v>
          </cell>
          <cell r="L448">
            <v>0</v>
          </cell>
          <cell r="M448">
            <v>0</v>
          </cell>
          <cell r="N448">
            <v>0</v>
          </cell>
          <cell r="O448">
            <v>0</v>
          </cell>
          <cell r="P448">
            <v>0</v>
          </cell>
          <cell r="Q448">
            <v>0</v>
          </cell>
          <cell r="R448">
            <v>0</v>
          </cell>
          <cell r="S448">
            <v>0</v>
          </cell>
          <cell r="T448">
            <v>0</v>
          </cell>
          <cell r="U448">
            <v>0</v>
          </cell>
          <cell r="V448">
            <v>0</v>
          </cell>
          <cell r="W448">
            <v>0</v>
          </cell>
          <cell r="X448">
            <v>101895.080645161</v>
          </cell>
          <cell r="Y448">
            <v>54000</v>
          </cell>
        </row>
        <row r="449">
          <cell r="E449">
            <v>0</v>
          </cell>
          <cell r="F449" t="str">
            <v>ZAITUN CELL</v>
          </cell>
          <cell r="G449">
            <v>0</v>
          </cell>
          <cell r="H449">
            <v>0</v>
          </cell>
          <cell r="I449">
            <v>1</v>
          </cell>
          <cell r="J449">
            <v>1</v>
          </cell>
          <cell r="K449">
            <v>0</v>
          </cell>
          <cell r="L449">
            <v>0</v>
          </cell>
          <cell r="M449">
            <v>0</v>
          </cell>
          <cell r="N449">
            <v>0</v>
          </cell>
          <cell r="O449">
            <v>0</v>
          </cell>
          <cell r="P449">
            <v>0</v>
          </cell>
          <cell r="Q449">
            <v>0</v>
          </cell>
          <cell r="R449">
            <v>0</v>
          </cell>
          <cell r="S449">
            <v>0</v>
          </cell>
          <cell r="T449">
            <v>0</v>
          </cell>
          <cell r="U449">
            <v>0</v>
          </cell>
          <cell r="V449">
            <v>0</v>
          </cell>
          <cell r="W449">
            <v>0</v>
          </cell>
          <cell r="X449">
            <v>92740</v>
          </cell>
          <cell r="Y449">
            <v>54000</v>
          </cell>
        </row>
        <row r="450">
          <cell r="E450">
            <v>0</v>
          </cell>
          <cell r="F450" t="str">
            <v>An Nur Cell</v>
          </cell>
          <cell r="G450">
            <v>0</v>
          </cell>
          <cell r="H450">
            <v>0</v>
          </cell>
          <cell r="I450">
            <v>1</v>
          </cell>
          <cell r="J450">
            <v>1</v>
          </cell>
          <cell r="K450">
            <v>1</v>
          </cell>
          <cell r="L450">
            <v>1</v>
          </cell>
          <cell r="M450">
            <v>0</v>
          </cell>
          <cell r="N450">
            <v>1</v>
          </cell>
          <cell r="O450">
            <v>1</v>
          </cell>
          <cell r="P450">
            <v>0</v>
          </cell>
          <cell r="Q450">
            <v>1</v>
          </cell>
          <cell r="R450">
            <v>1</v>
          </cell>
          <cell r="S450">
            <v>0</v>
          </cell>
          <cell r="T450">
            <v>0</v>
          </cell>
          <cell r="U450">
            <v>0</v>
          </cell>
          <cell r="V450">
            <v>0</v>
          </cell>
          <cell r="W450">
            <v>0</v>
          </cell>
          <cell r="X450">
            <v>670847.54838709696</v>
          </cell>
          <cell r="Y450">
            <v>54000</v>
          </cell>
        </row>
        <row r="451">
          <cell r="E451">
            <v>0</v>
          </cell>
          <cell r="F451" t="str">
            <v>Citra Ponsel Kelapa 4</v>
          </cell>
          <cell r="G451">
            <v>0</v>
          </cell>
          <cell r="H451">
            <v>0</v>
          </cell>
          <cell r="I451">
            <v>0</v>
          </cell>
          <cell r="J451">
            <v>0</v>
          </cell>
          <cell r="K451">
            <v>0</v>
          </cell>
          <cell r="L451">
            <v>0</v>
          </cell>
          <cell r="M451">
            <v>0</v>
          </cell>
          <cell r="N451">
            <v>0</v>
          </cell>
          <cell r="O451">
            <v>0</v>
          </cell>
          <cell r="P451">
            <v>0</v>
          </cell>
          <cell r="Q451">
            <v>0</v>
          </cell>
          <cell r="R451">
            <v>0</v>
          </cell>
          <cell r="S451">
            <v>0</v>
          </cell>
          <cell r="T451">
            <v>0</v>
          </cell>
          <cell r="U451">
            <v>0</v>
          </cell>
          <cell r="V451">
            <v>0</v>
          </cell>
          <cell r="W451">
            <v>0</v>
          </cell>
          <cell r="X451">
            <v>0</v>
          </cell>
          <cell r="Y451">
            <v>0</v>
          </cell>
        </row>
        <row r="452">
          <cell r="E452">
            <v>0</v>
          </cell>
          <cell r="F452" t="str">
            <v>RK PONSEL</v>
          </cell>
          <cell r="G452">
            <v>0</v>
          </cell>
          <cell r="H452">
            <v>0</v>
          </cell>
          <cell r="I452">
            <v>1</v>
          </cell>
          <cell r="J452">
            <v>1</v>
          </cell>
          <cell r="K452">
            <v>0</v>
          </cell>
          <cell r="L452">
            <v>0</v>
          </cell>
          <cell r="M452">
            <v>0</v>
          </cell>
          <cell r="N452">
            <v>0</v>
          </cell>
          <cell r="O452">
            <v>0</v>
          </cell>
          <cell r="P452">
            <v>0</v>
          </cell>
          <cell r="Q452">
            <v>0</v>
          </cell>
          <cell r="R452">
            <v>0</v>
          </cell>
          <cell r="S452">
            <v>0</v>
          </cell>
          <cell r="T452">
            <v>0</v>
          </cell>
          <cell r="U452">
            <v>0</v>
          </cell>
          <cell r="V452">
            <v>0</v>
          </cell>
          <cell r="W452">
            <v>0</v>
          </cell>
          <cell r="X452">
            <v>99950</v>
          </cell>
          <cell r="Y452">
            <v>54000</v>
          </cell>
        </row>
        <row r="453">
          <cell r="E453">
            <v>0</v>
          </cell>
          <cell r="F453" t="str">
            <v>NAULI CELL</v>
          </cell>
          <cell r="G453">
            <v>0</v>
          </cell>
          <cell r="H453">
            <v>0</v>
          </cell>
          <cell r="I453">
            <v>0</v>
          </cell>
          <cell r="J453">
            <v>0</v>
          </cell>
          <cell r="K453">
            <v>0</v>
          </cell>
          <cell r="L453">
            <v>0</v>
          </cell>
          <cell r="M453">
            <v>0</v>
          </cell>
          <cell r="N453">
            <v>0</v>
          </cell>
          <cell r="O453">
            <v>0</v>
          </cell>
          <cell r="P453">
            <v>0</v>
          </cell>
          <cell r="Q453">
            <v>0</v>
          </cell>
          <cell r="R453">
            <v>0</v>
          </cell>
          <cell r="S453">
            <v>0</v>
          </cell>
          <cell r="T453">
            <v>7</v>
          </cell>
          <cell r="U453">
            <v>0</v>
          </cell>
          <cell r="V453">
            <v>0</v>
          </cell>
          <cell r="W453">
            <v>0</v>
          </cell>
          <cell r="X453">
            <v>308093.14516129001</v>
          </cell>
          <cell r="Y453">
            <v>300000</v>
          </cell>
        </row>
        <row r="454">
          <cell r="E454">
            <v>0</v>
          </cell>
          <cell r="F454" t="str">
            <v>Mobile 2</v>
          </cell>
          <cell r="G454">
            <v>0</v>
          </cell>
          <cell r="H454">
            <v>0</v>
          </cell>
          <cell r="I454">
            <v>1</v>
          </cell>
          <cell r="J454">
            <v>1</v>
          </cell>
          <cell r="K454">
            <v>1</v>
          </cell>
          <cell r="L454">
            <v>1</v>
          </cell>
          <cell r="M454">
            <v>0</v>
          </cell>
          <cell r="N454">
            <v>1</v>
          </cell>
          <cell r="O454">
            <v>1</v>
          </cell>
          <cell r="P454">
            <v>0</v>
          </cell>
          <cell r="Q454">
            <v>1</v>
          </cell>
          <cell r="R454">
            <v>1</v>
          </cell>
          <cell r="S454">
            <v>0</v>
          </cell>
          <cell r="T454">
            <v>0</v>
          </cell>
          <cell r="U454">
            <v>0</v>
          </cell>
          <cell r="V454">
            <v>0</v>
          </cell>
          <cell r="W454">
            <v>0</v>
          </cell>
          <cell r="X454">
            <v>203601.594551196</v>
          </cell>
          <cell r="Y454">
            <v>54000</v>
          </cell>
        </row>
        <row r="455">
          <cell r="E455">
            <v>0</v>
          </cell>
          <cell r="F455" t="str">
            <v>Shaka cell</v>
          </cell>
          <cell r="G455">
            <v>0</v>
          </cell>
          <cell r="H455">
            <v>0</v>
          </cell>
          <cell r="I455">
            <v>1</v>
          </cell>
          <cell r="J455">
            <v>1</v>
          </cell>
          <cell r="K455">
            <v>0</v>
          </cell>
          <cell r="L455">
            <v>0</v>
          </cell>
          <cell r="M455">
            <v>0</v>
          </cell>
          <cell r="N455">
            <v>0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0</v>
          </cell>
          <cell r="U455">
            <v>0</v>
          </cell>
          <cell r="V455">
            <v>0</v>
          </cell>
          <cell r="W455">
            <v>0</v>
          </cell>
          <cell r="X455">
            <v>70012.935483870999</v>
          </cell>
          <cell r="Y455">
            <v>54000</v>
          </cell>
        </row>
        <row r="456">
          <cell r="E456">
            <v>0</v>
          </cell>
          <cell r="F456" t="str">
            <v>wawan ponsel</v>
          </cell>
          <cell r="G456">
            <v>0</v>
          </cell>
          <cell r="H456">
            <v>0</v>
          </cell>
          <cell r="I456">
            <v>1</v>
          </cell>
          <cell r="J456">
            <v>1</v>
          </cell>
          <cell r="K456">
            <v>0</v>
          </cell>
          <cell r="L456">
            <v>0</v>
          </cell>
          <cell r="M456">
            <v>0</v>
          </cell>
          <cell r="N456">
            <v>0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0</v>
          </cell>
          <cell r="U456">
            <v>0</v>
          </cell>
          <cell r="V456">
            <v>0</v>
          </cell>
          <cell r="W456">
            <v>0</v>
          </cell>
          <cell r="X456">
            <v>496016.035328247</v>
          </cell>
          <cell r="Y456">
            <v>354000</v>
          </cell>
        </row>
        <row r="457">
          <cell r="E457">
            <v>0</v>
          </cell>
          <cell r="F457" t="str">
            <v>Glory Cellular</v>
          </cell>
          <cell r="G457">
            <v>0</v>
          </cell>
          <cell r="H457">
            <v>0</v>
          </cell>
          <cell r="I457">
            <v>1</v>
          </cell>
          <cell r="J457">
            <v>1</v>
          </cell>
          <cell r="K457">
            <v>0</v>
          </cell>
          <cell r="L457">
            <v>0</v>
          </cell>
          <cell r="M457">
            <v>0</v>
          </cell>
          <cell r="N457">
            <v>0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0</v>
          </cell>
          <cell r="U457">
            <v>0</v>
          </cell>
          <cell r="V457">
            <v>0</v>
          </cell>
          <cell r="W457">
            <v>0</v>
          </cell>
          <cell r="X457">
            <v>103473.129032258</v>
          </cell>
          <cell r="Y457">
            <v>54000</v>
          </cell>
        </row>
        <row r="458">
          <cell r="E458">
            <v>0</v>
          </cell>
          <cell r="F458" t="str">
            <v>toko bang am</v>
          </cell>
          <cell r="G458">
            <v>0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0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0</v>
          </cell>
          <cell r="U458">
            <v>0</v>
          </cell>
          <cell r="V458">
            <v>0</v>
          </cell>
          <cell r="W458">
            <v>0</v>
          </cell>
          <cell r="X458">
            <v>380739.77419354802</v>
          </cell>
          <cell r="Y458">
            <v>0</v>
          </cell>
        </row>
        <row r="459">
          <cell r="E459">
            <v>0</v>
          </cell>
          <cell r="F459" t="str">
            <v>Adi ponsel</v>
          </cell>
          <cell r="G459">
            <v>0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0</v>
          </cell>
          <cell r="M459">
            <v>0</v>
          </cell>
          <cell r="N459">
            <v>0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0</v>
          </cell>
          <cell r="U459">
            <v>0</v>
          </cell>
          <cell r="V459">
            <v>0</v>
          </cell>
          <cell r="W459">
            <v>0</v>
          </cell>
          <cell r="X459">
            <v>9852.7437359409996</v>
          </cell>
          <cell r="Y459">
            <v>0</v>
          </cell>
        </row>
        <row r="460">
          <cell r="E460">
            <v>0</v>
          </cell>
          <cell r="F460" t="str">
            <v>Happy cellular</v>
          </cell>
          <cell r="G460">
            <v>0</v>
          </cell>
          <cell r="H460">
            <v>0</v>
          </cell>
          <cell r="I460">
            <v>1</v>
          </cell>
          <cell r="J460">
            <v>1</v>
          </cell>
          <cell r="K460">
            <v>3</v>
          </cell>
          <cell r="L460">
            <v>3</v>
          </cell>
          <cell r="M460">
            <v>0</v>
          </cell>
          <cell r="N460">
            <v>1</v>
          </cell>
          <cell r="O460">
            <v>1</v>
          </cell>
          <cell r="P460">
            <v>0</v>
          </cell>
          <cell r="Q460">
            <v>1</v>
          </cell>
          <cell r="R460">
            <v>1</v>
          </cell>
          <cell r="S460">
            <v>0</v>
          </cell>
          <cell r="T460">
            <v>3</v>
          </cell>
          <cell r="U460">
            <v>1</v>
          </cell>
          <cell r="V460">
            <v>0</v>
          </cell>
          <cell r="W460">
            <v>0</v>
          </cell>
          <cell r="X460">
            <v>388598.37091035797</v>
          </cell>
          <cell r="Y460">
            <v>108000</v>
          </cell>
        </row>
        <row r="461">
          <cell r="E461">
            <v>0</v>
          </cell>
          <cell r="F461" t="str">
            <v>KK Media</v>
          </cell>
          <cell r="G461">
            <v>0</v>
          </cell>
          <cell r="H461">
            <v>0</v>
          </cell>
          <cell r="I461">
            <v>1</v>
          </cell>
          <cell r="J461">
            <v>1</v>
          </cell>
          <cell r="K461">
            <v>0</v>
          </cell>
          <cell r="L461">
            <v>0</v>
          </cell>
          <cell r="M461">
            <v>0</v>
          </cell>
          <cell r="N461">
            <v>0</v>
          </cell>
          <cell r="O461">
            <v>0</v>
          </cell>
          <cell r="P461">
            <v>0</v>
          </cell>
          <cell r="Q461">
            <v>0</v>
          </cell>
          <cell r="R461">
            <v>0</v>
          </cell>
          <cell r="S461">
            <v>0</v>
          </cell>
          <cell r="T461">
            <v>0</v>
          </cell>
          <cell r="U461">
            <v>0</v>
          </cell>
          <cell r="V461">
            <v>0</v>
          </cell>
          <cell r="W461">
            <v>0</v>
          </cell>
          <cell r="X461">
            <v>17991.966822154001</v>
          </cell>
          <cell r="Y461">
            <v>208000</v>
          </cell>
        </row>
        <row r="462">
          <cell r="E462">
            <v>0</v>
          </cell>
          <cell r="F462" t="str">
            <v>Selembe Ponsel</v>
          </cell>
          <cell r="G462">
            <v>0</v>
          </cell>
          <cell r="H462">
            <v>0</v>
          </cell>
          <cell r="I462">
            <v>1</v>
          </cell>
          <cell r="J462">
            <v>1</v>
          </cell>
          <cell r="K462">
            <v>0</v>
          </cell>
          <cell r="L462">
            <v>0</v>
          </cell>
          <cell r="M462">
            <v>0</v>
          </cell>
          <cell r="N462">
            <v>0</v>
          </cell>
          <cell r="O462">
            <v>0</v>
          </cell>
          <cell r="P462">
            <v>0</v>
          </cell>
          <cell r="Q462">
            <v>0</v>
          </cell>
          <cell r="R462">
            <v>0</v>
          </cell>
          <cell r="S462">
            <v>0</v>
          </cell>
          <cell r="T462">
            <v>0</v>
          </cell>
          <cell r="U462">
            <v>0</v>
          </cell>
          <cell r="V462">
            <v>0</v>
          </cell>
          <cell r="W462">
            <v>0</v>
          </cell>
          <cell r="X462">
            <v>494369.35483870999</v>
          </cell>
          <cell r="Y462">
            <v>54000</v>
          </cell>
        </row>
        <row r="463">
          <cell r="E463">
            <v>0</v>
          </cell>
          <cell r="F463" t="str">
            <v>Warung nazal</v>
          </cell>
          <cell r="G463">
            <v>0</v>
          </cell>
          <cell r="H463">
            <v>0</v>
          </cell>
          <cell r="I463">
            <v>0</v>
          </cell>
          <cell r="J463">
            <v>0</v>
          </cell>
          <cell r="K463">
            <v>0</v>
          </cell>
          <cell r="L463">
            <v>0</v>
          </cell>
          <cell r="M463">
            <v>0</v>
          </cell>
          <cell r="N463">
            <v>0</v>
          </cell>
          <cell r="O463">
            <v>0</v>
          </cell>
          <cell r="P463">
            <v>0</v>
          </cell>
          <cell r="Q463">
            <v>0</v>
          </cell>
          <cell r="R463">
            <v>0</v>
          </cell>
          <cell r="S463">
            <v>0</v>
          </cell>
          <cell r="T463">
            <v>0</v>
          </cell>
          <cell r="U463">
            <v>0</v>
          </cell>
          <cell r="V463">
            <v>0</v>
          </cell>
          <cell r="W463">
            <v>0</v>
          </cell>
          <cell r="X463">
            <v>0</v>
          </cell>
          <cell r="Y463">
            <v>0</v>
          </cell>
        </row>
        <row r="464">
          <cell r="E464">
            <v>0</v>
          </cell>
          <cell r="F464" t="str">
            <v>D konter</v>
          </cell>
          <cell r="G464">
            <v>0</v>
          </cell>
          <cell r="H464">
            <v>0</v>
          </cell>
          <cell r="I464">
            <v>1</v>
          </cell>
          <cell r="J464">
            <v>1</v>
          </cell>
          <cell r="K464">
            <v>0</v>
          </cell>
          <cell r="L464">
            <v>0</v>
          </cell>
          <cell r="M464">
            <v>0</v>
          </cell>
          <cell r="N464">
            <v>0</v>
          </cell>
          <cell r="O464">
            <v>0</v>
          </cell>
          <cell r="P464">
            <v>0</v>
          </cell>
          <cell r="Q464">
            <v>0</v>
          </cell>
          <cell r="R464">
            <v>0</v>
          </cell>
          <cell r="S464">
            <v>0</v>
          </cell>
          <cell r="T464">
            <v>0</v>
          </cell>
          <cell r="U464">
            <v>0</v>
          </cell>
          <cell r="V464">
            <v>0</v>
          </cell>
          <cell r="W464">
            <v>350000</v>
          </cell>
          <cell r="X464">
            <v>342132.25806451601</v>
          </cell>
          <cell r="Y464">
            <v>404000</v>
          </cell>
        </row>
        <row r="465">
          <cell r="E465">
            <v>0</v>
          </cell>
          <cell r="F465" t="str">
            <v>LUCKY CELL</v>
          </cell>
          <cell r="G465">
            <v>0</v>
          </cell>
          <cell r="H465">
            <v>0</v>
          </cell>
          <cell r="I465">
            <v>1</v>
          </cell>
          <cell r="J465">
            <v>1</v>
          </cell>
          <cell r="K465">
            <v>2</v>
          </cell>
          <cell r="L465">
            <v>2</v>
          </cell>
          <cell r="M465">
            <v>0</v>
          </cell>
          <cell r="N465">
            <v>1</v>
          </cell>
          <cell r="O465">
            <v>1</v>
          </cell>
          <cell r="P465">
            <v>0</v>
          </cell>
          <cell r="Q465">
            <v>1</v>
          </cell>
          <cell r="R465">
            <v>1</v>
          </cell>
          <cell r="S465">
            <v>0</v>
          </cell>
          <cell r="T465">
            <v>2</v>
          </cell>
          <cell r="U465">
            <v>0</v>
          </cell>
          <cell r="V465">
            <v>0</v>
          </cell>
          <cell r="W465">
            <v>0</v>
          </cell>
          <cell r="X465">
            <v>218284.73548387099</v>
          </cell>
          <cell r="Y465">
            <v>54000</v>
          </cell>
        </row>
        <row r="466">
          <cell r="E466">
            <v>0</v>
          </cell>
          <cell r="F466" t="str">
            <v>ZONE CELL</v>
          </cell>
          <cell r="G466">
            <v>0</v>
          </cell>
          <cell r="H466">
            <v>0</v>
          </cell>
          <cell r="I466">
            <v>1</v>
          </cell>
          <cell r="J466">
            <v>1</v>
          </cell>
          <cell r="K466">
            <v>0</v>
          </cell>
          <cell r="L466">
            <v>0</v>
          </cell>
          <cell r="M466">
            <v>0</v>
          </cell>
          <cell r="N466">
            <v>0</v>
          </cell>
          <cell r="O466">
            <v>0</v>
          </cell>
          <cell r="P466">
            <v>0</v>
          </cell>
          <cell r="Q466">
            <v>0</v>
          </cell>
          <cell r="R466">
            <v>0</v>
          </cell>
          <cell r="S466">
            <v>0</v>
          </cell>
          <cell r="T466">
            <v>0</v>
          </cell>
          <cell r="U466">
            <v>0</v>
          </cell>
          <cell r="V466">
            <v>0</v>
          </cell>
          <cell r="W466">
            <v>0</v>
          </cell>
          <cell r="X466">
            <v>4290489.9193548383</v>
          </cell>
          <cell r="Y466">
            <v>3754000</v>
          </cell>
        </row>
        <row r="467">
          <cell r="E467">
            <v>0</v>
          </cell>
          <cell r="F467" t="str">
            <v>ELIANA</v>
          </cell>
          <cell r="G467">
            <v>0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0</v>
          </cell>
          <cell r="M467">
            <v>0</v>
          </cell>
          <cell r="N467">
            <v>0</v>
          </cell>
          <cell r="O467">
            <v>0</v>
          </cell>
          <cell r="P467">
            <v>0</v>
          </cell>
          <cell r="Q467">
            <v>0</v>
          </cell>
          <cell r="R467">
            <v>0</v>
          </cell>
          <cell r="S467">
            <v>0</v>
          </cell>
          <cell r="T467">
            <v>0</v>
          </cell>
          <cell r="U467">
            <v>0</v>
          </cell>
          <cell r="V467">
            <v>0</v>
          </cell>
          <cell r="W467">
            <v>0</v>
          </cell>
          <cell r="X467">
            <v>274651.61290322599</v>
          </cell>
          <cell r="Y467">
            <v>0</v>
          </cell>
        </row>
        <row r="468">
          <cell r="E468">
            <v>0</v>
          </cell>
          <cell r="F468" t="str">
            <v>SAI PONSEL</v>
          </cell>
          <cell r="G468">
            <v>0</v>
          </cell>
          <cell r="H468">
            <v>0</v>
          </cell>
          <cell r="I468">
            <v>1</v>
          </cell>
          <cell r="J468">
            <v>1</v>
          </cell>
          <cell r="K468">
            <v>0</v>
          </cell>
          <cell r="L468">
            <v>0</v>
          </cell>
          <cell r="M468">
            <v>0</v>
          </cell>
          <cell r="N468">
            <v>0</v>
          </cell>
          <cell r="O468">
            <v>0</v>
          </cell>
          <cell r="P468">
            <v>0</v>
          </cell>
          <cell r="Q468">
            <v>0</v>
          </cell>
          <cell r="R468">
            <v>0</v>
          </cell>
          <cell r="S468">
            <v>0</v>
          </cell>
          <cell r="T468">
            <v>0</v>
          </cell>
          <cell r="U468">
            <v>0</v>
          </cell>
          <cell r="V468">
            <v>0</v>
          </cell>
          <cell r="W468">
            <v>0</v>
          </cell>
          <cell r="X468">
            <v>100000</v>
          </cell>
          <cell r="Y468">
            <v>54000</v>
          </cell>
        </row>
        <row r="469">
          <cell r="E469">
            <v>0</v>
          </cell>
          <cell r="F469" t="str">
            <v>toko wulan</v>
          </cell>
          <cell r="G469">
            <v>0</v>
          </cell>
          <cell r="H469">
            <v>0</v>
          </cell>
          <cell r="I469">
            <v>0</v>
          </cell>
          <cell r="J469">
            <v>0</v>
          </cell>
          <cell r="K469">
            <v>0</v>
          </cell>
          <cell r="L469">
            <v>0</v>
          </cell>
          <cell r="M469">
            <v>0</v>
          </cell>
          <cell r="N469">
            <v>0</v>
          </cell>
          <cell r="O469">
            <v>0</v>
          </cell>
          <cell r="P469">
            <v>0</v>
          </cell>
          <cell r="Q469">
            <v>0</v>
          </cell>
          <cell r="R469">
            <v>0</v>
          </cell>
          <cell r="S469">
            <v>0</v>
          </cell>
          <cell r="T469">
            <v>10</v>
          </cell>
          <cell r="U469">
            <v>0</v>
          </cell>
          <cell r="V469">
            <v>0</v>
          </cell>
          <cell r="W469">
            <v>0</v>
          </cell>
          <cell r="X469">
            <v>159564.51612903201</v>
          </cell>
          <cell r="Y469">
            <v>0</v>
          </cell>
        </row>
        <row r="470">
          <cell r="E470">
            <v>0</v>
          </cell>
          <cell r="F470" t="str">
            <v>Asri ponsel</v>
          </cell>
          <cell r="G470">
            <v>0</v>
          </cell>
          <cell r="H470">
            <v>0</v>
          </cell>
          <cell r="I470">
            <v>0</v>
          </cell>
          <cell r="J470">
            <v>0</v>
          </cell>
          <cell r="K470">
            <v>0</v>
          </cell>
          <cell r="L470">
            <v>0</v>
          </cell>
          <cell r="M470">
            <v>0</v>
          </cell>
          <cell r="N470">
            <v>0</v>
          </cell>
          <cell r="O470">
            <v>0</v>
          </cell>
          <cell r="P470">
            <v>0</v>
          </cell>
          <cell r="Q470">
            <v>0</v>
          </cell>
          <cell r="R470">
            <v>0</v>
          </cell>
          <cell r="S470">
            <v>0</v>
          </cell>
          <cell r="T470">
            <v>0</v>
          </cell>
          <cell r="U470">
            <v>0</v>
          </cell>
          <cell r="V470">
            <v>0</v>
          </cell>
          <cell r="W470">
            <v>0</v>
          </cell>
          <cell r="X470">
            <v>154193.54838709699</v>
          </cell>
          <cell r="Y470">
            <v>0</v>
          </cell>
        </row>
        <row r="471">
          <cell r="E471">
            <v>0</v>
          </cell>
          <cell r="F471" t="str">
            <v>Alzam store</v>
          </cell>
          <cell r="G471">
            <v>0</v>
          </cell>
          <cell r="H471">
            <v>0</v>
          </cell>
          <cell r="I471">
            <v>0</v>
          </cell>
          <cell r="J471">
            <v>0</v>
          </cell>
          <cell r="K471">
            <v>0</v>
          </cell>
          <cell r="L471">
            <v>0</v>
          </cell>
          <cell r="M471">
            <v>0</v>
          </cell>
          <cell r="N471">
            <v>0</v>
          </cell>
          <cell r="O471">
            <v>0</v>
          </cell>
          <cell r="P471">
            <v>0</v>
          </cell>
          <cell r="Q471">
            <v>0</v>
          </cell>
          <cell r="R471">
            <v>0</v>
          </cell>
          <cell r="S471">
            <v>0</v>
          </cell>
          <cell r="T471">
            <v>0</v>
          </cell>
          <cell r="U471">
            <v>0</v>
          </cell>
          <cell r="V471">
            <v>0</v>
          </cell>
          <cell r="W471">
            <v>0</v>
          </cell>
          <cell r="X471">
            <v>155330.64516129001</v>
          </cell>
          <cell r="Y471">
            <v>0</v>
          </cell>
        </row>
        <row r="472">
          <cell r="E472">
            <v>0</v>
          </cell>
          <cell r="F472" t="str">
            <v>Fea cellular</v>
          </cell>
          <cell r="G472">
            <v>0</v>
          </cell>
          <cell r="H472">
            <v>0</v>
          </cell>
          <cell r="I472">
            <v>1</v>
          </cell>
          <cell r="J472">
            <v>1</v>
          </cell>
          <cell r="K472">
            <v>0</v>
          </cell>
          <cell r="L472">
            <v>0</v>
          </cell>
          <cell r="M472">
            <v>0</v>
          </cell>
          <cell r="N472">
            <v>0</v>
          </cell>
          <cell r="O472">
            <v>0</v>
          </cell>
          <cell r="P472">
            <v>0</v>
          </cell>
          <cell r="Q472">
            <v>0</v>
          </cell>
          <cell r="R472">
            <v>0</v>
          </cell>
          <cell r="S472">
            <v>0</v>
          </cell>
          <cell r="T472">
            <v>10</v>
          </cell>
          <cell r="U472">
            <v>0</v>
          </cell>
          <cell r="V472">
            <v>0</v>
          </cell>
          <cell r="W472">
            <v>0</v>
          </cell>
          <cell r="X472">
            <v>216435.48387096799</v>
          </cell>
          <cell r="Y472">
            <v>54000</v>
          </cell>
        </row>
        <row r="473">
          <cell r="E473">
            <v>0</v>
          </cell>
          <cell r="F473" t="str">
            <v>Amen cell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K473">
            <v>0</v>
          </cell>
          <cell r="L473">
            <v>0</v>
          </cell>
          <cell r="M473">
            <v>0</v>
          </cell>
          <cell r="N473">
            <v>0</v>
          </cell>
          <cell r="O473">
            <v>0</v>
          </cell>
          <cell r="P473">
            <v>0</v>
          </cell>
          <cell r="Q473">
            <v>0</v>
          </cell>
          <cell r="R473">
            <v>0</v>
          </cell>
          <cell r="S473">
            <v>0</v>
          </cell>
          <cell r="T473">
            <v>0</v>
          </cell>
          <cell r="U473">
            <v>0</v>
          </cell>
          <cell r="V473">
            <v>0</v>
          </cell>
          <cell r="W473">
            <v>0</v>
          </cell>
          <cell r="X473">
            <v>99000</v>
          </cell>
          <cell r="Y473">
            <v>0</v>
          </cell>
        </row>
        <row r="474">
          <cell r="E474">
            <v>0</v>
          </cell>
          <cell r="F474" t="str">
            <v>HAPPY CELL</v>
          </cell>
          <cell r="G474">
            <v>0</v>
          </cell>
          <cell r="H474">
            <v>0</v>
          </cell>
          <cell r="I474">
            <v>1</v>
          </cell>
          <cell r="J474">
            <v>1</v>
          </cell>
          <cell r="K474">
            <v>2</v>
          </cell>
          <cell r="L474">
            <v>2</v>
          </cell>
          <cell r="M474">
            <v>0</v>
          </cell>
          <cell r="N474">
            <v>2</v>
          </cell>
          <cell r="O474">
            <v>2</v>
          </cell>
          <cell r="P474">
            <v>0</v>
          </cell>
          <cell r="Q474">
            <v>2</v>
          </cell>
          <cell r="R474">
            <v>2</v>
          </cell>
          <cell r="S474">
            <v>0</v>
          </cell>
          <cell r="T474">
            <v>0</v>
          </cell>
          <cell r="U474">
            <v>0</v>
          </cell>
          <cell r="V474">
            <v>0</v>
          </cell>
          <cell r="W474">
            <v>0</v>
          </cell>
          <cell r="X474">
            <v>110088.709677419</v>
          </cell>
          <cell r="Y474">
            <v>54000</v>
          </cell>
        </row>
        <row r="475">
          <cell r="E475">
            <v>0</v>
          </cell>
          <cell r="F475" t="str">
            <v>Toko AL</v>
          </cell>
          <cell r="G475">
            <v>0</v>
          </cell>
          <cell r="H475">
            <v>0</v>
          </cell>
          <cell r="I475">
            <v>0</v>
          </cell>
          <cell r="J475">
            <v>0</v>
          </cell>
          <cell r="K475">
            <v>0</v>
          </cell>
          <cell r="L475">
            <v>0</v>
          </cell>
          <cell r="M475">
            <v>0</v>
          </cell>
          <cell r="N475">
            <v>0</v>
          </cell>
          <cell r="O475">
            <v>0</v>
          </cell>
          <cell r="P475">
            <v>0</v>
          </cell>
          <cell r="Q475">
            <v>0</v>
          </cell>
          <cell r="R475">
            <v>0</v>
          </cell>
          <cell r="S475">
            <v>0</v>
          </cell>
          <cell r="T475">
            <v>0</v>
          </cell>
          <cell r="U475">
            <v>0</v>
          </cell>
          <cell r="V475">
            <v>0</v>
          </cell>
          <cell r="W475">
            <v>0</v>
          </cell>
          <cell r="X475">
            <v>0</v>
          </cell>
          <cell r="Y475">
            <v>0</v>
          </cell>
        </row>
        <row r="476">
          <cell r="E476">
            <v>0</v>
          </cell>
          <cell r="F476" t="str">
            <v>Toko santi</v>
          </cell>
          <cell r="G476">
            <v>0</v>
          </cell>
          <cell r="H476">
            <v>0</v>
          </cell>
          <cell r="I476">
            <v>0</v>
          </cell>
          <cell r="J476">
            <v>0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  <cell r="Q476">
            <v>0</v>
          </cell>
          <cell r="R476">
            <v>0</v>
          </cell>
          <cell r="S476">
            <v>0</v>
          </cell>
          <cell r="T476">
            <v>0</v>
          </cell>
          <cell r="U476">
            <v>0</v>
          </cell>
          <cell r="V476">
            <v>0</v>
          </cell>
          <cell r="W476">
            <v>0</v>
          </cell>
          <cell r="X476">
            <v>89000</v>
          </cell>
          <cell r="Y476">
            <v>3700000</v>
          </cell>
        </row>
        <row r="477">
          <cell r="E477">
            <v>0</v>
          </cell>
          <cell r="F477" t="str">
            <v>Toko suhadi</v>
          </cell>
          <cell r="G477">
            <v>0</v>
          </cell>
          <cell r="H477">
            <v>0</v>
          </cell>
          <cell r="I477">
            <v>1</v>
          </cell>
          <cell r="J477">
            <v>1</v>
          </cell>
          <cell r="K477">
            <v>0</v>
          </cell>
          <cell r="L477">
            <v>0</v>
          </cell>
          <cell r="M477">
            <v>0</v>
          </cell>
          <cell r="N477">
            <v>0</v>
          </cell>
          <cell r="O477">
            <v>0</v>
          </cell>
          <cell r="P477">
            <v>0</v>
          </cell>
          <cell r="Q477">
            <v>0</v>
          </cell>
          <cell r="R477">
            <v>0</v>
          </cell>
          <cell r="S477">
            <v>0</v>
          </cell>
          <cell r="T477">
            <v>0</v>
          </cell>
          <cell r="U477">
            <v>0</v>
          </cell>
          <cell r="V477">
            <v>0</v>
          </cell>
          <cell r="W477">
            <v>0</v>
          </cell>
          <cell r="X477">
            <v>95500</v>
          </cell>
          <cell r="Y477">
            <v>54000</v>
          </cell>
        </row>
        <row r="478">
          <cell r="E478">
            <v>0</v>
          </cell>
          <cell r="F478" t="str">
            <v>Warung Bu wawa</v>
          </cell>
          <cell r="G478">
            <v>0</v>
          </cell>
          <cell r="H478">
            <v>0</v>
          </cell>
          <cell r="I478">
            <v>0</v>
          </cell>
          <cell r="J478">
            <v>0</v>
          </cell>
          <cell r="K478">
            <v>0</v>
          </cell>
          <cell r="L478">
            <v>0</v>
          </cell>
          <cell r="M478">
            <v>0</v>
          </cell>
          <cell r="N478">
            <v>0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0</v>
          </cell>
          <cell r="U478">
            <v>0</v>
          </cell>
          <cell r="V478">
            <v>0</v>
          </cell>
          <cell r="W478">
            <v>0</v>
          </cell>
          <cell r="X478">
            <v>100000</v>
          </cell>
          <cell r="Y478">
            <v>0</v>
          </cell>
        </row>
        <row r="479">
          <cell r="E479">
            <v>0</v>
          </cell>
          <cell r="F479" t="str">
            <v>Adut cell</v>
          </cell>
          <cell r="G479">
            <v>0</v>
          </cell>
          <cell r="H479">
            <v>0</v>
          </cell>
          <cell r="I479">
            <v>0</v>
          </cell>
          <cell r="J479">
            <v>0</v>
          </cell>
          <cell r="K479">
            <v>0</v>
          </cell>
          <cell r="L479">
            <v>0</v>
          </cell>
          <cell r="M479">
            <v>0</v>
          </cell>
          <cell r="N479">
            <v>0</v>
          </cell>
          <cell r="O479">
            <v>0</v>
          </cell>
          <cell r="P479">
            <v>0</v>
          </cell>
          <cell r="Q479">
            <v>0</v>
          </cell>
          <cell r="R479">
            <v>0</v>
          </cell>
          <cell r="S479">
            <v>0</v>
          </cell>
          <cell r="T479">
            <v>0</v>
          </cell>
          <cell r="U479">
            <v>0</v>
          </cell>
          <cell r="V479">
            <v>0</v>
          </cell>
          <cell r="W479">
            <v>0</v>
          </cell>
          <cell r="X479">
            <v>100000</v>
          </cell>
          <cell r="Y479">
            <v>0</v>
          </cell>
        </row>
        <row r="480">
          <cell r="E480">
            <v>0</v>
          </cell>
          <cell r="F480" t="str">
            <v>Toko Akim</v>
          </cell>
          <cell r="G480">
            <v>0</v>
          </cell>
          <cell r="H480">
            <v>0</v>
          </cell>
          <cell r="I480">
            <v>0</v>
          </cell>
          <cell r="J480">
            <v>0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  <cell r="O480">
            <v>0</v>
          </cell>
          <cell r="P480">
            <v>0</v>
          </cell>
          <cell r="Q480">
            <v>0</v>
          </cell>
          <cell r="R480">
            <v>0</v>
          </cell>
          <cell r="S480">
            <v>0</v>
          </cell>
          <cell r="T480">
            <v>0</v>
          </cell>
          <cell r="U480">
            <v>0</v>
          </cell>
          <cell r="V480">
            <v>0</v>
          </cell>
          <cell r="W480">
            <v>0</v>
          </cell>
          <cell r="X480">
            <v>99000</v>
          </cell>
          <cell r="Y480">
            <v>0</v>
          </cell>
        </row>
        <row r="481">
          <cell r="E481">
            <v>0</v>
          </cell>
          <cell r="F481" t="str">
            <v>Bg Adi</v>
          </cell>
          <cell r="G481">
            <v>0</v>
          </cell>
          <cell r="H481">
            <v>0</v>
          </cell>
          <cell r="I481">
            <v>0</v>
          </cell>
          <cell r="J481">
            <v>0</v>
          </cell>
          <cell r="K481">
            <v>0</v>
          </cell>
          <cell r="L481">
            <v>0</v>
          </cell>
          <cell r="M481">
            <v>0</v>
          </cell>
          <cell r="N481">
            <v>0</v>
          </cell>
          <cell r="O481">
            <v>0</v>
          </cell>
          <cell r="P481">
            <v>0</v>
          </cell>
          <cell r="Q481">
            <v>0</v>
          </cell>
          <cell r="R481">
            <v>0</v>
          </cell>
          <cell r="S481">
            <v>0</v>
          </cell>
          <cell r="T481">
            <v>0</v>
          </cell>
          <cell r="U481">
            <v>0</v>
          </cell>
          <cell r="V481">
            <v>0</v>
          </cell>
          <cell r="W481">
            <v>0</v>
          </cell>
          <cell r="X481">
            <v>99000</v>
          </cell>
          <cell r="Y481">
            <v>0</v>
          </cell>
        </row>
        <row r="482">
          <cell r="E482">
            <v>0</v>
          </cell>
          <cell r="F482" t="str">
            <v>jimmy ponsel</v>
          </cell>
          <cell r="G482">
            <v>0</v>
          </cell>
          <cell r="H482">
            <v>0</v>
          </cell>
          <cell r="I482">
            <v>0</v>
          </cell>
          <cell r="J482">
            <v>0</v>
          </cell>
          <cell r="K482">
            <v>0</v>
          </cell>
          <cell r="L482">
            <v>0</v>
          </cell>
          <cell r="M482">
            <v>0</v>
          </cell>
          <cell r="N482">
            <v>0</v>
          </cell>
          <cell r="O482">
            <v>0</v>
          </cell>
          <cell r="P482">
            <v>0</v>
          </cell>
          <cell r="Q482">
            <v>0</v>
          </cell>
          <cell r="R482">
            <v>0</v>
          </cell>
          <cell r="S482">
            <v>0</v>
          </cell>
          <cell r="T482">
            <v>0</v>
          </cell>
          <cell r="U482">
            <v>0</v>
          </cell>
          <cell r="V482">
            <v>0</v>
          </cell>
          <cell r="W482">
            <v>0</v>
          </cell>
          <cell r="X482">
            <v>99000</v>
          </cell>
          <cell r="Y482">
            <v>0</v>
          </cell>
        </row>
        <row r="483">
          <cell r="E483">
            <v>0</v>
          </cell>
          <cell r="F483" t="str">
            <v>KING STORE</v>
          </cell>
          <cell r="G483">
            <v>0</v>
          </cell>
          <cell r="H483">
            <v>0</v>
          </cell>
          <cell r="I483">
            <v>0</v>
          </cell>
          <cell r="J483">
            <v>0</v>
          </cell>
          <cell r="K483">
            <v>0</v>
          </cell>
          <cell r="L483">
            <v>0</v>
          </cell>
          <cell r="M483">
            <v>0</v>
          </cell>
          <cell r="N483">
            <v>0</v>
          </cell>
          <cell r="O483">
            <v>0</v>
          </cell>
          <cell r="P483">
            <v>0</v>
          </cell>
          <cell r="Q483">
            <v>0</v>
          </cell>
          <cell r="R483">
            <v>0</v>
          </cell>
          <cell r="S483">
            <v>0</v>
          </cell>
          <cell r="T483">
            <v>0</v>
          </cell>
          <cell r="U483">
            <v>0</v>
          </cell>
          <cell r="V483">
            <v>0</v>
          </cell>
          <cell r="W483">
            <v>0</v>
          </cell>
          <cell r="X483">
            <v>98000</v>
          </cell>
          <cell r="Y483">
            <v>0</v>
          </cell>
        </row>
        <row r="484">
          <cell r="E484">
            <v>0</v>
          </cell>
          <cell r="F484" t="str">
            <v>Toko efra</v>
          </cell>
          <cell r="G484">
            <v>0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0</v>
          </cell>
          <cell r="M484">
            <v>0</v>
          </cell>
          <cell r="N484">
            <v>0</v>
          </cell>
          <cell r="O484">
            <v>0</v>
          </cell>
          <cell r="P484">
            <v>0</v>
          </cell>
          <cell r="Q484">
            <v>0</v>
          </cell>
          <cell r="R484">
            <v>0</v>
          </cell>
          <cell r="S484">
            <v>0</v>
          </cell>
          <cell r="T484">
            <v>0</v>
          </cell>
          <cell r="U484">
            <v>0</v>
          </cell>
          <cell r="V484">
            <v>0</v>
          </cell>
          <cell r="W484">
            <v>0</v>
          </cell>
          <cell r="X484">
            <v>98000</v>
          </cell>
          <cell r="Y484">
            <v>0</v>
          </cell>
        </row>
        <row r="485">
          <cell r="E485">
            <v>0</v>
          </cell>
          <cell r="F485" t="str">
            <v>Akuang</v>
          </cell>
          <cell r="G485">
            <v>0</v>
          </cell>
          <cell r="H485">
            <v>0</v>
          </cell>
          <cell r="I485">
            <v>1</v>
          </cell>
          <cell r="J485">
            <v>1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4232933.4677419364</v>
          </cell>
          <cell r="Y485">
            <v>3754000</v>
          </cell>
        </row>
        <row r="486">
          <cell r="E486">
            <v>0</v>
          </cell>
          <cell r="F486" t="str">
            <v>Bildan cell</v>
          </cell>
          <cell r="G486">
            <v>0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0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10</v>
          </cell>
          <cell r="U486">
            <v>0</v>
          </cell>
          <cell r="V486">
            <v>0</v>
          </cell>
          <cell r="W486">
            <v>0</v>
          </cell>
          <cell r="X486">
            <v>100000</v>
          </cell>
          <cell r="Y486">
            <v>0</v>
          </cell>
        </row>
        <row r="487">
          <cell r="E487">
            <v>0</v>
          </cell>
          <cell r="F487" t="str">
            <v>Toko tina</v>
          </cell>
          <cell r="G487">
            <v>0</v>
          </cell>
          <cell r="H487">
            <v>0</v>
          </cell>
          <cell r="I487">
            <v>0</v>
          </cell>
          <cell r="J487">
            <v>0</v>
          </cell>
          <cell r="K487">
            <v>0</v>
          </cell>
          <cell r="L487">
            <v>0</v>
          </cell>
          <cell r="M487">
            <v>0</v>
          </cell>
          <cell r="N487">
            <v>0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0</v>
          </cell>
          <cell r="U487">
            <v>0</v>
          </cell>
          <cell r="V487">
            <v>0</v>
          </cell>
          <cell r="W487">
            <v>0</v>
          </cell>
          <cell r="X487">
            <v>99000</v>
          </cell>
          <cell r="Y487">
            <v>0</v>
          </cell>
        </row>
        <row r="488">
          <cell r="E488">
            <v>0</v>
          </cell>
          <cell r="F488" t="str">
            <v>Toko Intan</v>
          </cell>
          <cell r="G488">
            <v>0</v>
          </cell>
          <cell r="H488">
            <v>0</v>
          </cell>
          <cell r="I488">
            <v>1</v>
          </cell>
          <cell r="J488">
            <v>1</v>
          </cell>
          <cell r="K488">
            <v>0</v>
          </cell>
          <cell r="L488">
            <v>0</v>
          </cell>
          <cell r="M488">
            <v>0</v>
          </cell>
          <cell r="N488">
            <v>0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0</v>
          </cell>
          <cell r="U488">
            <v>0</v>
          </cell>
          <cell r="V488">
            <v>0</v>
          </cell>
          <cell r="W488">
            <v>0</v>
          </cell>
          <cell r="X488">
            <v>99000</v>
          </cell>
          <cell r="Y488">
            <v>54000</v>
          </cell>
        </row>
        <row r="489">
          <cell r="E489">
            <v>0</v>
          </cell>
          <cell r="F489" t="str">
            <v>Reza Cell</v>
          </cell>
          <cell r="G489">
            <v>0</v>
          </cell>
          <cell r="H489">
            <v>0</v>
          </cell>
          <cell r="I489">
            <v>1</v>
          </cell>
          <cell r="J489">
            <v>1</v>
          </cell>
          <cell r="K489">
            <v>0</v>
          </cell>
          <cell r="L489">
            <v>0</v>
          </cell>
          <cell r="M489">
            <v>0</v>
          </cell>
          <cell r="N489">
            <v>0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0</v>
          </cell>
          <cell r="U489">
            <v>0</v>
          </cell>
          <cell r="V489">
            <v>0</v>
          </cell>
          <cell r="W489">
            <v>0</v>
          </cell>
          <cell r="X489">
            <v>99000</v>
          </cell>
          <cell r="Y489">
            <v>54000</v>
          </cell>
        </row>
        <row r="490">
          <cell r="E490">
            <v>0</v>
          </cell>
          <cell r="F490" t="str">
            <v>Mutia cell</v>
          </cell>
          <cell r="G490">
            <v>0</v>
          </cell>
          <cell r="H490">
            <v>0</v>
          </cell>
          <cell r="I490">
            <v>0</v>
          </cell>
          <cell r="J490">
            <v>0</v>
          </cell>
          <cell r="K490">
            <v>0</v>
          </cell>
          <cell r="L490">
            <v>0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</row>
        <row r="491">
          <cell r="E491">
            <v>0</v>
          </cell>
          <cell r="F491" t="str">
            <v>Winner store</v>
          </cell>
          <cell r="G491">
            <v>0</v>
          </cell>
          <cell r="H491">
            <v>0</v>
          </cell>
          <cell r="I491">
            <v>0</v>
          </cell>
          <cell r="J491">
            <v>0</v>
          </cell>
          <cell r="K491">
            <v>0</v>
          </cell>
          <cell r="L491">
            <v>0</v>
          </cell>
          <cell r="M491">
            <v>0</v>
          </cell>
          <cell r="N491">
            <v>0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0</v>
          </cell>
          <cell r="U491">
            <v>0</v>
          </cell>
          <cell r="V491">
            <v>0</v>
          </cell>
          <cell r="W491">
            <v>0</v>
          </cell>
          <cell r="X491">
            <v>178483.870967742</v>
          </cell>
          <cell r="Y491">
            <v>0</v>
          </cell>
        </row>
        <row r="492">
          <cell r="E492">
            <v>0</v>
          </cell>
          <cell r="F492" t="str">
            <v>Warung Yuyun</v>
          </cell>
          <cell r="G492">
            <v>0</v>
          </cell>
          <cell r="H492">
            <v>0</v>
          </cell>
          <cell r="I492">
            <v>1</v>
          </cell>
          <cell r="J492">
            <v>1</v>
          </cell>
          <cell r="K492">
            <v>0</v>
          </cell>
          <cell r="L492">
            <v>0</v>
          </cell>
          <cell r="M492">
            <v>0</v>
          </cell>
          <cell r="N492">
            <v>0</v>
          </cell>
          <cell r="O492">
            <v>0</v>
          </cell>
          <cell r="P492">
            <v>0</v>
          </cell>
          <cell r="Q492">
            <v>0</v>
          </cell>
          <cell r="R492">
            <v>0</v>
          </cell>
          <cell r="S492">
            <v>0</v>
          </cell>
          <cell r="T492">
            <v>0</v>
          </cell>
          <cell r="U492">
            <v>0</v>
          </cell>
          <cell r="V492">
            <v>0</v>
          </cell>
          <cell r="W492">
            <v>0</v>
          </cell>
          <cell r="X492">
            <v>100000</v>
          </cell>
          <cell r="Y492">
            <v>54000</v>
          </cell>
        </row>
        <row r="493">
          <cell r="E493">
            <v>0</v>
          </cell>
          <cell r="F493" t="str">
            <v>MITRA CELL</v>
          </cell>
          <cell r="G493">
            <v>0</v>
          </cell>
          <cell r="H493">
            <v>0</v>
          </cell>
          <cell r="I493">
            <v>0</v>
          </cell>
          <cell r="J493">
            <v>0</v>
          </cell>
          <cell r="K493">
            <v>0</v>
          </cell>
          <cell r="L493">
            <v>0</v>
          </cell>
          <cell r="M493">
            <v>0</v>
          </cell>
          <cell r="N493">
            <v>0</v>
          </cell>
          <cell r="O493">
            <v>0</v>
          </cell>
          <cell r="P493">
            <v>0</v>
          </cell>
          <cell r="Q493">
            <v>0</v>
          </cell>
          <cell r="R493">
            <v>0</v>
          </cell>
          <cell r="S493">
            <v>0</v>
          </cell>
          <cell r="T493">
            <v>0</v>
          </cell>
          <cell r="U493">
            <v>0</v>
          </cell>
          <cell r="V493">
            <v>0</v>
          </cell>
          <cell r="W493">
            <v>0</v>
          </cell>
          <cell r="X493">
            <v>0</v>
          </cell>
          <cell r="Y493">
            <v>0</v>
          </cell>
        </row>
        <row r="494">
          <cell r="E494">
            <v>0</v>
          </cell>
          <cell r="F494" t="str">
            <v>Toko lensa</v>
          </cell>
          <cell r="G494">
            <v>0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0</v>
          </cell>
          <cell r="M494">
            <v>0</v>
          </cell>
          <cell r="N494">
            <v>0</v>
          </cell>
          <cell r="O494">
            <v>0</v>
          </cell>
          <cell r="P494">
            <v>0</v>
          </cell>
          <cell r="Q494">
            <v>0</v>
          </cell>
          <cell r="R494">
            <v>0</v>
          </cell>
          <cell r="S494">
            <v>0</v>
          </cell>
          <cell r="T494">
            <v>0</v>
          </cell>
          <cell r="U494">
            <v>0</v>
          </cell>
          <cell r="V494">
            <v>0</v>
          </cell>
          <cell r="W494">
            <v>0</v>
          </cell>
          <cell r="X494">
            <v>0</v>
          </cell>
          <cell r="Y494">
            <v>0</v>
          </cell>
        </row>
        <row r="495">
          <cell r="E495">
            <v>0</v>
          </cell>
          <cell r="F495" t="str">
            <v>Toko rafi</v>
          </cell>
          <cell r="G495">
            <v>0</v>
          </cell>
          <cell r="H495">
            <v>0</v>
          </cell>
          <cell r="I495">
            <v>1</v>
          </cell>
          <cell r="J495">
            <v>1</v>
          </cell>
          <cell r="K495">
            <v>0</v>
          </cell>
          <cell r="L495">
            <v>0</v>
          </cell>
          <cell r="M495">
            <v>0</v>
          </cell>
          <cell r="N495">
            <v>0</v>
          </cell>
          <cell r="O495">
            <v>0</v>
          </cell>
          <cell r="P495">
            <v>0</v>
          </cell>
          <cell r="Q495">
            <v>0</v>
          </cell>
          <cell r="R495">
            <v>0</v>
          </cell>
          <cell r="S495">
            <v>0</v>
          </cell>
          <cell r="T495">
            <v>0</v>
          </cell>
          <cell r="U495">
            <v>0</v>
          </cell>
          <cell r="V495">
            <v>0</v>
          </cell>
          <cell r="W495">
            <v>0</v>
          </cell>
          <cell r="X495">
            <v>98000</v>
          </cell>
          <cell r="Y495">
            <v>54000</v>
          </cell>
        </row>
        <row r="496">
          <cell r="E496">
            <v>0</v>
          </cell>
          <cell r="F496" t="str">
            <v>Alsi ponsel</v>
          </cell>
          <cell r="G496">
            <v>0</v>
          </cell>
          <cell r="H496">
            <v>0</v>
          </cell>
          <cell r="I496">
            <v>0</v>
          </cell>
          <cell r="J496">
            <v>0</v>
          </cell>
          <cell r="K496">
            <v>0</v>
          </cell>
          <cell r="L496">
            <v>0</v>
          </cell>
          <cell r="M496">
            <v>0</v>
          </cell>
          <cell r="N496">
            <v>0</v>
          </cell>
          <cell r="O496">
            <v>0</v>
          </cell>
          <cell r="P496">
            <v>0</v>
          </cell>
          <cell r="Q496">
            <v>0</v>
          </cell>
          <cell r="R496">
            <v>0</v>
          </cell>
          <cell r="S496">
            <v>0</v>
          </cell>
          <cell r="T496">
            <v>0</v>
          </cell>
          <cell r="U496">
            <v>0</v>
          </cell>
          <cell r="V496">
            <v>0</v>
          </cell>
          <cell r="W496">
            <v>0</v>
          </cell>
          <cell r="X496">
            <v>100000</v>
          </cell>
          <cell r="Y496">
            <v>0</v>
          </cell>
        </row>
        <row r="497">
          <cell r="E497">
            <v>0</v>
          </cell>
          <cell r="F497" t="str">
            <v>Linda Ponsel</v>
          </cell>
          <cell r="G497">
            <v>0</v>
          </cell>
          <cell r="H497">
            <v>0</v>
          </cell>
          <cell r="I497">
            <v>0</v>
          </cell>
          <cell r="J497">
            <v>0</v>
          </cell>
          <cell r="K497">
            <v>0</v>
          </cell>
          <cell r="L497">
            <v>0</v>
          </cell>
          <cell r="M497">
            <v>0</v>
          </cell>
          <cell r="N497">
            <v>0</v>
          </cell>
          <cell r="O497">
            <v>0</v>
          </cell>
          <cell r="P497">
            <v>0</v>
          </cell>
          <cell r="Q497">
            <v>0</v>
          </cell>
          <cell r="R497">
            <v>0</v>
          </cell>
          <cell r="S497">
            <v>0</v>
          </cell>
          <cell r="T497">
            <v>0</v>
          </cell>
          <cell r="U497">
            <v>0</v>
          </cell>
          <cell r="V497">
            <v>0</v>
          </cell>
          <cell r="W497">
            <v>0</v>
          </cell>
          <cell r="X497">
            <v>100000</v>
          </cell>
          <cell r="Y497">
            <v>0</v>
          </cell>
        </row>
        <row r="498">
          <cell r="E498">
            <v>0</v>
          </cell>
          <cell r="F498" t="str">
            <v>Toko lia</v>
          </cell>
          <cell r="G498">
            <v>0</v>
          </cell>
          <cell r="H498">
            <v>0</v>
          </cell>
          <cell r="I498">
            <v>0</v>
          </cell>
          <cell r="J498">
            <v>0</v>
          </cell>
          <cell r="K498">
            <v>1</v>
          </cell>
          <cell r="L498">
            <v>1</v>
          </cell>
          <cell r="M498">
            <v>0</v>
          </cell>
          <cell r="N498">
            <v>0</v>
          </cell>
          <cell r="O498">
            <v>0</v>
          </cell>
          <cell r="P498">
            <v>0</v>
          </cell>
          <cell r="Q498">
            <v>0</v>
          </cell>
          <cell r="R498">
            <v>0</v>
          </cell>
          <cell r="S498">
            <v>0</v>
          </cell>
          <cell r="T498">
            <v>0</v>
          </cell>
          <cell r="U498">
            <v>0</v>
          </cell>
          <cell r="V498">
            <v>0</v>
          </cell>
          <cell r="W498">
            <v>0</v>
          </cell>
          <cell r="X498">
            <v>100000</v>
          </cell>
          <cell r="Y498">
            <v>0</v>
          </cell>
        </row>
        <row r="499">
          <cell r="E499">
            <v>0</v>
          </cell>
          <cell r="F499" t="str">
            <v>Toko difta</v>
          </cell>
          <cell r="G499">
            <v>0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0</v>
          </cell>
          <cell r="M499">
            <v>0</v>
          </cell>
          <cell r="N499">
            <v>0</v>
          </cell>
          <cell r="O499">
            <v>0</v>
          </cell>
          <cell r="P499">
            <v>0</v>
          </cell>
          <cell r="Q499">
            <v>0</v>
          </cell>
          <cell r="R499">
            <v>0</v>
          </cell>
          <cell r="S499">
            <v>0</v>
          </cell>
          <cell r="T499">
            <v>9</v>
          </cell>
          <cell r="U499">
            <v>0</v>
          </cell>
          <cell r="V499">
            <v>0</v>
          </cell>
          <cell r="W499">
            <v>0</v>
          </cell>
          <cell r="X499">
            <v>100000</v>
          </cell>
          <cell r="Y499">
            <v>0</v>
          </cell>
        </row>
        <row r="500">
          <cell r="E500">
            <v>0</v>
          </cell>
          <cell r="F500" t="str">
            <v>MOBILE PONSEL</v>
          </cell>
          <cell r="G500">
            <v>0</v>
          </cell>
          <cell r="H500">
            <v>0</v>
          </cell>
          <cell r="I500">
            <v>1</v>
          </cell>
          <cell r="J500">
            <v>1</v>
          </cell>
          <cell r="K500">
            <v>1</v>
          </cell>
          <cell r="L500">
            <v>1</v>
          </cell>
          <cell r="M500">
            <v>0</v>
          </cell>
          <cell r="N500">
            <v>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0</v>
          </cell>
          <cell r="U500">
            <v>1</v>
          </cell>
          <cell r="V500">
            <v>0</v>
          </cell>
          <cell r="W500">
            <v>0</v>
          </cell>
          <cell r="X500">
            <v>443040.93801626901</v>
          </cell>
          <cell r="Y500">
            <v>408000</v>
          </cell>
        </row>
        <row r="501">
          <cell r="E501">
            <v>0</v>
          </cell>
          <cell r="F501" t="str">
            <v>STEVEN PONSEL</v>
          </cell>
          <cell r="G501">
            <v>0</v>
          </cell>
          <cell r="H501">
            <v>0</v>
          </cell>
          <cell r="I501">
            <v>1</v>
          </cell>
          <cell r="J501">
            <v>1</v>
          </cell>
          <cell r="K501">
            <v>3</v>
          </cell>
          <cell r="L501">
            <v>3</v>
          </cell>
          <cell r="M501">
            <v>0</v>
          </cell>
          <cell r="N501">
            <v>1</v>
          </cell>
          <cell r="O501">
            <v>1</v>
          </cell>
          <cell r="P501">
            <v>0</v>
          </cell>
          <cell r="Q501">
            <v>3</v>
          </cell>
          <cell r="R501">
            <v>3</v>
          </cell>
          <cell r="S501">
            <v>0</v>
          </cell>
          <cell r="T501">
            <v>4</v>
          </cell>
          <cell r="U501">
            <v>0</v>
          </cell>
          <cell r="V501">
            <v>0</v>
          </cell>
          <cell r="W501">
            <v>0</v>
          </cell>
          <cell r="X501">
            <v>746010.82600491599</v>
          </cell>
          <cell r="Y501">
            <v>1059000</v>
          </cell>
        </row>
        <row r="502">
          <cell r="E502">
            <v>0</v>
          </cell>
          <cell r="F502" t="str">
            <v>YOLA P</v>
          </cell>
          <cell r="G502">
            <v>0</v>
          </cell>
          <cell r="H502">
            <v>0</v>
          </cell>
          <cell r="I502">
            <v>1</v>
          </cell>
          <cell r="J502">
            <v>1</v>
          </cell>
          <cell r="K502">
            <v>0</v>
          </cell>
          <cell r="L502">
            <v>0</v>
          </cell>
          <cell r="M502">
            <v>0</v>
          </cell>
          <cell r="N502">
            <v>0</v>
          </cell>
          <cell r="O502">
            <v>0</v>
          </cell>
          <cell r="P502">
            <v>0</v>
          </cell>
          <cell r="Q502">
            <v>0</v>
          </cell>
          <cell r="R502">
            <v>0</v>
          </cell>
          <cell r="S502">
            <v>0</v>
          </cell>
          <cell r="T502">
            <v>0</v>
          </cell>
          <cell r="U502">
            <v>0</v>
          </cell>
          <cell r="V502">
            <v>0</v>
          </cell>
          <cell r="W502">
            <v>0</v>
          </cell>
          <cell r="X502">
            <v>128174.790322581</v>
          </cell>
          <cell r="Y502">
            <v>54000</v>
          </cell>
        </row>
        <row r="503">
          <cell r="E503">
            <v>0</v>
          </cell>
          <cell r="F503" t="str">
            <v>Jaya ponsel</v>
          </cell>
          <cell r="G503">
            <v>0</v>
          </cell>
          <cell r="H503">
            <v>0</v>
          </cell>
          <cell r="I503">
            <v>1</v>
          </cell>
          <cell r="J503">
            <v>1</v>
          </cell>
          <cell r="K503">
            <v>1</v>
          </cell>
          <cell r="L503">
            <v>1</v>
          </cell>
          <cell r="M503">
            <v>0</v>
          </cell>
          <cell r="N503">
            <v>1</v>
          </cell>
          <cell r="O503">
            <v>1</v>
          </cell>
          <cell r="P503">
            <v>0</v>
          </cell>
          <cell r="Q503">
            <v>1</v>
          </cell>
          <cell r="R503">
            <v>1</v>
          </cell>
          <cell r="S503">
            <v>0</v>
          </cell>
          <cell r="T503">
            <v>0</v>
          </cell>
          <cell r="U503">
            <v>0</v>
          </cell>
          <cell r="V503">
            <v>0</v>
          </cell>
          <cell r="W503">
            <v>0</v>
          </cell>
          <cell r="X503">
            <v>123694.77190230601</v>
          </cell>
          <cell r="Y503">
            <v>254000</v>
          </cell>
        </row>
        <row r="504">
          <cell r="E504">
            <v>0</v>
          </cell>
          <cell r="F504" t="str">
            <v>MITRA PONSEL</v>
          </cell>
          <cell r="G504">
            <v>0</v>
          </cell>
          <cell r="H504">
            <v>0</v>
          </cell>
          <cell r="I504">
            <v>0</v>
          </cell>
          <cell r="J504">
            <v>0</v>
          </cell>
          <cell r="K504">
            <v>4</v>
          </cell>
          <cell r="L504">
            <v>4</v>
          </cell>
          <cell r="M504">
            <v>0</v>
          </cell>
          <cell r="N504">
            <v>1</v>
          </cell>
          <cell r="O504">
            <v>1</v>
          </cell>
          <cell r="P504">
            <v>0</v>
          </cell>
          <cell r="Q504">
            <v>2</v>
          </cell>
          <cell r="R504">
            <v>2</v>
          </cell>
          <cell r="S504">
            <v>0</v>
          </cell>
          <cell r="T504">
            <v>1</v>
          </cell>
          <cell r="U504">
            <v>0</v>
          </cell>
          <cell r="V504">
            <v>0</v>
          </cell>
          <cell r="W504">
            <v>0</v>
          </cell>
          <cell r="X504">
            <v>363813.89967958198</v>
          </cell>
          <cell r="Y504">
            <v>200000</v>
          </cell>
        </row>
        <row r="505">
          <cell r="E505">
            <v>0</v>
          </cell>
          <cell r="F505" t="str">
            <v>Merry Ponsel</v>
          </cell>
          <cell r="G505">
            <v>0</v>
          </cell>
          <cell r="H505">
            <v>0</v>
          </cell>
          <cell r="I505">
            <v>0</v>
          </cell>
          <cell r="J505">
            <v>0</v>
          </cell>
          <cell r="K505">
            <v>0</v>
          </cell>
          <cell r="L505">
            <v>0</v>
          </cell>
          <cell r="M505">
            <v>0</v>
          </cell>
          <cell r="N505">
            <v>0</v>
          </cell>
          <cell r="O505">
            <v>0</v>
          </cell>
          <cell r="P505">
            <v>0</v>
          </cell>
          <cell r="Q505">
            <v>0</v>
          </cell>
          <cell r="R505">
            <v>0</v>
          </cell>
          <cell r="S505">
            <v>0</v>
          </cell>
          <cell r="T505">
            <v>0</v>
          </cell>
          <cell r="U505">
            <v>0</v>
          </cell>
          <cell r="V505">
            <v>0</v>
          </cell>
          <cell r="W505">
            <v>0</v>
          </cell>
          <cell r="X505">
            <v>0</v>
          </cell>
          <cell r="Y505">
            <v>0</v>
          </cell>
        </row>
        <row r="506">
          <cell r="E506">
            <v>0</v>
          </cell>
          <cell r="F506" t="str">
            <v>AAL PONSEL</v>
          </cell>
          <cell r="G506">
            <v>0</v>
          </cell>
          <cell r="H506">
            <v>0</v>
          </cell>
          <cell r="I506">
            <v>0</v>
          </cell>
          <cell r="J506">
            <v>0</v>
          </cell>
          <cell r="K506">
            <v>0</v>
          </cell>
          <cell r="L506">
            <v>0</v>
          </cell>
          <cell r="M506">
            <v>0</v>
          </cell>
          <cell r="N506">
            <v>0</v>
          </cell>
          <cell r="O506">
            <v>0</v>
          </cell>
          <cell r="P506">
            <v>0</v>
          </cell>
          <cell r="Q506">
            <v>0</v>
          </cell>
          <cell r="R506">
            <v>0</v>
          </cell>
          <cell r="S506">
            <v>0</v>
          </cell>
          <cell r="T506">
            <v>0</v>
          </cell>
          <cell r="U506">
            <v>0</v>
          </cell>
          <cell r="V506">
            <v>0</v>
          </cell>
          <cell r="W506">
            <v>0</v>
          </cell>
          <cell r="X506">
            <v>0</v>
          </cell>
          <cell r="Y506">
            <v>0</v>
          </cell>
        </row>
        <row r="507">
          <cell r="E507">
            <v>0</v>
          </cell>
          <cell r="F507" t="str">
            <v>JUVEN CELL</v>
          </cell>
          <cell r="G507">
            <v>0</v>
          </cell>
          <cell r="H507">
            <v>0</v>
          </cell>
          <cell r="I507">
            <v>0</v>
          </cell>
          <cell r="J507">
            <v>0</v>
          </cell>
          <cell r="K507">
            <v>0</v>
          </cell>
          <cell r="L507">
            <v>0</v>
          </cell>
          <cell r="M507">
            <v>0</v>
          </cell>
          <cell r="N507">
            <v>0</v>
          </cell>
          <cell r="O507">
            <v>0</v>
          </cell>
          <cell r="P507">
            <v>0</v>
          </cell>
          <cell r="Q507">
            <v>0</v>
          </cell>
          <cell r="R507">
            <v>0</v>
          </cell>
          <cell r="S507">
            <v>0</v>
          </cell>
          <cell r="T507">
            <v>0</v>
          </cell>
          <cell r="U507">
            <v>0</v>
          </cell>
          <cell r="V507">
            <v>0</v>
          </cell>
          <cell r="W507">
            <v>0</v>
          </cell>
          <cell r="X507">
            <v>0</v>
          </cell>
          <cell r="Y507">
            <v>0</v>
          </cell>
        </row>
        <row r="508">
          <cell r="E508">
            <v>0</v>
          </cell>
          <cell r="F508" t="str">
            <v>Madi ponsel</v>
          </cell>
          <cell r="G508">
            <v>0</v>
          </cell>
          <cell r="H508">
            <v>0</v>
          </cell>
          <cell r="I508">
            <v>0</v>
          </cell>
          <cell r="J508">
            <v>0</v>
          </cell>
          <cell r="K508">
            <v>0</v>
          </cell>
          <cell r="L508">
            <v>0</v>
          </cell>
          <cell r="M508">
            <v>0</v>
          </cell>
          <cell r="N508">
            <v>0</v>
          </cell>
          <cell r="O508">
            <v>0</v>
          </cell>
          <cell r="P508">
            <v>0</v>
          </cell>
          <cell r="Q508">
            <v>0</v>
          </cell>
          <cell r="R508">
            <v>0</v>
          </cell>
          <cell r="S508">
            <v>0</v>
          </cell>
          <cell r="T508">
            <v>0</v>
          </cell>
          <cell r="U508">
            <v>0</v>
          </cell>
          <cell r="V508">
            <v>0</v>
          </cell>
          <cell r="W508">
            <v>0</v>
          </cell>
          <cell r="X508">
            <v>0</v>
          </cell>
          <cell r="Y508">
            <v>0</v>
          </cell>
        </row>
        <row r="509">
          <cell r="E509">
            <v>0</v>
          </cell>
          <cell r="F509" t="str">
            <v>BONAY PONSEL</v>
          </cell>
          <cell r="G509">
            <v>0</v>
          </cell>
          <cell r="H509">
            <v>0</v>
          </cell>
          <cell r="I509">
            <v>0</v>
          </cell>
          <cell r="J509">
            <v>0</v>
          </cell>
          <cell r="K509">
            <v>0</v>
          </cell>
          <cell r="L509">
            <v>0</v>
          </cell>
          <cell r="M509">
            <v>0</v>
          </cell>
          <cell r="N509">
            <v>0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0</v>
          </cell>
          <cell r="U509">
            <v>0</v>
          </cell>
          <cell r="V509">
            <v>0</v>
          </cell>
          <cell r="W509">
            <v>0</v>
          </cell>
          <cell r="X509">
            <v>0</v>
          </cell>
          <cell r="Y509">
            <v>0</v>
          </cell>
        </row>
        <row r="510">
          <cell r="E510">
            <v>0</v>
          </cell>
          <cell r="F510" t="str">
            <v>IKHSAN PONSEL</v>
          </cell>
          <cell r="G510">
            <v>0</v>
          </cell>
          <cell r="H510">
            <v>0</v>
          </cell>
          <cell r="I510">
            <v>0</v>
          </cell>
          <cell r="J510">
            <v>0</v>
          </cell>
          <cell r="K510">
            <v>0</v>
          </cell>
          <cell r="L510">
            <v>0</v>
          </cell>
          <cell r="M510">
            <v>0</v>
          </cell>
          <cell r="N510">
            <v>0</v>
          </cell>
          <cell r="O510">
            <v>0</v>
          </cell>
          <cell r="P510">
            <v>0</v>
          </cell>
          <cell r="Q510">
            <v>0</v>
          </cell>
          <cell r="R510">
            <v>0</v>
          </cell>
          <cell r="S510">
            <v>0</v>
          </cell>
          <cell r="T510">
            <v>0</v>
          </cell>
          <cell r="U510">
            <v>0</v>
          </cell>
          <cell r="V510">
            <v>0</v>
          </cell>
          <cell r="W510">
            <v>0</v>
          </cell>
          <cell r="X510">
            <v>0</v>
          </cell>
          <cell r="Y510">
            <v>0</v>
          </cell>
        </row>
        <row r="511">
          <cell r="E511">
            <v>0</v>
          </cell>
          <cell r="F511" t="str">
            <v>Damai Ponsel</v>
          </cell>
          <cell r="G511">
            <v>0</v>
          </cell>
          <cell r="H511">
            <v>0</v>
          </cell>
          <cell r="I511">
            <v>0</v>
          </cell>
          <cell r="J511">
            <v>0</v>
          </cell>
          <cell r="K511">
            <v>0</v>
          </cell>
          <cell r="L511">
            <v>0</v>
          </cell>
          <cell r="M511">
            <v>0</v>
          </cell>
          <cell r="N511">
            <v>0</v>
          </cell>
          <cell r="O511">
            <v>0</v>
          </cell>
          <cell r="P511">
            <v>0</v>
          </cell>
          <cell r="Q511">
            <v>0</v>
          </cell>
          <cell r="R511">
            <v>0</v>
          </cell>
          <cell r="S511">
            <v>0</v>
          </cell>
          <cell r="T511">
            <v>0</v>
          </cell>
          <cell r="U511">
            <v>0</v>
          </cell>
          <cell r="V511">
            <v>0</v>
          </cell>
          <cell r="W511">
            <v>0</v>
          </cell>
          <cell r="X511">
            <v>0</v>
          </cell>
          <cell r="Y511">
            <v>0</v>
          </cell>
        </row>
        <row r="512">
          <cell r="E512">
            <v>0</v>
          </cell>
          <cell r="F512" t="str">
            <v>Alif ponsel</v>
          </cell>
          <cell r="G512">
            <v>0</v>
          </cell>
          <cell r="H512">
            <v>0</v>
          </cell>
          <cell r="I512">
            <v>0</v>
          </cell>
          <cell r="J512">
            <v>0</v>
          </cell>
          <cell r="K512">
            <v>0</v>
          </cell>
          <cell r="L512">
            <v>0</v>
          </cell>
          <cell r="M512">
            <v>0</v>
          </cell>
          <cell r="N512">
            <v>0</v>
          </cell>
          <cell r="O512">
            <v>0</v>
          </cell>
          <cell r="P512">
            <v>0</v>
          </cell>
          <cell r="Q512">
            <v>0</v>
          </cell>
          <cell r="R512">
            <v>0</v>
          </cell>
          <cell r="S512">
            <v>0</v>
          </cell>
          <cell r="T512">
            <v>0</v>
          </cell>
          <cell r="U512">
            <v>0</v>
          </cell>
          <cell r="V512">
            <v>0</v>
          </cell>
          <cell r="W512">
            <v>0</v>
          </cell>
          <cell r="X512">
            <v>0</v>
          </cell>
          <cell r="Y512">
            <v>0</v>
          </cell>
        </row>
        <row r="513">
          <cell r="E513">
            <v>0</v>
          </cell>
          <cell r="F513" t="str">
            <v>SERIES PONSEL</v>
          </cell>
          <cell r="G513">
            <v>0</v>
          </cell>
          <cell r="H513">
            <v>0</v>
          </cell>
          <cell r="I513">
            <v>0</v>
          </cell>
          <cell r="J513">
            <v>0</v>
          </cell>
          <cell r="K513">
            <v>0</v>
          </cell>
          <cell r="L513">
            <v>0</v>
          </cell>
          <cell r="M513">
            <v>0</v>
          </cell>
          <cell r="N513">
            <v>0</v>
          </cell>
          <cell r="O513">
            <v>0</v>
          </cell>
          <cell r="P513">
            <v>0</v>
          </cell>
          <cell r="Q513">
            <v>0</v>
          </cell>
          <cell r="R513">
            <v>0</v>
          </cell>
          <cell r="S513">
            <v>0</v>
          </cell>
          <cell r="T513">
            <v>0</v>
          </cell>
          <cell r="U513">
            <v>0</v>
          </cell>
          <cell r="V513">
            <v>0</v>
          </cell>
          <cell r="W513">
            <v>0</v>
          </cell>
          <cell r="X513">
            <v>0</v>
          </cell>
          <cell r="Y513">
            <v>0</v>
          </cell>
        </row>
        <row r="514">
          <cell r="E514">
            <v>0</v>
          </cell>
          <cell r="F514" t="str">
            <v>BONAY PONSEL ll</v>
          </cell>
          <cell r="G514">
            <v>0</v>
          </cell>
          <cell r="H514">
            <v>0</v>
          </cell>
          <cell r="I514">
            <v>0</v>
          </cell>
          <cell r="J514">
            <v>0</v>
          </cell>
          <cell r="K514">
            <v>0</v>
          </cell>
          <cell r="L514">
            <v>0</v>
          </cell>
          <cell r="M514">
            <v>0</v>
          </cell>
          <cell r="N514">
            <v>0</v>
          </cell>
          <cell r="O514">
            <v>0</v>
          </cell>
          <cell r="P514">
            <v>0</v>
          </cell>
          <cell r="Q514">
            <v>0</v>
          </cell>
          <cell r="R514">
            <v>0</v>
          </cell>
          <cell r="S514">
            <v>0</v>
          </cell>
          <cell r="T514">
            <v>0</v>
          </cell>
          <cell r="U514">
            <v>0</v>
          </cell>
          <cell r="V514">
            <v>0</v>
          </cell>
          <cell r="W514">
            <v>0</v>
          </cell>
          <cell r="X514">
            <v>0</v>
          </cell>
          <cell r="Y514">
            <v>0</v>
          </cell>
        </row>
        <row r="515">
          <cell r="E515">
            <v>0</v>
          </cell>
          <cell r="F515" t="str">
            <v>BONAY CAFE</v>
          </cell>
          <cell r="G515">
            <v>0</v>
          </cell>
          <cell r="H515">
            <v>0</v>
          </cell>
          <cell r="I515">
            <v>0</v>
          </cell>
          <cell r="J515">
            <v>0</v>
          </cell>
          <cell r="K515">
            <v>0</v>
          </cell>
          <cell r="L515">
            <v>0</v>
          </cell>
          <cell r="M515">
            <v>0</v>
          </cell>
          <cell r="N515">
            <v>0</v>
          </cell>
          <cell r="O515">
            <v>0</v>
          </cell>
          <cell r="P515">
            <v>0</v>
          </cell>
          <cell r="Q515">
            <v>0</v>
          </cell>
          <cell r="R515">
            <v>0</v>
          </cell>
          <cell r="S515">
            <v>0</v>
          </cell>
          <cell r="T515">
            <v>0</v>
          </cell>
          <cell r="U515">
            <v>0</v>
          </cell>
          <cell r="V515">
            <v>0</v>
          </cell>
          <cell r="W515">
            <v>0</v>
          </cell>
          <cell r="X515">
            <v>0</v>
          </cell>
          <cell r="Y515">
            <v>0</v>
          </cell>
        </row>
        <row r="516">
          <cell r="E516">
            <v>0</v>
          </cell>
          <cell r="F516" t="str">
            <v>Albustan cell</v>
          </cell>
          <cell r="G516">
            <v>0</v>
          </cell>
          <cell r="H516">
            <v>0</v>
          </cell>
          <cell r="I516">
            <v>0</v>
          </cell>
          <cell r="J516">
            <v>0</v>
          </cell>
          <cell r="K516">
            <v>0</v>
          </cell>
          <cell r="L516">
            <v>0</v>
          </cell>
          <cell r="M516">
            <v>0</v>
          </cell>
          <cell r="N516">
            <v>0</v>
          </cell>
          <cell r="O516">
            <v>0</v>
          </cell>
          <cell r="P516">
            <v>0</v>
          </cell>
          <cell r="Q516">
            <v>0</v>
          </cell>
          <cell r="R516">
            <v>0</v>
          </cell>
          <cell r="S516">
            <v>0</v>
          </cell>
          <cell r="T516">
            <v>0</v>
          </cell>
          <cell r="U516">
            <v>0</v>
          </cell>
          <cell r="V516">
            <v>0</v>
          </cell>
          <cell r="W516">
            <v>0</v>
          </cell>
          <cell r="X516">
            <v>0</v>
          </cell>
          <cell r="Y516">
            <v>0</v>
          </cell>
        </row>
        <row r="517">
          <cell r="E517">
            <v>0</v>
          </cell>
          <cell r="F517" t="str">
            <v>Glory Selular</v>
          </cell>
          <cell r="G517">
            <v>0</v>
          </cell>
          <cell r="H517">
            <v>0</v>
          </cell>
          <cell r="I517">
            <v>0</v>
          </cell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0</v>
          </cell>
          <cell r="O517">
            <v>0</v>
          </cell>
          <cell r="P517">
            <v>0</v>
          </cell>
          <cell r="Q517">
            <v>0</v>
          </cell>
          <cell r="R517">
            <v>0</v>
          </cell>
          <cell r="S517">
            <v>0</v>
          </cell>
          <cell r="T517">
            <v>0</v>
          </cell>
          <cell r="U517">
            <v>0</v>
          </cell>
          <cell r="V517">
            <v>0</v>
          </cell>
          <cell r="W517">
            <v>0</v>
          </cell>
          <cell r="X517">
            <v>0</v>
          </cell>
          <cell r="Y517">
            <v>0</v>
          </cell>
        </row>
        <row r="518">
          <cell r="E518">
            <v>0</v>
          </cell>
          <cell r="F518" t="str">
            <v>CREATIVE CELULAR</v>
          </cell>
          <cell r="G518">
            <v>0</v>
          </cell>
          <cell r="H518">
            <v>0</v>
          </cell>
          <cell r="I518">
            <v>0</v>
          </cell>
          <cell r="J518">
            <v>0</v>
          </cell>
          <cell r="K518">
            <v>0</v>
          </cell>
          <cell r="L518">
            <v>0</v>
          </cell>
          <cell r="M518">
            <v>0</v>
          </cell>
          <cell r="N518">
            <v>0</v>
          </cell>
          <cell r="O518">
            <v>0</v>
          </cell>
          <cell r="P518">
            <v>0</v>
          </cell>
          <cell r="Q518">
            <v>0</v>
          </cell>
          <cell r="R518">
            <v>0</v>
          </cell>
          <cell r="S518">
            <v>0</v>
          </cell>
          <cell r="T518">
            <v>0</v>
          </cell>
          <cell r="U518">
            <v>0</v>
          </cell>
          <cell r="V518">
            <v>0</v>
          </cell>
          <cell r="W518">
            <v>0</v>
          </cell>
          <cell r="X518">
            <v>0</v>
          </cell>
          <cell r="Y518">
            <v>0</v>
          </cell>
        </row>
        <row r="519">
          <cell r="E519">
            <v>0</v>
          </cell>
          <cell r="F519" t="str">
            <v>UTARI UNDANGAN</v>
          </cell>
          <cell r="G519">
            <v>0</v>
          </cell>
          <cell r="H519">
            <v>0</v>
          </cell>
          <cell r="I519">
            <v>0</v>
          </cell>
          <cell r="J519">
            <v>0</v>
          </cell>
          <cell r="K519">
            <v>0</v>
          </cell>
          <cell r="L519">
            <v>0</v>
          </cell>
          <cell r="M519">
            <v>0</v>
          </cell>
          <cell r="N519">
            <v>0</v>
          </cell>
          <cell r="O519">
            <v>0</v>
          </cell>
          <cell r="P519">
            <v>0</v>
          </cell>
          <cell r="Q519">
            <v>0</v>
          </cell>
          <cell r="R519">
            <v>0</v>
          </cell>
          <cell r="S519">
            <v>0</v>
          </cell>
          <cell r="T519">
            <v>0</v>
          </cell>
          <cell r="U519">
            <v>0</v>
          </cell>
          <cell r="V519">
            <v>0</v>
          </cell>
          <cell r="W519">
            <v>0</v>
          </cell>
          <cell r="X519">
            <v>0</v>
          </cell>
          <cell r="Y519">
            <v>0</v>
          </cell>
        </row>
        <row r="520">
          <cell r="E520">
            <v>0</v>
          </cell>
          <cell r="F520" t="str">
            <v>GISELLA SELULER</v>
          </cell>
          <cell r="G520">
            <v>0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0</v>
          </cell>
          <cell r="M520">
            <v>0</v>
          </cell>
          <cell r="N520">
            <v>0</v>
          </cell>
          <cell r="O520">
            <v>0</v>
          </cell>
          <cell r="P520">
            <v>0</v>
          </cell>
          <cell r="Q520">
            <v>0</v>
          </cell>
          <cell r="R520">
            <v>0</v>
          </cell>
          <cell r="S520">
            <v>0</v>
          </cell>
          <cell r="T520">
            <v>0</v>
          </cell>
          <cell r="U520">
            <v>0</v>
          </cell>
          <cell r="V520">
            <v>0</v>
          </cell>
          <cell r="W520">
            <v>0</v>
          </cell>
          <cell r="X520">
            <v>0</v>
          </cell>
          <cell r="Y520">
            <v>0</v>
          </cell>
        </row>
        <row r="521">
          <cell r="E521">
            <v>0</v>
          </cell>
          <cell r="F521" t="str">
            <v>Murni Selular</v>
          </cell>
          <cell r="G521">
            <v>0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0</v>
          </cell>
          <cell r="M521">
            <v>0</v>
          </cell>
          <cell r="N521">
            <v>0</v>
          </cell>
          <cell r="O521">
            <v>0</v>
          </cell>
          <cell r="P521">
            <v>0</v>
          </cell>
          <cell r="Q521">
            <v>0</v>
          </cell>
          <cell r="R521">
            <v>0</v>
          </cell>
          <cell r="S521">
            <v>0</v>
          </cell>
          <cell r="T521">
            <v>0</v>
          </cell>
          <cell r="U521">
            <v>0</v>
          </cell>
          <cell r="V521">
            <v>0</v>
          </cell>
          <cell r="W521">
            <v>0</v>
          </cell>
          <cell r="X521">
            <v>0</v>
          </cell>
          <cell r="Y521">
            <v>0</v>
          </cell>
        </row>
        <row r="522">
          <cell r="E522">
            <v>0</v>
          </cell>
          <cell r="F522" t="str">
            <v>RR STORE</v>
          </cell>
          <cell r="G522">
            <v>0</v>
          </cell>
          <cell r="H522">
            <v>0</v>
          </cell>
          <cell r="I522">
            <v>0</v>
          </cell>
          <cell r="J522">
            <v>0</v>
          </cell>
          <cell r="K522">
            <v>0</v>
          </cell>
          <cell r="L522">
            <v>0</v>
          </cell>
          <cell r="M522">
            <v>0</v>
          </cell>
          <cell r="N522">
            <v>0</v>
          </cell>
          <cell r="O522">
            <v>0</v>
          </cell>
          <cell r="P522">
            <v>0</v>
          </cell>
          <cell r="Q522">
            <v>0</v>
          </cell>
          <cell r="R522">
            <v>0</v>
          </cell>
          <cell r="S522">
            <v>0</v>
          </cell>
          <cell r="T522">
            <v>0</v>
          </cell>
          <cell r="U522">
            <v>0</v>
          </cell>
          <cell r="V522">
            <v>0</v>
          </cell>
          <cell r="W522">
            <v>0</v>
          </cell>
          <cell r="X522">
            <v>0</v>
          </cell>
          <cell r="Y522">
            <v>0</v>
          </cell>
        </row>
        <row r="523">
          <cell r="E523">
            <v>0</v>
          </cell>
          <cell r="F523" t="str">
            <v>YN Ponsel</v>
          </cell>
          <cell r="G523">
            <v>0</v>
          </cell>
          <cell r="H523">
            <v>0</v>
          </cell>
          <cell r="I523">
            <v>0</v>
          </cell>
          <cell r="J523">
            <v>0</v>
          </cell>
          <cell r="K523">
            <v>0</v>
          </cell>
          <cell r="L523">
            <v>0</v>
          </cell>
          <cell r="M523">
            <v>0</v>
          </cell>
          <cell r="N523">
            <v>0</v>
          </cell>
          <cell r="O523">
            <v>0</v>
          </cell>
          <cell r="P523">
            <v>0</v>
          </cell>
          <cell r="Q523">
            <v>0</v>
          </cell>
          <cell r="R523">
            <v>0</v>
          </cell>
          <cell r="S523">
            <v>0</v>
          </cell>
          <cell r="T523">
            <v>0</v>
          </cell>
          <cell r="U523">
            <v>0</v>
          </cell>
          <cell r="V523">
            <v>0</v>
          </cell>
          <cell r="W523">
            <v>0</v>
          </cell>
          <cell r="X523">
            <v>0</v>
          </cell>
          <cell r="Y523">
            <v>0</v>
          </cell>
        </row>
        <row r="524">
          <cell r="E524">
            <v>0</v>
          </cell>
          <cell r="F524" t="str">
            <v>Toko Pak Cik</v>
          </cell>
          <cell r="G524">
            <v>0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0</v>
          </cell>
          <cell r="M524">
            <v>0</v>
          </cell>
          <cell r="N524">
            <v>0</v>
          </cell>
          <cell r="O524">
            <v>0</v>
          </cell>
          <cell r="P524">
            <v>0</v>
          </cell>
          <cell r="Q524">
            <v>0</v>
          </cell>
          <cell r="R524">
            <v>0</v>
          </cell>
          <cell r="S524">
            <v>0</v>
          </cell>
          <cell r="T524">
            <v>0</v>
          </cell>
          <cell r="U524">
            <v>0</v>
          </cell>
          <cell r="V524">
            <v>0</v>
          </cell>
          <cell r="W524">
            <v>0</v>
          </cell>
          <cell r="X524">
            <v>0</v>
          </cell>
          <cell r="Y524">
            <v>0</v>
          </cell>
        </row>
        <row r="525">
          <cell r="E525">
            <v>0</v>
          </cell>
          <cell r="F525" t="str">
            <v>GM Ponsel</v>
          </cell>
          <cell r="G525">
            <v>0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0</v>
          </cell>
          <cell r="M525">
            <v>0</v>
          </cell>
          <cell r="N525">
            <v>0</v>
          </cell>
          <cell r="O525">
            <v>0</v>
          </cell>
          <cell r="P525">
            <v>0</v>
          </cell>
          <cell r="Q525">
            <v>0</v>
          </cell>
          <cell r="R525">
            <v>0</v>
          </cell>
          <cell r="S525">
            <v>0</v>
          </cell>
          <cell r="T525">
            <v>0</v>
          </cell>
          <cell r="U525">
            <v>0</v>
          </cell>
          <cell r="V525">
            <v>0</v>
          </cell>
          <cell r="W525">
            <v>0</v>
          </cell>
          <cell r="X525">
            <v>0</v>
          </cell>
          <cell r="Y525">
            <v>0</v>
          </cell>
        </row>
        <row r="526">
          <cell r="E526">
            <v>0</v>
          </cell>
          <cell r="F526" t="str">
            <v>Semangat baru</v>
          </cell>
          <cell r="G526">
            <v>0</v>
          </cell>
          <cell r="H526">
            <v>0</v>
          </cell>
          <cell r="I526">
            <v>0</v>
          </cell>
          <cell r="J526">
            <v>0</v>
          </cell>
          <cell r="K526">
            <v>0</v>
          </cell>
          <cell r="L526">
            <v>0</v>
          </cell>
          <cell r="M526">
            <v>0</v>
          </cell>
          <cell r="N526">
            <v>0</v>
          </cell>
          <cell r="O526">
            <v>0</v>
          </cell>
          <cell r="P526">
            <v>0</v>
          </cell>
          <cell r="Q526">
            <v>0</v>
          </cell>
          <cell r="R526">
            <v>0</v>
          </cell>
          <cell r="S526">
            <v>0</v>
          </cell>
          <cell r="T526">
            <v>0</v>
          </cell>
          <cell r="U526">
            <v>0</v>
          </cell>
          <cell r="V526">
            <v>0</v>
          </cell>
          <cell r="W526">
            <v>0</v>
          </cell>
          <cell r="X526">
            <v>0</v>
          </cell>
          <cell r="Y526">
            <v>0</v>
          </cell>
        </row>
        <row r="527">
          <cell r="E527">
            <v>0</v>
          </cell>
          <cell r="F527" t="str">
            <v>JUNAIDI CELL</v>
          </cell>
          <cell r="G527">
            <v>0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0</v>
          </cell>
          <cell r="M527">
            <v>0</v>
          </cell>
          <cell r="N527">
            <v>0</v>
          </cell>
          <cell r="O527">
            <v>0</v>
          </cell>
          <cell r="P527">
            <v>0</v>
          </cell>
          <cell r="Q527">
            <v>0</v>
          </cell>
          <cell r="R527">
            <v>0</v>
          </cell>
          <cell r="S527">
            <v>0</v>
          </cell>
          <cell r="T527">
            <v>0</v>
          </cell>
          <cell r="U527">
            <v>0</v>
          </cell>
          <cell r="V527">
            <v>0</v>
          </cell>
          <cell r="W527">
            <v>0</v>
          </cell>
          <cell r="X527">
            <v>0</v>
          </cell>
          <cell r="Y527">
            <v>0</v>
          </cell>
        </row>
        <row r="528">
          <cell r="E528">
            <v>0</v>
          </cell>
          <cell r="F528" t="str">
            <v>Debi Cellular</v>
          </cell>
          <cell r="G528">
            <v>0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0</v>
          </cell>
          <cell r="M528">
            <v>0</v>
          </cell>
          <cell r="N528">
            <v>0</v>
          </cell>
          <cell r="O528">
            <v>0</v>
          </cell>
          <cell r="P528">
            <v>0</v>
          </cell>
          <cell r="Q528">
            <v>0</v>
          </cell>
          <cell r="R528">
            <v>0</v>
          </cell>
          <cell r="S528">
            <v>0</v>
          </cell>
          <cell r="T528">
            <v>0</v>
          </cell>
          <cell r="U528">
            <v>0</v>
          </cell>
          <cell r="V528">
            <v>0</v>
          </cell>
          <cell r="W528">
            <v>0</v>
          </cell>
          <cell r="X528">
            <v>0</v>
          </cell>
          <cell r="Y528">
            <v>0</v>
          </cell>
        </row>
        <row r="529">
          <cell r="E529">
            <v>0</v>
          </cell>
          <cell r="F529" t="str">
            <v>Toko Ahin</v>
          </cell>
          <cell r="G529">
            <v>0</v>
          </cell>
          <cell r="H529">
            <v>0</v>
          </cell>
          <cell r="I529">
            <v>0</v>
          </cell>
          <cell r="J529">
            <v>0</v>
          </cell>
          <cell r="K529">
            <v>0</v>
          </cell>
          <cell r="L529">
            <v>0</v>
          </cell>
          <cell r="M529">
            <v>0</v>
          </cell>
          <cell r="N529">
            <v>0</v>
          </cell>
          <cell r="O529">
            <v>0</v>
          </cell>
          <cell r="P529">
            <v>0</v>
          </cell>
          <cell r="Q529">
            <v>0</v>
          </cell>
          <cell r="R529">
            <v>0</v>
          </cell>
          <cell r="S529">
            <v>0</v>
          </cell>
          <cell r="T529">
            <v>0</v>
          </cell>
          <cell r="U529">
            <v>0</v>
          </cell>
          <cell r="V529">
            <v>0</v>
          </cell>
          <cell r="W529">
            <v>0</v>
          </cell>
          <cell r="X529">
            <v>0</v>
          </cell>
          <cell r="Y529">
            <v>0</v>
          </cell>
        </row>
        <row r="530">
          <cell r="E530">
            <v>0</v>
          </cell>
          <cell r="F530" t="str">
            <v>Parfum cell</v>
          </cell>
          <cell r="G530">
            <v>0</v>
          </cell>
          <cell r="H530">
            <v>0</v>
          </cell>
          <cell r="I530">
            <v>0</v>
          </cell>
          <cell r="J530">
            <v>0</v>
          </cell>
          <cell r="K530">
            <v>0</v>
          </cell>
          <cell r="L530">
            <v>0</v>
          </cell>
          <cell r="M530">
            <v>0</v>
          </cell>
          <cell r="N530">
            <v>0</v>
          </cell>
          <cell r="O530">
            <v>0</v>
          </cell>
          <cell r="P530">
            <v>0</v>
          </cell>
          <cell r="Q530">
            <v>0</v>
          </cell>
          <cell r="R530">
            <v>0</v>
          </cell>
          <cell r="S530">
            <v>0</v>
          </cell>
          <cell r="T530">
            <v>0</v>
          </cell>
          <cell r="U530">
            <v>0</v>
          </cell>
          <cell r="V530">
            <v>0</v>
          </cell>
          <cell r="W530">
            <v>0</v>
          </cell>
          <cell r="X530">
            <v>0</v>
          </cell>
          <cell r="Y530">
            <v>0</v>
          </cell>
        </row>
        <row r="531">
          <cell r="E531">
            <v>0</v>
          </cell>
          <cell r="F531" t="str">
            <v>kios teten</v>
          </cell>
          <cell r="G531">
            <v>0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0</v>
          </cell>
          <cell r="M531">
            <v>0</v>
          </cell>
          <cell r="N531">
            <v>0</v>
          </cell>
          <cell r="O531">
            <v>0</v>
          </cell>
          <cell r="P531">
            <v>0</v>
          </cell>
          <cell r="Q531">
            <v>0</v>
          </cell>
          <cell r="R531">
            <v>0</v>
          </cell>
          <cell r="S531">
            <v>0</v>
          </cell>
          <cell r="T531">
            <v>0</v>
          </cell>
          <cell r="U531">
            <v>0</v>
          </cell>
          <cell r="V531">
            <v>0</v>
          </cell>
          <cell r="W531">
            <v>0</v>
          </cell>
          <cell r="X531">
            <v>0</v>
          </cell>
          <cell r="Y531">
            <v>0</v>
          </cell>
        </row>
        <row r="532">
          <cell r="E532">
            <v>0</v>
          </cell>
          <cell r="F532" t="str">
            <v>Warung dewi</v>
          </cell>
          <cell r="G532">
            <v>0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0</v>
          </cell>
          <cell r="M532">
            <v>0</v>
          </cell>
          <cell r="N532">
            <v>0</v>
          </cell>
          <cell r="O532">
            <v>0</v>
          </cell>
          <cell r="P532">
            <v>0</v>
          </cell>
          <cell r="Q532">
            <v>0</v>
          </cell>
          <cell r="R532">
            <v>0</v>
          </cell>
          <cell r="S532">
            <v>0</v>
          </cell>
          <cell r="T532">
            <v>0</v>
          </cell>
          <cell r="U532">
            <v>0</v>
          </cell>
          <cell r="V532">
            <v>0</v>
          </cell>
          <cell r="W532">
            <v>0</v>
          </cell>
          <cell r="X532">
            <v>0</v>
          </cell>
          <cell r="Y532">
            <v>0</v>
          </cell>
        </row>
        <row r="533">
          <cell r="E533">
            <v>0</v>
          </cell>
          <cell r="F533" t="str">
            <v>TOKO AGUS</v>
          </cell>
          <cell r="G533">
            <v>0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O533">
            <v>0</v>
          </cell>
          <cell r="P533">
            <v>0</v>
          </cell>
          <cell r="Q533">
            <v>0</v>
          </cell>
          <cell r="R533">
            <v>0</v>
          </cell>
          <cell r="S533">
            <v>0</v>
          </cell>
          <cell r="T533">
            <v>0</v>
          </cell>
          <cell r="U533">
            <v>0</v>
          </cell>
          <cell r="V533">
            <v>0</v>
          </cell>
          <cell r="W533">
            <v>0</v>
          </cell>
          <cell r="X533">
            <v>0</v>
          </cell>
          <cell r="Y533">
            <v>0</v>
          </cell>
        </row>
        <row r="534">
          <cell r="E534">
            <v>0</v>
          </cell>
          <cell r="F534" t="str">
            <v>warung arifin</v>
          </cell>
          <cell r="G534">
            <v>0</v>
          </cell>
          <cell r="H534">
            <v>0</v>
          </cell>
          <cell r="I534">
            <v>0</v>
          </cell>
          <cell r="J534">
            <v>0</v>
          </cell>
          <cell r="K534">
            <v>0</v>
          </cell>
          <cell r="L534">
            <v>0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0</v>
          </cell>
          <cell r="U534">
            <v>0</v>
          </cell>
          <cell r="V534">
            <v>0</v>
          </cell>
          <cell r="W534">
            <v>0</v>
          </cell>
          <cell r="X534">
            <v>0</v>
          </cell>
          <cell r="Y534">
            <v>0</v>
          </cell>
        </row>
        <row r="535">
          <cell r="E535">
            <v>0</v>
          </cell>
          <cell r="F535" t="str">
            <v>warung anis barokah</v>
          </cell>
          <cell r="G535">
            <v>0</v>
          </cell>
          <cell r="H535">
            <v>0</v>
          </cell>
          <cell r="I535">
            <v>0</v>
          </cell>
          <cell r="J535">
            <v>0</v>
          </cell>
          <cell r="K535">
            <v>0</v>
          </cell>
          <cell r="L535">
            <v>0</v>
          </cell>
          <cell r="M535">
            <v>0</v>
          </cell>
          <cell r="N535">
            <v>0</v>
          </cell>
          <cell r="O535">
            <v>0</v>
          </cell>
          <cell r="P535">
            <v>0</v>
          </cell>
          <cell r="Q535">
            <v>0</v>
          </cell>
          <cell r="R535">
            <v>0</v>
          </cell>
          <cell r="S535">
            <v>0</v>
          </cell>
          <cell r="T535">
            <v>0</v>
          </cell>
          <cell r="U535">
            <v>0</v>
          </cell>
          <cell r="V535">
            <v>0</v>
          </cell>
          <cell r="W535">
            <v>0</v>
          </cell>
          <cell r="X535">
            <v>0</v>
          </cell>
          <cell r="Y535">
            <v>0</v>
          </cell>
        </row>
        <row r="536">
          <cell r="E536">
            <v>0</v>
          </cell>
          <cell r="F536" t="str">
            <v>WARUNG NOVIA</v>
          </cell>
          <cell r="G536">
            <v>0</v>
          </cell>
          <cell r="H536">
            <v>0</v>
          </cell>
          <cell r="I536">
            <v>0</v>
          </cell>
          <cell r="J536">
            <v>0</v>
          </cell>
          <cell r="K536">
            <v>0</v>
          </cell>
          <cell r="L536">
            <v>0</v>
          </cell>
          <cell r="M536">
            <v>0</v>
          </cell>
          <cell r="N536">
            <v>0</v>
          </cell>
          <cell r="O536">
            <v>0</v>
          </cell>
          <cell r="P536">
            <v>0</v>
          </cell>
          <cell r="Q536">
            <v>0</v>
          </cell>
          <cell r="R536">
            <v>0</v>
          </cell>
          <cell r="S536">
            <v>0</v>
          </cell>
          <cell r="T536">
            <v>0</v>
          </cell>
          <cell r="U536">
            <v>0</v>
          </cell>
          <cell r="V536">
            <v>0</v>
          </cell>
          <cell r="W536">
            <v>0</v>
          </cell>
          <cell r="X536">
            <v>0</v>
          </cell>
          <cell r="Y536">
            <v>0</v>
          </cell>
        </row>
        <row r="537">
          <cell r="E537">
            <v>0</v>
          </cell>
          <cell r="F537" t="str">
            <v>warung heri</v>
          </cell>
          <cell r="G537">
            <v>0</v>
          </cell>
          <cell r="H537">
            <v>0</v>
          </cell>
          <cell r="I537">
            <v>0</v>
          </cell>
          <cell r="J537">
            <v>0</v>
          </cell>
          <cell r="K537">
            <v>0</v>
          </cell>
          <cell r="L537">
            <v>0</v>
          </cell>
          <cell r="M537">
            <v>0</v>
          </cell>
          <cell r="N537">
            <v>0</v>
          </cell>
          <cell r="O537">
            <v>0</v>
          </cell>
          <cell r="P537">
            <v>0</v>
          </cell>
          <cell r="Q537">
            <v>0</v>
          </cell>
          <cell r="R537">
            <v>0</v>
          </cell>
          <cell r="S537">
            <v>0</v>
          </cell>
          <cell r="T537">
            <v>0</v>
          </cell>
          <cell r="U537">
            <v>0</v>
          </cell>
          <cell r="V537">
            <v>0</v>
          </cell>
          <cell r="W537">
            <v>0</v>
          </cell>
          <cell r="X537">
            <v>0</v>
          </cell>
          <cell r="Y537">
            <v>0</v>
          </cell>
        </row>
        <row r="538">
          <cell r="E538">
            <v>0</v>
          </cell>
          <cell r="F538" t="str">
            <v>Kaya Rizki</v>
          </cell>
          <cell r="G538">
            <v>0</v>
          </cell>
          <cell r="H538">
            <v>0</v>
          </cell>
          <cell r="I538">
            <v>0</v>
          </cell>
          <cell r="J538">
            <v>0</v>
          </cell>
          <cell r="K538">
            <v>0</v>
          </cell>
          <cell r="L538">
            <v>0</v>
          </cell>
          <cell r="M538">
            <v>0</v>
          </cell>
          <cell r="N538">
            <v>0</v>
          </cell>
          <cell r="O538">
            <v>0</v>
          </cell>
          <cell r="P538">
            <v>0</v>
          </cell>
          <cell r="Q538">
            <v>0</v>
          </cell>
          <cell r="R538">
            <v>0</v>
          </cell>
          <cell r="S538">
            <v>0</v>
          </cell>
          <cell r="T538">
            <v>0</v>
          </cell>
          <cell r="U538">
            <v>0</v>
          </cell>
          <cell r="V538">
            <v>0</v>
          </cell>
          <cell r="W538">
            <v>0</v>
          </cell>
          <cell r="X538">
            <v>0</v>
          </cell>
          <cell r="Y538">
            <v>0</v>
          </cell>
        </row>
        <row r="539">
          <cell r="E539">
            <v>0</v>
          </cell>
          <cell r="F539" t="str">
            <v>Alam Ponsel</v>
          </cell>
          <cell r="G539">
            <v>0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0</v>
          </cell>
          <cell r="M539">
            <v>0</v>
          </cell>
          <cell r="N539">
            <v>0</v>
          </cell>
          <cell r="O539">
            <v>0</v>
          </cell>
          <cell r="P539">
            <v>0</v>
          </cell>
          <cell r="Q539">
            <v>0</v>
          </cell>
          <cell r="R539">
            <v>0</v>
          </cell>
          <cell r="S539">
            <v>0</v>
          </cell>
          <cell r="T539">
            <v>0</v>
          </cell>
          <cell r="U539">
            <v>0</v>
          </cell>
          <cell r="V539">
            <v>0</v>
          </cell>
          <cell r="W539">
            <v>0</v>
          </cell>
          <cell r="X539">
            <v>0</v>
          </cell>
          <cell r="Y539">
            <v>0</v>
          </cell>
        </row>
        <row r="540">
          <cell r="E540">
            <v>0</v>
          </cell>
          <cell r="F540" t="str">
            <v>TOKO BERKAH</v>
          </cell>
          <cell r="G540">
            <v>0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0</v>
          </cell>
          <cell r="M540">
            <v>0</v>
          </cell>
          <cell r="N540">
            <v>0</v>
          </cell>
          <cell r="O540">
            <v>0</v>
          </cell>
          <cell r="P540">
            <v>0</v>
          </cell>
          <cell r="Q540">
            <v>0</v>
          </cell>
          <cell r="R540">
            <v>0</v>
          </cell>
          <cell r="S540">
            <v>0</v>
          </cell>
          <cell r="T540">
            <v>0</v>
          </cell>
          <cell r="U540">
            <v>0</v>
          </cell>
          <cell r="V540">
            <v>0</v>
          </cell>
          <cell r="W540">
            <v>0</v>
          </cell>
          <cell r="X540">
            <v>0</v>
          </cell>
          <cell r="Y540">
            <v>0</v>
          </cell>
        </row>
        <row r="541">
          <cell r="E541">
            <v>0</v>
          </cell>
          <cell r="F541" t="str">
            <v>WARUNG YULIANA</v>
          </cell>
          <cell r="G541">
            <v>0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0</v>
          </cell>
          <cell r="M541">
            <v>0</v>
          </cell>
          <cell r="N541">
            <v>0</v>
          </cell>
          <cell r="O541">
            <v>0</v>
          </cell>
          <cell r="P541">
            <v>0</v>
          </cell>
          <cell r="Q541">
            <v>0</v>
          </cell>
          <cell r="R541">
            <v>0</v>
          </cell>
          <cell r="S541">
            <v>0</v>
          </cell>
          <cell r="T541">
            <v>0</v>
          </cell>
          <cell r="U541">
            <v>0</v>
          </cell>
          <cell r="V541">
            <v>0</v>
          </cell>
          <cell r="W541">
            <v>0</v>
          </cell>
          <cell r="X541">
            <v>0</v>
          </cell>
          <cell r="Y541">
            <v>0</v>
          </cell>
        </row>
        <row r="542">
          <cell r="E542">
            <v>0</v>
          </cell>
          <cell r="F542" t="str">
            <v>Akhun Ponsel</v>
          </cell>
          <cell r="G542">
            <v>0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0</v>
          </cell>
          <cell r="M542">
            <v>0</v>
          </cell>
          <cell r="N542">
            <v>0</v>
          </cell>
          <cell r="O542">
            <v>0</v>
          </cell>
          <cell r="P542">
            <v>0</v>
          </cell>
          <cell r="Q542">
            <v>0</v>
          </cell>
          <cell r="R542">
            <v>0</v>
          </cell>
          <cell r="S542">
            <v>0</v>
          </cell>
          <cell r="T542">
            <v>0</v>
          </cell>
          <cell r="U542">
            <v>0</v>
          </cell>
          <cell r="V542">
            <v>0</v>
          </cell>
          <cell r="W542">
            <v>0</v>
          </cell>
          <cell r="X542">
            <v>0</v>
          </cell>
          <cell r="Y542">
            <v>0</v>
          </cell>
        </row>
        <row r="543">
          <cell r="E543">
            <v>0</v>
          </cell>
          <cell r="F543" t="str">
            <v>TK Basmallah</v>
          </cell>
          <cell r="G543">
            <v>0</v>
          </cell>
          <cell r="H543">
            <v>0</v>
          </cell>
          <cell r="I543">
            <v>0</v>
          </cell>
          <cell r="J543">
            <v>0</v>
          </cell>
          <cell r="K543">
            <v>0</v>
          </cell>
          <cell r="L543">
            <v>0</v>
          </cell>
          <cell r="M543">
            <v>0</v>
          </cell>
          <cell r="N543">
            <v>0</v>
          </cell>
          <cell r="O543">
            <v>0</v>
          </cell>
          <cell r="P543">
            <v>0</v>
          </cell>
          <cell r="Q543">
            <v>0</v>
          </cell>
          <cell r="R543">
            <v>0</v>
          </cell>
          <cell r="S543">
            <v>0</v>
          </cell>
          <cell r="T543">
            <v>0</v>
          </cell>
          <cell r="U543">
            <v>0</v>
          </cell>
          <cell r="V543">
            <v>0</v>
          </cell>
          <cell r="W543">
            <v>0</v>
          </cell>
          <cell r="X543">
            <v>0</v>
          </cell>
          <cell r="Y543">
            <v>0</v>
          </cell>
        </row>
        <row r="544">
          <cell r="E544">
            <v>0</v>
          </cell>
          <cell r="F544" t="str">
            <v>Toko Fendi</v>
          </cell>
          <cell r="G544">
            <v>0</v>
          </cell>
          <cell r="H544">
            <v>0</v>
          </cell>
          <cell r="I544">
            <v>0</v>
          </cell>
          <cell r="J544">
            <v>0</v>
          </cell>
          <cell r="K544">
            <v>0</v>
          </cell>
          <cell r="L544">
            <v>0</v>
          </cell>
          <cell r="M544">
            <v>0</v>
          </cell>
          <cell r="N544">
            <v>0</v>
          </cell>
          <cell r="O544">
            <v>0</v>
          </cell>
          <cell r="P544">
            <v>0</v>
          </cell>
          <cell r="Q544">
            <v>0</v>
          </cell>
          <cell r="R544">
            <v>0</v>
          </cell>
          <cell r="S544">
            <v>0</v>
          </cell>
          <cell r="T544">
            <v>0</v>
          </cell>
          <cell r="U544">
            <v>0</v>
          </cell>
          <cell r="V544">
            <v>0</v>
          </cell>
          <cell r="W544">
            <v>0</v>
          </cell>
          <cell r="X544">
            <v>0</v>
          </cell>
          <cell r="Y544">
            <v>0</v>
          </cell>
        </row>
        <row r="545">
          <cell r="E545">
            <v>0</v>
          </cell>
          <cell r="F545" t="str">
            <v>TOKO BERKAH</v>
          </cell>
          <cell r="G545">
            <v>0</v>
          </cell>
          <cell r="H545">
            <v>0</v>
          </cell>
          <cell r="I545">
            <v>0</v>
          </cell>
          <cell r="J545">
            <v>0</v>
          </cell>
          <cell r="K545">
            <v>0</v>
          </cell>
          <cell r="L545">
            <v>0</v>
          </cell>
          <cell r="M545">
            <v>0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0</v>
          </cell>
          <cell r="T545">
            <v>0</v>
          </cell>
          <cell r="U545">
            <v>0</v>
          </cell>
          <cell r="V545">
            <v>0</v>
          </cell>
          <cell r="W545">
            <v>0</v>
          </cell>
          <cell r="X545">
            <v>0</v>
          </cell>
          <cell r="Y545">
            <v>0</v>
          </cell>
        </row>
        <row r="546">
          <cell r="E546">
            <v>0</v>
          </cell>
          <cell r="F546" t="str">
            <v>Zona phone</v>
          </cell>
          <cell r="G546">
            <v>0</v>
          </cell>
          <cell r="H546">
            <v>0</v>
          </cell>
          <cell r="I546">
            <v>0</v>
          </cell>
          <cell r="J546">
            <v>0</v>
          </cell>
          <cell r="K546">
            <v>0</v>
          </cell>
          <cell r="L546">
            <v>0</v>
          </cell>
          <cell r="M546">
            <v>0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0</v>
          </cell>
          <cell r="U546">
            <v>0</v>
          </cell>
          <cell r="V546">
            <v>0</v>
          </cell>
          <cell r="W546">
            <v>0</v>
          </cell>
          <cell r="X546">
            <v>0</v>
          </cell>
          <cell r="Y546">
            <v>0</v>
          </cell>
        </row>
        <row r="547">
          <cell r="E547">
            <v>0</v>
          </cell>
          <cell r="F547" t="str">
            <v>Lusiana cell</v>
          </cell>
          <cell r="G547">
            <v>0</v>
          </cell>
          <cell r="H547">
            <v>0</v>
          </cell>
          <cell r="I547">
            <v>0</v>
          </cell>
          <cell r="J547">
            <v>0</v>
          </cell>
          <cell r="K547">
            <v>0</v>
          </cell>
          <cell r="L547">
            <v>0</v>
          </cell>
          <cell r="M547">
            <v>0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0</v>
          </cell>
          <cell r="U547">
            <v>0</v>
          </cell>
          <cell r="V547">
            <v>0</v>
          </cell>
          <cell r="W547">
            <v>0</v>
          </cell>
          <cell r="X547">
            <v>0</v>
          </cell>
          <cell r="Y547">
            <v>0</v>
          </cell>
        </row>
        <row r="548">
          <cell r="E548">
            <v>0</v>
          </cell>
          <cell r="F548" t="str">
            <v>Jaya Selalu</v>
          </cell>
          <cell r="G548">
            <v>0</v>
          </cell>
          <cell r="H548">
            <v>0</v>
          </cell>
          <cell r="I548">
            <v>0</v>
          </cell>
          <cell r="J548">
            <v>0</v>
          </cell>
          <cell r="K548">
            <v>0</v>
          </cell>
          <cell r="L548">
            <v>0</v>
          </cell>
          <cell r="M548">
            <v>0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>
            <v>0</v>
          </cell>
          <cell r="S548">
            <v>0</v>
          </cell>
          <cell r="T548">
            <v>0</v>
          </cell>
          <cell r="U548">
            <v>0</v>
          </cell>
          <cell r="V548">
            <v>0</v>
          </cell>
          <cell r="W548">
            <v>0</v>
          </cell>
          <cell r="X548">
            <v>0</v>
          </cell>
          <cell r="Y548">
            <v>0</v>
          </cell>
        </row>
        <row r="549">
          <cell r="E549">
            <v>0</v>
          </cell>
          <cell r="F549" t="str">
            <v>BAZAR PONSEL</v>
          </cell>
          <cell r="G549">
            <v>0</v>
          </cell>
          <cell r="H549">
            <v>0</v>
          </cell>
          <cell r="I549">
            <v>0</v>
          </cell>
          <cell r="J549">
            <v>0</v>
          </cell>
          <cell r="K549">
            <v>0</v>
          </cell>
          <cell r="L549">
            <v>0</v>
          </cell>
          <cell r="M549">
            <v>0</v>
          </cell>
          <cell r="N549">
            <v>0</v>
          </cell>
          <cell r="O549">
            <v>0</v>
          </cell>
          <cell r="P549">
            <v>0</v>
          </cell>
          <cell r="Q549">
            <v>0</v>
          </cell>
          <cell r="R549">
            <v>0</v>
          </cell>
          <cell r="S549">
            <v>0</v>
          </cell>
          <cell r="T549">
            <v>0</v>
          </cell>
          <cell r="U549">
            <v>0</v>
          </cell>
          <cell r="V549">
            <v>0</v>
          </cell>
          <cell r="W549">
            <v>0</v>
          </cell>
          <cell r="X549">
            <v>0</v>
          </cell>
          <cell r="Y549">
            <v>0</v>
          </cell>
        </row>
        <row r="550">
          <cell r="E550">
            <v>0</v>
          </cell>
          <cell r="F550" t="str">
            <v>BAZAR PONSEL</v>
          </cell>
          <cell r="G550">
            <v>0</v>
          </cell>
          <cell r="H550">
            <v>0</v>
          </cell>
          <cell r="I550">
            <v>0</v>
          </cell>
          <cell r="J550">
            <v>0</v>
          </cell>
          <cell r="K550">
            <v>0</v>
          </cell>
          <cell r="L550">
            <v>0</v>
          </cell>
          <cell r="M550">
            <v>0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0</v>
          </cell>
          <cell r="U550">
            <v>0</v>
          </cell>
          <cell r="V550">
            <v>0</v>
          </cell>
          <cell r="W550">
            <v>0</v>
          </cell>
          <cell r="X550">
            <v>0</v>
          </cell>
          <cell r="Y550">
            <v>0</v>
          </cell>
        </row>
        <row r="551">
          <cell r="E551">
            <v>0</v>
          </cell>
          <cell r="F551" t="str">
            <v>Nicky ponsel</v>
          </cell>
          <cell r="G551">
            <v>0</v>
          </cell>
          <cell r="H551">
            <v>0</v>
          </cell>
          <cell r="I551">
            <v>0</v>
          </cell>
          <cell r="J551">
            <v>0</v>
          </cell>
          <cell r="K551">
            <v>0</v>
          </cell>
          <cell r="L551">
            <v>0</v>
          </cell>
          <cell r="M551">
            <v>0</v>
          </cell>
          <cell r="N551">
            <v>0</v>
          </cell>
          <cell r="O551">
            <v>0</v>
          </cell>
          <cell r="P551">
            <v>0</v>
          </cell>
          <cell r="Q551">
            <v>0</v>
          </cell>
          <cell r="R551">
            <v>0</v>
          </cell>
          <cell r="S551">
            <v>0</v>
          </cell>
          <cell r="T551">
            <v>0</v>
          </cell>
          <cell r="U551">
            <v>0</v>
          </cell>
          <cell r="V551">
            <v>0</v>
          </cell>
          <cell r="W551">
            <v>0</v>
          </cell>
          <cell r="X551">
            <v>0</v>
          </cell>
          <cell r="Y551">
            <v>0</v>
          </cell>
        </row>
        <row r="552">
          <cell r="E552">
            <v>0</v>
          </cell>
          <cell r="F552" t="str">
            <v>Iwan ponsel</v>
          </cell>
          <cell r="G552">
            <v>0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0</v>
          </cell>
          <cell r="M552">
            <v>0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</row>
        <row r="553">
          <cell r="E553">
            <v>0</v>
          </cell>
          <cell r="F553" t="str">
            <v>KOBET PONSEL</v>
          </cell>
          <cell r="G553">
            <v>0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0</v>
          </cell>
          <cell r="M553">
            <v>0</v>
          </cell>
          <cell r="N553">
            <v>0</v>
          </cell>
          <cell r="O553">
            <v>0</v>
          </cell>
          <cell r="P553">
            <v>0</v>
          </cell>
          <cell r="Q553">
            <v>0</v>
          </cell>
          <cell r="R553">
            <v>0</v>
          </cell>
          <cell r="S553">
            <v>0</v>
          </cell>
          <cell r="T553">
            <v>0</v>
          </cell>
          <cell r="U553">
            <v>0</v>
          </cell>
          <cell r="V553">
            <v>0</v>
          </cell>
          <cell r="W553">
            <v>0</v>
          </cell>
          <cell r="X553">
            <v>0</v>
          </cell>
          <cell r="Y553">
            <v>0</v>
          </cell>
        </row>
        <row r="554">
          <cell r="E554">
            <v>0</v>
          </cell>
          <cell r="F554" t="str">
            <v>AL BAROKAH</v>
          </cell>
          <cell r="G554">
            <v>0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0</v>
          </cell>
          <cell r="M554">
            <v>0</v>
          </cell>
          <cell r="N554">
            <v>0</v>
          </cell>
          <cell r="O554">
            <v>0</v>
          </cell>
          <cell r="P554">
            <v>0</v>
          </cell>
          <cell r="Q554">
            <v>0</v>
          </cell>
          <cell r="R554">
            <v>0</v>
          </cell>
          <cell r="S554">
            <v>0</v>
          </cell>
          <cell r="T554">
            <v>0</v>
          </cell>
          <cell r="U554">
            <v>0</v>
          </cell>
          <cell r="V554">
            <v>0</v>
          </cell>
          <cell r="W554">
            <v>0</v>
          </cell>
          <cell r="X554">
            <v>0</v>
          </cell>
          <cell r="Y554">
            <v>0</v>
          </cell>
        </row>
        <row r="555">
          <cell r="E555">
            <v>0</v>
          </cell>
          <cell r="F555" t="str">
            <v>Toko sarmawi</v>
          </cell>
          <cell r="G555">
            <v>0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0</v>
          </cell>
          <cell r="M555">
            <v>0</v>
          </cell>
          <cell r="N555">
            <v>0</v>
          </cell>
          <cell r="O555">
            <v>0</v>
          </cell>
          <cell r="P555">
            <v>0</v>
          </cell>
          <cell r="Q555">
            <v>0</v>
          </cell>
          <cell r="R555">
            <v>0</v>
          </cell>
          <cell r="S555">
            <v>0</v>
          </cell>
          <cell r="T555">
            <v>0</v>
          </cell>
          <cell r="U555">
            <v>0</v>
          </cell>
          <cell r="V555">
            <v>0</v>
          </cell>
          <cell r="W555">
            <v>0</v>
          </cell>
          <cell r="X555">
            <v>0</v>
          </cell>
          <cell r="Y555">
            <v>0</v>
          </cell>
        </row>
        <row r="556">
          <cell r="E556">
            <v>0</v>
          </cell>
          <cell r="F556" t="str">
            <v>HAPPY CELL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0</v>
          </cell>
          <cell r="M556">
            <v>0</v>
          </cell>
          <cell r="N556">
            <v>0</v>
          </cell>
          <cell r="O556">
            <v>0</v>
          </cell>
          <cell r="P556">
            <v>0</v>
          </cell>
          <cell r="Q556">
            <v>0</v>
          </cell>
          <cell r="R556">
            <v>0</v>
          </cell>
          <cell r="S556">
            <v>0</v>
          </cell>
          <cell r="T556">
            <v>0</v>
          </cell>
          <cell r="U556">
            <v>0</v>
          </cell>
          <cell r="V556">
            <v>0</v>
          </cell>
          <cell r="W556">
            <v>0</v>
          </cell>
          <cell r="X556">
            <v>0</v>
          </cell>
          <cell r="Y556">
            <v>0</v>
          </cell>
        </row>
        <row r="557">
          <cell r="E557">
            <v>0</v>
          </cell>
          <cell r="F557" t="str">
            <v>AMAT PONSEL</v>
          </cell>
          <cell r="G557">
            <v>0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0</v>
          </cell>
          <cell r="M557">
            <v>0</v>
          </cell>
          <cell r="N557">
            <v>0</v>
          </cell>
          <cell r="O557">
            <v>0</v>
          </cell>
          <cell r="P557">
            <v>0</v>
          </cell>
          <cell r="Q557">
            <v>0</v>
          </cell>
          <cell r="R557">
            <v>0</v>
          </cell>
          <cell r="S557">
            <v>0</v>
          </cell>
          <cell r="T557">
            <v>0</v>
          </cell>
          <cell r="U557">
            <v>0</v>
          </cell>
          <cell r="V557">
            <v>0</v>
          </cell>
          <cell r="W557">
            <v>0</v>
          </cell>
          <cell r="X557">
            <v>0</v>
          </cell>
          <cell r="Y557">
            <v>0</v>
          </cell>
        </row>
        <row r="558">
          <cell r="E558">
            <v>0</v>
          </cell>
          <cell r="F558" t="str">
            <v>TOKO SARAGIH</v>
          </cell>
          <cell r="G558">
            <v>0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0</v>
          </cell>
          <cell r="M558">
            <v>0</v>
          </cell>
          <cell r="N558">
            <v>0</v>
          </cell>
          <cell r="O558">
            <v>0</v>
          </cell>
          <cell r="P558">
            <v>0</v>
          </cell>
          <cell r="Q558">
            <v>0</v>
          </cell>
          <cell r="R558">
            <v>0</v>
          </cell>
          <cell r="S558">
            <v>0</v>
          </cell>
          <cell r="T558">
            <v>0</v>
          </cell>
          <cell r="U558">
            <v>0</v>
          </cell>
          <cell r="V558">
            <v>0</v>
          </cell>
          <cell r="W558">
            <v>0</v>
          </cell>
          <cell r="X558">
            <v>0</v>
          </cell>
          <cell r="Y558">
            <v>0</v>
          </cell>
        </row>
        <row r="559">
          <cell r="E559">
            <v>0</v>
          </cell>
          <cell r="F559" t="str">
            <v>BLOKANG ACC</v>
          </cell>
          <cell r="G559">
            <v>0</v>
          </cell>
          <cell r="H559">
            <v>0</v>
          </cell>
          <cell r="I559">
            <v>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</v>
          </cell>
          <cell r="O559">
            <v>0</v>
          </cell>
          <cell r="P559">
            <v>0</v>
          </cell>
          <cell r="Q559">
            <v>0</v>
          </cell>
          <cell r="R559">
            <v>0</v>
          </cell>
          <cell r="S559">
            <v>0</v>
          </cell>
          <cell r="T559">
            <v>0</v>
          </cell>
          <cell r="U559">
            <v>0</v>
          </cell>
          <cell r="V559">
            <v>0</v>
          </cell>
          <cell r="W559">
            <v>0</v>
          </cell>
          <cell r="X559">
            <v>0</v>
          </cell>
          <cell r="Y559">
            <v>0</v>
          </cell>
        </row>
        <row r="560">
          <cell r="E560">
            <v>0</v>
          </cell>
          <cell r="F560" t="str">
            <v>CB02-MPW</v>
          </cell>
          <cell r="G560">
            <v>0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</v>
          </cell>
          <cell r="O560">
            <v>0</v>
          </cell>
          <cell r="P560">
            <v>0</v>
          </cell>
          <cell r="Q560">
            <v>0</v>
          </cell>
          <cell r="R560">
            <v>0</v>
          </cell>
          <cell r="S560">
            <v>0</v>
          </cell>
          <cell r="T560">
            <v>0</v>
          </cell>
          <cell r="U560">
            <v>0</v>
          </cell>
          <cell r="V560">
            <v>0</v>
          </cell>
          <cell r="W560">
            <v>0</v>
          </cell>
          <cell r="X560">
            <v>0</v>
          </cell>
          <cell r="Y560">
            <v>0</v>
          </cell>
        </row>
        <row r="561">
          <cell r="E561">
            <v>0</v>
          </cell>
          <cell r="F561" t="str">
            <v>SYAHMA PARFUM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0</v>
          </cell>
          <cell r="U561">
            <v>0</v>
          </cell>
          <cell r="V561">
            <v>0</v>
          </cell>
          <cell r="W561">
            <v>0</v>
          </cell>
          <cell r="X561">
            <v>0</v>
          </cell>
          <cell r="Y561">
            <v>0</v>
          </cell>
        </row>
        <row r="562">
          <cell r="E562">
            <v>0</v>
          </cell>
          <cell r="F562" t="str">
            <v>SONIC PONSEL</v>
          </cell>
          <cell r="G562">
            <v>0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</v>
          </cell>
          <cell r="O562">
            <v>0</v>
          </cell>
          <cell r="P562">
            <v>0</v>
          </cell>
          <cell r="Q562">
            <v>0</v>
          </cell>
          <cell r="R562">
            <v>0</v>
          </cell>
          <cell r="S562">
            <v>0</v>
          </cell>
          <cell r="T562">
            <v>0</v>
          </cell>
          <cell r="U562">
            <v>0</v>
          </cell>
          <cell r="V562">
            <v>0</v>
          </cell>
          <cell r="W562">
            <v>0</v>
          </cell>
          <cell r="X562">
            <v>0</v>
          </cell>
          <cell r="Y562">
            <v>0</v>
          </cell>
        </row>
        <row r="563">
          <cell r="E563">
            <v>0</v>
          </cell>
          <cell r="F563" t="str">
            <v>taurus ponsel</v>
          </cell>
          <cell r="G563">
            <v>0</v>
          </cell>
          <cell r="H563">
            <v>0</v>
          </cell>
          <cell r="I563">
            <v>0</v>
          </cell>
          <cell r="J563">
            <v>0</v>
          </cell>
          <cell r="K563">
            <v>0</v>
          </cell>
          <cell r="L563">
            <v>0</v>
          </cell>
          <cell r="M563">
            <v>0</v>
          </cell>
          <cell r="N563">
            <v>0</v>
          </cell>
          <cell r="O563">
            <v>0</v>
          </cell>
          <cell r="P563">
            <v>0</v>
          </cell>
          <cell r="Q563">
            <v>0</v>
          </cell>
          <cell r="R563">
            <v>0</v>
          </cell>
          <cell r="S563">
            <v>0</v>
          </cell>
          <cell r="T563">
            <v>0</v>
          </cell>
          <cell r="U563">
            <v>0</v>
          </cell>
          <cell r="V563">
            <v>0</v>
          </cell>
          <cell r="W563">
            <v>0</v>
          </cell>
          <cell r="X563">
            <v>0</v>
          </cell>
          <cell r="Y563">
            <v>0</v>
          </cell>
        </row>
        <row r="564">
          <cell r="E564">
            <v>0</v>
          </cell>
          <cell r="F564" t="str">
            <v>DECCA PONSEL</v>
          </cell>
          <cell r="G564">
            <v>0</v>
          </cell>
          <cell r="H564">
            <v>0</v>
          </cell>
          <cell r="I564">
            <v>0</v>
          </cell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O564">
            <v>0</v>
          </cell>
          <cell r="P564">
            <v>0</v>
          </cell>
          <cell r="Q564">
            <v>0</v>
          </cell>
          <cell r="R564">
            <v>0</v>
          </cell>
          <cell r="S564">
            <v>0</v>
          </cell>
          <cell r="T564">
            <v>0</v>
          </cell>
          <cell r="U564">
            <v>0</v>
          </cell>
          <cell r="V564">
            <v>0</v>
          </cell>
          <cell r="W564">
            <v>0</v>
          </cell>
          <cell r="X564">
            <v>0</v>
          </cell>
          <cell r="Y564">
            <v>0</v>
          </cell>
        </row>
        <row r="565">
          <cell r="E565">
            <v>0</v>
          </cell>
          <cell r="F565" t="str">
            <v>MULYA PONSEL</v>
          </cell>
          <cell r="G565">
            <v>0</v>
          </cell>
          <cell r="H565">
            <v>0</v>
          </cell>
          <cell r="I565">
            <v>0</v>
          </cell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  <cell r="O565">
            <v>0</v>
          </cell>
          <cell r="P565">
            <v>0</v>
          </cell>
          <cell r="Q565">
            <v>0</v>
          </cell>
          <cell r="R565">
            <v>0</v>
          </cell>
          <cell r="S565">
            <v>0</v>
          </cell>
          <cell r="T565">
            <v>0</v>
          </cell>
          <cell r="U565">
            <v>0</v>
          </cell>
          <cell r="V565">
            <v>0</v>
          </cell>
          <cell r="W565">
            <v>0</v>
          </cell>
          <cell r="X565">
            <v>0</v>
          </cell>
          <cell r="Y565">
            <v>0</v>
          </cell>
        </row>
        <row r="566">
          <cell r="E566">
            <v>0</v>
          </cell>
          <cell r="F566" t="str">
            <v>Sinar ponsel</v>
          </cell>
          <cell r="G566">
            <v>0</v>
          </cell>
          <cell r="H566">
            <v>0</v>
          </cell>
          <cell r="I566">
            <v>0</v>
          </cell>
          <cell r="J566">
            <v>0</v>
          </cell>
          <cell r="K566">
            <v>0</v>
          </cell>
          <cell r="L566">
            <v>0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0</v>
          </cell>
          <cell r="W566">
            <v>0</v>
          </cell>
          <cell r="X566">
            <v>0</v>
          </cell>
          <cell r="Y566">
            <v>0</v>
          </cell>
        </row>
        <row r="567">
          <cell r="E567">
            <v>0</v>
          </cell>
          <cell r="F567" t="str">
            <v>ETERNA CELLULER 2</v>
          </cell>
          <cell r="G567">
            <v>0</v>
          </cell>
          <cell r="H567">
            <v>0</v>
          </cell>
          <cell r="I567">
            <v>0</v>
          </cell>
          <cell r="J567">
            <v>0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0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0</v>
          </cell>
        </row>
        <row r="568">
          <cell r="E568">
            <v>0</v>
          </cell>
          <cell r="F568" t="str">
            <v>GLOBAL CELLULAR</v>
          </cell>
          <cell r="G568">
            <v>0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0</v>
          </cell>
          <cell r="U568">
            <v>0</v>
          </cell>
          <cell r="V568">
            <v>0</v>
          </cell>
          <cell r="W568">
            <v>0</v>
          </cell>
          <cell r="X568">
            <v>0</v>
          </cell>
          <cell r="Y568">
            <v>0</v>
          </cell>
        </row>
        <row r="569">
          <cell r="E569">
            <v>0</v>
          </cell>
          <cell r="F569" t="str">
            <v>SUNNY PONSEL</v>
          </cell>
          <cell r="G569">
            <v>0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0</v>
          </cell>
          <cell r="U569">
            <v>0</v>
          </cell>
          <cell r="V569">
            <v>0</v>
          </cell>
          <cell r="W569">
            <v>0</v>
          </cell>
          <cell r="X569">
            <v>0</v>
          </cell>
          <cell r="Y569">
            <v>0</v>
          </cell>
        </row>
        <row r="570">
          <cell r="E570">
            <v>0</v>
          </cell>
          <cell r="F570" t="str">
            <v>Iyann ponsel</v>
          </cell>
          <cell r="G570">
            <v>0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0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</row>
        <row r="571">
          <cell r="E571">
            <v>0</v>
          </cell>
          <cell r="F571" t="str">
            <v>Andy ponsel II</v>
          </cell>
          <cell r="G571">
            <v>0</v>
          </cell>
          <cell r="H571">
            <v>0</v>
          </cell>
          <cell r="I571">
            <v>0</v>
          </cell>
          <cell r="J571">
            <v>0</v>
          </cell>
          <cell r="K571">
            <v>0</v>
          </cell>
          <cell r="L571">
            <v>0</v>
          </cell>
          <cell r="M571">
            <v>0</v>
          </cell>
          <cell r="N571">
            <v>0</v>
          </cell>
          <cell r="O571">
            <v>0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</row>
        <row r="572">
          <cell r="E572">
            <v>0</v>
          </cell>
          <cell r="F572" t="str">
            <v>Budi Ponsel</v>
          </cell>
          <cell r="G572">
            <v>0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0</v>
          </cell>
          <cell r="M572">
            <v>0</v>
          </cell>
          <cell r="N572">
            <v>0</v>
          </cell>
          <cell r="O572">
            <v>0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</row>
        <row r="573">
          <cell r="E573">
            <v>0</v>
          </cell>
          <cell r="F573" t="str">
            <v>Cahaya ponsel</v>
          </cell>
          <cell r="G573">
            <v>0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257638.28366135</v>
          </cell>
          <cell r="Y573">
            <v>500000</v>
          </cell>
        </row>
        <row r="574">
          <cell r="E574">
            <v>0</v>
          </cell>
          <cell r="F574" t="str">
            <v>chery ponsel</v>
          </cell>
          <cell r="G574">
            <v>0</v>
          </cell>
          <cell r="H574">
            <v>0</v>
          </cell>
          <cell r="I574">
            <v>1</v>
          </cell>
          <cell r="J574">
            <v>1</v>
          </cell>
          <cell r="K574">
            <v>0</v>
          </cell>
          <cell r="L574">
            <v>0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213934.530941484</v>
          </cell>
          <cell r="Y574">
            <v>53000</v>
          </cell>
        </row>
        <row r="575">
          <cell r="E575">
            <v>0</v>
          </cell>
          <cell r="F575" t="str">
            <v>aneka ria</v>
          </cell>
          <cell r="G575">
            <v>0</v>
          </cell>
          <cell r="H575">
            <v>0</v>
          </cell>
          <cell r="I575">
            <v>0</v>
          </cell>
          <cell r="J575">
            <v>0</v>
          </cell>
          <cell r="K575">
            <v>1</v>
          </cell>
          <cell r="L575">
            <v>1</v>
          </cell>
          <cell r="M575">
            <v>0</v>
          </cell>
          <cell r="N575">
            <v>1</v>
          </cell>
          <cell r="O575">
            <v>1</v>
          </cell>
          <cell r="P575">
            <v>0</v>
          </cell>
          <cell r="Q575">
            <v>1</v>
          </cell>
          <cell r="R575">
            <v>1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100000</v>
          </cell>
          <cell r="X575">
            <v>122169.96691339101</v>
          </cell>
          <cell r="Y575">
            <v>300000</v>
          </cell>
        </row>
        <row r="576">
          <cell r="E576">
            <v>0</v>
          </cell>
          <cell r="F576" t="str">
            <v>Ajun ponsel</v>
          </cell>
          <cell r="G576">
            <v>0</v>
          </cell>
          <cell r="H576">
            <v>0</v>
          </cell>
          <cell r="I576">
            <v>1</v>
          </cell>
          <cell r="J576">
            <v>1</v>
          </cell>
          <cell r="K576">
            <v>0</v>
          </cell>
          <cell r="L576">
            <v>0</v>
          </cell>
          <cell r="M576">
            <v>0</v>
          </cell>
          <cell r="N576">
            <v>0</v>
          </cell>
          <cell r="O576">
            <v>0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53000</v>
          </cell>
        </row>
        <row r="577">
          <cell r="E577">
            <v>0</v>
          </cell>
          <cell r="F577" t="str">
            <v>victory cell</v>
          </cell>
          <cell r="G577">
            <v>0</v>
          </cell>
          <cell r="H577">
            <v>0</v>
          </cell>
          <cell r="I577">
            <v>1</v>
          </cell>
          <cell r="J577">
            <v>1</v>
          </cell>
          <cell r="K577">
            <v>0</v>
          </cell>
          <cell r="L577">
            <v>0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1369945.14516129</v>
          </cell>
          <cell r="Y577">
            <v>54000</v>
          </cell>
        </row>
        <row r="578">
          <cell r="E578">
            <v>0</v>
          </cell>
          <cell r="F578" t="str">
            <v>VICTOR PONSEL 2</v>
          </cell>
          <cell r="G578">
            <v>0</v>
          </cell>
          <cell r="H578">
            <v>0</v>
          </cell>
          <cell r="I578">
            <v>1</v>
          </cell>
          <cell r="J578">
            <v>1</v>
          </cell>
          <cell r="K578">
            <v>0</v>
          </cell>
          <cell r="L578">
            <v>0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0</v>
          </cell>
          <cell r="T578">
            <v>0</v>
          </cell>
          <cell r="U578">
            <v>0</v>
          </cell>
          <cell r="V578">
            <v>0</v>
          </cell>
          <cell r="W578">
            <v>0</v>
          </cell>
          <cell r="X578">
            <v>22892.940710699</v>
          </cell>
          <cell r="Y578">
            <v>53000</v>
          </cell>
        </row>
        <row r="579">
          <cell r="E579">
            <v>0</v>
          </cell>
          <cell r="F579" t="str">
            <v>LULU PONSEL</v>
          </cell>
          <cell r="G579">
            <v>0</v>
          </cell>
          <cell r="H579">
            <v>0</v>
          </cell>
          <cell r="I579">
            <v>0</v>
          </cell>
          <cell r="J579">
            <v>0</v>
          </cell>
          <cell r="K579">
            <v>0</v>
          </cell>
          <cell r="L579">
            <v>0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0</v>
          </cell>
          <cell r="T579">
            <v>0</v>
          </cell>
          <cell r="U579">
            <v>0</v>
          </cell>
          <cell r="V579">
            <v>0</v>
          </cell>
          <cell r="W579">
            <v>0</v>
          </cell>
          <cell r="X579">
            <v>97454</v>
          </cell>
          <cell r="Y579">
            <v>0</v>
          </cell>
        </row>
        <row r="580">
          <cell r="E580">
            <v>0</v>
          </cell>
          <cell r="F580" t="str">
            <v>APIS PONSEL</v>
          </cell>
          <cell r="G580">
            <v>0</v>
          </cell>
          <cell r="H580">
            <v>0</v>
          </cell>
          <cell r="I580">
            <v>0</v>
          </cell>
          <cell r="J580">
            <v>0</v>
          </cell>
          <cell r="K580">
            <v>0</v>
          </cell>
          <cell r="L580">
            <v>0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0</v>
          </cell>
          <cell r="T580">
            <v>0</v>
          </cell>
          <cell r="U580">
            <v>0</v>
          </cell>
          <cell r="V580">
            <v>0</v>
          </cell>
          <cell r="W580">
            <v>0</v>
          </cell>
          <cell r="X580">
            <v>85043.834332544997</v>
          </cell>
          <cell r="Y580">
            <v>100000</v>
          </cell>
        </row>
        <row r="581">
          <cell r="E581">
            <v>0</v>
          </cell>
          <cell r="F581" t="str">
            <v>Acun Ponsel</v>
          </cell>
          <cell r="G581">
            <v>0</v>
          </cell>
          <cell r="H581">
            <v>0</v>
          </cell>
          <cell r="I581">
            <v>0</v>
          </cell>
          <cell r="J581">
            <v>0</v>
          </cell>
          <cell r="K581">
            <v>0</v>
          </cell>
          <cell r="L581">
            <v>0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>
            <v>0</v>
          </cell>
          <cell r="V581">
            <v>0</v>
          </cell>
          <cell r="W581">
            <v>0</v>
          </cell>
          <cell r="X581">
            <v>99113</v>
          </cell>
          <cell r="Y581">
            <v>0</v>
          </cell>
        </row>
        <row r="582">
          <cell r="E582">
            <v>0</v>
          </cell>
          <cell r="F582" t="str">
            <v>MASUK SELL</v>
          </cell>
          <cell r="G582">
            <v>0</v>
          </cell>
          <cell r="H582">
            <v>0</v>
          </cell>
          <cell r="I582">
            <v>1</v>
          </cell>
          <cell r="J582">
            <v>1</v>
          </cell>
          <cell r="K582">
            <v>0</v>
          </cell>
          <cell r="L582">
            <v>0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>
            <v>0</v>
          </cell>
          <cell r="V582">
            <v>0</v>
          </cell>
          <cell r="W582">
            <v>0</v>
          </cell>
          <cell r="X582">
            <v>192561.98009755</v>
          </cell>
          <cell r="Y582">
            <v>53000</v>
          </cell>
        </row>
        <row r="583">
          <cell r="E583">
            <v>0</v>
          </cell>
          <cell r="F583" t="str">
            <v>Warung Classic</v>
          </cell>
          <cell r="G583">
            <v>0</v>
          </cell>
          <cell r="H583">
            <v>0</v>
          </cell>
          <cell r="I583">
            <v>1</v>
          </cell>
          <cell r="J583">
            <v>1</v>
          </cell>
          <cell r="K583">
            <v>0</v>
          </cell>
          <cell r="L583">
            <v>0</v>
          </cell>
          <cell r="M583">
            <v>0</v>
          </cell>
          <cell r="N583">
            <v>0</v>
          </cell>
          <cell r="O583">
            <v>0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10</v>
          </cell>
          <cell r="U583">
            <v>0</v>
          </cell>
          <cell r="V583">
            <v>0</v>
          </cell>
          <cell r="W583">
            <v>0</v>
          </cell>
          <cell r="X583">
            <v>176506.935483871</v>
          </cell>
          <cell r="Y583">
            <v>107000</v>
          </cell>
        </row>
        <row r="584">
          <cell r="E584">
            <v>0</v>
          </cell>
          <cell r="F584" t="str">
            <v>kedai pakwe</v>
          </cell>
          <cell r="G584">
            <v>0</v>
          </cell>
          <cell r="H584">
            <v>0</v>
          </cell>
          <cell r="I584">
            <v>1</v>
          </cell>
          <cell r="J584">
            <v>1</v>
          </cell>
          <cell r="K584">
            <v>0</v>
          </cell>
          <cell r="L584">
            <v>0</v>
          </cell>
          <cell r="M584">
            <v>0</v>
          </cell>
          <cell r="N584">
            <v>0</v>
          </cell>
          <cell r="O584">
            <v>0</v>
          </cell>
          <cell r="P584">
            <v>0</v>
          </cell>
          <cell r="Q584">
            <v>0</v>
          </cell>
          <cell r="R584">
            <v>0</v>
          </cell>
          <cell r="S584">
            <v>0</v>
          </cell>
          <cell r="T584">
            <v>0</v>
          </cell>
          <cell r="U584">
            <v>0</v>
          </cell>
          <cell r="V584">
            <v>0</v>
          </cell>
          <cell r="W584">
            <v>0</v>
          </cell>
          <cell r="X584">
            <v>99311.75</v>
          </cell>
          <cell r="Y584">
            <v>54000</v>
          </cell>
        </row>
        <row r="585">
          <cell r="E585">
            <v>0</v>
          </cell>
          <cell r="F585" t="str">
            <v>santabina net</v>
          </cell>
          <cell r="G585">
            <v>0</v>
          </cell>
          <cell r="H585">
            <v>0</v>
          </cell>
          <cell r="I585">
            <v>1</v>
          </cell>
          <cell r="J585">
            <v>1</v>
          </cell>
          <cell r="K585">
            <v>0</v>
          </cell>
          <cell r="L585">
            <v>0</v>
          </cell>
          <cell r="M585">
            <v>0</v>
          </cell>
          <cell r="N585">
            <v>0</v>
          </cell>
          <cell r="O585">
            <v>0</v>
          </cell>
          <cell r="P585">
            <v>0</v>
          </cell>
          <cell r="Q585">
            <v>0</v>
          </cell>
          <cell r="R585">
            <v>0</v>
          </cell>
          <cell r="S585">
            <v>0</v>
          </cell>
          <cell r="T585">
            <v>0</v>
          </cell>
          <cell r="U585">
            <v>0</v>
          </cell>
          <cell r="V585">
            <v>0</v>
          </cell>
          <cell r="W585">
            <v>0</v>
          </cell>
          <cell r="X585">
            <v>87932.5</v>
          </cell>
          <cell r="Y585">
            <v>54000</v>
          </cell>
        </row>
        <row r="586">
          <cell r="E586">
            <v>0</v>
          </cell>
          <cell r="F586" t="str">
            <v>GAVYN CELLULER</v>
          </cell>
          <cell r="G586">
            <v>0</v>
          </cell>
          <cell r="H586">
            <v>0</v>
          </cell>
          <cell r="I586">
            <v>0</v>
          </cell>
          <cell r="J586">
            <v>0</v>
          </cell>
          <cell r="K586">
            <v>7</v>
          </cell>
          <cell r="L586">
            <v>7</v>
          </cell>
          <cell r="M586">
            <v>0</v>
          </cell>
          <cell r="N586">
            <v>4</v>
          </cell>
          <cell r="O586">
            <v>4</v>
          </cell>
          <cell r="P586">
            <v>0</v>
          </cell>
          <cell r="Q586">
            <v>6</v>
          </cell>
          <cell r="R586">
            <v>6</v>
          </cell>
          <cell r="S586">
            <v>0</v>
          </cell>
          <cell r="T586">
            <v>0</v>
          </cell>
          <cell r="U586">
            <v>0</v>
          </cell>
          <cell r="V586">
            <v>0</v>
          </cell>
          <cell r="W586">
            <v>0</v>
          </cell>
          <cell r="X586">
            <v>2336388.653225807</v>
          </cell>
          <cell r="Y586">
            <v>2102500</v>
          </cell>
        </row>
        <row r="587">
          <cell r="E587">
            <v>0</v>
          </cell>
          <cell r="F587" t="str">
            <v>Indra Ponsel</v>
          </cell>
          <cell r="G587">
            <v>0</v>
          </cell>
          <cell r="H587">
            <v>0</v>
          </cell>
          <cell r="I587">
            <v>1</v>
          </cell>
          <cell r="J587">
            <v>1</v>
          </cell>
          <cell r="K587">
            <v>0</v>
          </cell>
          <cell r="L587">
            <v>0</v>
          </cell>
          <cell r="M587">
            <v>0</v>
          </cell>
          <cell r="N587">
            <v>0</v>
          </cell>
          <cell r="O587">
            <v>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>
            <v>0</v>
          </cell>
          <cell r="V587">
            <v>0</v>
          </cell>
          <cell r="W587">
            <v>0</v>
          </cell>
          <cell r="X587">
            <v>1269580.2158064521</v>
          </cell>
          <cell r="Y587">
            <v>1058000</v>
          </cell>
        </row>
        <row r="588">
          <cell r="E588">
            <v>0</v>
          </cell>
          <cell r="F588" t="str">
            <v>Bandar kouta</v>
          </cell>
          <cell r="G588">
            <v>0</v>
          </cell>
          <cell r="H588">
            <v>0</v>
          </cell>
          <cell r="I588">
            <v>1</v>
          </cell>
          <cell r="J588">
            <v>1</v>
          </cell>
          <cell r="K588">
            <v>0</v>
          </cell>
          <cell r="L588">
            <v>0</v>
          </cell>
          <cell r="M588">
            <v>0</v>
          </cell>
          <cell r="N588">
            <v>0</v>
          </cell>
          <cell r="O588">
            <v>0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>
            <v>0</v>
          </cell>
          <cell r="V588">
            <v>0</v>
          </cell>
          <cell r="W588">
            <v>0</v>
          </cell>
          <cell r="X588">
            <v>0</v>
          </cell>
          <cell r="Y588">
            <v>53000</v>
          </cell>
        </row>
        <row r="589">
          <cell r="E589">
            <v>0</v>
          </cell>
          <cell r="F589" t="str">
            <v>Kamil ponsel</v>
          </cell>
          <cell r="G589">
            <v>0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0</v>
          </cell>
          <cell r="M589">
            <v>0</v>
          </cell>
          <cell r="N589">
            <v>0</v>
          </cell>
          <cell r="O589">
            <v>0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>
            <v>0</v>
          </cell>
          <cell r="V589">
            <v>0</v>
          </cell>
          <cell r="W589">
            <v>0</v>
          </cell>
          <cell r="X589">
            <v>0</v>
          </cell>
          <cell r="Y589">
            <v>0</v>
          </cell>
        </row>
        <row r="590">
          <cell r="E590">
            <v>0</v>
          </cell>
          <cell r="F590" t="str">
            <v>Naysa ponsel</v>
          </cell>
          <cell r="G590">
            <v>0</v>
          </cell>
          <cell r="H590">
            <v>0</v>
          </cell>
          <cell r="I590">
            <v>1</v>
          </cell>
          <cell r="J590">
            <v>1</v>
          </cell>
          <cell r="K590">
            <v>0</v>
          </cell>
          <cell r="L590">
            <v>0</v>
          </cell>
          <cell r="M590">
            <v>0</v>
          </cell>
          <cell r="N590">
            <v>0</v>
          </cell>
          <cell r="O590">
            <v>0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>
            <v>0</v>
          </cell>
          <cell r="V590">
            <v>0</v>
          </cell>
          <cell r="W590">
            <v>0</v>
          </cell>
          <cell r="X590">
            <v>64604.548387096998</v>
          </cell>
          <cell r="Y590">
            <v>104000</v>
          </cell>
        </row>
        <row r="591">
          <cell r="E591">
            <v>0</v>
          </cell>
          <cell r="F591" t="str">
            <v>Top ponsel</v>
          </cell>
          <cell r="G591">
            <v>0</v>
          </cell>
          <cell r="H591">
            <v>0</v>
          </cell>
          <cell r="I591">
            <v>1</v>
          </cell>
          <cell r="J591">
            <v>1</v>
          </cell>
          <cell r="K591">
            <v>0</v>
          </cell>
          <cell r="L591">
            <v>0</v>
          </cell>
          <cell r="M591">
            <v>0</v>
          </cell>
          <cell r="N591">
            <v>0</v>
          </cell>
          <cell r="O591">
            <v>0</v>
          </cell>
          <cell r="P591">
            <v>0</v>
          </cell>
          <cell r="Q591">
            <v>0</v>
          </cell>
          <cell r="R591">
            <v>0</v>
          </cell>
          <cell r="S591">
            <v>0</v>
          </cell>
          <cell r="T591">
            <v>10</v>
          </cell>
          <cell r="U591">
            <v>0</v>
          </cell>
          <cell r="V591">
            <v>0</v>
          </cell>
          <cell r="W591">
            <v>0</v>
          </cell>
          <cell r="X591">
            <v>119118.806451613</v>
          </cell>
          <cell r="Y591">
            <v>107000</v>
          </cell>
        </row>
        <row r="592">
          <cell r="E592">
            <v>0</v>
          </cell>
          <cell r="F592" t="str">
            <v>BAHAGIA CELL</v>
          </cell>
          <cell r="G592">
            <v>0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0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0</v>
          </cell>
          <cell r="T592">
            <v>0</v>
          </cell>
          <cell r="U592">
            <v>0</v>
          </cell>
          <cell r="V592">
            <v>0</v>
          </cell>
          <cell r="W592">
            <v>0</v>
          </cell>
          <cell r="X592">
            <v>339399.55032258102</v>
          </cell>
          <cell r="Y592">
            <v>300000</v>
          </cell>
        </row>
        <row r="593">
          <cell r="E593">
            <v>0</v>
          </cell>
          <cell r="F593" t="str">
            <v>Asheng ponsel</v>
          </cell>
          <cell r="G593">
            <v>0</v>
          </cell>
          <cell r="H593">
            <v>0</v>
          </cell>
          <cell r="I593">
            <v>1</v>
          </cell>
          <cell r="J593">
            <v>1</v>
          </cell>
          <cell r="K593">
            <v>0</v>
          </cell>
          <cell r="L593">
            <v>0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S593">
            <v>0</v>
          </cell>
          <cell r="T593">
            <v>0</v>
          </cell>
          <cell r="U593">
            <v>0</v>
          </cell>
          <cell r="V593">
            <v>0</v>
          </cell>
          <cell r="W593">
            <v>0</v>
          </cell>
          <cell r="X593">
            <v>145665.59677419401</v>
          </cell>
          <cell r="Y593">
            <v>106000</v>
          </cell>
        </row>
        <row r="594">
          <cell r="E594">
            <v>0</v>
          </cell>
          <cell r="F594" t="str">
            <v>kios robbi</v>
          </cell>
          <cell r="G594">
            <v>0</v>
          </cell>
          <cell r="H594">
            <v>0</v>
          </cell>
          <cell r="I594">
            <v>1</v>
          </cell>
          <cell r="J594">
            <v>1</v>
          </cell>
          <cell r="K594">
            <v>0</v>
          </cell>
          <cell r="L594">
            <v>0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>
            <v>0</v>
          </cell>
          <cell r="V594">
            <v>0</v>
          </cell>
          <cell r="W594">
            <v>0</v>
          </cell>
          <cell r="X594">
            <v>448091.88091705699</v>
          </cell>
          <cell r="Y594">
            <v>554000</v>
          </cell>
        </row>
        <row r="595">
          <cell r="E595">
            <v>0</v>
          </cell>
          <cell r="F595" t="str">
            <v>Cyber cell</v>
          </cell>
          <cell r="G595">
            <v>0</v>
          </cell>
          <cell r="H595">
            <v>0</v>
          </cell>
          <cell r="I595">
            <v>1</v>
          </cell>
          <cell r="J595">
            <v>1</v>
          </cell>
          <cell r="K595">
            <v>0</v>
          </cell>
          <cell r="L595">
            <v>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  <cell r="Q595">
            <v>0</v>
          </cell>
          <cell r="R595">
            <v>0</v>
          </cell>
          <cell r="S595">
            <v>0</v>
          </cell>
          <cell r="T595">
            <v>0</v>
          </cell>
          <cell r="U595">
            <v>0</v>
          </cell>
          <cell r="V595">
            <v>0</v>
          </cell>
          <cell r="W595">
            <v>0</v>
          </cell>
          <cell r="X595">
            <v>182883.54838709699</v>
          </cell>
          <cell r="Y595">
            <v>54000</v>
          </cell>
        </row>
        <row r="596">
          <cell r="E596">
            <v>0</v>
          </cell>
          <cell r="F596" t="str">
            <v>FL CELL</v>
          </cell>
          <cell r="G596">
            <v>0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0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>
            <v>0</v>
          </cell>
          <cell r="V596">
            <v>0</v>
          </cell>
          <cell r="W596">
            <v>0</v>
          </cell>
          <cell r="X596">
            <v>0</v>
          </cell>
          <cell r="Y596">
            <v>0</v>
          </cell>
        </row>
        <row r="597">
          <cell r="E597">
            <v>0</v>
          </cell>
          <cell r="F597" t="str">
            <v>Sasha Cell</v>
          </cell>
          <cell r="G597">
            <v>0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0</v>
          </cell>
          <cell r="M597">
            <v>0</v>
          </cell>
          <cell r="N597">
            <v>0</v>
          </cell>
          <cell r="O597">
            <v>0</v>
          </cell>
          <cell r="P597">
            <v>0</v>
          </cell>
          <cell r="Q597">
            <v>0</v>
          </cell>
          <cell r="R597">
            <v>0</v>
          </cell>
          <cell r="S597">
            <v>0</v>
          </cell>
          <cell r="T597">
            <v>10</v>
          </cell>
          <cell r="U597">
            <v>0</v>
          </cell>
          <cell r="V597">
            <v>0</v>
          </cell>
          <cell r="W597">
            <v>0</v>
          </cell>
          <cell r="X597">
            <v>99785</v>
          </cell>
          <cell r="Y597">
            <v>0</v>
          </cell>
        </row>
        <row r="598">
          <cell r="E598">
            <v>0</v>
          </cell>
          <cell r="F598" t="str">
            <v>Dunia cell</v>
          </cell>
          <cell r="G598">
            <v>0</v>
          </cell>
          <cell r="H598">
            <v>0</v>
          </cell>
          <cell r="I598">
            <v>1</v>
          </cell>
          <cell r="J598">
            <v>1</v>
          </cell>
          <cell r="K598">
            <v>0</v>
          </cell>
          <cell r="L598">
            <v>0</v>
          </cell>
          <cell r="M598">
            <v>0</v>
          </cell>
          <cell r="N598">
            <v>0</v>
          </cell>
          <cell r="O598">
            <v>0</v>
          </cell>
          <cell r="P598">
            <v>0</v>
          </cell>
          <cell r="Q598">
            <v>0</v>
          </cell>
          <cell r="R598">
            <v>0</v>
          </cell>
          <cell r="S598">
            <v>0</v>
          </cell>
          <cell r="T598">
            <v>0</v>
          </cell>
          <cell r="U598">
            <v>0</v>
          </cell>
          <cell r="V598">
            <v>0</v>
          </cell>
          <cell r="W598">
            <v>0</v>
          </cell>
          <cell r="X598">
            <v>4192099.5161290318</v>
          </cell>
          <cell r="Y598">
            <v>3754000</v>
          </cell>
        </row>
        <row r="599">
          <cell r="E599">
            <v>0</v>
          </cell>
          <cell r="F599" t="str">
            <v>FAMILY MART</v>
          </cell>
          <cell r="G599">
            <v>0</v>
          </cell>
          <cell r="H599">
            <v>0</v>
          </cell>
          <cell r="I599">
            <v>1</v>
          </cell>
          <cell r="J599">
            <v>1</v>
          </cell>
          <cell r="K599">
            <v>2</v>
          </cell>
          <cell r="L599">
            <v>2</v>
          </cell>
          <cell r="M599">
            <v>0</v>
          </cell>
          <cell r="N599">
            <v>1</v>
          </cell>
          <cell r="O599">
            <v>1</v>
          </cell>
          <cell r="P599">
            <v>0</v>
          </cell>
          <cell r="Q599">
            <v>1</v>
          </cell>
          <cell r="R599">
            <v>1</v>
          </cell>
          <cell r="S599">
            <v>0</v>
          </cell>
          <cell r="T599">
            <v>171</v>
          </cell>
          <cell r="U599">
            <v>1</v>
          </cell>
          <cell r="V599">
            <v>0</v>
          </cell>
          <cell r="W599">
            <v>0</v>
          </cell>
          <cell r="X599">
            <v>99990.806451612996</v>
          </cell>
          <cell r="Y599">
            <v>112000</v>
          </cell>
        </row>
        <row r="600">
          <cell r="E600">
            <v>0</v>
          </cell>
          <cell r="F600" t="str">
            <v>Toko Zulfa</v>
          </cell>
          <cell r="G600">
            <v>0</v>
          </cell>
          <cell r="H600">
            <v>0</v>
          </cell>
          <cell r="I600">
            <v>1</v>
          </cell>
          <cell r="J600">
            <v>1</v>
          </cell>
          <cell r="K600">
            <v>0</v>
          </cell>
          <cell r="L600">
            <v>0</v>
          </cell>
          <cell r="M600">
            <v>0</v>
          </cell>
          <cell r="N600">
            <v>0</v>
          </cell>
          <cell r="O600">
            <v>0</v>
          </cell>
          <cell r="P600">
            <v>0</v>
          </cell>
          <cell r="Q600">
            <v>0</v>
          </cell>
          <cell r="R600">
            <v>0</v>
          </cell>
          <cell r="S600">
            <v>0</v>
          </cell>
          <cell r="T600">
            <v>10</v>
          </cell>
          <cell r="U600">
            <v>0</v>
          </cell>
          <cell r="V600">
            <v>0</v>
          </cell>
          <cell r="W600">
            <v>0</v>
          </cell>
          <cell r="X600">
            <v>290956.77419354802</v>
          </cell>
          <cell r="Y600">
            <v>115750</v>
          </cell>
        </row>
        <row r="601">
          <cell r="E601">
            <v>0</v>
          </cell>
          <cell r="F601" t="str">
            <v>HENGKI PONSEL</v>
          </cell>
          <cell r="G601">
            <v>0</v>
          </cell>
          <cell r="H601">
            <v>0</v>
          </cell>
          <cell r="I601">
            <v>1</v>
          </cell>
          <cell r="J601">
            <v>1</v>
          </cell>
          <cell r="K601">
            <v>1</v>
          </cell>
          <cell r="L601">
            <v>1</v>
          </cell>
          <cell r="M601">
            <v>0</v>
          </cell>
          <cell r="N601">
            <v>1</v>
          </cell>
          <cell r="O601">
            <v>1</v>
          </cell>
          <cell r="P601">
            <v>0</v>
          </cell>
          <cell r="Q601">
            <v>1</v>
          </cell>
          <cell r="R601">
            <v>1</v>
          </cell>
          <cell r="S601">
            <v>0</v>
          </cell>
          <cell r="T601">
            <v>0</v>
          </cell>
          <cell r="U601">
            <v>0</v>
          </cell>
          <cell r="V601">
            <v>0</v>
          </cell>
          <cell r="W601">
            <v>0</v>
          </cell>
          <cell r="X601">
            <v>0</v>
          </cell>
          <cell r="Y601">
            <v>54000</v>
          </cell>
        </row>
        <row r="602">
          <cell r="E602">
            <v>0</v>
          </cell>
          <cell r="F602" t="str">
            <v>ABIZAR PONSEL</v>
          </cell>
          <cell r="G602">
            <v>0</v>
          </cell>
          <cell r="H602">
            <v>0</v>
          </cell>
          <cell r="I602">
            <v>0</v>
          </cell>
          <cell r="J602">
            <v>0</v>
          </cell>
          <cell r="K602">
            <v>0</v>
          </cell>
          <cell r="L602">
            <v>0</v>
          </cell>
          <cell r="M602">
            <v>0</v>
          </cell>
          <cell r="N602">
            <v>0</v>
          </cell>
          <cell r="O602">
            <v>0</v>
          </cell>
          <cell r="P602">
            <v>0</v>
          </cell>
          <cell r="Q602">
            <v>0</v>
          </cell>
          <cell r="R602">
            <v>0</v>
          </cell>
          <cell r="S602">
            <v>0</v>
          </cell>
          <cell r="T602">
            <v>0</v>
          </cell>
          <cell r="U602">
            <v>0</v>
          </cell>
          <cell r="V602">
            <v>0</v>
          </cell>
          <cell r="W602">
            <v>0</v>
          </cell>
          <cell r="X602">
            <v>0</v>
          </cell>
          <cell r="Y602">
            <v>0</v>
          </cell>
        </row>
        <row r="603">
          <cell r="E603">
            <v>0</v>
          </cell>
          <cell r="F603" t="str">
            <v>agus ponsel</v>
          </cell>
          <cell r="G603">
            <v>0</v>
          </cell>
          <cell r="H603">
            <v>0</v>
          </cell>
          <cell r="I603">
            <v>0</v>
          </cell>
          <cell r="J603">
            <v>0</v>
          </cell>
          <cell r="K603">
            <v>1</v>
          </cell>
          <cell r="L603">
            <v>1</v>
          </cell>
          <cell r="M603">
            <v>0</v>
          </cell>
          <cell r="N603">
            <v>0</v>
          </cell>
          <cell r="O603">
            <v>0</v>
          </cell>
          <cell r="P603">
            <v>0</v>
          </cell>
          <cell r="Q603">
            <v>0</v>
          </cell>
          <cell r="R603">
            <v>0</v>
          </cell>
          <cell r="S603">
            <v>0</v>
          </cell>
          <cell r="T603">
            <v>12</v>
          </cell>
          <cell r="U603">
            <v>0</v>
          </cell>
          <cell r="V603">
            <v>0</v>
          </cell>
          <cell r="W603">
            <v>0</v>
          </cell>
          <cell r="X603">
            <v>242651.73870967701</v>
          </cell>
          <cell r="Y603">
            <v>0</v>
          </cell>
        </row>
        <row r="604">
          <cell r="E604">
            <v>0</v>
          </cell>
          <cell r="F604" t="str">
            <v>Al Orbit</v>
          </cell>
          <cell r="G604">
            <v>0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0</v>
          </cell>
          <cell r="M604">
            <v>0</v>
          </cell>
          <cell r="N604">
            <v>0</v>
          </cell>
          <cell r="O604">
            <v>0</v>
          </cell>
          <cell r="P604">
            <v>0</v>
          </cell>
          <cell r="Q604">
            <v>0</v>
          </cell>
          <cell r="R604">
            <v>0</v>
          </cell>
          <cell r="S604">
            <v>0</v>
          </cell>
          <cell r="T604">
            <v>0</v>
          </cell>
          <cell r="U604">
            <v>0</v>
          </cell>
          <cell r="V604">
            <v>0</v>
          </cell>
          <cell r="W604">
            <v>0</v>
          </cell>
          <cell r="X604">
            <v>0</v>
          </cell>
          <cell r="Y604">
            <v>0</v>
          </cell>
        </row>
        <row r="605">
          <cell r="E605">
            <v>0</v>
          </cell>
          <cell r="F605" t="str">
            <v>Seluler Lina</v>
          </cell>
          <cell r="G605">
            <v>0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0</v>
          </cell>
          <cell r="M605">
            <v>0</v>
          </cell>
          <cell r="N605">
            <v>0</v>
          </cell>
          <cell r="O605">
            <v>0</v>
          </cell>
          <cell r="P605">
            <v>0</v>
          </cell>
          <cell r="Q605">
            <v>0</v>
          </cell>
          <cell r="R605">
            <v>0</v>
          </cell>
          <cell r="S605">
            <v>0</v>
          </cell>
          <cell r="T605">
            <v>0</v>
          </cell>
          <cell r="U605">
            <v>0</v>
          </cell>
          <cell r="V605">
            <v>0</v>
          </cell>
          <cell r="W605">
            <v>0</v>
          </cell>
          <cell r="X605">
            <v>88250</v>
          </cell>
          <cell r="Y605">
            <v>0</v>
          </cell>
        </row>
        <row r="606">
          <cell r="E606">
            <v>0</v>
          </cell>
          <cell r="F606" t="str">
            <v>Master Rapan Cell</v>
          </cell>
          <cell r="G606">
            <v>0</v>
          </cell>
          <cell r="H606">
            <v>0</v>
          </cell>
          <cell r="I606">
            <v>0</v>
          </cell>
          <cell r="J606">
            <v>0</v>
          </cell>
          <cell r="K606">
            <v>0</v>
          </cell>
          <cell r="L606">
            <v>0</v>
          </cell>
          <cell r="M606">
            <v>0</v>
          </cell>
          <cell r="N606">
            <v>0</v>
          </cell>
          <cell r="O606">
            <v>0</v>
          </cell>
          <cell r="P606">
            <v>0</v>
          </cell>
          <cell r="Q606">
            <v>0</v>
          </cell>
          <cell r="R606">
            <v>0</v>
          </cell>
          <cell r="S606">
            <v>0</v>
          </cell>
          <cell r="T606">
            <v>0</v>
          </cell>
          <cell r="U606">
            <v>0</v>
          </cell>
          <cell r="V606">
            <v>0</v>
          </cell>
          <cell r="W606">
            <v>0</v>
          </cell>
          <cell r="X606">
            <v>0</v>
          </cell>
          <cell r="Y606">
            <v>0</v>
          </cell>
        </row>
        <row r="607">
          <cell r="E607">
            <v>0</v>
          </cell>
          <cell r="F607" t="str">
            <v>Darwis Seluler</v>
          </cell>
          <cell r="G607">
            <v>0</v>
          </cell>
          <cell r="H607">
            <v>0</v>
          </cell>
          <cell r="I607">
            <v>1</v>
          </cell>
          <cell r="J607">
            <v>1</v>
          </cell>
          <cell r="K607">
            <v>0</v>
          </cell>
          <cell r="L607">
            <v>0</v>
          </cell>
          <cell r="M607">
            <v>0</v>
          </cell>
          <cell r="N607">
            <v>0</v>
          </cell>
          <cell r="O607">
            <v>0</v>
          </cell>
          <cell r="P607">
            <v>0</v>
          </cell>
          <cell r="Q607">
            <v>0</v>
          </cell>
          <cell r="R607">
            <v>0</v>
          </cell>
          <cell r="S607">
            <v>0</v>
          </cell>
          <cell r="T607">
            <v>0</v>
          </cell>
          <cell r="U607">
            <v>0</v>
          </cell>
          <cell r="V607">
            <v>0</v>
          </cell>
          <cell r="W607">
            <v>0</v>
          </cell>
          <cell r="X607">
            <v>100000</v>
          </cell>
          <cell r="Y607">
            <v>108000</v>
          </cell>
        </row>
        <row r="608">
          <cell r="E608">
            <v>0</v>
          </cell>
          <cell r="F608" t="str">
            <v>Aam Ponsel</v>
          </cell>
          <cell r="G608">
            <v>0</v>
          </cell>
          <cell r="H608">
            <v>0</v>
          </cell>
          <cell r="I608">
            <v>1</v>
          </cell>
          <cell r="J608">
            <v>1</v>
          </cell>
          <cell r="K608">
            <v>1</v>
          </cell>
          <cell r="L608">
            <v>1</v>
          </cell>
          <cell r="M608">
            <v>0</v>
          </cell>
          <cell r="N608">
            <v>1</v>
          </cell>
          <cell r="O608">
            <v>1</v>
          </cell>
          <cell r="P608">
            <v>0</v>
          </cell>
          <cell r="Q608">
            <v>1</v>
          </cell>
          <cell r="R608">
            <v>1</v>
          </cell>
          <cell r="S608">
            <v>0</v>
          </cell>
          <cell r="T608">
            <v>10</v>
          </cell>
          <cell r="U608">
            <v>0</v>
          </cell>
          <cell r="V608">
            <v>0</v>
          </cell>
          <cell r="W608">
            <v>0</v>
          </cell>
          <cell r="X608">
            <v>100000</v>
          </cell>
          <cell r="Y608">
            <v>111000</v>
          </cell>
        </row>
        <row r="609">
          <cell r="E609">
            <v>0</v>
          </cell>
          <cell r="F609" t="str">
            <v>Cahaya Mandiri</v>
          </cell>
          <cell r="G609">
            <v>0</v>
          </cell>
          <cell r="H609">
            <v>0</v>
          </cell>
          <cell r="I609">
            <v>1</v>
          </cell>
          <cell r="J609">
            <v>1</v>
          </cell>
          <cell r="K609">
            <v>0</v>
          </cell>
          <cell r="L609">
            <v>0</v>
          </cell>
          <cell r="M609">
            <v>0</v>
          </cell>
          <cell r="N609">
            <v>0</v>
          </cell>
          <cell r="O609">
            <v>0</v>
          </cell>
          <cell r="P609">
            <v>0</v>
          </cell>
          <cell r="Q609">
            <v>0</v>
          </cell>
          <cell r="R609">
            <v>0</v>
          </cell>
          <cell r="S609">
            <v>0</v>
          </cell>
          <cell r="T609">
            <v>0</v>
          </cell>
          <cell r="U609">
            <v>0</v>
          </cell>
          <cell r="V609">
            <v>0</v>
          </cell>
          <cell r="W609">
            <v>0</v>
          </cell>
          <cell r="X609">
            <v>135004.03225806501</v>
          </cell>
          <cell r="Y609">
            <v>160000</v>
          </cell>
        </row>
        <row r="610">
          <cell r="E610">
            <v>0</v>
          </cell>
          <cell r="F610" t="str">
            <v>Lexsy Seluler</v>
          </cell>
          <cell r="G610">
            <v>0</v>
          </cell>
          <cell r="H610">
            <v>0</v>
          </cell>
          <cell r="I610">
            <v>1</v>
          </cell>
          <cell r="J610">
            <v>1</v>
          </cell>
          <cell r="K610">
            <v>0</v>
          </cell>
          <cell r="L610">
            <v>0</v>
          </cell>
          <cell r="M610">
            <v>0</v>
          </cell>
          <cell r="N610">
            <v>0</v>
          </cell>
          <cell r="O610">
            <v>0</v>
          </cell>
          <cell r="P610">
            <v>0</v>
          </cell>
          <cell r="Q610">
            <v>0</v>
          </cell>
          <cell r="R610">
            <v>0</v>
          </cell>
          <cell r="S610">
            <v>0</v>
          </cell>
          <cell r="T610">
            <v>0</v>
          </cell>
          <cell r="U610">
            <v>0</v>
          </cell>
          <cell r="V610">
            <v>0</v>
          </cell>
          <cell r="W610">
            <v>0</v>
          </cell>
          <cell r="X610">
            <v>90000</v>
          </cell>
          <cell r="Y610">
            <v>54000</v>
          </cell>
        </row>
        <row r="611">
          <cell r="E611">
            <v>0</v>
          </cell>
          <cell r="F611" t="str">
            <v>Toko Hery</v>
          </cell>
          <cell r="G611">
            <v>0</v>
          </cell>
          <cell r="H611">
            <v>0</v>
          </cell>
          <cell r="I611">
            <v>1</v>
          </cell>
          <cell r="J611">
            <v>1</v>
          </cell>
          <cell r="K611">
            <v>0</v>
          </cell>
          <cell r="L611">
            <v>0</v>
          </cell>
          <cell r="M611">
            <v>0</v>
          </cell>
          <cell r="N611">
            <v>0</v>
          </cell>
          <cell r="O611">
            <v>0</v>
          </cell>
          <cell r="P611">
            <v>0</v>
          </cell>
          <cell r="Q611">
            <v>0</v>
          </cell>
          <cell r="R611">
            <v>0</v>
          </cell>
          <cell r="S611">
            <v>0</v>
          </cell>
          <cell r="T611">
            <v>10</v>
          </cell>
          <cell r="U611">
            <v>0</v>
          </cell>
          <cell r="V611">
            <v>0</v>
          </cell>
          <cell r="W611">
            <v>0</v>
          </cell>
          <cell r="X611">
            <v>137274.193548387</v>
          </cell>
          <cell r="Y611">
            <v>53000</v>
          </cell>
        </row>
        <row r="612">
          <cell r="E612">
            <v>0</v>
          </cell>
          <cell r="F612" t="str">
            <v>Alif ponsel</v>
          </cell>
          <cell r="G612">
            <v>0</v>
          </cell>
          <cell r="H612">
            <v>0</v>
          </cell>
          <cell r="I612">
            <v>1</v>
          </cell>
          <cell r="J612">
            <v>1</v>
          </cell>
          <cell r="K612">
            <v>0</v>
          </cell>
          <cell r="L612">
            <v>0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0</v>
          </cell>
          <cell r="T612">
            <v>0</v>
          </cell>
          <cell r="U612">
            <v>0</v>
          </cell>
          <cell r="V612">
            <v>0</v>
          </cell>
          <cell r="W612">
            <v>0</v>
          </cell>
          <cell r="X612">
            <v>4229681.4516129028</v>
          </cell>
          <cell r="Y612">
            <v>3811000</v>
          </cell>
        </row>
        <row r="613">
          <cell r="E613">
            <v>0</v>
          </cell>
          <cell r="F613" t="str">
            <v>Jaya Cell</v>
          </cell>
          <cell r="G613">
            <v>0</v>
          </cell>
          <cell r="H613">
            <v>0</v>
          </cell>
          <cell r="I613">
            <v>1</v>
          </cell>
          <cell r="J613">
            <v>1</v>
          </cell>
          <cell r="K613">
            <v>0</v>
          </cell>
          <cell r="L613">
            <v>0</v>
          </cell>
          <cell r="M613">
            <v>0</v>
          </cell>
          <cell r="N613">
            <v>0</v>
          </cell>
          <cell r="O613">
            <v>0</v>
          </cell>
          <cell r="P613">
            <v>0</v>
          </cell>
          <cell r="Q613">
            <v>0</v>
          </cell>
          <cell r="R613">
            <v>0</v>
          </cell>
          <cell r="S613">
            <v>0</v>
          </cell>
          <cell r="T613">
            <v>10</v>
          </cell>
          <cell r="U613">
            <v>0</v>
          </cell>
          <cell r="V613">
            <v>0</v>
          </cell>
          <cell r="W613">
            <v>0</v>
          </cell>
          <cell r="X613">
            <v>115076.61290322601</v>
          </cell>
          <cell r="Y613">
            <v>54000</v>
          </cell>
        </row>
        <row r="614">
          <cell r="E614">
            <v>0</v>
          </cell>
          <cell r="F614" t="str">
            <v>NICE CELL</v>
          </cell>
          <cell r="G614">
            <v>0</v>
          </cell>
          <cell r="H614">
            <v>0</v>
          </cell>
          <cell r="I614">
            <v>1</v>
          </cell>
          <cell r="J614">
            <v>1</v>
          </cell>
          <cell r="K614">
            <v>0</v>
          </cell>
          <cell r="L614">
            <v>0</v>
          </cell>
          <cell r="M614">
            <v>0</v>
          </cell>
          <cell r="N614">
            <v>0</v>
          </cell>
          <cell r="O614">
            <v>0</v>
          </cell>
          <cell r="P614">
            <v>0</v>
          </cell>
          <cell r="Q614">
            <v>0</v>
          </cell>
          <cell r="R614">
            <v>0</v>
          </cell>
          <cell r="S614">
            <v>0</v>
          </cell>
          <cell r="T614">
            <v>10</v>
          </cell>
          <cell r="U614">
            <v>0</v>
          </cell>
          <cell r="V614">
            <v>0</v>
          </cell>
          <cell r="W614">
            <v>0</v>
          </cell>
          <cell r="X614">
            <v>105264.516129032</v>
          </cell>
          <cell r="Y614">
            <v>106000</v>
          </cell>
        </row>
        <row r="615">
          <cell r="E615">
            <v>0</v>
          </cell>
          <cell r="F615" t="str">
            <v>Qiswa Cellular</v>
          </cell>
          <cell r="G615">
            <v>0</v>
          </cell>
          <cell r="H615">
            <v>0</v>
          </cell>
          <cell r="I615">
            <v>1</v>
          </cell>
          <cell r="J615">
            <v>1</v>
          </cell>
          <cell r="K615">
            <v>0</v>
          </cell>
          <cell r="L615">
            <v>0</v>
          </cell>
          <cell r="M615">
            <v>0</v>
          </cell>
          <cell r="N615">
            <v>0</v>
          </cell>
          <cell r="O615">
            <v>0</v>
          </cell>
          <cell r="P615">
            <v>0</v>
          </cell>
          <cell r="Q615">
            <v>0</v>
          </cell>
          <cell r="R615">
            <v>0</v>
          </cell>
          <cell r="S615">
            <v>0</v>
          </cell>
          <cell r="T615">
            <v>0</v>
          </cell>
          <cell r="U615">
            <v>0</v>
          </cell>
          <cell r="V615">
            <v>0</v>
          </cell>
          <cell r="W615">
            <v>0</v>
          </cell>
          <cell r="X615">
            <v>134718.629032258</v>
          </cell>
          <cell r="Y615">
            <v>54000</v>
          </cell>
        </row>
        <row r="616">
          <cell r="E616">
            <v>0</v>
          </cell>
          <cell r="F616" t="str">
            <v>Toko An-Nur</v>
          </cell>
          <cell r="G616">
            <v>0</v>
          </cell>
          <cell r="H616">
            <v>0</v>
          </cell>
          <cell r="I616">
            <v>0</v>
          </cell>
          <cell r="J616">
            <v>0</v>
          </cell>
          <cell r="K616">
            <v>0</v>
          </cell>
          <cell r="L616">
            <v>0</v>
          </cell>
          <cell r="M616">
            <v>0</v>
          </cell>
          <cell r="N616">
            <v>0</v>
          </cell>
          <cell r="O616">
            <v>0</v>
          </cell>
          <cell r="P616">
            <v>0</v>
          </cell>
          <cell r="Q616">
            <v>0</v>
          </cell>
          <cell r="R616">
            <v>0</v>
          </cell>
          <cell r="S616">
            <v>0</v>
          </cell>
          <cell r="T616">
            <v>10</v>
          </cell>
          <cell r="U616">
            <v>0</v>
          </cell>
          <cell r="V616">
            <v>0</v>
          </cell>
          <cell r="W616">
            <v>0</v>
          </cell>
          <cell r="X616">
            <v>131737.90322580599</v>
          </cell>
          <cell r="Y616">
            <v>0</v>
          </cell>
        </row>
        <row r="617">
          <cell r="E617">
            <v>0</v>
          </cell>
          <cell r="F617" t="str">
            <v>Alif parfum</v>
          </cell>
          <cell r="G617">
            <v>0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0</v>
          </cell>
          <cell r="M617">
            <v>0</v>
          </cell>
          <cell r="N617">
            <v>0</v>
          </cell>
          <cell r="O617">
            <v>0</v>
          </cell>
          <cell r="P617">
            <v>0</v>
          </cell>
          <cell r="Q617">
            <v>0</v>
          </cell>
          <cell r="R617">
            <v>0</v>
          </cell>
          <cell r="S617">
            <v>0</v>
          </cell>
          <cell r="T617">
            <v>0</v>
          </cell>
          <cell r="U617">
            <v>0</v>
          </cell>
          <cell r="V617">
            <v>0</v>
          </cell>
          <cell r="W617">
            <v>0</v>
          </cell>
          <cell r="X617">
            <v>100000</v>
          </cell>
          <cell r="Y617">
            <v>0</v>
          </cell>
        </row>
        <row r="618">
          <cell r="E618">
            <v>0</v>
          </cell>
          <cell r="F618" t="str">
            <v>Ellen cell</v>
          </cell>
          <cell r="G618">
            <v>0</v>
          </cell>
          <cell r="H618">
            <v>0</v>
          </cell>
          <cell r="I618">
            <v>1</v>
          </cell>
          <cell r="J618">
            <v>1</v>
          </cell>
          <cell r="K618">
            <v>0</v>
          </cell>
          <cell r="L618">
            <v>0</v>
          </cell>
          <cell r="M618">
            <v>0</v>
          </cell>
          <cell r="N618">
            <v>0</v>
          </cell>
          <cell r="O618">
            <v>0</v>
          </cell>
          <cell r="P618">
            <v>0</v>
          </cell>
          <cell r="Q618">
            <v>0</v>
          </cell>
          <cell r="R618">
            <v>0</v>
          </cell>
          <cell r="S618">
            <v>0</v>
          </cell>
          <cell r="T618">
            <v>0</v>
          </cell>
          <cell r="U618">
            <v>0</v>
          </cell>
          <cell r="V618">
            <v>0</v>
          </cell>
          <cell r="W618">
            <v>0</v>
          </cell>
          <cell r="X618">
            <v>100323.543301991</v>
          </cell>
          <cell r="Y618">
            <v>53000</v>
          </cell>
        </row>
        <row r="619">
          <cell r="E619">
            <v>0</v>
          </cell>
          <cell r="F619" t="str">
            <v>Baim Ponsel</v>
          </cell>
          <cell r="G619">
            <v>0</v>
          </cell>
          <cell r="H619">
            <v>0</v>
          </cell>
          <cell r="I619">
            <v>1</v>
          </cell>
          <cell r="J619">
            <v>1</v>
          </cell>
          <cell r="K619">
            <v>0</v>
          </cell>
          <cell r="L619">
            <v>0</v>
          </cell>
          <cell r="M619">
            <v>0</v>
          </cell>
          <cell r="N619">
            <v>0</v>
          </cell>
          <cell r="O619">
            <v>0</v>
          </cell>
          <cell r="P619">
            <v>0</v>
          </cell>
          <cell r="Q619">
            <v>0</v>
          </cell>
          <cell r="R619">
            <v>0</v>
          </cell>
          <cell r="S619">
            <v>0</v>
          </cell>
          <cell r="T619">
            <v>0</v>
          </cell>
          <cell r="U619">
            <v>0</v>
          </cell>
          <cell r="V619">
            <v>0</v>
          </cell>
          <cell r="W619">
            <v>0</v>
          </cell>
          <cell r="X619">
            <v>187084.67741935499</v>
          </cell>
          <cell r="Y619">
            <v>54000</v>
          </cell>
        </row>
        <row r="620">
          <cell r="E620">
            <v>0</v>
          </cell>
          <cell r="F620" t="str">
            <v>Indo ponsel</v>
          </cell>
          <cell r="G620">
            <v>0</v>
          </cell>
          <cell r="H620">
            <v>0</v>
          </cell>
          <cell r="I620">
            <v>0</v>
          </cell>
          <cell r="J620">
            <v>0</v>
          </cell>
          <cell r="K620">
            <v>0</v>
          </cell>
          <cell r="L620">
            <v>0</v>
          </cell>
          <cell r="M620">
            <v>0</v>
          </cell>
          <cell r="N620">
            <v>0</v>
          </cell>
          <cell r="O620">
            <v>0</v>
          </cell>
          <cell r="P620">
            <v>0</v>
          </cell>
          <cell r="Q620">
            <v>0</v>
          </cell>
          <cell r="R620">
            <v>0</v>
          </cell>
          <cell r="S620">
            <v>0</v>
          </cell>
          <cell r="T620">
            <v>0</v>
          </cell>
          <cell r="U620">
            <v>0</v>
          </cell>
          <cell r="V620">
            <v>0</v>
          </cell>
          <cell r="W620">
            <v>0</v>
          </cell>
          <cell r="X620">
            <v>99000</v>
          </cell>
          <cell r="Y620">
            <v>0</v>
          </cell>
        </row>
        <row r="621">
          <cell r="E621">
            <v>0</v>
          </cell>
          <cell r="F621" t="str">
            <v>TIGA SAUDARA</v>
          </cell>
          <cell r="G621">
            <v>0</v>
          </cell>
          <cell r="H621">
            <v>0</v>
          </cell>
          <cell r="I621">
            <v>0</v>
          </cell>
          <cell r="J621">
            <v>0</v>
          </cell>
          <cell r="K621">
            <v>0</v>
          </cell>
          <cell r="L621">
            <v>0</v>
          </cell>
          <cell r="M621">
            <v>0</v>
          </cell>
          <cell r="N621">
            <v>0</v>
          </cell>
          <cell r="O621">
            <v>0</v>
          </cell>
          <cell r="P621">
            <v>0</v>
          </cell>
          <cell r="Q621">
            <v>0</v>
          </cell>
          <cell r="R621">
            <v>0</v>
          </cell>
          <cell r="S621">
            <v>0</v>
          </cell>
          <cell r="T621">
            <v>0</v>
          </cell>
          <cell r="U621">
            <v>0</v>
          </cell>
          <cell r="V621">
            <v>0</v>
          </cell>
          <cell r="W621">
            <v>0</v>
          </cell>
          <cell r="X621">
            <v>99000</v>
          </cell>
          <cell r="Y621">
            <v>0</v>
          </cell>
        </row>
        <row r="622">
          <cell r="E622">
            <v>0</v>
          </cell>
          <cell r="F622" t="str">
            <v>DUNIA ACC</v>
          </cell>
          <cell r="G622">
            <v>0</v>
          </cell>
          <cell r="H622">
            <v>0</v>
          </cell>
          <cell r="I622">
            <v>0</v>
          </cell>
          <cell r="J622">
            <v>0</v>
          </cell>
          <cell r="K622">
            <v>0</v>
          </cell>
          <cell r="L622">
            <v>0</v>
          </cell>
          <cell r="M622">
            <v>0</v>
          </cell>
          <cell r="N622">
            <v>0</v>
          </cell>
          <cell r="O622">
            <v>0</v>
          </cell>
          <cell r="P622">
            <v>0</v>
          </cell>
          <cell r="Q622">
            <v>0</v>
          </cell>
          <cell r="R622">
            <v>0</v>
          </cell>
          <cell r="S622">
            <v>0</v>
          </cell>
          <cell r="T622">
            <v>0</v>
          </cell>
          <cell r="U622">
            <v>0</v>
          </cell>
          <cell r="V622">
            <v>0</v>
          </cell>
          <cell r="W622">
            <v>0</v>
          </cell>
          <cell r="X622">
            <v>99000</v>
          </cell>
          <cell r="Y622">
            <v>0</v>
          </cell>
        </row>
        <row r="623">
          <cell r="E623">
            <v>0</v>
          </cell>
          <cell r="F623" t="str">
            <v>Hokky jaya</v>
          </cell>
          <cell r="G623">
            <v>0</v>
          </cell>
          <cell r="H623">
            <v>0</v>
          </cell>
          <cell r="I623">
            <v>0</v>
          </cell>
          <cell r="J623">
            <v>0</v>
          </cell>
          <cell r="K623">
            <v>0</v>
          </cell>
          <cell r="L623">
            <v>0</v>
          </cell>
          <cell r="M623">
            <v>0</v>
          </cell>
          <cell r="N623">
            <v>0</v>
          </cell>
          <cell r="O623">
            <v>0</v>
          </cell>
          <cell r="P623">
            <v>0</v>
          </cell>
          <cell r="Q623">
            <v>0</v>
          </cell>
          <cell r="R623">
            <v>0</v>
          </cell>
          <cell r="S623">
            <v>0</v>
          </cell>
          <cell r="T623">
            <v>0</v>
          </cell>
          <cell r="U623">
            <v>0</v>
          </cell>
          <cell r="V623">
            <v>0</v>
          </cell>
          <cell r="W623">
            <v>0</v>
          </cell>
          <cell r="X623">
            <v>99000</v>
          </cell>
          <cell r="Y623">
            <v>0</v>
          </cell>
        </row>
        <row r="624">
          <cell r="E624">
            <v>0</v>
          </cell>
          <cell r="F624" t="str">
            <v>Masterpiece ponsel</v>
          </cell>
          <cell r="G624">
            <v>0</v>
          </cell>
          <cell r="H624">
            <v>0</v>
          </cell>
          <cell r="I624">
            <v>0</v>
          </cell>
          <cell r="J624">
            <v>0</v>
          </cell>
          <cell r="K624">
            <v>0</v>
          </cell>
          <cell r="L624">
            <v>0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0</v>
          </cell>
          <cell r="R624">
            <v>0</v>
          </cell>
          <cell r="S624">
            <v>0</v>
          </cell>
          <cell r="T624">
            <v>0</v>
          </cell>
          <cell r="U624">
            <v>0</v>
          </cell>
          <cell r="V624">
            <v>0</v>
          </cell>
          <cell r="W624">
            <v>0</v>
          </cell>
          <cell r="X624">
            <v>99000</v>
          </cell>
          <cell r="Y624">
            <v>0</v>
          </cell>
        </row>
        <row r="625">
          <cell r="E625">
            <v>0</v>
          </cell>
          <cell r="F625" t="str">
            <v>Gm selluler</v>
          </cell>
          <cell r="G625">
            <v>0</v>
          </cell>
          <cell r="H625">
            <v>0</v>
          </cell>
          <cell r="I625">
            <v>1</v>
          </cell>
          <cell r="J625">
            <v>1</v>
          </cell>
          <cell r="K625">
            <v>0</v>
          </cell>
          <cell r="L625">
            <v>0</v>
          </cell>
          <cell r="M625">
            <v>0</v>
          </cell>
          <cell r="N625">
            <v>0</v>
          </cell>
          <cell r="O625">
            <v>0</v>
          </cell>
          <cell r="P625">
            <v>0</v>
          </cell>
          <cell r="Q625">
            <v>0</v>
          </cell>
          <cell r="R625">
            <v>0</v>
          </cell>
          <cell r="S625">
            <v>0</v>
          </cell>
          <cell r="T625">
            <v>10</v>
          </cell>
          <cell r="U625">
            <v>0</v>
          </cell>
          <cell r="V625">
            <v>0</v>
          </cell>
          <cell r="W625">
            <v>0</v>
          </cell>
          <cell r="X625">
            <v>108685.483870968</v>
          </cell>
          <cell r="Y625">
            <v>53000</v>
          </cell>
        </row>
        <row r="626">
          <cell r="E626">
            <v>0</v>
          </cell>
          <cell r="F626" t="str">
            <v>Liefa cell</v>
          </cell>
          <cell r="G626">
            <v>0</v>
          </cell>
          <cell r="H626">
            <v>0</v>
          </cell>
          <cell r="I626">
            <v>0</v>
          </cell>
          <cell r="J626">
            <v>0</v>
          </cell>
          <cell r="K626">
            <v>0</v>
          </cell>
          <cell r="L626">
            <v>0</v>
          </cell>
          <cell r="M626">
            <v>0</v>
          </cell>
          <cell r="N626">
            <v>0</v>
          </cell>
          <cell r="O626">
            <v>0</v>
          </cell>
          <cell r="P626">
            <v>0</v>
          </cell>
          <cell r="Q626">
            <v>0</v>
          </cell>
          <cell r="R626">
            <v>0</v>
          </cell>
          <cell r="S626">
            <v>0</v>
          </cell>
          <cell r="T626">
            <v>10</v>
          </cell>
          <cell r="U626">
            <v>0</v>
          </cell>
          <cell r="V626">
            <v>0</v>
          </cell>
          <cell r="W626">
            <v>0</v>
          </cell>
          <cell r="X626">
            <v>133199.59677419401</v>
          </cell>
          <cell r="Y626">
            <v>0</v>
          </cell>
        </row>
        <row r="627">
          <cell r="E627">
            <v>0</v>
          </cell>
          <cell r="F627" t="str">
            <v>Toko miswa</v>
          </cell>
          <cell r="G627">
            <v>0</v>
          </cell>
          <cell r="H627">
            <v>0</v>
          </cell>
          <cell r="I627">
            <v>0</v>
          </cell>
          <cell r="J627">
            <v>0</v>
          </cell>
          <cell r="K627">
            <v>0</v>
          </cell>
          <cell r="L627">
            <v>0</v>
          </cell>
          <cell r="M627">
            <v>0</v>
          </cell>
          <cell r="N627">
            <v>0</v>
          </cell>
          <cell r="O627">
            <v>0</v>
          </cell>
          <cell r="P627">
            <v>0</v>
          </cell>
          <cell r="Q627">
            <v>0</v>
          </cell>
          <cell r="R627">
            <v>0</v>
          </cell>
          <cell r="S627">
            <v>0</v>
          </cell>
          <cell r="T627">
            <v>0</v>
          </cell>
          <cell r="U627">
            <v>0</v>
          </cell>
          <cell r="V627">
            <v>0</v>
          </cell>
          <cell r="W627">
            <v>0</v>
          </cell>
          <cell r="X627">
            <v>100000</v>
          </cell>
          <cell r="Y627">
            <v>0</v>
          </cell>
        </row>
        <row r="628">
          <cell r="E628">
            <v>0</v>
          </cell>
          <cell r="F628" t="str">
            <v>Zahara Cell</v>
          </cell>
          <cell r="G628">
            <v>0</v>
          </cell>
          <cell r="H628">
            <v>0</v>
          </cell>
          <cell r="I628">
            <v>0</v>
          </cell>
          <cell r="J628">
            <v>0</v>
          </cell>
          <cell r="K628">
            <v>0</v>
          </cell>
          <cell r="L628">
            <v>0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0</v>
          </cell>
          <cell r="T628">
            <v>0</v>
          </cell>
          <cell r="U628">
            <v>0</v>
          </cell>
          <cell r="V628">
            <v>0</v>
          </cell>
          <cell r="W628">
            <v>0</v>
          </cell>
          <cell r="X628">
            <v>100000</v>
          </cell>
          <cell r="Y628">
            <v>0</v>
          </cell>
        </row>
        <row r="629">
          <cell r="E629">
            <v>0</v>
          </cell>
          <cell r="F629" t="str">
            <v>Raudah ponsel</v>
          </cell>
          <cell r="G629">
            <v>0</v>
          </cell>
          <cell r="H629">
            <v>0</v>
          </cell>
          <cell r="I629">
            <v>0</v>
          </cell>
          <cell r="J629">
            <v>0</v>
          </cell>
          <cell r="K629">
            <v>0</v>
          </cell>
          <cell r="L629">
            <v>0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>
            <v>0</v>
          </cell>
          <cell r="S629">
            <v>0</v>
          </cell>
          <cell r="T629">
            <v>0</v>
          </cell>
          <cell r="U629">
            <v>0</v>
          </cell>
          <cell r="V629">
            <v>0</v>
          </cell>
          <cell r="W629">
            <v>0</v>
          </cell>
          <cell r="X629">
            <v>100000</v>
          </cell>
          <cell r="Y629">
            <v>0</v>
          </cell>
        </row>
        <row r="630">
          <cell r="E630">
            <v>0</v>
          </cell>
          <cell r="F630" t="str">
            <v>Toko yoga</v>
          </cell>
          <cell r="G630">
            <v>0</v>
          </cell>
          <cell r="H630">
            <v>0</v>
          </cell>
          <cell r="I630">
            <v>1</v>
          </cell>
          <cell r="J630">
            <v>1</v>
          </cell>
          <cell r="K630">
            <v>0</v>
          </cell>
          <cell r="L630">
            <v>0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0</v>
          </cell>
          <cell r="T630">
            <v>0</v>
          </cell>
          <cell r="U630">
            <v>0</v>
          </cell>
          <cell r="V630">
            <v>0</v>
          </cell>
          <cell r="W630">
            <v>0</v>
          </cell>
          <cell r="X630">
            <v>100000</v>
          </cell>
          <cell r="Y630">
            <v>53000</v>
          </cell>
        </row>
        <row r="631">
          <cell r="E631">
            <v>0</v>
          </cell>
          <cell r="F631" t="str">
            <v>DE PONSEL</v>
          </cell>
          <cell r="G631">
            <v>0</v>
          </cell>
          <cell r="H631">
            <v>0</v>
          </cell>
          <cell r="I631">
            <v>0</v>
          </cell>
          <cell r="J631">
            <v>0</v>
          </cell>
          <cell r="K631">
            <v>0</v>
          </cell>
          <cell r="L631">
            <v>0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0</v>
          </cell>
          <cell r="T631">
            <v>10</v>
          </cell>
          <cell r="U631">
            <v>0</v>
          </cell>
          <cell r="V631">
            <v>0</v>
          </cell>
          <cell r="W631">
            <v>0</v>
          </cell>
          <cell r="X631">
            <v>97000</v>
          </cell>
          <cell r="Y631">
            <v>0</v>
          </cell>
        </row>
        <row r="632">
          <cell r="E632">
            <v>0</v>
          </cell>
          <cell r="F632" t="str">
            <v>Toko kemenangan</v>
          </cell>
          <cell r="G632">
            <v>0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0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>
            <v>0</v>
          </cell>
          <cell r="S632">
            <v>0</v>
          </cell>
          <cell r="T632">
            <v>0</v>
          </cell>
          <cell r="U632">
            <v>0</v>
          </cell>
          <cell r="V632">
            <v>0</v>
          </cell>
          <cell r="W632">
            <v>0</v>
          </cell>
          <cell r="X632">
            <v>100000</v>
          </cell>
          <cell r="Y632">
            <v>0</v>
          </cell>
        </row>
        <row r="633">
          <cell r="E633">
            <v>0</v>
          </cell>
          <cell r="F633" t="str">
            <v>Novi Ponsel</v>
          </cell>
          <cell r="G633">
            <v>0</v>
          </cell>
          <cell r="H633">
            <v>0</v>
          </cell>
          <cell r="I633">
            <v>0</v>
          </cell>
          <cell r="J633">
            <v>0</v>
          </cell>
          <cell r="K633">
            <v>0</v>
          </cell>
          <cell r="L633">
            <v>0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  <cell r="Q633">
            <v>0</v>
          </cell>
          <cell r="R633">
            <v>0</v>
          </cell>
          <cell r="S633">
            <v>0</v>
          </cell>
          <cell r="T633">
            <v>0</v>
          </cell>
          <cell r="U633">
            <v>0</v>
          </cell>
          <cell r="V633">
            <v>0</v>
          </cell>
          <cell r="W633">
            <v>0</v>
          </cell>
          <cell r="X633">
            <v>100000</v>
          </cell>
          <cell r="Y633">
            <v>0</v>
          </cell>
        </row>
        <row r="634">
          <cell r="E634">
            <v>0</v>
          </cell>
          <cell r="F634" t="str">
            <v>Billy ponsel</v>
          </cell>
          <cell r="G634">
            <v>0</v>
          </cell>
          <cell r="H634">
            <v>0</v>
          </cell>
          <cell r="I634">
            <v>1</v>
          </cell>
          <cell r="J634">
            <v>1</v>
          </cell>
          <cell r="K634">
            <v>0</v>
          </cell>
          <cell r="L634">
            <v>0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>
            <v>0</v>
          </cell>
          <cell r="V634">
            <v>0</v>
          </cell>
          <cell r="W634">
            <v>0</v>
          </cell>
          <cell r="X634">
            <v>418320.79786154802</v>
          </cell>
          <cell r="Y634">
            <v>626000</v>
          </cell>
        </row>
        <row r="635">
          <cell r="E635">
            <v>0</v>
          </cell>
          <cell r="F635" t="str">
            <v>Mini Ponsel</v>
          </cell>
          <cell r="G635">
            <v>0</v>
          </cell>
          <cell r="H635">
            <v>0</v>
          </cell>
          <cell r="I635">
            <v>0</v>
          </cell>
          <cell r="J635">
            <v>0</v>
          </cell>
          <cell r="K635">
            <v>0</v>
          </cell>
          <cell r="L635">
            <v>0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  <cell r="Q635">
            <v>0</v>
          </cell>
          <cell r="R635">
            <v>0</v>
          </cell>
          <cell r="S635">
            <v>0</v>
          </cell>
          <cell r="T635">
            <v>0</v>
          </cell>
          <cell r="U635">
            <v>0</v>
          </cell>
          <cell r="V635">
            <v>0</v>
          </cell>
          <cell r="W635">
            <v>0</v>
          </cell>
          <cell r="X635">
            <v>7207.59073575</v>
          </cell>
          <cell r="Y635">
            <v>300000</v>
          </cell>
        </row>
        <row r="636">
          <cell r="E636">
            <v>0</v>
          </cell>
          <cell r="F636" t="str">
            <v>ORION PONSEL</v>
          </cell>
          <cell r="G636">
            <v>0</v>
          </cell>
          <cell r="H636">
            <v>0</v>
          </cell>
          <cell r="I636">
            <v>1</v>
          </cell>
          <cell r="J636">
            <v>1</v>
          </cell>
          <cell r="K636">
            <v>0</v>
          </cell>
          <cell r="L636">
            <v>0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>
            <v>0</v>
          </cell>
          <cell r="V636">
            <v>0</v>
          </cell>
          <cell r="W636">
            <v>0</v>
          </cell>
          <cell r="X636">
            <v>76309.802368997</v>
          </cell>
          <cell r="Y636">
            <v>54000</v>
          </cell>
        </row>
        <row r="637">
          <cell r="E637">
            <v>0</v>
          </cell>
          <cell r="F637" t="str">
            <v>VICTOR PONSEL</v>
          </cell>
          <cell r="G637">
            <v>0</v>
          </cell>
          <cell r="H637">
            <v>0</v>
          </cell>
          <cell r="I637">
            <v>1</v>
          </cell>
          <cell r="J637">
            <v>1</v>
          </cell>
          <cell r="K637">
            <v>0</v>
          </cell>
          <cell r="L637">
            <v>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>
            <v>0</v>
          </cell>
          <cell r="S637">
            <v>0</v>
          </cell>
          <cell r="T637">
            <v>0</v>
          </cell>
          <cell r="U637">
            <v>0</v>
          </cell>
          <cell r="V637">
            <v>0</v>
          </cell>
          <cell r="W637">
            <v>0</v>
          </cell>
          <cell r="X637">
            <v>0</v>
          </cell>
          <cell r="Y637">
            <v>54000</v>
          </cell>
        </row>
        <row r="638">
          <cell r="E638">
            <v>0</v>
          </cell>
          <cell r="F638" t="str">
            <v>sinar selindo</v>
          </cell>
          <cell r="G638">
            <v>0</v>
          </cell>
          <cell r="H638">
            <v>0</v>
          </cell>
          <cell r="I638">
            <v>1</v>
          </cell>
          <cell r="J638">
            <v>1</v>
          </cell>
          <cell r="K638">
            <v>0</v>
          </cell>
          <cell r="L638">
            <v>0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0</v>
          </cell>
          <cell r="T638">
            <v>0</v>
          </cell>
          <cell r="U638">
            <v>0</v>
          </cell>
          <cell r="V638">
            <v>0</v>
          </cell>
          <cell r="W638">
            <v>0</v>
          </cell>
          <cell r="X638">
            <v>8561278.2258064523</v>
          </cell>
          <cell r="Y638">
            <v>108000</v>
          </cell>
        </row>
        <row r="639">
          <cell r="E639">
            <v>0</v>
          </cell>
          <cell r="F639" t="str">
            <v>ahon selindo</v>
          </cell>
          <cell r="G639">
            <v>0</v>
          </cell>
          <cell r="H639">
            <v>0</v>
          </cell>
          <cell r="I639">
            <v>0</v>
          </cell>
          <cell r="J639">
            <v>0</v>
          </cell>
          <cell r="K639">
            <v>0</v>
          </cell>
          <cell r="L639">
            <v>0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S639">
            <v>0</v>
          </cell>
          <cell r="T639">
            <v>0</v>
          </cell>
          <cell r="U639">
            <v>0</v>
          </cell>
          <cell r="V639">
            <v>0</v>
          </cell>
          <cell r="W639">
            <v>0</v>
          </cell>
          <cell r="X639">
            <v>0</v>
          </cell>
          <cell r="Y639">
            <v>0</v>
          </cell>
        </row>
        <row r="640">
          <cell r="E640">
            <v>0</v>
          </cell>
          <cell r="F640" t="str">
            <v>Citra cell</v>
          </cell>
          <cell r="G640">
            <v>0</v>
          </cell>
          <cell r="H640">
            <v>0</v>
          </cell>
          <cell r="I640">
            <v>1</v>
          </cell>
          <cell r="J640">
            <v>1</v>
          </cell>
          <cell r="K640">
            <v>4</v>
          </cell>
          <cell r="L640">
            <v>4</v>
          </cell>
          <cell r="M640">
            <v>0</v>
          </cell>
          <cell r="N640">
            <v>1</v>
          </cell>
          <cell r="O640">
            <v>1</v>
          </cell>
          <cell r="P640">
            <v>0</v>
          </cell>
          <cell r="Q640">
            <v>1</v>
          </cell>
          <cell r="R640">
            <v>1</v>
          </cell>
          <cell r="S640">
            <v>0</v>
          </cell>
          <cell r="T640">
            <v>0</v>
          </cell>
          <cell r="U640">
            <v>3</v>
          </cell>
          <cell r="V640">
            <v>0</v>
          </cell>
          <cell r="W640">
            <v>0</v>
          </cell>
          <cell r="X640">
            <v>3682093.1236984041</v>
          </cell>
          <cell r="Y640">
            <v>10168000</v>
          </cell>
        </row>
        <row r="641">
          <cell r="E641">
            <v>0</v>
          </cell>
          <cell r="F641" t="str">
            <v>Anjungan ponsel</v>
          </cell>
          <cell r="G641">
            <v>0</v>
          </cell>
          <cell r="H641">
            <v>0</v>
          </cell>
          <cell r="I641">
            <v>1</v>
          </cell>
          <cell r="J641">
            <v>1</v>
          </cell>
          <cell r="K641">
            <v>0</v>
          </cell>
          <cell r="L641">
            <v>0</v>
          </cell>
          <cell r="M641">
            <v>0</v>
          </cell>
          <cell r="N641">
            <v>0</v>
          </cell>
          <cell r="O641">
            <v>0</v>
          </cell>
          <cell r="P641">
            <v>0</v>
          </cell>
          <cell r="Q641">
            <v>0</v>
          </cell>
          <cell r="R641">
            <v>0</v>
          </cell>
          <cell r="S641">
            <v>0</v>
          </cell>
          <cell r="T641">
            <v>0</v>
          </cell>
          <cell r="U641">
            <v>0</v>
          </cell>
          <cell r="V641">
            <v>0</v>
          </cell>
          <cell r="W641">
            <v>0</v>
          </cell>
          <cell r="X641">
            <v>230623.28279569899</v>
          </cell>
          <cell r="Y641">
            <v>572000</v>
          </cell>
        </row>
        <row r="642">
          <cell r="E642">
            <v>0</v>
          </cell>
          <cell r="F642" t="str">
            <v>Vigel cell</v>
          </cell>
          <cell r="G642">
            <v>0</v>
          </cell>
          <cell r="H642">
            <v>0</v>
          </cell>
          <cell r="I642">
            <v>0</v>
          </cell>
          <cell r="J642">
            <v>0</v>
          </cell>
          <cell r="K642">
            <v>0</v>
          </cell>
          <cell r="L642">
            <v>0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>
            <v>0</v>
          </cell>
          <cell r="V642">
            <v>0</v>
          </cell>
          <cell r="W642">
            <v>0</v>
          </cell>
          <cell r="X642">
            <v>0</v>
          </cell>
          <cell r="Y642">
            <v>0</v>
          </cell>
        </row>
        <row r="643">
          <cell r="E643">
            <v>0</v>
          </cell>
          <cell r="F643" t="str">
            <v>tiur ponsel</v>
          </cell>
          <cell r="G643">
            <v>0</v>
          </cell>
          <cell r="H643">
            <v>0</v>
          </cell>
          <cell r="I643">
            <v>0</v>
          </cell>
          <cell r="J643">
            <v>0</v>
          </cell>
          <cell r="K643">
            <v>0</v>
          </cell>
          <cell r="L643">
            <v>0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  <cell r="U643">
            <v>0</v>
          </cell>
          <cell r="V643">
            <v>0</v>
          </cell>
          <cell r="W643">
            <v>0</v>
          </cell>
          <cell r="X643">
            <v>0</v>
          </cell>
          <cell r="Y643">
            <v>0</v>
          </cell>
        </row>
        <row r="644">
          <cell r="E644">
            <v>0</v>
          </cell>
          <cell r="F644" t="str">
            <v>TOMI PONSEL</v>
          </cell>
          <cell r="G644">
            <v>0</v>
          </cell>
          <cell r="H644">
            <v>0</v>
          </cell>
          <cell r="I644">
            <v>1</v>
          </cell>
          <cell r="J644">
            <v>1</v>
          </cell>
          <cell r="K644">
            <v>0</v>
          </cell>
          <cell r="L644">
            <v>0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>
            <v>0</v>
          </cell>
          <cell r="V644">
            <v>0</v>
          </cell>
          <cell r="W644">
            <v>0</v>
          </cell>
          <cell r="X644">
            <v>242172.79032258099</v>
          </cell>
          <cell r="Y644">
            <v>59500</v>
          </cell>
        </row>
        <row r="645">
          <cell r="E645">
            <v>0</v>
          </cell>
          <cell r="F645" t="str">
            <v>ROSA PONSEL</v>
          </cell>
          <cell r="G645">
            <v>0</v>
          </cell>
          <cell r="H645">
            <v>0</v>
          </cell>
          <cell r="I645">
            <v>0</v>
          </cell>
          <cell r="J645">
            <v>0</v>
          </cell>
          <cell r="K645">
            <v>4</v>
          </cell>
          <cell r="L645">
            <v>4</v>
          </cell>
          <cell r="M645">
            <v>0</v>
          </cell>
          <cell r="N645">
            <v>4</v>
          </cell>
          <cell r="O645">
            <v>4</v>
          </cell>
          <cell r="P645">
            <v>0</v>
          </cell>
          <cell r="Q645">
            <v>4</v>
          </cell>
          <cell r="R645">
            <v>4</v>
          </cell>
          <cell r="S645">
            <v>0</v>
          </cell>
          <cell r="T645">
            <v>1</v>
          </cell>
          <cell r="U645">
            <v>0</v>
          </cell>
          <cell r="V645">
            <v>0</v>
          </cell>
          <cell r="W645">
            <v>0</v>
          </cell>
          <cell r="X645">
            <v>1153161.4998955219</v>
          </cell>
          <cell r="Y645">
            <v>1000000</v>
          </cell>
        </row>
        <row r="646">
          <cell r="E646">
            <v>0</v>
          </cell>
          <cell r="F646" t="str">
            <v>LORA CELL</v>
          </cell>
          <cell r="G646">
            <v>0</v>
          </cell>
          <cell r="H646">
            <v>0</v>
          </cell>
          <cell r="I646">
            <v>1</v>
          </cell>
          <cell r="J646">
            <v>1</v>
          </cell>
          <cell r="K646">
            <v>1</v>
          </cell>
          <cell r="L646">
            <v>1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1</v>
          </cell>
          <cell r="R646">
            <v>1</v>
          </cell>
          <cell r="S646">
            <v>0</v>
          </cell>
          <cell r="T646">
            <v>0</v>
          </cell>
          <cell r="U646">
            <v>0</v>
          </cell>
          <cell r="V646">
            <v>0</v>
          </cell>
          <cell r="W646">
            <v>0</v>
          </cell>
          <cell r="X646">
            <v>57439.258770886998</v>
          </cell>
          <cell r="Y646">
            <v>51000</v>
          </cell>
        </row>
        <row r="647">
          <cell r="E647">
            <v>0</v>
          </cell>
          <cell r="F647" t="str">
            <v>YOLANDA PONSEL</v>
          </cell>
          <cell r="G647">
            <v>0</v>
          </cell>
          <cell r="H647">
            <v>0</v>
          </cell>
          <cell r="I647">
            <v>1</v>
          </cell>
          <cell r="J647">
            <v>1</v>
          </cell>
          <cell r="K647">
            <v>0</v>
          </cell>
          <cell r="L647">
            <v>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  <cell r="U647">
            <v>0</v>
          </cell>
          <cell r="V647">
            <v>0</v>
          </cell>
          <cell r="W647">
            <v>0</v>
          </cell>
          <cell r="X647">
            <v>472427.06914569403</v>
          </cell>
          <cell r="Y647">
            <v>1051000</v>
          </cell>
        </row>
        <row r="648">
          <cell r="E648">
            <v>0</v>
          </cell>
          <cell r="F648" t="str">
            <v>Nisa ponsel</v>
          </cell>
          <cell r="G648">
            <v>0</v>
          </cell>
          <cell r="H648">
            <v>0</v>
          </cell>
          <cell r="I648">
            <v>0</v>
          </cell>
          <cell r="J648">
            <v>0</v>
          </cell>
          <cell r="K648">
            <v>2</v>
          </cell>
          <cell r="L648">
            <v>2</v>
          </cell>
          <cell r="M648">
            <v>0</v>
          </cell>
          <cell r="N648">
            <v>2</v>
          </cell>
          <cell r="O648">
            <v>2</v>
          </cell>
          <cell r="P648">
            <v>0</v>
          </cell>
          <cell r="Q648">
            <v>2</v>
          </cell>
          <cell r="R648">
            <v>2</v>
          </cell>
          <cell r="S648">
            <v>0</v>
          </cell>
          <cell r="T648">
            <v>4</v>
          </cell>
          <cell r="U648">
            <v>0</v>
          </cell>
          <cell r="V648">
            <v>0</v>
          </cell>
          <cell r="W648">
            <v>300000</v>
          </cell>
          <cell r="X648">
            <v>813808.37366865797</v>
          </cell>
          <cell r="Y648">
            <v>600000</v>
          </cell>
        </row>
        <row r="649">
          <cell r="E649">
            <v>0</v>
          </cell>
          <cell r="F649" t="str">
            <v>A.Z PONSEL</v>
          </cell>
          <cell r="G649">
            <v>0</v>
          </cell>
          <cell r="H649">
            <v>0</v>
          </cell>
          <cell r="I649">
            <v>1</v>
          </cell>
          <cell r="J649">
            <v>1</v>
          </cell>
          <cell r="K649">
            <v>0</v>
          </cell>
          <cell r="L649">
            <v>0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0</v>
          </cell>
          <cell r="T649">
            <v>0</v>
          </cell>
          <cell r="U649">
            <v>0</v>
          </cell>
          <cell r="V649">
            <v>0</v>
          </cell>
          <cell r="W649">
            <v>0</v>
          </cell>
          <cell r="X649">
            <v>141650.77419354799</v>
          </cell>
          <cell r="Y649">
            <v>123000</v>
          </cell>
        </row>
        <row r="650">
          <cell r="E650">
            <v>0</v>
          </cell>
          <cell r="F650" t="str">
            <v>NAZWA CELL</v>
          </cell>
          <cell r="G650">
            <v>0</v>
          </cell>
          <cell r="H650">
            <v>0</v>
          </cell>
          <cell r="I650">
            <v>0</v>
          </cell>
          <cell r="J650">
            <v>0</v>
          </cell>
          <cell r="K650">
            <v>2</v>
          </cell>
          <cell r="L650">
            <v>2</v>
          </cell>
          <cell r="M650">
            <v>0</v>
          </cell>
          <cell r="N650">
            <v>2</v>
          </cell>
          <cell r="O650">
            <v>2</v>
          </cell>
          <cell r="P650">
            <v>0</v>
          </cell>
          <cell r="Q650">
            <v>2</v>
          </cell>
          <cell r="R650">
            <v>2</v>
          </cell>
          <cell r="S650">
            <v>0</v>
          </cell>
          <cell r="T650">
            <v>0</v>
          </cell>
          <cell r="U650">
            <v>0</v>
          </cell>
          <cell r="V650">
            <v>0</v>
          </cell>
          <cell r="W650">
            <v>0</v>
          </cell>
          <cell r="X650">
            <v>300403.41593916999</v>
          </cell>
          <cell r="Y650">
            <v>500000</v>
          </cell>
        </row>
        <row r="651">
          <cell r="E651">
            <v>0</v>
          </cell>
          <cell r="F651" t="str">
            <v>AYU CELL</v>
          </cell>
          <cell r="G651">
            <v>0</v>
          </cell>
          <cell r="H651">
            <v>0</v>
          </cell>
          <cell r="I651">
            <v>1</v>
          </cell>
          <cell r="J651">
            <v>1</v>
          </cell>
          <cell r="K651">
            <v>0</v>
          </cell>
          <cell r="L651">
            <v>0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>
            <v>0</v>
          </cell>
          <cell r="S651">
            <v>0</v>
          </cell>
          <cell r="T651">
            <v>0</v>
          </cell>
          <cell r="U651">
            <v>0</v>
          </cell>
          <cell r="V651">
            <v>0</v>
          </cell>
          <cell r="W651">
            <v>0</v>
          </cell>
          <cell r="X651">
            <v>34314.362382608</v>
          </cell>
          <cell r="Y651">
            <v>147000</v>
          </cell>
        </row>
        <row r="652">
          <cell r="E652">
            <v>0</v>
          </cell>
          <cell r="F652" t="str">
            <v>BIMA PONSEL</v>
          </cell>
          <cell r="G652">
            <v>0</v>
          </cell>
          <cell r="H652">
            <v>0</v>
          </cell>
          <cell r="I652">
            <v>1</v>
          </cell>
          <cell r="J652">
            <v>1</v>
          </cell>
          <cell r="K652">
            <v>0</v>
          </cell>
          <cell r="L652">
            <v>0</v>
          </cell>
          <cell r="M652">
            <v>0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>
            <v>0</v>
          </cell>
          <cell r="S652">
            <v>0</v>
          </cell>
          <cell r="T652">
            <v>0</v>
          </cell>
          <cell r="U652">
            <v>0</v>
          </cell>
          <cell r="V652">
            <v>0</v>
          </cell>
          <cell r="W652">
            <v>0</v>
          </cell>
          <cell r="X652">
            <v>181773.76313072501</v>
          </cell>
          <cell r="Y652">
            <v>72000</v>
          </cell>
        </row>
        <row r="653">
          <cell r="E653">
            <v>0</v>
          </cell>
          <cell r="F653" t="str">
            <v>FEA CELLULER</v>
          </cell>
          <cell r="G653">
            <v>0</v>
          </cell>
          <cell r="H653">
            <v>0</v>
          </cell>
          <cell r="I653">
            <v>1</v>
          </cell>
          <cell r="J653">
            <v>1</v>
          </cell>
          <cell r="K653">
            <v>0</v>
          </cell>
          <cell r="L653">
            <v>0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  <cell r="U653">
            <v>0</v>
          </cell>
          <cell r="V653">
            <v>0</v>
          </cell>
          <cell r="W653">
            <v>0</v>
          </cell>
          <cell r="X653">
            <v>241882.27942183201</v>
          </cell>
          <cell r="Y653">
            <v>1174000</v>
          </cell>
        </row>
        <row r="654">
          <cell r="E654">
            <v>0</v>
          </cell>
          <cell r="F654" t="str">
            <v>LUFFE CELLULER</v>
          </cell>
          <cell r="G654">
            <v>0</v>
          </cell>
          <cell r="H654">
            <v>0</v>
          </cell>
          <cell r="I654">
            <v>1</v>
          </cell>
          <cell r="J654">
            <v>1</v>
          </cell>
          <cell r="K654">
            <v>0</v>
          </cell>
          <cell r="L654">
            <v>0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10</v>
          </cell>
          <cell r="U654">
            <v>0</v>
          </cell>
          <cell r="V654">
            <v>0</v>
          </cell>
          <cell r="W654">
            <v>0</v>
          </cell>
          <cell r="X654">
            <v>1217736.6935483869</v>
          </cell>
          <cell r="Y654">
            <v>51000</v>
          </cell>
        </row>
        <row r="655">
          <cell r="E655">
            <v>0</v>
          </cell>
          <cell r="F655" t="str">
            <v>Indah ponsel</v>
          </cell>
          <cell r="G655">
            <v>0</v>
          </cell>
          <cell r="H655">
            <v>0</v>
          </cell>
          <cell r="I655">
            <v>1</v>
          </cell>
          <cell r="J655">
            <v>1</v>
          </cell>
          <cell r="K655">
            <v>0</v>
          </cell>
          <cell r="L655">
            <v>0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>
            <v>0</v>
          </cell>
          <cell r="S655">
            <v>0</v>
          </cell>
          <cell r="T655">
            <v>0</v>
          </cell>
          <cell r="U655">
            <v>0</v>
          </cell>
          <cell r="V655">
            <v>0</v>
          </cell>
          <cell r="W655">
            <v>0</v>
          </cell>
          <cell r="X655">
            <v>399977.20967741898</v>
          </cell>
          <cell r="Y655">
            <v>72000</v>
          </cell>
        </row>
        <row r="656">
          <cell r="E656">
            <v>0</v>
          </cell>
          <cell r="F656" t="str">
            <v>Nabila ponsel</v>
          </cell>
          <cell r="G656">
            <v>0</v>
          </cell>
          <cell r="H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>
            <v>0</v>
          </cell>
          <cell r="V656">
            <v>0</v>
          </cell>
          <cell r="W656">
            <v>0</v>
          </cell>
          <cell r="X656">
            <v>100956.088876159</v>
          </cell>
          <cell r="Y656">
            <v>200000</v>
          </cell>
        </row>
        <row r="657">
          <cell r="E657">
            <v>0</v>
          </cell>
          <cell r="F657" t="str">
            <v>YOYONG PONSEL</v>
          </cell>
          <cell r="G657">
            <v>0</v>
          </cell>
          <cell r="H657">
            <v>0</v>
          </cell>
          <cell r="I657">
            <v>1</v>
          </cell>
          <cell r="J657">
            <v>1</v>
          </cell>
          <cell r="K657">
            <v>0</v>
          </cell>
          <cell r="L657">
            <v>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>
            <v>0</v>
          </cell>
          <cell r="S657">
            <v>0</v>
          </cell>
          <cell r="T657">
            <v>0</v>
          </cell>
          <cell r="U657">
            <v>0</v>
          </cell>
          <cell r="V657">
            <v>0</v>
          </cell>
          <cell r="W657">
            <v>0</v>
          </cell>
          <cell r="X657">
            <v>340730.870967742</v>
          </cell>
          <cell r="Y657">
            <v>72000</v>
          </cell>
        </row>
        <row r="658">
          <cell r="E658">
            <v>0</v>
          </cell>
          <cell r="F658" t="str">
            <v>Heny Ponsel</v>
          </cell>
          <cell r="G658">
            <v>0</v>
          </cell>
          <cell r="H658">
            <v>0</v>
          </cell>
          <cell r="I658">
            <v>0</v>
          </cell>
          <cell r="J658">
            <v>0</v>
          </cell>
          <cell r="K658">
            <v>0</v>
          </cell>
          <cell r="L658">
            <v>0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10</v>
          </cell>
          <cell r="U658">
            <v>0</v>
          </cell>
          <cell r="V658">
            <v>0</v>
          </cell>
          <cell r="W658">
            <v>0</v>
          </cell>
          <cell r="X658">
            <v>289502.35483870999</v>
          </cell>
          <cell r="Y658">
            <v>0</v>
          </cell>
        </row>
        <row r="659">
          <cell r="E659">
            <v>0</v>
          </cell>
          <cell r="F659" t="str">
            <v>Nazia Ponsel</v>
          </cell>
          <cell r="G659">
            <v>0</v>
          </cell>
          <cell r="H659">
            <v>0</v>
          </cell>
          <cell r="I659">
            <v>1</v>
          </cell>
          <cell r="J659">
            <v>1</v>
          </cell>
          <cell r="K659">
            <v>0</v>
          </cell>
          <cell r="L659">
            <v>0</v>
          </cell>
          <cell r="M659">
            <v>0</v>
          </cell>
          <cell r="N659">
            <v>0</v>
          </cell>
          <cell r="O659">
            <v>0</v>
          </cell>
          <cell r="P659">
            <v>0</v>
          </cell>
          <cell r="Q659">
            <v>0</v>
          </cell>
          <cell r="R659">
            <v>0</v>
          </cell>
          <cell r="S659">
            <v>0</v>
          </cell>
          <cell r="T659">
            <v>0</v>
          </cell>
          <cell r="U659">
            <v>0</v>
          </cell>
          <cell r="V659">
            <v>0</v>
          </cell>
          <cell r="W659">
            <v>0</v>
          </cell>
          <cell r="X659">
            <v>1426112.096774193</v>
          </cell>
          <cell r="Y659">
            <v>123000</v>
          </cell>
        </row>
        <row r="660">
          <cell r="E660">
            <v>0</v>
          </cell>
          <cell r="F660" t="str">
            <v>Bintang ponsel</v>
          </cell>
          <cell r="G660">
            <v>0</v>
          </cell>
          <cell r="H660">
            <v>0</v>
          </cell>
          <cell r="I660">
            <v>1</v>
          </cell>
          <cell r="J660">
            <v>1</v>
          </cell>
          <cell r="K660">
            <v>4</v>
          </cell>
          <cell r="L660">
            <v>4</v>
          </cell>
          <cell r="M660">
            <v>0</v>
          </cell>
          <cell r="N660">
            <v>1</v>
          </cell>
          <cell r="O660">
            <v>1</v>
          </cell>
          <cell r="P660">
            <v>0</v>
          </cell>
          <cell r="Q660">
            <v>2</v>
          </cell>
          <cell r="R660">
            <v>2</v>
          </cell>
          <cell r="S660">
            <v>0</v>
          </cell>
          <cell r="T660">
            <v>3</v>
          </cell>
          <cell r="U660">
            <v>1</v>
          </cell>
          <cell r="V660">
            <v>0</v>
          </cell>
          <cell r="W660">
            <v>0</v>
          </cell>
          <cell r="X660">
            <v>196830.99533357</v>
          </cell>
          <cell r="Y660">
            <v>51000</v>
          </cell>
        </row>
        <row r="661">
          <cell r="E661">
            <v>0</v>
          </cell>
          <cell r="F661" t="str">
            <v>King Cell</v>
          </cell>
          <cell r="G661">
            <v>0</v>
          </cell>
          <cell r="H661">
            <v>0</v>
          </cell>
          <cell r="I661">
            <v>1</v>
          </cell>
          <cell r="J661">
            <v>1</v>
          </cell>
          <cell r="K661">
            <v>0</v>
          </cell>
          <cell r="L661">
            <v>0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S661">
            <v>0</v>
          </cell>
          <cell r="T661">
            <v>0</v>
          </cell>
          <cell r="U661">
            <v>0</v>
          </cell>
          <cell r="V661">
            <v>0</v>
          </cell>
          <cell r="W661">
            <v>0</v>
          </cell>
          <cell r="X661">
            <v>1402774.838709678</v>
          </cell>
          <cell r="Y661">
            <v>123000</v>
          </cell>
        </row>
        <row r="662">
          <cell r="E662">
            <v>0</v>
          </cell>
          <cell r="F662" t="str">
            <v>WARUNG TITIK</v>
          </cell>
          <cell r="G662">
            <v>0</v>
          </cell>
          <cell r="H662">
            <v>0</v>
          </cell>
          <cell r="I662">
            <v>1</v>
          </cell>
          <cell r="J662">
            <v>1</v>
          </cell>
          <cell r="K662">
            <v>0</v>
          </cell>
          <cell r="L662">
            <v>0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>
            <v>0</v>
          </cell>
          <cell r="V662">
            <v>0</v>
          </cell>
          <cell r="W662">
            <v>0</v>
          </cell>
          <cell r="X662">
            <v>4335393.3064516131</v>
          </cell>
          <cell r="Y662">
            <v>3772000</v>
          </cell>
        </row>
        <row r="663">
          <cell r="E663">
            <v>0</v>
          </cell>
          <cell r="F663" t="str">
            <v>SRC SETIANA</v>
          </cell>
          <cell r="G663">
            <v>0</v>
          </cell>
          <cell r="H663">
            <v>0</v>
          </cell>
          <cell r="I663">
            <v>0</v>
          </cell>
          <cell r="J663">
            <v>0</v>
          </cell>
          <cell r="K663">
            <v>0</v>
          </cell>
          <cell r="L663">
            <v>0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  <cell r="U663">
            <v>0</v>
          </cell>
          <cell r="V663">
            <v>0</v>
          </cell>
          <cell r="W663">
            <v>0</v>
          </cell>
          <cell r="X663">
            <v>7336662.9032258065</v>
          </cell>
          <cell r="Y663">
            <v>3700000</v>
          </cell>
        </row>
        <row r="664">
          <cell r="E664">
            <v>0</v>
          </cell>
          <cell r="F664" t="str">
            <v>RHANI PONSEL</v>
          </cell>
          <cell r="G664">
            <v>0</v>
          </cell>
          <cell r="H664">
            <v>0</v>
          </cell>
          <cell r="I664">
            <v>1</v>
          </cell>
          <cell r="J664">
            <v>1</v>
          </cell>
          <cell r="K664">
            <v>0</v>
          </cell>
          <cell r="L664">
            <v>0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0</v>
          </cell>
          <cell r="T664">
            <v>0</v>
          </cell>
          <cell r="U664">
            <v>0</v>
          </cell>
          <cell r="V664">
            <v>0</v>
          </cell>
          <cell r="W664">
            <v>0</v>
          </cell>
          <cell r="X664">
            <v>88244.483870968004</v>
          </cell>
          <cell r="Y664">
            <v>147000</v>
          </cell>
        </row>
        <row r="665">
          <cell r="E665">
            <v>0</v>
          </cell>
          <cell r="F665" t="str">
            <v>SN CELLINDO</v>
          </cell>
          <cell r="G665">
            <v>0</v>
          </cell>
          <cell r="H665">
            <v>0</v>
          </cell>
          <cell r="I665">
            <v>1</v>
          </cell>
          <cell r="J665">
            <v>1</v>
          </cell>
          <cell r="K665">
            <v>2</v>
          </cell>
          <cell r="L665">
            <v>2</v>
          </cell>
          <cell r="M665">
            <v>0</v>
          </cell>
          <cell r="N665">
            <v>2</v>
          </cell>
          <cell r="O665">
            <v>2</v>
          </cell>
          <cell r="P665">
            <v>0</v>
          </cell>
          <cell r="Q665">
            <v>2</v>
          </cell>
          <cell r="R665">
            <v>2</v>
          </cell>
          <cell r="S665">
            <v>0</v>
          </cell>
          <cell r="T665">
            <v>1</v>
          </cell>
          <cell r="U665">
            <v>0</v>
          </cell>
          <cell r="V665">
            <v>0</v>
          </cell>
          <cell r="W665">
            <v>0</v>
          </cell>
          <cell r="X665">
            <v>181325.464442091</v>
          </cell>
          <cell r="Y665">
            <v>396000</v>
          </cell>
        </row>
        <row r="666">
          <cell r="E666">
            <v>0</v>
          </cell>
          <cell r="F666" t="str">
            <v>UBER CELL</v>
          </cell>
          <cell r="G666">
            <v>0</v>
          </cell>
          <cell r="H666">
            <v>0</v>
          </cell>
          <cell r="I666">
            <v>0</v>
          </cell>
          <cell r="J666">
            <v>0</v>
          </cell>
          <cell r="K666">
            <v>0</v>
          </cell>
          <cell r="L666">
            <v>0</v>
          </cell>
          <cell r="M666">
            <v>0</v>
          </cell>
          <cell r="N666">
            <v>0</v>
          </cell>
          <cell r="O666">
            <v>0</v>
          </cell>
          <cell r="P666">
            <v>0</v>
          </cell>
          <cell r="Q666">
            <v>0</v>
          </cell>
          <cell r="R666">
            <v>0</v>
          </cell>
          <cell r="S666">
            <v>0</v>
          </cell>
          <cell r="T666">
            <v>0</v>
          </cell>
          <cell r="U666">
            <v>0</v>
          </cell>
          <cell r="V666">
            <v>0</v>
          </cell>
          <cell r="W666">
            <v>0</v>
          </cell>
          <cell r="X666">
            <v>0</v>
          </cell>
          <cell r="Y666">
            <v>0</v>
          </cell>
        </row>
        <row r="667">
          <cell r="E667">
            <v>0</v>
          </cell>
          <cell r="F667" t="str">
            <v>ZEE CELL</v>
          </cell>
          <cell r="G667">
            <v>0</v>
          </cell>
          <cell r="H667">
            <v>0</v>
          </cell>
          <cell r="I667">
            <v>1</v>
          </cell>
          <cell r="J667">
            <v>1</v>
          </cell>
          <cell r="K667">
            <v>0</v>
          </cell>
          <cell r="L667">
            <v>0</v>
          </cell>
          <cell r="M667">
            <v>0</v>
          </cell>
          <cell r="N667">
            <v>0</v>
          </cell>
          <cell r="O667">
            <v>0</v>
          </cell>
          <cell r="P667">
            <v>0</v>
          </cell>
          <cell r="Q667">
            <v>0</v>
          </cell>
          <cell r="R667">
            <v>0</v>
          </cell>
          <cell r="S667">
            <v>0</v>
          </cell>
          <cell r="T667">
            <v>10</v>
          </cell>
          <cell r="U667">
            <v>0</v>
          </cell>
          <cell r="V667">
            <v>0</v>
          </cell>
          <cell r="W667">
            <v>0</v>
          </cell>
          <cell r="X667">
            <v>284908.629032258</v>
          </cell>
          <cell r="Y667">
            <v>147000</v>
          </cell>
        </row>
        <row r="668">
          <cell r="E668">
            <v>0</v>
          </cell>
          <cell r="F668" t="str">
            <v>AZZAHRA CELL</v>
          </cell>
          <cell r="G668">
            <v>0</v>
          </cell>
          <cell r="H668">
            <v>0</v>
          </cell>
          <cell r="I668">
            <v>0</v>
          </cell>
          <cell r="J668">
            <v>0</v>
          </cell>
          <cell r="K668">
            <v>1</v>
          </cell>
          <cell r="L668">
            <v>1</v>
          </cell>
          <cell r="M668">
            <v>0</v>
          </cell>
          <cell r="N668">
            <v>0</v>
          </cell>
          <cell r="O668">
            <v>0</v>
          </cell>
          <cell r="P668">
            <v>0</v>
          </cell>
          <cell r="Q668">
            <v>1</v>
          </cell>
          <cell r="R668">
            <v>1</v>
          </cell>
          <cell r="S668">
            <v>0</v>
          </cell>
          <cell r="T668">
            <v>0</v>
          </cell>
          <cell r="U668">
            <v>0</v>
          </cell>
          <cell r="V668">
            <v>0</v>
          </cell>
          <cell r="W668">
            <v>0</v>
          </cell>
          <cell r="X668">
            <v>1307307.2580645159</v>
          </cell>
          <cell r="Y668">
            <v>1300000</v>
          </cell>
        </row>
        <row r="669">
          <cell r="E669">
            <v>0</v>
          </cell>
          <cell r="F669" t="str">
            <v>TK RINI</v>
          </cell>
          <cell r="G669">
            <v>0</v>
          </cell>
          <cell r="H669">
            <v>0</v>
          </cell>
          <cell r="I669">
            <v>0</v>
          </cell>
          <cell r="J669">
            <v>0</v>
          </cell>
          <cell r="K669">
            <v>0</v>
          </cell>
          <cell r="L669">
            <v>0</v>
          </cell>
          <cell r="M669">
            <v>0</v>
          </cell>
          <cell r="N669">
            <v>0</v>
          </cell>
          <cell r="O669">
            <v>0</v>
          </cell>
          <cell r="P669">
            <v>0</v>
          </cell>
          <cell r="Q669">
            <v>0</v>
          </cell>
          <cell r="R669">
            <v>0</v>
          </cell>
          <cell r="S669">
            <v>0</v>
          </cell>
          <cell r="T669">
            <v>0</v>
          </cell>
          <cell r="U669">
            <v>0</v>
          </cell>
          <cell r="V669">
            <v>0</v>
          </cell>
          <cell r="W669">
            <v>0</v>
          </cell>
          <cell r="X669">
            <v>0</v>
          </cell>
          <cell r="Y669">
            <v>0</v>
          </cell>
        </row>
        <row r="670">
          <cell r="E670">
            <v>0</v>
          </cell>
          <cell r="F670" t="str">
            <v>Toko Hansen</v>
          </cell>
          <cell r="G670">
            <v>0</v>
          </cell>
          <cell r="H670">
            <v>0</v>
          </cell>
          <cell r="I670">
            <v>1</v>
          </cell>
          <cell r="J670">
            <v>1</v>
          </cell>
          <cell r="K670">
            <v>0</v>
          </cell>
          <cell r="L670">
            <v>0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0</v>
          </cell>
          <cell r="T670">
            <v>10</v>
          </cell>
          <cell r="U670">
            <v>0</v>
          </cell>
          <cell r="V670">
            <v>0</v>
          </cell>
          <cell r="W670">
            <v>0</v>
          </cell>
          <cell r="X670">
            <v>143824.51612903201</v>
          </cell>
          <cell r="Y670">
            <v>51000</v>
          </cell>
        </row>
        <row r="671">
          <cell r="E671">
            <v>0</v>
          </cell>
          <cell r="F671" t="str">
            <v>TK PUTRI</v>
          </cell>
          <cell r="G671">
            <v>0</v>
          </cell>
          <cell r="H671">
            <v>0</v>
          </cell>
          <cell r="I671">
            <v>0</v>
          </cell>
          <cell r="J671">
            <v>0</v>
          </cell>
          <cell r="K671">
            <v>0</v>
          </cell>
          <cell r="L671">
            <v>0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S671">
            <v>0</v>
          </cell>
          <cell r="T671">
            <v>0</v>
          </cell>
          <cell r="U671">
            <v>0</v>
          </cell>
          <cell r="V671">
            <v>0</v>
          </cell>
          <cell r="W671">
            <v>0</v>
          </cell>
          <cell r="X671">
            <v>0</v>
          </cell>
          <cell r="Y671">
            <v>0</v>
          </cell>
        </row>
        <row r="672">
          <cell r="E672">
            <v>0</v>
          </cell>
          <cell r="F672" t="str">
            <v>Warung nur</v>
          </cell>
          <cell r="G672">
            <v>0</v>
          </cell>
          <cell r="H672">
            <v>0</v>
          </cell>
          <cell r="I672">
            <v>1</v>
          </cell>
          <cell r="J672">
            <v>1</v>
          </cell>
          <cell r="K672">
            <v>0</v>
          </cell>
          <cell r="L672">
            <v>0</v>
          </cell>
          <cell r="M672">
            <v>0</v>
          </cell>
          <cell r="N672">
            <v>0</v>
          </cell>
          <cell r="O672">
            <v>0</v>
          </cell>
          <cell r="P672">
            <v>0</v>
          </cell>
          <cell r="Q672">
            <v>0</v>
          </cell>
          <cell r="R672">
            <v>0</v>
          </cell>
          <cell r="S672">
            <v>0</v>
          </cell>
          <cell r="T672">
            <v>10</v>
          </cell>
          <cell r="U672">
            <v>0</v>
          </cell>
          <cell r="V672">
            <v>0</v>
          </cell>
          <cell r="W672">
            <v>0</v>
          </cell>
          <cell r="X672">
            <v>532330.64516128995</v>
          </cell>
          <cell r="Y672">
            <v>85000</v>
          </cell>
        </row>
        <row r="673">
          <cell r="E673">
            <v>0</v>
          </cell>
          <cell r="F673" t="str">
            <v>Abyan ponsel</v>
          </cell>
          <cell r="G673">
            <v>0</v>
          </cell>
          <cell r="H673">
            <v>0</v>
          </cell>
          <cell r="I673">
            <v>1</v>
          </cell>
          <cell r="J673">
            <v>1</v>
          </cell>
          <cell r="K673">
            <v>1</v>
          </cell>
          <cell r="L673">
            <v>1</v>
          </cell>
          <cell r="M673">
            <v>0</v>
          </cell>
          <cell r="N673">
            <v>1</v>
          </cell>
          <cell r="O673">
            <v>1</v>
          </cell>
          <cell r="P673">
            <v>0</v>
          </cell>
          <cell r="Q673">
            <v>1</v>
          </cell>
          <cell r="R673">
            <v>1</v>
          </cell>
          <cell r="S673">
            <v>0</v>
          </cell>
          <cell r="T673">
            <v>0</v>
          </cell>
          <cell r="U673">
            <v>0</v>
          </cell>
          <cell r="V673">
            <v>0</v>
          </cell>
          <cell r="W673">
            <v>0</v>
          </cell>
          <cell r="X673">
            <v>69638.306451612996</v>
          </cell>
          <cell r="Y673">
            <v>147000</v>
          </cell>
        </row>
        <row r="674">
          <cell r="E674">
            <v>0</v>
          </cell>
          <cell r="F674" t="str">
            <v>son playstation</v>
          </cell>
          <cell r="G674">
            <v>0</v>
          </cell>
          <cell r="H674">
            <v>0</v>
          </cell>
          <cell r="I674">
            <v>1</v>
          </cell>
          <cell r="J674">
            <v>1</v>
          </cell>
          <cell r="K674">
            <v>0</v>
          </cell>
          <cell r="L674">
            <v>0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S674">
            <v>0</v>
          </cell>
          <cell r="T674">
            <v>0</v>
          </cell>
          <cell r="U674">
            <v>0</v>
          </cell>
          <cell r="V674">
            <v>0</v>
          </cell>
          <cell r="W674">
            <v>0</v>
          </cell>
          <cell r="X674">
            <v>123020.467741935</v>
          </cell>
          <cell r="Y674">
            <v>123000</v>
          </cell>
        </row>
        <row r="675">
          <cell r="E675">
            <v>0</v>
          </cell>
          <cell r="F675" t="str">
            <v>ira photocopy</v>
          </cell>
          <cell r="G675">
            <v>0</v>
          </cell>
          <cell r="H675">
            <v>0</v>
          </cell>
          <cell r="I675">
            <v>1</v>
          </cell>
          <cell r="J675">
            <v>1</v>
          </cell>
          <cell r="K675">
            <v>0</v>
          </cell>
          <cell r="L675">
            <v>0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S675">
            <v>0</v>
          </cell>
          <cell r="T675">
            <v>10</v>
          </cell>
          <cell r="U675">
            <v>0</v>
          </cell>
          <cell r="V675">
            <v>0</v>
          </cell>
          <cell r="W675">
            <v>0</v>
          </cell>
          <cell r="X675">
            <v>207290.32258064501</v>
          </cell>
          <cell r="Y675">
            <v>123000</v>
          </cell>
        </row>
        <row r="676">
          <cell r="E676">
            <v>0</v>
          </cell>
          <cell r="F676" t="str">
            <v>KAISAR CELL</v>
          </cell>
          <cell r="G676">
            <v>0</v>
          </cell>
          <cell r="H676">
            <v>0</v>
          </cell>
          <cell r="I676">
            <v>1</v>
          </cell>
          <cell r="J676">
            <v>1</v>
          </cell>
          <cell r="K676">
            <v>0</v>
          </cell>
          <cell r="L676">
            <v>0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0</v>
          </cell>
          <cell r="T676">
            <v>0</v>
          </cell>
          <cell r="U676">
            <v>0</v>
          </cell>
          <cell r="V676">
            <v>0</v>
          </cell>
          <cell r="W676">
            <v>100000</v>
          </cell>
          <cell r="X676">
            <v>1372523.215414406</v>
          </cell>
          <cell r="Y676">
            <v>2172000</v>
          </cell>
        </row>
        <row r="677">
          <cell r="E677">
            <v>0</v>
          </cell>
          <cell r="F677" t="str">
            <v>ZET CELL</v>
          </cell>
          <cell r="G677">
            <v>0</v>
          </cell>
          <cell r="H677">
            <v>0</v>
          </cell>
          <cell r="I677">
            <v>1</v>
          </cell>
          <cell r="J677">
            <v>1</v>
          </cell>
          <cell r="K677">
            <v>0</v>
          </cell>
          <cell r="L677">
            <v>0</v>
          </cell>
          <cell r="M677">
            <v>0</v>
          </cell>
          <cell r="N677">
            <v>0</v>
          </cell>
          <cell r="O677">
            <v>0</v>
          </cell>
          <cell r="P677">
            <v>0</v>
          </cell>
          <cell r="Q677">
            <v>0</v>
          </cell>
          <cell r="R677">
            <v>0</v>
          </cell>
          <cell r="S677">
            <v>0</v>
          </cell>
          <cell r="T677">
            <v>10</v>
          </cell>
          <cell r="U677">
            <v>0</v>
          </cell>
          <cell r="V677">
            <v>0</v>
          </cell>
          <cell r="W677">
            <v>0</v>
          </cell>
          <cell r="X677">
            <v>165158.602150538</v>
          </cell>
          <cell r="Y677">
            <v>123000</v>
          </cell>
        </row>
        <row r="678">
          <cell r="E678">
            <v>0</v>
          </cell>
          <cell r="F678" t="str">
            <v>Anugrah ponsel</v>
          </cell>
          <cell r="G678">
            <v>0</v>
          </cell>
          <cell r="H678">
            <v>0</v>
          </cell>
          <cell r="I678">
            <v>1</v>
          </cell>
          <cell r="J678">
            <v>1</v>
          </cell>
          <cell r="K678">
            <v>8</v>
          </cell>
          <cell r="L678">
            <v>8</v>
          </cell>
          <cell r="M678">
            <v>0</v>
          </cell>
          <cell r="N678">
            <v>3</v>
          </cell>
          <cell r="O678">
            <v>3</v>
          </cell>
          <cell r="P678">
            <v>0</v>
          </cell>
          <cell r="Q678">
            <v>6</v>
          </cell>
          <cell r="R678">
            <v>6</v>
          </cell>
          <cell r="S678">
            <v>0</v>
          </cell>
          <cell r="T678">
            <v>0</v>
          </cell>
          <cell r="U678">
            <v>0</v>
          </cell>
          <cell r="V678">
            <v>0</v>
          </cell>
          <cell r="W678">
            <v>0</v>
          </cell>
          <cell r="X678">
            <v>303887.22580645198</v>
          </cell>
          <cell r="Y678">
            <v>123000</v>
          </cell>
        </row>
        <row r="679">
          <cell r="E679">
            <v>0</v>
          </cell>
          <cell r="F679" t="str">
            <v>gea voucher</v>
          </cell>
          <cell r="G679">
            <v>0</v>
          </cell>
          <cell r="H679">
            <v>0</v>
          </cell>
          <cell r="I679">
            <v>1</v>
          </cell>
          <cell r="J679">
            <v>1</v>
          </cell>
          <cell r="K679">
            <v>0</v>
          </cell>
          <cell r="L679">
            <v>0</v>
          </cell>
          <cell r="M679">
            <v>0</v>
          </cell>
          <cell r="N679">
            <v>0</v>
          </cell>
          <cell r="O679">
            <v>0</v>
          </cell>
          <cell r="P679">
            <v>0</v>
          </cell>
          <cell r="Q679">
            <v>0</v>
          </cell>
          <cell r="R679">
            <v>0</v>
          </cell>
          <cell r="S679">
            <v>0</v>
          </cell>
          <cell r="T679">
            <v>0</v>
          </cell>
          <cell r="U679">
            <v>0</v>
          </cell>
          <cell r="V679">
            <v>0</v>
          </cell>
          <cell r="W679">
            <v>0</v>
          </cell>
          <cell r="X679">
            <v>144970.96774193499</v>
          </cell>
          <cell r="Y679">
            <v>51000</v>
          </cell>
        </row>
        <row r="680">
          <cell r="E680">
            <v>0</v>
          </cell>
          <cell r="F680" t="str">
            <v>PAW PONSEL</v>
          </cell>
          <cell r="G680">
            <v>0</v>
          </cell>
          <cell r="H680">
            <v>0</v>
          </cell>
          <cell r="I680">
            <v>1</v>
          </cell>
          <cell r="J680">
            <v>1</v>
          </cell>
          <cell r="K680">
            <v>0</v>
          </cell>
          <cell r="L680">
            <v>0</v>
          </cell>
          <cell r="M680">
            <v>0</v>
          </cell>
          <cell r="N680">
            <v>0</v>
          </cell>
          <cell r="O680">
            <v>0</v>
          </cell>
          <cell r="P680">
            <v>0</v>
          </cell>
          <cell r="Q680">
            <v>0</v>
          </cell>
          <cell r="R680">
            <v>0</v>
          </cell>
          <cell r="S680">
            <v>0</v>
          </cell>
          <cell r="T680">
            <v>0</v>
          </cell>
          <cell r="U680">
            <v>0</v>
          </cell>
          <cell r="V680">
            <v>0</v>
          </cell>
          <cell r="W680">
            <v>0</v>
          </cell>
          <cell r="X680">
            <v>0</v>
          </cell>
          <cell r="Y680">
            <v>72000</v>
          </cell>
        </row>
        <row r="681">
          <cell r="E681">
            <v>0</v>
          </cell>
          <cell r="F681" t="str">
            <v>sumut ponsel</v>
          </cell>
          <cell r="G681">
            <v>0</v>
          </cell>
          <cell r="H681">
            <v>0</v>
          </cell>
          <cell r="I681">
            <v>1</v>
          </cell>
          <cell r="J681">
            <v>1</v>
          </cell>
          <cell r="K681">
            <v>1</v>
          </cell>
          <cell r="L681">
            <v>1</v>
          </cell>
          <cell r="M681">
            <v>0</v>
          </cell>
          <cell r="N681">
            <v>1</v>
          </cell>
          <cell r="O681">
            <v>1</v>
          </cell>
          <cell r="P681">
            <v>0</v>
          </cell>
          <cell r="Q681">
            <v>1</v>
          </cell>
          <cell r="R681">
            <v>1</v>
          </cell>
          <cell r="S681">
            <v>0</v>
          </cell>
          <cell r="T681">
            <v>12</v>
          </cell>
          <cell r="U681">
            <v>0</v>
          </cell>
          <cell r="V681">
            <v>0</v>
          </cell>
          <cell r="W681">
            <v>0</v>
          </cell>
          <cell r="X681">
            <v>241367.24193548399</v>
          </cell>
          <cell r="Y681">
            <v>72000</v>
          </cell>
        </row>
        <row r="682">
          <cell r="E682">
            <v>0</v>
          </cell>
          <cell r="F682" t="str">
            <v>toki pak simin</v>
          </cell>
          <cell r="G682">
            <v>0</v>
          </cell>
          <cell r="H682">
            <v>0</v>
          </cell>
          <cell r="I682">
            <v>1</v>
          </cell>
          <cell r="J682">
            <v>1</v>
          </cell>
          <cell r="K682">
            <v>0</v>
          </cell>
          <cell r="L682">
            <v>0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  <cell r="Q682">
            <v>0</v>
          </cell>
          <cell r="R682">
            <v>0</v>
          </cell>
          <cell r="S682">
            <v>0</v>
          </cell>
          <cell r="T682">
            <v>0</v>
          </cell>
          <cell r="U682">
            <v>0</v>
          </cell>
          <cell r="V682">
            <v>0</v>
          </cell>
          <cell r="W682">
            <v>0</v>
          </cell>
          <cell r="X682">
            <v>284765.32258064498</v>
          </cell>
          <cell r="Y682">
            <v>72000</v>
          </cell>
        </row>
        <row r="683">
          <cell r="E683">
            <v>0</v>
          </cell>
          <cell r="F683" t="str">
            <v>Dglo</v>
          </cell>
          <cell r="G683">
            <v>0</v>
          </cell>
          <cell r="H683">
            <v>0</v>
          </cell>
          <cell r="I683">
            <v>1</v>
          </cell>
          <cell r="J683">
            <v>1</v>
          </cell>
          <cell r="K683">
            <v>0</v>
          </cell>
          <cell r="L683">
            <v>0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S683">
            <v>0</v>
          </cell>
          <cell r="T683">
            <v>0</v>
          </cell>
          <cell r="U683">
            <v>0</v>
          </cell>
          <cell r="V683">
            <v>0</v>
          </cell>
          <cell r="W683">
            <v>0</v>
          </cell>
          <cell r="X683">
            <v>190773.38709677401</v>
          </cell>
          <cell r="Y683">
            <v>72000</v>
          </cell>
        </row>
        <row r="684">
          <cell r="E684">
            <v>0</v>
          </cell>
          <cell r="F684" t="str">
            <v>Kak Gem</v>
          </cell>
          <cell r="G684">
            <v>0</v>
          </cell>
          <cell r="H684">
            <v>0</v>
          </cell>
          <cell r="I684">
            <v>0</v>
          </cell>
          <cell r="J684">
            <v>0</v>
          </cell>
          <cell r="K684">
            <v>0</v>
          </cell>
          <cell r="L684">
            <v>0</v>
          </cell>
          <cell r="M684">
            <v>0</v>
          </cell>
          <cell r="N684">
            <v>0</v>
          </cell>
          <cell r="O684">
            <v>0</v>
          </cell>
          <cell r="P684">
            <v>0</v>
          </cell>
          <cell r="Q684">
            <v>0</v>
          </cell>
          <cell r="R684">
            <v>0</v>
          </cell>
          <cell r="S684">
            <v>0</v>
          </cell>
          <cell r="T684">
            <v>0</v>
          </cell>
          <cell r="U684">
            <v>0</v>
          </cell>
          <cell r="V684">
            <v>0</v>
          </cell>
          <cell r="W684">
            <v>0</v>
          </cell>
          <cell r="X684">
            <v>0</v>
          </cell>
          <cell r="Y684">
            <v>0</v>
          </cell>
        </row>
        <row r="685">
          <cell r="E685">
            <v>0</v>
          </cell>
          <cell r="F685" t="str">
            <v>toko neptunus</v>
          </cell>
          <cell r="G685">
            <v>0</v>
          </cell>
          <cell r="H685">
            <v>0</v>
          </cell>
          <cell r="I685">
            <v>0</v>
          </cell>
          <cell r="J685">
            <v>0</v>
          </cell>
          <cell r="K685">
            <v>0</v>
          </cell>
          <cell r="L685">
            <v>0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  <cell r="Q685">
            <v>0</v>
          </cell>
          <cell r="R685">
            <v>0</v>
          </cell>
          <cell r="S685">
            <v>0</v>
          </cell>
          <cell r="T685">
            <v>0</v>
          </cell>
          <cell r="U685">
            <v>0</v>
          </cell>
          <cell r="V685">
            <v>0</v>
          </cell>
          <cell r="W685">
            <v>0</v>
          </cell>
          <cell r="X685">
            <v>7328059.6774193551</v>
          </cell>
          <cell r="Y685">
            <v>3700000</v>
          </cell>
        </row>
        <row r="686">
          <cell r="E686">
            <v>0</v>
          </cell>
          <cell r="F686" t="str">
            <v>Wr.ujang tayan</v>
          </cell>
          <cell r="G686">
            <v>0</v>
          </cell>
          <cell r="H686">
            <v>0</v>
          </cell>
          <cell r="I686">
            <v>0</v>
          </cell>
          <cell r="J686">
            <v>0</v>
          </cell>
          <cell r="K686">
            <v>0</v>
          </cell>
          <cell r="L686">
            <v>0</v>
          </cell>
          <cell r="M686">
            <v>0</v>
          </cell>
          <cell r="N686">
            <v>0</v>
          </cell>
          <cell r="O686">
            <v>0</v>
          </cell>
          <cell r="P686">
            <v>0</v>
          </cell>
          <cell r="Q686">
            <v>0</v>
          </cell>
          <cell r="R686">
            <v>0</v>
          </cell>
          <cell r="S686">
            <v>0</v>
          </cell>
          <cell r="T686">
            <v>0</v>
          </cell>
          <cell r="U686">
            <v>0</v>
          </cell>
          <cell r="V686">
            <v>0</v>
          </cell>
          <cell r="W686">
            <v>0</v>
          </cell>
          <cell r="X686">
            <v>0</v>
          </cell>
          <cell r="Y686">
            <v>0</v>
          </cell>
        </row>
        <row r="687">
          <cell r="E687">
            <v>0</v>
          </cell>
          <cell r="F687" t="str">
            <v>soe print</v>
          </cell>
          <cell r="G687">
            <v>0</v>
          </cell>
          <cell r="H687">
            <v>0</v>
          </cell>
          <cell r="I687">
            <v>1</v>
          </cell>
          <cell r="J687">
            <v>1</v>
          </cell>
          <cell r="K687">
            <v>0</v>
          </cell>
          <cell r="L687">
            <v>0</v>
          </cell>
          <cell r="M687">
            <v>0</v>
          </cell>
          <cell r="N687">
            <v>0</v>
          </cell>
          <cell r="O687">
            <v>0</v>
          </cell>
          <cell r="P687">
            <v>0</v>
          </cell>
          <cell r="Q687">
            <v>0</v>
          </cell>
          <cell r="R687">
            <v>0</v>
          </cell>
          <cell r="S687">
            <v>0</v>
          </cell>
          <cell r="T687">
            <v>0</v>
          </cell>
          <cell r="U687">
            <v>0</v>
          </cell>
          <cell r="V687">
            <v>0</v>
          </cell>
          <cell r="W687">
            <v>0</v>
          </cell>
          <cell r="X687">
            <v>1631141.1290322579</v>
          </cell>
          <cell r="Y687">
            <v>123000</v>
          </cell>
        </row>
        <row r="688">
          <cell r="E688">
            <v>0</v>
          </cell>
          <cell r="F688" t="str">
            <v>Dsimpang</v>
          </cell>
          <cell r="G688">
            <v>0</v>
          </cell>
          <cell r="H688">
            <v>0</v>
          </cell>
          <cell r="I688">
            <v>0</v>
          </cell>
          <cell r="J688">
            <v>0</v>
          </cell>
          <cell r="K688">
            <v>0</v>
          </cell>
          <cell r="L688">
            <v>0</v>
          </cell>
          <cell r="M688">
            <v>0</v>
          </cell>
          <cell r="N688">
            <v>0</v>
          </cell>
          <cell r="O688">
            <v>0</v>
          </cell>
          <cell r="P688">
            <v>0</v>
          </cell>
          <cell r="Q688">
            <v>0</v>
          </cell>
          <cell r="R688">
            <v>0</v>
          </cell>
          <cell r="S688">
            <v>0</v>
          </cell>
          <cell r="T688">
            <v>0</v>
          </cell>
          <cell r="U688">
            <v>0</v>
          </cell>
          <cell r="V688">
            <v>0</v>
          </cell>
          <cell r="W688">
            <v>0</v>
          </cell>
          <cell r="X688">
            <v>209032.25806451601</v>
          </cell>
          <cell r="Y688">
            <v>0</v>
          </cell>
        </row>
        <row r="689">
          <cell r="E689">
            <v>0</v>
          </cell>
          <cell r="F689" t="str">
            <v>Naura Cell</v>
          </cell>
          <cell r="G689">
            <v>0</v>
          </cell>
          <cell r="H689">
            <v>0</v>
          </cell>
          <cell r="I689">
            <v>0</v>
          </cell>
          <cell r="J689">
            <v>0</v>
          </cell>
          <cell r="K689">
            <v>0</v>
          </cell>
          <cell r="L689">
            <v>0</v>
          </cell>
          <cell r="M689">
            <v>0</v>
          </cell>
          <cell r="N689">
            <v>0</v>
          </cell>
          <cell r="O689">
            <v>0</v>
          </cell>
          <cell r="P689">
            <v>0</v>
          </cell>
          <cell r="Q689">
            <v>0</v>
          </cell>
          <cell r="R689">
            <v>0</v>
          </cell>
          <cell r="S689">
            <v>0</v>
          </cell>
          <cell r="T689">
            <v>0</v>
          </cell>
          <cell r="U689">
            <v>0</v>
          </cell>
          <cell r="V689">
            <v>0</v>
          </cell>
          <cell r="W689">
            <v>0</v>
          </cell>
          <cell r="X689">
            <v>306750</v>
          </cell>
          <cell r="Y689">
            <v>0</v>
          </cell>
        </row>
        <row r="690">
          <cell r="E690">
            <v>0</v>
          </cell>
          <cell r="F690" t="str">
            <v>AL-KAROMAH</v>
          </cell>
          <cell r="G690">
            <v>0</v>
          </cell>
          <cell r="H690">
            <v>0</v>
          </cell>
          <cell r="I690">
            <v>0</v>
          </cell>
          <cell r="J690">
            <v>0</v>
          </cell>
          <cell r="K690">
            <v>0</v>
          </cell>
          <cell r="L690">
            <v>0</v>
          </cell>
          <cell r="M690">
            <v>0</v>
          </cell>
          <cell r="N690">
            <v>0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0</v>
          </cell>
          <cell r="T690">
            <v>10</v>
          </cell>
          <cell r="U690">
            <v>0</v>
          </cell>
          <cell r="V690">
            <v>0</v>
          </cell>
          <cell r="W690">
            <v>0</v>
          </cell>
          <cell r="X690">
            <v>286911.29032258102</v>
          </cell>
          <cell r="Y690">
            <v>0</v>
          </cell>
        </row>
        <row r="691">
          <cell r="E691">
            <v>0</v>
          </cell>
          <cell r="F691" t="str">
            <v>depot berkah</v>
          </cell>
          <cell r="G691">
            <v>0</v>
          </cell>
          <cell r="H691">
            <v>0</v>
          </cell>
          <cell r="I691">
            <v>1</v>
          </cell>
          <cell r="J691">
            <v>1</v>
          </cell>
          <cell r="K691">
            <v>0</v>
          </cell>
          <cell r="L691">
            <v>0</v>
          </cell>
          <cell r="M691">
            <v>0</v>
          </cell>
          <cell r="N691">
            <v>0</v>
          </cell>
          <cell r="O691">
            <v>0</v>
          </cell>
          <cell r="P691">
            <v>0</v>
          </cell>
          <cell r="Q691">
            <v>0</v>
          </cell>
          <cell r="R691">
            <v>0</v>
          </cell>
          <cell r="S691">
            <v>0</v>
          </cell>
          <cell r="T691">
            <v>0</v>
          </cell>
          <cell r="U691">
            <v>0</v>
          </cell>
          <cell r="V691">
            <v>0</v>
          </cell>
          <cell r="W691">
            <v>0</v>
          </cell>
          <cell r="X691">
            <v>144028.22580645201</v>
          </cell>
          <cell r="Y691">
            <v>147000</v>
          </cell>
        </row>
        <row r="692">
          <cell r="E692">
            <v>0</v>
          </cell>
          <cell r="F692" t="str">
            <v>Andy cell</v>
          </cell>
          <cell r="G692">
            <v>0</v>
          </cell>
          <cell r="H692">
            <v>0</v>
          </cell>
          <cell r="I692">
            <v>0</v>
          </cell>
          <cell r="J692">
            <v>0</v>
          </cell>
          <cell r="K692">
            <v>0</v>
          </cell>
          <cell r="L692">
            <v>0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0</v>
          </cell>
          <cell r="T692">
            <v>0</v>
          </cell>
          <cell r="U692">
            <v>0</v>
          </cell>
          <cell r="V692">
            <v>0</v>
          </cell>
          <cell r="W692">
            <v>0</v>
          </cell>
          <cell r="X692">
            <v>100000</v>
          </cell>
          <cell r="Y692">
            <v>0</v>
          </cell>
        </row>
        <row r="693">
          <cell r="E693">
            <v>0</v>
          </cell>
          <cell r="F693" t="str">
            <v>toko sin sin</v>
          </cell>
          <cell r="G693">
            <v>0</v>
          </cell>
          <cell r="H693">
            <v>0</v>
          </cell>
          <cell r="I693">
            <v>2</v>
          </cell>
          <cell r="J693">
            <v>2</v>
          </cell>
          <cell r="K693">
            <v>0</v>
          </cell>
          <cell r="L693">
            <v>0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  <cell r="Q693">
            <v>0</v>
          </cell>
          <cell r="R693">
            <v>0</v>
          </cell>
          <cell r="S693">
            <v>0</v>
          </cell>
          <cell r="T693">
            <v>20</v>
          </cell>
          <cell r="U693">
            <v>0</v>
          </cell>
          <cell r="V693">
            <v>0</v>
          </cell>
          <cell r="W693">
            <v>0</v>
          </cell>
          <cell r="X693">
            <v>198000</v>
          </cell>
          <cell r="Y693">
            <v>144000</v>
          </cell>
        </row>
        <row r="694">
          <cell r="E694">
            <v>0</v>
          </cell>
          <cell r="F694" t="str">
            <v>Toko Azka</v>
          </cell>
          <cell r="G694">
            <v>0</v>
          </cell>
          <cell r="H694">
            <v>0</v>
          </cell>
          <cell r="I694">
            <v>0</v>
          </cell>
          <cell r="J694">
            <v>0</v>
          </cell>
          <cell r="K694">
            <v>0</v>
          </cell>
          <cell r="L694">
            <v>0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S694">
            <v>0</v>
          </cell>
          <cell r="T694">
            <v>0</v>
          </cell>
          <cell r="U694">
            <v>0</v>
          </cell>
          <cell r="V694">
            <v>0</v>
          </cell>
          <cell r="W694">
            <v>0</v>
          </cell>
          <cell r="X694">
            <v>198000</v>
          </cell>
          <cell r="Y694">
            <v>0</v>
          </cell>
        </row>
        <row r="695">
          <cell r="E695">
            <v>0</v>
          </cell>
          <cell r="F695" t="str">
            <v>Rsc Rendi</v>
          </cell>
          <cell r="G695">
            <v>0</v>
          </cell>
          <cell r="H695">
            <v>0</v>
          </cell>
          <cell r="I695">
            <v>1</v>
          </cell>
          <cell r="J695">
            <v>1</v>
          </cell>
          <cell r="K695">
            <v>0</v>
          </cell>
          <cell r="L695">
            <v>0</v>
          </cell>
          <cell r="M695">
            <v>0</v>
          </cell>
          <cell r="N695">
            <v>0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S695">
            <v>0</v>
          </cell>
          <cell r="T695">
            <v>10</v>
          </cell>
          <cell r="U695">
            <v>0</v>
          </cell>
          <cell r="V695">
            <v>0</v>
          </cell>
          <cell r="W695">
            <v>0</v>
          </cell>
          <cell r="X695">
            <v>190060.48387096799</v>
          </cell>
          <cell r="Y695">
            <v>51000</v>
          </cell>
        </row>
        <row r="696">
          <cell r="E696">
            <v>0</v>
          </cell>
          <cell r="F696" t="str">
            <v>Tk.sinar jaya</v>
          </cell>
          <cell r="G696">
            <v>0</v>
          </cell>
          <cell r="H696">
            <v>0</v>
          </cell>
          <cell r="I696">
            <v>1</v>
          </cell>
          <cell r="J696">
            <v>1</v>
          </cell>
          <cell r="K696">
            <v>0</v>
          </cell>
          <cell r="L696">
            <v>0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10</v>
          </cell>
          <cell r="U696">
            <v>0</v>
          </cell>
          <cell r="V696">
            <v>0</v>
          </cell>
          <cell r="W696">
            <v>0</v>
          </cell>
          <cell r="X696">
            <v>192332.66129032301</v>
          </cell>
          <cell r="Y696">
            <v>51000</v>
          </cell>
        </row>
        <row r="697">
          <cell r="E697">
            <v>0</v>
          </cell>
          <cell r="F697" t="str">
            <v>Tk.mak fajar</v>
          </cell>
          <cell r="G697">
            <v>0</v>
          </cell>
          <cell r="H697">
            <v>0</v>
          </cell>
          <cell r="I697">
            <v>1</v>
          </cell>
          <cell r="J697">
            <v>1</v>
          </cell>
          <cell r="K697">
            <v>0</v>
          </cell>
          <cell r="L697">
            <v>0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  <cell r="U697">
            <v>0</v>
          </cell>
          <cell r="V697">
            <v>0</v>
          </cell>
          <cell r="W697">
            <v>0</v>
          </cell>
          <cell r="X697">
            <v>99000</v>
          </cell>
          <cell r="Y697">
            <v>72000</v>
          </cell>
        </row>
        <row r="698">
          <cell r="E698">
            <v>0</v>
          </cell>
          <cell r="F698" t="str">
            <v>mandiri service</v>
          </cell>
          <cell r="G698">
            <v>0</v>
          </cell>
          <cell r="H698">
            <v>0</v>
          </cell>
          <cell r="I698">
            <v>0</v>
          </cell>
          <cell r="J698">
            <v>0</v>
          </cell>
          <cell r="K698">
            <v>0</v>
          </cell>
          <cell r="L698">
            <v>0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>
            <v>0</v>
          </cell>
          <cell r="V698">
            <v>0</v>
          </cell>
          <cell r="W698">
            <v>0</v>
          </cell>
          <cell r="X698">
            <v>99000</v>
          </cell>
          <cell r="Y698">
            <v>0</v>
          </cell>
        </row>
        <row r="699">
          <cell r="E699">
            <v>0</v>
          </cell>
          <cell r="F699" t="str">
            <v>zero ponsel</v>
          </cell>
          <cell r="G699">
            <v>0</v>
          </cell>
          <cell r="H699">
            <v>0</v>
          </cell>
          <cell r="I699">
            <v>1</v>
          </cell>
          <cell r="J699">
            <v>1</v>
          </cell>
          <cell r="K699">
            <v>1</v>
          </cell>
          <cell r="L699">
            <v>1</v>
          </cell>
          <cell r="M699">
            <v>0</v>
          </cell>
          <cell r="N699">
            <v>1</v>
          </cell>
          <cell r="O699">
            <v>1</v>
          </cell>
          <cell r="P699">
            <v>0</v>
          </cell>
          <cell r="Q699">
            <v>1</v>
          </cell>
          <cell r="R699">
            <v>1</v>
          </cell>
          <cell r="S699">
            <v>0</v>
          </cell>
          <cell r="T699">
            <v>1</v>
          </cell>
          <cell r="U699">
            <v>0</v>
          </cell>
          <cell r="V699">
            <v>0</v>
          </cell>
          <cell r="W699">
            <v>0</v>
          </cell>
          <cell r="X699">
            <v>29838.575984875999</v>
          </cell>
          <cell r="Y699">
            <v>51000</v>
          </cell>
        </row>
        <row r="700">
          <cell r="E700">
            <v>0</v>
          </cell>
          <cell r="F700" t="str">
            <v>Rio ponsel</v>
          </cell>
          <cell r="G700">
            <v>0</v>
          </cell>
          <cell r="H700">
            <v>0</v>
          </cell>
          <cell r="I700">
            <v>1</v>
          </cell>
          <cell r="J700">
            <v>1</v>
          </cell>
          <cell r="K700">
            <v>1</v>
          </cell>
          <cell r="L700">
            <v>1</v>
          </cell>
          <cell r="M700">
            <v>0</v>
          </cell>
          <cell r="N700">
            <v>1</v>
          </cell>
          <cell r="O700">
            <v>1</v>
          </cell>
          <cell r="P700">
            <v>0</v>
          </cell>
          <cell r="Q700">
            <v>1</v>
          </cell>
          <cell r="R700">
            <v>1</v>
          </cell>
          <cell r="S700">
            <v>0</v>
          </cell>
          <cell r="T700">
            <v>1</v>
          </cell>
          <cell r="U700">
            <v>0</v>
          </cell>
          <cell r="V700">
            <v>0</v>
          </cell>
          <cell r="W700">
            <v>0</v>
          </cell>
          <cell r="X700">
            <v>200896.82258064501</v>
          </cell>
          <cell r="Y700">
            <v>151000</v>
          </cell>
        </row>
        <row r="701">
          <cell r="E701">
            <v>0</v>
          </cell>
          <cell r="F701" t="str">
            <v>IFA SELINDO</v>
          </cell>
          <cell r="G701">
            <v>0</v>
          </cell>
          <cell r="H701">
            <v>0</v>
          </cell>
          <cell r="I701">
            <v>1</v>
          </cell>
          <cell r="J701">
            <v>1</v>
          </cell>
          <cell r="K701">
            <v>0</v>
          </cell>
          <cell r="L701">
            <v>0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S701">
            <v>0</v>
          </cell>
          <cell r="T701">
            <v>0</v>
          </cell>
          <cell r="U701">
            <v>0</v>
          </cell>
          <cell r="V701">
            <v>0</v>
          </cell>
          <cell r="W701">
            <v>0</v>
          </cell>
          <cell r="X701">
            <v>182089.91935483899</v>
          </cell>
          <cell r="Y701">
            <v>51000</v>
          </cell>
        </row>
        <row r="702">
          <cell r="E702">
            <v>0</v>
          </cell>
          <cell r="F702" t="str">
            <v>CANCER CELL</v>
          </cell>
          <cell r="G702">
            <v>0</v>
          </cell>
          <cell r="H702">
            <v>0</v>
          </cell>
          <cell r="I702">
            <v>1</v>
          </cell>
          <cell r="J702">
            <v>1</v>
          </cell>
          <cell r="K702">
            <v>0</v>
          </cell>
          <cell r="L702">
            <v>0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>
            <v>0</v>
          </cell>
          <cell r="V702">
            <v>0</v>
          </cell>
          <cell r="W702">
            <v>0</v>
          </cell>
          <cell r="X702">
            <v>82384.946236559001</v>
          </cell>
          <cell r="Y702">
            <v>51000</v>
          </cell>
        </row>
        <row r="703">
          <cell r="E703">
            <v>0</v>
          </cell>
          <cell r="F703" t="str">
            <v>RIAN</v>
          </cell>
          <cell r="G703">
            <v>0</v>
          </cell>
          <cell r="H703">
            <v>0</v>
          </cell>
          <cell r="I703">
            <v>0</v>
          </cell>
          <cell r="J703">
            <v>0</v>
          </cell>
          <cell r="K703">
            <v>0</v>
          </cell>
          <cell r="L703">
            <v>0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>
            <v>0</v>
          </cell>
          <cell r="S703">
            <v>0</v>
          </cell>
          <cell r="T703">
            <v>0</v>
          </cell>
          <cell r="U703">
            <v>0</v>
          </cell>
          <cell r="V703">
            <v>0</v>
          </cell>
          <cell r="W703">
            <v>0</v>
          </cell>
          <cell r="X703">
            <v>564799.74193548399</v>
          </cell>
          <cell r="Y703">
            <v>0</v>
          </cell>
        </row>
        <row r="704">
          <cell r="E704">
            <v>0</v>
          </cell>
          <cell r="F704" t="str">
            <v>BAYU CELL</v>
          </cell>
          <cell r="G704">
            <v>0</v>
          </cell>
          <cell r="H704">
            <v>0</v>
          </cell>
          <cell r="I704">
            <v>1</v>
          </cell>
          <cell r="J704">
            <v>1</v>
          </cell>
          <cell r="K704">
            <v>1</v>
          </cell>
          <cell r="L704">
            <v>1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>
            <v>1</v>
          </cell>
          <cell r="V704">
            <v>0</v>
          </cell>
          <cell r="W704">
            <v>0</v>
          </cell>
          <cell r="X704">
            <v>203890.32258064501</v>
          </cell>
          <cell r="Y704">
            <v>134400</v>
          </cell>
        </row>
        <row r="705">
          <cell r="E705">
            <v>0</v>
          </cell>
          <cell r="F705" t="str">
            <v>Ziki</v>
          </cell>
          <cell r="G705">
            <v>0</v>
          </cell>
          <cell r="H705">
            <v>0</v>
          </cell>
          <cell r="I705">
            <v>1</v>
          </cell>
          <cell r="J705">
            <v>1</v>
          </cell>
          <cell r="K705">
            <v>0</v>
          </cell>
          <cell r="L705">
            <v>0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  <cell r="U705">
            <v>0</v>
          </cell>
          <cell r="V705">
            <v>0</v>
          </cell>
          <cell r="W705">
            <v>0</v>
          </cell>
          <cell r="X705">
            <v>155253.292779941</v>
          </cell>
          <cell r="Y705">
            <v>134400</v>
          </cell>
        </row>
        <row r="706">
          <cell r="E706">
            <v>0</v>
          </cell>
          <cell r="F706" t="str">
            <v>Lisi cell</v>
          </cell>
          <cell r="G706">
            <v>0</v>
          </cell>
          <cell r="H706">
            <v>0</v>
          </cell>
          <cell r="I706">
            <v>0</v>
          </cell>
          <cell r="J706">
            <v>0</v>
          </cell>
          <cell r="K706">
            <v>0</v>
          </cell>
          <cell r="L706">
            <v>0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>
            <v>0</v>
          </cell>
          <cell r="V706">
            <v>0</v>
          </cell>
          <cell r="W706">
            <v>0</v>
          </cell>
          <cell r="X706">
            <v>486951.629032258</v>
          </cell>
          <cell r="Y706">
            <v>0</v>
          </cell>
        </row>
        <row r="707">
          <cell r="E707">
            <v>0</v>
          </cell>
          <cell r="F707" t="str">
            <v>Skila cell</v>
          </cell>
          <cell r="G707">
            <v>0</v>
          </cell>
          <cell r="H707">
            <v>0</v>
          </cell>
          <cell r="I707">
            <v>1</v>
          </cell>
          <cell r="J707">
            <v>1</v>
          </cell>
          <cell r="K707">
            <v>1</v>
          </cell>
          <cell r="L707">
            <v>1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>
            <v>1</v>
          </cell>
          <cell r="V707">
            <v>0</v>
          </cell>
          <cell r="W707">
            <v>0</v>
          </cell>
          <cell r="X707">
            <v>415113.870967742</v>
          </cell>
          <cell r="Y707">
            <v>336000</v>
          </cell>
        </row>
        <row r="708">
          <cell r="E708">
            <v>0</v>
          </cell>
          <cell r="F708" t="str">
            <v>acu ponsel</v>
          </cell>
          <cell r="G708">
            <v>0</v>
          </cell>
          <cell r="H708">
            <v>0</v>
          </cell>
          <cell r="I708">
            <v>1</v>
          </cell>
          <cell r="J708">
            <v>1</v>
          </cell>
          <cell r="K708">
            <v>1</v>
          </cell>
          <cell r="L708">
            <v>1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1</v>
          </cell>
          <cell r="U708">
            <v>1</v>
          </cell>
          <cell r="V708">
            <v>0</v>
          </cell>
          <cell r="W708">
            <v>0</v>
          </cell>
          <cell r="X708">
            <v>140017.255351848</v>
          </cell>
          <cell r="Y708">
            <v>201600</v>
          </cell>
        </row>
        <row r="709">
          <cell r="E709">
            <v>0</v>
          </cell>
          <cell r="F709" t="str">
            <v>ventura</v>
          </cell>
          <cell r="G709">
            <v>0</v>
          </cell>
          <cell r="H709">
            <v>0</v>
          </cell>
          <cell r="I709">
            <v>0</v>
          </cell>
          <cell r="J709">
            <v>0</v>
          </cell>
          <cell r="K709">
            <v>1</v>
          </cell>
          <cell r="L709">
            <v>1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1</v>
          </cell>
          <cell r="R709">
            <v>1</v>
          </cell>
          <cell r="S709">
            <v>0</v>
          </cell>
          <cell r="T709">
            <v>0</v>
          </cell>
          <cell r="U709">
            <v>0</v>
          </cell>
          <cell r="V709">
            <v>0</v>
          </cell>
          <cell r="W709">
            <v>0</v>
          </cell>
          <cell r="X709">
            <v>602483.83870967699</v>
          </cell>
          <cell r="Y709">
            <v>0</v>
          </cell>
        </row>
        <row r="710">
          <cell r="E710">
            <v>0</v>
          </cell>
          <cell r="F710" t="str">
            <v>ONE CELL</v>
          </cell>
          <cell r="G710">
            <v>0</v>
          </cell>
          <cell r="H710">
            <v>0</v>
          </cell>
          <cell r="I710">
            <v>1</v>
          </cell>
          <cell r="J710">
            <v>1</v>
          </cell>
          <cell r="K710">
            <v>1</v>
          </cell>
          <cell r="L710">
            <v>1</v>
          </cell>
          <cell r="M710">
            <v>0</v>
          </cell>
          <cell r="N710">
            <v>1</v>
          </cell>
          <cell r="O710">
            <v>1</v>
          </cell>
          <cell r="P710">
            <v>0</v>
          </cell>
          <cell r="Q710">
            <v>1</v>
          </cell>
          <cell r="R710">
            <v>1</v>
          </cell>
          <cell r="S710">
            <v>0</v>
          </cell>
          <cell r="T710">
            <v>0</v>
          </cell>
          <cell r="U710">
            <v>0</v>
          </cell>
          <cell r="V710">
            <v>0</v>
          </cell>
          <cell r="W710">
            <v>0</v>
          </cell>
          <cell r="X710">
            <v>294553.68118279602</v>
          </cell>
          <cell r="Y710">
            <v>302400</v>
          </cell>
        </row>
        <row r="711">
          <cell r="E711">
            <v>0</v>
          </cell>
          <cell r="F711" t="str">
            <v>Anisa Ponsel</v>
          </cell>
          <cell r="G711">
            <v>0</v>
          </cell>
          <cell r="H711">
            <v>0</v>
          </cell>
          <cell r="I711">
            <v>0</v>
          </cell>
          <cell r="J711">
            <v>0</v>
          </cell>
          <cell r="K711">
            <v>0</v>
          </cell>
          <cell r="L711">
            <v>0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>
            <v>0</v>
          </cell>
          <cell r="S711">
            <v>0</v>
          </cell>
          <cell r="T711">
            <v>0</v>
          </cell>
          <cell r="U711">
            <v>0</v>
          </cell>
          <cell r="V711">
            <v>0</v>
          </cell>
          <cell r="W711">
            <v>0</v>
          </cell>
          <cell r="X711">
            <v>830020.96774193598</v>
          </cell>
          <cell r="Y711">
            <v>0</v>
          </cell>
        </row>
        <row r="712">
          <cell r="E712">
            <v>0</v>
          </cell>
          <cell r="F712" t="str">
            <v>Sempadian cell</v>
          </cell>
          <cell r="G712">
            <v>0</v>
          </cell>
          <cell r="H712">
            <v>0</v>
          </cell>
          <cell r="I712">
            <v>0</v>
          </cell>
          <cell r="J712">
            <v>0</v>
          </cell>
          <cell r="K712">
            <v>1</v>
          </cell>
          <cell r="L712">
            <v>1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0</v>
          </cell>
          <cell r="T712">
            <v>0</v>
          </cell>
          <cell r="U712">
            <v>0</v>
          </cell>
          <cell r="V712">
            <v>0</v>
          </cell>
          <cell r="W712">
            <v>0</v>
          </cell>
          <cell r="X712">
            <v>748105.93774193502</v>
          </cell>
          <cell r="Y712">
            <v>0</v>
          </cell>
        </row>
        <row r="713">
          <cell r="E713">
            <v>0</v>
          </cell>
          <cell r="F713" t="str">
            <v>Warung Jaya</v>
          </cell>
          <cell r="G713">
            <v>0</v>
          </cell>
          <cell r="H713">
            <v>0</v>
          </cell>
          <cell r="I713">
            <v>1</v>
          </cell>
          <cell r="J713">
            <v>1</v>
          </cell>
          <cell r="K713">
            <v>0</v>
          </cell>
          <cell r="L713">
            <v>0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>
            <v>0</v>
          </cell>
          <cell r="S713">
            <v>0</v>
          </cell>
          <cell r="T713">
            <v>0</v>
          </cell>
          <cell r="U713">
            <v>0</v>
          </cell>
          <cell r="V713">
            <v>0</v>
          </cell>
          <cell r="W713">
            <v>0</v>
          </cell>
          <cell r="X713">
            <v>263239.37634408602</v>
          </cell>
          <cell r="Y713">
            <v>151200</v>
          </cell>
        </row>
        <row r="714">
          <cell r="E714">
            <v>0</v>
          </cell>
          <cell r="F714" t="str">
            <v>Toko ahon</v>
          </cell>
          <cell r="G714">
            <v>0</v>
          </cell>
          <cell r="H714">
            <v>0</v>
          </cell>
          <cell r="I714">
            <v>0</v>
          </cell>
          <cell r="J714">
            <v>0</v>
          </cell>
          <cell r="K714">
            <v>0</v>
          </cell>
          <cell r="L714">
            <v>0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>
            <v>0</v>
          </cell>
          <cell r="S714">
            <v>0</v>
          </cell>
          <cell r="T714">
            <v>0</v>
          </cell>
          <cell r="U714">
            <v>0</v>
          </cell>
          <cell r="V714">
            <v>0</v>
          </cell>
          <cell r="W714">
            <v>0</v>
          </cell>
          <cell r="X714">
            <v>215008.064516129</v>
          </cell>
          <cell r="Y714">
            <v>0</v>
          </cell>
        </row>
        <row r="715">
          <cell r="E715">
            <v>0</v>
          </cell>
          <cell r="F715" t="str">
            <v>VENTURA PONSEL</v>
          </cell>
          <cell r="G715">
            <v>0</v>
          </cell>
          <cell r="H715">
            <v>0</v>
          </cell>
          <cell r="I715">
            <v>0</v>
          </cell>
          <cell r="J715">
            <v>0</v>
          </cell>
          <cell r="K715">
            <v>0</v>
          </cell>
          <cell r="L715">
            <v>0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>
            <v>0</v>
          </cell>
          <cell r="S715">
            <v>0</v>
          </cell>
          <cell r="T715">
            <v>0</v>
          </cell>
          <cell r="U715">
            <v>0</v>
          </cell>
          <cell r="V715">
            <v>0</v>
          </cell>
          <cell r="W715">
            <v>0</v>
          </cell>
          <cell r="X715">
            <v>56287.746082167003</v>
          </cell>
          <cell r="Y715">
            <v>1000000</v>
          </cell>
        </row>
        <row r="716">
          <cell r="E716">
            <v>0</v>
          </cell>
          <cell r="F716" t="str">
            <v>Toko jaya murni</v>
          </cell>
          <cell r="G716">
            <v>0</v>
          </cell>
          <cell r="H716">
            <v>0</v>
          </cell>
          <cell r="I716">
            <v>0</v>
          </cell>
          <cell r="J716">
            <v>0</v>
          </cell>
          <cell r="K716">
            <v>0</v>
          </cell>
          <cell r="L716">
            <v>0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>
            <v>0</v>
          </cell>
          <cell r="S716">
            <v>0</v>
          </cell>
          <cell r="T716">
            <v>0</v>
          </cell>
          <cell r="U716">
            <v>0</v>
          </cell>
          <cell r="V716">
            <v>0</v>
          </cell>
          <cell r="W716">
            <v>0</v>
          </cell>
          <cell r="X716">
            <v>935922.58064516098</v>
          </cell>
          <cell r="Y716">
            <v>0</v>
          </cell>
        </row>
        <row r="717">
          <cell r="E717">
            <v>0</v>
          </cell>
          <cell r="F717" t="str">
            <v>Toko Indah</v>
          </cell>
          <cell r="G717">
            <v>0</v>
          </cell>
          <cell r="H717">
            <v>0</v>
          </cell>
          <cell r="I717">
            <v>0</v>
          </cell>
          <cell r="J717">
            <v>0</v>
          </cell>
          <cell r="K717">
            <v>0</v>
          </cell>
          <cell r="L717">
            <v>0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>
            <v>0</v>
          </cell>
          <cell r="S717">
            <v>0</v>
          </cell>
          <cell r="T717">
            <v>0</v>
          </cell>
          <cell r="U717">
            <v>0</v>
          </cell>
          <cell r="V717">
            <v>0</v>
          </cell>
          <cell r="W717">
            <v>0</v>
          </cell>
          <cell r="X717">
            <v>230764.51612903201</v>
          </cell>
          <cell r="Y717">
            <v>0</v>
          </cell>
        </row>
        <row r="718">
          <cell r="E718">
            <v>0</v>
          </cell>
          <cell r="F718" t="str">
            <v>Warong usu</v>
          </cell>
          <cell r="G718">
            <v>0</v>
          </cell>
          <cell r="H718">
            <v>0</v>
          </cell>
          <cell r="I718">
            <v>0</v>
          </cell>
          <cell r="J718">
            <v>0</v>
          </cell>
          <cell r="K718">
            <v>0</v>
          </cell>
          <cell r="L718">
            <v>0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>
            <v>0</v>
          </cell>
          <cell r="V718">
            <v>0</v>
          </cell>
          <cell r="W718">
            <v>0</v>
          </cell>
          <cell r="X718">
            <v>131462.90322580599</v>
          </cell>
          <cell r="Y718">
            <v>0</v>
          </cell>
        </row>
        <row r="719">
          <cell r="E719">
            <v>0</v>
          </cell>
          <cell r="F719" t="str">
            <v>Warong edy</v>
          </cell>
          <cell r="G719">
            <v>0</v>
          </cell>
          <cell r="H719">
            <v>0</v>
          </cell>
          <cell r="I719">
            <v>0</v>
          </cell>
          <cell r="J719">
            <v>0</v>
          </cell>
          <cell r="K719">
            <v>0</v>
          </cell>
          <cell r="L719">
            <v>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S719">
            <v>0</v>
          </cell>
          <cell r="T719">
            <v>0</v>
          </cell>
          <cell r="U719">
            <v>0</v>
          </cell>
          <cell r="V719">
            <v>0</v>
          </cell>
          <cell r="W719">
            <v>0</v>
          </cell>
          <cell r="X719">
            <v>937360.48387096799</v>
          </cell>
          <cell r="Y719">
            <v>0</v>
          </cell>
        </row>
        <row r="720">
          <cell r="E720">
            <v>0</v>
          </cell>
          <cell r="F720" t="str">
            <v>Nur ayra</v>
          </cell>
          <cell r="G720">
            <v>0</v>
          </cell>
          <cell r="H720">
            <v>0</v>
          </cell>
          <cell r="I720">
            <v>0</v>
          </cell>
          <cell r="J720">
            <v>0</v>
          </cell>
          <cell r="K720">
            <v>0</v>
          </cell>
          <cell r="L720">
            <v>0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>
            <v>0</v>
          </cell>
          <cell r="V720">
            <v>0</v>
          </cell>
          <cell r="W720">
            <v>0</v>
          </cell>
          <cell r="X720">
            <v>291225.80645161303</v>
          </cell>
          <cell r="Y720">
            <v>0</v>
          </cell>
        </row>
        <row r="721">
          <cell r="E721">
            <v>0</v>
          </cell>
          <cell r="F721" t="str">
            <v>Aini parfum</v>
          </cell>
          <cell r="G721">
            <v>0</v>
          </cell>
          <cell r="H721">
            <v>0</v>
          </cell>
          <cell r="I721">
            <v>0</v>
          </cell>
          <cell r="J721">
            <v>0</v>
          </cell>
          <cell r="K721">
            <v>0</v>
          </cell>
          <cell r="L721">
            <v>0</v>
          </cell>
          <cell r="M721">
            <v>0</v>
          </cell>
          <cell r="N721">
            <v>0</v>
          </cell>
          <cell r="O721">
            <v>0</v>
          </cell>
          <cell r="P721">
            <v>0</v>
          </cell>
          <cell r="Q721">
            <v>0</v>
          </cell>
          <cell r="R721">
            <v>0</v>
          </cell>
          <cell r="S721">
            <v>0</v>
          </cell>
          <cell r="T721">
            <v>0</v>
          </cell>
          <cell r="U721">
            <v>0</v>
          </cell>
          <cell r="V721">
            <v>0</v>
          </cell>
          <cell r="W721">
            <v>0</v>
          </cell>
          <cell r="X721">
            <v>126379.56989247299</v>
          </cell>
          <cell r="Y721">
            <v>0</v>
          </cell>
        </row>
        <row r="722">
          <cell r="E722">
            <v>0</v>
          </cell>
          <cell r="F722" t="str">
            <v>WARUNG MADINA</v>
          </cell>
          <cell r="G722">
            <v>0</v>
          </cell>
          <cell r="H722">
            <v>0</v>
          </cell>
          <cell r="I722">
            <v>0</v>
          </cell>
          <cell r="J722">
            <v>0</v>
          </cell>
          <cell r="K722">
            <v>0</v>
          </cell>
          <cell r="L722">
            <v>0</v>
          </cell>
          <cell r="M722">
            <v>0</v>
          </cell>
          <cell r="N722">
            <v>0</v>
          </cell>
          <cell r="O722">
            <v>0</v>
          </cell>
          <cell r="P722">
            <v>0</v>
          </cell>
          <cell r="Q722">
            <v>0</v>
          </cell>
          <cell r="R722">
            <v>0</v>
          </cell>
          <cell r="S722">
            <v>0</v>
          </cell>
          <cell r="T722">
            <v>0</v>
          </cell>
          <cell r="U722">
            <v>0</v>
          </cell>
          <cell r="V722">
            <v>0</v>
          </cell>
          <cell r="W722">
            <v>0</v>
          </cell>
          <cell r="X722">
            <v>405141.93548387103</v>
          </cell>
          <cell r="Y722">
            <v>0</v>
          </cell>
        </row>
        <row r="723">
          <cell r="E723">
            <v>0</v>
          </cell>
          <cell r="F723" t="str">
            <v>Toko mekar</v>
          </cell>
          <cell r="G723">
            <v>0</v>
          </cell>
          <cell r="H723">
            <v>0</v>
          </cell>
          <cell r="I723">
            <v>0</v>
          </cell>
          <cell r="J723">
            <v>0</v>
          </cell>
          <cell r="K723">
            <v>0</v>
          </cell>
          <cell r="L723">
            <v>0</v>
          </cell>
          <cell r="M723">
            <v>0</v>
          </cell>
          <cell r="N723">
            <v>0</v>
          </cell>
          <cell r="O723">
            <v>0</v>
          </cell>
          <cell r="P723">
            <v>0</v>
          </cell>
          <cell r="Q723">
            <v>0</v>
          </cell>
          <cell r="R723">
            <v>0</v>
          </cell>
          <cell r="S723">
            <v>0</v>
          </cell>
          <cell r="T723">
            <v>0</v>
          </cell>
          <cell r="U723">
            <v>0</v>
          </cell>
          <cell r="V723">
            <v>0</v>
          </cell>
          <cell r="W723">
            <v>0</v>
          </cell>
          <cell r="X723">
            <v>409293.54838709702</v>
          </cell>
          <cell r="Y723">
            <v>0</v>
          </cell>
        </row>
        <row r="724">
          <cell r="E724">
            <v>0</v>
          </cell>
          <cell r="F724" t="str">
            <v>Warung cici</v>
          </cell>
          <cell r="G724">
            <v>0</v>
          </cell>
          <cell r="H724">
            <v>0</v>
          </cell>
          <cell r="I724">
            <v>0</v>
          </cell>
          <cell r="J724">
            <v>0</v>
          </cell>
          <cell r="K724">
            <v>0</v>
          </cell>
          <cell r="L724">
            <v>0</v>
          </cell>
          <cell r="M724">
            <v>0</v>
          </cell>
          <cell r="N724">
            <v>0</v>
          </cell>
          <cell r="O724">
            <v>0</v>
          </cell>
          <cell r="P724">
            <v>0</v>
          </cell>
          <cell r="Q724">
            <v>0</v>
          </cell>
          <cell r="R724">
            <v>0</v>
          </cell>
          <cell r="S724">
            <v>0</v>
          </cell>
          <cell r="T724">
            <v>0</v>
          </cell>
          <cell r="U724">
            <v>0</v>
          </cell>
          <cell r="V724">
            <v>0</v>
          </cell>
          <cell r="W724">
            <v>0</v>
          </cell>
          <cell r="X724">
            <v>409293.54838709702</v>
          </cell>
          <cell r="Y724">
            <v>0</v>
          </cell>
        </row>
        <row r="725">
          <cell r="E725">
            <v>0</v>
          </cell>
          <cell r="F725" t="str">
            <v>Src yuning</v>
          </cell>
          <cell r="G725">
            <v>0</v>
          </cell>
          <cell r="H725">
            <v>0</v>
          </cell>
          <cell r="I725">
            <v>1</v>
          </cell>
          <cell r="J725">
            <v>1</v>
          </cell>
          <cell r="K725">
            <v>0</v>
          </cell>
          <cell r="L725">
            <v>0</v>
          </cell>
          <cell r="M725">
            <v>0</v>
          </cell>
          <cell r="N725">
            <v>0</v>
          </cell>
          <cell r="O725">
            <v>0</v>
          </cell>
          <cell r="P725">
            <v>0</v>
          </cell>
          <cell r="Q725">
            <v>0</v>
          </cell>
          <cell r="R725">
            <v>0</v>
          </cell>
          <cell r="S725">
            <v>0</v>
          </cell>
          <cell r="T725">
            <v>0</v>
          </cell>
          <cell r="U725">
            <v>0</v>
          </cell>
          <cell r="V725">
            <v>0</v>
          </cell>
          <cell r="W725">
            <v>0</v>
          </cell>
          <cell r="X725">
            <v>126987.096774194</v>
          </cell>
          <cell r="Y725">
            <v>134400</v>
          </cell>
        </row>
        <row r="726">
          <cell r="E726">
            <v>0</v>
          </cell>
          <cell r="F726" t="str">
            <v>Natalia</v>
          </cell>
          <cell r="G726">
            <v>0</v>
          </cell>
          <cell r="H726">
            <v>0</v>
          </cell>
          <cell r="I726">
            <v>1</v>
          </cell>
          <cell r="J726">
            <v>1</v>
          </cell>
          <cell r="K726">
            <v>0</v>
          </cell>
          <cell r="L726">
            <v>0</v>
          </cell>
          <cell r="M726">
            <v>0</v>
          </cell>
          <cell r="N726">
            <v>0</v>
          </cell>
          <cell r="O726">
            <v>0</v>
          </cell>
          <cell r="P726">
            <v>0</v>
          </cell>
          <cell r="Q726">
            <v>0</v>
          </cell>
          <cell r="R726">
            <v>0</v>
          </cell>
          <cell r="S726">
            <v>0</v>
          </cell>
          <cell r="T726">
            <v>0</v>
          </cell>
          <cell r="U726">
            <v>0</v>
          </cell>
          <cell r="V726">
            <v>0</v>
          </cell>
          <cell r="W726">
            <v>0</v>
          </cell>
          <cell r="X726">
            <v>722532.24862497603</v>
          </cell>
          <cell r="Y726">
            <v>2201600</v>
          </cell>
        </row>
        <row r="727">
          <cell r="E727">
            <v>0</v>
          </cell>
          <cell r="F727" t="str">
            <v>Herma</v>
          </cell>
          <cell r="G727">
            <v>0</v>
          </cell>
          <cell r="H727">
            <v>0</v>
          </cell>
          <cell r="I727">
            <v>1</v>
          </cell>
          <cell r="J727">
            <v>1</v>
          </cell>
          <cell r="K727">
            <v>0</v>
          </cell>
          <cell r="L727">
            <v>0</v>
          </cell>
          <cell r="M727">
            <v>0</v>
          </cell>
          <cell r="N727">
            <v>0</v>
          </cell>
          <cell r="O727">
            <v>0</v>
          </cell>
          <cell r="P727">
            <v>0</v>
          </cell>
          <cell r="Q727">
            <v>0</v>
          </cell>
          <cell r="R727">
            <v>0</v>
          </cell>
          <cell r="S727">
            <v>0</v>
          </cell>
          <cell r="T727">
            <v>0</v>
          </cell>
          <cell r="U727">
            <v>0</v>
          </cell>
          <cell r="V727">
            <v>0</v>
          </cell>
          <cell r="W727">
            <v>0</v>
          </cell>
          <cell r="X727">
            <v>126575</v>
          </cell>
          <cell r="Y727">
            <v>201600</v>
          </cell>
        </row>
        <row r="728">
          <cell r="E728">
            <v>0</v>
          </cell>
          <cell r="F728" t="str">
            <v>All Cellular</v>
          </cell>
          <cell r="G728">
            <v>0</v>
          </cell>
          <cell r="H728">
            <v>0</v>
          </cell>
          <cell r="I728">
            <v>0</v>
          </cell>
          <cell r="J728">
            <v>0</v>
          </cell>
          <cell r="K728">
            <v>0</v>
          </cell>
          <cell r="L728">
            <v>0</v>
          </cell>
          <cell r="M728">
            <v>0</v>
          </cell>
          <cell r="N728">
            <v>0</v>
          </cell>
          <cell r="O728">
            <v>0</v>
          </cell>
          <cell r="P728">
            <v>0</v>
          </cell>
          <cell r="Q728">
            <v>0</v>
          </cell>
          <cell r="R728">
            <v>0</v>
          </cell>
          <cell r="S728">
            <v>0</v>
          </cell>
          <cell r="T728">
            <v>0</v>
          </cell>
          <cell r="U728">
            <v>0</v>
          </cell>
          <cell r="V728">
            <v>0</v>
          </cell>
          <cell r="W728">
            <v>0</v>
          </cell>
          <cell r="X728">
            <v>343169.89247311797</v>
          </cell>
          <cell r="Y728">
            <v>0</v>
          </cell>
        </row>
        <row r="729">
          <cell r="E729">
            <v>0</v>
          </cell>
          <cell r="F729" t="str">
            <v>Toko Tony jaya</v>
          </cell>
          <cell r="G729">
            <v>0</v>
          </cell>
          <cell r="H729">
            <v>0</v>
          </cell>
          <cell r="I729">
            <v>1</v>
          </cell>
          <cell r="J729">
            <v>1</v>
          </cell>
          <cell r="K729">
            <v>0</v>
          </cell>
          <cell r="L729">
            <v>0</v>
          </cell>
          <cell r="M729">
            <v>0</v>
          </cell>
          <cell r="N729">
            <v>0</v>
          </cell>
          <cell r="O729">
            <v>0</v>
          </cell>
          <cell r="P729">
            <v>0</v>
          </cell>
          <cell r="Q729">
            <v>0</v>
          </cell>
          <cell r="R729">
            <v>0</v>
          </cell>
          <cell r="S729">
            <v>0</v>
          </cell>
          <cell r="T729">
            <v>0</v>
          </cell>
          <cell r="U729">
            <v>0</v>
          </cell>
          <cell r="V729">
            <v>0</v>
          </cell>
          <cell r="W729">
            <v>0</v>
          </cell>
          <cell r="X729">
            <v>138074.59677419401</v>
          </cell>
          <cell r="Y729">
            <v>268800</v>
          </cell>
        </row>
        <row r="730">
          <cell r="E730">
            <v>0</v>
          </cell>
          <cell r="F730" t="str">
            <v>FREELANCE CELLULAR</v>
          </cell>
          <cell r="G730">
            <v>0</v>
          </cell>
          <cell r="H730">
            <v>0</v>
          </cell>
          <cell r="I730">
            <v>1</v>
          </cell>
          <cell r="J730">
            <v>1</v>
          </cell>
          <cell r="K730">
            <v>0</v>
          </cell>
          <cell r="L730">
            <v>0</v>
          </cell>
          <cell r="M730">
            <v>0</v>
          </cell>
          <cell r="N730">
            <v>0</v>
          </cell>
          <cell r="O730">
            <v>0</v>
          </cell>
          <cell r="P730">
            <v>0</v>
          </cell>
          <cell r="Q730">
            <v>0</v>
          </cell>
          <cell r="R730">
            <v>0</v>
          </cell>
          <cell r="S730">
            <v>0</v>
          </cell>
          <cell r="T730">
            <v>0</v>
          </cell>
          <cell r="U730">
            <v>0</v>
          </cell>
          <cell r="V730">
            <v>0</v>
          </cell>
          <cell r="W730">
            <v>0</v>
          </cell>
          <cell r="X730">
            <v>212261.193548387</v>
          </cell>
          <cell r="Y730">
            <v>134400</v>
          </cell>
        </row>
        <row r="731">
          <cell r="E731">
            <v>0</v>
          </cell>
          <cell r="F731" t="str">
            <v>DEDE CELLULAR</v>
          </cell>
          <cell r="G731">
            <v>0</v>
          </cell>
          <cell r="H731">
            <v>0</v>
          </cell>
          <cell r="I731">
            <v>0</v>
          </cell>
          <cell r="J731">
            <v>0</v>
          </cell>
          <cell r="K731">
            <v>0</v>
          </cell>
          <cell r="L731">
            <v>0</v>
          </cell>
          <cell r="M731">
            <v>0</v>
          </cell>
          <cell r="N731">
            <v>0</v>
          </cell>
          <cell r="O731">
            <v>0</v>
          </cell>
          <cell r="P731">
            <v>0</v>
          </cell>
          <cell r="Q731">
            <v>0</v>
          </cell>
          <cell r="R731">
            <v>0</v>
          </cell>
          <cell r="S731">
            <v>0</v>
          </cell>
          <cell r="T731">
            <v>0</v>
          </cell>
          <cell r="U731">
            <v>0</v>
          </cell>
          <cell r="V731">
            <v>0</v>
          </cell>
          <cell r="W731">
            <v>0</v>
          </cell>
          <cell r="X731">
            <v>213767.74193548399</v>
          </cell>
          <cell r="Y731">
            <v>0</v>
          </cell>
        </row>
        <row r="732">
          <cell r="E732">
            <v>0</v>
          </cell>
          <cell r="F732" t="str">
            <v>Riakom net</v>
          </cell>
          <cell r="G732">
            <v>0</v>
          </cell>
          <cell r="H732">
            <v>0</v>
          </cell>
          <cell r="I732">
            <v>0</v>
          </cell>
          <cell r="J732">
            <v>0</v>
          </cell>
          <cell r="K732">
            <v>0</v>
          </cell>
          <cell r="L732">
            <v>0</v>
          </cell>
          <cell r="M732">
            <v>0</v>
          </cell>
          <cell r="N732">
            <v>0</v>
          </cell>
          <cell r="O732">
            <v>0</v>
          </cell>
          <cell r="P732">
            <v>0</v>
          </cell>
          <cell r="Q732">
            <v>0</v>
          </cell>
          <cell r="R732">
            <v>0</v>
          </cell>
          <cell r="S732">
            <v>0</v>
          </cell>
          <cell r="T732">
            <v>0</v>
          </cell>
          <cell r="U732">
            <v>0</v>
          </cell>
          <cell r="V732">
            <v>0</v>
          </cell>
          <cell r="W732">
            <v>0</v>
          </cell>
          <cell r="X732">
            <v>359169.35483870999</v>
          </cell>
          <cell r="Y732">
            <v>0</v>
          </cell>
        </row>
        <row r="733">
          <cell r="E733">
            <v>0</v>
          </cell>
          <cell r="F733" t="str">
            <v>Warung sari</v>
          </cell>
          <cell r="G733">
            <v>0</v>
          </cell>
          <cell r="H733">
            <v>0</v>
          </cell>
          <cell r="I733">
            <v>0</v>
          </cell>
          <cell r="J733">
            <v>0</v>
          </cell>
          <cell r="K733">
            <v>0</v>
          </cell>
          <cell r="L733">
            <v>0</v>
          </cell>
          <cell r="M733">
            <v>0</v>
          </cell>
          <cell r="N733">
            <v>0</v>
          </cell>
          <cell r="O733">
            <v>0</v>
          </cell>
          <cell r="P733">
            <v>0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>
            <v>0</v>
          </cell>
          <cell r="V733">
            <v>0</v>
          </cell>
          <cell r="W733">
            <v>0</v>
          </cell>
          <cell r="X733">
            <v>181064.51612903201</v>
          </cell>
          <cell r="Y733">
            <v>0</v>
          </cell>
        </row>
        <row r="734">
          <cell r="E734">
            <v>0</v>
          </cell>
          <cell r="F734" t="str">
            <v>Warung Rabuli</v>
          </cell>
          <cell r="G734">
            <v>0</v>
          </cell>
          <cell r="H734">
            <v>0</v>
          </cell>
          <cell r="I734">
            <v>0</v>
          </cell>
          <cell r="J734">
            <v>0</v>
          </cell>
          <cell r="K734">
            <v>0</v>
          </cell>
          <cell r="L734">
            <v>0</v>
          </cell>
          <cell r="M734">
            <v>0</v>
          </cell>
          <cell r="N734">
            <v>0</v>
          </cell>
          <cell r="O734">
            <v>0</v>
          </cell>
          <cell r="P734">
            <v>0</v>
          </cell>
          <cell r="Q734">
            <v>0</v>
          </cell>
          <cell r="R734">
            <v>0</v>
          </cell>
          <cell r="S734">
            <v>0</v>
          </cell>
          <cell r="T734">
            <v>0</v>
          </cell>
          <cell r="U734">
            <v>0</v>
          </cell>
          <cell r="V734">
            <v>0</v>
          </cell>
          <cell r="W734">
            <v>0</v>
          </cell>
          <cell r="X734">
            <v>203709.67741935499</v>
          </cell>
          <cell r="Y734">
            <v>0</v>
          </cell>
        </row>
        <row r="735">
          <cell r="E735">
            <v>0</v>
          </cell>
          <cell r="F735" t="str">
            <v>Warung DAVID</v>
          </cell>
          <cell r="G735">
            <v>0</v>
          </cell>
          <cell r="H735">
            <v>0</v>
          </cell>
          <cell r="I735">
            <v>1</v>
          </cell>
          <cell r="J735">
            <v>1</v>
          </cell>
          <cell r="K735">
            <v>0</v>
          </cell>
          <cell r="L735">
            <v>0</v>
          </cell>
          <cell r="M735">
            <v>0</v>
          </cell>
          <cell r="N735">
            <v>0</v>
          </cell>
          <cell r="O735">
            <v>0</v>
          </cell>
          <cell r="P735">
            <v>0</v>
          </cell>
          <cell r="Q735">
            <v>0</v>
          </cell>
          <cell r="R735">
            <v>0</v>
          </cell>
          <cell r="S735">
            <v>0</v>
          </cell>
          <cell r="T735">
            <v>0</v>
          </cell>
          <cell r="U735">
            <v>0</v>
          </cell>
          <cell r="V735">
            <v>0</v>
          </cell>
          <cell r="W735">
            <v>0</v>
          </cell>
          <cell r="X735">
            <v>187272.58064516101</v>
          </cell>
          <cell r="Y735">
            <v>67200</v>
          </cell>
        </row>
        <row r="736">
          <cell r="E736">
            <v>0</v>
          </cell>
          <cell r="F736" t="str">
            <v>Src SUBUR</v>
          </cell>
          <cell r="G736">
            <v>0</v>
          </cell>
          <cell r="H736">
            <v>0</v>
          </cell>
          <cell r="I736">
            <v>1</v>
          </cell>
          <cell r="J736">
            <v>1</v>
          </cell>
          <cell r="K736">
            <v>0</v>
          </cell>
          <cell r="L736">
            <v>0</v>
          </cell>
          <cell r="M736">
            <v>0</v>
          </cell>
          <cell r="N736">
            <v>0</v>
          </cell>
          <cell r="O736">
            <v>0</v>
          </cell>
          <cell r="P736">
            <v>0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>
            <v>0</v>
          </cell>
          <cell r="V736">
            <v>0</v>
          </cell>
          <cell r="W736">
            <v>0</v>
          </cell>
          <cell r="X736">
            <v>216425.806451613</v>
          </cell>
          <cell r="Y736">
            <v>67200</v>
          </cell>
        </row>
        <row r="737">
          <cell r="E737">
            <v>0</v>
          </cell>
          <cell r="F737" t="str">
            <v>WARUNG YANTI</v>
          </cell>
          <cell r="G737">
            <v>0</v>
          </cell>
          <cell r="H737">
            <v>0</v>
          </cell>
          <cell r="I737">
            <v>0</v>
          </cell>
          <cell r="J737">
            <v>0</v>
          </cell>
          <cell r="K737">
            <v>0</v>
          </cell>
          <cell r="L737">
            <v>0</v>
          </cell>
          <cell r="M737">
            <v>0</v>
          </cell>
          <cell r="N737">
            <v>0</v>
          </cell>
          <cell r="O737">
            <v>0</v>
          </cell>
          <cell r="P737">
            <v>0</v>
          </cell>
          <cell r="Q737">
            <v>0</v>
          </cell>
          <cell r="R737">
            <v>0</v>
          </cell>
          <cell r="S737">
            <v>0</v>
          </cell>
          <cell r="T737">
            <v>0</v>
          </cell>
          <cell r="U737">
            <v>0</v>
          </cell>
          <cell r="V737">
            <v>0</v>
          </cell>
          <cell r="W737">
            <v>0</v>
          </cell>
          <cell r="X737">
            <v>277216.129032258</v>
          </cell>
          <cell r="Y737">
            <v>0</v>
          </cell>
        </row>
        <row r="738">
          <cell r="E738">
            <v>0</v>
          </cell>
          <cell r="F738" t="str">
            <v>W. Mak teh</v>
          </cell>
          <cell r="G738">
            <v>0</v>
          </cell>
          <cell r="H738">
            <v>0</v>
          </cell>
          <cell r="I738">
            <v>1</v>
          </cell>
          <cell r="J738">
            <v>1</v>
          </cell>
          <cell r="K738">
            <v>0</v>
          </cell>
          <cell r="L738">
            <v>0</v>
          </cell>
          <cell r="M738">
            <v>0</v>
          </cell>
          <cell r="N738">
            <v>0</v>
          </cell>
          <cell r="O738">
            <v>0</v>
          </cell>
          <cell r="P738">
            <v>0</v>
          </cell>
          <cell r="Q738">
            <v>0</v>
          </cell>
          <cell r="R738">
            <v>0</v>
          </cell>
          <cell r="S738">
            <v>0</v>
          </cell>
          <cell r="T738">
            <v>0</v>
          </cell>
          <cell r="U738">
            <v>0</v>
          </cell>
          <cell r="V738">
            <v>0</v>
          </cell>
          <cell r="W738">
            <v>0</v>
          </cell>
          <cell r="X738">
            <v>278081.45161290298</v>
          </cell>
          <cell r="Y738">
            <v>184800</v>
          </cell>
        </row>
        <row r="739">
          <cell r="E739">
            <v>0</v>
          </cell>
          <cell r="F739" t="str">
            <v>Toko Keluarga</v>
          </cell>
          <cell r="G739">
            <v>0</v>
          </cell>
          <cell r="H739">
            <v>0</v>
          </cell>
          <cell r="I739">
            <v>1</v>
          </cell>
          <cell r="J739">
            <v>1</v>
          </cell>
          <cell r="K739">
            <v>0</v>
          </cell>
          <cell r="L739">
            <v>0</v>
          </cell>
          <cell r="M739">
            <v>0</v>
          </cell>
          <cell r="N739">
            <v>0</v>
          </cell>
          <cell r="O739">
            <v>0</v>
          </cell>
          <cell r="P739">
            <v>0</v>
          </cell>
          <cell r="Q739">
            <v>0</v>
          </cell>
          <cell r="R739">
            <v>0</v>
          </cell>
          <cell r="S739">
            <v>0</v>
          </cell>
          <cell r="T739">
            <v>0</v>
          </cell>
          <cell r="U739">
            <v>0</v>
          </cell>
          <cell r="V739">
            <v>0</v>
          </cell>
          <cell r="W739">
            <v>0</v>
          </cell>
          <cell r="X739">
            <v>206043.54838709699</v>
          </cell>
          <cell r="Y739">
            <v>151200</v>
          </cell>
        </row>
        <row r="740">
          <cell r="E740">
            <v>0</v>
          </cell>
          <cell r="F740" t="str">
            <v>Toko Lana</v>
          </cell>
          <cell r="G740">
            <v>0</v>
          </cell>
          <cell r="H740">
            <v>0</v>
          </cell>
          <cell r="I740">
            <v>0</v>
          </cell>
          <cell r="J740">
            <v>0</v>
          </cell>
          <cell r="K740">
            <v>0</v>
          </cell>
          <cell r="L740">
            <v>0</v>
          </cell>
          <cell r="M740">
            <v>0</v>
          </cell>
          <cell r="N740">
            <v>0</v>
          </cell>
          <cell r="O740">
            <v>0</v>
          </cell>
          <cell r="P740">
            <v>0</v>
          </cell>
          <cell r="Q740">
            <v>0</v>
          </cell>
          <cell r="R740">
            <v>0</v>
          </cell>
          <cell r="S740">
            <v>0</v>
          </cell>
          <cell r="T740">
            <v>0</v>
          </cell>
          <cell r="U740">
            <v>0</v>
          </cell>
          <cell r="V740">
            <v>0</v>
          </cell>
          <cell r="W740">
            <v>0</v>
          </cell>
          <cell r="X740">
            <v>181064.51612903201</v>
          </cell>
          <cell r="Y740">
            <v>0</v>
          </cell>
        </row>
        <row r="741">
          <cell r="E741">
            <v>0</v>
          </cell>
          <cell r="F741" t="str">
            <v>Ya Mink Cell</v>
          </cell>
          <cell r="G741">
            <v>0</v>
          </cell>
          <cell r="H741">
            <v>0</v>
          </cell>
          <cell r="I741">
            <v>0</v>
          </cell>
          <cell r="J741">
            <v>0</v>
          </cell>
          <cell r="K741">
            <v>0</v>
          </cell>
          <cell r="L741">
            <v>0</v>
          </cell>
          <cell r="M741">
            <v>0</v>
          </cell>
          <cell r="N741">
            <v>0</v>
          </cell>
          <cell r="O741">
            <v>0</v>
          </cell>
          <cell r="P741">
            <v>0</v>
          </cell>
          <cell r="Q741">
            <v>0</v>
          </cell>
          <cell r="R741">
            <v>0</v>
          </cell>
          <cell r="S741">
            <v>0</v>
          </cell>
          <cell r="T741">
            <v>0</v>
          </cell>
          <cell r="U741">
            <v>0</v>
          </cell>
          <cell r="V741">
            <v>0</v>
          </cell>
          <cell r="W741">
            <v>0</v>
          </cell>
          <cell r="X741">
            <v>233806.45161290301</v>
          </cell>
          <cell r="Y741">
            <v>0</v>
          </cell>
        </row>
        <row r="742">
          <cell r="E742">
            <v>0</v>
          </cell>
          <cell r="F742" t="str">
            <v>Toko Kembang</v>
          </cell>
          <cell r="G742">
            <v>0</v>
          </cell>
          <cell r="H742">
            <v>0</v>
          </cell>
          <cell r="I742">
            <v>0</v>
          </cell>
          <cell r="J742">
            <v>0</v>
          </cell>
          <cell r="K742">
            <v>1</v>
          </cell>
          <cell r="L742">
            <v>1</v>
          </cell>
          <cell r="M742">
            <v>0</v>
          </cell>
          <cell r="N742">
            <v>0</v>
          </cell>
          <cell r="O742">
            <v>0</v>
          </cell>
          <cell r="P742">
            <v>0</v>
          </cell>
          <cell r="Q742">
            <v>0</v>
          </cell>
          <cell r="R742">
            <v>0</v>
          </cell>
          <cell r="S742">
            <v>0</v>
          </cell>
          <cell r="T742">
            <v>0</v>
          </cell>
          <cell r="U742">
            <v>0</v>
          </cell>
          <cell r="V742">
            <v>0</v>
          </cell>
          <cell r="W742">
            <v>0</v>
          </cell>
          <cell r="X742">
            <v>363564.51612903201</v>
          </cell>
          <cell r="Y742">
            <v>0</v>
          </cell>
        </row>
        <row r="743">
          <cell r="E743">
            <v>0</v>
          </cell>
          <cell r="F743" t="str">
            <v>HIDUP BARU</v>
          </cell>
          <cell r="G743">
            <v>0</v>
          </cell>
          <cell r="H743">
            <v>0</v>
          </cell>
          <cell r="I743">
            <v>1</v>
          </cell>
          <cell r="J743">
            <v>1</v>
          </cell>
          <cell r="K743">
            <v>0</v>
          </cell>
          <cell r="L743">
            <v>0</v>
          </cell>
          <cell r="M743">
            <v>0</v>
          </cell>
          <cell r="N743">
            <v>0</v>
          </cell>
          <cell r="O743">
            <v>0</v>
          </cell>
          <cell r="P743">
            <v>0</v>
          </cell>
          <cell r="Q743">
            <v>0</v>
          </cell>
          <cell r="R743">
            <v>0</v>
          </cell>
          <cell r="S743">
            <v>0</v>
          </cell>
          <cell r="T743">
            <v>0</v>
          </cell>
          <cell r="U743">
            <v>0</v>
          </cell>
          <cell r="V743">
            <v>0</v>
          </cell>
          <cell r="W743">
            <v>0</v>
          </cell>
          <cell r="X743">
            <v>112282.25806451601</v>
          </cell>
          <cell r="Y743">
            <v>134400</v>
          </cell>
        </row>
        <row r="744">
          <cell r="E744">
            <v>0</v>
          </cell>
          <cell r="F744" t="str">
            <v>Toko Melati</v>
          </cell>
          <cell r="G744">
            <v>0</v>
          </cell>
          <cell r="H744">
            <v>0</v>
          </cell>
          <cell r="I744">
            <v>1</v>
          </cell>
          <cell r="J744">
            <v>1</v>
          </cell>
          <cell r="K744">
            <v>0</v>
          </cell>
          <cell r="L744">
            <v>0</v>
          </cell>
          <cell r="M744">
            <v>0</v>
          </cell>
          <cell r="N744">
            <v>0</v>
          </cell>
          <cell r="O744">
            <v>0</v>
          </cell>
          <cell r="P744">
            <v>0</v>
          </cell>
          <cell r="Q744">
            <v>0</v>
          </cell>
          <cell r="R744">
            <v>0</v>
          </cell>
          <cell r="S744">
            <v>0</v>
          </cell>
          <cell r="T744">
            <v>0</v>
          </cell>
          <cell r="U744">
            <v>0</v>
          </cell>
          <cell r="V744">
            <v>0</v>
          </cell>
          <cell r="W744">
            <v>0</v>
          </cell>
          <cell r="X744">
            <v>160135.685483871</v>
          </cell>
          <cell r="Y744">
            <v>268800</v>
          </cell>
        </row>
        <row r="745">
          <cell r="E745">
            <v>0</v>
          </cell>
          <cell r="F745" t="str">
            <v>Citra Mandiri</v>
          </cell>
          <cell r="G745">
            <v>0</v>
          </cell>
          <cell r="H745">
            <v>0</v>
          </cell>
          <cell r="I745">
            <v>1</v>
          </cell>
          <cell r="J745">
            <v>1</v>
          </cell>
          <cell r="K745">
            <v>0</v>
          </cell>
          <cell r="L745">
            <v>0</v>
          </cell>
          <cell r="M745">
            <v>0</v>
          </cell>
          <cell r="N745">
            <v>0</v>
          </cell>
          <cell r="O745">
            <v>0</v>
          </cell>
          <cell r="P745">
            <v>0</v>
          </cell>
          <cell r="Q745">
            <v>0</v>
          </cell>
          <cell r="R745">
            <v>0</v>
          </cell>
          <cell r="S745">
            <v>0</v>
          </cell>
          <cell r="T745">
            <v>0</v>
          </cell>
          <cell r="U745">
            <v>0</v>
          </cell>
          <cell r="V745">
            <v>0</v>
          </cell>
          <cell r="W745">
            <v>0</v>
          </cell>
          <cell r="X745">
            <v>168541.935483871</v>
          </cell>
          <cell r="Y745">
            <v>201600</v>
          </cell>
        </row>
        <row r="746">
          <cell r="E746">
            <v>0</v>
          </cell>
          <cell r="F746" t="str">
            <v>Warung Yuyun</v>
          </cell>
          <cell r="G746">
            <v>0</v>
          </cell>
          <cell r="H746">
            <v>0</v>
          </cell>
          <cell r="I746">
            <v>0</v>
          </cell>
          <cell r="J746">
            <v>0</v>
          </cell>
          <cell r="K746">
            <v>0</v>
          </cell>
          <cell r="L746">
            <v>0</v>
          </cell>
          <cell r="M746">
            <v>0</v>
          </cell>
          <cell r="N746">
            <v>0</v>
          </cell>
          <cell r="O746">
            <v>0</v>
          </cell>
          <cell r="P746">
            <v>0</v>
          </cell>
          <cell r="Q746">
            <v>0</v>
          </cell>
          <cell r="R746">
            <v>0</v>
          </cell>
          <cell r="S746">
            <v>0</v>
          </cell>
          <cell r="T746">
            <v>0</v>
          </cell>
          <cell r="U746">
            <v>0</v>
          </cell>
          <cell r="V746">
            <v>0</v>
          </cell>
          <cell r="W746">
            <v>0</v>
          </cell>
          <cell r="X746">
            <v>134951.61290322599</v>
          </cell>
          <cell r="Y746">
            <v>0</v>
          </cell>
        </row>
        <row r="747">
          <cell r="E747">
            <v>0</v>
          </cell>
          <cell r="F747" t="str">
            <v>Warung Hendra</v>
          </cell>
          <cell r="G747">
            <v>0</v>
          </cell>
          <cell r="H747">
            <v>0</v>
          </cell>
          <cell r="I747">
            <v>0</v>
          </cell>
          <cell r="J747">
            <v>0</v>
          </cell>
          <cell r="K747">
            <v>0</v>
          </cell>
          <cell r="L747">
            <v>0</v>
          </cell>
          <cell r="M747">
            <v>0</v>
          </cell>
          <cell r="N747">
            <v>0</v>
          </cell>
          <cell r="O747">
            <v>0</v>
          </cell>
          <cell r="P747">
            <v>0</v>
          </cell>
          <cell r="Q747">
            <v>0</v>
          </cell>
          <cell r="R747">
            <v>0</v>
          </cell>
          <cell r="S747">
            <v>0</v>
          </cell>
          <cell r="T747">
            <v>0</v>
          </cell>
          <cell r="U747">
            <v>0</v>
          </cell>
          <cell r="V747">
            <v>0</v>
          </cell>
          <cell r="W747">
            <v>0</v>
          </cell>
          <cell r="X747">
            <v>158516.129032258</v>
          </cell>
          <cell r="Y747">
            <v>0</v>
          </cell>
        </row>
        <row r="748">
          <cell r="E748">
            <v>0</v>
          </cell>
          <cell r="F748" t="str">
            <v>Toko Sinku</v>
          </cell>
          <cell r="G748">
            <v>0</v>
          </cell>
          <cell r="H748">
            <v>0</v>
          </cell>
          <cell r="I748">
            <v>0</v>
          </cell>
          <cell r="J748">
            <v>0</v>
          </cell>
          <cell r="K748">
            <v>0</v>
          </cell>
          <cell r="L748">
            <v>0</v>
          </cell>
          <cell r="M748">
            <v>0</v>
          </cell>
          <cell r="N748">
            <v>0</v>
          </cell>
          <cell r="O748">
            <v>0</v>
          </cell>
          <cell r="P748">
            <v>0</v>
          </cell>
          <cell r="Q748">
            <v>0</v>
          </cell>
          <cell r="R748">
            <v>0</v>
          </cell>
          <cell r="S748">
            <v>0</v>
          </cell>
          <cell r="T748">
            <v>0</v>
          </cell>
          <cell r="U748">
            <v>0</v>
          </cell>
          <cell r="V748">
            <v>0</v>
          </cell>
          <cell r="W748">
            <v>0</v>
          </cell>
          <cell r="X748">
            <v>128419.35483871</v>
          </cell>
          <cell r="Y748">
            <v>0</v>
          </cell>
        </row>
        <row r="749">
          <cell r="E749">
            <v>0</v>
          </cell>
          <cell r="F749" t="str">
            <v>Warung Vyona</v>
          </cell>
          <cell r="G749">
            <v>0</v>
          </cell>
          <cell r="H749">
            <v>0</v>
          </cell>
          <cell r="I749">
            <v>0</v>
          </cell>
          <cell r="J749">
            <v>0</v>
          </cell>
          <cell r="K749">
            <v>0</v>
          </cell>
          <cell r="L749">
            <v>0</v>
          </cell>
          <cell r="M749">
            <v>0</v>
          </cell>
          <cell r="N749">
            <v>0</v>
          </cell>
          <cell r="O749">
            <v>0</v>
          </cell>
          <cell r="P749">
            <v>0</v>
          </cell>
          <cell r="Q749">
            <v>0</v>
          </cell>
          <cell r="R749">
            <v>0</v>
          </cell>
          <cell r="S749">
            <v>0</v>
          </cell>
          <cell r="T749">
            <v>0</v>
          </cell>
          <cell r="U749">
            <v>0</v>
          </cell>
          <cell r="V749">
            <v>0</v>
          </cell>
          <cell r="W749">
            <v>0</v>
          </cell>
          <cell r="X749">
            <v>99891.5</v>
          </cell>
          <cell r="Y749">
            <v>0</v>
          </cell>
        </row>
        <row r="750">
          <cell r="E750">
            <v>0</v>
          </cell>
          <cell r="F750" t="str">
            <v>Warung Erni</v>
          </cell>
          <cell r="G750">
            <v>0</v>
          </cell>
          <cell r="H750">
            <v>0</v>
          </cell>
          <cell r="I750">
            <v>0</v>
          </cell>
          <cell r="J750">
            <v>0</v>
          </cell>
          <cell r="K750">
            <v>0</v>
          </cell>
          <cell r="L750">
            <v>0</v>
          </cell>
          <cell r="M750">
            <v>0</v>
          </cell>
          <cell r="N750">
            <v>0</v>
          </cell>
          <cell r="O750">
            <v>0</v>
          </cell>
          <cell r="P750">
            <v>0</v>
          </cell>
          <cell r="Q750">
            <v>0</v>
          </cell>
          <cell r="R750">
            <v>0</v>
          </cell>
          <cell r="S750">
            <v>0</v>
          </cell>
          <cell r="T750">
            <v>0</v>
          </cell>
          <cell r="U750">
            <v>0</v>
          </cell>
          <cell r="V750">
            <v>0</v>
          </cell>
          <cell r="W750">
            <v>0</v>
          </cell>
          <cell r="X750">
            <v>204561.29032258099</v>
          </cell>
          <cell r="Y750">
            <v>0</v>
          </cell>
        </row>
        <row r="751">
          <cell r="E751">
            <v>0</v>
          </cell>
          <cell r="F751" t="str">
            <v>WARUNG GITA</v>
          </cell>
          <cell r="G751">
            <v>0</v>
          </cell>
          <cell r="H751">
            <v>0</v>
          </cell>
          <cell r="I751">
            <v>0</v>
          </cell>
          <cell r="J751">
            <v>0</v>
          </cell>
          <cell r="K751">
            <v>0</v>
          </cell>
          <cell r="L751">
            <v>0</v>
          </cell>
          <cell r="M751">
            <v>0</v>
          </cell>
          <cell r="N751">
            <v>0</v>
          </cell>
          <cell r="O751">
            <v>0</v>
          </cell>
          <cell r="P751">
            <v>0</v>
          </cell>
          <cell r="Q751">
            <v>0</v>
          </cell>
          <cell r="R751">
            <v>0</v>
          </cell>
          <cell r="S751">
            <v>0</v>
          </cell>
          <cell r="T751">
            <v>0</v>
          </cell>
          <cell r="U751">
            <v>0</v>
          </cell>
          <cell r="V751">
            <v>0</v>
          </cell>
          <cell r="W751">
            <v>0</v>
          </cell>
          <cell r="X751">
            <v>444661.29032258102</v>
          </cell>
          <cell r="Y751">
            <v>0</v>
          </cell>
        </row>
        <row r="752">
          <cell r="E752">
            <v>0</v>
          </cell>
          <cell r="F752" t="str">
            <v>Borneo 3</v>
          </cell>
          <cell r="G752">
            <v>0</v>
          </cell>
          <cell r="H752">
            <v>0</v>
          </cell>
          <cell r="I752">
            <v>0</v>
          </cell>
          <cell r="J752">
            <v>0</v>
          </cell>
          <cell r="K752">
            <v>7</v>
          </cell>
          <cell r="L752">
            <v>7</v>
          </cell>
          <cell r="M752">
            <v>0</v>
          </cell>
          <cell r="N752">
            <v>1</v>
          </cell>
          <cell r="O752">
            <v>1</v>
          </cell>
          <cell r="P752">
            <v>0</v>
          </cell>
          <cell r="Q752">
            <v>1</v>
          </cell>
          <cell r="R752">
            <v>1</v>
          </cell>
          <cell r="S752">
            <v>0</v>
          </cell>
          <cell r="T752">
            <v>0</v>
          </cell>
          <cell r="U752">
            <v>5</v>
          </cell>
          <cell r="V752">
            <v>0</v>
          </cell>
          <cell r="W752">
            <v>0</v>
          </cell>
          <cell r="X752">
            <v>546386.54838709696</v>
          </cell>
          <cell r="Y752">
            <v>0</v>
          </cell>
        </row>
        <row r="753">
          <cell r="E753">
            <v>0</v>
          </cell>
          <cell r="F753" t="str">
            <v>PINTERNET</v>
          </cell>
          <cell r="G753">
            <v>0</v>
          </cell>
          <cell r="H753">
            <v>0</v>
          </cell>
          <cell r="I753">
            <v>0</v>
          </cell>
          <cell r="J753">
            <v>0</v>
          </cell>
          <cell r="K753">
            <v>0</v>
          </cell>
          <cell r="L753">
            <v>0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>
            <v>0</v>
          </cell>
          <cell r="S753">
            <v>0</v>
          </cell>
          <cell r="T753">
            <v>0</v>
          </cell>
          <cell r="U753">
            <v>0</v>
          </cell>
          <cell r="V753">
            <v>0</v>
          </cell>
          <cell r="W753">
            <v>0</v>
          </cell>
          <cell r="X753">
            <v>840319.09677419404</v>
          </cell>
          <cell r="Y753">
            <v>0</v>
          </cell>
        </row>
        <row r="754">
          <cell r="E754">
            <v>0</v>
          </cell>
          <cell r="F754" t="str">
            <v>AHON PULSA</v>
          </cell>
          <cell r="G754">
            <v>0</v>
          </cell>
          <cell r="H754">
            <v>0</v>
          </cell>
          <cell r="I754">
            <v>0</v>
          </cell>
          <cell r="J754">
            <v>0</v>
          </cell>
          <cell r="K754">
            <v>3</v>
          </cell>
          <cell r="L754">
            <v>3</v>
          </cell>
          <cell r="M754">
            <v>0</v>
          </cell>
          <cell r="N754">
            <v>2</v>
          </cell>
          <cell r="O754">
            <v>2</v>
          </cell>
          <cell r="P754">
            <v>0</v>
          </cell>
          <cell r="Q754">
            <v>2</v>
          </cell>
          <cell r="R754">
            <v>2</v>
          </cell>
          <cell r="S754">
            <v>0</v>
          </cell>
          <cell r="T754">
            <v>0</v>
          </cell>
          <cell r="U754">
            <v>0</v>
          </cell>
          <cell r="V754">
            <v>0</v>
          </cell>
          <cell r="W754">
            <v>0</v>
          </cell>
          <cell r="X754">
            <v>95804</v>
          </cell>
          <cell r="Y754">
            <v>0</v>
          </cell>
        </row>
        <row r="755">
          <cell r="E755">
            <v>0</v>
          </cell>
          <cell r="F755" t="str">
            <v>TIKA PONSEL</v>
          </cell>
          <cell r="G755">
            <v>0</v>
          </cell>
          <cell r="H755">
            <v>0</v>
          </cell>
          <cell r="I755">
            <v>0</v>
          </cell>
          <cell r="J755">
            <v>0</v>
          </cell>
          <cell r="K755">
            <v>0</v>
          </cell>
          <cell r="L755">
            <v>0</v>
          </cell>
          <cell r="M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>
            <v>0</v>
          </cell>
          <cell r="S755">
            <v>0</v>
          </cell>
          <cell r="T755">
            <v>0</v>
          </cell>
          <cell r="U755">
            <v>0</v>
          </cell>
          <cell r="V755">
            <v>0</v>
          </cell>
          <cell r="W755">
            <v>0</v>
          </cell>
          <cell r="X755">
            <v>0</v>
          </cell>
          <cell r="Y755">
            <v>0</v>
          </cell>
        </row>
        <row r="756">
          <cell r="E756">
            <v>0</v>
          </cell>
          <cell r="F756" t="str">
            <v>SMILETECH</v>
          </cell>
          <cell r="G756">
            <v>0</v>
          </cell>
          <cell r="H756">
            <v>0</v>
          </cell>
          <cell r="I756">
            <v>1</v>
          </cell>
          <cell r="J756">
            <v>1</v>
          </cell>
          <cell r="K756">
            <v>0</v>
          </cell>
          <cell r="L756">
            <v>0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>
            <v>0</v>
          </cell>
          <cell r="S756">
            <v>0</v>
          </cell>
          <cell r="T756">
            <v>0</v>
          </cell>
          <cell r="U756">
            <v>0</v>
          </cell>
          <cell r="V756">
            <v>0</v>
          </cell>
          <cell r="W756">
            <v>0</v>
          </cell>
          <cell r="X756">
            <v>222579.97920118101</v>
          </cell>
          <cell r="Y756">
            <v>634400</v>
          </cell>
        </row>
        <row r="757">
          <cell r="E757">
            <v>0</v>
          </cell>
          <cell r="F757" t="str">
            <v>IRR PONSEL</v>
          </cell>
          <cell r="G757">
            <v>0</v>
          </cell>
          <cell r="H757">
            <v>0</v>
          </cell>
          <cell r="I757">
            <v>1</v>
          </cell>
          <cell r="J757">
            <v>1</v>
          </cell>
          <cell r="K757">
            <v>3</v>
          </cell>
          <cell r="L757">
            <v>3</v>
          </cell>
          <cell r="M757">
            <v>0</v>
          </cell>
          <cell r="N757">
            <v>1</v>
          </cell>
          <cell r="O757">
            <v>1</v>
          </cell>
          <cell r="P757">
            <v>0</v>
          </cell>
          <cell r="Q757">
            <v>1</v>
          </cell>
          <cell r="R757">
            <v>1</v>
          </cell>
          <cell r="S757">
            <v>0</v>
          </cell>
          <cell r="T757">
            <v>0</v>
          </cell>
          <cell r="U757">
            <v>0</v>
          </cell>
          <cell r="V757">
            <v>0</v>
          </cell>
          <cell r="W757">
            <v>0</v>
          </cell>
          <cell r="X757">
            <v>2003048.6996774201</v>
          </cell>
          <cell r="Y757">
            <v>1067200</v>
          </cell>
        </row>
        <row r="758">
          <cell r="E758">
            <v>0</v>
          </cell>
          <cell r="F758" t="str">
            <v>zona cell</v>
          </cell>
          <cell r="G758">
            <v>0</v>
          </cell>
          <cell r="H758">
            <v>0</v>
          </cell>
          <cell r="I758">
            <v>1</v>
          </cell>
          <cell r="J758">
            <v>1</v>
          </cell>
          <cell r="K758">
            <v>0</v>
          </cell>
          <cell r="L758">
            <v>0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>
            <v>0</v>
          </cell>
          <cell r="S758">
            <v>0</v>
          </cell>
          <cell r="T758">
            <v>0</v>
          </cell>
          <cell r="U758">
            <v>0</v>
          </cell>
          <cell r="V758">
            <v>0</v>
          </cell>
          <cell r="W758">
            <v>0</v>
          </cell>
          <cell r="X758">
            <v>1297142.5441935479</v>
          </cell>
          <cell r="Y758">
            <v>67200</v>
          </cell>
        </row>
        <row r="759">
          <cell r="E759">
            <v>0</v>
          </cell>
          <cell r="F759" t="str">
            <v>Parfum x ponsel</v>
          </cell>
          <cell r="G759">
            <v>0</v>
          </cell>
          <cell r="H759">
            <v>0</v>
          </cell>
          <cell r="I759">
            <v>0</v>
          </cell>
          <cell r="J759">
            <v>0</v>
          </cell>
          <cell r="K759">
            <v>0</v>
          </cell>
          <cell r="L759">
            <v>0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>
            <v>0</v>
          </cell>
          <cell r="V759">
            <v>0</v>
          </cell>
          <cell r="W759">
            <v>0</v>
          </cell>
          <cell r="X759">
            <v>466519.43548387103</v>
          </cell>
          <cell r="Y759">
            <v>0</v>
          </cell>
        </row>
        <row r="760">
          <cell r="E760">
            <v>0</v>
          </cell>
          <cell r="F760" t="str">
            <v>Galeri Ponsel</v>
          </cell>
          <cell r="G760">
            <v>0</v>
          </cell>
          <cell r="H760">
            <v>0</v>
          </cell>
          <cell r="I760">
            <v>0</v>
          </cell>
          <cell r="J760">
            <v>0</v>
          </cell>
          <cell r="K760">
            <v>4</v>
          </cell>
          <cell r="L760">
            <v>4</v>
          </cell>
          <cell r="M760">
            <v>0</v>
          </cell>
          <cell r="N760">
            <v>2</v>
          </cell>
          <cell r="O760">
            <v>2</v>
          </cell>
          <cell r="P760">
            <v>0</v>
          </cell>
          <cell r="Q760">
            <v>2</v>
          </cell>
          <cell r="R760">
            <v>2</v>
          </cell>
          <cell r="S760">
            <v>0</v>
          </cell>
          <cell r="T760">
            <v>1</v>
          </cell>
          <cell r="U760">
            <v>1</v>
          </cell>
          <cell r="V760">
            <v>0</v>
          </cell>
          <cell r="W760">
            <v>0</v>
          </cell>
          <cell r="X760">
            <v>7972251.4128228053</v>
          </cell>
          <cell r="Y760">
            <v>5000000</v>
          </cell>
        </row>
        <row r="761">
          <cell r="E761">
            <v>0</v>
          </cell>
          <cell r="F761" t="str">
            <v>Adamy cell</v>
          </cell>
          <cell r="G761">
            <v>0</v>
          </cell>
          <cell r="H761">
            <v>0</v>
          </cell>
          <cell r="I761">
            <v>1</v>
          </cell>
          <cell r="J761">
            <v>1</v>
          </cell>
          <cell r="K761">
            <v>4</v>
          </cell>
          <cell r="L761">
            <v>4</v>
          </cell>
          <cell r="M761">
            <v>0</v>
          </cell>
          <cell r="N761">
            <v>1</v>
          </cell>
          <cell r="O761">
            <v>1</v>
          </cell>
          <cell r="P761">
            <v>0</v>
          </cell>
          <cell r="Q761">
            <v>1</v>
          </cell>
          <cell r="R761">
            <v>1</v>
          </cell>
          <cell r="S761">
            <v>0</v>
          </cell>
          <cell r="T761">
            <v>0</v>
          </cell>
          <cell r="U761">
            <v>0</v>
          </cell>
          <cell r="V761">
            <v>0</v>
          </cell>
          <cell r="W761">
            <v>0</v>
          </cell>
          <cell r="X761">
            <v>850339.61290322605</v>
          </cell>
          <cell r="Y761">
            <v>152200</v>
          </cell>
        </row>
        <row r="762">
          <cell r="E762">
            <v>0</v>
          </cell>
          <cell r="F762" t="str">
            <v>Mariani cell</v>
          </cell>
          <cell r="G762">
            <v>0</v>
          </cell>
          <cell r="H762">
            <v>0</v>
          </cell>
          <cell r="I762">
            <v>0</v>
          </cell>
          <cell r="J762">
            <v>0</v>
          </cell>
          <cell r="K762">
            <v>0</v>
          </cell>
          <cell r="L762">
            <v>0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  <cell r="Q762">
            <v>0</v>
          </cell>
          <cell r="R762">
            <v>0</v>
          </cell>
          <cell r="S762">
            <v>0</v>
          </cell>
          <cell r="T762">
            <v>0</v>
          </cell>
          <cell r="U762">
            <v>0</v>
          </cell>
          <cell r="V762">
            <v>0</v>
          </cell>
          <cell r="W762">
            <v>0</v>
          </cell>
          <cell r="X762">
            <v>49015.5</v>
          </cell>
          <cell r="Y762">
            <v>0</v>
          </cell>
        </row>
        <row r="763">
          <cell r="E763">
            <v>0</v>
          </cell>
          <cell r="F763" t="str">
            <v>AURA ZONE</v>
          </cell>
          <cell r="G763">
            <v>0</v>
          </cell>
          <cell r="H763">
            <v>0</v>
          </cell>
          <cell r="I763">
            <v>0</v>
          </cell>
          <cell r="J763">
            <v>0</v>
          </cell>
          <cell r="K763">
            <v>0</v>
          </cell>
          <cell r="L763">
            <v>0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>
            <v>0</v>
          </cell>
          <cell r="V763">
            <v>0</v>
          </cell>
          <cell r="W763">
            <v>0</v>
          </cell>
          <cell r="X763">
            <v>23750</v>
          </cell>
          <cell r="Y763">
            <v>0</v>
          </cell>
        </row>
        <row r="764">
          <cell r="E764">
            <v>0</v>
          </cell>
          <cell r="F764" t="str">
            <v>SETIA Merchandise</v>
          </cell>
          <cell r="G764">
            <v>0</v>
          </cell>
          <cell r="H764">
            <v>0</v>
          </cell>
          <cell r="I764">
            <v>1</v>
          </cell>
          <cell r="J764">
            <v>1</v>
          </cell>
          <cell r="K764">
            <v>0</v>
          </cell>
          <cell r="L764">
            <v>0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  <cell r="Q764">
            <v>0</v>
          </cell>
          <cell r="R764">
            <v>0</v>
          </cell>
          <cell r="S764">
            <v>0</v>
          </cell>
          <cell r="T764">
            <v>0</v>
          </cell>
          <cell r="U764">
            <v>0</v>
          </cell>
          <cell r="V764">
            <v>0</v>
          </cell>
          <cell r="W764">
            <v>0</v>
          </cell>
          <cell r="X764">
            <v>153241.50451168499</v>
          </cell>
          <cell r="Y764">
            <v>67200</v>
          </cell>
        </row>
        <row r="765">
          <cell r="E765">
            <v>0</v>
          </cell>
          <cell r="F765" t="str">
            <v>enpe celluler</v>
          </cell>
          <cell r="G765">
            <v>0</v>
          </cell>
          <cell r="H765">
            <v>0</v>
          </cell>
          <cell r="I765">
            <v>1</v>
          </cell>
          <cell r="J765">
            <v>1</v>
          </cell>
          <cell r="K765">
            <v>1</v>
          </cell>
          <cell r="L765">
            <v>1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>
            <v>0</v>
          </cell>
          <cell r="S765">
            <v>0</v>
          </cell>
          <cell r="T765">
            <v>0</v>
          </cell>
          <cell r="U765">
            <v>0</v>
          </cell>
          <cell r="V765">
            <v>0</v>
          </cell>
          <cell r="W765">
            <v>0</v>
          </cell>
          <cell r="X765">
            <v>9564696.205350602</v>
          </cell>
          <cell r="Y765">
            <v>50400</v>
          </cell>
        </row>
        <row r="766">
          <cell r="E766">
            <v>0</v>
          </cell>
          <cell r="F766" t="str">
            <v>CINTA CELL</v>
          </cell>
          <cell r="G766">
            <v>0</v>
          </cell>
          <cell r="H766">
            <v>0</v>
          </cell>
          <cell r="I766">
            <v>0</v>
          </cell>
          <cell r="J766">
            <v>0</v>
          </cell>
          <cell r="K766">
            <v>0</v>
          </cell>
          <cell r="L766">
            <v>0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0</v>
          </cell>
          <cell r="U766">
            <v>0</v>
          </cell>
          <cell r="V766">
            <v>0</v>
          </cell>
          <cell r="W766">
            <v>0</v>
          </cell>
          <cell r="X766">
            <v>90910</v>
          </cell>
          <cell r="Y766">
            <v>0</v>
          </cell>
        </row>
        <row r="767">
          <cell r="E767">
            <v>0</v>
          </cell>
          <cell r="F767" t="str">
            <v>Agung Cell</v>
          </cell>
          <cell r="G767">
            <v>0</v>
          </cell>
          <cell r="H767">
            <v>0</v>
          </cell>
          <cell r="I767">
            <v>1</v>
          </cell>
          <cell r="J767">
            <v>1</v>
          </cell>
          <cell r="K767">
            <v>0</v>
          </cell>
          <cell r="L767">
            <v>0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  <cell r="Q767">
            <v>0</v>
          </cell>
          <cell r="R767">
            <v>0</v>
          </cell>
          <cell r="S767">
            <v>0</v>
          </cell>
          <cell r="T767">
            <v>0</v>
          </cell>
          <cell r="U767">
            <v>0</v>
          </cell>
          <cell r="V767">
            <v>0</v>
          </cell>
          <cell r="W767">
            <v>0</v>
          </cell>
          <cell r="X767">
            <v>423281.827956989</v>
          </cell>
          <cell r="Y767">
            <v>134400</v>
          </cell>
        </row>
        <row r="768">
          <cell r="E768">
            <v>0</v>
          </cell>
          <cell r="F768" t="str">
            <v>ati ponsel</v>
          </cell>
          <cell r="G768">
            <v>0</v>
          </cell>
          <cell r="H768">
            <v>0</v>
          </cell>
          <cell r="I768">
            <v>1</v>
          </cell>
          <cell r="J768">
            <v>1</v>
          </cell>
          <cell r="K768">
            <v>1</v>
          </cell>
          <cell r="L768">
            <v>1</v>
          </cell>
          <cell r="M768">
            <v>0</v>
          </cell>
          <cell r="N768">
            <v>1</v>
          </cell>
          <cell r="O768">
            <v>1</v>
          </cell>
          <cell r="P768">
            <v>0</v>
          </cell>
          <cell r="Q768">
            <v>1</v>
          </cell>
          <cell r="R768">
            <v>1</v>
          </cell>
          <cell r="S768">
            <v>0</v>
          </cell>
          <cell r="T768">
            <v>0</v>
          </cell>
          <cell r="U768">
            <v>0</v>
          </cell>
          <cell r="V768">
            <v>0</v>
          </cell>
          <cell r="W768">
            <v>0</v>
          </cell>
          <cell r="X768">
            <v>114736.294193548</v>
          </cell>
          <cell r="Y768">
            <v>152200</v>
          </cell>
        </row>
        <row r="769">
          <cell r="E769">
            <v>0</v>
          </cell>
          <cell r="F769" t="str">
            <v>PENDI PONSEL</v>
          </cell>
          <cell r="G769">
            <v>0</v>
          </cell>
          <cell r="H769">
            <v>0</v>
          </cell>
          <cell r="I769">
            <v>1</v>
          </cell>
          <cell r="J769">
            <v>1</v>
          </cell>
          <cell r="K769">
            <v>1</v>
          </cell>
          <cell r="L769">
            <v>1</v>
          </cell>
          <cell r="M769">
            <v>0</v>
          </cell>
          <cell r="N769">
            <v>1</v>
          </cell>
          <cell r="O769">
            <v>1</v>
          </cell>
          <cell r="P769">
            <v>0</v>
          </cell>
          <cell r="Q769">
            <v>1</v>
          </cell>
          <cell r="R769">
            <v>1</v>
          </cell>
          <cell r="S769">
            <v>0</v>
          </cell>
          <cell r="T769">
            <v>3</v>
          </cell>
          <cell r="U769">
            <v>0</v>
          </cell>
          <cell r="V769">
            <v>0</v>
          </cell>
          <cell r="W769">
            <v>0</v>
          </cell>
          <cell r="X769">
            <v>1360245.080645161</v>
          </cell>
          <cell r="Y769">
            <v>1067200</v>
          </cell>
        </row>
        <row r="770">
          <cell r="E770">
            <v>0</v>
          </cell>
          <cell r="F770" t="str">
            <v>Fitri pulsa</v>
          </cell>
          <cell r="G770">
            <v>0</v>
          </cell>
          <cell r="H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0</v>
          </cell>
          <cell r="M770">
            <v>0</v>
          </cell>
          <cell r="N770">
            <v>0</v>
          </cell>
          <cell r="O770">
            <v>0</v>
          </cell>
          <cell r="P770">
            <v>0</v>
          </cell>
          <cell r="Q770">
            <v>0</v>
          </cell>
          <cell r="R770">
            <v>0</v>
          </cell>
          <cell r="S770">
            <v>0</v>
          </cell>
          <cell r="T770">
            <v>0</v>
          </cell>
          <cell r="U770">
            <v>0</v>
          </cell>
          <cell r="V770">
            <v>0</v>
          </cell>
          <cell r="W770">
            <v>0</v>
          </cell>
          <cell r="X770">
            <v>0</v>
          </cell>
          <cell r="Y770">
            <v>0</v>
          </cell>
        </row>
        <row r="771">
          <cell r="E771">
            <v>0</v>
          </cell>
          <cell r="F771" t="str">
            <v>GS CELL</v>
          </cell>
          <cell r="G771">
            <v>0</v>
          </cell>
          <cell r="H771">
            <v>0</v>
          </cell>
          <cell r="I771">
            <v>1</v>
          </cell>
          <cell r="J771">
            <v>1</v>
          </cell>
          <cell r="K771">
            <v>1</v>
          </cell>
          <cell r="L771">
            <v>1</v>
          </cell>
          <cell r="M771">
            <v>0</v>
          </cell>
          <cell r="N771">
            <v>0</v>
          </cell>
          <cell r="O771">
            <v>0</v>
          </cell>
          <cell r="P771">
            <v>0</v>
          </cell>
          <cell r="Q771">
            <v>0</v>
          </cell>
          <cell r="R771">
            <v>0</v>
          </cell>
          <cell r="S771">
            <v>0</v>
          </cell>
          <cell r="T771">
            <v>0</v>
          </cell>
          <cell r="U771">
            <v>0</v>
          </cell>
          <cell r="V771">
            <v>0</v>
          </cell>
          <cell r="W771">
            <v>0</v>
          </cell>
          <cell r="X771">
            <v>302518.95161290298</v>
          </cell>
          <cell r="Y771">
            <v>67200</v>
          </cell>
        </row>
        <row r="772">
          <cell r="E772">
            <v>0</v>
          </cell>
          <cell r="F772" t="str">
            <v>Jaya service</v>
          </cell>
          <cell r="G772">
            <v>0</v>
          </cell>
          <cell r="H772">
            <v>0</v>
          </cell>
          <cell r="I772">
            <v>1</v>
          </cell>
          <cell r="J772">
            <v>1</v>
          </cell>
          <cell r="K772">
            <v>0</v>
          </cell>
          <cell r="L772">
            <v>0</v>
          </cell>
          <cell r="M772">
            <v>0</v>
          </cell>
          <cell r="N772">
            <v>0</v>
          </cell>
          <cell r="O772">
            <v>0</v>
          </cell>
          <cell r="P772">
            <v>0</v>
          </cell>
          <cell r="Q772">
            <v>0</v>
          </cell>
          <cell r="R772">
            <v>0</v>
          </cell>
          <cell r="S772">
            <v>0</v>
          </cell>
          <cell r="T772">
            <v>0</v>
          </cell>
          <cell r="U772">
            <v>0</v>
          </cell>
          <cell r="V772">
            <v>0</v>
          </cell>
          <cell r="W772">
            <v>0</v>
          </cell>
          <cell r="X772">
            <v>1160241.85483871</v>
          </cell>
          <cell r="Y772">
            <v>152200</v>
          </cell>
        </row>
        <row r="773">
          <cell r="E773">
            <v>0</v>
          </cell>
          <cell r="F773" t="str">
            <v>ALFAZA PARFUM</v>
          </cell>
          <cell r="G773">
            <v>0</v>
          </cell>
          <cell r="H773">
            <v>0</v>
          </cell>
          <cell r="I773">
            <v>1</v>
          </cell>
          <cell r="J773">
            <v>1</v>
          </cell>
          <cell r="K773">
            <v>0</v>
          </cell>
          <cell r="L773">
            <v>0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>
            <v>0</v>
          </cell>
          <cell r="S773">
            <v>0</v>
          </cell>
          <cell r="T773">
            <v>0</v>
          </cell>
          <cell r="U773">
            <v>0</v>
          </cell>
          <cell r="V773">
            <v>0</v>
          </cell>
          <cell r="W773">
            <v>0</v>
          </cell>
          <cell r="X773">
            <v>559420.76612903201</v>
          </cell>
          <cell r="Y773">
            <v>117600</v>
          </cell>
        </row>
        <row r="774">
          <cell r="E774">
            <v>0</v>
          </cell>
          <cell r="F774" t="str">
            <v>NUGRAHA BRI LINK</v>
          </cell>
          <cell r="G774">
            <v>0</v>
          </cell>
          <cell r="H774">
            <v>0</v>
          </cell>
          <cell r="I774">
            <v>0</v>
          </cell>
          <cell r="J774">
            <v>0</v>
          </cell>
          <cell r="K774">
            <v>0</v>
          </cell>
          <cell r="L774">
            <v>0</v>
          </cell>
          <cell r="M774">
            <v>0</v>
          </cell>
          <cell r="N774">
            <v>0</v>
          </cell>
          <cell r="O774">
            <v>0</v>
          </cell>
          <cell r="P774">
            <v>0</v>
          </cell>
          <cell r="Q774">
            <v>0</v>
          </cell>
          <cell r="R774">
            <v>0</v>
          </cell>
          <cell r="S774">
            <v>0</v>
          </cell>
          <cell r="T774">
            <v>0</v>
          </cell>
          <cell r="U774">
            <v>0</v>
          </cell>
          <cell r="V774">
            <v>0</v>
          </cell>
          <cell r="W774">
            <v>0</v>
          </cell>
          <cell r="X774">
            <v>124770.32258064501</v>
          </cell>
          <cell r="Y774">
            <v>0</v>
          </cell>
        </row>
        <row r="775">
          <cell r="E775">
            <v>0</v>
          </cell>
          <cell r="F775" t="str">
            <v>sibungsu cell</v>
          </cell>
          <cell r="G775">
            <v>0</v>
          </cell>
          <cell r="H775">
            <v>0</v>
          </cell>
          <cell r="I775">
            <v>0</v>
          </cell>
          <cell r="J775">
            <v>0</v>
          </cell>
          <cell r="K775">
            <v>1</v>
          </cell>
          <cell r="L775">
            <v>1</v>
          </cell>
          <cell r="M775">
            <v>0</v>
          </cell>
          <cell r="N775">
            <v>1</v>
          </cell>
          <cell r="O775">
            <v>1</v>
          </cell>
          <cell r="P775">
            <v>0</v>
          </cell>
          <cell r="Q775">
            <v>1</v>
          </cell>
          <cell r="R775">
            <v>1</v>
          </cell>
          <cell r="S775">
            <v>0</v>
          </cell>
          <cell r="T775">
            <v>0</v>
          </cell>
          <cell r="U775">
            <v>0</v>
          </cell>
          <cell r="V775">
            <v>0</v>
          </cell>
          <cell r="W775">
            <v>0</v>
          </cell>
          <cell r="X775">
            <v>312442.90322580602</v>
          </cell>
          <cell r="Y775">
            <v>0</v>
          </cell>
        </row>
        <row r="776">
          <cell r="E776">
            <v>0</v>
          </cell>
          <cell r="F776" t="str">
            <v>RABBANI PARFUM</v>
          </cell>
          <cell r="G776">
            <v>0</v>
          </cell>
          <cell r="H776">
            <v>0</v>
          </cell>
          <cell r="I776">
            <v>1</v>
          </cell>
          <cell r="J776">
            <v>1</v>
          </cell>
          <cell r="K776">
            <v>0</v>
          </cell>
          <cell r="L776">
            <v>0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  <cell r="Q776">
            <v>0</v>
          </cell>
          <cell r="R776">
            <v>0</v>
          </cell>
          <cell r="S776">
            <v>0</v>
          </cell>
          <cell r="T776">
            <v>0</v>
          </cell>
          <cell r="U776">
            <v>0</v>
          </cell>
          <cell r="V776">
            <v>0</v>
          </cell>
          <cell r="W776">
            <v>0</v>
          </cell>
          <cell r="X776">
            <v>409972.58064516098</v>
          </cell>
          <cell r="Y776">
            <v>67200</v>
          </cell>
        </row>
        <row r="777">
          <cell r="E777">
            <v>0</v>
          </cell>
          <cell r="F777" t="str">
            <v>DEL STORE</v>
          </cell>
          <cell r="G777">
            <v>0</v>
          </cell>
          <cell r="H777">
            <v>0</v>
          </cell>
          <cell r="I777">
            <v>1</v>
          </cell>
          <cell r="J777">
            <v>1</v>
          </cell>
          <cell r="K777">
            <v>0</v>
          </cell>
          <cell r="L777">
            <v>0</v>
          </cell>
          <cell r="M777">
            <v>0</v>
          </cell>
          <cell r="N777">
            <v>0</v>
          </cell>
          <cell r="O777">
            <v>0</v>
          </cell>
          <cell r="P777">
            <v>0</v>
          </cell>
          <cell r="Q777">
            <v>0</v>
          </cell>
          <cell r="R777">
            <v>0</v>
          </cell>
          <cell r="S777">
            <v>0</v>
          </cell>
          <cell r="T777">
            <v>0</v>
          </cell>
          <cell r="U777">
            <v>0</v>
          </cell>
          <cell r="V777">
            <v>0</v>
          </cell>
          <cell r="W777">
            <v>0</v>
          </cell>
          <cell r="X777">
            <v>128081.61290322601</v>
          </cell>
          <cell r="Y777">
            <v>67200</v>
          </cell>
        </row>
        <row r="778">
          <cell r="E778">
            <v>0</v>
          </cell>
          <cell r="F778" t="str">
            <v>Toko lie jaya</v>
          </cell>
          <cell r="G778">
            <v>0</v>
          </cell>
          <cell r="H778">
            <v>0</v>
          </cell>
          <cell r="I778">
            <v>0</v>
          </cell>
          <cell r="J778">
            <v>0</v>
          </cell>
          <cell r="K778">
            <v>0</v>
          </cell>
          <cell r="L778">
            <v>0</v>
          </cell>
          <cell r="M778">
            <v>0</v>
          </cell>
          <cell r="N778">
            <v>0</v>
          </cell>
          <cell r="O778">
            <v>0</v>
          </cell>
          <cell r="P778">
            <v>0</v>
          </cell>
          <cell r="Q778">
            <v>0</v>
          </cell>
          <cell r="R778">
            <v>0</v>
          </cell>
          <cell r="S778">
            <v>0</v>
          </cell>
          <cell r="T778">
            <v>0</v>
          </cell>
          <cell r="U778">
            <v>0</v>
          </cell>
          <cell r="V778">
            <v>0</v>
          </cell>
          <cell r="W778">
            <v>0</v>
          </cell>
          <cell r="X778">
            <v>436885.51654284599</v>
          </cell>
          <cell r="Y778">
            <v>1000000</v>
          </cell>
        </row>
        <row r="779">
          <cell r="E779">
            <v>0</v>
          </cell>
          <cell r="F779" t="str">
            <v>LAN PARFUM</v>
          </cell>
          <cell r="G779">
            <v>0</v>
          </cell>
          <cell r="H779">
            <v>0</v>
          </cell>
          <cell r="I779">
            <v>1</v>
          </cell>
          <cell r="J779">
            <v>1</v>
          </cell>
          <cell r="K779">
            <v>2</v>
          </cell>
          <cell r="L779">
            <v>2</v>
          </cell>
          <cell r="M779">
            <v>0</v>
          </cell>
          <cell r="N779">
            <v>2</v>
          </cell>
          <cell r="O779">
            <v>2</v>
          </cell>
          <cell r="P779">
            <v>0</v>
          </cell>
          <cell r="Q779">
            <v>2</v>
          </cell>
          <cell r="R779">
            <v>2</v>
          </cell>
          <cell r="S779">
            <v>0</v>
          </cell>
          <cell r="T779">
            <v>0</v>
          </cell>
          <cell r="U779">
            <v>0</v>
          </cell>
          <cell r="V779">
            <v>0</v>
          </cell>
          <cell r="W779">
            <v>0</v>
          </cell>
          <cell r="X779">
            <v>539809.51612903201</v>
          </cell>
          <cell r="Y779">
            <v>201600</v>
          </cell>
        </row>
        <row r="780">
          <cell r="E780">
            <v>0</v>
          </cell>
          <cell r="F780" t="str">
            <v>MTECH</v>
          </cell>
          <cell r="G780">
            <v>0</v>
          </cell>
          <cell r="H780">
            <v>0</v>
          </cell>
          <cell r="I780">
            <v>1</v>
          </cell>
          <cell r="J780">
            <v>1</v>
          </cell>
          <cell r="K780">
            <v>0</v>
          </cell>
          <cell r="L780">
            <v>0</v>
          </cell>
          <cell r="M780">
            <v>0</v>
          </cell>
          <cell r="N780">
            <v>0</v>
          </cell>
          <cell r="O780">
            <v>0</v>
          </cell>
          <cell r="P780">
            <v>0</v>
          </cell>
          <cell r="Q780">
            <v>0</v>
          </cell>
          <cell r="R780">
            <v>0</v>
          </cell>
          <cell r="S780">
            <v>0</v>
          </cell>
          <cell r="T780">
            <v>0</v>
          </cell>
          <cell r="U780">
            <v>0</v>
          </cell>
          <cell r="V780">
            <v>0</v>
          </cell>
          <cell r="W780">
            <v>0</v>
          </cell>
          <cell r="X780">
            <v>818527.38935483899</v>
          </cell>
          <cell r="Y780">
            <v>50400</v>
          </cell>
        </row>
        <row r="781">
          <cell r="E781">
            <v>0</v>
          </cell>
          <cell r="F781" t="str">
            <v>DONY</v>
          </cell>
          <cell r="G781">
            <v>0</v>
          </cell>
          <cell r="H781">
            <v>0</v>
          </cell>
          <cell r="I781">
            <v>1</v>
          </cell>
          <cell r="J781">
            <v>1</v>
          </cell>
          <cell r="K781">
            <v>4</v>
          </cell>
          <cell r="L781">
            <v>4</v>
          </cell>
          <cell r="M781">
            <v>0</v>
          </cell>
          <cell r="N781">
            <v>3</v>
          </cell>
          <cell r="O781">
            <v>3</v>
          </cell>
          <cell r="P781">
            <v>0</v>
          </cell>
          <cell r="Q781">
            <v>3</v>
          </cell>
          <cell r="R781">
            <v>3</v>
          </cell>
          <cell r="S781">
            <v>0</v>
          </cell>
          <cell r="T781">
            <v>4</v>
          </cell>
          <cell r="U781">
            <v>1</v>
          </cell>
          <cell r="V781">
            <v>0</v>
          </cell>
          <cell r="W781">
            <v>0</v>
          </cell>
          <cell r="X781">
            <v>531481.49838709703</v>
          </cell>
          <cell r="Y781">
            <v>692700</v>
          </cell>
        </row>
        <row r="782">
          <cell r="E782">
            <v>0</v>
          </cell>
          <cell r="F782" t="str">
            <v>Toko hendy</v>
          </cell>
          <cell r="G782">
            <v>0</v>
          </cell>
          <cell r="H782">
            <v>0</v>
          </cell>
          <cell r="I782">
            <v>0</v>
          </cell>
          <cell r="J782">
            <v>0</v>
          </cell>
          <cell r="K782">
            <v>0</v>
          </cell>
          <cell r="L782">
            <v>0</v>
          </cell>
          <cell r="M782">
            <v>0</v>
          </cell>
          <cell r="N782">
            <v>0</v>
          </cell>
          <cell r="O782">
            <v>0</v>
          </cell>
          <cell r="P782">
            <v>0</v>
          </cell>
          <cell r="Q782">
            <v>0</v>
          </cell>
          <cell r="R782">
            <v>0</v>
          </cell>
          <cell r="S782">
            <v>0</v>
          </cell>
          <cell r="T782">
            <v>0</v>
          </cell>
          <cell r="U782">
            <v>0</v>
          </cell>
          <cell r="V782">
            <v>0</v>
          </cell>
          <cell r="W782">
            <v>0</v>
          </cell>
          <cell r="X782">
            <v>909135.48387096799</v>
          </cell>
          <cell r="Y782">
            <v>0</v>
          </cell>
        </row>
        <row r="783">
          <cell r="E783">
            <v>0</v>
          </cell>
          <cell r="F783" t="str">
            <v>WARUNG KITA</v>
          </cell>
          <cell r="G783">
            <v>0</v>
          </cell>
          <cell r="H783">
            <v>0</v>
          </cell>
          <cell r="I783">
            <v>0</v>
          </cell>
          <cell r="J783">
            <v>0</v>
          </cell>
          <cell r="K783">
            <v>0</v>
          </cell>
          <cell r="L783">
            <v>0</v>
          </cell>
          <cell r="M783">
            <v>0</v>
          </cell>
          <cell r="N783">
            <v>0</v>
          </cell>
          <cell r="O783">
            <v>0</v>
          </cell>
          <cell r="P783">
            <v>0</v>
          </cell>
          <cell r="Q783">
            <v>0</v>
          </cell>
          <cell r="R783">
            <v>0</v>
          </cell>
          <cell r="S783">
            <v>0</v>
          </cell>
          <cell r="T783">
            <v>0</v>
          </cell>
          <cell r="U783">
            <v>0</v>
          </cell>
          <cell r="V783">
            <v>0</v>
          </cell>
          <cell r="W783">
            <v>0</v>
          </cell>
          <cell r="X783">
            <v>100000</v>
          </cell>
          <cell r="Y783">
            <v>0</v>
          </cell>
        </row>
        <row r="784">
          <cell r="E784">
            <v>0</v>
          </cell>
          <cell r="F784" t="str">
            <v>FZN CELL</v>
          </cell>
          <cell r="G784">
            <v>0</v>
          </cell>
          <cell r="H784">
            <v>0</v>
          </cell>
          <cell r="I784">
            <v>0</v>
          </cell>
          <cell r="J784">
            <v>0</v>
          </cell>
          <cell r="K784">
            <v>0</v>
          </cell>
          <cell r="L784">
            <v>0</v>
          </cell>
          <cell r="M784">
            <v>0</v>
          </cell>
          <cell r="N784">
            <v>0</v>
          </cell>
          <cell r="O784">
            <v>0</v>
          </cell>
          <cell r="P784">
            <v>0</v>
          </cell>
          <cell r="Q784">
            <v>0</v>
          </cell>
          <cell r="R784">
            <v>0</v>
          </cell>
          <cell r="S784">
            <v>0</v>
          </cell>
          <cell r="T784">
            <v>0</v>
          </cell>
          <cell r="U784">
            <v>0</v>
          </cell>
          <cell r="V784">
            <v>0</v>
          </cell>
          <cell r="W784">
            <v>0</v>
          </cell>
          <cell r="X784">
            <v>100000</v>
          </cell>
          <cell r="Y784">
            <v>0</v>
          </cell>
        </row>
        <row r="785">
          <cell r="E785">
            <v>0</v>
          </cell>
          <cell r="F785" t="str">
            <v>Toko Daffa</v>
          </cell>
          <cell r="G785">
            <v>0</v>
          </cell>
          <cell r="H785">
            <v>0</v>
          </cell>
          <cell r="I785">
            <v>1</v>
          </cell>
          <cell r="J785">
            <v>1</v>
          </cell>
          <cell r="K785">
            <v>1</v>
          </cell>
          <cell r="L785">
            <v>1</v>
          </cell>
          <cell r="M785">
            <v>0</v>
          </cell>
          <cell r="N785">
            <v>1</v>
          </cell>
          <cell r="O785">
            <v>1</v>
          </cell>
          <cell r="P785">
            <v>0</v>
          </cell>
          <cell r="Q785">
            <v>1</v>
          </cell>
          <cell r="R785">
            <v>1</v>
          </cell>
          <cell r="S785">
            <v>0</v>
          </cell>
          <cell r="T785">
            <v>0</v>
          </cell>
          <cell r="U785">
            <v>0</v>
          </cell>
          <cell r="V785">
            <v>0</v>
          </cell>
          <cell r="W785">
            <v>0</v>
          </cell>
          <cell r="X785">
            <v>362863.70967741898</v>
          </cell>
          <cell r="Y785">
            <v>67200</v>
          </cell>
        </row>
        <row r="786">
          <cell r="E786">
            <v>0</v>
          </cell>
          <cell r="F786" t="str">
            <v>DEPE STORE</v>
          </cell>
          <cell r="G786">
            <v>0</v>
          </cell>
          <cell r="H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0</v>
          </cell>
          <cell r="M786">
            <v>0</v>
          </cell>
          <cell r="N786">
            <v>0</v>
          </cell>
          <cell r="O786">
            <v>0</v>
          </cell>
          <cell r="P786">
            <v>0</v>
          </cell>
          <cell r="Q786">
            <v>0</v>
          </cell>
          <cell r="R786">
            <v>0</v>
          </cell>
          <cell r="S786">
            <v>0</v>
          </cell>
          <cell r="T786">
            <v>0</v>
          </cell>
          <cell r="U786">
            <v>0</v>
          </cell>
          <cell r="V786">
            <v>0</v>
          </cell>
          <cell r="W786">
            <v>0</v>
          </cell>
          <cell r="X786">
            <v>99000</v>
          </cell>
          <cell r="Y786">
            <v>0</v>
          </cell>
        </row>
        <row r="787">
          <cell r="E787">
            <v>0</v>
          </cell>
          <cell r="F787" t="str">
            <v>KIOS333</v>
          </cell>
          <cell r="G787">
            <v>0</v>
          </cell>
          <cell r="H787">
            <v>0</v>
          </cell>
          <cell r="I787">
            <v>0</v>
          </cell>
          <cell r="J787">
            <v>0</v>
          </cell>
          <cell r="K787">
            <v>0</v>
          </cell>
          <cell r="L787">
            <v>0</v>
          </cell>
          <cell r="M787">
            <v>0</v>
          </cell>
          <cell r="N787">
            <v>0</v>
          </cell>
          <cell r="O787">
            <v>0</v>
          </cell>
          <cell r="P787">
            <v>0</v>
          </cell>
          <cell r="Q787">
            <v>0</v>
          </cell>
          <cell r="R787">
            <v>0</v>
          </cell>
          <cell r="S787">
            <v>0</v>
          </cell>
          <cell r="T787">
            <v>0</v>
          </cell>
          <cell r="U787">
            <v>0</v>
          </cell>
          <cell r="V787">
            <v>0</v>
          </cell>
          <cell r="W787">
            <v>0</v>
          </cell>
          <cell r="X787">
            <v>319356.45161290298</v>
          </cell>
          <cell r="Y787">
            <v>0</v>
          </cell>
        </row>
        <row r="788">
          <cell r="E788">
            <v>0</v>
          </cell>
          <cell r="F788" t="str">
            <v>SINAR TERANG</v>
          </cell>
          <cell r="G788">
            <v>0</v>
          </cell>
          <cell r="H788">
            <v>0</v>
          </cell>
          <cell r="I788">
            <v>1</v>
          </cell>
          <cell r="J788">
            <v>1</v>
          </cell>
          <cell r="K788">
            <v>1</v>
          </cell>
          <cell r="L788">
            <v>1</v>
          </cell>
          <cell r="M788">
            <v>0</v>
          </cell>
          <cell r="N788">
            <v>1</v>
          </cell>
          <cell r="O788">
            <v>1</v>
          </cell>
          <cell r="P788">
            <v>0</v>
          </cell>
          <cell r="Q788">
            <v>1</v>
          </cell>
          <cell r="R788">
            <v>1</v>
          </cell>
          <cell r="S788">
            <v>0</v>
          </cell>
          <cell r="T788">
            <v>0</v>
          </cell>
          <cell r="U788">
            <v>0</v>
          </cell>
          <cell r="V788">
            <v>0</v>
          </cell>
          <cell r="W788">
            <v>0</v>
          </cell>
          <cell r="X788">
            <v>98000</v>
          </cell>
          <cell r="Y788">
            <v>134400</v>
          </cell>
        </row>
        <row r="789">
          <cell r="E789">
            <v>0</v>
          </cell>
          <cell r="F789" t="str">
            <v>Agung</v>
          </cell>
          <cell r="G789">
            <v>0</v>
          </cell>
          <cell r="H789">
            <v>0</v>
          </cell>
          <cell r="I789">
            <v>0</v>
          </cell>
          <cell r="J789">
            <v>0</v>
          </cell>
          <cell r="K789">
            <v>0</v>
          </cell>
          <cell r="L789">
            <v>0</v>
          </cell>
          <cell r="M789">
            <v>0</v>
          </cell>
          <cell r="N789">
            <v>0</v>
          </cell>
          <cell r="O789">
            <v>0</v>
          </cell>
          <cell r="P789">
            <v>0</v>
          </cell>
          <cell r="Q789">
            <v>0</v>
          </cell>
          <cell r="R789">
            <v>0</v>
          </cell>
          <cell r="S789">
            <v>0</v>
          </cell>
          <cell r="T789">
            <v>0</v>
          </cell>
          <cell r="U789">
            <v>0</v>
          </cell>
          <cell r="V789">
            <v>0</v>
          </cell>
          <cell r="W789">
            <v>0</v>
          </cell>
          <cell r="X789">
            <v>98000</v>
          </cell>
          <cell r="Y789">
            <v>0</v>
          </cell>
        </row>
        <row r="790">
          <cell r="E790">
            <v>0</v>
          </cell>
          <cell r="F790" t="str">
            <v>GERAI PULSA</v>
          </cell>
          <cell r="G790">
            <v>0</v>
          </cell>
          <cell r="H790">
            <v>0</v>
          </cell>
          <cell r="I790">
            <v>0</v>
          </cell>
          <cell r="J790">
            <v>0</v>
          </cell>
          <cell r="K790">
            <v>0</v>
          </cell>
          <cell r="L790">
            <v>0</v>
          </cell>
          <cell r="M790">
            <v>0</v>
          </cell>
          <cell r="N790">
            <v>0</v>
          </cell>
          <cell r="O790">
            <v>0</v>
          </cell>
          <cell r="P790">
            <v>0</v>
          </cell>
          <cell r="Q790">
            <v>0</v>
          </cell>
          <cell r="R790">
            <v>0</v>
          </cell>
          <cell r="S790">
            <v>0</v>
          </cell>
          <cell r="T790">
            <v>0</v>
          </cell>
          <cell r="U790">
            <v>0</v>
          </cell>
          <cell r="V790">
            <v>0</v>
          </cell>
          <cell r="W790">
            <v>0</v>
          </cell>
          <cell r="X790">
            <v>0</v>
          </cell>
          <cell r="Y790">
            <v>0</v>
          </cell>
        </row>
        <row r="791">
          <cell r="E791">
            <v>0</v>
          </cell>
          <cell r="F791" t="str">
            <v>TOKO ALONG</v>
          </cell>
          <cell r="G791">
            <v>0</v>
          </cell>
          <cell r="H791">
            <v>0</v>
          </cell>
          <cell r="I791">
            <v>0</v>
          </cell>
          <cell r="J791">
            <v>0</v>
          </cell>
          <cell r="K791">
            <v>0</v>
          </cell>
          <cell r="L791">
            <v>0</v>
          </cell>
          <cell r="M791">
            <v>0</v>
          </cell>
          <cell r="N791">
            <v>0</v>
          </cell>
          <cell r="O791">
            <v>0</v>
          </cell>
          <cell r="P791">
            <v>0</v>
          </cell>
          <cell r="Q791">
            <v>0</v>
          </cell>
          <cell r="R791">
            <v>0</v>
          </cell>
          <cell r="S791">
            <v>0</v>
          </cell>
          <cell r="T791">
            <v>0</v>
          </cell>
          <cell r="U791">
            <v>0</v>
          </cell>
          <cell r="V791">
            <v>0</v>
          </cell>
          <cell r="W791">
            <v>0</v>
          </cell>
          <cell r="X791">
            <v>170329.03225806501</v>
          </cell>
          <cell r="Y791">
            <v>0</v>
          </cell>
        </row>
        <row r="792">
          <cell r="E792">
            <v>0</v>
          </cell>
          <cell r="F792" t="str">
            <v>Warung uning</v>
          </cell>
          <cell r="G792">
            <v>0</v>
          </cell>
          <cell r="H792">
            <v>0</v>
          </cell>
          <cell r="I792">
            <v>0</v>
          </cell>
          <cell r="J792">
            <v>0</v>
          </cell>
          <cell r="K792">
            <v>0</v>
          </cell>
          <cell r="L792">
            <v>0</v>
          </cell>
          <cell r="M792">
            <v>0</v>
          </cell>
          <cell r="N792">
            <v>0</v>
          </cell>
          <cell r="O792">
            <v>0</v>
          </cell>
          <cell r="P792">
            <v>0</v>
          </cell>
          <cell r="Q792">
            <v>0</v>
          </cell>
          <cell r="R792">
            <v>0</v>
          </cell>
          <cell r="S792">
            <v>0</v>
          </cell>
          <cell r="T792">
            <v>0</v>
          </cell>
          <cell r="U792">
            <v>0</v>
          </cell>
          <cell r="V792">
            <v>0</v>
          </cell>
          <cell r="W792">
            <v>0</v>
          </cell>
          <cell r="X792">
            <v>152519.35483870999</v>
          </cell>
          <cell r="Y792">
            <v>0</v>
          </cell>
        </row>
        <row r="793">
          <cell r="E793">
            <v>0</v>
          </cell>
          <cell r="F793" t="str">
            <v>Akong ponsel</v>
          </cell>
          <cell r="G793">
            <v>0</v>
          </cell>
          <cell r="H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0</v>
          </cell>
          <cell r="M793">
            <v>0</v>
          </cell>
          <cell r="N793">
            <v>0</v>
          </cell>
          <cell r="O793">
            <v>0</v>
          </cell>
          <cell r="P793">
            <v>0</v>
          </cell>
          <cell r="Q793">
            <v>0</v>
          </cell>
          <cell r="R793">
            <v>0</v>
          </cell>
          <cell r="S793">
            <v>0</v>
          </cell>
          <cell r="T793">
            <v>0</v>
          </cell>
          <cell r="U793">
            <v>0</v>
          </cell>
          <cell r="V793">
            <v>0</v>
          </cell>
          <cell r="W793">
            <v>0</v>
          </cell>
          <cell r="X793">
            <v>0</v>
          </cell>
          <cell r="Y793">
            <v>0</v>
          </cell>
        </row>
        <row r="794">
          <cell r="E794">
            <v>0</v>
          </cell>
          <cell r="F794" t="str">
            <v>Mini</v>
          </cell>
          <cell r="G794">
            <v>0</v>
          </cell>
          <cell r="H794">
            <v>0</v>
          </cell>
          <cell r="I794">
            <v>1</v>
          </cell>
          <cell r="J794">
            <v>1</v>
          </cell>
          <cell r="K794">
            <v>0</v>
          </cell>
          <cell r="L794">
            <v>0</v>
          </cell>
          <cell r="M794">
            <v>0</v>
          </cell>
          <cell r="N794">
            <v>0</v>
          </cell>
          <cell r="O794">
            <v>0</v>
          </cell>
          <cell r="P794">
            <v>0</v>
          </cell>
          <cell r="Q794">
            <v>0</v>
          </cell>
          <cell r="R794">
            <v>0</v>
          </cell>
          <cell r="S794">
            <v>0</v>
          </cell>
          <cell r="T794">
            <v>0</v>
          </cell>
          <cell r="U794">
            <v>0</v>
          </cell>
          <cell r="V794">
            <v>0</v>
          </cell>
          <cell r="W794">
            <v>0</v>
          </cell>
          <cell r="X794">
            <v>123205.24193548399</v>
          </cell>
          <cell r="Y794">
            <v>350400</v>
          </cell>
        </row>
        <row r="795">
          <cell r="E795">
            <v>0</v>
          </cell>
          <cell r="F795" t="str">
            <v>Minita</v>
          </cell>
          <cell r="G795">
            <v>0</v>
          </cell>
          <cell r="H795">
            <v>0</v>
          </cell>
          <cell r="I795">
            <v>0</v>
          </cell>
          <cell r="J795">
            <v>0</v>
          </cell>
          <cell r="K795">
            <v>0</v>
          </cell>
          <cell r="L795">
            <v>0</v>
          </cell>
          <cell r="M795">
            <v>0</v>
          </cell>
          <cell r="N795">
            <v>0</v>
          </cell>
          <cell r="O795">
            <v>0</v>
          </cell>
          <cell r="P795">
            <v>0</v>
          </cell>
          <cell r="Q795">
            <v>0</v>
          </cell>
          <cell r="R795">
            <v>0</v>
          </cell>
          <cell r="S795">
            <v>0</v>
          </cell>
          <cell r="T795">
            <v>0</v>
          </cell>
          <cell r="U795">
            <v>0</v>
          </cell>
          <cell r="V795">
            <v>0</v>
          </cell>
          <cell r="W795">
            <v>0</v>
          </cell>
          <cell r="X795">
            <v>0</v>
          </cell>
          <cell r="Y795">
            <v>0</v>
          </cell>
        </row>
        <row r="796">
          <cell r="E796">
            <v>0</v>
          </cell>
          <cell r="F796" t="str">
            <v>Kenzie</v>
          </cell>
          <cell r="G796">
            <v>0</v>
          </cell>
          <cell r="H796">
            <v>0</v>
          </cell>
          <cell r="I796">
            <v>0</v>
          </cell>
          <cell r="J796">
            <v>0</v>
          </cell>
          <cell r="K796">
            <v>0</v>
          </cell>
          <cell r="L796">
            <v>0</v>
          </cell>
          <cell r="M796">
            <v>0</v>
          </cell>
          <cell r="N796">
            <v>0</v>
          </cell>
          <cell r="O796">
            <v>0</v>
          </cell>
          <cell r="P796">
            <v>0</v>
          </cell>
          <cell r="Q796">
            <v>0</v>
          </cell>
          <cell r="R796">
            <v>0</v>
          </cell>
          <cell r="S796">
            <v>0</v>
          </cell>
          <cell r="T796">
            <v>0</v>
          </cell>
          <cell r="U796">
            <v>0</v>
          </cell>
          <cell r="V796">
            <v>0</v>
          </cell>
          <cell r="W796">
            <v>0</v>
          </cell>
          <cell r="X796">
            <v>98000</v>
          </cell>
          <cell r="Y796">
            <v>0</v>
          </cell>
        </row>
        <row r="797">
          <cell r="E797">
            <v>0</v>
          </cell>
          <cell r="F797" t="str">
            <v>Toko elang</v>
          </cell>
          <cell r="G797">
            <v>0</v>
          </cell>
          <cell r="H797">
            <v>0</v>
          </cell>
          <cell r="I797">
            <v>0</v>
          </cell>
          <cell r="J797">
            <v>0</v>
          </cell>
          <cell r="K797">
            <v>0</v>
          </cell>
          <cell r="L797">
            <v>0</v>
          </cell>
          <cell r="M797">
            <v>0</v>
          </cell>
          <cell r="N797">
            <v>0</v>
          </cell>
          <cell r="O797">
            <v>0</v>
          </cell>
          <cell r="P797">
            <v>0</v>
          </cell>
          <cell r="Q797">
            <v>0</v>
          </cell>
          <cell r="R797">
            <v>0</v>
          </cell>
          <cell r="S797">
            <v>0</v>
          </cell>
          <cell r="T797">
            <v>0</v>
          </cell>
          <cell r="U797">
            <v>0</v>
          </cell>
          <cell r="V797">
            <v>0</v>
          </cell>
          <cell r="W797">
            <v>0</v>
          </cell>
          <cell r="X797">
            <v>98000</v>
          </cell>
          <cell r="Y797">
            <v>0</v>
          </cell>
        </row>
        <row r="798">
          <cell r="E798">
            <v>0</v>
          </cell>
          <cell r="F798" t="str">
            <v>C B</v>
          </cell>
          <cell r="G798">
            <v>0</v>
          </cell>
          <cell r="H798">
            <v>0</v>
          </cell>
          <cell r="I798">
            <v>0</v>
          </cell>
          <cell r="J798">
            <v>0</v>
          </cell>
          <cell r="K798">
            <v>0</v>
          </cell>
          <cell r="L798">
            <v>0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S798">
            <v>0</v>
          </cell>
          <cell r="T798">
            <v>0</v>
          </cell>
          <cell r="U798">
            <v>0</v>
          </cell>
          <cell r="V798">
            <v>0</v>
          </cell>
          <cell r="W798">
            <v>0</v>
          </cell>
          <cell r="X798">
            <v>98000</v>
          </cell>
          <cell r="Y798">
            <v>0</v>
          </cell>
        </row>
        <row r="799">
          <cell r="E799">
            <v>0</v>
          </cell>
          <cell r="F799" t="str">
            <v>Toni ania</v>
          </cell>
          <cell r="G799">
            <v>0</v>
          </cell>
          <cell r="H799">
            <v>0</v>
          </cell>
          <cell r="I799">
            <v>0</v>
          </cell>
          <cell r="J799">
            <v>0</v>
          </cell>
          <cell r="K799">
            <v>1</v>
          </cell>
          <cell r="L799">
            <v>1</v>
          </cell>
          <cell r="M799">
            <v>0</v>
          </cell>
          <cell r="N799">
            <v>1</v>
          </cell>
          <cell r="O799">
            <v>1</v>
          </cell>
          <cell r="P799">
            <v>0</v>
          </cell>
          <cell r="Q799">
            <v>1</v>
          </cell>
          <cell r="R799">
            <v>1</v>
          </cell>
          <cell r="S799">
            <v>0</v>
          </cell>
          <cell r="T799">
            <v>0</v>
          </cell>
          <cell r="U799">
            <v>0</v>
          </cell>
          <cell r="V799">
            <v>0</v>
          </cell>
          <cell r="W799">
            <v>0</v>
          </cell>
          <cell r="X799">
            <v>48000</v>
          </cell>
          <cell r="Y799">
            <v>0</v>
          </cell>
        </row>
        <row r="800">
          <cell r="E800">
            <v>0</v>
          </cell>
          <cell r="F800" t="str">
            <v>Toko satriani</v>
          </cell>
          <cell r="G800">
            <v>0</v>
          </cell>
          <cell r="H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0</v>
          </cell>
          <cell r="M800">
            <v>0</v>
          </cell>
          <cell r="N800">
            <v>0</v>
          </cell>
          <cell r="O800">
            <v>0</v>
          </cell>
          <cell r="P800">
            <v>0</v>
          </cell>
          <cell r="Q800">
            <v>0</v>
          </cell>
          <cell r="R800">
            <v>0</v>
          </cell>
          <cell r="S800">
            <v>0</v>
          </cell>
          <cell r="T800">
            <v>0</v>
          </cell>
          <cell r="U800">
            <v>0</v>
          </cell>
          <cell r="V800">
            <v>0</v>
          </cell>
          <cell r="W800">
            <v>0</v>
          </cell>
          <cell r="X800">
            <v>98000</v>
          </cell>
          <cell r="Y800">
            <v>0</v>
          </cell>
        </row>
        <row r="801">
          <cell r="E801">
            <v>0</v>
          </cell>
          <cell r="F801" t="str">
            <v>TOKO RIYAN</v>
          </cell>
          <cell r="G801">
            <v>0</v>
          </cell>
          <cell r="H801">
            <v>0</v>
          </cell>
          <cell r="I801">
            <v>1</v>
          </cell>
          <cell r="J801">
            <v>1</v>
          </cell>
          <cell r="K801">
            <v>3</v>
          </cell>
          <cell r="L801">
            <v>3</v>
          </cell>
          <cell r="M801">
            <v>0</v>
          </cell>
          <cell r="N801">
            <v>3</v>
          </cell>
          <cell r="O801">
            <v>3</v>
          </cell>
          <cell r="P801">
            <v>0</v>
          </cell>
          <cell r="Q801">
            <v>3</v>
          </cell>
          <cell r="R801">
            <v>3</v>
          </cell>
          <cell r="S801">
            <v>0</v>
          </cell>
          <cell r="T801">
            <v>0</v>
          </cell>
          <cell r="U801">
            <v>0</v>
          </cell>
          <cell r="V801">
            <v>0</v>
          </cell>
          <cell r="W801">
            <v>0</v>
          </cell>
          <cell r="X801">
            <v>91000</v>
          </cell>
          <cell r="Y801">
            <v>50400</v>
          </cell>
        </row>
        <row r="802">
          <cell r="E802">
            <v>0</v>
          </cell>
          <cell r="F802" t="str">
            <v>ANISA</v>
          </cell>
          <cell r="G802">
            <v>0</v>
          </cell>
          <cell r="H802">
            <v>0</v>
          </cell>
          <cell r="I802">
            <v>0</v>
          </cell>
          <cell r="J802">
            <v>0</v>
          </cell>
          <cell r="K802">
            <v>0</v>
          </cell>
          <cell r="L802">
            <v>0</v>
          </cell>
          <cell r="M802">
            <v>0</v>
          </cell>
          <cell r="N802">
            <v>0</v>
          </cell>
          <cell r="O802">
            <v>0</v>
          </cell>
          <cell r="P802">
            <v>0</v>
          </cell>
          <cell r="Q802">
            <v>0</v>
          </cell>
          <cell r="R802">
            <v>0</v>
          </cell>
          <cell r="S802">
            <v>0</v>
          </cell>
          <cell r="T802">
            <v>0</v>
          </cell>
          <cell r="U802">
            <v>0</v>
          </cell>
          <cell r="V802">
            <v>0</v>
          </cell>
          <cell r="W802">
            <v>0</v>
          </cell>
          <cell r="X802">
            <v>91500</v>
          </cell>
          <cell r="Y802">
            <v>0</v>
          </cell>
        </row>
        <row r="803">
          <cell r="E803">
            <v>0</v>
          </cell>
          <cell r="F803" t="str">
            <v>victory cell</v>
          </cell>
          <cell r="G803">
            <v>0</v>
          </cell>
          <cell r="H803">
            <v>0</v>
          </cell>
          <cell r="I803">
            <v>1</v>
          </cell>
          <cell r="J803">
            <v>1</v>
          </cell>
          <cell r="K803">
            <v>17</v>
          </cell>
          <cell r="L803">
            <v>17</v>
          </cell>
          <cell r="M803">
            <v>0</v>
          </cell>
          <cell r="N803">
            <v>9</v>
          </cell>
          <cell r="O803">
            <v>9</v>
          </cell>
          <cell r="P803">
            <v>0</v>
          </cell>
          <cell r="Q803">
            <v>11</v>
          </cell>
          <cell r="R803">
            <v>11</v>
          </cell>
          <cell r="S803">
            <v>0</v>
          </cell>
          <cell r="T803">
            <v>1</v>
          </cell>
          <cell r="U803">
            <v>1</v>
          </cell>
          <cell r="V803">
            <v>0</v>
          </cell>
          <cell r="W803">
            <v>0</v>
          </cell>
          <cell r="X803">
            <v>188847.5</v>
          </cell>
          <cell r="Y803">
            <v>218400</v>
          </cell>
        </row>
        <row r="804">
          <cell r="E804">
            <v>0</v>
          </cell>
          <cell r="F804" t="str">
            <v>FEDRI PONSEL</v>
          </cell>
          <cell r="G804">
            <v>0</v>
          </cell>
          <cell r="H804">
            <v>0</v>
          </cell>
          <cell r="I804">
            <v>1</v>
          </cell>
          <cell r="J804">
            <v>1</v>
          </cell>
          <cell r="K804">
            <v>1</v>
          </cell>
          <cell r="L804">
            <v>1</v>
          </cell>
          <cell r="M804">
            <v>0</v>
          </cell>
          <cell r="N804">
            <v>1</v>
          </cell>
          <cell r="O804">
            <v>1</v>
          </cell>
          <cell r="P804">
            <v>0</v>
          </cell>
          <cell r="Q804">
            <v>1</v>
          </cell>
          <cell r="R804">
            <v>1</v>
          </cell>
          <cell r="S804">
            <v>0</v>
          </cell>
          <cell r="T804">
            <v>0</v>
          </cell>
          <cell r="U804">
            <v>0</v>
          </cell>
          <cell r="V804">
            <v>0</v>
          </cell>
          <cell r="W804">
            <v>0</v>
          </cell>
          <cell r="X804">
            <v>1063949.2419354841</v>
          </cell>
          <cell r="Y804">
            <v>157500</v>
          </cell>
        </row>
        <row r="805">
          <cell r="E805">
            <v>0</v>
          </cell>
          <cell r="F805" t="str">
            <v>GLOBAL P2</v>
          </cell>
          <cell r="G805">
            <v>0</v>
          </cell>
          <cell r="H805">
            <v>0</v>
          </cell>
          <cell r="I805">
            <v>1</v>
          </cell>
          <cell r="J805">
            <v>1</v>
          </cell>
          <cell r="K805">
            <v>0</v>
          </cell>
          <cell r="L805">
            <v>0</v>
          </cell>
          <cell r="M805">
            <v>0</v>
          </cell>
          <cell r="N805">
            <v>0</v>
          </cell>
          <cell r="O805">
            <v>0</v>
          </cell>
          <cell r="P805">
            <v>0</v>
          </cell>
          <cell r="Q805">
            <v>0</v>
          </cell>
          <cell r="R805">
            <v>0</v>
          </cell>
          <cell r="S805">
            <v>0</v>
          </cell>
          <cell r="T805">
            <v>0</v>
          </cell>
          <cell r="U805">
            <v>0</v>
          </cell>
          <cell r="V805">
            <v>0</v>
          </cell>
          <cell r="W805">
            <v>0</v>
          </cell>
          <cell r="X805">
            <v>432187.23232660699</v>
          </cell>
          <cell r="Y805">
            <v>394000</v>
          </cell>
        </row>
        <row r="806">
          <cell r="E806">
            <v>0</v>
          </cell>
          <cell r="F806" t="str">
            <v>Sammobile</v>
          </cell>
          <cell r="G806">
            <v>0</v>
          </cell>
          <cell r="H806">
            <v>0</v>
          </cell>
          <cell r="I806">
            <v>1</v>
          </cell>
          <cell r="J806">
            <v>1</v>
          </cell>
          <cell r="K806">
            <v>0</v>
          </cell>
          <cell r="L806">
            <v>0</v>
          </cell>
          <cell r="M806">
            <v>0</v>
          </cell>
          <cell r="N806">
            <v>0</v>
          </cell>
          <cell r="O806">
            <v>0</v>
          </cell>
          <cell r="P806">
            <v>0</v>
          </cell>
          <cell r="Q806">
            <v>0</v>
          </cell>
          <cell r="R806">
            <v>0</v>
          </cell>
          <cell r="S806">
            <v>0</v>
          </cell>
          <cell r="T806">
            <v>0</v>
          </cell>
          <cell r="U806">
            <v>0</v>
          </cell>
          <cell r="V806">
            <v>0</v>
          </cell>
          <cell r="W806">
            <v>0</v>
          </cell>
          <cell r="X806">
            <v>118513.33941594</v>
          </cell>
          <cell r="Y806">
            <v>144000</v>
          </cell>
        </row>
        <row r="807">
          <cell r="E807">
            <v>0</v>
          </cell>
          <cell r="F807" t="str">
            <v>King ponsel</v>
          </cell>
          <cell r="G807">
            <v>0</v>
          </cell>
          <cell r="H807">
            <v>0</v>
          </cell>
          <cell r="I807">
            <v>1</v>
          </cell>
          <cell r="J807">
            <v>1</v>
          </cell>
          <cell r="K807">
            <v>0</v>
          </cell>
          <cell r="L807">
            <v>0</v>
          </cell>
          <cell r="M807">
            <v>0</v>
          </cell>
          <cell r="N807">
            <v>0</v>
          </cell>
          <cell r="O807">
            <v>0</v>
          </cell>
          <cell r="P807">
            <v>0</v>
          </cell>
          <cell r="Q807">
            <v>0</v>
          </cell>
          <cell r="R807">
            <v>0</v>
          </cell>
          <cell r="S807">
            <v>0</v>
          </cell>
          <cell r="T807">
            <v>0</v>
          </cell>
          <cell r="U807">
            <v>0</v>
          </cell>
          <cell r="V807">
            <v>0</v>
          </cell>
          <cell r="W807">
            <v>0</v>
          </cell>
          <cell r="X807">
            <v>255767.41451612901</v>
          </cell>
          <cell r="Y807">
            <v>254000</v>
          </cell>
        </row>
        <row r="808">
          <cell r="E808">
            <v>0</v>
          </cell>
          <cell r="F808" t="str">
            <v>Dinna ponsel</v>
          </cell>
          <cell r="G808">
            <v>0</v>
          </cell>
          <cell r="H808">
            <v>0</v>
          </cell>
          <cell r="I808">
            <v>0</v>
          </cell>
          <cell r="J808">
            <v>0</v>
          </cell>
          <cell r="K808">
            <v>0</v>
          </cell>
          <cell r="L808">
            <v>0</v>
          </cell>
          <cell r="M808">
            <v>0</v>
          </cell>
          <cell r="N808">
            <v>0</v>
          </cell>
          <cell r="O808">
            <v>0</v>
          </cell>
          <cell r="P808">
            <v>0</v>
          </cell>
          <cell r="Q808">
            <v>0</v>
          </cell>
          <cell r="R808">
            <v>0</v>
          </cell>
          <cell r="S808">
            <v>0</v>
          </cell>
          <cell r="T808">
            <v>0</v>
          </cell>
          <cell r="U808">
            <v>0</v>
          </cell>
          <cell r="V808">
            <v>0</v>
          </cell>
          <cell r="W808">
            <v>0</v>
          </cell>
          <cell r="X808">
            <v>173678.08064516101</v>
          </cell>
          <cell r="Y808">
            <v>0</v>
          </cell>
        </row>
        <row r="809">
          <cell r="E809">
            <v>0</v>
          </cell>
          <cell r="F809" t="str">
            <v>SMILE  PONSEL</v>
          </cell>
          <cell r="G809">
            <v>0</v>
          </cell>
          <cell r="H809">
            <v>0</v>
          </cell>
          <cell r="I809">
            <v>1</v>
          </cell>
          <cell r="J809">
            <v>1</v>
          </cell>
          <cell r="K809">
            <v>0</v>
          </cell>
          <cell r="L809">
            <v>0</v>
          </cell>
          <cell r="M809">
            <v>0</v>
          </cell>
          <cell r="N809">
            <v>0</v>
          </cell>
          <cell r="O809">
            <v>0</v>
          </cell>
          <cell r="P809">
            <v>0</v>
          </cell>
          <cell r="Q809">
            <v>0</v>
          </cell>
          <cell r="R809">
            <v>0</v>
          </cell>
          <cell r="S809">
            <v>0</v>
          </cell>
          <cell r="T809">
            <v>0</v>
          </cell>
          <cell r="U809">
            <v>0</v>
          </cell>
          <cell r="V809">
            <v>0</v>
          </cell>
          <cell r="W809">
            <v>0</v>
          </cell>
          <cell r="X809">
            <v>109988.209677419</v>
          </cell>
          <cell r="Y809">
            <v>162500</v>
          </cell>
        </row>
        <row r="810">
          <cell r="E810">
            <v>0</v>
          </cell>
          <cell r="F810" t="str">
            <v>maju ponsel</v>
          </cell>
          <cell r="G810">
            <v>0</v>
          </cell>
          <cell r="H810">
            <v>0</v>
          </cell>
          <cell r="I810">
            <v>1</v>
          </cell>
          <cell r="J810">
            <v>1</v>
          </cell>
          <cell r="K810">
            <v>3</v>
          </cell>
          <cell r="L810">
            <v>3</v>
          </cell>
          <cell r="M810">
            <v>0</v>
          </cell>
          <cell r="N810">
            <v>0</v>
          </cell>
          <cell r="O810">
            <v>0</v>
          </cell>
          <cell r="P810">
            <v>0</v>
          </cell>
          <cell r="Q810">
            <v>1</v>
          </cell>
          <cell r="R810">
            <v>1</v>
          </cell>
          <cell r="S810">
            <v>0</v>
          </cell>
          <cell r="T810">
            <v>3</v>
          </cell>
          <cell r="U810">
            <v>1</v>
          </cell>
          <cell r="V810">
            <v>0</v>
          </cell>
          <cell r="W810">
            <v>0</v>
          </cell>
          <cell r="X810">
            <v>484827.29761066299</v>
          </cell>
          <cell r="Y810">
            <v>1054000</v>
          </cell>
        </row>
        <row r="811">
          <cell r="E811">
            <v>0</v>
          </cell>
          <cell r="F811" t="str">
            <v>Beat</v>
          </cell>
          <cell r="G811">
            <v>0</v>
          </cell>
          <cell r="H811">
            <v>0</v>
          </cell>
          <cell r="I811">
            <v>1</v>
          </cell>
          <cell r="J811">
            <v>1</v>
          </cell>
          <cell r="K811">
            <v>0</v>
          </cell>
          <cell r="L811">
            <v>0</v>
          </cell>
          <cell r="M811">
            <v>0</v>
          </cell>
          <cell r="N811">
            <v>0</v>
          </cell>
          <cell r="O811">
            <v>0</v>
          </cell>
          <cell r="P811">
            <v>0</v>
          </cell>
          <cell r="Q811">
            <v>0</v>
          </cell>
          <cell r="R811">
            <v>0</v>
          </cell>
          <cell r="S811">
            <v>0</v>
          </cell>
          <cell r="T811">
            <v>0</v>
          </cell>
          <cell r="U811">
            <v>0</v>
          </cell>
          <cell r="V811">
            <v>0</v>
          </cell>
          <cell r="W811">
            <v>0</v>
          </cell>
          <cell r="X811">
            <v>477733.89615493797</v>
          </cell>
          <cell r="Y811">
            <v>372000</v>
          </cell>
        </row>
        <row r="812">
          <cell r="E812">
            <v>0</v>
          </cell>
          <cell r="F812" t="str">
            <v>AIOROS</v>
          </cell>
          <cell r="G812">
            <v>0</v>
          </cell>
          <cell r="H812">
            <v>0</v>
          </cell>
          <cell r="I812">
            <v>0</v>
          </cell>
          <cell r="J812">
            <v>0</v>
          </cell>
          <cell r="K812">
            <v>2</v>
          </cell>
          <cell r="L812">
            <v>2</v>
          </cell>
          <cell r="M812">
            <v>0</v>
          </cell>
          <cell r="N812">
            <v>1</v>
          </cell>
          <cell r="O812">
            <v>1</v>
          </cell>
          <cell r="P812">
            <v>0</v>
          </cell>
          <cell r="Q812">
            <v>1</v>
          </cell>
          <cell r="R812">
            <v>1</v>
          </cell>
          <cell r="S812">
            <v>0</v>
          </cell>
          <cell r="T812">
            <v>0</v>
          </cell>
          <cell r="U812">
            <v>0</v>
          </cell>
          <cell r="V812">
            <v>0</v>
          </cell>
          <cell r="W812">
            <v>0</v>
          </cell>
          <cell r="X812">
            <v>684379.45161290304</v>
          </cell>
          <cell r="Y812">
            <v>100000</v>
          </cell>
        </row>
        <row r="813">
          <cell r="E813">
            <v>0</v>
          </cell>
          <cell r="F813" t="str">
            <v>lan ponsel</v>
          </cell>
          <cell r="G813">
            <v>0</v>
          </cell>
          <cell r="H813">
            <v>0</v>
          </cell>
          <cell r="I813">
            <v>1</v>
          </cell>
          <cell r="J813">
            <v>1</v>
          </cell>
          <cell r="K813">
            <v>5</v>
          </cell>
          <cell r="L813">
            <v>5</v>
          </cell>
          <cell r="M813">
            <v>0</v>
          </cell>
          <cell r="N813">
            <v>4</v>
          </cell>
          <cell r="O813">
            <v>4</v>
          </cell>
          <cell r="P813">
            <v>0</v>
          </cell>
          <cell r="Q813">
            <v>4</v>
          </cell>
          <cell r="R813">
            <v>4</v>
          </cell>
          <cell r="S813">
            <v>0</v>
          </cell>
          <cell r="T813">
            <v>28</v>
          </cell>
          <cell r="U813">
            <v>0</v>
          </cell>
          <cell r="V813">
            <v>0</v>
          </cell>
          <cell r="W813">
            <v>0</v>
          </cell>
          <cell r="X813">
            <v>144271.25806451601</v>
          </cell>
          <cell r="Y813">
            <v>90000</v>
          </cell>
        </row>
        <row r="814">
          <cell r="E814">
            <v>0</v>
          </cell>
          <cell r="F814" t="str">
            <v>Berkah Sempalai</v>
          </cell>
          <cell r="G814">
            <v>0</v>
          </cell>
          <cell r="H814">
            <v>0</v>
          </cell>
          <cell r="I814">
            <v>1</v>
          </cell>
          <cell r="J814">
            <v>1</v>
          </cell>
          <cell r="K814">
            <v>0</v>
          </cell>
          <cell r="L814">
            <v>0</v>
          </cell>
          <cell r="M814">
            <v>0</v>
          </cell>
          <cell r="N814">
            <v>0</v>
          </cell>
          <cell r="O814">
            <v>0</v>
          </cell>
          <cell r="P814">
            <v>0</v>
          </cell>
          <cell r="Q814">
            <v>0</v>
          </cell>
          <cell r="R814">
            <v>0</v>
          </cell>
          <cell r="S814">
            <v>0</v>
          </cell>
          <cell r="T814">
            <v>0</v>
          </cell>
          <cell r="U814">
            <v>0</v>
          </cell>
          <cell r="V814">
            <v>0</v>
          </cell>
          <cell r="W814">
            <v>0</v>
          </cell>
          <cell r="X814">
            <v>90173.193033867006</v>
          </cell>
          <cell r="Y814">
            <v>144000</v>
          </cell>
        </row>
        <row r="815">
          <cell r="E815">
            <v>0</v>
          </cell>
          <cell r="F815" t="str">
            <v>BUDI CELL</v>
          </cell>
          <cell r="G815">
            <v>0</v>
          </cell>
          <cell r="H815">
            <v>0</v>
          </cell>
          <cell r="I815">
            <v>0</v>
          </cell>
          <cell r="J815">
            <v>0</v>
          </cell>
          <cell r="K815">
            <v>0</v>
          </cell>
          <cell r="L815">
            <v>0</v>
          </cell>
          <cell r="M815">
            <v>0</v>
          </cell>
          <cell r="N815">
            <v>0</v>
          </cell>
          <cell r="O815">
            <v>0</v>
          </cell>
          <cell r="P815">
            <v>0</v>
          </cell>
          <cell r="Q815">
            <v>0</v>
          </cell>
          <cell r="R815">
            <v>0</v>
          </cell>
          <cell r="S815">
            <v>0</v>
          </cell>
          <cell r="T815">
            <v>0</v>
          </cell>
          <cell r="U815">
            <v>0</v>
          </cell>
          <cell r="V815">
            <v>0</v>
          </cell>
          <cell r="W815">
            <v>0</v>
          </cell>
          <cell r="X815">
            <v>0</v>
          </cell>
          <cell r="Y815">
            <v>0</v>
          </cell>
        </row>
        <row r="816">
          <cell r="E816">
            <v>0</v>
          </cell>
          <cell r="F816" t="str">
            <v>Simpang jawai</v>
          </cell>
          <cell r="G816">
            <v>0</v>
          </cell>
          <cell r="H816">
            <v>0</v>
          </cell>
          <cell r="I816">
            <v>1</v>
          </cell>
          <cell r="J816">
            <v>1</v>
          </cell>
          <cell r="K816">
            <v>0</v>
          </cell>
          <cell r="L816">
            <v>0</v>
          </cell>
          <cell r="M816">
            <v>0</v>
          </cell>
          <cell r="N816">
            <v>0</v>
          </cell>
          <cell r="O816">
            <v>0</v>
          </cell>
          <cell r="P816">
            <v>0</v>
          </cell>
          <cell r="Q816">
            <v>0</v>
          </cell>
          <cell r="R816">
            <v>0</v>
          </cell>
          <cell r="S816">
            <v>0</v>
          </cell>
          <cell r="T816">
            <v>0</v>
          </cell>
          <cell r="U816">
            <v>0</v>
          </cell>
          <cell r="V816">
            <v>0</v>
          </cell>
          <cell r="W816">
            <v>0</v>
          </cell>
          <cell r="X816">
            <v>178030.995806452</v>
          </cell>
          <cell r="Y816">
            <v>372500</v>
          </cell>
        </row>
        <row r="817">
          <cell r="E817">
            <v>0</v>
          </cell>
          <cell r="F817" t="str">
            <v>King Celluler</v>
          </cell>
          <cell r="G817">
            <v>0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0</v>
          </cell>
          <cell r="M817">
            <v>0</v>
          </cell>
          <cell r="N817">
            <v>0</v>
          </cell>
          <cell r="O817">
            <v>0</v>
          </cell>
          <cell r="P817">
            <v>0</v>
          </cell>
          <cell r="Q817">
            <v>0</v>
          </cell>
          <cell r="R817">
            <v>0</v>
          </cell>
          <cell r="S817">
            <v>0</v>
          </cell>
          <cell r="T817">
            <v>0</v>
          </cell>
          <cell r="U817">
            <v>0</v>
          </cell>
          <cell r="V817">
            <v>0</v>
          </cell>
          <cell r="W817">
            <v>0</v>
          </cell>
          <cell r="X817">
            <v>608122.67322580598</v>
          </cell>
          <cell r="Y817">
            <v>690000</v>
          </cell>
        </row>
        <row r="818">
          <cell r="E818">
            <v>0</v>
          </cell>
          <cell r="F818" t="str">
            <v>N.A STORE</v>
          </cell>
          <cell r="G818">
            <v>0</v>
          </cell>
          <cell r="H818">
            <v>0</v>
          </cell>
          <cell r="I818">
            <v>1</v>
          </cell>
          <cell r="J818">
            <v>1</v>
          </cell>
          <cell r="K818">
            <v>0</v>
          </cell>
          <cell r="L818">
            <v>0</v>
          </cell>
          <cell r="M818">
            <v>0</v>
          </cell>
          <cell r="N818">
            <v>0</v>
          </cell>
          <cell r="O818">
            <v>0</v>
          </cell>
          <cell r="P818">
            <v>0</v>
          </cell>
          <cell r="Q818">
            <v>0</v>
          </cell>
          <cell r="R818">
            <v>0</v>
          </cell>
          <cell r="S818">
            <v>0</v>
          </cell>
          <cell r="T818">
            <v>0</v>
          </cell>
          <cell r="U818">
            <v>0</v>
          </cell>
          <cell r="V818">
            <v>0</v>
          </cell>
          <cell r="W818">
            <v>0</v>
          </cell>
          <cell r="X818">
            <v>41932.014099719003</v>
          </cell>
          <cell r="Y818">
            <v>644000</v>
          </cell>
        </row>
        <row r="819">
          <cell r="E819">
            <v>0</v>
          </cell>
          <cell r="F819" t="str">
            <v>MAISARAH CELL</v>
          </cell>
          <cell r="G819">
            <v>0</v>
          </cell>
          <cell r="H819">
            <v>0</v>
          </cell>
          <cell r="I819">
            <v>1</v>
          </cell>
          <cell r="J819">
            <v>1</v>
          </cell>
          <cell r="K819">
            <v>0</v>
          </cell>
          <cell r="L819">
            <v>0</v>
          </cell>
          <cell r="M819">
            <v>0</v>
          </cell>
          <cell r="N819">
            <v>0</v>
          </cell>
          <cell r="O819">
            <v>0</v>
          </cell>
          <cell r="P819">
            <v>0</v>
          </cell>
          <cell r="Q819">
            <v>0</v>
          </cell>
          <cell r="R819">
            <v>0</v>
          </cell>
          <cell r="S819">
            <v>0</v>
          </cell>
          <cell r="T819">
            <v>0</v>
          </cell>
          <cell r="U819">
            <v>0</v>
          </cell>
          <cell r="V819">
            <v>0</v>
          </cell>
          <cell r="W819">
            <v>0</v>
          </cell>
          <cell r="X819">
            <v>1256758.064516129</v>
          </cell>
          <cell r="Y819">
            <v>72500</v>
          </cell>
        </row>
        <row r="820">
          <cell r="E820">
            <v>0</v>
          </cell>
          <cell r="F820" t="str">
            <v>Toko novi</v>
          </cell>
          <cell r="G820">
            <v>0</v>
          </cell>
          <cell r="H820">
            <v>0</v>
          </cell>
          <cell r="I820">
            <v>0</v>
          </cell>
          <cell r="J820">
            <v>0</v>
          </cell>
          <cell r="K820">
            <v>0</v>
          </cell>
          <cell r="L820">
            <v>0</v>
          </cell>
          <cell r="M820">
            <v>0</v>
          </cell>
          <cell r="N820">
            <v>0</v>
          </cell>
          <cell r="O820">
            <v>0</v>
          </cell>
          <cell r="P820">
            <v>0</v>
          </cell>
          <cell r="Q820">
            <v>0</v>
          </cell>
          <cell r="R820">
            <v>0</v>
          </cell>
          <cell r="S820">
            <v>0</v>
          </cell>
          <cell r="T820">
            <v>0</v>
          </cell>
          <cell r="U820">
            <v>0</v>
          </cell>
          <cell r="V820">
            <v>0</v>
          </cell>
          <cell r="W820">
            <v>0</v>
          </cell>
          <cell r="X820">
            <v>0</v>
          </cell>
          <cell r="Y820">
            <v>0</v>
          </cell>
        </row>
        <row r="821">
          <cell r="E821">
            <v>0</v>
          </cell>
          <cell r="F821" t="str">
            <v>Trans cell</v>
          </cell>
          <cell r="G821">
            <v>0</v>
          </cell>
          <cell r="H821">
            <v>0</v>
          </cell>
          <cell r="I821">
            <v>1</v>
          </cell>
          <cell r="J821">
            <v>1</v>
          </cell>
          <cell r="K821">
            <v>1</v>
          </cell>
          <cell r="L821">
            <v>1</v>
          </cell>
          <cell r="M821">
            <v>0</v>
          </cell>
          <cell r="N821">
            <v>1</v>
          </cell>
          <cell r="O821">
            <v>1</v>
          </cell>
          <cell r="P821">
            <v>0</v>
          </cell>
          <cell r="Q821">
            <v>1</v>
          </cell>
          <cell r="R821">
            <v>1</v>
          </cell>
          <cell r="S821">
            <v>0</v>
          </cell>
          <cell r="T821">
            <v>0</v>
          </cell>
          <cell r="U821">
            <v>0</v>
          </cell>
          <cell r="V821">
            <v>0</v>
          </cell>
          <cell r="W821">
            <v>0</v>
          </cell>
          <cell r="X821">
            <v>247976.280843135</v>
          </cell>
          <cell r="Y821">
            <v>72500</v>
          </cell>
        </row>
        <row r="822">
          <cell r="E822">
            <v>0</v>
          </cell>
          <cell r="F822" t="str">
            <v>Toko Bintang Jaya Tebas</v>
          </cell>
          <cell r="G822">
            <v>0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</v>
          </cell>
          <cell r="O822">
            <v>0</v>
          </cell>
          <cell r="P822">
            <v>0</v>
          </cell>
          <cell r="Q822">
            <v>0</v>
          </cell>
          <cell r="R822">
            <v>0</v>
          </cell>
          <cell r="S822">
            <v>0</v>
          </cell>
          <cell r="T822">
            <v>0</v>
          </cell>
          <cell r="U822">
            <v>0</v>
          </cell>
          <cell r="V822">
            <v>0</v>
          </cell>
          <cell r="W822">
            <v>0</v>
          </cell>
          <cell r="X822">
            <v>101444.842163101</v>
          </cell>
          <cell r="Y822">
            <v>90000</v>
          </cell>
        </row>
        <row r="823">
          <cell r="E823">
            <v>0</v>
          </cell>
          <cell r="F823" t="str">
            <v>MAHKOTA PONSEL TEBAS</v>
          </cell>
          <cell r="G823">
            <v>0</v>
          </cell>
          <cell r="H823">
            <v>0</v>
          </cell>
          <cell r="I823">
            <v>1</v>
          </cell>
          <cell r="J823">
            <v>1</v>
          </cell>
          <cell r="K823">
            <v>1</v>
          </cell>
          <cell r="L823">
            <v>1</v>
          </cell>
          <cell r="M823">
            <v>0</v>
          </cell>
          <cell r="N823">
            <v>0</v>
          </cell>
          <cell r="O823">
            <v>0</v>
          </cell>
          <cell r="P823">
            <v>0</v>
          </cell>
          <cell r="Q823">
            <v>0</v>
          </cell>
          <cell r="R823">
            <v>0</v>
          </cell>
          <cell r="S823">
            <v>0</v>
          </cell>
          <cell r="T823">
            <v>0</v>
          </cell>
          <cell r="U823">
            <v>0</v>
          </cell>
          <cell r="V823">
            <v>0</v>
          </cell>
          <cell r="W823">
            <v>0</v>
          </cell>
          <cell r="X823">
            <v>601970.10752688197</v>
          </cell>
          <cell r="Y823">
            <v>162000</v>
          </cell>
        </row>
        <row r="824">
          <cell r="E824">
            <v>0</v>
          </cell>
          <cell r="F824" t="str">
            <v>WARUNG  TIARA</v>
          </cell>
          <cell r="G824">
            <v>0</v>
          </cell>
          <cell r="H824">
            <v>0</v>
          </cell>
          <cell r="I824">
            <v>1</v>
          </cell>
          <cell r="J824">
            <v>1</v>
          </cell>
          <cell r="K824">
            <v>0</v>
          </cell>
          <cell r="L824">
            <v>0</v>
          </cell>
          <cell r="M824">
            <v>0</v>
          </cell>
          <cell r="N824">
            <v>0</v>
          </cell>
          <cell r="O824">
            <v>0</v>
          </cell>
          <cell r="P824">
            <v>0</v>
          </cell>
          <cell r="Q824">
            <v>0</v>
          </cell>
          <cell r="R824">
            <v>0</v>
          </cell>
          <cell r="S824">
            <v>0</v>
          </cell>
          <cell r="T824">
            <v>0</v>
          </cell>
          <cell r="U824">
            <v>0</v>
          </cell>
          <cell r="V824">
            <v>0</v>
          </cell>
          <cell r="W824">
            <v>0</v>
          </cell>
          <cell r="X824">
            <v>91363.310747786003</v>
          </cell>
          <cell r="Y824">
            <v>572000</v>
          </cell>
        </row>
        <row r="825">
          <cell r="E825">
            <v>0</v>
          </cell>
          <cell r="F825" t="str">
            <v>SATRIATRON PONSEL</v>
          </cell>
          <cell r="G825">
            <v>0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</v>
          </cell>
          <cell r="O825">
            <v>0</v>
          </cell>
          <cell r="P825">
            <v>0</v>
          </cell>
          <cell r="Q825">
            <v>0</v>
          </cell>
          <cell r="R825">
            <v>0</v>
          </cell>
          <cell r="S825">
            <v>0</v>
          </cell>
          <cell r="T825">
            <v>0</v>
          </cell>
          <cell r="U825">
            <v>0</v>
          </cell>
          <cell r="V825">
            <v>0</v>
          </cell>
          <cell r="W825">
            <v>0</v>
          </cell>
          <cell r="X825">
            <v>0</v>
          </cell>
          <cell r="Y825">
            <v>0</v>
          </cell>
        </row>
        <row r="826">
          <cell r="E826">
            <v>0</v>
          </cell>
          <cell r="F826" t="str">
            <v>WARUNG HAMZAH SERINDANG</v>
          </cell>
          <cell r="G826">
            <v>0</v>
          </cell>
          <cell r="H826">
            <v>0</v>
          </cell>
          <cell r="I826">
            <v>1</v>
          </cell>
          <cell r="J826">
            <v>1</v>
          </cell>
          <cell r="K826">
            <v>0</v>
          </cell>
          <cell r="L826">
            <v>0</v>
          </cell>
          <cell r="M826">
            <v>0</v>
          </cell>
          <cell r="N826">
            <v>0</v>
          </cell>
          <cell r="O826">
            <v>0</v>
          </cell>
          <cell r="P826">
            <v>0</v>
          </cell>
          <cell r="Q826">
            <v>0</v>
          </cell>
          <cell r="R826">
            <v>0</v>
          </cell>
          <cell r="S826">
            <v>0</v>
          </cell>
          <cell r="T826">
            <v>0</v>
          </cell>
          <cell r="U826">
            <v>0</v>
          </cell>
          <cell r="V826">
            <v>0</v>
          </cell>
          <cell r="W826">
            <v>0</v>
          </cell>
          <cell r="X826">
            <v>1208304.1935483869</v>
          </cell>
          <cell r="Y826">
            <v>144000</v>
          </cell>
        </row>
        <row r="827">
          <cell r="E827">
            <v>0</v>
          </cell>
          <cell r="F827" t="str">
            <v>WARUNG AL FIQRI SEMPADUNG</v>
          </cell>
          <cell r="G827">
            <v>0</v>
          </cell>
          <cell r="H827">
            <v>0</v>
          </cell>
          <cell r="I827">
            <v>1</v>
          </cell>
          <cell r="J827">
            <v>1</v>
          </cell>
          <cell r="K827">
            <v>0</v>
          </cell>
          <cell r="L827">
            <v>0</v>
          </cell>
          <cell r="M827">
            <v>0</v>
          </cell>
          <cell r="N827">
            <v>0</v>
          </cell>
          <cell r="O827">
            <v>0</v>
          </cell>
          <cell r="P827">
            <v>0</v>
          </cell>
          <cell r="Q827">
            <v>0</v>
          </cell>
          <cell r="R827">
            <v>0</v>
          </cell>
          <cell r="S827">
            <v>0</v>
          </cell>
          <cell r="T827">
            <v>0</v>
          </cell>
          <cell r="U827">
            <v>0</v>
          </cell>
          <cell r="V827">
            <v>0</v>
          </cell>
          <cell r="W827">
            <v>0</v>
          </cell>
          <cell r="X827">
            <v>227989.41935483899</v>
          </cell>
          <cell r="Y827">
            <v>72500</v>
          </cell>
        </row>
        <row r="828">
          <cell r="E828">
            <v>0</v>
          </cell>
          <cell r="F828" t="str">
            <v>AIZA COLLECTION PONSEL</v>
          </cell>
          <cell r="G828">
            <v>0</v>
          </cell>
          <cell r="H828">
            <v>0</v>
          </cell>
          <cell r="I828">
            <v>0</v>
          </cell>
          <cell r="J828">
            <v>0</v>
          </cell>
          <cell r="K828">
            <v>1</v>
          </cell>
          <cell r="L828">
            <v>0</v>
          </cell>
          <cell r="M828">
            <v>1</v>
          </cell>
          <cell r="N828">
            <v>0</v>
          </cell>
          <cell r="O828">
            <v>0</v>
          </cell>
          <cell r="P828">
            <v>0</v>
          </cell>
          <cell r="Q828">
            <v>0</v>
          </cell>
          <cell r="R828">
            <v>0</v>
          </cell>
          <cell r="S828">
            <v>0</v>
          </cell>
          <cell r="T828">
            <v>0</v>
          </cell>
          <cell r="U828">
            <v>0</v>
          </cell>
          <cell r="V828">
            <v>0</v>
          </cell>
          <cell r="W828">
            <v>0</v>
          </cell>
          <cell r="X828">
            <v>194609.16129032301</v>
          </cell>
          <cell r="Y828">
            <v>200000</v>
          </cell>
        </row>
        <row r="829">
          <cell r="E829">
            <v>0</v>
          </cell>
          <cell r="F829" t="str">
            <v>WARUNG MBAK SITI SEJIRAM</v>
          </cell>
          <cell r="G829">
            <v>0</v>
          </cell>
          <cell r="H829">
            <v>0</v>
          </cell>
          <cell r="I829">
            <v>1</v>
          </cell>
          <cell r="J829">
            <v>1</v>
          </cell>
          <cell r="K829">
            <v>0</v>
          </cell>
          <cell r="L829">
            <v>0</v>
          </cell>
          <cell r="M829">
            <v>0</v>
          </cell>
          <cell r="N829">
            <v>0</v>
          </cell>
          <cell r="O829">
            <v>0</v>
          </cell>
          <cell r="P829">
            <v>0</v>
          </cell>
          <cell r="Q829">
            <v>0</v>
          </cell>
          <cell r="R829">
            <v>0</v>
          </cell>
          <cell r="S829">
            <v>0</v>
          </cell>
          <cell r="T829">
            <v>0</v>
          </cell>
          <cell r="U829">
            <v>0</v>
          </cell>
          <cell r="V829">
            <v>0</v>
          </cell>
          <cell r="W829">
            <v>0</v>
          </cell>
          <cell r="X829">
            <v>1436835.9748556199</v>
          </cell>
          <cell r="Y829">
            <v>90000</v>
          </cell>
        </row>
        <row r="830">
          <cell r="E830">
            <v>0</v>
          </cell>
          <cell r="F830" t="str">
            <v>Nabil pulsa</v>
          </cell>
          <cell r="G830">
            <v>0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0</v>
          </cell>
          <cell r="M830">
            <v>0</v>
          </cell>
          <cell r="N830">
            <v>0</v>
          </cell>
          <cell r="O830">
            <v>0</v>
          </cell>
          <cell r="P830">
            <v>0</v>
          </cell>
          <cell r="Q830">
            <v>0</v>
          </cell>
          <cell r="R830">
            <v>0</v>
          </cell>
          <cell r="S830">
            <v>0</v>
          </cell>
          <cell r="T830">
            <v>0</v>
          </cell>
          <cell r="U830">
            <v>0</v>
          </cell>
          <cell r="V830">
            <v>0</v>
          </cell>
          <cell r="W830">
            <v>0</v>
          </cell>
          <cell r="X830">
            <v>0</v>
          </cell>
          <cell r="Y830">
            <v>0</v>
          </cell>
        </row>
        <row r="831">
          <cell r="E831">
            <v>0</v>
          </cell>
          <cell r="F831" t="str">
            <v>Konter Pak Imur</v>
          </cell>
          <cell r="G831">
            <v>0</v>
          </cell>
          <cell r="H831">
            <v>0</v>
          </cell>
          <cell r="I831">
            <v>1</v>
          </cell>
          <cell r="J831">
            <v>1</v>
          </cell>
          <cell r="K831">
            <v>2</v>
          </cell>
          <cell r="L831">
            <v>2</v>
          </cell>
          <cell r="M831">
            <v>0</v>
          </cell>
          <cell r="N831">
            <v>2</v>
          </cell>
          <cell r="O831">
            <v>2</v>
          </cell>
          <cell r="P831">
            <v>0</v>
          </cell>
          <cell r="Q831">
            <v>2</v>
          </cell>
          <cell r="R831">
            <v>2</v>
          </cell>
          <cell r="S831">
            <v>0</v>
          </cell>
          <cell r="T831">
            <v>0</v>
          </cell>
          <cell r="U831">
            <v>0</v>
          </cell>
          <cell r="V831">
            <v>0</v>
          </cell>
          <cell r="W831">
            <v>0</v>
          </cell>
          <cell r="X831">
            <v>563492.39903225796</v>
          </cell>
          <cell r="Y831">
            <v>72000</v>
          </cell>
        </row>
        <row r="832">
          <cell r="E832">
            <v>0</v>
          </cell>
          <cell r="F832" t="str">
            <v>HEART PONSEL</v>
          </cell>
          <cell r="G832">
            <v>0</v>
          </cell>
          <cell r="H832">
            <v>0</v>
          </cell>
          <cell r="I832">
            <v>1</v>
          </cell>
          <cell r="J832">
            <v>1</v>
          </cell>
          <cell r="K832">
            <v>1</v>
          </cell>
          <cell r="L832">
            <v>1</v>
          </cell>
          <cell r="M832">
            <v>0</v>
          </cell>
          <cell r="N832">
            <v>0</v>
          </cell>
          <cell r="O832">
            <v>0</v>
          </cell>
          <cell r="P832">
            <v>0</v>
          </cell>
          <cell r="Q832">
            <v>0</v>
          </cell>
          <cell r="R832">
            <v>0</v>
          </cell>
          <cell r="S832">
            <v>0</v>
          </cell>
          <cell r="T832">
            <v>0</v>
          </cell>
          <cell r="U832">
            <v>0</v>
          </cell>
          <cell r="V832">
            <v>0</v>
          </cell>
          <cell r="W832">
            <v>0</v>
          </cell>
          <cell r="X832">
            <v>847537.09677419299</v>
          </cell>
          <cell r="Y832">
            <v>72000</v>
          </cell>
        </row>
        <row r="833">
          <cell r="E833">
            <v>0</v>
          </cell>
          <cell r="F833" t="str">
            <v>COUNTINENTAL COUNTER</v>
          </cell>
          <cell r="G833">
            <v>0</v>
          </cell>
          <cell r="H833">
            <v>0</v>
          </cell>
          <cell r="I833">
            <v>1</v>
          </cell>
          <cell r="J833">
            <v>1</v>
          </cell>
          <cell r="K833">
            <v>1</v>
          </cell>
          <cell r="L833">
            <v>1</v>
          </cell>
          <cell r="M833">
            <v>0</v>
          </cell>
          <cell r="N833">
            <v>1</v>
          </cell>
          <cell r="O833">
            <v>1</v>
          </cell>
          <cell r="P833">
            <v>0</v>
          </cell>
          <cell r="Q833">
            <v>1</v>
          </cell>
          <cell r="R833">
            <v>1</v>
          </cell>
          <cell r="S833">
            <v>0</v>
          </cell>
          <cell r="T833">
            <v>0</v>
          </cell>
          <cell r="U833">
            <v>0</v>
          </cell>
          <cell r="V833">
            <v>0</v>
          </cell>
          <cell r="W833">
            <v>0</v>
          </cell>
          <cell r="X833">
            <v>422811.69354838697</v>
          </cell>
          <cell r="Y833">
            <v>120000</v>
          </cell>
        </row>
        <row r="834">
          <cell r="E834">
            <v>0</v>
          </cell>
          <cell r="F834" t="str">
            <v>Warung Kak Sukma</v>
          </cell>
          <cell r="G834">
            <v>0</v>
          </cell>
          <cell r="H834">
            <v>0</v>
          </cell>
          <cell r="I834">
            <v>0</v>
          </cell>
          <cell r="J834">
            <v>0</v>
          </cell>
          <cell r="K834">
            <v>0</v>
          </cell>
          <cell r="L834">
            <v>0</v>
          </cell>
          <cell r="M834">
            <v>0</v>
          </cell>
          <cell r="N834">
            <v>0</v>
          </cell>
          <cell r="O834">
            <v>0</v>
          </cell>
          <cell r="P834">
            <v>0</v>
          </cell>
          <cell r="Q834">
            <v>0</v>
          </cell>
          <cell r="R834">
            <v>0</v>
          </cell>
          <cell r="S834">
            <v>0</v>
          </cell>
          <cell r="T834">
            <v>0</v>
          </cell>
          <cell r="U834">
            <v>0</v>
          </cell>
          <cell r="V834">
            <v>0</v>
          </cell>
          <cell r="W834">
            <v>0</v>
          </cell>
          <cell r="X834">
            <v>0</v>
          </cell>
          <cell r="Y834">
            <v>0</v>
          </cell>
        </row>
        <row r="835">
          <cell r="E835">
            <v>0</v>
          </cell>
          <cell r="F835" t="str">
            <v>AIDIL PONSEL</v>
          </cell>
          <cell r="G835">
            <v>0</v>
          </cell>
          <cell r="H835">
            <v>0</v>
          </cell>
          <cell r="I835">
            <v>1</v>
          </cell>
          <cell r="J835">
            <v>1</v>
          </cell>
          <cell r="K835">
            <v>2</v>
          </cell>
          <cell r="L835">
            <v>2</v>
          </cell>
          <cell r="M835">
            <v>0</v>
          </cell>
          <cell r="N835">
            <v>1</v>
          </cell>
          <cell r="O835">
            <v>1</v>
          </cell>
          <cell r="P835">
            <v>0</v>
          </cell>
          <cell r="Q835">
            <v>1</v>
          </cell>
          <cell r="R835">
            <v>1</v>
          </cell>
          <cell r="S835">
            <v>0</v>
          </cell>
          <cell r="T835">
            <v>0</v>
          </cell>
          <cell r="U835">
            <v>0</v>
          </cell>
          <cell r="V835">
            <v>0</v>
          </cell>
          <cell r="W835">
            <v>0</v>
          </cell>
          <cell r="X835">
            <v>1395493.14516129</v>
          </cell>
          <cell r="Y835">
            <v>139000</v>
          </cell>
        </row>
        <row r="836">
          <cell r="E836">
            <v>0</v>
          </cell>
          <cell r="F836" t="str">
            <v>Warung Mondy Serindang</v>
          </cell>
          <cell r="G836">
            <v>0</v>
          </cell>
          <cell r="H836">
            <v>0</v>
          </cell>
          <cell r="I836">
            <v>1</v>
          </cell>
          <cell r="J836">
            <v>1</v>
          </cell>
          <cell r="K836">
            <v>0</v>
          </cell>
          <cell r="L836">
            <v>0</v>
          </cell>
          <cell r="M836">
            <v>0</v>
          </cell>
          <cell r="N836">
            <v>0</v>
          </cell>
          <cell r="O836">
            <v>0</v>
          </cell>
          <cell r="P836">
            <v>0</v>
          </cell>
          <cell r="Q836">
            <v>0</v>
          </cell>
          <cell r="R836">
            <v>0</v>
          </cell>
          <cell r="S836">
            <v>0</v>
          </cell>
          <cell r="T836">
            <v>0</v>
          </cell>
          <cell r="U836">
            <v>0</v>
          </cell>
          <cell r="V836">
            <v>0</v>
          </cell>
          <cell r="W836">
            <v>0</v>
          </cell>
          <cell r="X836">
            <v>637201.20967741904</v>
          </cell>
          <cell r="Y836">
            <v>126000</v>
          </cell>
        </row>
        <row r="837">
          <cell r="E837">
            <v>0</v>
          </cell>
          <cell r="F837" t="str">
            <v>HARIS PONSEL SEMPADUNG</v>
          </cell>
          <cell r="G837">
            <v>0</v>
          </cell>
          <cell r="H837">
            <v>0</v>
          </cell>
          <cell r="I837">
            <v>1</v>
          </cell>
          <cell r="J837">
            <v>1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  <cell r="Q837">
            <v>0</v>
          </cell>
          <cell r="R837">
            <v>0</v>
          </cell>
          <cell r="S837">
            <v>0</v>
          </cell>
          <cell r="T837">
            <v>0</v>
          </cell>
          <cell r="U837">
            <v>0</v>
          </cell>
          <cell r="V837">
            <v>0</v>
          </cell>
          <cell r="W837">
            <v>0</v>
          </cell>
          <cell r="X837">
            <v>125115.305334491</v>
          </cell>
          <cell r="Y837">
            <v>326500</v>
          </cell>
        </row>
        <row r="838">
          <cell r="E838">
            <v>0</v>
          </cell>
          <cell r="F838" t="str">
            <v>Warung Latisya</v>
          </cell>
          <cell r="G838">
            <v>0</v>
          </cell>
          <cell r="H838">
            <v>0</v>
          </cell>
          <cell r="I838">
            <v>0</v>
          </cell>
          <cell r="J838">
            <v>0</v>
          </cell>
          <cell r="K838">
            <v>0</v>
          </cell>
          <cell r="L838">
            <v>0</v>
          </cell>
          <cell r="M838">
            <v>0</v>
          </cell>
          <cell r="N838">
            <v>0</v>
          </cell>
          <cell r="O838">
            <v>0</v>
          </cell>
          <cell r="P838">
            <v>0</v>
          </cell>
          <cell r="Q838">
            <v>0</v>
          </cell>
          <cell r="R838">
            <v>0</v>
          </cell>
          <cell r="S838">
            <v>0</v>
          </cell>
          <cell r="T838">
            <v>0</v>
          </cell>
          <cell r="U838">
            <v>0</v>
          </cell>
          <cell r="V838">
            <v>0</v>
          </cell>
          <cell r="W838">
            <v>0</v>
          </cell>
          <cell r="X838">
            <v>696905.24193548399</v>
          </cell>
          <cell r="Y838">
            <v>90000</v>
          </cell>
        </row>
        <row r="839">
          <cell r="E839">
            <v>0</v>
          </cell>
          <cell r="F839" t="str">
            <v>Sky ponsel</v>
          </cell>
          <cell r="G839">
            <v>0</v>
          </cell>
          <cell r="H839">
            <v>0</v>
          </cell>
          <cell r="I839">
            <v>1</v>
          </cell>
          <cell r="J839">
            <v>1</v>
          </cell>
          <cell r="K839">
            <v>0</v>
          </cell>
          <cell r="L839">
            <v>0</v>
          </cell>
          <cell r="M839">
            <v>0</v>
          </cell>
          <cell r="N839">
            <v>0</v>
          </cell>
          <cell r="O839">
            <v>0</v>
          </cell>
          <cell r="P839">
            <v>0</v>
          </cell>
          <cell r="Q839">
            <v>0</v>
          </cell>
          <cell r="R839">
            <v>0</v>
          </cell>
          <cell r="S839">
            <v>0</v>
          </cell>
          <cell r="T839">
            <v>0</v>
          </cell>
          <cell r="U839">
            <v>0</v>
          </cell>
          <cell r="V839">
            <v>0</v>
          </cell>
          <cell r="W839">
            <v>0</v>
          </cell>
          <cell r="X839">
            <v>160727.41935483899</v>
          </cell>
          <cell r="Y839">
            <v>54000</v>
          </cell>
        </row>
        <row r="840">
          <cell r="E840">
            <v>0</v>
          </cell>
          <cell r="F840" t="str">
            <v>Warung Anak Ammas</v>
          </cell>
          <cell r="G840">
            <v>0</v>
          </cell>
          <cell r="H840">
            <v>0</v>
          </cell>
          <cell r="I840">
            <v>1</v>
          </cell>
          <cell r="J840">
            <v>1</v>
          </cell>
          <cell r="K840">
            <v>0</v>
          </cell>
          <cell r="L840">
            <v>0</v>
          </cell>
          <cell r="M840">
            <v>0</v>
          </cell>
          <cell r="N840">
            <v>0</v>
          </cell>
          <cell r="O840">
            <v>0</v>
          </cell>
          <cell r="P840">
            <v>0</v>
          </cell>
          <cell r="Q840">
            <v>0</v>
          </cell>
          <cell r="R840">
            <v>0</v>
          </cell>
          <cell r="S840">
            <v>0</v>
          </cell>
          <cell r="T840">
            <v>0</v>
          </cell>
          <cell r="U840">
            <v>0</v>
          </cell>
          <cell r="V840">
            <v>0</v>
          </cell>
          <cell r="W840">
            <v>0</v>
          </cell>
          <cell r="X840">
            <v>2054970.967741935</v>
          </cell>
          <cell r="Y840">
            <v>162000</v>
          </cell>
        </row>
        <row r="841">
          <cell r="E841">
            <v>0</v>
          </cell>
          <cell r="F841" t="str">
            <v>BILLION PONSEL</v>
          </cell>
          <cell r="G841">
            <v>0</v>
          </cell>
          <cell r="H841">
            <v>0</v>
          </cell>
          <cell r="I841">
            <v>1</v>
          </cell>
          <cell r="J841">
            <v>1</v>
          </cell>
          <cell r="K841">
            <v>0</v>
          </cell>
          <cell r="L841">
            <v>0</v>
          </cell>
          <cell r="M841">
            <v>0</v>
          </cell>
          <cell r="N841">
            <v>0</v>
          </cell>
          <cell r="O841">
            <v>0</v>
          </cell>
          <cell r="P841">
            <v>0</v>
          </cell>
          <cell r="Q841">
            <v>0</v>
          </cell>
          <cell r="R841">
            <v>0</v>
          </cell>
          <cell r="S841">
            <v>0</v>
          </cell>
          <cell r="T841">
            <v>0</v>
          </cell>
          <cell r="U841">
            <v>0</v>
          </cell>
          <cell r="V841">
            <v>0</v>
          </cell>
          <cell r="W841">
            <v>0</v>
          </cell>
          <cell r="X841">
            <v>6762.9894775399998</v>
          </cell>
          <cell r="Y841">
            <v>180000</v>
          </cell>
        </row>
        <row r="842">
          <cell r="E842">
            <v>0</v>
          </cell>
          <cell r="F842" t="str">
            <v>Toko Asfahami</v>
          </cell>
          <cell r="G842">
            <v>0</v>
          </cell>
          <cell r="H842">
            <v>0</v>
          </cell>
          <cell r="I842">
            <v>1</v>
          </cell>
          <cell r="J842">
            <v>1</v>
          </cell>
          <cell r="K842">
            <v>0</v>
          </cell>
          <cell r="L842">
            <v>0</v>
          </cell>
          <cell r="M842">
            <v>0</v>
          </cell>
          <cell r="N842">
            <v>0</v>
          </cell>
          <cell r="O842">
            <v>0</v>
          </cell>
          <cell r="P842">
            <v>0</v>
          </cell>
          <cell r="Q842">
            <v>0</v>
          </cell>
          <cell r="R842">
            <v>0</v>
          </cell>
          <cell r="S842">
            <v>0</v>
          </cell>
          <cell r="T842">
            <v>0</v>
          </cell>
          <cell r="U842">
            <v>0</v>
          </cell>
          <cell r="V842">
            <v>0</v>
          </cell>
          <cell r="W842">
            <v>0</v>
          </cell>
          <cell r="X842">
            <v>2086453.8709677421</v>
          </cell>
          <cell r="Y842">
            <v>54000</v>
          </cell>
        </row>
        <row r="843">
          <cell r="E843">
            <v>0</v>
          </cell>
          <cell r="F843" t="str">
            <v>Mawar Ponsel 8</v>
          </cell>
          <cell r="G843">
            <v>0</v>
          </cell>
          <cell r="H843">
            <v>0</v>
          </cell>
          <cell r="I843">
            <v>1</v>
          </cell>
          <cell r="J843">
            <v>1</v>
          </cell>
          <cell r="K843">
            <v>1</v>
          </cell>
          <cell r="L843">
            <v>1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  <cell r="Q843">
            <v>0</v>
          </cell>
          <cell r="R843">
            <v>0</v>
          </cell>
          <cell r="S843">
            <v>0</v>
          </cell>
          <cell r="T843">
            <v>1</v>
          </cell>
          <cell r="U843">
            <v>1</v>
          </cell>
          <cell r="V843">
            <v>0</v>
          </cell>
          <cell r="W843">
            <v>0</v>
          </cell>
          <cell r="X843">
            <v>67629.894775401001</v>
          </cell>
          <cell r="Y843">
            <v>54000</v>
          </cell>
        </row>
        <row r="844">
          <cell r="E844">
            <v>0</v>
          </cell>
          <cell r="F844" t="str">
            <v>Kounter Kak Dina Sidang</v>
          </cell>
          <cell r="G844">
            <v>0</v>
          </cell>
          <cell r="H844">
            <v>0</v>
          </cell>
          <cell r="I844">
            <v>1</v>
          </cell>
          <cell r="J844">
            <v>1</v>
          </cell>
          <cell r="K844">
            <v>3</v>
          </cell>
          <cell r="L844">
            <v>3</v>
          </cell>
          <cell r="M844">
            <v>0</v>
          </cell>
          <cell r="N844">
            <v>2</v>
          </cell>
          <cell r="O844">
            <v>2</v>
          </cell>
          <cell r="P844">
            <v>0</v>
          </cell>
          <cell r="Q844">
            <v>2</v>
          </cell>
          <cell r="R844">
            <v>2</v>
          </cell>
          <cell r="S844">
            <v>0</v>
          </cell>
          <cell r="T844">
            <v>0</v>
          </cell>
          <cell r="U844">
            <v>0</v>
          </cell>
          <cell r="V844">
            <v>0</v>
          </cell>
          <cell r="W844">
            <v>0</v>
          </cell>
          <cell r="X844">
            <v>676592.74193548399</v>
          </cell>
          <cell r="Y844">
            <v>139000</v>
          </cell>
        </row>
        <row r="845">
          <cell r="E845">
            <v>0</v>
          </cell>
          <cell r="F845" t="str">
            <v>Toko Al Safa</v>
          </cell>
          <cell r="G845">
            <v>0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0</v>
          </cell>
          <cell r="M845">
            <v>0</v>
          </cell>
          <cell r="N845">
            <v>0</v>
          </cell>
          <cell r="O845">
            <v>0</v>
          </cell>
          <cell r="P845">
            <v>0</v>
          </cell>
          <cell r="Q845">
            <v>0</v>
          </cell>
          <cell r="R845">
            <v>0</v>
          </cell>
          <cell r="S845">
            <v>0</v>
          </cell>
          <cell r="T845">
            <v>0</v>
          </cell>
          <cell r="U845">
            <v>0</v>
          </cell>
          <cell r="V845">
            <v>0</v>
          </cell>
          <cell r="W845">
            <v>0</v>
          </cell>
          <cell r="X845">
            <v>0</v>
          </cell>
          <cell r="Y845">
            <v>0</v>
          </cell>
        </row>
        <row r="846">
          <cell r="E846">
            <v>0</v>
          </cell>
          <cell r="F846" t="str">
            <v>Kantin Ungu 1</v>
          </cell>
          <cell r="G846">
            <v>0</v>
          </cell>
          <cell r="H846">
            <v>0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>
            <v>0</v>
          </cell>
          <cell r="V846">
            <v>0</v>
          </cell>
          <cell r="W846">
            <v>0</v>
          </cell>
          <cell r="X846">
            <v>0</v>
          </cell>
          <cell r="Y846">
            <v>0</v>
          </cell>
        </row>
        <row r="847">
          <cell r="E847">
            <v>0</v>
          </cell>
          <cell r="F847" t="str">
            <v>Warung Kak Sindy</v>
          </cell>
          <cell r="G847">
            <v>0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0</v>
          </cell>
          <cell r="M847">
            <v>0</v>
          </cell>
          <cell r="N847">
            <v>0</v>
          </cell>
          <cell r="O847">
            <v>0</v>
          </cell>
          <cell r="P847">
            <v>0</v>
          </cell>
          <cell r="Q847">
            <v>0</v>
          </cell>
          <cell r="R847">
            <v>0</v>
          </cell>
          <cell r="S847">
            <v>0</v>
          </cell>
          <cell r="T847">
            <v>0</v>
          </cell>
          <cell r="U847">
            <v>0</v>
          </cell>
          <cell r="V847">
            <v>0</v>
          </cell>
          <cell r="W847">
            <v>0</v>
          </cell>
          <cell r="X847">
            <v>692914.51612903201</v>
          </cell>
          <cell r="Y847">
            <v>0</v>
          </cell>
        </row>
        <row r="848">
          <cell r="E848">
            <v>0</v>
          </cell>
          <cell r="F848" t="str">
            <v>hanim cell</v>
          </cell>
          <cell r="G848">
            <v>0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0</v>
          </cell>
          <cell r="M848">
            <v>0</v>
          </cell>
          <cell r="N848">
            <v>0</v>
          </cell>
          <cell r="O848">
            <v>0</v>
          </cell>
          <cell r="P848">
            <v>0</v>
          </cell>
          <cell r="Q848">
            <v>0</v>
          </cell>
          <cell r="R848">
            <v>0</v>
          </cell>
          <cell r="S848">
            <v>0</v>
          </cell>
          <cell r="T848">
            <v>0</v>
          </cell>
          <cell r="U848">
            <v>0</v>
          </cell>
          <cell r="V848">
            <v>0</v>
          </cell>
          <cell r="W848">
            <v>0</v>
          </cell>
          <cell r="X848">
            <v>1548927.419354839</v>
          </cell>
          <cell r="Y848">
            <v>0</v>
          </cell>
        </row>
        <row r="849">
          <cell r="E849">
            <v>0</v>
          </cell>
          <cell r="F849" t="str">
            <v>Wr. Semoga Berkah Semparuk</v>
          </cell>
          <cell r="G849">
            <v>0</v>
          </cell>
          <cell r="H849">
            <v>0</v>
          </cell>
          <cell r="I849">
            <v>1</v>
          </cell>
          <cell r="J849">
            <v>1</v>
          </cell>
          <cell r="K849">
            <v>1</v>
          </cell>
          <cell r="L849">
            <v>1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  <cell r="Q849">
            <v>0</v>
          </cell>
          <cell r="R849">
            <v>0</v>
          </cell>
          <cell r="S849">
            <v>0</v>
          </cell>
          <cell r="T849">
            <v>0</v>
          </cell>
          <cell r="U849">
            <v>0</v>
          </cell>
          <cell r="V849">
            <v>0</v>
          </cell>
          <cell r="W849">
            <v>0</v>
          </cell>
          <cell r="X849">
            <v>1327862.9032258061</v>
          </cell>
          <cell r="Y849">
            <v>72500</v>
          </cell>
        </row>
        <row r="850">
          <cell r="E850">
            <v>0</v>
          </cell>
          <cell r="F850" t="str">
            <v>Fortune ponsel</v>
          </cell>
          <cell r="G850">
            <v>0</v>
          </cell>
          <cell r="H850">
            <v>0</v>
          </cell>
          <cell r="I850">
            <v>1</v>
          </cell>
          <cell r="J850">
            <v>1</v>
          </cell>
          <cell r="K850">
            <v>1</v>
          </cell>
          <cell r="L850">
            <v>1</v>
          </cell>
          <cell r="M850">
            <v>0</v>
          </cell>
          <cell r="N850">
            <v>1</v>
          </cell>
          <cell r="O850">
            <v>1</v>
          </cell>
          <cell r="P850">
            <v>0</v>
          </cell>
          <cell r="Q850">
            <v>1</v>
          </cell>
          <cell r="R850">
            <v>1</v>
          </cell>
          <cell r="S850">
            <v>0</v>
          </cell>
          <cell r="T850">
            <v>0</v>
          </cell>
          <cell r="U850">
            <v>0</v>
          </cell>
          <cell r="V850">
            <v>0</v>
          </cell>
          <cell r="W850">
            <v>0</v>
          </cell>
          <cell r="X850">
            <v>90710.430107527005</v>
          </cell>
          <cell r="Y850">
            <v>144000</v>
          </cell>
        </row>
        <row r="851">
          <cell r="E851">
            <v>0</v>
          </cell>
          <cell r="F851" t="str">
            <v>Warung Baroqah</v>
          </cell>
          <cell r="G851">
            <v>0</v>
          </cell>
          <cell r="H851">
            <v>0</v>
          </cell>
          <cell r="I851">
            <v>1</v>
          </cell>
          <cell r="J851">
            <v>1</v>
          </cell>
          <cell r="K851">
            <v>0</v>
          </cell>
          <cell r="L851">
            <v>0</v>
          </cell>
          <cell r="M851">
            <v>0</v>
          </cell>
          <cell r="N851">
            <v>0</v>
          </cell>
          <cell r="O851">
            <v>0</v>
          </cell>
          <cell r="P851">
            <v>0</v>
          </cell>
          <cell r="Q851">
            <v>0</v>
          </cell>
          <cell r="R851">
            <v>0</v>
          </cell>
          <cell r="S851">
            <v>0</v>
          </cell>
          <cell r="T851">
            <v>0</v>
          </cell>
          <cell r="U851">
            <v>0</v>
          </cell>
          <cell r="V851">
            <v>0</v>
          </cell>
          <cell r="W851">
            <v>0</v>
          </cell>
          <cell r="X851">
            <v>439840.32258064498</v>
          </cell>
          <cell r="Y851">
            <v>90000</v>
          </cell>
        </row>
        <row r="852">
          <cell r="E852">
            <v>0</v>
          </cell>
          <cell r="F852" t="str">
            <v>KING PONSEL 2</v>
          </cell>
          <cell r="G852">
            <v>0</v>
          </cell>
          <cell r="H852">
            <v>0</v>
          </cell>
          <cell r="I852">
            <v>1</v>
          </cell>
          <cell r="J852">
            <v>1</v>
          </cell>
          <cell r="K852">
            <v>0</v>
          </cell>
          <cell r="L852">
            <v>0</v>
          </cell>
          <cell r="M852">
            <v>0</v>
          </cell>
          <cell r="N852">
            <v>0</v>
          </cell>
          <cell r="O852">
            <v>0</v>
          </cell>
          <cell r="P852">
            <v>0</v>
          </cell>
          <cell r="Q852">
            <v>0</v>
          </cell>
          <cell r="R852">
            <v>0</v>
          </cell>
          <cell r="S852">
            <v>0</v>
          </cell>
          <cell r="T852">
            <v>0</v>
          </cell>
          <cell r="U852">
            <v>0</v>
          </cell>
          <cell r="V852">
            <v>0</v>
          </cell>
          <cell r="W852">
            <v>0</v>
          </cell>
          <cell r="X852">
            <v>84820.564516129001</v>
          </cell>
          <cell r="Y852">
            <v>90000</v>
          </cell>
        </row>
        <row r="853">
          <cell r="E853">
            <v>0</v>
          </cell>
          <cell r="F853" t="str">
            <v>Cahaya Dunia</v>
          </cell>
          <cell r="G853">
            <v>0</v>
          </cell>
          <cell r="H853">
            <v>0</v>
          </cell>
          <cell r="I853">
            <v>0</v>
          </cell>
          <cell r="J853">
            <v>0</v>
          </cell>
          <cell r="K853">
            <v>0</v>
          </cell>
          <cell r="L853">
            <v>0</v>
          </cell>
          <cell r="M853">
            <v>0</v>
          </cell>
          <cell r="N853">
            <v>0</v>
          </cell>
          <cell r="O853">
            <v>0</v>
          </cell>
          <cell r="P853">
            <v>0</v>
          </cell>
          <cell r="Q853">
            <v>0</v>
          </cell>
          <cell r="R853">
            <v>0</v>
          </cell>
          <cell r="S853">
            <v>0</v>
          </cell>
          <cell r="T853">
            <v>0</v>
          </cell>
          <cell r="U853">
            <v>0</v>
          </cell>
          <cell r="V853">
            <v>0</v>
          </cell>
          <cell r="W853">
            <v>0</v>
          </cell>
          <cell r="X853">
            <v>0</v>
          </cell>
          <cell r="Y853">
            <v>0</v>
          </cell>
        </row>
        <row r="854">
          <cell r="E854">
            <v>0</v>
          </cell>
          <cell r="F854" t="str">
            <v>Warung Al Feri Serumpun</v>
          </cell>
          <cell r="G854">
            <v>0</v>
          </cell>
          <cell r="H854">
            <v>0</v>
          </cell>
          <cell r="I854">
            <v>0</v>
          </cell>
          <cell r="J854">
            <v>0</v>
          </cell>
          <cell r="K854">
            <v>0</v>
          </cell>
          <cell r="L854">
            <v>0</v>
          </cell>
          <cell r="M854">
            <v>0</v>
          </cell>
          <cell r="N854">
            <v>0</v>
          </cell>
          <cell r="O854">
            <v>0</v>
          </cell>
          <cell r="P854">
            <v>0</v>
          </cell>
          <cell r="Q854">
            <v>0</v>
          </cell>
          <cell r="R854">
            <v>0</v>
          </cell>
          <cell r="S854">
            <v>0</v>
          </cell>
          <cell r="T854">
            <v>0</v>
          </cell>
          <cell r="U854">
            <v>0</v>
          </cell>
          <cell r="V854">
            <v>0</v>
          </cell>
          <cell r="W854">
            <v>0</v>
          </cell>
          <cell r="X854">
            <v>509058.62068965501</v>
          </cell>
          <cell r="Y854">
            <v>90000</v>
          </cell>
        </row>
        <row r="855">
          <cell r="E855">
            <v>0</v>
          </cell>
          <cell r="F855" t="str">
            <v>Dhiya ponsel</v>
          </cell>
          <cell r="G855">
            <v>0</v>
          </cell>
          <cell r="H855">
            <v>0</v>
          </cell>
          <cell r="I855">
            <v>1</v>
          </cell>
          <cell r="J855">
            <v>1</v>
          </cell>
          <cell r="K855">
            <v>3</v>
          </cell>
          <cell r="L855">
            <v>3</v>
          </cell>
          <cell r="M855">
            <v>0</v>
          </cell>
          <cell r="N855">
            <v>1</v>
          </cell>
          <cell r="O855">
            <v>1</v>
          </cell>
          <cell r="P855">
            <v>0</v>
          </cell>
          <cell r="Q855">
            <v>1</v>
          </cell>
          <cell r="R855">
            <v>1</v>
          </cell>
          <cell r="S855">
            <v>0</v>
          </cell>
          <cell r="T855">
            <v>14</v>
          </cell>
          <cell r="U855">
            <v>0</v>
          </cell>
          <cell r="V855">
            <v>0</v>
          </cell>
          <cell r="W855">
            <v>0</v>
          </cell>
          <cell r="X855">
            <v>1036508.7688172041</v>
          </cell>
          <cell r="Y855">
            <v>400500</v>
          </cell>
        </row>
        <row r="856">
          <cell r="E856">
            <v>0</v>
          </cell>
          <cell r="F856" t="str">
            <v>dunia ponsel</v>
          </cell>
          <cell r="G856">
            <v>0</v>
          </cell>
          <cell r="H856">
            <v>0</v>
          </cell>
          <cell r="I856">
            <v>0</v>
          </cell>
          <cell r="J856">
            <v>0</v>
          </cell>
          <cell r="K856">
            <v>0</v>
          </cell>
          <cell r="L856">
            <v>0</v>
          </cell>
          <cell r="M856">
            <v>0</v>
          </cell>
          <cell r="N856">
            <v>0</v>
          </cell>
          <cell r="O856">
            <v>0</v>
          </cell>
          <cell r="P856">
            <v>0</v>
          </cell>
          <cell r="Q856">
            <v>0</v>
          </cell>
          <cell r="R856">
            <v>0</v>
          </cell>
          <cell r="S856">
            <v>0</v>
          </cell>
          <cell r="T856">
            <v>0</v>
          </cell>
          <cell r="U856">
            <v>0</v>
          </cell>
          <cell r="V856">
            <v>0</v>
          </cell>
          <cell r="W856">
            <v>0</v>
          </cell>
          <cell r="X856">
            <v>596408.40338318795</v>
          </cell>
          <cell r="Y856">
            <v>500000</v>
          </cell>
        </row>
        <row r="857">
          <cell r="E857">
            <v>0</v>
          </cell>
          <cell r="F857" t="str">
            <v>Global ponsel</v>
          </cell>
          <cell r="G857">
            <v>0</v>
          </cell>
          <cell r="H857">
            <v>0</v>
          </cell>
          <cell r="I857">
            <v>1</v>
          </cell>
          <cell r="J857">
            <v>1</v>
          </cell>
          <cell r="K857">
            <v>2</v>
          </cell>
          <cell r="L857">
            <v>2</v>
          </cell>
          <cell r="M857">
            <v>0</v>
          </cell>
          <cell r="N857">
            <v>0</v>
          </cell>
          <cell r="O857">
            <v>0</v>
          </cell>
          <cell r="P857">
            <v>0</v>
          </cell>
          <cell r="Q857">
            <v>0</v>
          </cell>
          <cell r="R857">
            <v>0</v>
          </cell>
          <cell r="S857">
            <v>0</v>
          </cell>
          <cell r="T857">
            <v>0</v>
          </cell>
          <cell r="U857">
            <v>2</v>
          </cell>
          <cell r="V857">
            <v>0</v>
          </cell>
          <cell r="W857">
            <v>300000</v>
          </cell>
          <cell r="X857">
            <v>660945.53225806402</v>
          </cell>
          <cell r="Y857">
            <v>694000</v>
          </cell>
        </row>
        <row r="858">
          <cell r="E858">
            <v>0</v>
          </cell>
          <cell r="F858" t="str">
            <v>Nani ponsel</v>
          </cell>
          <cell r="G858">
            <v>0</v>
          </cell>
          <cell r="H858">
            <v>0</v>
          </cell>
          <cell r="I858">
            <v>1</v>
          </cell>
          <cell r="J858">
            <v>1</v>
          </cell>
          <cell r="K858">
            <v>0</v>
          </cell>
          <cell r="L858">
            <v>0</v>
          </cell>
          <cell r="M858">
            <v>0</v>
          </cell>
          <cell r="N858">
            <v>0</v>
          </cell>
          <cell r="O858">
            <v>0</v>
          </cell>
          <cell r="P858">
            <v>0</v>
          </cell>
          <cell r="Q858">
            <v>0</v>
          </cell>
          <cell r="R858">
            <v>0</v>
          </cell>
          <cell r="S858">
            <v>0</v>
          </cell>
          <cell r="T858">
            <v>0</v>
          </cell>
          <cell r="U858">
            <v>0</v>
          </cell>
          <cell r="V858">
            <v>0</v>
          </cell>
          <cell r="W858">
            <v>0</v>
          </cell>
          <cell r="X858">
            <v>404825.55346143403</v>
          </cell>
          <cell r="Y858">
            <v>426500</v>
          </cell>
        </row>
        <row r="859">
          <cell r="E859">
            <v>0</v>
          </cell>
          <cell r="F859" t="str">
            <v>Yuda pnsel</v>
          </cell>
          <cell r="G859">
            <v>0</v>
          </cell>
          <cell r="H859">
            <v>0</v>
          </cell>
          <cell r="I859">
            <v>0</v>
          </cell>
          <cell r="J859">
            <v>0</v>
          </cell>
          <cell r="K859">
            <v>0</v>
          </cell>
          <cell r="L859">
            <v>0</v>
          </cell>
          <cell r="M859">
            <v>0</v>
          </cell>
          <cell r="N859">
            <v>0</v>
          </cell>
          <cell r="O859">
            <v>0</v>
          </cell>
          <cell r="P859">
            <v>0</v>
          </cell>
          <cell r="Q859">
            <v>0</v>
          </cell>
          <cell r="R859">
            <v>0</v>
          </cell>
          <cell r="S859">
            <v>0</v>
          </cell>
          <cell r="T859">
            <v>0</v>
          </cell>
          <cell r="U859">
            <v>0</v>
          </cell>
          <cell r="V859">
            <v>0</v>
          </cell>
          <cell r="W859">
            <v>0</v>
          </cell>
          <cell r="X859">
            <v>513987.20029304398</v>
          </cell>
          <cell r="Y859">
            <v>0</v>
          </cell>
        </row>
        <row r="860">
          <cell r="E860">
            <v>0</v>
          </cell>
          <cell r="F860" t="str">
            <v>Rizhall Cyber Celcom</v>
          </cell>
          <cell r="G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0</v>
          </cell>
          <cell r="M860">
            <v>0</v>
          </cell>
          <cell r="N860">
            <v>0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0</v>
          </cell>
          <cell r="U860">
            <v>0</v>
          </cell>
          <cell r="V860">
            <v>0</v>
          </cell>
          <cell r="W860">
            <v>0</v>
          </cell>
          <cell r="X860">
            <v>269327.02419354802</v>
          </cell>
          <cell r="Y860">
            <v>0</v>
          </cell>
        </row>
        <row r="861">
          <cell r="E861">
            <v>0</v>
          </cell>
          <cell r="F861" t="str">
            <v>YAYUK</v>
          </cell>
          <cell r="G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0</v>
          </cell>
          <cell r="M861">
            <v>0</v>
          </cell>
          <cell r="N861">
            <v>0</v>
          </cell>
          <cell r="O861">
            <v>0</v>
          </cell>
          <cell r="P861">
            <v>0</v>
          </cell>
          <cell r="Q861">
            <v>0</v>
          </cell>
          <cell r="R861">
            <v>0</v>
          </cell>
          <cell r="S861">
            <v>0</v>
          </cell>
          <cell r="T861">
            <v>0</v>
          </cell>
          <cell r="U861">
            <v>0</v>
          </cell>
          <cell r="V861">
            <v>0</v>
          </cell>
          <cell r="W861">
            <v>0</v>
          </cell>
          <cell r="X861">
            <v>96655.5</v>
          </cell>
          <cell r="Y861">
            <v>0</v>
          </cell>
        </row>
        <row r="862">
          <cell r="E862">
            <v>0</v>
          </cell>
          <cell r="F862" t="str">
            <v>master ponsel</v>
          </cell>
          <cell r="G862">
            <v>0</v>
          </cell>
          <cell r="H862">
            <v>0</v>
          </cell>
          <cell r="I862">
            <v>1</v>
          </cell>
          <cell r="J862">
            <v>1</v>
          </cell>
          <cell r="K862">
            <v>1</v>
          </cell>
          <cell r="L862">
            <v>1</v>
          </cell>
          <cell r="M862">
            <v>0</v>
          </cell>
          <cell r="N862">
            <v>0</v>
          </cell>
          <cell r="O862">
            <v>0</v>
          </cell>
          <cell r="P862">
            <v>0</v>
          </cell>
          <cell r="Q862">
            <v>1</v>
          </cell>
          <cell r="R862">
            <v>1</v>
          </cell>
          <cell r="S862">
            <v>0</v>
          </cell>
          <cell r="T862">
            <v>1</v>
          </cell>
          <cell r="U862">
            <v>0</v>
          </cell>
          <cell r="V862">
            <v>0</v>
          </cell>
          <cell r="W862">
            <v>0</v>
          </cell>
          <cell r="X862">
            <v>0</v>
          </cell>
          <cell r="Y862">
            <v>72000</v>
          </cell>
        </row>
        <row r="863">
          <cell r="E863">
            <v>0</v>
          </cell>
          <cell r="F863" t="str">
            <v>METALIC CELL</v>
          </cell>
          <cell r="G863">
            <v>0</v>
          </cell>
          <cell r="H863">
            <v>0</v>
          </cell>
          <cell r="I863">
            <v>1</v>
          </cell>
          <cell r="J863">
            <v>1</v>
          </cell>
          <cell r="K863">
            <v>0</v>
          </cell>
          <cell r="L863">
            <v>0</v>
          </cell>
          <cell r="M863">
            <v>0</v>
          </cell>
          <cell r="N863">
            <v>0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0</v>
          </cell>
          <cell r="U863">
            <v>0</v>
          </cell>
          <cell r="V863">
            <v>0</v>
          </cell>
          <cell r="W863">
            <v>50000</v>
          </cell>
          <cell r="X863">
            <v>73816.5</v>
          </cell>
          <cell r="Y863">
            <v>103000</v>
          </cell>
        </row>
        <row r="864">
          <cell r="E864">
            <v>0</v>
          </cell>
          <cell r="F864" t="str">
            <v>AILA PULSA</v>
          </cell>
          <cell r="G864">
            <v>0</v>
          </cell>
          <cell r="H864">
            <v>0</v>
          </cell>
          <cell r="I864">
            <v>0</v>
          </cell>
          <cell r="J864">
            <v>0</v>
          </cell>
          <cell r="K864">
            <v>0</v>
          </cell>
          <cell r="L864">
            <v>0</v>
          </cell>
          <cell r="M864">
            <v>0</v>
          </cell>
          <cell r="N864">
            <v>0</v>
          </cell>
          <cell r="O864">
            <v>0</v>
          </cell>
          <cell r="P864">
            <v>0</v>
          </cell>
          <cell r="Q864">
            <v>0</v>
          </cell>
          <cell r="R864">
            <v>0</v>
          </cell>
          <cell r="S864">
            <v>0</v>
          </cell>
          <cell r="T864">
            <v>0</v>
          </cell>
          <cell r="U864">
            <v>0</v>
          </cell>
          <cell r="V864">
            <v>0</v>
          </cell>
          <cell r="W864">
            <v>0</v>
          </cell>
          <cell r="X864">
            <v>0</v>
          </cell>
          <cell r="Y864">
            <v>0</v>
          </cell>
        </row>
        <row r="865">
          <cell r="E865">
            <v>0</v>
          </cell>
          <cell r="F865" t="str">
            <v>PEACE PONSEL</v>
          </cell>
          <cell r="G865">
            <v>0</v>
          </cell>
          <cell r="H865">
            <v>0</v>
          </cell>
          <cell r="I865">
            <v>1</v>
          </cell>
          <cell r="J865">
            <v>1</v>
          </cell>
          <cell r="K865">
            <v>4</v>
          </cell>
          <cell r="L865">
            <v>4</v>
          </cell>
          <cell r="M865">
            <v>0</v>
          </cell>
          <cell r="N865">
            <v>2</v>
          </cell>
          <cell r="O865">
            <v>2</v>
          </cell>
          <cell r="P865">
            <v>0</v>
          </cell>
          <cell r="Q865">
            <v>3</v>
          </cell>
          <cell r="R865">
            <v>3</v>
          </cell>
          <cell r="S865">
            <v>0</v>
          </cell>
          <cell r="T865">
            <v>0</v>
          </cell>
          <cell r="U865">
            <v>1</v>
          </cell>
          <cell r="V865">
            <v>0</v>
          </cell>
          <cell r="W865">
            <v>0</v>
          </cell>
          <cell r="X865">
            <v>840855.16129032301</v>
          </cell>
          <cell r="Y865">
            <v>66250</v>
          </cell>
        </row>
        <row r="866">
          <cell r="E866">
            <v>0</v>
          </cell>
          <cell r="F866" t="str">
            <v>Barokah 2 Ponsel</v>
          </cell>
          <cell r="G866">
            <v>0</v>
          </cell>
          <cell r="H866">
            <v>0</v>
          </cell>
          <cell r="I866">
            <v>0</v>
          </cell>
          <cell r="J866">
            <v>0</v>
          </cell>
          <cell r="K866">
            <v>0</v>
          </cell>
          <cell r="L866">
            <v>0</v>
          </cell>
          <cell r="M866">
            <v>0</v>
          </cell>
          <cell r="N866">
            <v>0</v>
          </cell>
          <cell r="O866">
            <v>0</v>
          </cell>
          <cell r="P866">
            <v>0</v>
          </cell>
          <cell r="Q866">
            <v>0</v>
          </cell>
          <cell r="R866">
            <v>0</v>
          </cell>
          <cell r="S866">
            <v>0</v>
          </cell>
          <cell r="T866">
            <v>0</v>
          </cell>
          <cell r="U866">
            <v>0</v>
          </cell>
          <cell r="V866">
            <v>0</v>
          </cell>
          <cell r="W866">
            <v>0</v>
          </cell>
          <cell r="X866">
            <v>0</v>
          </cell>
          <cell r="Y866">
            <v>0</v>
          </cell>
        </row>
        <row r="867">
          <cell r="E867">
            <v>0</v>
          </cell>
          <cell r="F867" t="str">
            <v>Cahaya ponsel</v>
          </cell>
          <cell r="G867">
            <v>0</v>
          </cell>
          <cell r="H867">
            <v>0</v>
          </cell>
          <cell r="I867">
            <v>1</v>
          </cell>
          <cell r="J867">
            <v>1</v>
          </cell>
          <cell r="K867">
            <v>1</v>
          </cell>
          <cell r="L867">
            <v>1</v>
          </cell>
          <cell r="M867">
            <v>0</v>
          </cell>
          <cell r="N867">
            <v>1</v>
          </cell>
          <cell r="O867">
            <v>1</v>
          </cell>
          <cell r="P867">
            <v>0</v>
          </cell>
          <cell r="Q867">
            <v>1</v>
          </cell>
          <cell r="R867">
            <v>1</v>
          </cell>
          <cell r="S867">
            <v>0</v>
          </cell>
          <cell r="T867">
            <v>0</v>
          </cell>
          <cell r="U867">
            <v>0</v>
          </cell>
          <cell r="V867">
            <v>0</v>
          </cell>
          <cell r="W867">
            <v>0</v>
          </cell>
          <cell r="X867">
            <v>1397382.6397849461</v>
          </cell>
          <cell r="Y867">
            <v>66250</v>
          </cell>
        </row>
        <row r="868">
          <cell r="E868">
            <v>0</v>
          </cell>
          <cell r="F868" t="str">
            <v>Kingkong</v>
          </cell>
          <cell r="G868">
            <v>0</v>
          </cell>
          <cell r="H868">
            <v>0</v>
          </cell>
          <cell r="I868">
            <v>1</v>
          </cell>
          <cell r="J868">
            <v>1</v>
          </cell>
          <cell r="K868">
            <v>0</v>
          </cell>
          <cell r="L868">
            <v>0</v>
          </cell>
          <cell r="M868">
            <v>0</v>
          </cell>
          <cell r="N868">
            <v>0</v>
          </cell>
          <cell r="O868">
            <v>0</v>
          </cell>
          <cell r="P868">
            <v>0</v>
          </cell>
          <cell r="Q868">
            <v>0</v>
          </cell>
          <cell r="R868">
            <v>0</v>
          </cell>
          <cell r="S868">
            <v>0</v>
          </cell>
          <cell r="T868">
            <v>0</v>
          </cell>
          <cell r="U868">
            <v>0</v>
          </cell>
          <cell r="V868">
            <v>0</v>
          </cell>
          <cell r="W868">
            <v>0</v>
          </cell>
          <cell r="X868">
            <v>442925.38709677401</v>
          </cell>
          <cell r="Y868">
            <v>72000</v>
          </cell>
        </row>
        <row r="869">
          <cell r="E869">
            <v>0</v>
          </cell>
          <cell r="F869" t="str">
            <v>JUN PONSEL</v>
          </cell>
          <cell r="G869">
            <v>0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0</v>
          </cell>
          <cell r="M869">
            <v>0</v>
          </cell>
          <cell r="N869">
            <v>0</v>
          </cell>
          <cell r="O869">
            <v>0</v>
          </cell>
          <cell r="P869">
            <v>0</v>
          </cell>
          <cell r="Q869">
            <v>0</v>
          </cell>
          <cell r="R869">
            <v>0</v>
          </cell>
          <cell r="S869">
            <v>0</v>
          </cell>
          <cell r="T869">
            <v>0</v>
          </cell>
          <cell r="U869">
            <v>0</v>
          </cell>
          <cell r="V869">
            <v>0</v>
          </cell>
          <cell r="W869">
            <v>0</v>
          </cell>
          <cell r="X869">
            <v>0</v>
          </cell>
          <cell r="Y869">
            <v>0</v>
          </cell>
        </row>
        <row r="870">
          <cell r="E870">
            <v>0</v>
          </cell>
          <cell r="F870" t="str">
            <v>Giga cell</v>
          </cell>
          <cell r="G870">
            <v>0</v>
          </cell>
          <cell r="H870">
            <v>0</v>
          </cell>
          <cell r="I870">
            <v>0</v>
          </cell>
          <cell r="J870">
            <v>0</v>
          </cell>
          <cell r="K870">
            <v>2</v>
          </cell>
          <cell r="L870">
            <v>2</v>
          </cell>
          <cell r="M870">
            <v>0</v>
          </cell>
          <cell r="N870">
            <v>1</v>
          </cell>
          <cell r="O870">
            <v>1</v>
          </cell>
          <cell r="P870">
            <v>0</v>
          </cell>
          <cell r="Q870">
            <v>1</v>
          </cell>
          <cell r="R870">
            <v>1</v>
          </cell>
          <cell r="S870">
            <v>0</v>
          </cell>
          <cell r="T870">
            <v>4</v>
          </cell>
          <cell r="U870">
            <v>1</v>
          </cell>
          <cell r="V870">
            <v>0</v>
          </cell>
          <cell r="W870">
            <v>0</v>
          </cell>
          <cell r="X870">
            <v>590876.29032258096</v>
          </cell>
          <cell r="Y870">
            <v>0</v>
          </cell>
        </row>
        <row r="871">
          <cell r="E871">
            <v>0</v>
          </cell>
          <cell r="F871" t="str">
            <v>FANN CELL</v>
          </cell>
          <cell r="G871">
            <v>0</v>
          </cell>
          <cell r="H871">
            <v>0</v>
          </cell>
          <cell r="I871">
            <v>0</v>
          </cell>
          <cell r="J871">
            <v>0</v>
          </cell>
          <cell r="K871">
            <v>0</v>
          </cell>
          <cell r="L871">
            <v>0</v>
          </cell>
          <cell r="M871">
            <v>0</v>
          </cell>
          <cell r="N871">
            <v>0</v>
          </cell>
          <cell r="O871">
            <v>0</v>
          </cell>
          <cell r="P871">
            <v>0</v>
          </cell>
          <cell r="Q871">
            <v>0</v>
          </cell>
          <cell r="R871">
            <v>0</v>
          </cell>
          <cell r="S871">
            <v>0</v>
          </cell>
          <cell r="T871">
            <v>0</v>
          </cell>
          <cell r="U871">
            <v>0</v>
          </cell>
          <cell r="V871">
            <v>0</v>
          </cell>
          <cell r="W871">
            <v>0</v>
          </cell>
          <cell r="X871">
            <v>332396.45161290298</v>
          </cell>
          <cell r="Y871">
            <v>0</v>
          </cell>
        </row>
        <row r="872">
          <cell r="E872">
            <v>0</v>
          </cell>
          <cell r="F872" t="str">
            <v>Super acc</v>
          </cell>
          <cell r="G872">
            <v>0</v>
          </cell>
          <cell r="H872">
            <v>0</v>
          </cell>
          <cell r="I872">
            <v>0</v>
          </cell>
          <cell r="J872">
            <v>0</v>
          </cell>
          <cell r="K872">
            <v>2</v>
          </cell>
          <cell r="L872">
            <v>2</v>
          </cell>
          <cell r="M872">
            <v>0</v>
          </cell>
          <cell r="N872">
            <v>1</v>
          </cell>
          <cell r="O872">
            <v>1</v>
          </cell>
          <cell r="P872">
            <v>0</v>
          </cell>
          <cell r="Q872">
            <v>1</v>
          </cell>
          <cell r="R872">
            <v>1</v>
          </cell>
          <cell r="S872">
            <v>0</v>
          </cell>
          <cell r="T872">
            <v>0</v>
          </cell>
          <cell r="U872">
            <v>0</v>
          </cell>
          <cell r="V872">
            <v>0</v>
          </cell>
          <cell r="W872">
            <v>0</v>
          </cell>
          <cell r="X872">
            <v>1370172.150537635</v>
          </cell>
          <cell r="Y872">
            <v>464500</v>
          </cell>
        </row>
        <row r="873">
          <cell r="E873">
            <v>0</v>
          </cell>
          <cell r="F873" t="str">
            <v>Master 2</v>
          </cell>
          <cell r="G873">
            <v>0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0</v>
          </cell>
          <cell r="M873">
            <v>0</v>
          </cell>
          <cell r="N873">
            <v>0</v>
          </cell>
          <cell r="O873">
            <v>0</v>
          </cell>
          <cell r="P873">
            <v>0</v>
          </cell>
          <cell r="Q873">
            <v>0</v>
          </cell>
          <cell r="R873">
            <v>0</v>
          </cell>
          <cell r="S873">
            <v>0</v>
          </cell>
          <cell r="T873">
            <v>0</v>
          </cell>
          <cell r="U873">
            <v>0</v>
          </cell>
          <cell r="V873">
            <v>0</v>
          </cell>
          <cell r="W873">
            <v>0</v>
          </cell>
          <cell r="X873">
            <v>2960892.661290322</v>
          </cell>
          <cell r="Y873">
            <v>0</v>
          </cell>
        </row>
        <row r="874">
          <cell r="E874">
            <v>0</v>
          </cell>
          <cell r="F874" t="str">
            <v>LION CELLULER</v>
          </cell>
          <cell r="G874">
            <v>0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</v>
          </cell>
          <cell r="O874">
            <v>0</v>
          </cell>
          <cell r="P874">
            <v>0</v>
          </cell>
          <cell r="Q874">
            <v>0</v>
          </cell>
          <cell r="R874">
            <v>0</v>
          </cell>
          <cell r="S874">
            <v>0</v>
          </cell>
          <cell r="T874">
            <v>0</v>
          </cell>
          <cell r="U874">
            <v>0</v>
          </cell>
          <cell r="V874">
            <v>0</v>
          </cell>
          <cell r="W874">
            <v>0</v>
          </cell>
          <cell r="X874">
            <v>5366.6767762609998</v>
          </cell>
          <cell r="Y874">
            <v>0</v>
          </cell>
        </row>
        <row r="875">
          <cell r="E875">
            <v>0</v>
          </cell>
          <cell r="F875" t="str">
            <v>Ss acc</v>
          </cell>
          <cell r="G875">
            <v>0</v>
          </cell>
          <cell r="H875">
            <v>0</v>
          </cell>
          <cell r="I875">
            <v>1</v>
          </cell>
          <cell r="J875">
            <v>1</v>
          </cell>
          <cell r="K875">
            <v>0</v>
          </cell>
          <cell r="L875">
            <v>0</v>
          </cell>
          <cell r="M875">
            <v>0</v>
          </cell>
          <cell r="N875">
            <v>0</v>
          </cell>
          <cell r="O875">
            <v>0</v>
          </cell>
          <cell r="P875">
            <v>0</v>
          </cell>
          <cell r="Q875">
            <v>0</v>
          </cell>
          <cell r="R875">
            <v>0</v>
          </cell>
          <cell r="S875">
            <v>0</v>
          </cell>
          <cell r="T875">
            <v>0</v>
          </cell>
          <cell r="U875">
            <v>0</v>
          </cell>
          <cell r="V875">
            <v>0</v>
          </cell>
          <cell r="W875">
            <v>0</v>
          </cell>
          <cell r="X875">
            <v>53349.556451613003</v>
          </cell>
          <cell r="Y875">
            <v>53000</v>
          </cell>
        </row>
        <row r="876">
          <cell r="E876">
            <v>0</v>
          </cell>
          <cell r="F876" t="str">
            <v>ILHAM PONSEL</v>
          </cell>
          <cell r="G876">
            <v>0</v>
          </cell>
          <cell r="H876">
            <v>0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</v>
          </cell>
          <cell r="O876">
            <v>0</v>
          </cell>
          <cell r="P876">
            <v>0</v>
          </cell>
          <cell r="Q876">
            <v>0</v>
          </cell>
          <cell r="R876">
            <v>0</v>
          </cell>
          <cell r="S876">
            <v>0</v>
          </cell>
          <cell r="T876">
            <v>0</v>
          </cell>
          <cell r="U876">
            <v>0</v>
          </cell>
          <cell r="V876">
            <v>0</v>
          </cell>
          <cell r="W876">
            <v>0</v>
          </cell>
          <cell r="X876">
            <v>940446.21603045799</v>
          </cell>
          <cell r="Y876">
            <v>0</v>
          </cell>
        </row>
        <row r="877">
          <cell r="E877">
            <v>0</v>
          </cell>
          <cell r="F877" t="str">
            <v>EMY CELL</v>
          </cell>
          <cell r="G877">
            <v>0</v>
          </cell>
          <cell r="H877">
            <v>0</v>
          </cell>
          <cell r="I877">
            <v>1</v>
          </cell>
          <cell r="J877">
            <v>1</v>
          </cell>
          <cell r="K877">
            <v>2</v>
          </cell>
          <cell r="L877">
            <v>2</v>
          </cell>
          <cell r="M877">
            <v>0</v>
          </cell>
          <cell r="N877">
            <v>1</v>
          </cell>
          <cell r="O877">
            <v>1</v>
          </cell>
          <cell r="P877">
            <v>0</v>
          </cell>
          <cell r="Q877">
            <v>1</v>
          </cell>
          <cell r="R877">
            <v>1</v>
          </cell>
          <cell r="S877">
            <v>0</v>
          </cell>
          <cell r="T877">
            <v>1</v>
          </cell>
          <cell r="U877">
            <v>0</v>
          </cell>
          <cell r="V877">
            <v>0</v>
          </cell>
          <cell r="W877">
            <v>0</v>
          </cell>
          <cell r="X877">
            <v>30666.724435775999</v>
          </cell>
          <cell r="Y877">
            <v>72000</v>
          </cell>
        </row>
        <row r="878">
          <cell r="E878">
            <v>0</v>
          </cell>
          <cell r="F878" t="str">
            <v>B-Mart</v>
          </cell>
          <cell r="G878">
            <v>0</v>
          </cell>
          <cell r="H878">
            <v>0</v>
          </cell>
          <cell r="I878">
            <v>0</v>
          </cell>
          <cell r="J878">
            <v>0</v>
          </cell>
          <cell r="K878">
            <v>0</v>
          </cell>
          <cell r="L878">
            <v>0</v>
          </cell>
          <cell r="M878">
            <v>0</v>
          </cell>
          <cell r="N878">
            <v>0</v>
          </cell>
          <cell r="O878">
            <v>0</v>
          </cell>
          <cell r="P878">
            <v>0</v>
          </cell>
          <cell r="Q878">
            <v>0</v>
          </cell>
          <cell r="R878">
            <v>0</v>
          </cell>
          <cell r="S878">
            <v>0</v>
          </cell>
          <cell r="T878">
            <v>0</v>
          </cell>
          <cell r="U878">
            <v>0</v>
          </cell>
          <cell r="V878">
            <v>0</v>
          </cell>
          <cell r="W878">
            <v>0</v>
          </cell>
          <cell r="X878">
            <v>0</v>
          </cell>
          <cell r="Y878">
            <v>0</v>
          </cell>
        </row>
        <row r="879">
          <cell r="E879">
            <v>0</v>
          </cell>
          <cell r="F879" t="str">
            <v>HAZ STORE</v>
          </cell>
          <cell r="G879">
            <v>0</v>
          </cell>
          <cell r="H879">
            <v>0</v>
          </cell>
          <cell r="I879">
            <v>1</v>
          </cell>
          <cell r="J879">
            <v>1</v>
          </cell>
          <cell r="K879">
            <v>1</v>
          </cell>
          <cell r="L879">
            <v>1</v>
          </cell>
          <cell r="M879">
            <v>0</v>
          </cell>
          <cell r="N879">
            <v>1</v>
          </cell>
          <cell r="O879">
            <v>1</v>
          </cell>
          <cell r="P879">
            <v>0</v>
          </cell>
          <cell r="Q879">
            <v>1</v>
          </cell>
          <cell r="R879">
            <v>1</v>
          </cell>
          <cell r="S879">
            <v>0</v>
          </cell>
          <cell r="T879">
            <v>1</v>
          </cell>
          <cell r="U879">
            <v>0</v>
          </cell>
          <cell r="V879">
            <v>0</v>
          </cell>
          <cell r="W879">
            <v>0</v>
          </cell>
          <cell r="X879">
            <v>273040.56451612897</v>
          </cell>
          <cell r="Y879">
            <v>54000</v>
          </cell>
        </row>
        <row r="880">
          <cell r="E880">
            <v>0</v>
          </cell>
          <cell r="F880" t="str">
            <v>Melody ACC</v>
          </cell>
          <cell r="G880">
            <v>0</v>
          </cell>
          <cell r="H880">
            <v>0</v>
          </cell>
          <cell r="I880">
            <v>1</v>
          </cell>
          <cell r="J880">
            <v>1</v>
          </cell>
          <cell r="K880">
            <v>1</v>
          </cell>
          <cell r="L880">
            <v>1</v>
          </cell>
          <cell r="M880">
            <v>0</v>
          </cell>
          <cell r="N880">
            <v>0</v>
          </cell>
          <cell r="O880">
            <v>0</v>
          </cell>
          <cell r="P880">
            <v>0</v>
          </cell>
          <cell r="Q880">
            <v>0</v>
          </cell>
          <cell r="R880">
            <v>0</v>
          </cell>
          <cell r="S880">
            <v>0</v>
          </cell>
          <cell r="T880">
            <v>0</v>
          </cell>
          <cell r="U880">
            <v>0</v>
          </cell>
          <cell r="V880">
            <v>0</v>
          </cell>
          <cell r="W880">
            <v>0</v>
          </cell>
          <cell r="X880">
            <v>122882.122390962</v>
          </cell>
          <cell r="Y880">
            <v>59500</v>
          </cell>
        </row>
        <row r="881">
          <cell r="E881">
            <v>0</v>
          </cell>
          <cell r="F881" t="str">
            <v>Green acc</v>
          </cell>
          <cell r="G881">
            <v>0</v>
          </cell>
          <cell r="H881">
            <v>0</v>
          </cell>
          <cell r="I881">
            <v>0</v>
          </cell>
          <cell r="J881">
            <v>0</v>
          </cell>
          <cell r="K881">
            <v>2</v>
          </cell>
          <cell r="L881">
            <v>2</v>
          </cell>
          <cell r="M881">
            <v>0</v>
          </cell>
          <cell r="N881">
            <v>0</v>
          </cell>
          <cell r="O881">
            <v>0</v>
          </cell>
          <cell r="P881">
            <v>0</v>
          </cell>
          <cell r="Q881">
            <v>0</v>
          </cell>
          <cell r="R881">
            <v>0</v>
          </cell>
          <cell r="S881">
            <v>0</v>
          </cell>
          <cell r="T881">
            <v>0</v>
          </cell>
          <cell r="U881">
            <v>1</v>
          </cell>
          <cell r="V881">
            <v>0</v>
          </cell>
          <cell r="W881">
            <v>0</v>
          </cell>
          <cell r="X881">
            <v>1574.2251877030001</v>
          </cell>
          <cell r="Y881">
            <v>0</v>
          </cell>
        </row>
        <row r="882">
          <cell r="E882">
            <v>0</v>
          </cell>
          <cell r="F882" t="str">
            <v>SRC</v>
          </cell>
          <cell r="G882">
            <v>0</v>
          </cell>
          <cell r="H882">
            <v>0</v>
          </cell>
          <cell r="I882">
            <v>1</v>
          </cell>
          <cell r="J882">
            <v>1</v>
          </cell>
          <cell r="K882">
            <v>0</v>
          </cell>
          <cell r="L882">
            <v>0</v>
          </cell>
          <cell r="M882">
            <v>0</v>
          </cell>
          <cell r="N882">
            <v>0</v>
          </cell>
          <cell r="O882">
            <v>0</v>
          </cell>
          <cell r="P882">
            <v>0</v>
          </cell>
          <cell r="Q882">
            <v>0</v>
          </cell>
          <cell r="R882">
            <v>0</v>
          </cell>
          <cell r="S882">
            <v>0</v>
          </cell>
          <cell r="T882">
            <v>0</v>
          </cell>
          <cell r="U882">
            <v>0</v>
          </cell>
          <cell r="V882">
            <v>0</v>
          </cell>
          <cell r="W882">
            <v>0</v>
          </cell>
          <cell r="X882">
            <v>202578.22580645201</v>
          </cell>
          <cell r="Y882">
            <v>66250</v>
          </cell>
        </row>
        <row r="883">
          <cell r="E883">
            <v>0</v>
          </cell>
          <cell r="F883" t="str">
            <v>Prima</v>
          </cell>
          <cell r="G883">
            <v>0</v>
          </cell>
          <cell r="H883">
            <v>0</v>
          </cell>
          <cell r="I883">
            <v>1</v>
          </cell>
          <cell r="J883">
            <v>1</v>
          </cell>
          <cell r="K883">
            <v>3</v>
          </cell>
          <cell r="L883">
            <v>3</v>
          </cell>
          <cell r="M883">
            <v>0</v>
          </cell>
          <cell r="N883">
            <v>2</v>
          </cell>
          <cell r="O883">
            <v>2</v>
          </cell>
          <cell r="P883">
            <v>0</v>
          </cell>
          <cell r="Q883">
            <v>2</v>
          </cell>
          <cell r="R883">
            <v>2</v>
          </cell>
          <cell r="S883">
            <v>0</v>
          </cell>
          <cell r="T883">
            <v>4</v>
          </cell>
          <cell r="U883">
            <v>0</v>
          </cell>
          <cell r="V883">
            <v>0</v>
          </cell>
          <cell r="W883">
            <v>0</v>
          </cell>
          <cell r="X883">
            <v>962697.58064516098</v>
          </cell>
          <cell r="Y883">
            <v>302000</v>
          </cell>
        </row>
        <row r="884">
          <cell r="E884">
            <v>0</v>
          </cell>
          <cell r="F884" t="str">
            <v>Haz store 2</v>
          </cell>
          <cell r="G884">
            <v>0</v>
          </cell>
          <cell r="H884">
            <v>0</v>
          </cell>
          <cell r="I884">
            <v>0</v>
          </cell>
          <cell r="J884">
            <v>0</v>
          </cell>
          <cell r="K884">
            <v>0</v>
          </cell>
          <cell r="L884">
            <v>0</v>
          </cell>
          <cell r="M884">
            <v>0</v>
          </cell>
          <cell r="N884">
            <v>0</v>
          </cell>
          <cell r="O884">
            <v>0</v>
          </cell>
          <cell r="P884">
            <v>0</v>
          </cell>
          <cell r="Q884">
            <v>0</v>
          </cell>
          <cell r="R884">
            <v>0</v>
          </cell>
          <cell r="S884">
            <v>0</v>
          </cell>
          <cell r="T884">
            <v>0</v>
          </cell>
          <cell r="U884">
            <v>0</v>
          </cell>
          <cell r="V884">
            <v>0</v>
          </cell>
          <cell r="W884">
            <v>0</v>
          </cell>
          <cell r="X884">
            <v>93800</v>
          </cell>
          <cell r="Y884">
            <v>0</v>
          </cell>
        </row>
        <row r="885">
          <cell r="E885">
            <v>0</v>
          </cell>
          <cell r="F885" t="str">
            <v>AMR STORE</v>
          </cell>
          <cell r="G885">
            <v>0</v>
          </cell>
          <cell r="H885">
            <v>0</v>
          </cell>
          <cell r="I885">
            <v>0</v>
          </cell>
          <cell r="J885">
            <v>0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  <cell r="Q885">
            <v>0</v>
          </cell>
          <cell r="R885">
            <v>0</v>
          </cell>
          <cell r="S885">
            <v>0</v>
          </cell>
          <cell r="T885">
            <v>0</v>
          </cell>
          <cell r="U885">
            <v>0</v>
          </cell>
          <cell r="V885">
            <v>0</v>
          </cell>
          <cell r="W885">
            <v>0</v>
          </cell>
          <cell r="X885">
            <v>2857277.4193548379</v>
          </cell>
          <cell r="Y885">
            <v>0</v>
          </cell>
        </row>
        <row r="886">
          <cell r="E886">
            <v>0</v>
          </cell>
          <cell r="F886" t="str">
            <v>VALT</v>
          </cell>
          <cell r="G886">
            <v>0</v>
          </cell>
          <cell r="H886">
            <v>0</v>
          </cell>
          <cell r="I886">
            <v>1</v>
          </cell>
          <cell r="J886">
            <v>1</v>
          </cell>
          <cell r="K886">
            <v>0</v>
          </cell>
          <cell r="L886">
            <v>0</v>
          </cell>
          <cell r="M886">
            <v>0</v>
          </cell>
          <cell r="N886">
            <v>0</v>
          </cell>
          <cell r="O886">
            <v>0</v>
          </cell>
          <cell r="P886">
            <v>0</v>
          </cell>
          <cell r="Q886">
            <v>0</v>
          </cell>
          <cell r="R886">
            <v>0</v>
          </cell>
          <cell r="S886">
            <v>0</v>
          </cell>
          <cell r="T886">
            <v>0</v>
          </cell>
          <cell r="U886">
            <v>0</v>
          </cell>
          <cell r="V886">
            <v>0</v>
          </cell>
          <cell r="W886">
            <v>0</v>
          </cell>
          <cell r="X886">
            <v>135090.32258064501</v>
          </cell>
          <cell r="Y886">
            <v>54000</v>
          </cell>
        </row>
        <row r="887">
          <cell r="E887">
            <v>0</v>
          </cell>
          <cell r="F887" t="str">
            <v>TRI CELL</v>
          </cell>
          <cell r="G887">
            <v>0</v>
          </cell>
          <cell r="H887">
            <v>0</v>
          </cell>
          <cell r="I887">
            <v>1</v>
          </cell>
          <cell r="J887">
            <v>1</v>
          </cell>
          <cell r="K887">
            <v>3</v>
          </cell>
          <cell r="L887">
            <v>3</v>
          </cell>
          <cell r="M887">
            <v>0</v>
          </cell>
          <cell r="N887">
            <v>1</v>
          </cell>
          <cell r="O887">
            <v>1</v>
          </cell>
          <cell r="P887">
            <v>0</v>
          </cell>
          <cell r="Q887">
            <v>1</v>
          </cell>
          <cell r="R887">
            <v>1</v>
          </cell>
          <cell r="S887">
            <v>0</v>
          </cell>
          <cell r="T887">
            <v>0</v>
          </cell>
          <cell r="U887">
            <v>2</v>
          </cell>
          <cell r="V887">
            <v>0</v>
          </cell>
          <cell r="W887">
            <v>0</v>
          </cell>
          <cell r="X887">
            <v>1366929.8387096771</v>
          </cell>
          <cell r="Y887">
            <v>54000</v>
          </cell>
        </row>
        <row r="888">
          <cell r="E888">
            <v>0</v>
          </cell>
          <cell r="F888" t="str">
            <v>DR CELL</v>
          </cell>
          <cell r="G888">
            <v>0</v>
          </cell>
          <cell r="H888">
            <v>0</v>
          </cell>
          <cell r="I888">
            <v>0</v>
          </cell>
          <cell r="J888">
            <v>0</v>
          </cell>
          <cell r="K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97400</v>
          </cell>
          <cell r="Y888">
            <v>0</v>
          </cell>
        </row>
        <row r="889">
          <cell r="E889">
            <v>0</v>
          </cell>
          <cell r="F889" t="str">
            <v>AL-TEZ CELL</v>
          </cell>
          <cell r="G889">
            <v>0</v>
          </cell>
          <cell r="H889">
            <v>0</v>
          </cell>
          <cell r="I889">
            <v>1</v>
          </cell>
          <cell r="J889">
            <v>1</v>
          </cell>
          <cell r="K889">
            <v>0</v>
          </cell>
          <cell r="L889">
            <v>0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0</v>
          </cell>
          <cell r="V889">
            <v>0</v>
          </cell>
          <cell r="W889">
            <v>0</v>
          </cell>
          <cell r="X889">
            <v>97800</v>
          </cell>
          <cell r="Y889">
            <v>85000</v>
          </cell>
        </row>
        <row r="890">
          <cell r="E890">
            <v>0</v>
          </cell>
          <cell r="F890" t="str">
            <v>STAR PONSEL</v>
          </cell>
          <cell r="G890">
            <v>0</v>
          </cell>
          <cell r="H890">
            <v>0</v>
          </cell>
          <cell r="I890">
            <v>1</v>
          </cell>
          <cell r="J890">
            <v>1</v>
          </cell>
          <cell r="K890">
            <v>2</v>
          </cell>
          <cell r="L890">
            <v>2</v>
          </cell>
          <cell r="M890">
            <v>0</v>
          </cell>
          <cell r="N890">
            <v>1</v>
          </cell>
          <cell r="O890">
            <v>1</v>
          </cell>
          <cell r="P890">
            <v>0</v>
          </cell>
          <cell r="Q890">
            <v>2</v>
          </cell>
          <cell r="R890">
            <v>2</v>
          </cell>
          <cell r="S890">
            <v>0</v>
          </cell>
          <cell r="T890">
            <v>0</v>
          </cell>
          <cell r="U890">
            <v>0</v>
          </cell>
          <cell r="V890">
            <v>0</v>
          </cell>
          <cell r="W890">
            <v>0</v>
          </cell>
          <cell r="X890">
            <v>650764.31451612897</v>
          </cell>
          <cell r="Y890">
            <v>66250</v>
          </cell>
        </row>
        <row r="891">
          <cell r="E891">
            <v>0</v>
          </cell>
          <cell r="F891" t="str">
            <v>KINGKONG PARFUM</v>
          </cell>
          <cell r="G891">
            <v>0</v>
          </cell>
          <cell r="H891">
            <v>0</v>
          </cell>
          <cell r="I891">
            <v>0</v>
          </cell>
          <cell r="J891">
            <v>0</v>
          </cell>
          <cell r="K891">
            <v>0</v>
          </cell>
          <cell r="L891">
            <v>0</v>
          </cell>
          <cell r="M891">
            <v>0</v>
          </cell>
          <cell r="N891">
            <v>0</v>
          </cell>
          <cell r="O891">
            <v>0</v>
          </cell>
          <cell r="P891">
            <v>0</v>
          </cell>
          <cell r="Q891">
            <v>0</v>
          </cell>
          <cell r="R891">
            <v>0</v>
          </cell>
          <cell r="S891">
            <v>0</v>
          </cell>
          <cell r="T891">
            <v>0</v>
          </cell>
          <cell r="U891">
            <v>0</v>
          </cell>
          <cell r="V891">
            <v>0</v>
          </cell>
          <cell r="W891">
            <v>0</v>
          </cell>
          <cell r="X891">
            <v>97700</v>
          </cell>
          <cell r="Y891">
            <v>0</v>
          </cell>
        </row>
        <row r="892">
          <cell r="E892">
            <v>0</v>
          </cell>
          <cell r="F892" t="str">
            <v>KH PARFUM</v>
          </cell>
          <cell r="G892">
            <v>0</v>
          </cell>
          <cell r="H892">
            <v>0</v>
          </cell>
          <cell r="I892">
            <v>1</v>
          </cell>
          <cell r="J892">
            <v>1</v>
          </cell>
          <cell r="K892">
            <v>0</v>
          </cell>
          <cell r="L892">
            <v>0</v>
          </cell>
          <cell r="M892">
            <v>0</v>
          </cell>
          <cell r="N892">
            <v>0</v>
          </cell>
          <cell r="O892">
            <v>0</v>
          </cell>
          <cell r="P892">
            <v>0</v>
          </cell>
          <cell r="Q892">
            <v>0</v>
          </cell>
          <cell r="R892">
            <v>0</v>
          </cell>
          <cell r="S892">
            <v>0</v>
          </cell>
          <cell r="T892">
            <v>0</v>
          </cell>
          <cell r="U892">
            <v>0</v>
          </cell>
          <cell r="V892">
            <v>0</v>
          </cell>
          <cell r="W892">
            <v>0</v>
          </cell>
          <cell r="X892">
            <v>97300</v>
          </cell>
          <cell r="Y892">
            <v>72000</v>
          </cell>
        </row>
        <row r="893">
          <cell r="E893">
            <v>0</v>
          </cell>
          <cell r="F893" t="str">
            <v>GALAXY SEMPARUK</v>
          </cell>
          <cell r="G893">
            <v>0</v>
          </cell>
          <cell r="H893">
            <v>0</v>
          </cell>
          <cell r="I893">
            <v>0</v>
          </cell>
          <cell r="J893">
            <v>0</v>
          </cell>
          <cell r="K893">
            <v>0</v>
          </cell>
          <cell r="L893">
            <v>0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S893">
            <v>0</v>
          </cell>
          <cell r="T893">
            <v>0</v>
          </cell>
          <cell r="U893">
            <v>0</v>
          </cell>
          <cell r="V893">
            <v>0</v>
          </cell>
          <cell r="W893">
            <v>0</v>
          </cell>
          <cell r="X893">
            <v>1535706.451612903</v>
          </cell>
          <cell r="Y893">
            <v>0</v>
          </cell>
        </row>
        <row r="894">
          <cell r="E894">
            <v>0</v>
          </cell>
          <cell r="F894" t="str">
            <v>KONTERKU</v>
          </cell>
          <cell r="G894">
            <v>0</v>
          </cell>
          <cell r="H894">
            <v>0</v>
          </cell>
          <cell r="I894">
            <v>0</v>
          </cell>
          <cell r="J894">
            <v>0</v>
          </cell>
          <cell r="K894">
            <v>0</v>
          </cell>
          <cell r="L894">
            <v>0</v>
          </cell>
          <cell r="M894">
            <v>0</v>
          </cell>
          <cell r="N894">
            <v>0</v>
          </cell>
          <cell r="O894">
            <v>0</v>
          </cell>
          <cell r="P894">
            <v>0</v>
          </cell>
          <cell r="Q894">
            <v>0</v>
          </cell>
          <cell r="R894">
            <v>0</v>
          </cell>
          <cell r="S894">
            <v>0</v>
          </cell>
          <cell r="T894">
            <v>0</v>
          </cell>
          <cell r="U894">
            <v>0</v>
          </cell>
          <cell r="V894">
            <v>0</v>
          </cell>
          <cell r="W894">
            <v>0</v>
          </cell>
          <cell r="X894">
            <v>0</v>
          </cell>
          <cell r="Y894">
            <v>0</v>
          </cell>
        </row>
        <row r="895">
          <cell r="E895">
            <v>0</v>
          </cell>
          <cell r="F895" t="str">
            <v>Warung mamang</v>
          </cell>
          <cell r="G895">
            <v>0</v>
          </cell>
          <cell r="H895">
            <v>0</v>
          </cell>
          <cell r="I895">
            <v>0</v>
          </cell>
          <cell r="J895">
            <v>0</v>
          </cell>
          <cell r="K895">
            <v>0</v>
          </cell>
          <cell r="L895">
            <v>0</v>
          </cell>
          <cell r="M895">
            <v>0</v>
          </cell>
          <cell r="N895">
            <v>0</v>
          </cell>
          <cell r="O895">
            <v>0</v>
          </cell>
          <cell r="P895">
            <v>0</v>
          </cell>
          <cell r="Q895">
            <v>0</v>
          </cell>
          <cell r="R895">
            <v>0</v>
          </cell>
          <cell r="S895">
            <v>0</v>
          </cell>
          <cell r="T895">
            <v>0</v>
          </cell>
          <cell r="U895">
            <v>0</v>
          </cell>
          <cell r="V895">
            <v>0</v>
          </cell>
          <cell r="W895">
            <v>0</v>
          </cell>
          <cell r="X895">
            <v>0</v>
          </cell>
          <cell r="Y895">
            <v>0</v>
          </cell>
        </row>
        <row r="896">
          <cell r="E896">
            <v>0</v>
          </cell>
          <cell r="F896" t="str">
            <v>MULTI JAYA</v>
          </cell>
          <cell r="G896">
            <v>0</v>
          </cell>
          <cell r="H896">
            <v>0</v>
          </cell>
          <cell r="I896">
            <v>0</v>
          </cell>
          <cell r="J896">
            <v>0</v>
          </cell>
          <cell r="K896">
            <v>0</v>
          </cell>
          <cell r="L896">
            <v>0</v>
          </cell>
          <cell r="M896">
            <v>0</v>
          </cell>
          <cell r="N896">
            <v>0</v>
          </cell>
          <cell r="O896">
            <v>0</v>
          </cell>
          <cell r="P896">
            <v>0</v>
          </cell>
          <cell r="Q896">
            <v>0</v>
          </cell>
          <cell r="R896">
            <v>0</v>
          </cell>
          <cell r="S896">
            <v>0</v>
          </cell>
          <cell r="T896">
            <v>0</v>
          </cell>
          <cell r="U896">
            <v>0</v>
          </cell>
          <cell r="V896">
            <v>0</v>
          </cell>
          <cell r="W896">
            <v>0</v>
          </cell>
          <cell r="X896">
            <v>0</v>
          </cell>
          <cell r="Y896">
            <v>0</v>
          </cell>
        </row>
        <row r="897">
          <cell r="E897">
            <v>0</v>
          </cell>
          <cell r="F897" t="str">
            <v>Toko Al Barokah</v>
          </cell>
          <cell r="G897">
            <v>0</v>
          </cell>
          <cell r="H897">
            <v>0</v>
          </cell>
          <cell r="I897">
            <v>0</v>
          </cell>
          <cell r="J897">
            <v>0</v>
          </cell>
          <cell r="K897">
            <v>0</v>
          </cell>
          <cell r="L897">
            <v>0</v>
          </cell>
          <cell r="M897">
            <v>0</v>
          </cell>
          <cell r="N897">
            <v>0</v>
          </cell>
          <cell r="O897">
            <v>0</v>
          </cell>
          <cell r="P897">
            <v>0</v>
          </cell>
          <cell r="Q897">
            <v>0</v>
          </cell>
          <cell r="R897">
            <v>0</v>
          </cell>
          <cell r="S897">
            <v>0</v>
          </cell>
          <cell r="T897">
            <v>0</v>
          </cell>
          <cell r="U897">
            <v>0</v>
          </cell>
          <cell r="V897">
            <v>0</v>
          </cell>
          <cell r="W897">
            <v>0</v>
          </cell>
          <cell r="X897">
            <v>0</v>
          </cell>
          <cell r="Y897">
            <v>0</v>
          </cell>
        </row>
        <row r="898">
          <cell r="E898">
            <v>0</v>
          </cell>
          <cell r="F898" t="str">
            <v>Warung dwi</v>
          </cell>
          <cell r="G898">
            <v>0</v>
          </cell>
          <cell r="H898">
            <v>0</v>
          </cell>
          <cell r="I898">
            <v>0</v>
          </cell>
          <cell r="J898">
            <v>0</v>
          </cell>
          <cell r="K898">
            <v>0</v>
          </cell>
          <cell r="L898">
            <v>0</v>
          </cell>
          <cell r="M898">
            <v>0</v>
          </cell>
          <cell r="N898">
            <v>0</v>
          </cell>
          <cell r="O898">
            <v>0</v>
          </cell>
          <cell r="P898">
            <v>0</v>
          </cell>
          <cell r="Q898">
            <v>0</v>
          </cell>
          <cell r="R898">
            <v>0</v>
          </cell>
          <cell r="S898">
            <v>0</v>
          </cell>
          <cell r="T898">
            <v>0</v>
          </cell>
          <cell r="U898">
            <v>0</v>
          </cell>
          <cell r="V898">
            <v>0</v>
          </cell>
          <cell r="W898">
            <v>0</v>
          </cell>
          <cell r="X898">
            <v>0</v>
          </cell>
          <cell r="Y898">
            <v>0</v>
          </cell>
        </row>
        <row r="899">
          <cell r="E899">
            <v>0</v>
          </cell>
          <cell r="F899" t="str">
            <v>Warung Aling</v>
          </cell>
          <cell r="G899">
            <v>0</v>
          </cell>
          <cell r="H899">
            <v>0</v>
          </cell>
          <cell r="I899">
            <v>0</v>
          </cell>
          <cell r="J899">
            <v>0</v>
          </cell>
          <cell r="K899">
            <v>0</v>
          </cell>
          <cell r="L899">
            <v>0</v>
          </cell>
          <cell r="M899">
            <v>0</v>
          </cell>
          <cell r="N899">
            <v>0</v>
          </cell>
          <cell r="O899">
            <v>0</v>
          </cell>
          <cell r="P899">
            <v>0</v>
          </cell>
          <cell r="Q899">
            <v>0</v>
          </cell>
          <cell r="R899">
            <v>0</v>
          </cell>
          <cell r="S899">
            <v>0</v>
          </cell>
          <cell r="T899">
            <v>0</v>
          </cell>
          <cell r="U899">
            <v>0</v>
          </cell>
          <cell r="V899">
            <v>0</v>
          </cell>
          <cell r="W899">
            <v>0</v>
          </cell>
          <cell r="X899">
            <v>98500</v>
          </cell>
          <cell r="Y899">
            <v>0</v>
          </cell>
        </row>
        <row r="900">
          <cell r="E900">
            <v>0</v>
          </cell>
          <cell r="F900" t="str">
            <v>Du com</v>
          </cell>
          <cell r="G900">
            <v>0</v>
          </cell>
          <cell r="H900">
            <v>0</v>
          </cell>
          <cell r="I900">
            <v>0</v>
          </cell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0</v>
          </cell>
          <cell r="O900">
            <v>0</v>
          </cell>
          <cell r="P900">
            <v>0</v>
          </cell>
          <cell r="Q900">
            <v>0</v>
          </cell>
          <cell r="R900">
            <v>0</v>
          </cell>
          <cell r="S900">
            <v>0</v>
          </cell>
          <cell r="T900">
            <v>0</v>
          </cell>
          <cell r="U900">
            <v>0</v>
          </cell>
          <cell r="V900">
            <v>0</v>
          </cell>
          <cell r="W900">
            <v>0</v>
          </cell>
          <cell r="X900">
            <v>96900</v>
          </cell>
          <cell r="Y900">
            <v>0</v>
          </cell>
        </row>
        <row r="901">
          <cell r="E901">
            <v>0</v>
          </cell>
          <cell r="F901" t="str">
            <v>Warung Ghozi</v>
          </cell>
          <cell r="G901">
            <v>0</v>
          </cell>
          <cell r="H901">
            <v>0</v>
          </cell>
          <cell r="I901">
            <v>0</v>
          </cell>
          <cell r="J901">
            <v>0</v>
          </cell>
          <cell r="K901">
            <v>0</v>
          </cell>
          <cell r="L901">
            <v>0</v>
          </cell>
          <cell r="M901">
            <v>0</v>
          </cell>
          <cell r="N901">
            <v>0</v>
          </cell>
          <cell r="O901">
            <v>0</v>
          </cell>
          <cell r="P901">
            <v>0</v>
          </cell>
          <cell r="Q901">
            <v>0</v>
          </cell>
          <cell r="R901">
            <v>0</v>
          </cell>
          <cell r="S901">
            <v>0</v>
          </cell>
          <cell r="T901">
            <v>0</v>
          </cell>
          <cell r="U901">
            <v>0</v>
          </cell>
          <cell r="V901">
            <v>0</v>
          </cell>
          <cell r="W901">
            <v>0</v>
          </cell>
          <cell r="X901">
            <v>0</v>
          </cell>
          <cell r="Y901">
            <v>0</v>
          </cell>
        </row>
        <row r="902">
          <cell r="E902">
            <v>0</v>
          </cell>
          <cell r="F902" t="str">
            <v>Warung budi</v>
          </cell>
          <cell r="G902">
            <v>0</v>
          </cell>
          <cell r="H902">
            <v>0</v>
          </cell>
          <cell r="I902">
            <v>0</v>
          </cell>
          <cell r="J902">
            <v>0</v>
          </cell>
          <cell r="K902">
            <v>0</v>
          </cell>
          <cell r="L902">
            <v>0</v>
          </cell>
          <cell r="M902">
            <v>0</v>
          </cell>
          <cell r="N902">
            <v>0</v>
          </cell>
          <cell r="O902">
            <v>0</v>
          </cell>
          <cell r="P902">
            <v>0</v>
          </cell>
          <cell r="Q902">
            <v>0</v>
          </cell>
          <cell r="R902">
            <v>0</v>
          </cell>
          <cell r="S902">
            <v>0</v>
          </cell>
          <cell r="T902">
            <v>0</v>
          </cell>
          <cell r="U902">
            <v>0</v>
          </cell>
          <cell r="V902">
            <v>0</v>
          </cell>
          <cell r="W902">
            <v>0</v>
          </cell>
          <cell r="X902">
            <v>0</v>
          </cell>
          <cell r="Y902">
            <v>0</v>
          </cell>
        </row>
        <row r="903">
          <cell r="E903">
            <v>0</v>
          </cell>
          <cell r="F903" t="str">
            <v>Warung Teteh</v>
          </cell>
          <cell r="G903">
            <v>0</v>
          </cell>
          <cell r="H903">
            <v>0</v>
          </cell>
          <cell r="I903">
            <v>0</v>
          </cell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0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0</v>
          </cell>
          <cell r="U903">
            <v>0</v>
          </cell>
          <cell r="V903">
            <v>0</v>
          </cell>
          <cell r="W903">
            <v>0</v>
          </cell>
          <cell r="X903">
            <v>0</v>
          </cell>
          <cell r="Y903">
            <v>0</v>
          </cell>
        </row>
        <row r="904">
          <cell r="E904">
            <v>0</v>
          </cell>
          <cell r="F904" t="str">
            <v>Warung pipi</v>
          </cell>
          <cell r="G904">
            <v>0</v>
          </cell>
          <cell r="H904">
            <v>0</v>
          </cell>
          <cell r="I904">
            <v>0</v>
          </cell>
          <cell r="J904">
            <v>0</v>
          </cell>
          <cell r="K904">
            <v>0</v>
          </cell>
          <cell r="L904">
            <v>0</v>
          </cell>
          <cell r="M904">
            <v>0</v>
          </cell>
          <cell r="N904">
            <v>0</v>
          </cell>
          <cell r="O904">
            <v>0</v>
          </cell>
          <cell r="P904">
            <v>0</v>
          </cell>
          <cell r="Q904">
            <v>0</v>
          </cell>
          <cell r="R904">
            <v>0</v>
          </cell>
          <cell r="S904">
            <v>0</v>
          </cell>
          <cell r="T904">
            <v>0</v>
          </cell>
          <cell r="U904">
            <v>0</v>
          </cell>
          <cell r="V904">
            <v>0</v>
          </cell>
          <cell r="W904">
            <v>0</v>
          </cell>
          <cell r="X904">
            <v>0</v>
          </cell>
          <cell r="Y904">
            <v>0</v>
          </cell>
        </row>
        <row r="905">
          <cell r="E905">
            <v>0</v>
          </cell>
          <cell r="F905" t="str">
            <v>FATYA CELL</v>
          </cell>
          <cell r="G905">
            <v>0</v>
          </cell>
          <cell r="H905">
            <v>0</v>
          </cell>
          <cell r="I905">
            <v>0</v>
          </cell>
          <cell r="J905">
            <v>0</v>
          </cell>
          <cell r="K905">
            <v>0</v>
          </cell>
          <cell r="L905">
            <v>0</v>
          </cell>
          <cell r="M905">
            <v>0</v>
          </cell>
          <cell r="N905">
            <v>0</v>
          </cell>
          <cell r="O905">
            <v>0</v>
          </cell>
          <cell r="P905">
            <v>0</v>
          </cell>
          <cell r="Q905">
            <v>0</v>
          </cell>
          <cell r="R905">
            <v>0</v>
          </cell>
          <cell r="S905">
            <v>0</v>
          </cell>
          <cell r="T905">
            <v>0</v>
          </cell>
          <cell r="U905">
            <v>0</v>
          </cell>
          <cell r="V905">
            <v>0</v>
          </cell>
          <cell r="W905">
            <v>0</v>
          </cell>
          <cell r="X905">
            <v>0</v>
          </cell>
          <cell r="Y905">
            <v>0</v>
          </cell>
        </row>
        <row r="906">
          <cell r="E906">
            <v>0</v>
          </cell>
          <cell r="F906" t="str">
            <v>Ahoi pulsa</v>
          </cell>
          <cell r="G906">
            <v>0</v>
          </cell>
          <cell r="H906">
            <v>0</v>
          </cell>
          <cell r="I906">
            <v>0</v>
          </cell>
          <cell r="J906">
            <v>0</v>
          </cell>
          <cell r="K906">
            <v>0</v>
          </cell>
          <cell r="L906">
            <v>0</v>
          </cell>
          <cell r="M906">
            <v>0</v>
          </cell>
          <cell r="N906">
            <v>0</v>
          </cell>
          <cell r="O906">
            <v>0</v>
          </cell>
          <cell r="P906">
            <v>0</v>
          </cell>
          <cell r="Q906">
            <v>0</v>
          </cell>
          <cell r="R906">
            <v>0</v>
          </cell>
          <cell r="S906">
            <v>0</v>
          </cell>
          <cell r="T906">
            <v>0</v>
          </cell>
          <cell r="U906">
            <v>0</v>
          </cell>
          <cell r="V906">
            <v>0</v>
          </cell>
          <cell r="W906">
            <v>0</v>
          </cell>
          <cell r="X906">
            <v>0</v>
          </cell>
          <cell r="Y906">
            <v>0</v>
          </cell>
        </row>
        <row r="907">
          <cell r="E907">
            <v>0</v>
          </cell>
          <cell r="F907" t="str">
            <v>HR Ponsel</v>
          </cell>
          <cell r="G907">
            <v>0</v>
          </cell>
          <cell r="H907">
            <v>0</v>
          </cell>
          <cell r="I907">
            <v>1</v>
          </cell>
          <cell r="J907">
            <v>1</v>
          </cell>
          <cell r="K907">
            <v>0</v>
          </cell>
          <cell r="L907">
            <v>0</v>
          </cell>
          <cell r="M907">
            <v>0</v>
          </cell>
          <cell r="N907">
            <v>0</v>
          </cell>
          <cell r="O907">
            <v>0</v>
          </cell>
          <cell r="P907">
            <v>0</v>
          </cell>
          <cell r="Q907">
            <v>0</v>
          </cell>
          <cell r="R907">
            <v>0</v>
          </cell>
          <cell r="S907">
            <v>0</v>
          </cell>
          <cell r="T907">
            <v>0</v>
          </cell>
          <cell r="U907">
            <v>0</v>
          </cell>
          <cell r="V907">
            <v>0</v>
          </cell>
          <cell r="W907">
            <v>0</v>
          </cell>
          <cell r="X907">
            <v>98000</v>
          </cell>
          <cell r="Y907">
            <v>72000</v>
          </cell>
        </row>
        <row r="908">
          <cell r="E908">
            <v>0</v>
          </cell>
          <cell r="F908" t="str">
            <v>xenium ponsel</v>
          </cell>
          <cell r="G908">
            <v>0</v>
          </cell>
          <cell r="H908">
            <v>0</v>
          </cell>
          <cell r="I908">
            <v>0</v>
          </cell>
          <cell r="J908">
            <v>0</v>
          </cell>
          <cell r="K908">
            <v>0</v>
          </cell>
          <cell r="L908">
            <v>0</v>
          </cell>
          <cell r="M908">
            <v>0</v>
          </cell>
          <cell r="N908">
            <v>0</v>
          </cell>
          <cell r="O908">
            <v>0</v>
          </cell>
          <cell r="P908">
            <v>0</v>
          </cell>
          <cell r="Q908">
            <v>0</v>
          </cell>
          <cell r="R908">
            <v>0</v>
          </cell>
          <cell r="S908">
            <v>0</v>
          </cell>
          <cell r="T908">
            <v>0</v>
          </cell>
          <cell r="U908">
            <v>0</v>
          </cell>
          <cell r="V908">
            <v>0</v>
          </cell>
          <cell r="W908">
            <v>0</v>
          </cell>
          <cell r="X908">
            <v>67356.5</v>
          </cell>
          <cell r="Y908">
            <v>0</v>
          </cell>
        </row>
        <row r="909">
          <cell r="E909">
            <v>0</v>
          </cell>
          <cell r="F909" t="str">
            <v>LOK PONSEL</v>
          </cell>
          <cell r="G909">
            <v>0</v>
          </cell>
          <cell r="H909">
            <v>0</v>
          </cell>
          <cell r="I909">
            <v>0</v>
          </cell>
          <cell r="J909">
            <v>0</v>
          </cell>
          <cell r="K909">
            <v>0</v>
          </cell>
          <cell r="L909">
            <v>0</v>
          </cell>
          <cell r="M909">
            <v>0</v>
          </cell>
          <cell r="N909">
            <v>0</v>
          </cell>
          <cell r="O909">
            <v>0</v>
          </cell>
          <cell r="P909">
            <v>0</v>
          </cell>
          <cell r="Q909">
            <v>0</v>
          </cell>
          <cell r="R909">
            <v>0</v>
          </cell>
          <cell r="S909">
            <v>0</v>
          </cell>
          <cell r="T909">
            <v>0</v>
          </cell>
          <cell r="U909">
            <v>0</v>
          </cell>
          <cell r="V909">
            <v>0</v>
          </cell>
          <cell r="W909">
            <v>0</v>
          </cell>
          <cell r="X909">
            <v>344830.279211168</v>
          </cell>
          <cell r="Y909">
            <v>0</v>
          </cell>
        </row>
        <row r="910">
          <cell r="E910">
            <v>0</v>
          </cell>
          <cell r="F910" t="str">
            <v>Lia Ponsel</v>
          </cell>
          <cell r="G910">
            <v>0</v>
          </cell>
          <cell r="H910">
            <v>0</v>
          </cell>
          <cell r="I910">
            <v>0</v>
          </cell>
          <cell r="J910">
            <v>0</v>
          </cell>
          <cell r="K910">
            <v>0</v>
          </cell>
          <cell r="L910">
            <v>0</v>
          </cell>
          <cell r="M910">
            <v>0</v>
          </cell>
          <cell r="N910">
            <v>0</v>
          </cell>
          <cell r="O910">
            <v>0</v>
          </cell>
          <cell r="P910">
            <v>0</v>
          </cell>
          <cell r="Q910">
            <v>0</v>
          </cell>
          <cell r="R910">
            <v>0</v>
          </cell>
          <cell r="S910">
            <v>0</v>
          </cell>
          <cell r="T910">
            <v>0</v>
          </cell>
          <cell r="U910">
            <v>0</v>
          </cell>
          <cell r="V910">
            <v>0</v>
          </cell>
          <cell r="W910">
            <v>0</v>
          </cell>
          <cell r="X910">
            <v>99950.5</v>
          </cell>
          <cell r="Y910">
            <v>0</v>
          </cell>
        </row>
        <row r="911">
          <cell r="E911">
            <v>0</v>
          </cell>
          <cell r="F911" t="str">
            <v>Arman ponsel</v>
          </cell>
          <cell r="G911">
            <v>0</v>
          </cell>
          <cell r="H911">
            <v>0</v>
          </cell>
          <cell r="I911">
            <v>0</v>
          </cell>
          <cell r="J911">
            <v>0</v>
          </cell>
          <cell r="K911">
            <v>1</v>
          </cell>
          <cell r="L911">
            <v>1</v>
          </cell>
          <cell r="M911">
            <v>0</v>
          </cell>
          <cell r="N911">
            <v>1</v>
          </cell>
          <cell r="O911">
            <v>1</v>
          </cell>
          <cell r="P911">
            <v>0</v>
          </cell>
          <cell r="Q911">
            <v>1</v>
          </cell>
          <cell r="R911">
            <v>1</v>
          </cell>
          <cell r="S911">
            <v>0</v>
          </cell>
          <cell r="T911">
            <v>0</v>
          </cell>
          <cell r="U911">
            <v>0</v>
          </cell>
          <cell r="V911">
            <v>0</v>
          </cell>
          <cell r="W911">
            <v>0</v>
          </cell>
          <cell r="X911">
            <v>149616.44345939101</v>
          </cell>
          <cell r="Y911">
            <v>0</v>
          </cell>
        </row>
        <row r="912">
          <cell r="E912">
            <v>0</v>
          </cell>
          <cell r="F912" t="str">
            <v>DATA ponsek</v>
          </cell>
          <cell r="G912">
            <v>0</v>
          </cell>
          <cell r="H912">
            <v>0</v>
          </cell>
          <cell r="I912">
            <v>0</v>
          </cell>
          <cell r="J912">
            <v>0</v>
          </cell>
          <cell r="K912">
            <v>0</v>
          </cell>
          <cell r="L912">
            <v>0</v>
          </cell>
          <cell r="M912">
            <v>0</v>
          </cell>
          <cell r="N912">
            <v>0</v>
          </cell>
          <cell r="O912">
            <v>0</v>
          </cell>
          <cell r="P912">
            <v>0</v>
          </cell>
          <cell r="Q912">
            <v>0</v>
          </cell>
          <cell r="R912">
            <v>0</v>
          </cell>
          <cell r="S912">
            <v>0</v>
          </cell>
          <cell r="T912">
            <v>0</v>
          </cell>
          <cell r="U912">
            <v>0</v>
          </cell>
          <cell r="V912">
            <v>0</v>
          </cell>
          <cell r="W912">
            <v>0</v>
          </cell>
          <cell r="X912">
            <v>0</v>
          </cell>
          <cell r="Y912">
            <v>0</v>
          </cell>
        </row>
        <row r="913">
          <cell r="E913">
            <v>0</v>
          </cell>
          <cell r="F913" t="str">
            <v>ASIKIN</v>
          </cell>
          <cell r="G913">
            <v>0</v>
          </cell>
          <cell r="H913">
            <v>0</v>
          </cell>
          <cell r="I913">
            <v>0</v>
          </cell>
          <cell r="J913">
            <v>0</v>
          </cell>
          <cell r="K913">
            <v>0</v>
          </cell>
          <cell r="L913">
            <v>0</v>
          </cell>
          <cell r="M913">
            <v>0</v>
          </cell>
          <cell r="N913">
            <v>0</v>
          </cell>
          <cell r="O913">
            <v>0</v>
          </cell>
          <cell r="P913">
            <v>0</v>
          </cell>
          <cell r="Q913">
            <v>0</v>
          </cell>
          <cell r="R913">
            <v>0</v>
          </cell>
          <cell r="S913">
            <v>0</v>
          </cell>
          <cell r="T913">
            <v>0</v>
          </cell>
          <cell r="U913">
            <v>0</v>
          </cell>
          <cell r="V913">
            <v>0</v>
          </cell>
          <cell r="W913">
            <v>0</v>
          </cell>
          <cell r="X913">
            <v>0</v>
          </cell>
          <cell r="Y913">
            <v>0</v>
          </cell>
        </row>
        <row r="914">
          <cell r="E914">
            <v>0</v>
          </cell>
          <cell r="F914" t="str">
            <v>Murni ponsel2</v>
          </cell>
          <cell r="G914">
            <v>0</v>
          </cell>
          <cell r="H914">
            <v>0</v>
          </cell>
          <cell r="I914">
            <v>0</v>
          </cell>
          <cell r="J914">
            <v>0</v>
          </cell>
          <cell r="K914">
            <v>0</v>
          </cell>
          <cell r="L914">
            <v>0</v>
          </cell>
          <cell r="M914">
            <v>0</v>
          </cell>
          <cell r="N914">
            <v>0</v>
          </cell>
          <cell r="O914">
            <v>0</v>
          </cell>
          <cell r="P914">
            <v>0</v>
          </cell>
          <cell r="Q914">
            <v>0</v>
          </cell>
          <cell r="R914">
            <v>0</v>
          </cell>
          <cell r="S914">
            <v>0</v>
          </cell>
          <cell r="T914">
            <v>0</v>
          </cell>
          <cell r="U914">
            <v>0</v>
          </cell>
          <cell r="V914">
            <v>0</v>
          </cell>
          <cell r="W914">
            <v>0</v>
          </cell>
          <cell r="X914">
            <v>0</v>
          </cell>
          <cell r="Y914">
            <v>0</v>
          </cell>
        </row>
        <row r="915">
          <cell r="E915">
            <v>0</v>
          </cell>
          <cell r="F915" t="str">
            <v>SETIA seluler</v>
          </cell>
          <cell r="G915">
            <v>0</v>
          </cell>
          <cell r="H915">
            <v>0</v>
          </cell>
          <cell r="I915">
            <v>0</v>
          </cell>
          <cell r="J915">
            <v>0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0</v>
          </cell>
          <cell r="V915">
            <v>0</v>
          </cell>
          <cell r="W915">
            <v>0</v>
          </cell>
          <cell r="X915">
            <v>0</v>
          </cell>
          <cell r="Y915">
            <v>0</v>
          </cell>
        </row>
        <row r="916">
          <cell r="E916">
            <v>0</v>
          </cell>
          <cell r="F916" t="str">
            <v>ST PONSEL</v>
          </cell>
          <cell r="G916">
            <v>0</v>
          </cell>
          <cell r="H916">
            <v>0</v>
          </cell>
          <cell r="I916">
            <v>0</v>
          </cell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</row>
        <row r="917">
          <cell r="E917">
            <v>0</v>
          </cell>
          <cell r="F917" t="str">
            <v>ONO PONSEL</v>
          </cell>
          <cell r="G917">
            <v>0</v>
          </cell>
          <cell r="H917">
            <v>0</v>
          </cell>
          <cell r="I917">
            <v>0</v>
          </cell>
          <cell r="J917">
            <v>0</v>
          </cell>
          <cell r="K917">
            <v>0</v>
          </cell>
          <cell r="L917">
            <v>0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0</v>
          </cell>
          <cell r="R917">
            <v>0</v>
          </cell>
          <cell r="S917">
            <v>0</v>
          </cell>
          <cell r="T917">
            <v>0</v>
          </cell>
          <cell r="U917">
            <v>0</v>
          </cell>
          <cell r="V917">
            <v>0</v>
          </cell>
          <cell r="W917">
            <v>0</v>
          </cell>
          <cell r="X917">
            <v>0</v>
          </cell>
          <cell r="Y917">
            <v>0</v>
          </cell>
        </row>
        <row r="918">
          <cell r="E918">
            <v>0</v>
          </cell>
          <cell r="F918" t="str">
            <v>Andes cell</v>
          </cell>
          <cell r="G918">
            <v>0</v>
          </cell>
          <cell r="H918">
            <v>0</v>
          </cell>
          <cell r="I918">
            <v>0</v>
          </cell>
          <cell r="J918">
            <v>0</v>
          </cell>
          <cell r="K918">
            <v>0</v>
          </cell>
          <cell r="L918">
            <v>0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</row>
        <row r="919">
          <cell r="E919">
            <v>0</v>
          </cell>
          <cell r="F919" t="str">
            <v>best cell</v>
          </cell>
          <cell r="G919">
            <v>0</v>
          </cell>
          <cell r="H919">
            <v>0</v>
          </cell>
          <cell r="I919">
            <v>0</v>
          </cell>
          <cell r="J919">
            <v>0</v>
          </cell>
          <cell r="K919">
            <v>0</v>
          </cell>
          <cell r="L919">
            <v>0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>
            <v>0</v>
          </cell>
          <cell r="V919">
            <v>0</v>
          </cell>
          <cell r="W919">
            <v>0</v>
          </cell>
          <cell r="X919">
            <v>0</v>
          </cell>
          <cell r="Y919">
            <v>0</v>
          </cell>
        </row>
        <row r="920">
          <cell r="E920">
            <v>0</v>
          </cell>
          <cell r="F920" t="str">
            <v>INTAN PONSEL</v>
          </cell>
          <cell r="G920">
            <v>0</v>
          </cell>
          <cell r="H920">
            <v>0</v>
          </cell>
          <cell r="I920">
            <v>0</v>
          </cell>
          <cell r="J920">
            <v>0</v>
          </cell>
          <cell r="K920">
            <v>0</v>
          </cell>
          <cell r="L920">
            <v>0</v>
          </cell>
          <cell r="M920">
            <v>0</v>
          </cell>
          <cell r="N920">
            <v>0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0</v>
          </cell>
          <cell r="U920">
            <v>0</v>
          </cell>
          <cell r="V920">
            <v>0</v>
          </cell>
          <cell r="W920">
            <v>0</v>
          </cell>
          <cell r="X920">
            <v>0</v>
          </cell>
          <cell r="Y920">
            <v>0</v>
          </cell>
        </row>
        <row r="921">
          <cell r="E921">
            <v>0</v>
          </cell>
          <cell r="F921" t="str">
            <v>SANTI CELLULER</v>
          </cell>
          <cell r="G921">
            <v>0</v>
          </cell>
          <cell r="H921">
            <v>0</v>
          </cell>
          <cell r="I921">
            <v>0</v>
          </cell>
          <cell r="J921">
            <v>0</v>
          </cell>
          <cell r="K921">
            <v>0</v>
          </cell>
          <cell r="L921">
            <v>0</v>
          </cell>
          <cell r="M921">
            <v>0</v>
          </cell>
          <cell r="N921">
            <v>0</v>
          </cell>
          <cell r="O921">
            <v>0</v>
          </cell>
          <cell r="P921">
            <v>0</v>
          </cell>
          <cell r="Q921">
            <v>0</v>
          </cell>
          <cell r="R921">
            <v>0</v>
          </cell>
          <cell r="S921">
            <v>0</v>
          </cell>
          <cell r="T921">
            <v>0</v>
          </cell>
          <cell r="U921">
            <v>0</v>
          </cell>
          <cell r="V921">
            <v>0</v>
          </cell>
          <cell r="W921">
            <v>0</v>
          </cell>
          <cell r="X921">
            <v>0</v>
          </cell>
          <cell r="Y921">
            <v>0</v>
          </cell>
        </row>
        <row r="922">
          <cell r="E922">
            <v>0</v>
          </cell>
          <cell r="F922" t="str">
            <v>Wen cell</v>
          </cell>
          <cell r="G922">
            <v>0</v>
          </cell>
          <cell r="H922">
            <v>0</v>
          </cell>
          <cell r="I922">
            <v>0</v>
          </cell>
          <cell r="J922">
            <v>0</v>
          </cell>
          <cell r="K922">
            <v>0</v>
          </cell>
          <cell r="L922">
            <v>0</v>
          </cell>
          <cell r="M922">
            <v>0</v>
          </cell>
          <cell r="N922">
            <v>0</v>
          </cell>
          <cell r="O922">
            <v>0</v>
          </cell>
          <cell r="P922">
            <v>0</v>
          </cell>
          <cell r="Q922">
            <v>0</v>
          </cell>
          <cell r="R922">
            <v>0</v>
          </cell>
          <cell r="S922">
            <v>0</v>
          </cell>
          <cell r="T922">
            <v>0</v>
          </cell>
          <cell r="U922">
            <v>0</v>
          </cell>
          <cell r="V922">
            <v>0</v>
          </cell>
          <cell r="W922">
            <v>0</v>
          </cell>
          <cell r="X922">
            <v>0</v>
          </cell>
          <cell r="Y922">
            <v>0</v>
          </cell>
        </row>
        <row r="923">
          <cell r="E923">
            <v>0</v>
          </cell>
          <cell r="F923" t="str">
            <v>TOKO ALONG</v>
          </cell>
          <cell r="G923">
            <v>0</v>
          </cell>
          <cell r="H923">
            <v>0</v>
          </cell>
          <cell r="I923">
            <v>0</v>
          </cell>
          <cell r="J923">
            <v>0</v>
          </cell>
          <cell r="K923">
            <v>0</v>
          </cell>
          <cell r="L923">
            <v>0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0</v>
          </cell>
          <cell r="R923">
            <v>0</v>
          </cell>
          <cell r="S923">
            <v>0</v>
          </cell>
          <cell r="T923">
            <v>0</v>
          </cell>
          <cell r="U923">
            <v>0</v>
          </cell>
          <cell r="V923">
            <v>0</v>
          </cell>
          <cell r="W923">
            <v>0</v>
          </cell>
          <cell r="X923">
            <v>0</v>
          </cell>
          <cell r="Y923">
            <v>0</v>
          </cell>
        </row>
        <row r="924">
          <cell r="E924">
            <v>0</v>
          </cell>
          <cell r="F924" t="str">
            <v>Sinta Cell</v>
          </cell>
          <cell r="G924">
            <v>0</v>
          </cell>
          <cell r="H924">
            <v>0</v>
          </cell>
          <cell r="I924">
            <v>0</v>
          </cell>
          <cell r="J924">
            <v>0</v>
          </cell>
          <cell r="K924">
            <v>0</v>
          </cell>
          <cell r="L924">
            <v>0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0</v>
          </cell>
          <cell r="Y924">
            <v>0</v>
          </cell>
        </row>
        <row r="925">
          <cell r="E925">
            <v>0</v>
          </cell>
          <cell r="F925" t="str">
            <v>toko astuti</v>
          </cell>
          <cell r="G925">
            <v>0</v>
          </cell>
          <cell r="H925">
            <v>0</v>
          </cell>
          <cell r="I925">
            <v>0</v>
          </cell>
          <cell r="J925">
            <v>0</v>
          </cell>
          <cell r="K925">
            <v>0</v>
          </cell>
          <cell r="L925">
            <v>0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</row>
        <row r="926">
          <cell r="E926">
            <v>0</v>
          </cell>
          <cell r="F926" t="str">
            <v>toko amus</v>
          </cell>
          <cell r="G926">
            <v>0</v>
          </cell>
          <cell r="H926">
            <v>0</v>
          </cell>
          <cell r="I926">
            <v>0</v>
          </cell>
          <cell r="J926">
            <v>0</v>
          </cell>
          <cell r="K926">
            <v>0</v>
          </cell>
          <cell r="L926">
            <v>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>
            <v>0</v>
          </cell>
          <cell r="V926">
            <v>0</v>
          </cell>
          <cell r="W926">
            <v>0</v>
          </cell>
          <cell r="X926">
            <v>0</v>
          </cell>
          <cell r="Y926">
            <v>0</v>
          </cell>
        </row>
        <row r="927">
          <cell r="E927">
            <v>0</v>
          </cell>
          <cell r="F927" t="str">
            <v>TOKO SUNGAI DAUN</v>
          </cell>
          <cell r="G927">
            <v>0</v>
          </cell>
          <cell r="H927">
            <v>0</v>
          </cell>
          <cell r="I927">
            <v>0</v>
          </cell>
          <cell r="J927">
            <v>0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</row>
        <row r="928">
          <cell r="E928">
            <v>0</v>
          </cell>
          <cell r="F928" t="str">
            <v>AMAT PONSEL</v>
          </cell>
          <cell r="G928">
            <v>0</v>
          </cell>
          <cell r="H928">
            <v>0</v>
          </cell>
          <cell r="I928">
            <v>0</v>
          </cell>
          <cell r="J928">
            <v>0</v>
          </cell>
          <cell r="K928">
            <v>0</v>
          </cell>
          <cell r="L928">
            <v>0</v>
          </cell>
          <cell r="M928">
            <v>0</v>
          </cell>
          <cell r="N928">
            <v>0</v>
          </cell>
          <cell r="O928">
            <v>0</v>
          </cell>
          <cell r="P928">
            <v>0</v>
          </cell>
          <cell r="Q928">
            <v>0</v>
          </cell>
          <cell r="R928">
            <v>0</v>
          </cell>
          <cell r="S928">
            <v>0</v>
          </cell>
          <cell r="T928">
            <v>0</v>
          </cell>
          <cell r="U928">
            <v>0</v>
          </cell>
          <cell r="V928">
            <v>0</v>
          </cell>
          <cell r="W928">
            <v>0</v>
          </cell>
          <cell r="X928">
            <v>0</v>
          </cell>
          <cell r="Y928">
            <v>0</v>
          </cell>
        </row>
        <row r="929">
          <cell r="E929">
            <v>0</v>
          </cell>
          <cell r="F929" t="str">
            <v>Sejati Ponsel</v>
          </cell>
          <cell r="G929">
            <v>0</v>
          </cell>
          <cell r="H929">
            <v>0</v>
          </cell>
          <cell r="I929">
            <v>0</v>
          </cell>
          <cell r="J929">
            <v>0</v>
          </cell>
          <cell r="K929">
            <v>0</v>
          </cell>
          <cell r="L929">
            <v>0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0</v>
          </cell>
          <cell r="U929">
            <v>0</v>
          </cell>
          <cell r="V929">
            <v>0</v>
          </cell>
          <cell r="W929">
            <v>0</v>
          </cell>
          <cell r="X929">
            <v>0</v>
          </cell>
          <cell r="Y929">
            <v>0</v>
          </cell>
        </row>
        <row r="930">
          <cell r="E930">
            <v>0</v>
          </cell>
          <cell r="F930" t="str">
            <v>Husna Ponsel</v>
          </cell>
          <cell r="G930">
            <v>0</v>
          </cell>
          <cell r="H930">
            <v>0</v>
          </cell>
          <cell r="I930">
            <v>0</v>
          </cell>
          <cell r="J930">
            <v>0</v>
          </cell>
          <cell r="K930">
            <v>0</v>
          </cell>
          <cell r="L930">
            <v>0</v>
          </cell>
          <cell r="M930">
            <v>0</v>
          </cell>
          <cell r="N930">
            <v>0</v>
          </cell>
          <cell r="O930">
            <v>0</v>
          </cell>
          <cell r="P930">
            <v>0</v>
          </cell>
          <cell r="Q930">
            <v>0</v>
          </cell>
          <cell r="R930">
            <v>0</v>
          </cell>
          <cell r="S930">
            <v>0</v>
          </cell>
          <cell r="T930">
            <v>0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0</v>
          </cell>
        </row>
        <row r="931">
          <cell r="E931">
            <v>0</v>
          </cell>
          <cell r="F931" t="str">
            <v>To cell</v>
          </cell>
          <cell r="G931">
            <v>0</v>
          </cell>
          <cell r="H931">
            <v>0</v>
          </cell>
          <cell r="I931">
            <v>0</v>
          </cell>
          <cell r="J931">
            <v>0</v>
          </cell>
          <cell r="K931">
            <v>0</v>
          </cell>
          <cell r="L931">
            <v>0</v>
          </cell>
          <cell r="M931">
            <v>0</v>
          </cell>
          <cell r="N931">
            <v>0</v>
          </cell>
          <cell r="O931">
            <v>0</v>
          </cell>
          <cell r="P931">
            <v>0</v>
          </cell>
          <cell r="Q931">
            <v>0</v>
          </cell>
          <cell r="R931">
            <v>0</v>
          </cell>
          <cell r="S931">
            <v>0</v>
          </cell>
          <cell r="T931">
            <v>0</v>
          </cell>
          <cell r="U931">
            <v>0</v>
          </cell>
          <cell r="V931">
            <v>0</v>
          </cell>
          <cell r="W931">
            <v>0</v>
          </cell>
          <cell r="X931">
            <v>0</v>
          </cell>
          <cell r="Y931">
            <v>0</v>
          </cell>
        </row>
        <row r="932">
          <cell r="E932">
            <v>0</v>
          </cell>
          <cell r="F932" t="str">
            <v>NN PONSEL</v>
          </cell>
          <cell r="G932">
            <v>0</v>
          </cell>
          <cell r="H932">
            <v>0</v>
          </cell>
          <cell r="I932">
            <v>0</v>
          </cell>
          <cell r="J932">
            <v>0</v>
          </cell>
          <cell r="K932">
            <v>0</v>
          </cell>
          <cell r="L932">
            <v>0</v>
          </cell>
          <cell r="M932">
            <v>0</v>
          </cell>
          <cell r="N932">
            <v>0</v>
          </cell>
          <cell r="O932">
            <v>0</v>
          </cell>
          <cell r="P932">
            <v>0</v>
          </cell>
          <cell r="Q932">
            <v>0</v>
          </cell>
          <cell r="R932">
            <v>0</v>
          </cell>
          <cell r="S932">
            <v>0</v>
          </cell>
          <cell r="T932">
            <v>0</v>
          </cell>
          <cell r="U932">
            <v>0</v>
          </cell>
          <cell r="V932">
            <v>0</v>
          </cell>
          <cell r="W932">
            <v>0</v>
          </cell>
          <cell r="X932">
            <v>0</v>
          </cell>
          <cell r="Y932">
            <v>0</v>
          </cell>
        </row>
        <row r="933">
          <cell r="E933">
            <v>0</v>
          </cell>
          <cell r="F933" t="str">
            <v>DB cell2</v>
          </cell>
          <cell r="G933">
            <v>0</v>
          </cell>
          <cell r="H933">
            <v>0</v>
          </cell>
          <cell r="I933">
            <v>0</v>
          </cell>
          <cell r="J933">
            <v>0</v>
          </cell>
          <cell r="K933">
            <v>0</v>
          </cell>
          <cell r="L933">
            <v>0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0</v>
          </cell>
          <cell r="X933">
            <v>0</v>
          </cell>
          <cell r="Y933">
            <v>0</v>
          </cell>
        </row>
        <row r="934">
          <cell r="E934">
            <v>0</v>
          </cell>
          <cell r="F934" t="str">
            <v>ANNISA CELL</v>
          </cell>
          <cell r="G934">
            <v>0</v>
          </cell>
          <cell r="H934">
            <v>0</v>
          </cell>
          <cell r="I934">
            <v>0</v>
          </cell>
          <cell r="J934">
            <v>0</v>
          </cell>
          <cell r="K934">
            <v>0</v>
          </cell>
          <cell r="L934">
            <v>0</v>
          </cell>
          <cell r="M934">
            <v>0</v>
          </cell>
          <cell r="N934">
            <v>0</v>
          </cell>
          <cell r="O934">
            <v>0</v>
          </cell>
          <cell r="P934">
            <v>0</v>
          </cell>
          <cell r="Q934">
            <v>0</v>
          </cell>
          <cell r="R934">
            <v>0</v>
          </cell>
          <cell r="S934">
            <v>0</v>
          </cell>
          <cell r="T934">
            <v>0</v>
          </cell>
          <cell r="U934">
            <v>0</v>
          </cell>
          <cell r="V934">
            <v>0</v>
          </cell>
          <cell r="W934">
            <v>0</v>
          </cell>
          <cell r="X934">
            <v>0</v>
          </cell>
          <cell r="Y934">
            <v>0</v>
          </cell>
        </row>
        <row r="935">
          <cell r="E935">
            <v>0</v>
          </cell>
          <cell r="F935" t="str">
            <v>TIARA CELL</v>
          </cell>
          <cell r="G935">
            <v>0</v>
          </cell>
          <cell r="H935">
            <v>0</v>
          </cell>
          <cell r="I935">
            <v>0</v>
          </cell>
          <cell r="J935">
            <v>0</v>
          </cell>
          <cell r="K935">
            <v>0</v>
          </cell>
          <cell r="L935">
            <v>0</v>
          </cell>
          <cell r="M935">
            <v>0</v>
          </cell>
          <cell r="N935">
            <v>0</v>
          </cell>
          <cell r="O935">
            <v>0</v>
          </cell>
          <cell r="P935">
            <v>0</v>
          </cell>
          <cell r="Q935">
            <v>0</v>
          </cell>
          <cell r="R935">
            <v>0</v>
          </cell>
          <cell r="S935">
            <v>0</v>
          </cell>
          <cell r="T935">
            <v>0</v>
          </cell>
          <cell r="U935">
            <v>0</v>
          </cell>
          <cell r="V935">
            <v>0</v>
          </cell>
          <cell r="W935">
            <v>0</v>
          </cell>
          <cell r="X935">
            <v>0</v>
          </cell>
          <cell r="Y935">
            <v>0</v>
          </cell>
        </row>
        <row r="936">
          <cell r="E936">
            <v>0</v>
          </cell>
          <cell r="F936" t="str">
            <v>Nita Cell</v>
          </cell>
          <cell r="G936">
            <v>0</v>
          </cell>
          <cell r="H936">
            <v>0</v>
          </cell>
          <cell r="I936">
            <v>0</v>
          </cell>
          <cell r="J936">
            <v>0</v>
          </cell>
          <cell r="K936">
            <v>0</v>
          </cell>
          <cell r="L936">
            <v>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>
            <v>0</v>
          </cell>
          <cell r="V936">
            <v>0</v>
          </cell>
          <cell r="W936">
            <v>0</v>
          </cell>
          <cell r="X936">
            <v>0</v>
          </cell>
          <cell r="Y936">
            <v>0</v>
          </cell>
        </row>
        <row r="937">
          <cell r="E937">
            <v>0</v>
          </cell>
          <cell r="F937" t="str">
            <v>Asmi cell</v>
          </cell>
          <cell r="G937">
            <v>0</v>
          </cell>
          <cell r="H937">
            <v>0</v>
          </cell>
          <cell r="I937">
            <v>0</v>
          </cell>
          <cell r="J937">
            <v>0</v>
          </cell>
          <cell r="K937">
            <v>0</v>
          </cell>
          <cell r="L937">
            <v>0</v>
          </cell>
          <cell r="M937">
            <v>0</v>
          </cell>
          <cell r="N937">
            <v>0</v>
          </cell>
          <cell r="O937">
            <v>0</v>
          </cell>
          <cell r="P937">
            <v>0</v>
          </cell>
          <cell r="Q937">
            <v>0</v>
          </cell>
          <cell r="R937">
            <v>0</v>
          </cell>
          <cell r="S937">
            <v>0</v>
          </cell>
          <cell r="T937">
            <v>0</v>
          </cell>
          <cell r="U937">
            <v>0</v>
          </cell>
          <cell r="V937">
            <v>0</v>
          </cell>
          <cell r="W937">
            <v>0</v>
          </cell>
          <cell r="X937">
            <v>0</v>
          </cell>
          <cell r="Y937">
            <v>0</v>
          </cell>
        </row>
        <row r="938">
          <cell r="E938">
            <v>0</v>
          </cell>
          <cell r="F938" t="str">
            <v>weri pulsa</v>
          </cell>
          <cell r="G938">
            <v>0</v>
          </cell>
          <cell r="H938">
            <v>0</v>
          </cell>
          <cell r="I938">
            <v>0</v>
          </cell>
          <cell r="J938">
            <v>0</v>
          </cell>
          <cell r="K938">
            <v>0</v>
          </cell>
          <cell r="L938">
            <v>0</v>
          </cell>
          <cell r="M938">
            <v>0</v>
          </cell>
          <cell r="N938">
            <v>0</v>
          </cell>
          <cell r="O938">
            <v>0</v>
          </cell>
          <cell r="P938">
            <v>0</v>
          </cell>
          <cell r="Q938">
            <v>0</v>
          </cell>
          <cell r="R938">
            <v>0</v>
          </cell>
          <cell r="S938">
            <v>0</v>
          </cell>
          <cell r="T938">
            <v>0</v>
          </cell>
          <cell r="U938">
            <v>0</v>
          </cell>
          <cell r="V938">
            <v>0</v>
          </cell>
          <cell r="W938">
            <v>0</v>
          </cell>
          <cell r="X938">
            <v>0</v>
          </cell>
          <cell r="Y938">
            <v>0</v>
          </cell>
        </row>
        <row r="939">
          <cell r="E939">
            <v>0</v>
          </cell>
          <cell r="F939" t="str">
            <v>Warong dedy</v>
          </cell>
          <cell r="G939">
            <v>0</v>
          </cell>
          <cell r="H939">
            <v>0</v>
          </cell>
          <cell r="I939">
            <v>0</v>
          </cell>
          <cell r="J939">
            <v>0</v>
          </cell>
          <cell r="K939">
            <v>0</v>
          </cell>
          <cell r="L939">
            <v>0</v>
          </cell>
          <cell r="M939">
            <v>0</v>
          </cell>
          <cell r="N939">
            <v>0</v>
          </cell>
          <cell r="O939">
            <v>0</v>
          </cell>
          <cell r="P939">
            <v>0</v>
          </cell>
          <cell r="Q939">
            <v>0</v>
          </cell>
          <cell r="R939">
            <v>0</v>
          </cell>
          <cell r="S939">
            <v>0</v>
          </cell>
          <cell r="T939">
            <v>0</v>
          </cell>
          <cell r="U939">
            <v>0</v>
          </cell>
          <cell r="V939">
            <v>0</v>
          </cell>
          <cell r="W939">
            <v>0</v>
          </cell>
          <cell r="X939">
            <v>0</v>
          </cell>
          <cell r="Y939">
            <v>0</v>
          </cell>
        </row>
        <row r="940">
          <cell r="E940">
            <v>0</v>
          </cell>
          <cell r="F940" t="str">
            <v>Warong bilkis</v>
          </cell>
          <cell r="G940">
            <v>0</v>
          </cell>
          <cell r="H940">
            <v>0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0</v>
          </cell>
          <cell r="O940">
            <v>0</v>
          </cell>
          <cell r="P940">
            <v>0</v>
          </cell>
          <cell r="Q940">
            <v>0</v>
          </cell>
          <cell r="R940">
            <v>0</v>
          </cell>
          <cell r="S940">
            <v>0</v>
          </cell>
          <cell r="T940">
            <v>0</v>
          </cell>
          <cell r="U940">
            <v>0</v>
          </cell>
          <cell r="V940">
            <v>0</v>
          </cell>
          <cell r="W940">
            <v>0</v>
          </cell>
          <cell r="X940">
            <v>0</v>
          </cell>
          <cell r="Y940">
            <v>0</v>
          </cell>
        </row>
        <row r="941">
          <cell r="E941">
            <v>0</v>
          </cell>
          <cell r="F941" t="str">
            <v>Wr masriati</v>
          </cell>
          <cell r="G941">
            <v>0</v>
          </cell>
          <cell r="H941">
            <v>0</v>
          </cell>
          <cell r="I941">
            <v>0</v>
          </cell>
          <cell r="J941">
            <v>0</v>
          </cell>
          <cell r="K941">
            <v>0</v>
          </cell>
          <cell r="L941">
            <v>0</v>
          </cell>
          <cell r="M941">
            <v>0</v>
          </cell>
          <cell r="N941">
            <v>0</v>
          </cell>
          <cell r="O941">
            <v>0</v>
          </cell>
          <cell r="P941">
            <v>0</v>
          </cell>
          <cell r="Q941">
            <v>0</v>
          </cell>
          <cell r="R941">
            <v>0</v>
          </cell>
          <cell r="S941">
            <v>0</v>
          </cell>
          <cell r="T941">
            <v>0</v>
          </cell>
          <cell r="U941">
            <v>0</v>
          </cell>
          <cell r="V941">
            <v>0</v>
          </cell>
          <cell r="W941">
            <v>0</v>
          </cell>
          <cell r="X941">
            <v>0</v>
          </cell>
          <cell r="Y941">
            <v>0</v>
          </cell>
        </row>
        <row r="942">
          <cell r="E942">
            <v>0</v>
          </cell>
          <cell r="F942" t="str">
            <v>aan cell</v>
          </cell>
          <cell r="G942">
            <v>0</v>
          </cell>
          <cell r="H942">
            <v>0</v>
          </cell>
          <cell r="I942">
            <v>0</v>
          </cell>
          <cell r="J942">
            <v>0</v>
          </cell>
          <cell r="K942">
            <v>0</v>
          </cell>
          <cell r="L942">
            <v>0</v>
          </cell>
          <cell r="M942">
            <v>0</v>
          </cell>
          <cell r="N942">
            <v>0</v>
          </cell>
          <cell r="O942">
            <v>0</v>
          </cell>
          <cell r="P942">
            <v>0</v>
          </cell>
          <cell r="Q942">
            <v>0</v>
          </cell>
          <cell r="R942">
            <v>0</v>
          </cell>
          <cell r="S942">
            <v>0</v>
          </cell>
          <cell r="T942">
            <v>0</v>
          </cell>
          <cell r="U942">
            <v>0</v>
          </cell>
          <cell r="V942">
            <v>0</v>
          </cell>
          <cell r="W942">
            <v>0</v>
          </cell>
          <cell r="X942">
            <v>0</v>
          </cell>
          <cell r="Y942">
            <v>0</v>
          </cell>
        </row>
        <row r="943">
          <cell r="E943">
            <v>0</v>
          </cell>
          <cell r="F943" t="str">
            <v>Galeri Ponsel</v>
          </cell>
          <cell r="G943">
            <v>0</v>
          </cell>
          <cell r="H943">
            <v>0</v>
          </cell>
          <cell r="I943">
            <v>0</v>
          </cell>
          <cell r="J943">
            <v>0</v>
          </cell>
          <cell r="K943">
            <v>0</v>
          </cell>
          <cell r="L943">
            <v>0</v>
          </cell>
          <cell r="M943">
            <v>0</v>
          </cell>
          <cell r="N943">
            <v>0</v>
          </cell>
          <cell r="O943">
            <v>0</v>
          </cell>
          <cell r="P943">
            <v>0</v>
          </cell>
          <cell r="Q943">
            <v>0</v>
          </cell>
          <cell r="R943">
            <v>0</v>
          </cell>
          <cell r="S943">
            <v>0</v>
          </cell>
          <cell r="T943">
            <v>0</v>
          </cell>
          <cell r="U943">
            <v>0</v>
          </cell>
          <cell r="V943">
            <v>0</v>
          </cell>
          <cell r="W943">
            <v>0</v>
          </cell>
          <cell r="X943">
            <v>0</v>
          </cell>
          <cell r="Y943">
            <v>0</v>
          </cell>
        </row>
        <row r="944">
          <cell r="E944">
            <v>0</v>
          </cell>
          <cell r="F944" t="str">
            <v>Expert mobile</v>
          </cell>
          <cell r="G944">
            <v>0</v>
          </cell>
          <cell r="H944">
            <v>0</v>
          </cell>
          <cell r="I944">
            <v>0</v>
          </cell>
          <cell r="J944">
            <v>0</v>
          </cell>
          <cell r="K944">
            <v>0</v>
          </cell>
          <cell r="L944">
            <v>0</v>
          </cell>
          <cell r="M944">
            <v>0</v>
          </cell>
          <cell r="N944">
            <v>0</v>
          </cell>
          <cell r="O944">
            <v>0</v>
          </cell>
          <cell r="P944">
            <v>0</v>
          </cell>
          <cell r="Q944">
            <v>0</v>
          </cell>
          <cell r="R944">
            <v>0</v>
          </cell>
          <cell r="S944">
            <v>0</v>
          </cell>
          <cell r="T944">
            <v>0</v>
          </cell>
          <cell r="U944">
            <v>0</v>
          </cell>
          <cell r="V944">
            <v>0</v>
          </cell>
          <cell r="W944">
            <v>0</v>
          </cell>
          <cell r="X944">
            <v>0</v>
          </cell>
          <cell r="Y944">
            <v>0</v>
          </cell>
        </row>
        <row r="945">
          <cell r="E945">
            <v>0</v>
          </cell>
          <cell r="F945" t="str">
            <v>Toko Queen</v>
          </cell>
          <cell r="G945">
            <v>0</v>
          </cell>
          <cell r="H945">
            <v>0</v>
          </cell>
          <cell r="I945">
            <v>0</v>
          </cell>
          <cell r="J945">
            <v>0</v>
          </cell>
          <cell r="K945">
            <v>0</v>
          </cell>
          <cell r="L945">
            <v>0</v>
          </cell>
          <cell r="M945">
            <v>0</v>
          </cell>
          <cell r="N945">
            <v>0</v>
          </cell>
          <cell r="O945">
            <v>0</v>
          </cell>
          <cell r="P945">
            <v>0</v>
          </cell>
          <cell r="Q945">
            <v>0</v>
          </cell>
          <cell r="R945">
            <v>0</v>
          </cell>
          <cell r="S945">
            <v>0</v>
          </cell>
          <cell r="T945">
            <v>0</v>
          </cell>
          <cell r="U945">
            <v>0</v>
          </cell>
          <cell r="V945">
            <v>0</v>
          </cell>
          <cell r="W945">
            <v>0</v>
          </cell>
          <cell r="X945">
            <v>0</v>
          </cell>
          <cell r="Y945">
            <v>0</v>
          </cell>
        </row>
        <row r="946">
          <cell r="E946">
            <v>0</v>
          </cell>
          <cell r="F946" t="str">
            <v>Song cell</v>
          </cell>
          <cell r="G946">
            <v>0</v>
          </cell>
          <cell r="H946">
            <v>0</v>
          </cell>
          <cell r="I946">
            <v>0</v>
          </cell>
          <cell r="J946">
            <v>0</v>
          </cell>
          <cell r="K946">
            <v>0</v>
          </cell>
          <cell r="L946">
            <v>0</v>
          </cell>
          <cell r="M946">
            <v>0</v>
          </cell>
          <cell r="N946">
            <v>0</v>
          </cell>
          <cell r="O946">
            <v>0</v>
          </cell>
          <cell r="P946">
            <v>0</v>
          </cell>
          <cell r="Q946">
            <v>0</v>
          </cell>
          <cell r="R946">
            <v>0</v>
          </cell>
          <cell r="S946">
            <v>0</v>
          </cell>
          <cell r="T946">
            <v>0</v>
          </cell>
          <cell r="U946">
            <v>0</v>
          </cell>
          <cell r="V946">
            <v>0</v>
          </cell>
          <cell r="W946">
            <v>0</v>
          </cell>
          <cell r="X946">
            <v>0</v>
          </cell>
          <cell r="Y946">
            <v>0</v>
          </cell>
        </row>
        <row r="947">
          <cell r="E947">
            <v>0</v>
          </cell>
          <cell r="F947" t="str">
            <v>Agen Pulsa</v>
          </cell>
          <cell r="G947">
            <v>0</v>
          </cell>
          <cell r="H947">
            <v>0</v>
          </cell>
          <cell r="I947">
            <v>0</v>
          </cell>
          <cell r="J947">
            <v>0</v>
          </cell>
          <cell r="K947">
            <v>0</v>
          </cell>
          <cell r="L947">
            <v>0</v>
          </cell>
          <cell r="M947">
            <v>0</v>
          </cell>
          <cell r="N947">
            <v>0</v>
          </cell>
          <cell r="O947">
            <v>0</v>
          </cell>
          <cell r="P947">
            <v>0</v>
          </cell>
          <cell r="Q947">
            <v>0</v>
          </cell>
          <cell r="R947">
            <v>0</v>
          </cell>
          <cell r="S947">
            <v>0</v>
          </cell>
          <cell r="T947">
            <v>0</v>
          </cell>
          <cell r="U947">
            <v>0</v>
          </cell>
          <cell r="V947">
            <v>0</v>
          </cell>
          <cell r="W947">
            <v>0</v>
          </cell>
          <cell r="X947">
            <v>0</v>
          </cell>
          <cell r="Y947">
            <v>0</v>
          </cell>
        </row>
        <row r="948">
          <cell r="E948">
            <v>0</v>
          </cell>
          <cell r="F948" t="str">
            <v>agus ponsel</v>
          </cell>
          <cell r="G948">
            <v>0</v>
          </cell>
          <cell r="H948">
            <v>0</v>
          </cell>
          <cell r="I948">
            <v>1</v>
          </cell>
          <cell r="J948">
            <v>1</v>
          </cell>
          <cell r="K948">
            <v>0</v>
          </cell>
          <cell r="L948">
            <v>0</v>
          </cell>
          <cell r="M948">
            <v>0</v>
          </cell>
          <cell r="N948">
            <v>0</v>
          </cell>
          <cell r="O948">
            <v>0</v>
          </cell>
          <cell r="P948">
            <v>0</v>
          </cell>
          <cell r="Q948">
            <v>0</v>
          </cell>
          <cell r="R948">
            <v>0</v>
          </cell>
          <cell r="S948">
            <v>0</v>
          </cell>
          <cell r="T948">
            <v>0</v>
          </cell>
          <cell r="U948">
            <v>0</v>
          </cell>
          <cell r="V948">
            <v>0</v>
          </cell>
          <cell r="W948">
            <v>0</v>
          </cell>
          <cell r="X948">
            <v>99250</v>
          </cell>
          <cell r="Y948">
            <v>112000</v>
          </cell>
        </row>
        <row r="949">
          <cell r="E949">
            <v>0</v>
          </cell>
          <cell r="F949" t="str">
            <v>Toko Budi</v>
          </cell>
          <cell r="G949">
            <v>0</v>
          </cell>
          <cell r="H949">
            <v>0</v>
          </cell>
          <cell r="I949">
            <v>0</v>
          </cell>
          <cell r="J949">
            <v>0</v>
          </cell>
          <cell r="K949">
            <v>0</v>
          </cell>
          <cell r="L949">
            <v>0</v>
          </cell>
          <cell r="M949">
            <v>0</v>
          </cell>
          <cell r="N949">
            <v>0</v>
          </cell>
          <cell r="O949">
            <v>0</v>
          </cell>
          <cell r="P949">
            <v>0</v>
          </cell>
          <cell r="Q949">
            <v>0</v>
          </cell>
          <cell r="R949">
            <v>0</v>
          </cell>
          <cell r="S949">
            <v>0</v>
          </cell>
          <cell r="T949">
            <v>0</v>
          </cell>
          <cell r="U949">
            <v>0</v>
          </cell>
          <cell r="V949">
            <v>0</v>
          </cell>
          <cell r="W949">
            <v>0</v>
          </cell>
          <cell r="X949">
            <v>0</v>
          </cell>
          <cell r="Y949">
            <v>0</v>
          </cell>
        </row>
        <row r="950">
          <cell r="E950">
            <v>0</v>
          </cell>
          <cell r="F950" t="str">
            <v>Bayu ponsel</v>
          </cell>
          <cell r="G950">
            <v>0</v>
          </cell>
          <cell r="H950">
            <v>0</v>
          </cell>
          <cell r="I950">
            <v>0</v>
          </cell>
          <cell r="J950">
            <v>0</v>
          </cell>
          <cell r="K950">
            <v>0</v>
          </cell>
          <cell r="L950">
            <v>0</v>
          </cell>
          <cell r="M950">
            <v>0</v>
          </cell>
          <cell r="N950">
            <v>0</v>
          </cell>
          <cell r="O950">
            <v>0</v>
          </cell>
          <cell r="P950">
            <v>0</v>
          </cell>
          <cell r="Q950">
            <v>0</v>
          </cell>
          <cell r="R950">
            <v>0</v>
          </cell>
          <cell r="S950">
            <v>0</v>
          </cell>
          <cell r="T950">
            <v>0</v>
          </cell>
          <cell r="U950">
            <v>0</v>
          </cell>
          <cell r="V950">
            <v>0</v>
          </cell>
          <cell r="W950">
            <v>0</v>
          </cell>
          <cell r="X950">
            <v>0</v>
          </cell>
          <cell r="Y950">
            <v>0</v>
          </cell>
        </row>
        <row r="951">
          <cell r="E951">
            <v>0</v>
          </cell>
          <cell r="F951" t="str">
            <v>Toko Wasilah</v>
          </cell>
          <cell r="G951">
            <v>0</v>
          </cell>
          <cell r="H951">
            <v>0</v>
          </cell>
          <cell r="I951">
            <v>0</v>
          </cell>
          <cell r="J951">
            <v>0</v>
          </cell>
          <cell r="K951">
            <v>0</v>
          </cell>
          <cell r="L951">
            <v>0</v>
          </cell>
          <cell r="M951">
            <v>0</v>
          </cell>
          <cell r="N951">
            <v>0</v>
          </cell>
          <cell r="O951">
            <v>0</v>
          </cell>
          <cell r="P951">
            <v>0</v>
          </cell>
          <cell r="Q951">
            <v>0</v>
          </cell>
          <cell r="R951">
            <v>0</v>
          </cell>
          <cell r="S951">
            <v>0</v>
          </cell>
          <cell r="T951">
            <v>0</v>
          </cell>
          <cell r="U951">
            <v>0</v>
          </cell>
          <cell r="V951">
            <v>0</v>
          </cell>
          <cell r="W951">
            <v>0</v>
          </cell>
          <cell r="X951">
            <v>0</v>
          </cell>
          <cell r="Y951">
            <v>0</v>
          </cell>
        </row>
        <row r="952">
          <cell r="E952">
            <v>0</v>
          </cell>
          <cell r="F952" t="str">
            <v>Toko arini</v>
          </cell>
          <cell r="G952">
            <v>0</v>
          </cell>
          <cell r="H952">
            <v>0</v>
          </cell>
          <cell r="I952">
            <v>0</v>
          </cell>
          <cell r="J952">
            <v>0</v>
          </cell>
          <cell r="K952">
            <v>0</v>
          </cell>
          <cell r="L952">
            <v>0</v>
          </cell>
          <cell r="M952">
            <v>0</v>
          </cell>
          <cell r="N952">
            <v>0</v>
          </cell>
          <cell r="O952">
            <v>0</v>
          </cell>
          <cell r="P952">
            <v>0</v>
          </cell>
          <cell r="Q952">
            <v>0</v>
          </cell>
          <cell r="R952">
            <v>0</v>
          </cell>
          <cell r="S952">
            <v>0</v>
          </cell>
          <cell r="T952">
            <v>0</v>
          </cell>
          <cell r="U952">
            <v>0</v>
          </cell>
          <cell r="V952">
            <v>0</v>
          </cell>
          <cell r="W952">
            <v>0</v>
          </cell>
          <cell r="X952">
            <v>0</v>
          </cell>
          <cell r="Y952">
            <v>0</v>
          </cell>
        </row>
        <row r="953">
          <cell r="E953">
            <v>0</v>
          </cell>
          <cell r="F953" t="str">
            <v>Kembar shop</v>
          </cell>
          <cell r="G953">
            <v>0</v>
          </cell>
          <cell r="H953">
            <v>0</v>
          </cell>
          <cell r="I953">
            <v>0</v>
          </cell>
          <cell r="J953">
            <v>0</v>
          </cell>
          <cell r="K953">
            <v>0</v>
          </cell>
          <cell r="L953">
            <v>0</v>
          </cell>
          <cell r="M953">
            <v>0</v>
          </cell>
          <cell r="N953">
            <v>0</v>
          </cell>
          <cell r="O953">
            <v>0</v>
          </cell>
          <cell r="P953">
            <v>0</v>
          </cell>
          <cell r="Q953">
            <v>0</v>
          </cell>
          <cell r="R953">
            <v>0</v>
          </cell>
          <cell r="S953">
            <v>0</v>
          </cell>
          <cell r="T953">
            <v>0</v>
          </cell>
          <cell r="U953">
            <v>0</v>
          </cell>
          <cell r="V953">
            <v>0</v>
          </cell>
          <cell r="W953">
            <v>0</v>
          </cell>
          <cell r="X953">
            <v>0</v>
          </cell>
          <cell r="Y953">
            <v>0</v>
          </cell>
        </row>
        <row r="954">
          <cell r="E954">
            <v>0</v>
          </cell>
          <cell r="F954" t="str">
            <v>Ara ponsel</v>
          </cell>
          <cell r="G954">
            <v>0</v>
          </cell>
          <cell r="H954">
            <v>0</v>
          </cell>
          <cell r="I954">
            <v>0</v>
          </cell>
          <cell r="J954">
            <v>0</v>
          </cell>
          <cell r="K954">
            <v>0</v>
          </cell>
          <cell r="L954">
            <v>0</v>
          </cell>
          <cell r="M954">
            <v>0</v>
          </cell>
          <cell r="N954">
            <v>0</v>
          </cell>
          <cell r="O954">
            <v>0</v>
          </cell>
          <cell r="P954">
            <v>0</v>
          </cell>
          <cell r="Q954">
            <v>0</v>
          </cell>
          <cell r="R954">
            <v>0</v>
          </cell>
          <cell r="S954">
            <v>0</v>
          </cell>
          <cell r="T954">
            <v>0</v>
          </cell>
          <cell r="U954">
            <v>0</v>
          </cell>
          <cell r="V954">
            <v>0</v>
          </cell>
          <cell r="W954">
            <v>0</v>
          </cell>
          <cell r="X954">
            <v>0</v>
          </cell>
          <cell r="Y954">
            <v>0</v>
          </cell>
        </row>
        <row r="955">
          <cell r="E955">
            <v>0</v>
          </cell>
          <cell r="F955" t="str">
            <v>Toko Arul</v>
          </cell>
          <cell r="G955">
            <v>0</v>
          </cell>
          <cell r="H955">
            <v>0</v>
          </cell>
          <cell r="I955">
            <v>0</v>
          </cell>
          <cell r="J955">
            <v>0</v>
          </cell>
          <cell r="K955">
            <v>0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  <cell r="Q955">
            <v>0</v>
          </cell>
          <cell r="R955">
            <v>0</v>
          </cell>
          <cell r="S955">
            <v>0</v>
          </cell>
          <cell r="T955">
            <v>0</v>
          </cell>
          <cell r="U955">
            <v>0</v>
          </cell>
          <cell r="V955">
            <v>0</v>
          </cell>
          <cell r="W955">
            <v>0</v>
          </cell>
          <cell r="X955">
            <v>0</v>
          </cell>
          <cell r="Y955">
            <v>0</v>
          </cell>
        </row>
        <row r="956">
          <cell r="E956">
            <v>0</v>
          </cell>
          <cell r="F956" t="str">
            <v>Hendri ponsel</v>
          </cell>
          <cell r="G956">
            <v>0</v>
          </cell>
          <cell r="H956">
            <v>0</v>
          </cell>
          <cell r="I956">
            <v>0</v>
          </cell>
          <cell r="J956">
            <v>0</v>
          </cell>
          <cell r="K956">
            <v>0</v>
          </cell>
          <cell r="L956">
            <v>0</v>
          </cell>
          <cell r="M956">
            <v>0</v>
          </cell>
          <cell r="N956">
            <v>0</v>
          </cell>
          <cell r="O956">
            <v>0</v>
          </cell>
          <cell r="P956">
            <v>0</v>
          </cell>
          <cell r="Q956">
            <v>0</v>
          </cell>
          <cell r="R956">
            <v>0</v>
          </cell>
          <cell r="S956">
            <v>0</v>
          </cell>
          <cell r="T956">
            <v>0</v>
          </cell>
          <cell r="U956">
            <v>0</v>
          </cell>
          <cell r="V956">
            <v>0</v>
          </cell>
          <cell r="W956">
            <v>0</v>
          </cell>
          <cell r="X956">
            <v>0</v>
          </cell>
          <cell r="Y956">
            <v>0</v>
          </cell>
        </row>
        <row r="957">
          <cell r="E957">
            <v>0</v>
          </cell>
          <cell r="F957" t="str">
            <v>Queen Mobile</v>
          </cell>
          <cell r="G957">
            <v>0</v>
          </cell>
          <cell r="H957">
            <v>0</v>
          </cell>
          <cell r="I957">
            <v>0</v>
          </cell>
          <cell r="J957">
            <v>0</v>
          </cell>
          <cell r="K957">
            <v>0</v>
          </cell>
          <cell r="L957">
            <v>0</v>
          </cell>
          <cell r="M957">
            <v>0</v>
          </cell>
          <cell r="N957">
            <v>0</v>
          </cell>
          <cell r="O957">
            <v>0</v>
          </cell>
          <cell r="P957">
            <v>0</v>
          </cell>
          <cell r="Q957">
            <v>0</v>
          </cell>
          <cell r="R957">
            <v>0</v>
          </cell>
          <cell r="S957">
            <v>0</v>
          </cell>
          <cell r="T957">
            <v>0</v>
          </cell>
          <cell r="U957">
            <v>0</v>
          </cell>
          <cell r="V957">
            <v>0</v>
          </cell>
          <cell r="W957">
            <v>0</v>
          </cell>
          <cell r="X957">
            <v>0</v>
          </cell>
          <cell r="Y957">
            <v>0</v>
          </cell>
        </row>
        <row r="958">
          <cell r="E958">
            <v>0</v>
          </cell>
          <cell r="F958" t="str">
            <v>GHEA PONSEL</v>
          </cell>
          <cell r="G958">
            <v>0</v>
          </cell>
          <cell r="H958">
            <v>0</v>
          </cell>
          <cell r="I958">
            <v>0</v>
          </cell>
          <cell r="J958">
            <v>0</v>
          </cell>
          <cell r="K958">
            <v>0</v>
          </cell>
          <cell r="L958">
            <v>0</v>
          </cell>
          <cell r="M958">
            <v>0</v>
          </cell>
          <cell r="N958">
            <v>0</v>
          </cell>
          <cell r="O958">
            <v>0</v>
          </cell>
          <cell r="P958">
            <v>0</v>
          </cell>
          <cell r="Q958">
            <v>0</v>
          </cell>
          <cell r="R958">
            <v>0</v>
          </cell>
          <cell r="S958">
            <v>0</v>
          </cell>
          <cell r="T958">
            <v>0</v>
          </cell>
          <cell r="U958">
            <v>0</v>
          </cell>
          <cell r="V958">
            <v>0</v>
          </cell>
          <cell r="W958">
            <v>0</v>
          </cell>
          <cell r="X958">
            <v>0</v>
          </cell>
          <cell r="Y958">
            <v>0</v>
          </cell>
        </row>
        <row r="959">
          <cell r="E959">
            <v>0</v>
          </cell>
          <cell r="F959" t="str">
            <v>Alang Store</v>
          </cell>
          <cell r="G959">
            <v>0</v>
          </cell>
          <cell r="H959">
            <v>0</v>
          </cell>
          <cell r="I959">
            <v>0</v>
          </cell>
          <cell r="J959">
            <v>0</v>
          </cell>
          <cell r="K959">
            <v>0</v>
          </cell>
          <cell r="L959">
            <v>0</v>
          </cell>
          <cell r="M959">
            <v>0</v>
          </cell>
          <cell r="N959">
            <v>0</v>
          </cell>
          <cell r="O959">
            <v>0</v>
          </cell>
          <cell r="P959">
            <v>0</v>
          </cell>
          <cell r="Q959">
            <v>0</v>
          </cell>
          <cell r="R959">
            <v>0</v>
          </cell>
          <cell r="S959">
            <v>0</v>
          </cell>
          <cell r="T959">
            <v>0</v>
          </cell>
          <cell r="U959">
            <v>0</v>
          </cell>
          <cell r="V959">
            <v>0</v>
          </cell>
          <cell r="W959">
            <v>0</v>
          </cell>
          <cell r="X959">
            <v>0</v>
          </cell>
          <cell r="Y959">
            <v>0</v>
          </cell>
        </row>
        <row r="960">
          <cell r="E960">
            <v>0</v>
          </cell>
          <cell r="F960" t="str">
            <v>WR Barokah</v>
          </cell>
          <cell r="G960">
            <v>0</v>
          </cell>
          <cell r="H960">
            <v>0</v>
          </cell>
          <cell r="I960">
            <v>0</v>
          </cell>
          <cell r="J960">
            <v>0</v>
          </cell>
          <cell r="K960">
            <v>0</v>
          </cell>
          <cell r="L960">
            <v>0</v>
          </cell>
          <cell r="M960">
            <v>0</v>
          </cell>
          <cell r="N960">
            <v>0</v>
          </cell>
          <cell r="O960">
            <v>0</v>
          </cell>
          <cell r="P960">
            <v>0</v>
          </cell>
          <cell r="Q960">
            <v>0</v>
          </cell>
          <cell r="R960">
            <v>0</v>
          </cell>
          <cell r="S960">
            <v>0</v>
          </cell>
          <cell r="T960">
            <v>0</v>
          </cell>
          <cell r="U960">
            <v>0</v>
          </cell>
          <cell r="V960">
            <v>0</v>
          </cell>
          <cell r="W960">
            <v>0</v>
          </cell>
          <cell r="X960">
            <v>0</v>
          </cell>
          <cell r="Y960">
            <v>0</v>
          </cell>
        </row>
        <row r="961">
          <cell r="E961">
            <v>0</v>
          </cell>
          <cell r="F961" t="str">
            <v>Azril Ponsel</v>
          </cell>
          <cell r="G961">
            <v>0</v>
          </cell>
          <cell r="H961">
            <v>0</v>
          </cell>
          <cell r="I961">
            <v>0</v>
          </cell>
          <cell r="J961">
            <v>0</v>
          </cell>
          <cell r="K961">
            <v>0</v>
          </cell>
          <cell r="L961">
            <v>0</v>
          </cell>
          <cell r="M961">
            <v>0</v>
          </cell>
          <cell r="N961">
            <v>0</v>
          </cell>
          <cell r="O961">
            <v>0</v>
          </cell>
          <cell r="P961">
            <v>0</v>
          </cell>
          <cell r="Q961">
            <v>0</v>
          </cell>
          <cell r="R961">
            <v>0</v>
          </cell>
          <cell r="S961">
            <v>0</v>
          </cell>
          <cell r="T961">
            <v>0</v>
          </cell>
          <cell r="U961">
            <v>0</v>
          </cell>
          <cell r="V961">
            <v>0</v>
          </cell>
          <cell r="W961">
            <v>0</v>
          </cell>
          <cell r="X961">
            <v>0</v>
          </cell>
          <cell r="Y961">
            <v>0</v>
          </cell>
        </row>
        <row r="962">
          <cell r="E962">
            <v>0</v>
          </cell>
          <cell r="F962" t="str">
            <v>New Star</v>
          </cell>
          <cell r="G962">
            <v>0</v>
          </cell>
          <cell r="H962">
            <v>0</v>
          </cell>
          <cell r="I962">
            <v>0</v>
          </cell>
          <cell r="J962">
            <v>0</v>
          </cell>
          <cell r="K962">
            <v>0</v>
          </cell>
          <cell r="L962">
            <v>0</v>
          </cell>
          <cell r="M962">
            <v>0</v>
          </cell>
          <cell r="N962">
            <v>0</v>
          </cell>
          <cell r="O962">
            <v>0</v>
          </cell>
          <cell r="P962">
            <v>0</v>
          </cell>
          <cell r="Q962">
            <v>0</v>
          </cell>
          <cell r="R962">
            <v>0</v>
          </cell>
          <cell r="S962">
            <v>0</v>
          </cell>
          <cell r="T962">
            <v>0</v>
          </cell>
          <cell r="U962">
            <v>0</v>
          </cell>
          <cell r="V962">
            <v>0</v>
          </cell>
          <cell r="W962">
            <v>0</v>
          </cell>
          <cell r="X962">
            <v>0</v>
          </cell>
          <cell r="Y962">
            <v>0</v>
          </cell>
        </row>
        <row r="963">
          <cell r="E963">
            <v>0</v>
          </cell>
          <cell r="F963" t="str">
            <v>andi</v>
          </cell>
          <cell r="G963">
            <v>0</v>
          </cell>
          <cell r="H963">
            <v>0</v>
          </cell>
          <cell r="I963">
            <v>0</v>
          </cell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  <cell r="Q963">
            <v>0</v>
          </cell>
          <cell r="R963">
            <v>0</v>
          </cell>
          <cell r="S963">
            <v>0</v>
          </cell>
          <cell r="T963">
            <v>0</v>
          </cell>
          <cell r="U963">
            <v>0</v>
          </cell>
          <cell r="V963">
            <v>0</v>
          </cell>
          <cell r="W963">
            <v>0</v>
          </cell>
          <cell r="X963">
            <v>0</v>
          </cell>
          <cell r="Y963">
            <v>0</v>
          </cell>
        </row>
        <row r="964">
          <cell r="E964">
            <v>0</v>
          </cell>
          <cell r="F964" t="str">
            <v>KENDI PONSEL</v>
          </cell>
          <cell r="G964">
            <v>0</v>
          </cell>
          <cell r="H964">
            <v>0</v>
          </cell>
          <cell r="I964">
            <v>0</v>
          </cell>
          <cell r="J964">
            <v>0</v>
          </cell>
          <cell r="K964">
            <v>0</v>
          </cell>
          <cell r="L964">
            <v>0</v>
          </cell>
          <cell r="M964">
            <v>0</v>
          </cell>
          <cell r="N964">
            <v>0</v>
          </cell>
          <cell r="O964">
            <v>0</v>
          </cell>
          <cell r="P964">
            <v>0</v>
          </cell>
          <cell r="Q964">
            <v>0</v>
          </cell>
          <cell r="R964">
            <v>0</v>
          </cell>
          <cell r="S964">
            <v>0</v>
          </cell>
          <cell r="T964">
            <v>0</v>
          </cell>
          <cell r="U964">
            <v>0</v>
          </cell>
          <cell r="V964">
            <v>0</v>
          </cell>
          <cell r="W964">
            <v>0</v>
          </cell>
          <cell r="X964">
            <v>0</v>
          </cell>
          <cell r="Y964">
            <v>0</v>
          </cell>
        </row>
        <row r="965">
          <cell r="E965">
            <v>0</v>
          </cell>
          <cell r="F965" t="str">
            <v>OCY PULSA</v>
          </cell>
          <cell r="G965">
            <v>0</v>
          </cell>
          <cell r="H965">
            <v>0</v>
          </cell>
          <cell r="I965">
            <v>1</v>
          </cell>
          <cell r="J965">
            <v>1</v>
          </cell>
          <cell r="K965">
            <v>0</v>
          </cell>
          <cell r="L965">
            <v>0</v>
          </cell>
          <cell r="M965">
            <v>0</v>
          </cell>
          <cell r="N965">
            <v>0</v>
          </cell>
          <cell r="O965">
            <v>0</v>
          </cell>
          <cell r="P965">
            <v>0</v>
          </cell>
          <cell r="Q965">
            <v>0</v>
          </cell>
          <cell r="R965">
            <v>0</v>
          </cell>
          <cell r="S965">
            <v>0</v>
          </cell>
          <cell r="T965">
            <v>0</v>
          </cell>
          <cell r="U965">
            <v>0</v>
          </cell>
          <cell r="V965">
            <v>0</v>
          </cell>
          <cell r="W965">
            <v>0</v>
          </cell>
          <cell r="X965">
            <v>690751.06677419401</v>
          </cell>
          <cell r="Y965">
            <v>264000</v>
          </cell>
        </row>
        <row r="966">
          <cell r="E966">
            <v>0</v>
          </cell>
          <cell r="F966" t="str">
            <v>Multi cell</v>
          </cell>
          <cell r="G966">
            <v>0</v>
          </cell>
          <cell r="H966">
            <v>0</v>
          </cell>
          <cell r="I966">
            <v>1</v>
          </cell>
          <cell r="J966">
            <v>1</v>
          </cell>
          <cell r="K966">
            <v>9</v>
          </cell>
          <cell r="L966">
            <v>9</v>
          </cell>
          <cell r="M966">
            <v>0</v>
          </cell>
          <cell r="N966">
            <v>4</v>
          </cell>
          <cell r="O966">
            <v>4</v>
          </cell>
          <cell r="P966">
            <v>0</v>
          </cell>
          <cell r="Q966">
            <v>5</v>
          </cell>
          <cell r="R966">
            <v>5</v>
          </cell>
          <cell r="S966">
            <v>0</v>
          </cell>
          <cell r="T966">
            <v>20</v>
          </cell>
          <cell r="U966">
            <v>1</v>
          </cell>
          <cell r="V966">
            <v>0</v>
          </cell>
          <cell r="W966">
            <v>0</v>
          </cell>
          <cell r="X966">
            <v>181713.58064516101</v>
          </cell>
          <cell r="Y966">
            <v>396000</v>
          </cell>
        </row>
        <row r="967">
          <cell r="E967">
            <v>0</v>
          </cell>
          <cell r="F967" t="str">
            <v>ZAIN CELLULAR</v>
          </cell>
          <cell r="G967">
            <v>0</v>
          </cell>
          <cell r="H967">
            <v>0</v>
          </cell>
          <cell r="I967">
            <v>1</v>
          </cell>
          <cell r="J967">
            <v>1</v>
          </cell>
          <cell r="K967">
            <v>0</v>
          </cell>
          <cell r="L967">
            <v>0</v>
          </cell>
          <cell r="M967">
            <v>0</v>
          </cell>
          <cell r="N967">
            <v>0</v>
          </cell>
          <cell r="O967">
            <v>0</v>
          </cell>
          <cell r="P967">
            <v>0</v>
          </cell>
          <cell r="Q967">
            <v>0</v>
          </cell>
          <cell r="R967">
            <v>0</v>
          </cell>
          <cell r="S967">
            <v>0</v>
          </cell>
          <cell r="T967">
            <v>0</v>
          </cell>
          <cell r="U967">
            <v>0</v>
          </cell>
          <cell r="V967">
            <v>0</v>
          </cell>
          <cell r="W967">
            <v>0</v>
          </cell>
          <cell r="X967">
            <v>354876.35483870999</v>
          </cell>
          <cell r="Y967">
            <v>264000</v>
          </cell>
        </row>
        <row r="968">
          <cell r="E968">
            <v>0</v>
          </cell>
          <cell r="F968" t="str">
            <v>Toko Celluler</v>
          </cell>
          <cell r="G968">
            <v>0</v>
          </cell>
          <cell r="H968">
            <v>0</v>
          </cell>
          <cell r="I968">
            <v>1</v>
          </cell>
          <cell r="J968">
            <v>1</v>
          </cell>
          <cell r="K968">
            <v>0</v>
          </cell>
          <cell r="L968">
            <v>0</v>
          </cell>
          <cell r="M968">
            <v>0</v>
          </cell>
          <cell r="N968">
            <v>0</v>
          </cell>
          <cell r="O968">
            <v>0</v>
          </cell>
          <cell r="P968">
            <v>0</v>
          </cell>
          <cell r="Q968">
            <v>0</v>
          </cell>
          <cell r="R968">
            <v>0</v>
          </cell>
          <cell r="S968">
            <v>0</v>
          </cell>
          <cell r="T968">
            <v>0</v>
          </cell>
          <cell r="U968">
            <v>0</v>
          </cell>
          <cell r="V968">
            <v>0</v>
          </cell>
          <cell r="W968">
            <v>0</v>
          </cell>
          <cell r="X968">
            <v>41034.560602126003</v>
          </cell>
          <cell r="Y968">
            <v>396000</v>
          </cell>
        </row>
        <row r="969">
          <cell r="E969">
            <v>0</v>
          </cell>
          <cell r="F969" t="str">
            <v>Adzka ponsel</v>
          </cell>
          <cell r="G969">
            <v>0</v>
          </cell>
          <cell r="H969">
            <v>0</v>
          </cell>
          <cell r="I969">
            <v>1</v>
          </cell>
          <cell r="J969">
            <v>1</v>
          </cell>
          <cell r="K969">
            <v>0</v>
          </cell>
          <cell r="L969">
            <v>0</v>
          </cell>
          <cell r="M969">
            <v>0</v>
          </cell>
          <cell r="N969">
            <v>0</v>
          </cell>
          <cell r="O969">
            <v>0</v>
          </cell>
          <cell r="P969">
            <v>0</v>
          </cell>
          <cell r="Q969">
            <v>0</v>
          </cell>
          <cell r="R969">
            <v>0</v>
          </cell>
          <cell r="S969">
            <v>0</v>
          </cell>
          <cell r="T969">
            <v>0</v>
          </cell>
          <cell r="U969">
            <v>0</v>
          </cell>
          <cell r="V969">
            <v>0</v>
          </cell>
          <cell r="W969">
            <v>0</v>
          </cell>
          <cell r="X969">
            <v>13678.186867375</v>
          </cell>
          <cell r="Y969">
            <v>529500</v>
          </cell>
        </row>
        <row r="970">
          <cell r="E970">
            <v>0</v>
          </cell>
          <cell r="F970" t="str">
            <v>Aan ponsel</v>
          </cell>
          <cell r="G970">
            <v>0</v>
          </cell>
          <cell r="H970">
            <v>0</v>
          </cell>
          <cell r="I970">
            <v>1</v>
          </cell>
          <cell r="J970">
            <v>1</v>
          </cell>
          <cell r="K970">
            <v>1</v>
          </cell>
          <cell r="L970">
            <v>1</v>
          </cell>
          <cell r="M970">
            <v>0</v>
          </cell>
          <cell r="N970">
            <v>0</v>
          </cell>
          <cell r="O970">
            <v>0</v>
          </cell>
          <cell r="P970">
            <v>0</v>
          </cell>
          <cell r="Q970">
            <v>0</v>
          </cell>
          <cell r="R970">
            <v>0</v>
          </cell>
          <cell r="S970">
            <v>0</v>
          </cell>
          <cell r="T970">
            <v>12</v>
          </cell>
          <cell r="U970">
            <v>0</v>
          </cell>
          <cell r="V970">
            <v>0</v>
          </cell>
          <cell r="W970">
            <v>0</v>
          </cell>
          <cell r="X970">
            <v>123103.681806377</v>
          </cell>
          <cell r="Y970">
            <v>132000</v>
          </cell>
        </row>
        <row r="971">
          <cell r="E971">
            <v>0</v>
          </cell>
          <cell r="F971" t="str">
            <v>Pulsa 17</v>
          </cell>
          <cell r="G971">
            <v>0</v>
          </cell>
          <cell r="H971">
            <v>0</v>
          </cell>
          <cell r="I971">
            <v>1</v>
          </cell>
          <cell r="J971">
            <v>1</v>
          </cell>
          <cell r="K971">
            <v>1</v>
          </cell>
          <cell r="L971">
            <v>1</v>
          </cell>
          <cell r="M971">
            <v>0</v>
          </cell>
          <cell r="N971">
            <v>1</v>
          </cell>
          <cell r="O971">
            <v>1</v>
          </cell>
          <cell r="P971">
            <v>0</v>
          </cell>
          <cell r="Q971">
            <v>1</v>
          </cell>
          <cell r="R971">
            <v>1</v>
          </cell>
          <cell r="S971">
            <v>0</v>
          </cell>
          <cell r="T971">
            <v>0</v>
          </cell>
          <cell r="U971">
            <v>0</v>
          </cell>
          <cell r="V971">
            <v>0</v>
          </cell>
          <cell r="W971">
            <v>0</v>
          </cell>
          <cell r="X971">
            <v>137491.193548387</v>
          </cell>
          <cell r="Y971">
            <v>132000</v>
          </cell>
        </row>
        <row r="972">
          <cell r="E972">
            <v>0</v>
          </cell>
          <cell r="F972" t="str">
            <v>Teknik jaya cell</v>
          </cell>
          <cell r="G972">
            <v>0</v>
          </cell>
          <cell r="H972">
            <v>0</v>
          </cell>
          <cell r="I972">
            <v>1</v>
          </cell>
          <cell r="J972">
            <v>1</v>
          </cell>
          <cell r="K972">
            <v>0</v>
          </cell>
          <cell r="L972">
            <v>0</v>
          </cell>
          <cell r="M972">
            <v>0</v>
          </cell>
          <cell r="N972">
            <v>0</v>
          </cell>
          <cell r="O972">
            <v>0</v>
          </cell>
          <cell r="P972">
            <v>0</v>
          </cell>
          <cell r="Q972">
            <v>0</v>
          </cell>
          <cell r="R972">
            <v>0</v>
          </cell>
          <cell r="S972">
            <v>0</v>
          </cell>
          <cell r="T972">
            <v>0</v>
          </cell>
          <cell r="U972">
            <v>0</v>
          </cell>
          <cell r="V972">
            <v>0</v>
          </cell>
          <cell r="W972">
            <v>0</v>
          </cell>
          <cell r="X972">
            <v>1046923.8709677421</v>
          </cell>
          <cell r="Y972">
            <v>211200</v>
          </cell>
        </row>
        <row r="973">
          <cell r="E973">
            <v>0</v>
          </cell>
          <cell r="F973" t="str">
            <v>Nusa ponsel</v>
          </cell>
          <cell r="G973">
            <v>0</v>
          </cell>
          <cell r="H973">
            <v>0</v>
          </cell>
          <cell r="I973">
            <v>1</v>
          </cell>
          <cell r="J973">
            <v>1</v>
          </cell>
          <cell r="K973">
            <v>0</v>
          </cell>
          <cell r="L973">
            <v>0</v>
          </cell>
          <cell r="M973">
            <v>0</v>
          </cell>
          <cell r="N973">
            <v>0</v>
          </cell>
          <cell r="O973">
            <v>0</v>
          </cell>
          <cell r="P973">
            <v>0</v>
          </cell>
          <cell r="Q973">
            <v>0</v>
          </cell>
          <cell r="R973">
            <v>0</v>
          </cell>
          <cell r="S973">
            <v>0</v>
          </cell>
          <cell r="T973">
            <v>0</v>
          </cell>
          <cell r="U973">
            <v>0</v>
          </cell>
          <cell r="V973">
            <v>0</v>
          </cell>
          <cell r="W973">
            <v>0</v>
          </cell>
          <cell r="X973">
            <v>267313</v>
          </cell>
          <cell r="Y973">
            <v>79200</v>
          </cell>
        </row>
        <row r="974">
          <cell r="E974">
            <v>0</v>
          </cell>
          <cell r="F974" t="str">
            <v>Tomboy</v>
          </cell>
          <cell r="G974">
            <v>0</v>
          </cell>
          <cell r="H974">
            <v>0</v>
          </cell>
          <cell r="I974">
            <v>1</v>
          </cell>
          <cell r="J974">
            <v>1</v>
          </cell>
          <cell r="K974">
            <v>4</v>
          </cell>
          <cell r="L974">
            <v>4</v>
          </cell>
          <cell r="M974">
            <v>0</v>
          </cell>
          <cell r="N974">
            <v>0</v>
          </cell>
          <cell r="O974">
            <v>0</v>
          </cell>
          <cell r="P974">
            <v>0</v>
          </cell>
          <cell r="Q974">
            <v>1</v>
          </cell>
          <cell r="R974">
            <v>1</v>
          </cell>
          <cell r="S974">
            <v>0</v>
          </cell>
          <cell r="T974">
            <v>3</v>
          </cell>
          <cell r="U974">
            <v>1</v>
          </cell>
          <cell r="V974">
            <v>0</v>
          </cell>
          <cell r="W974">
            <v>0</v>
          </cell>
          <cell r="X974">
            <v>1619233.3064516131</v>
          </cell>
          <cell r="Y974">
            <v>5361500</v>
          </cell>
        </row>
        <row r="975">
          <cell r="E975">
            <v>0</v>
          </cell>
          <cell r="F975" t="str">
            <v>LILY CELL</v>
          </cell>
          <cell r="G975">
            <v>0</v>
          </cell>
          <cell r="H975">
            <v>0</v>
          </cell>
          <cell r="I975">
            <v>0</v>
          </cell>
          <cell r="J975">
            <v>0</v>
          </cell>
          <cell r="K975">
            <v>1</v>
          </cell>
          <cell r="L975">
            <v>1</v>
          </cell>
          <cell r="M975">
            <v>0</v>
          </cell>
          <cell r="N975">
            <v>1</v>
          </cell>
          <cell r="O975">
            <v>1</v>
          </cell>
          <cell r="P975">
            <v>0</v>
          </cell>
          <cell r="Q975">
            <v>1</v>
          </cell>
          <cell r="R975">
            <v>1</v>
          </cell>
          <cell r="S975">
            <v>0</v>
          </cell>
          <cell r="T975">
            <v>0</v>
          </cell>
          <cell r="U975">
            <v>0</v>
          </cell>
          <cell r="V975">
            <v>0</v>
          </cell>
          <cell r="W975">
            <v>0</v>
          </cell>
          <cell r="X975">
            <v>1328087.7741935491</v>
          </cell>
          <cell r="Y975">
            <v>0</v>
          </cell>
        </row>
        <row r="976">
          <cell r="E976">
            <v>0</v>
          </cell>
          <cell r="F976" t="str">
            <v>Afa ponsel sepuk</v>
          </cell>
          <cell r="G976">
            <v>0</v>
          </cell>
          <cell r="H976">
            <v>0</v>
          </cell>
          <cell r="I976">
            <v>1</v>
          </cell>
          <cell r="J976">
            <v>1</v>
          </cell>
          <cell r="K976">
            <v>0</v>
          </cell>
          <cell r="L976">
            <v>0</v>
          </cell>
          <cell r="M976">
            <v>0</v>
          </cell>
          <cell r="N976">
            <v>0</v>
          </cell>
          <cell r="O976">
            <v>0</v>
          </cell>
          <cell r="P976">
            <v>0</v>
          </cell>
          <cell r="Q976">
            <v>0</v>
          </cell>
          <cell r="R976">
            <v>0</v>
          </cell>
          <cell r="S976">
            <v>0</v>
          </cell>
          <cell r="T976">
            <v>0</v>
          </cell>
          <cell r="U976">
            <v>0</v>
          </cell>
          <cell r="V976">
            <v>0</v>
          </cell>
          <cell r="W976">
            <v>0</v>
          </cell>
          <cell r="X976">
            <v>291889.69354838697</v>
          </cell>
          <cell r="Y976">
            <v>266000</v>
          </cell>
        </row>
        <row r="977">
          <cell r="E977">
            <v>0</v>
          </cell>
          <cell r="F977" t="str">
            <v>Tk Rio Jirak</v>
          </cell>
          <cell r="G977">
            <v>0</v>
          </cell>
          <cell r="H977">
            <v>0</v>
          </cell>
          <cell r="I977">
            <v>1</v>
          </cell>
          <cell r="J977">
            <v>1</v>
          </cell>
          <cell r="K977">
            <v>0</v>
          </cell>
          <cell r="L977">
            <v>0</v>
          </cell>
          <cell r="M977">
            <v>0</v>
          </cell>
          <cell r="N977">
            <v>0</v>
          </cell>
          <cell r="O977">
            <v>0</v>
          </cell>
          <cell r="P977">
            <v>0</v>
          </cell>
          <cell r="Q977">
            <v>0</v>
          </cell>
          <cell r="R977">
            <v>0</v>
          </cell>
          <cell r="S977">
            <v>0</v>
          </cell>
          <cell r="T977">
            <v>0</v>
          </cell>
          <cell r="U977">
            <v>0</v>
          </cell>
          <cell r="V977">
            <v>0</v>
          </cell>
          <cell r="W977">
            <v>0</v>
          </cell>
          <cell r="X977">
            <v>196519.25621698299</v>
          </cell>
          <cell r="Y977">
            <v>132000</v>
          </cell>
        </row>
        <row r="978">
          <cell r="E978">
            <v>0</v>
          </cell>
          <cell r="F978" t="str">
            <v>SAJAD PRINTING</v>
          </cell>
          <cell r="G978">
            <v>0</v>
          </cell>
          <cell r="H978">
            <v>0</v>
          </cell>
          <cell r="I978">
            <v>1</v>
          </cell>
          <cell r="J978">
            <v>1</v>
          </cell>
          <cell r="K978">
            <v>1</v>
          </cell>
          <cell r="L978">
            <v>1</v>
          </cell>
          <cell r="M978">
            <v>0</v>
          </cell>
          <cell r="N978">
            <v>1</v>
          </cell>
          <cell r="O978">
            <v>1</v>
          </cell>
          <cell r="P978">
            <v>0</v>
          </cell>
          <cell r="Q978">
            <v>1</v>
          </cell>
          <cell r="R978">
            <v>1</v>
          </cell>
          <cell r="S978">
            <v>0</v>
          </cell>
          <cell r="T978">
            <v>1</v>
          </cell>
          <cell r="U978">
            <v>0</v>
          </cell>
          <cell r="V978">
            <v>0</v>
          </cell>
          <cell r="W978">
            <v>0</v>
          </cell>
          <cell r="X978">
            <v>94588.97</v>
          </cell>
          <cell r="Y978">
            <v>132000</v>
          </cell>
        </row>
        <row r="979">
          <cell r="E979">
            <v>0</v>
          </cell>
          <cell r="F979" t="str">
            <v>Toko Heru</v>
          </cell>
          <cell r="G979">
            <v>0</v>
          </cell>
          <cell r="H979">
            <v>0</v>
          </cell>
          <cell r="I979">
            <v>1</v>
          </cell>
          <cell r="J979">
            <v>1</v>
          </cell>
          <cell r="K979">
            <v>0</v>
          </cell>
          <cell r="L979">
            <v>0</v>
          </cell>
          <cell r="M979">
            <v>0</v>
          </cell>
          <cell r="N979">
            <v>0</v>
          </cell>
          <cell r="O979">
            <v>0</v>
          </cell>
          <cell r="P979">
            <v>0</v>
          </cell>
          <cell r="Q979">
            <v>0</v>
          </cell>
          <cell r="R979">
            <v>0</v>
          </cell>
          <cell r="S979">
            <v>0</v>
          </cell>
          <cell r="T979">
            <v>0</v>
          </cell>
          <cell r="U979">
            <v>0</v>
          </cell>
          <cell r="V979">
            <v>0</v>
          </cell>
          <cell r="W979">
            <v>0</v>
          </cell>
          <cell r="X979">
            <v>12310.368180637999</v>
          </cell>
          <cell r="Y979">
            <v>161000</v>
          </cell>
        </row>
        <row r="980">
          <cell r="E980">
            <v>0</v>
          </cell>
          <cell r="F980" t="str">
            <v>Bintang ponsel</v>
          </cell>
          <cell r="G980">
            <v>0</v>
          </cell>
          <cell r="H980">
            <v>0</v>
          </cell>
          <cell r="I980">
            <v>1</v>
          </cell>
          <cell r="J980">
            <v>1</v>
          </cell>
          <cell r="K980">
            <v>0</v>
          </cell>
          <cell r="L980">
            <v>0</v>
          </cell>
          <cell r="M980">
            <v>0</v>
          </cell>
          <cell r="N980">
            <v>0</v>
          </cell>
          <cell r="O980">
            <v>0</v>
          </cell>
          <cell r="P980">
            <v>0</v>
          </cell>
          <cell r="Q980">
            <v>0</v>
          </cell>
          <cell r="R980">
            <v>0</v>
          </cell>
          <cell r="S980">
            <v>0</v>
          </cell>
          <cell r="T980">
            <v>0</v>
          </cell>
          <cell r="U980">
            <v>0</v>
          </cell>
          <cell r="V980">
            <v>0</v>
          </cell>
          <cell r="W980">
            <v>0</v>
          </cell>
          <cell r="X980">
            <v>1946572.7419354841</v>
          </cell>
          <cell r="Y980">
            <v>66000</v>
          </cell>
        </row>
        <row r="981">
          <cell r="E981">
            <v>0</v>
          </cell>
          <cell r="F981" t="str">
            <v>Toni cell rambi</v>
          </cell>
          <cell r="G981">
            <v>0</v>
          </cell>
          <cell r="H981">
            <v>0</v>
          </cell>
          <cell r="I981">
            <v>1</v>
          </cell>
          <cell r="J981">
            <v>1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1158147.983870968</v>
          </cell>
          <cell r="Y981">
            <v>7126500</v>
          </cell>
        </row>
        <row r="982">
          <cell r="E982">
            <v>0</v>
          </cell>
          <cell r="F982" t="str">
            <v>Sederhana ponsel</v>
          </cell>
          <cell r="G982">
            <v>0</v>
          </cell>
          <cell r="H982">
            <v>0</v>
          </cell>
          <cell r="I982">
            <v>1</v>
          </cell>
          <cell r="J982">
            <v>1</v>
          </cell>
          <cell r="K982">
            <v>0</v>
          </cell>
          <cell r="L982">
            <v>0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>
            <v>0</v>
          </cell>
          <cell r="V982">
            <v>0</v>
          </cell>
          <cell r="W982">
            <v>0</v>
          </cell>
          <cell r="X982">
            <v>319619.58064516098</v>
          </cell>
          <cell r="Y982">
            <v>66000</v>
          </cell>
        </row>
        <row r="983">
          <cell r="E983">
            <v>0</v>
          </cell>
          <cell r="F983" t="str">
            <v>Genzy pulsa</v>
          </cell>
          <cell r="G983">
            <v>0</v>
          </cell>
          <cell r="H983">
            <v>0</v>
          </cell>
          <cell r="I983">
            <v>1</v>
          </cell>
          <cell r="J983">
            <v>1</v>
          </cell>
          <cell r="K983">
            <v>1</v>
          </cell>
          <cell r="L983">
            <v>1</v>
          </cell>
          <cell r="M983">
            <v>0</v>
          </cell>
          <cell r="N983">
            <v>1</v>
          </cell>
          <cell r="O983">
            <v>1</v>
          </cell>
          <cell r="P983">
            <v>0</v>
          </cell>
          <cell r="Q983">
            <v>1</v>
          </cell>
          <cell r="R983">
            <v>1</v>
          </cell>
          <cell r="S983">
            <v>0</v>
          </cell>
          <cell r="T983">
            <v>1</v>
          </cell>
          <cell r="U983">
            <v>0</v>
          </cell>
          <cell r="V983">
            <v>0</v>
          </cell>
          <cell r="W983">
            <v>0</v>
          </cell>
          <cell r="X983">
            <v>20517.280301063001</v>
          </cell>
          <cell r="Y983">
            <v>66000</v>
          </cell>
        </row>
        <row r="984">
          <cell r="E984">
            <v>0</v>
          </cell>
          <cell r="F984" t="str">
            <v>Alam Jaya</v>
          </cell>
          <cell r="G984">
            <v>0</v>
          </cell>
          <cell r="H984">
            <v>0</v>
          </cell>
          <cell r="I984">
            <v>0</v>
          </cell>
          <cell r="J984">
            <v>0</v>
          </cell>
          <cell r="K984">
            <v>0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</row>
        <row r="985">
          <cell r="E985">
            <v>0</v>
          </cell>
          <cell r="F985" t="str">
            <v>Danz ponsel</v>
          </cell>
          <cell r="G985">
            <v>0</v>
          </cell>
          <cell r="H985">
            <v>0</v>
          </cell>
          <cell r="I985">
            <v>1</v>
          </cell>
          <cell r="J985">
            <v>1</v>
          </cell>
          <cell r="K985">
            <v>0</v>
          </cell>
          <cell r="L985">
            <v>0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0</v>
          </cell>
          <cell r="S985">
            <v>0</v>
          </cell>
          <cell r="T985">
            <v>0</v>
          </cell>
          <cell r="U985">
            <v>0</v>
          </cell>
          <cell r="V985">
            <v>0</v>
          </cell>
          <cell r="W985">
            <v>0</v>
          </cell>
          <cell r="X985">
            <v>705053.655913978</v>
          </cell>
          <cell r="Y985">
            <v>132000</v>
          </cell>
        </row>
        <row r="986">
          <cell r="E986">
            <v>0</v>
          </cell>
          <cell r="F986" t="str">
            <v>Sahabat Mandiri</v>
          </cell>
          <cell r="G986">
            <v>0</v>
          </cell>
          <cell r="H986">
            <v>0</v>
          </cell>
          <cell r="I986">
            <v>1</v>
          </cell>
          <cell r="J986">
            <v>1</v>
          </cell>
          <cell r="K986">
            <v>0</v>
          </cell>
          <cell r="L986">
            <v>0</v>
          </cell>
          <cell r="M986">
            <v>0</v>
          </cell>
          <cell r="N986">
            <v>0</v>
          </cell>
          <cell r="O986">
            <v>0</v>
          </cell>
          <cell r="P986">
            <v>0</v>
          </cell>
          <cell r="Q986">
            <v>0</v>
          </cell>
          <cell r="R986">
            <v>0</v>
          </cell>
          <cell r="S986">
            <v>0</v>
          </cell>
          <cell r="T986">
            <v>0</v>
          </cell>
          <cell r="U986">
            <v>0</v>
          </cell>
          <cell r="V986">
            <v>0</v>
          </cell>
          <cell r="W986">
            <v>0</v>
          </cell>
          <cell r="X986">
            <v>2333812.903225807</v>
          </cell>
          <cell r="Y986">
            <v>3830000</v>
          </cell>
        </row>
        <row r="987">
          <cell r="E987">
            <v>0</v>
          </cell>
          <cell r="F987" t="str">
            <v>Warung Sukma</v>
          </cell>
          <cell r="G987">
            <v>0</v>
          </cell>
          <cell r="H987">
            <v>0</v>
          </cell>
          <cell r="I987">
            <v>1</v>
          </cell>
          <cell r="J987">
            <v>1</v>
          </cell>
          <cell r="K987">
            <v>5</v>
          </cell>
          <cell r="L987">
            <v>5</v>
          </cell>
          <cell r="M987">
            <v>0</v>
          </cell>
          <cell r="N987">
            <v>1</v>
          </cell>
          <cell r="O987">
            <v>1</v>
          </cell>
          <cell r="P987">
            <v>0</v>
          </cell>
          <cell r="Q987">
            <v>1</v>
          </cell>
          <cell r="R987">
            <v>1</v>
          </cell>
          <cell r="S987">
            <v>0</v>
          </cell>
          <cell r="T987">
            <v>0</v>
          </cell>
          <cell r="U987">
            <v>3</v>
          </cell>
          <cell r="V987">
            <v>0</v>
          </cell>
          <cell r="W987">
            <v>0</v>
          </cell>
          <cell r="X987">
            <v>3148404.032258064</v>
          </cell>
          <cell r="Y987">
            <v>66000</v>
          </cell>
        </row>
        <row r="988">
          <cell r="E988">
            <v>0</v>
          </cell>
          <cell r="F988" t="str">
            <v>United cell</v>
          </cell>
          <cell r="G988">
            <v>0</v>
          </cell>
          <cell r="H988">
            <v>0</v>
          </cell>
          <cell r="I988">
            <v>1</v>
          </cell>
          <cell r="J988">
            <v>1</v>
          </cell>
          <cell r="K988">
            <v>0</v>
          </cell>
          <cell r="L988">
            <v>0</v>
          </cell>
          <cell r="M988">
            <v>0</v>
          </cell>
          <cell r="N988">
            <v>0</v>
          </cell>
          <cell r="O988">
            <v>0</v>
          </cell>
          <cell r="P988">
            <v>0</v>
          </cell>
          <cell r="Q988">
            <v>0</v>
          </cell>
          <cell r="R988">
            <v>0</v>
          </cell>
          <cell r="S988">
            <v>0</v>
          </cell>
          <cell r="T988">
            <v>0</v>
          </cell>
          <cell r="U988">
            <v>0</v>
          </cell>
          <cell r="V988">
            <v>0</v>
          </cell>
          <cell r="W988">
            <v>0</v>
          </cell>
          <cell r="X988">
            <v>60277.784301075</v>
          </cell>
          <cell r="Y988">
            <v>132000</v>
          </cell>
        </row>
        <row r="989">
          <cell r="E989">
            <v>0</v>
          </cell>
          <cell r="F989" t="str">
            <v>Aneka maju</v>
          </cell>
          <cell r="G989">
            <v>0</v>
          </cell>
          <cell r="H989">
            <v>0</v>
          </cell>
          <cell r="I989">
            <v>1</v>
          </cell>
          <cell r="J989">
            <v>1</v>
          </cell>
          <cell r="K989">
            <v>0</v>
          </cell>
          <cell r="L989">
            <v>0</v>
          </cell>
          <cell r="M989">
            <v>0</v>
          </cell>
          <cell r="N989">
            <v>0</v>
          </cell>
          <cell r="O989">
            <v>0</v>
          </cell>
          <cell r="P989">
            <v>0</v>
          </cell>
          <cell r="Q989">
            <v>0</v>
          </cell>
          <cell r="R989">
            <v>0</v>
          </cell>
          <cell r="S989">
            <v>0</v>
          </cell>
          <cell r="T989">
            <v>0</v>
          </cell>
          <cell r="U989">
            <v>0</v>
          </cell>
          <cell r="V989">
            <v>0</v>
          </cell>
          <cell r="W989">
            <v>0</v>
          </cell>
          <cell r="X989">
            <v>581630.48387096799</v>
          </cell>
          <cell r="Y989">
            <v>264000</v>
          </cell>
        </row>
        <row r="990">
          <cell r="E990">
            <v>0</v>
          </cell>
          <cell r="F990" t="str">
            <v>Yanto ponsel</v>
          </cell>
          <cell r="G990">
            <v>0</v>
          </cell>
          <cell r="H990">
            <v>0</v>
          </cell>
          <cell r="I990">
            <v>1</v>
          </cell>
          <cell r="J990">
            <v>1</v>
          </cell>
          <cell r="K990">
            <v>0</v>
          </cell>
          <cell r="L990">
            <v>0</v>
          </cell>
          <cell r="M990">
            <v>0</v>
          </cell>
          <cell r="N990">
            <v>0</v>
          </cell>
          <cell r="O990">
            <v>0</v>
          </cell>
          <cell r="P990">
            <v>0</v>
          </cell>
          <cell r="Q990">
            <v>0</v>
          </cell>
          <cell r="R990">
            <v>0</v>
          </cell>
          <cell r="S990">
            <v>0</v>
          </cell>
          <cell r="T990">
            <v>0</v>
          </cell>
          <cell r="U990">
            <v>0</v>
          </cell>
          <cell r="V990">
            <v>0</v>
          </cell>
          <cell r="W990">
            <v>0</v>
          </cell>
          <cell r="X990">
            <v>99370</v>
          </cell>
          <cell r="Y990">
            <v>132000</v>
          </cell>
        </row>
        <row r="991">
          <cell r="E991">
            <v>0</v>
          </cell>
          <cell r="F991" t="str">
            <v>Rasya ponsel</v>
          </cell>
          <cell r="G991">
            <v>0</v>
          </cell>
          <cell r="H991">
            <v>0</v>
          </cell>
          <cell r="I991">
            <v>1</v>
          </cell>
          <cell r="J991">
            <v>1</v>
          </cell>
          <cell r="K991">
            <v>0</v>
          </cell>
          <cell r="L991">
            <v>0</v>
          </cell>
          <cell r="M991">
            <v>0</v>
          </cell>
          <cell r="N991">
            <v>0</v>
          </cell>
          <cell r="O991">
            <v>0</v>
          </cell>
          <cell r="P991">
            <v>0</v>
          </cell>
          <cell r="Q991">
            <v>0</v>
          </cell>
          <cell r="R991">
            <v>0</v>
          </cell>
          <cell r="S991">
            <v>0</v>
          </cell>
          <cell r="T991">
            <v>0</v>
          </cell>
          <cell r="U991">
            <v>0</v>
          </cell>
          <cell r="V991">
            <v>0</v>
          </cell>
          <cell r="W991">
            <v>0</v>
          </cell>
          <cell r="X991">
            <v>100000</v>
          </cell>
          <cell r="Y991">
            <v>132000</v>
          </cell>
        </row>
        <row r="992">
          <cell r="E992">
            <v>0</v>
          </cell>
          <cell r="F992" t="str">
            <v>Nua cell</v>
          </cell>
          <cell r="G992">
            <v>0</v>
          </cell>
          <cell r="H992">
            <v>0</v>
          </cell>
          <cell r="I992">
            <v>0</v>
          </cell>
          <cell r="J992">
            <v>0</v>
          </cell>
          <cell r="K992">
            <v>0</v>
          </cell>
          <cell r="L992">
            <v>0</v>
          </cell>
          <cell r="M992">
            <v>0</v>
          </cell>
          <cell r="N992">
            <v>0</v>
          </cell>
          <cell r="O992">
            <v>0</v>
          </cell>
          <cell r="P992">
            <v>0</v>
          </cell>
          <cell r="Q992">
            <v>0</v>
          </cell>
          <cell r="R992">
            <v>0</v>
          </cell>
          <cell r="S992">
            <v>0</v>
          </cell>
          <cell r="T992">
            <v>0</v>
          </cell>
          <cell r="U992">
            <v>0</v>
          </cell>
          <cell r="V992">
            <v>0</v>
          </cell>
          <cell r="W992">
            <v>0</v>
          </cell>
          <cell r="X992">
            <v>99750</v>
          </cell>
          <cell r="Y992">
            <v>0</v>
          </cell>
        </row>
        <row r="993">
          <cell r="E993">
            <v>0</v>
          </cell>
          <cell r="F993" t="str">
            <v>Meizi pulsa</v>
          </cell>
          <cell r="G993">
            <v>0</v>
          </cell>
          <cell r="H993">
            <v>0</v>
          </cell>
          <cell r="I993">
            <v>0</v>
          </cell>
          <cell r="J993">
            <v>0</v>
          </cell>
          <cell r="K993">
            <v>0</v>
          </cell>
          <cell r="L993">
            <v>0</v>
          </cell>
          <cell r="M993">
            <v>0</v>
          </cell>
          <cell r="N993">
            <v>0</v>
          </cell>
          <cell r="O993">
            <v>0</v>
          </cell>
          <cell r="P993">
            <v>0</v>
          </cell>
          <cell r="Q993">
            <v>0</v>
          </cell>
          <cell r="R993">
            <v>0</v>
          </cell>
          <cell r="S993">
            <v>0</v>
          </cell>
          <cell r="T993">
            <v>0</v>
          </cell>
          <cell r="U993">
            <v>0</v>
          </cell>
          <cell r="V993">
            <v>0</v>
          </cell>
          <cell r="W993">
            <v>0</v>
          </cell>
          <cell r="X993">
            <v>99000</v>
          </cell>
          <cell r="Y993">
            <v>0</v>
          </cell>
        </row>
        <row r="994">
          <cell r="E994">
            <v>0</v>
          </cell>
          <cell r="F994" t="str">
            <v>Wr Pida</v>
          </cell>
          <cell r="G994">
            <v>0</v>
          </cell>
          <cell r="H994">
            <v>0</v>
          </cell>
          <cell r="I994">
            <v>0</v>
          </cell>
          <cell r="J994">
            <v>0</v>
          </cell>
          <cell r="K994">
            <v>0</v>
          </cell>
          <cell r="L994">
            <v>0</v>
          </cell>
          <cell r="M994">
            <v>0</v>
          </cell>
          <cell r="N994">
            <v>0</v>
          </cell>
          <cell r="O994">
            <v>0</v>
          </cell>
          <cell r="P994">
            <v>0</v>
          </cell>
          <cell r="Q994">
            <v>0</v>
          </cell>
          <cell r="R994">
            <v>0</v>
          </cell>
          <cell r="S994">
            <v>0</v>
          </cell>
          <cell r="T994">
            <v>0</v>
          </cell>
          <cell r="U994">
            <v>0</v>
          </cell>
          <cell r="V994">
            <v>0</v>
          </cell>
          <cell r="W994">
            <v>0</v>
          </cell>
          <cell r="X994">
            <v>99750</v>
          </cell>
          <cell r="Y994">
            <v>0</v>
          </cell>
        </row>
        <row r="995">
          <cell r="E995">
            <v>0</v>
          </cell>
          <cell r="F995" t="str">
            <v>Wr Mizwan</v>
          </cell>
          <cell r="G995">
            <v>0</v>
          </cell>
          <cell r="H995">
            <v>0</v>
          </cell>
          <cell r="I995">
            <v>0</v>
          </cell>
          <cell r="J995">
            <v>0</v>
          </cell>
          <cell r="K995">
            <v>0</v>
          </cell>
          <cell r="L995">
            <v>0</v>
          </cell>
          <cell r="M995">
            <v>0</v>
          </cell>
          <cell r="N995">
            <v>0</v>
          </cell>
          <cell r="O995">
            <v>0</v>
          </cell>
          <cell r="P995">
            <v>0</v>
          </cell>
          <cell r="Q995">
            <v>0</v>
          </cell>
          <cell r="R995">
            <v>0</v>
          </cell>
          <cell r="S995">
            <v>0</v>
          </cell>
          <cell r="T995">
            <v>0</v>
          </cell>
          <cell r="U995">
            <v>0</v>
          </cell>
          <cell r="V995">
            <v>0</v>
          </cell>
          <cell r="W995">
            <v>0</v>
          </cell>
          <cell r="X995">
            <v>0</v>
          </cell>
          <cell r="Y995">
            <v>0</v>
          </cell>
        </row>
        <row r="996">
          <cell r="E996">
            <v>0</v>
          </cell>
          <cell r="F996" t="str">
            <v>Wr Aan</v>
          </cell>
          <cell r="G996">
            <v>0</v>
          </cell>
          <cell r="H996">
            <v>0</v>
          </cell>
          <cell r="I996">
            <v>0</v>
          </cell>
          <cell r="J996">
            <v>0</v>
          </cell>
          <cell r="K996">
            <v>0</v>
          </cell>
          <cell r="L996">
            <v>0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</row>
        <row r="997">
          <cell r="E997">
            <v>0</v>
          </cell>
          <cell r="F997" t="str">
            <v>Warung sebangun</v>
          </cell>
          <cell r="G997">
            <v>0</v>
          </cell>
          <cell r="H997">
            <v>0</v>
          </cell>
          <cell r="I997">
            <v>0</v>
          </cell>
          <cell r="J997">
            <v>0</v>
          </cell>
          <cell r="K997">
            <v>0</v>
          </cell>
          <cell r="L997">
            <v>0</v>
          </cell>
          <cell r="M997">
            <v>0</v>
          </cell>
          <cell r="N997">
            <v>0</v>
          </cell>
          <cell r="O997">
            <v>0</v>
          </cell>
          <cell r="P997">
            <v>0</v>
          </cell>
          <cell r="Q997">
            <v>0</v>
          </cell>
          <cell r="R997">
            <v>0</v>
          </cell>
          <cell r="S997">
            <v>0</v>
          </cell>
          <cell r="T997">
            <v>0</v>
          </cell>
          <cell r="U997">
            <v>0</v>
          </cell>
          <cell r="V997">
            <v>0</v>
          </cell>
          <cell r="W997">
            <v>0</v>
          </cell>
          <cell r="X997">
            <v>0</v>
          </cell>
          <cell r="Y997">
            <v>0</v>
          </cell>
        </row>
        <row r="998">
          <cell r="E998">
            <v>0</v>
          </cell>
          <cell r="F998" t="str">
            <v>Warung ardi</v>
          </cell>
          <cell r="G998">
            <v>0</v>
          </cell>
          <cell r="H998">
            <v>0</v>
          </cell>
          <cell r="I998">
            <v>0</v>
          </cell>
          <cell r="J998">
            <v>0</v>
          </cell>
          <cell r="K998">
            <v>0</v>
          </cell>
          <cell r="L998">
            <v>0</v>
          </cell>
          <cell r="M998">
            <v>0</v>
          </cell>
          <cell r="N998">
            <v>0</v>
          </cell>
          <cell r="O998">
            <v>0</v>
          </cell>
          <cell r="P998">
            <v>0</v>
          </cell>
          <cell r="Q998">
            <v>0</v>
          </cell>
          <cell r="R998">
            <v>0</v>
          </cell>
          <cell r="S998">
            <v>0</v>
          </cell>
          <cell r="T998">
            <v>0</v>
          </cell>
          <cell r="U998">
            <v>0</v>
          </cell>
          <cell r="V998">
            <v>0</v>
          </cell>
          <cell r="W998">
            <v>0</v>
          </cell>
          <cell r="X998">
            <v>0</v>
          </cell>
          <cell r="Y998">
            <v>0</v>
          </cell>
        </row>
        <row r="999">
          <cell r="E999">
            <v>0</v>
          </cell>
          <cell r="F999" t="str">
            <v>Toko kaning laina</v>
          </cell>
          <cell r="G999">
            <v>0</v>
          </cell>
          <cell r="H999">
            <v>0</v>
          </cell>
          <cell r="I999">
            <v>0</v>
          </cell>
          <cell r="J999">
            <v>0</v>
          </cell>
          <cell r="K999">
            <v>0</v>
          </cell>
          <cell r="L999">
            <v>0</v>
          </cell>
          <cell r="M999">
            <v>0</v>
          </cell>
          <cell r="N999">
            <v>0</v>
          </cell>
          <cell r="O999">
            <v>0</v>
          </cell>
          <cell r="P999">
            <v>0</v>
          </cell>
          <cell r="Q999">
            <v>0</v>
          </cell>
          <cell r="R999">
            <v>0</v>
          </cell>
          <cell r="S999">
            <v>0</v>
          </cell>
          <cell r="T999">
            <v>0</v>
          </cell>
          <cell r="U999">
            <v>0</v>
          </cell>
          <cell r="V999">
            <v>0</v>
          </cell>
          <cell r="W999">
            <v>0</v>
          </cell>
          <cell r="X999">
            <v>0</v>
          </cell>
          <cell r="Y999">
            <v>0</v>
          </cell>
        </row>
        <row r="1000">
          <cell r="E1000">
            <v>0</v>
          </cell>
          <cell r="F1000" t="str">
            <v>reza printing 2</v>
          </cell>
          <cell r="G1000">
            <v>0</v>
          </cell>
          <cell r="H1000">
            <v>0</v>
          </cell>
          <cell r="I1000">
            <v>1</v>
          </cell>
          <cell r="J1000">
            <v>1</v>
          </cell>
          <cell r="K1000">
            <v>1</v>
          </cell>
          <cell r="L1000">
            <v>1</v>
          </cell>
          <cell r="M1000">
            <v>0</v>
          </cell>
          <cell r="N1000">
            <v>1</v>
          </cell>
          <cell r="O1000">
            <v>1</v>
          </cell>
          <cell r="P1000">
            <v>0</v>
          </cell>
          <cell r="Q1000">
            <v>1</v>
          </cell>
          <cell r="R1000">
            <v>1</v>
          </cell>
          <cell r="S1000">
            <v>0</v>
          </cell>
          <cell r="T1000">
            <v>0</v>
          </cell>
          <cell r="U1000">
            <v>0</v>
          </cell>
          <cell r="V1000">
            <v>0</v>
          </cell>
          <cell r="W1000">
            <v>0</v>
          </cell>
          <cell r="X1000">
            <v>24384.274193548001</v>
          </cell>
          <cell r="Y1000">
            <v>132000</v>
          </cell>
        </row>
        <row r="1001">
          <cell r="E1001">
            <v>0</v>
          </cell>
          <cell r="F1001" t="str">
            <v>Toko ketina sp</v>
          </cell>
          <cell r="G1001">
            <v>0</v>
          </cell>
          <cell r="H1001">
            <v>0</v>
          </cell>
          <cell r="I1001">
            <v>1</v>
          </cell>
          <cell r="J1001">
            <v>1</v>
          </cell>
          <cell r="K1001">
            <v>0</v>
          </cell>
          <cell r="L1001">
            <v>0</v>
          </cell>
          <cell r="M1001">
            <v>0</v>
          </cell>
          <cell r="N1001">
            <v>0</v>
          </cell>
          <cell r="O1001">
            <v>0</v>
          </cell>
          <cell r="P1001">
            <v>0</v>
          </cell>
          <cell r="Q1001">
            <v>0</v>
          </cell>
          <cell r="R1001">
            <v>0</v>
          </cell>
          <cell r="S1001">
            <v>0</v>
          </cell>
          <cell r="T1001">
            <v>0</v>
          </cell>
          <cell r="U1001">
            <v>0</v>
          </cell>
          <cell r="V1001">
            <v>0</v>
          </cell>
          <cell r="W1001">
            <v>0</v>
          </cell>
          <cell r="X1001">
            <v>750925.80645161297</v>
          </cell>
          <cell r="Y1001">
            <v>858000</v>
          </cell>
        </row>
        <row r="1002">
          <cell r="E1002">
            <v>0</v>
          </cell>
          <cell r="F1002" t="str">
            <v>Danz ponsel2</v>
          </cell>
          <cell r="G1002">
            <v>0</v>
          </cell>
          <cell r="H1002">
            <v>0</v>
          </cell>
          <cell r="I1002">
            <v>1</v>
          </cell>
          <cell r="J1002">
            <v>1</v>
          </cell>
          <cell r="K1002">
            <v>0</v>
          </cell>
          <cell r="L1002">
            <v>0</v>
          </cell>
          <cell r="M1002">
            <v>0</v>
          </cell>
          <cell r="N1002">
            <v>0</v>
          </cell>
          <cell r="O1002">
            <v>0</v>
          </cell>
          <cell r="P1002">
            <v>0</v>
          </cell>
          <cell r="Q1002">
            <v>0</v>
          </cell>
          <cell r="R1002">
            <v>0</v>
          </cell>
          <cell r="S1002">
            <v>0</v>
          </cell>
          <cell r="T1002">
            <v>0</v>
          </cell>
          <cell r="U1002">
            <v>0</v>
          </cell>
          <cell r="V1002">
            <v>0</v>
          </cell>
          <cell r="W1002">
            <v>0</v>
          </cell>
          <cell r="X1002">
            <v>647373.38709677395</v>
          </cell>
          <cell r="Y1002">
            <v>264000</v>
          </cell>
        </row>
        <row r="1003">
          <cell r="E1003">
            <v>0</v>
          </cell>
          <cell r="F1003" t="str">
            <v>BYY CELL</v>
          </cell>
          <cell r="G1003">
            <v>0</v>
          </cell>
          <cell r="H1003">
            <v>0</v>
          </cell>
          <cell r="I1003">
            <v>0</v>
          </cell>
          <cell r="J1003">
            <v>0</v>
          </cell>
          <cell r="K1003">
            <v>0</v>
          </cell>
          <cell r="L1003">
            <v>0</v>
          </cell>
          <cell r="M1003">
            <v>0</v>
          </cell>
          <cell r="N1003">
            <v>0</v>
          </cell>
          <cell r="O1003">
            <v>0</v>
          </cell>
          <cell r="P1003">
            <v>0</v>
          </cell>
          <cell r="Q1003">
            <v>0</v>
          </cell>
          <cell r="R1003">
            <v>0</v>
          </cell>
          <cell r="S1003">
            <v>0</v>
          </cell>
          <cell r="T1003">
            <v>0</v>
          </cell>
          <cell r="U1003">
            <v>0</v>
          </cell>
          <cell r="V1003">
            <v>0</v>
          </cell>
          <cell r="W1003">
            <v>0</v>
          </cell>
          <cell r="X1003">
            <v>0</v>
          </cell>
          <cell r="Y1003">
            <v>0</v>
          </cell>
        </row>
        <row r="1004">
          <cell r="E1004">
            <v>0</v>
          </cell>
          <cell r="F1004" t="str">
            <v>Bee Cell</v>
          </cell>
          <cell r="G1004">
            <v>0</v>
          </cell>
          <cell r="H1004">
            <v>0</v>
          </cell>
          <cell r="I1004">
            <v>0</v>
          </cell>
          <cell r="J1004">
            <v>0</v>
          </cell>
          <cell r="K1004">
            <v>0</v>
          </cell>
          <cell r="L1004">
            <v>0</v>
          </cell>
          <cell r="M1004">
            <v>0</v>
          </cell>
          <cell r="N1004">
            <v>0</v>
          </cell>
          <cell r="O1004">
            <v>0</v>
          </cell>
          <cell r="P1004">
            <v>0</v>
          </cell>
          <cell r="Q1004">
            <v>0</v>
          </cell>
          <cell r="R1004">
            <v>0</v>
          </cell>
          <cell r="S1004">
            <v>0</v>
          </cell>
          <cell r="T1004">
            <v>0</v>
          </cell>
          <cell r="U1004">
            <v>0</v>
          </cell>
          <cell r="V1004">
            <v>0</v>
          </cell>
          <cell r="W1004">
            <v>0</v>
          </cell>
          <cell r="X1004">
            <v>0</v>
          </cell>
          <cell r="Y1004">
            <v>0</v>
          </cell>
        </row>
        <row r="1005">
          <cell r="E1005">
            <v>0</v>
          </cell>
          <cell r="F1005" t="str">
            <v>warung pakngah</v>
          </cell>
          <cell r="G1005">
            <v>0</v>
          </cell>
          <cell r="H1005">
            <v>0</v>
          </cell>
          <cell r="I1005">
            <v>0</v>
          </cell>
          <cell r="J1005">
            <v>0</v>
          </cell>
          <cell r="K1005">
            <v>0</v>
          </cell>
          <cell r="L1005">
            <v>0</v>
          </cell>
          <cell r="M1005">
            <v>0</v>
          </cell>
          <cell r="N1005">
            <v>0</v>
          </cell>
          <cell r="O1005">
            <v>0</v>
          </cell>
          <cell r="P1005">
            <v>0</v>
          </cell>
          <cell r="Q1005">
            <v>0</v>
          </cell>
          <cell r="R1005">
            <v>0</v>
          </cell>
          <cell r="S1005">
            <v>0</v>
          </cell>
          <cell r="T1005">
            <v>0</v>
          </cell>
          <cell r="U1005">
            <v>0</v>
          </cell>
          <cell r="V1005">
            <v>0</v>
          </cell>
          <cell r="W1005">
            <v>0</v>
          </cell>
          <cell r="X1005">
            <v>0</v>
          </cell>
          <cell r="Y1005">
            <v>0</v>
          </cell>
        </row>
        <row r="1006">
          <cell r="E1006">
            <v>0</v>
          </cell>
          <cell r="F1006" t="str">
            <v>Bangde</v>
          </cell>
          <cell r="G1006">
            <v>0</v>
          </cell>
          <cell r="H1006">
            <v>0</v>
          </cell>
          <cell r="I1006">
            <v>0</v>
          </cell>
          <cell r="J1006">
            <v>0</v>
          </cell>
          <cell r="K1006">
            <v>0</v>
          </cell>
          <cell r="L1006">
            <v>0</v>
          </cell>
          <cell r="M1006">
            <v>0</v>
          </cell>
          <cell r="N1006">
            <v>0</v>
          </cell>
          <cell r="O1006">
            <v>0</v>
          </cell>
          <cell r="P1006">
            <v>0</v>
          </cell>
          <cell r="Q1006">
            <v>0</v>
          </cell>
          <cell r="R1006">
            <v>0</v>
          </cell>
          <cell r="S1006">
            <v>0</v>
          </cell>
          <cell r="T1006">
            <v>0</v>
          </cell>
          <cell r="U1006">
            <v>0</v>
          </cell>
          <cell r="V1006">
            <v>0</v>
          </cell>
          <cell r="W1006">
            <v>0</v>
          </cell>
          <cell r="X1006">
            <v>1258682.661290322</v>
          </cell>
          <cell r="Y1006">
            <v>0</v>
          </cell>
        </row>
        <row r="1007">
          <cell r="E1007">
            <v>0</v>
          </cell>
          <cell r="F1007" t="str">
            <v>Warung nurainy</v>
          </cell>
          <cell r="G1007">
            <v>0</v>
          </cell>
          <cell r="H1007">
            <v>0</v>
          </cell>
          <cell r="I1007">
            <v>1</v>
          </cell>
          <cell r="J1007">
            <v>1</v>
          </cell>
          <cell r="K1007">
            <v>0</v>
          </cell>
          <cell r="L1007">
            <v>0</v>
          </cell>
          <cell r="M1007">
            <v>0</v>
          </cell>
          <cell r="N1007">
            <v>0</v>
          </cell>
          <cell r="O1007">
            <v>0</v>
          </cell>
          <cell r="P1007">
            <v>0</v>
          </cell>
          <cell r="Q1007">
            <v>0</v>
          </cell>
          <cell r="R1007">
            <v>0</v>
          </cell>
          <cell r="S1007">
            <v>0</v>
          </cell>
          <cell r="T1007">
            <v>0</v>
          </cell>
          <cell r="U1007">
            <v>0</v>
          </cell>
          <cell r="V1007">
            <v>0</v>
          </cell>
          <cell r="W1007">
            <v>0</v>
          </cell>
          <cell r="X1007">
            <v>1067217.7419354841</v>
          </cell>
          <cell r="Y1007">
            <v>330000</v>
          </cell>
        </row>
        <row r="1008">
          <cell r="E1008">
            <v>0</v>
          </cell>
          <cell r="F1008" t="str">
            <v>Abarokah</v>
          </cell>
          <cell r="G1008">
            <v>0</v>
          </cell>
          <cell r="H1008">
            <v>0</v>
          </cell>
          <cell r="I1008">
            <v>1</v>
          </cell>
          <cell r="J1008">
            <v>1</v>
          </cell>
          <cell r="K1008">
            <v>0</v>
          </cell>
          <cell r="L1008">
            <v>0</v>
          </cell>
          <cell r="M1008">
            <v>0</v>
          </cell>
          <cell r="N1008">
            <v>0</v>
          </cell>
          <cell r="O1008">
            <v>0</v>
          </cell>
          <cell r="P1008">
            <v>0</v>
          </cell>
          <cell r="Q1008">
            <v>0</v>
          </cell>
          <cell r="R1008">
            <v>0</v>
          </cell>
          <cell r="S1008">
            <v>0</v>
          </cell>
          <cell r="T1008">
            <v>0</v>
          </cell>
          <cell r="U1008">
            <v>0</v>
          </cell>
          <cell r="V1008">
            <v>0</v>
          </cell>
          <cell r="W1008">
            <v>0</v>
          </cell>
          <cell r="X1008">
            <v>821560.48387096799</v>
          </cell>
          <cell r="Y1008">
            <v>2080000</v>
          </cell>
        </row>
        <row r="1009">
          <cell r="E1009">
            <v>0</v>
          </cell>
          <cell r="F1009" t="str">
            <v>AK COPY</v>
          </cell>
          <cell r="G1009">
            <v>0</v>
          </cell>
          <cell r="H1009">
            <v>0</v>
          </cell>
          <cell r="I1009">
            <v>0</v>
          </cell>
          <cell r="J1009">
            <v>0</v>
          </cell>
          <cell r="K1009">
            <v>0</v>
          </cell>
          <cell r="L1009">
            <v>0</v>
          </cell>
          <cell r="M1009">
            <v>0</v>
          </cell>
          <cell r="N1009">
            <v>0</v>
          </cell>
          <cell r="O1009">
            <v>0</v>
          </cell>
          <cell r="P1009">
            <v>0</v>
          </cell>
          <cell r="Q1009">
            <v>0</v>
          </cell>
          <cell r="R1009">
            <v>0</v>
          </cell>
          <cell r="S1009">
            <v>0</v>
          </cell>
          <cell r="T1009">
            <v>0</v>
          </cell>
          <cell r="U1009">
            <v>0</v>
          </cell>
          <cell r="V1009">
            <v>0</v>
          </cell>
          <cell r="W1009">
            <v>0</v>
          </cell>
          <cell r="X1009">
            <v>0</v>
          </cell>
          <cell r="Y1009">
            <v>0</v>
          </cell>
        </row>
        <row r="1010">
          <cell r="E1010">
            <v>0</v>
          </cell>
          <cell r="F1010" t="str">
            <v>Reza printing</v>
          </cell>
          <cell r="G1010">
            <v>0</v>
          </cell>
          <cell r="H1010">
            <v>0</v>
          </cell>
          <cell r="I1010">
            <v>0</v>
          </cell>
          <cell r="J1010">
            <v>0</v>
          </cell>
          <cell r="K1010">
            <v>0</v>
          </cell>
          <cell r="L1010">
            <v>0</v>
          </cell>
          <cell r="M1010">
            <v>0</v>
          </cell>
          <cell r="N1010">
            <v>0</v>
          </cell>
          <cell r="O1010">
            <v>0</v>
          </cell>
          <cell r="P1010">
            <v>0</v>
          </cell>
          <cell r="Q1010">
            <v>0</v>
          </cell>
          <cell r="R1010">
            <v>0</v>
          </cell>
          <cell r="S1010">
            <v>0</v>
          </cell>
          <cell r="T1010">
            <v>0</v>
          </cell>
          <cell r="U1010">
            <v>0</v>
          </cell>
          <cell r="V1010">
            <v>0</v>
          </cell>
          <cell r="W1010">
            <v>0</v>
          </cell>
          <cell r="X1010">
            <v>23448.320344071999</v>
          </cell>
          <cell r="Y1010">
            <v>0</v>
          </cell>
        </row>
        <row r="1011">
          <cell r="E1011">
            <v>0</v>
          </cell>
          <cell r="F1011" t="str">
            <v>BEST CELULAR</v>
          </cell>
          <cell r="G1011">
            <v>0</v>
          </cell>
          <cell r="H1011">
            <v>0</v>
          </cell>
          <cell r="I1011">
            <v>1</v>
          </cell>
          <cell r="J1011">
            <v>1</v>
          </cell>
          <cell r="K1011">
            <v>1</v>
          </cell>
          <cell r="L1011">
            <v>1</v>
          </cell>
          <cell r="M1011">
            <v>0</v>
          </cell>
          <cell r="N1011">
            <v>1</v>
          </cell>
          <cell r="O1011">
            <v>1</v>
          </cell>
          <cell r="P1011">
            <v>0</v>
          </cell>
          <cell r="Q1011">
            <v>1</v>
          </cell>
          <cell r="R1011">
            <v>1</v>
          </cell>
          <cell r="S1011">
            <v>0</v>
          </cell>
          <cell r="T1011">
            <v>0</v>
          </cell>
          <cell r="U1011">
            <v>0</v>
          </cell>
          <cell r="V1011">
            <v>0</v>
          </cell>
          <cell r="W1011">
            <v>0</v>
          </cell>
          <cell r="X1011">
            <v>10416.290322581001</v>
          </cell>
          <cell r="Y1011">
            <v>396000</v>
          </cell>
        </row>
        <row r="1012">
          <cell r="E1012">
            <v>0</v>
          </cell>
          <cell r="F1012" t="str">
            <v>Afa 2</v>
          </cell>
          <cell r="G1012">
            <v>0</v>
          </cell>
          <cell r="H1012">
            <v>0</v>
          </cell>
          <cell r="I1012">
            <v>1</v>
          </cell>
          <cell r="J1012">
            <v>1</v>
          </cell>
          <cell r="K1012">
            <v>0</v>
          </cell>
          <cell r="L1012">
            <v>0</v>
          </cell>
          <cell r="M1012">
            <v>0</v>
          </cell>
          <cell r="N1012">
            <v>0</v>
          </cell>
          <cell r="O1012">
            <v>0</v>
          </cell>
          <cell r="P1012">
            <v>0</v>
          </cell>
          <cell r="Q1012">
            <v>0</v>
          </cell>
          <cell r="R1012">
            <v>0</v>
          </cell>
          <cell r="S1012">
            <v>0</v>
          </cell>
          <cell r="T1012">
            <v>0</v>
          </cell>
          <cell r="U1012">
            <v>0</v>
          </cell>
          <cell r="V1012">
            <v>0</v>
          </cell>
          <cell r="W1012">
            <v>0</v>
          </cell>
          <cell r="X1012">
            <v>404483.52593523898</v>
          </cell>
          <cell r="Y1012">
            <v>66000</v>
          </cell>
        </row>
        <row r="1013">
          <cell r="E1013">
            <v>0</v>
          </cell>
          <cell r="F1013" t="str">
            <v>asia phone</v>
          </cell>
          <cell r="G1013">
            <v>0</v>
          </cell>
          <cell r="H1013">
            <v>0</v>
          </cell>
          <cell r="I1013">
            <v>1</v>
          </cell>
          <cell r="J1013">
            <v>1</v>
          </cell>
          <cell r="K1013">
            <v>0</v>
          </cell>
          <cell r="L1013">
            <v>0</v>
          </cell>
          <cell r="M1013">
            <v>0</v>
          </cell>
          <cell r="N1013">
            <v>0</v>
          </cell>
          <cell r="O1013">
            <v>0</v>
          </cell>
          <cell r="P1013">
            <v>0</v>
          </cell>
          <cell r="Q1013">
            <v>0</v>
          </cell>
          <cell r="R1013">
            <v>0</v>
          </cell>
          <cell r="S1013">
            <v>0</v>
          </cell>
          <cell r="T1013">
            <v>0</v>
          </cell>
          <cell r="U1013">
            <v>0</v>
          </cell>
          <cell r="V1013">
            <v>0</v>
          </cell>
          <cell r="W1013">
            <v>0</v>
          </cell>
          <cell r="X1013">
            <v>307838.95967741898</v>
          </cell>
          <cell r="Y1013">
            <v>70200</v>
          </cell>
        </row>
        <row r="1014">
          <cell r="E1014">
            <v>0</v>
          </cell>
          <cell r="F1014" t="str">
            <v>MICRO</v>
          </cell>
          <cell r="G1014">
            <v>0</v>
          </cell>
          <cell r="H1014">
            <v>0</v>
          </cell>
          <cell r="I1014">
            <v>0</v>
          </cell>
          <cell r="J1014">
            <v>0</v>
          </cell>
          <cell r="K1014">
            <v>1</v>
          </cell>
          <cell r="L1014">
            <v>0</v>
          </cell>
          <cell r="M1014">
            <v>1</v>
          </cell>
          <cell r="N1014">
            <v>0</v>
          </cell>
          <cell r="O1014">
            <v>0</v>
          </cell>
          <cell r="P1014">
            <v>0</v>
          </cell>
          <cell r="Q1014">
            <v>0</v>
          </cell>
          <cell r="R1014">
            <v>0</v>
          </cell>
          <cell r="S1014">
            <v>0</v>
          </cell>
          <cell r="T1014">
            <v>0</v>
          </cell>
          <cell r="U1014">
            <v>0</v>
          </cell>
          <cell r="V1014">
            <v>0</v>
          </cell>
          <cell r="W1014">
            <v>0</v>
          </cell>
          <cell r="X1014">
            <v>92662</v>
          </cell>
          <cell r="Y1014">
            <v>0</v>
          </cell>
        </row>
        <row r="1015">
          <cell r="E1015">
            <v>0</v>
          </cell>
          <cell r="F1015" t="str">
            <v>glaxi cell</v>
          </cell>
          <cell r="G1015">
            <v>0</v>
          </cell>
          <cell r="H1015">
            <v>0</v>
          </cell>
          <cell r="I1015">
            <v>0</v>
          </cell>
          <cell r="J1015">
            <v>0</v>
          </cell>
          <cell r="K1015">
            <v>0</v>
          </cell>
          <cell r="L1015">
            <v>0</v>
          </cell>
          <cell r="M1015">
            <v>0</v>
          </cell>
          <cell r="N1015">
            <v>0</v>
          </cell>
          <cell r="O1015">
            <v>0</v>
          </cell>
          <cell r="P1015">
            <v>0</v>
          </cell>
          <cell r="Q1015">
            <v>0</v>
          </cell>
          <cell r="R1015">
            <v>0</v>
          </cell>
          <cell r="S1015">
            <v>0</v>
          </cell>
          <cell r="T1015">
            <v>0</v>
          </cell>
          <cell r="U1015">
            <v>0</v>
          </cell>
          <cell r="V1015">
            <v>0</v>
          </cell>
          <cell r="W1015">
            <v>0</v>
          </cell>
          <cell r="X1015">
            <v>907633.48387096799</v>
          </cell>
          <cell r="Y1015">
            <v>3020000</v>
          </cell>
        </row>
        <row r="1016">
          <cell r="E1016">
            <v>0</v>
          </cell>
          <cell r="F1016" t="str">
            <v>Dbest celluler</v>
          </cell>
          <cell r="G1016">
            <v>0</v>
          </cell>
          <cell r="H1016">
            <v>0</v>
          </cell>
          <cell r="I1016">
            <v>1</v>
          </cell>
          <cell r="J1016">
            <v>1</v>
          </cell>
          <cell r="K1016">
            <v>0</v>
          </cell>
          <cell r="L1016">
            <v>0</v>
          </cell>
          <cell r="M1016">
            <v>0</v>
          </cell>
          <cell r="N1016">
            <v>0</v>
          </cell>
          <cell r="O1016">
            <v>0</v>
          </cell>
          <cell r="P1016">
            <v>0</v>
          </cell>
          <cell r="Q1016">
            <v>0</v>
          </cell>
          <cell r="R1016">
            <v>0</v>
          </cell>
          <cell r="S1016">
            <v>0</v>
          </cell>
          <cell r="T1016">
            <v>5</v>
          </cell>
          <cell r="U1016">
            <v>0</v>
          </cell>
          <cell r="V1016">
            <v>0</v>
          </cell>
          <cell r="W1016">
            <v>0</v>
          </cell>
          <cell r="X1016">
            <v>863307.24193548399</v>
          </cell>
          <cell r="Y1016">
            <v>93600</v>
          </cell>
        </row>
        <row r="1017">
          <cell r="E1017">
            <v>0</v>
          </cell>
          <cell r="F1017" t="str">
            <v>Serambi ponsel</v>
          </cell>
          <cell r="G1017">
            <v>0</v>
          </cell>
          <cell r="H1017">
            <v>0</v>
          </cell>
          <cell r="I1017">
            <v>1</v>
          </cell>
          <cell r="J1017">
            <v>1</v>
          </cell>
          <cell r="K1017">
            <v>0</v>
          </cell>
          <cell r="L1017">
            <v>0</v>
          </cell>
          <cell r="M1017">
            <v>0</v>
          </cell>
          <cell r="N1017">
            <v>0</v>
          </cell>
          <cell r="O1017">
            <v>0</v>
          </cell>
          <cell r="P1017">
            <v>0</v>
          </cell>
          <cell r="Q1017">
            <v>0</v>
          </cell>
          <cell r="R1017">
            <v>0</v>
          </cell>
          <cell r="S1017">
            <v>0</v>
          </cell>
          <cell r="T1017">
            <v>0</v>
          </cell>
          <cell r="U1017">
            <v>0</v>
          </cell>
          <cell r="V1017">
            <v>0</v>
          </cell>
          <cell r="W1017">
            <v>0</v>
          </cell>
          <cell r="X1017">
            <v>87000.460941714002</v>
          </cell>
          <cell r="Y1017">
            <v>1051000</v>
          </cell>
        </row>
        <row r="1018">
          <cell r="E1018">
            <v>0</v>
          </cell>
          <cell r="F1018" t="str">
            <v>Marvine ponsel</v>
          </cell>
          <cell r="G1018">
            <v>0</v>
          </cell>
          <cell r="H1018">
            <v>0</v>
          </cell>
          <cell r="I1018">
            <v>1</v>
          </cell>
          <cell r="J1018">
            <v>1</v>
          </cell>
          <cell r="K1018">
            <v>3</v>
          </cell>
          <cell r="L1018">
            <v>3</v>
          </cell>
          <cell r="M1018">
            <v>0</v>
          </cell>
          <cell r="N1018">
            <v>0</v>
          </cell>
          <cell r="O1018">
            <v>0</v>
          </cell>
          <cell r="P1018">
            <v>0</v>
          </cell>
          <cell r="Q1018">
            <v>0</v>
          </cell>
          <cell r="R1018">
            <v>0</v>
          </cell>
          <cell r="S1018">
            <v>0</v>
          </cell>
          <cell r="T1018">
            <v>0</v>
          </cell>
          <cell r="U1018">
            <v>2</v>
          </cell>
          <cell r="V1018">
            <v>0</v>
          </cell>
          <cell r="W1018">
            <v>0</v>
          </cell>
          <cell r="X1018">
            <v>363749.18279569899</v>
          </cell>
          <cell r="Y1018">
            <v>310200</v>
          </cell>
        </row>
        <row r="1019">
          <cell r="E1019">
            <v>0</v>
          </cell>
          <cell r="F1019" t="str">
            <v>Winners celullar</v>
          </cell>
          <cell r="G1019">
            <v>0</v>
          </cell>
          <cell r="H1019">
            <v>0</v>
          </cell>
          <cell r="I1019">
            <v>1</v>
          </cell>
          <cell r="J1019">
            <v>1</v>
          </cell>
          <cell r="K1019">
            <v>0</v>
          </cell>
          <cell r="L1019">
            <v>0</v>
          </cell>
          <cell r="M1019">
            <v>0</v>
          </cell>
          <cell r="N1019">
            <v>0</v>
          </cell>
          <cell r="O1019">
            <v>0</v>
          </cell>
          <cell r="P1019">
            <v>0</v>
          </cell>
          <cell r="Q1019">
            <v>0</v>
          </cell>
          <cell r="R1019">
            <v>0</v>
          </cell>
          <cell r="S1019">
            <v>0</v>
          </cell>
          <cell r="T1019">
            <v>0</v>
          </cell>
          <cell r="U1019">
            <v>0</v>
          </cell>
          <cell r="V1019">
            <v>0</v>
          </cell>
          <cell r="W1019">
            <v>0</v>
          </cell>
          <cell r="X1019">
            <v>1217270.1290322579</v>
          </cell>
          <cell r="Y1019">
            <v>2335200</v>
          </cell>
        </row>
        <row r="1020">
          <cell r="E1020">
            <v>0</v>
          </cell>
          <cell r="F1020" t="str">
            <v>Toko Yusuf</v>
          </cell>
          <cell r="G1020">
            <v>0</v>
          </cell>
          <cell r="H1020">
            <v>0</v>
          </cell>
          <cell r="I1020">
            <v>1</v>
          </cell>
          <cell r="J1020">
            <v>1</v>
          </cell>
          <cell r="K1020">
            <v>20</v>
          </cell>
          <cell r="L1020">
            <v>20</v>
          </cell>
          <cell r="M1020">
            <v>0</v>
          </cell>
          <cell r="N1020">
            <v>6</v>
          </cell>
          <cell r="O1020">
            <v>6</v>
          </cell>
          <cell r="P1020">
            <v>0</v>
          </cell>
          <cell r="Q1020">
            <v>9</v>
          </cell>
          <cell r="R1020">
            <v>9</v>
          </cell>
          <cell r="S1020">
            <v>0</v>
          </cell>
          <cell r="T1020">
            <v>0</v>
          </cell>
          <cell r="U1020">
            <v>5</v>
          </cell>
          <cell r="V1020">
            <v>0</v>
          </cell>
          <cell r="W1020">
            <v>0</v>
          </cell>
          <cell r="X1020">
            <v>150632.70967741901</v>
          </cell>
          <cell r="Y1020">
            <v>121200</v>
          </cell>
        </row>
        <row r="1021">
          <cell r="E1021">
            <v>0</v>
          </cell>
          <cell r="F1021" t="str">
            <v>AGHA PONSEL</v>
          </cell>
          <cell r="G1021">
            <v>0</v>
          </cell>
          <cell r="H1021">
            <v>0</v>
          </cell>
          <cell r="I1021">
            <v>1</v>
          </cell>
          <cell r="J1021">
            <v>1</v>
          </cell>
          <cell r="K1021">
            <v>0</v>
          </cell>
          <cell r="L1021">
            <v>0</v>
          </cell>
          <cell r="M1021">
            <v>0</v>
          </cell>
          <cell r="N1021">
            <v>0</v>
          </cell>
          <cell r="O1021">
            <v>0</v>
          </cell>
          <cell r="P1021">
            <v>0</v>
          </cell>
          <cell r="Q1021">
            <v>0</v>
          </cell>
          <cell r="R1021">
            <v>0</v>
          </cell>
          <cell r="S1021">
            <v>0</v>
          </cell>
          <cell r="T1021">
            <v>0</v>
          </cell>
          <cell r="U1021">
            <v>0</v>
          </cell>
          <cell r="V1021">
            <v>0</v>
          </cell>
          <cell r="W1021">
            <v>0</v>
          </cell>
          <cell r="X1021">
            <v>83060.5</v>
          </cell>
          <cell r="Y1021">
            <v>144600</v>
          </cell>
        </row>
        <row r="1022">
          <cell r="E1022">
            <v>0</v>
          </cell>
          <cell r="F1022" t="str">
            <v>Bintang ponsel</v>
          </cell>
          <cell r="G1022">
            <v>0</v>
          </cell>
          <cell r="H1022">
            <v>0</v>
          </cell>
          <cell r="I1022">
            <v>1</v>
          </cell>
          <cell r="J1022">
            <v>1</v>
          </cell>
          <cell r="K1022">
            <v>2</v>
          </cell>
          <cell r="L1022">
            <v>2</v>
          </cell>
          <cell r="M1022">
            <v>0</v>
          </cell>
          <cell r="N1022">
            <v>1</v>
          </cell>
          <cell r="O1022">
            <v>1</v>
          </cell>
          <cell r="P1022">
            <v>0</v>
          </cell>
          <cell r="Q1022">
            <v>1</v>
          </cell>
          <cell r="R1022">
            <v>1</v>
          </cell>
          <cell r="S1022">
            <v>0</v>
          </cell>
          <cell r="T1022">
            <v>0</v>
          </cell>
          <cell r="U1022">
            <v>0</v>
          </cell>
          <cell r="V1022">
            <v>0</v>
          </cell>
          <cell r="W1022">
            <v>0</v>
          </cell>
          <cell r="X1022">
            <v>1305137.5467741929</v>
          </cell>
          <cell r="Y1022">
            <v>117000</v>
          </cell>
        </row>
        <row r="1023">
          <cell r="E1023">
            <v>0</v>
          </cell>
          <cell r="F1023" t="str">
            <v>victory cell</v>
          </cell>
          <cell r="G1023">
            <v>0</v>
          </cell>
          <cell r="H1023">
            <v>0</v>
          </cell>
          <cell r="I1023">
            <v>1</v>
          </cell>
          <cell r="J1023">
            <v>1</v>
          </cell>
          <cell r="K1023">
            <v>2</v>
          </cell>
          <cell r="L1023">
            <v>2</v>
          </cell>
          <cell r="M1023">
            <v>0</v>
          </cell>
          <cell r="N1023">
            <v>2</v>
          </cell>
          <cell r="O1023">
            <v>2</v>
          </cell>
          <cell r="P1023">
            <v>0</v>
          </cell>
          <cell r="Q1023">
            <v>2</v>
          </cell>
          <cell r="R1023">
            <v>2</v>
          </cell>
          <cell r="S1023">
            <v>0</v>
          </cell>
          <cell r="T1023">
            <v>7</v>
          </cell>
          <cell r="U1023">
            <v>0</v>
          </cell>
          <cell r="V1023">
            <v>0</v>
          </cell>
          <cell r="W1023">
            <v>0</v>
          </cell>
          <cell r="X1023">
            <v>43500.230470857001</v>
          </cell>
          <cell r="Y1023">
            <v>117000</v>
          </cell>
        </row>
        <row r="1024">
          <cell r="E1024">
            <v>0</v>
          </cell>
          <cell r="F1024" t="str">
            <v>daffa ponsel</v>
          </cell>
          <cell r="G1024">
            <v>0</v>
          </cell>
          <cell r="H1024">
            <v>0</v>
          </cell>
          <cell r="I1024">
            <v>1</v>
          </cell>
          <cell r="J1024">
            <v>1</v>
          </cell>
          <cell r="K1024">
            <v>0</v>
          </cell>
          <cell r="L1024">
            <v>0</v>
          </cell>
          <cell r="M1024">
            <v>0</v>
          </cell>
          <cell r="N1024">
            <v>0</v>
          </cell>
          <cell r="O1024">
            <v>0</v>
          </cell>
          <cell r="P1024">
            <v>0</v>
          </cell>
          <cell r="Q1024">
            <v>0</v>
          </cell>
          <cell r="R1024">
            <v>0</v>
          </cell>
          <cell r="S1024">
            <v>0</v>
          </cell>
          <cell r="T1024">
            <v>0</v>
          </cell>
          <cell r="U1024">
            <v>0</v>
          </cell>
          <cell r="V1024">
            <v>0</v>
          </cell>
          <cell r="W1024">
            <v>0</v>
          </cell>
          <cell r="X1024">
            <v>248428.870967742</v>
          </cell>
          <cell r="Y1024">
            <v>144600</v>
          </cell>
        </row>
        <row r="1025">
          <cell r="E1025">
            <v>0</v>
          </cell>
          <cell r="F1025" t="str">
            <v>Pemuda Cellurer</v>
          </cell>
          <cell r="G1025">
            <v>0</v>
          </cell>
          <cell r="H1025">
            <v>0</v>
          </cell>
          <cell r="I1025">
            <v>1</v>
          </cell>
          <cell r="J1025">
            <v>1</v>
          </cell>
          <cell r="K1025">
            <v>3</v>
          </cell>
          <cell r="L1025">
            <v>3</v>
          </cell>
          <cell r="M1025">
            <v>0</v>
          </cell>
          <cell r="N1025">
            <v>2</v>
          </cell>
          <cell r="O1025">
            <v>2</v>
          </cell>
          <cell r="P1025">
            <v>0</v>
          </cell>
          <cell r="Q1025">
            <v>2</v>
          </cell>
          <cell r="R1025">
            <v>2</v>
          </cell>
          <cell r="S1025">
            <v>0</v>
          </cell>
          <cell r="T1025">
            <v>0</v>
          </cell>
          <cell r="U1025">
            <v>0</v>
          </cell>
          <cell r="V1025">
            <v>0</v>
          </cell>
          <cell r="W1025">
            <v>0</v>
          </cell>
          <cell r="X1025">
            <v>827946.49193548399</v>
          </cell>
          <cell r="Y1025">
            <v>93600</v>
          </cell>
        </row>
        <row r="1026">
          <cell r="E1026">
            <v>0</v>
          </cell>
          <cell r="F1026" t="str">
            <v>Dinan Ponsel</v>
          </cell>
          <cell r="G1026">
            <v>0</v>
          </cell>
          <cell r="H1026">
            <v>0</v>
          </cell>
          <cell r="I1026">
            <v>1</v>
          </cell>
          <cell r="J1026">
            <v>1</v>
          </cell>
          <cell r="K1026">
            <v>0</v>
          </cell>
          <cell r="L1026">
            <v>0</v>
          </cell>
          <cell r="M1026">
            <v>0</v>
          </cell>
          <cell r="N1026">
            <v>0</v>
          </cell>
          <cell r="O1026">
            <v>0</v>
          </cell>
          <cell r="P1026">
            <v>0</v>
          </cell>
          <cell r="Q1026">
            <v>0</v>
          </cell>
          <cell r="R1026">
            <v>0</v>
          </cell>
          <cell r="S1026">
            <v>0</v>
          </cell>
          <cell r="T1026">
            <v>0</v>
          </cell>
          <cell r="U1026">
            <v>0</v>
          </cell>
          <cell r="V1026">
            <v>0</v>
          </cell>
          <cell r="W1026">
            <v>0</v>
          </cell>
          <cell r="X1026">
            <v>417730.25806451601</v>
          </cell>
          <cell r="Y1026">
            <v>70200</v>
          </cell>
        </row>
        <row r="1027">
          <cell r="E1027">
            <v>0</v>
          </cell>
          <cell r="F1027" t="str">
            <v>Ansori cell</v>
          </cell>
          <cell r="G1027">
            <v>0</v>
          </cell>
          <cell r="H1027">
            <v>0</v>
          </cell>
          <cell r="I1027">
            <v>1</v>
          </cell>
          <cell r="J1027">
            <v>1</v>
          </cell>
          <cell r="K1027">
            <v>1</v>
          </cell>
          <cell r="L1027">
            <v>1</v>
          </cell>
          <cell r="M1027">
            <v>0</v>
          </cell>
          <cell r="N1027">
            <v>0</v>
          </cell>
          <cell r="O1027">
            <v>0</v>
          </cell>
          <cell r="P1027">
            <v>0</v>
          </cell>
          <cell r="Q1027">
            <v>1</v>
          </cell>
          <cell r="R1027">
            <v>1</v>
          </cell>
          <cell r="S1027">
            <v>0</v>
          </cell>
          <cell r="T1027">
            <v>0</v>
          </cell>
          <cell r="U1027">
            <v>0</v>
          </cell>
          <cell r="V1027">
            <v>0</v>
          </cell>
          <cell r="W1027">
            <v>0</v>
          </cell>
          <cell r="X1027">
            <v>444738.77419354802</v>
          </cell>
          <cell r="Y1027">
            <v>765600</v>
          </cell>
        </row>
        <row r="1028">
          <cell r="E1028">
            <v>0</v>
          </cell>
          <cell r="F1028" t="str">
            <v>Shalsa ponsel</v>
          </cell>
          <cell r="G1028">
            <v>0</v>
          </cell>
          <cell r="H1028">
            <v>0</v>
          </cell>
          <cell r="I1028">
            <v>1</v>
          </cell>
          <cell r="J1028">
            <v>1</v>
          </cell>
          <cell r="K1028">
            <v>0</v>
          </cell>
          <cell r="L1028">
            <v>0</v>
          </cell>
          <cell r="M1028">
            <v>0</v>
          </cell>
          <cell r="N1028">
            <v>0</v>
          </cell>
          <cell r="O1028">
            <v>0</v>
          </cell>
          <cell r="P1028">
            <v>0</v>
          </cell>
          <cell r="Q1028">
            <v>0</v>
          </cell>
          <cell r="R1028">
            <v>0</v>
          </cell>
          <cell r="S1028">
            <v>0</v>
          </cell>
          <cell r="T1028">
            <v>0</v>
          </cell>
          <cell r="U1028">
            <v>0</v>
          </cell>
          <cell r="V1028">
            <v>0</v>
          </cell>
          <cell r="W1028">
            <v>0</v>
          </cell>
          <cell r="X1028">
            <v>648194.77419354802</v>
          </cell>
          <cell r="Y1028">
            <v>93600</v>
          </cell>
        </row>
        <row r="1029">
          <cell r="E1029">
            <v>0</v>
          </cell>
          <cell r="F1029" t="str">
            <v>Tk amoy</v>
          </cell>
          <cell r="G1029">
            <v>0</v>
          </cell>
          <cell r="H1029">
            <v>0</v>
          </cell>
          <cell r="I1029">
            <v>1</v>
          </cell>
          <cell r="J1029">
            <v>1</v>
          </cell>
          <cell r="K1029">
            <v>1</v>
          </cell>
          <cell r="L1029">
            <v>1</v>
          </cell>
          <cell r="M1029">
            <v>0</v>
          </cell>
          <cell r="N1029">
            <v>1</v>
          </cell>
          <cell r="O1029">
            <v>1</v>
          </cell>
          <cell r="P1029">
            <v>0</v>
          </cell>
          <cell r="Q1029">
            <v>1</v>
          </cell>
          <cell r="R1029">
            <v>1</v>
          </cell>
          <cell r="S1029">
            <v>0</v>
          </cell>
          <cell r="T1029">
            <v>0</v>
          </cell>
          <cell r="U1029">
            <v>0</v>
          </cell>
          <cell r="V1029">
            <v>0</v>
          </cell>
          <cell r="W1029">
            <v>0</v>
          </cell>
          <cell r="X1029">
            <v>5876741.7204301096</v>
          </cell>
          <cell r="Y1029">
            <v>85144600</v>
          </cell>
        </row>
        <row r="1030">
          <cell r="E1030">
            <v>0</v>
          </cell>
          <cell r="F1030" t="str">
            <v>Bang Joe Ponsel</v>
          </cell>
          <cell r="G1030">
            <v>0</v>
          </cell>
          <cell r="H1030">
            <v>0</v>
          </cell>
          <cell r="I1030">
            <v>1</v>
          </cell>
          <cell r="J1030">
            <v>1</v>
          </cell>
          <cell r="K1030">
            <v>0</v>
          </cell>
          <cell r="L1030">
            <v>0</v>
          </cell>
          <cell r="M1030">
            <v>0</v>
          </cell>
          <cell r="N1030">
            <v>0</v>
          </cell>
          <cell r="O1030">
            <v>0</v>
          </cell>
          <cell r="P1030">
            <v>0</v>
          </cell>
          <cell r="Q1030">
            <v>0</v>
          </cell>
          <cell r="R1030">
            <v>0</v>
          </cell>
          <cell r="S1030">
            <v>0</v>
          </cell>
          <cell r="T1030">
            <v>0</v>
          </cell>
          <cell r="U1030">
            <v>0</v>
          </cell>
          <cell r="V1030">
            <v>0</v>
          </cell>
          <cell r="W1030">
            <v>0</v>
          </cell>
          <cell r="X1030">
            <v>98042</v>
          </cell>
          <cell r="Y1030">
            <v>144600</v>
          </cell>
        </row>
        <row r="1031">
          <cell r="E1031">
            <v>0</v>
          </cell>
          <cell r="F1031" t="str">
            <v>Warung ismi</v>
          </cell>
          <cell r="G1031">
            <v>0</v>
          </cell>
          <cell r="H1031">
            <v>0</v>
          </cell>
          <cell r="I1031">
            <v>1</v>
          </cell>
          <cell r="J1031">
            <v>1</v>
          </cell>
          <cell r="K1031">
            <v>1</v>
          </cell>
          <cell r="L1031">
            <v>1</v>
          </cell>
          <cell r="M1031">
            <v>0</v>
          </cell>
          <cell r="N1031">
            <v>0</v>
          </cell>
          <cell r="O1031">
            <v>0</v>
          </cell>
          <cell r="P1031">
            <v>0</v>
          </cell>
          <cell r="Q1031">
            <v>0</v>
          </cell>
          <cell r="R1031">
            <v>0</v>
          </cell>
          <cell r="S1031">
            <v>0</v>
          </cell>
          <cell r="T1031">
            <v>0</v>
          </cell>
          <cell r="U1031">
            <v>1</v>
          </cell>
          <cell r="V1031">
            <v>0</v>
          </cell>
          <cell r="W1031">
            <v>0</v>
          </cell>
          <cell r="X1031">
            <v>113147.709677419</v>
          </cell>
          <cell r="Y1031">
            <v>93600</v>
          </cell>
        </row>
        <row r="1032">
          <cell r="E1032">
            <v>0</v>
          </cell>
          <cell r="F1032" t="str">
            <v>Jumai Cell</v>
          </cell>
          <cell r="G1032">
            <v>0</v>
          </cell>
          <cell r="H1032">
            <v>0</v>
          </cell>
          <cell r="I1032">
            <v>1</v>
          </cell>
          <cell r="J1032">
            <v>1</v>
          </cell>
          <cell r="K1032">
            <v>0</v>
          </cell>
          <cell r="L1032">
            <v>0</v>
          </cell>
          <cell r="M1032">
            <v>0</v>
          </cell>
          <cell r="N1032">
            <v>0</v>
          </cell>
          <cell r="O1032">
            <v>0</v>
          </cell>
          <cell r="P1032">
            <v>0</v>
          </cell>
          <cell r="Q1032">
            <v>0</v>
          </cell>
          <cell r="R1032">
            <v>0</v>
          </cell>
          <cell r="S1032">
            <v>0</v>
          </cell>
          <cell r="T1032">
            <v>0</v>
          </cell>
          <cell r="U1032">
            <v>0</v>
          </cell>
          <cell r="V1032">
            <v>0</v>
          </cell>
          <cell r="W1032">
            <v>0</v>
          </cell>
          <cell r="X1032">
            <v>394899.32258064498</v>
          </cell>
          <cell r="Y1032">
            <v>144600</v>
          </cell>
        </row>
        <row r="1033">
          <cell r="E1033">
            <v>0</v>
          </cell>
          <cell r="F1033" t="str">
            <v>IDeaAja</v>
          </cell>
          <cell r="G1033">
            <v>0</v>
          </cell>
          <cell r="H1033">
            <v>0</v>
          </cell>
          <cell r="I1033">
            <v>1</v>
          </cell>
          <cell r="J1033">
            <v>1</v>
          </cell>
          <cell r="K1033">
            <v>4</v>
          </cell>
          <cell r="L1033">
            <v>4</v>
          </cell>
          <cell r="M1033">
            <v>0</v>
          </cell>
          <cell r="N1033">
            <v>3</v>
          </cell>
          <cell r="O1033">
            <v>3</v>
          </cell>
          <cell r="P1033">
            <v>0</v>
          </cell>
          <cell r="Q1033">
            <v>4</v>
          </cell>
          <cell r="R1033">
            <v>4</v>
          </cell>
          <cell r="S1033">
            <v>0</v>
          </cell>
          <cell r="T1033">
            <v>0</v>
          </cell>
          <cell r="U1033">
            <v>0</v>
          </cell>
          <cell r="V1033">
            <v>0</v>
          </cell>
          <cell r="W1033">
            <v>0</v>
          </cell>
          <cell r="X1033">
            <v>794352.03468521603</v>
          </cell>
          <cell r="Y1033">
            <v>93600</v>
          </cell>
        </row>
        <row r="1034">
          <cell r="E1034">
            <v>0</v>
          </cell>
          <cell r="F1034" t="str">
            <v>Toko eva</v>
          </cell>
          <cell r="G1034">
            <v>0</v>
          </cell>
          <cell r="H1034">
            <v>0</v>
          </cell>
          <cell r="I1034">
            <v>1</v>
          </cell>
          <cell r="J1034">
            <v>1</v>
          </cell>
          <cell r="K1034">
            <v>1</v>
          </cell>
          <cell r="L1034">
            <v>1</v>
          </cell>
          <cell r="M1034">
            <v>0</v>
          </cell>
          <cell r="N1034">
            <v>0</v>
          </cell>
          <cell r="O1034">
            <v>0</v>
          </cell>
          <cell r="P1034">
            <v>0</v>
          </cell>
          <cell r="Q1034">
            <v>0</v>
          </cell>
          <cell r="R1034">
            <v>0</v>
          </cell>
          <cell r="S1034">
            <v>0</v>
          </cell>
          <cell r="T1034">
            <v>0</v>
          </cell>
          <cell r="U1034">
            <v>0</v>
          </cell>
          <cell r="V1034">
            <v>0</v>
          </cell>
          <cell r="W1034">
            <v>0</v>
          </cell>
          <cell r="X1034">
            <v>203273.54838709699</v>
          </cell>
          <cell r="Y1034">
            <v>93600</v>
          </cell>
        </row>
        <row r="1035">
          <cell r="E1035">
            <v>0</v>
          </cell>
          <cell r="F1035" t="str">
            <v>Warung Mba Tur</v>
          </cell>
          <cell r="G1035">
            <v>0</v>
          </cell>
          <cell r="H1035">
            <v>0</v>
          </cell>
          <cell r="I1035">
            <v>1</v>
          </cell>
          <cell r="J1035">
            <v>1</v>
          </cell>
          <cell r="K1035">
            <v>0</v>
          </cell>
          <cell r="L1035">
            <v>0</v>
          </cell>
          <cell r="M1035">
            <v>0</v>
          </cell>
          <cell r="N1035">
            <v>0</v>
          </cell>
          <cell r="O1035">
            <v>0</v>
          </cell>
          <cell r="P1035">
            <v>0</v>
          </cell>
          <cell r="Q1035">
            <v>0</v>
          </cell>
          <cell r="R1035">
            <v>0</v>
          </cell>
          <cell r="S1035">
            <v>0</v>
          </cell>
          <cell r="T1035">
            <v>0</v>
          </cell>
          <cell r="U1035">
            <v>0</v>
          </cell>
          <cell r="V1035">
            <v>0</v>
          </cell>
          <cell r="W1035">
            <v>0</v>
          </cell>
          <cell r="X1035">
            <v>249923.22580645201</v>
          </cell>
          <cell r="Y1035">
            <v>70200</v>
          </cell>
        </row>
        <row r="1036">
          <cell r="E1036">
            <v>0</v>
          </cell>
          <cell r="F1036" t="str">
            <v>Toko usti</v>
          </cell>
          <cell r="G1036">
            <v>0</v>
          </cell>
          <cell r="H1036">
            <v>0</v>
          </cell>
          <cell r="I1036">
            <v>1</v>
          </cell>
          <cell r="J1036">
            <v>1</v>
          </cell>
          <cell r="K1036">
            <v>0</v>
          </cell>
          <cell r="L1036">
            <v>0</v>
          </cell>
          <cell r="M1036">
            <v>0</v>
          </cell>
          <cell r="N1036">
            <v>0</v>
          </cell>
          <cell r="O1036">
            <v>0</v>
          </cell>
          <cell r="P1036">
            <v>0</v>
          </cell>
          <cell r="Q1036">
            <v>0</v>
          </cell>
          <cell r="R1036">
            <v>0</v>
          </cell>
          <cell r="S1036">
            <v>0</v>
          </cell>
          <cell r="T1036">
            <v>0</v>
          </cell>
          <cell r="U1036">
            <v>0</v>
          </cell>
          <cell r="V1036">
            <v>0</v>
          </cell>
          <cell r="W1036">
            <v>0</v>
          </cell>
          <cell r="X1036">
            <v>859018.06451612897</v>
          </cell>
          <cell r="Y1036">
            <v>117000</v>
          </cell>
        </row>
        <row r="1037">
          <cell r="E1037">
            <v>0</v>
          </cell>
          <cell r="F1037" t="str">
            <v>Hongcell</v>
          </cell>
          <cell r="G1037">
            <v>0</v>
          </cell>
          <cell r="H1037">
            <v>0</v>
          </cell>
          <cell r="I1037">
            <v>1</v>
          </cell>
          <cell r="J1037">
            <v>1</v>
          </cell>
          <cell r="K1037">
            <v>1</v>
          </cell>
          <cell r="L1037">
            <v>1</v>
          </cell>
          <cell r="M1037">
            <v>0</v>
          </cell>
          <cell r="N1037">
            <v>0</v>
          </cell>
          <cell r="O1037">
            <v>0</v>
          </cell>
          <cell r="P1037">
            <v>0</v>
          </cell>
          <cell r="Q1037">
            <v>0</v>
          </cell>
          <cell r="R1037">
            <v>0</v>
          </cell>
          <cell r="S1037">
            <v>0</v>
          </cell>
          <cell r="T1037">
            <v>0</v>
          </cell>
          <cell r="U1037">
            <v>0</v>
          </cell>
          <cell r="V1037">
            <v>0</v>
          </cell>
          <cell r="W1037">
            <v>0</v>
          </cell>
          <cell r="X1037">
            <v>320258.06451612897</v>
          </cell>
          <cell r="Y1037">
            <v>144600</v>
          </cell>
        </row>
        <row r="1038">
          <cell r="E1038">
            <v>0</v>
          </cell>
          <cell r="F1038" t="str">
            <v>Toko harto</v>
          </cell>
          <cell r="G1038">
            <v>0</v>
          </cell>
          <cell r="H1038">
            <v>0</v>
          </cell>
          <cell r="I1038">
            <v>1</v>
          </cell>
          <cell r="J1038">
            <v>1</v>
          </cell>
          <cell r="K1038">
            <v>0</v>
          </cell>
          <cell r="L1038">
            <v>0</v>
          </cell>
          <cell r="M1038">
            <v>0</v>
          </cell>
          <cell r="N1038">
            <v>0</v>
          </cell>
          <cell r="O1038">
            <v>0</v>
          </cell>
          <cell r="P1038">
            <v>0</v>
          </cell>
          <cell r="Q1038">
            <v>0</v>
          </cell>
          <cell r="R1038">
            <v>0</v>
          </cell>
          <cell r="S1038">
            <v>0</v>
          </cell>
          <cell r="T1038">
            <v>0</v>
          </cell>
          <cell r="U1038">
            <v>0</v>
          </cell>
          <cell r="V1038">
            <v>0</v>
          </cell>
          <cell r="W1038">
            <v>0</v>
          </cell>
          <cell r="X1038">
            <v>289085.16129032301</v>
          </cell>
          <cell r="Y1038">
            <v>117000</v>
          </cell>
        </row>
        <row r="1039">
          <cell r="E1039">
            <v>0</v>
          </cell>
          <cell r="F1039" t="str">
            <v>TOKO AJAN</v>
          </cell>
          <cell r="G1039">
            <v>0</v>
          </cell>
          <cell r="H1039">
            <v>0</v>
          </cell>
          <cell r="I1039">
            <v>1</v>
          </cell>
          <cell r="J1039">
            <v>1</v>
          </cell>
          <cell r="K1039">
            <v>0</v>
          </cell>
          <cell r="L1039">
            <v>0</v>
          </cell>
          <cell r="M1039">
            <v>0</v>
          </cell>
          <cell r="N1039">
            <v>0</v>
          </cell>
          <cell r="O1039">
            <v>0</v>
          </cell>
          <cell r="P1039">
            <v>0</v>
          </cell>
          <cell r="Q1039">
            <v>0</v>
          </cell>
          <cell r="R1039">
            <v>0</v>
          </cell>
          <cell r="S1039">
            <v>0</v>
          </cell>
          <cell r="T1039">
            <v>0</v>
          </cell>
          <cell r="U1039">
            <v>0</v>
          </cell>
          <cell r="V1039">
            <v>0</v>
          </cell>
          <cell r="W1039">
            <v>0</v>
          </cell>
          <cell r="X1039">
            <v>285197.20430107502</v>
          </cell>
          <cell r="Y1039">
            <v>187200</v>
          </cell>
        </row>
        <row r="1040">
          <cell r="E1040">
            <v>0</v>
          </cell>
          <cell r="F1040" t="str">
            <v>Toko Gatot</v>
          </cell>
          <cell r="G1040">
            <v>0</v>
          </cell>
          <cell r="H1040">
            <v>0</v>
          </cell>
          <cell r="I1040">
            <v>1</v>
          </cell>
          <cell r="J1040">
            <v>1</v>
          </cell>
          <cell r="K1040">
            <v>0</v>
          </cell>
          <cell r="L1040">
            <v>0</v>
          </cell>
          <cell r="M1040">
            <v>0</v>
          </cell>
          <cell r="N1040">
            <v>0</v>
          </cell>
          <cell r="O1040">
            <v>0</v>
          </cell>
          <cell r="P1040">
            <v>0</v>
          </cell>
          <cell r="Q1040">
            <v>0</v>
          </cell>
          <cell r="R1040">
            <v>0</v>
          </cell>
          <cell r="S1040">
            <v>0</v>
          </cell>
          <cell r="T1040">
            <v>0</v>
          </cell>
          <cell r="U1040">
            <v>0</v>
          </cell>
          <cell r="V1040">
            <v>0</v>
          </cell>
          <cell r="W1040">
            <v>0</v>
          </cell>
          <cell r="X1040">
            <v>120378.709677419</v>
          </cell>
          <cell r="Y1040">
            <v>70200</v>
          </cell>
        </row>
        <row r="1041">
          <cell r="E1041">
            <v>0</v>
          </cell>
          <cell r="F1041" t="str">
            <v>Toko Sinar Pagi</v>
          </cell>
          <cell r="G1041">
            <v>0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0</v>
          </cell>
          <cell r="M1041">
            <v>0</v>
          </cell>
          <cell r="N1041">
            <v>0</v>
          </cell>
          <cell r="O1041">
            <v>0</v>
          </cell>
          <cell r="P1041">
            <v>0</v>
          </cell>
          <cell r="Q1041">
            <v>0</v>
          </cell>
          <cell r="R1041">
            <v>0</v>
          </cell>
          <cell r="S1041">
            <v>0</v>
          </cell>
          <cell r="T1041">
            <v>0</v>
          </cell>
          <cell r="U1041">
            <v>0</v>
          </cell>
          <cell r="V1041">
            <v>0</v>
          </cell>
          <cell r="W1041">
            <v>0</v>
          </cell>
          <cell r="X1041">
            <v>0</v>
          </cell>
          <cell r="Y1041">
            <v>0</v>
          </cell>
        </row>
        <row r="1042">
          <cell r="E1042">
            <v>0</v>
          </cell>
          <cell r="F1042" t="str">
            <v>Warung mba mus</v>
          </cell>
          <cell r="G1042">
            <v>0</v>
          </cell>
          <cell r="H1042">
            <v>0</v>
          </cell>
          <cell r="I1042">
            <v>1</v>
          </cell>
          <cell r="J1042">
            <v>1</v>
          </cell>
          <cell r="K1042">
            <v>1</v>
          </cell>
          <cell r="L1042">
            <v>1</v>
          </cell>
          <cell r="M1042">
            <v>0</v>
          </cell>
          <cell r="N1042">
            <v>0</v>
          </cell>
          <cell r="O1042">
            <v>0</v>
          </cell>
          <cell r="P1042">
            <v>0</v>
          </cell>
          <cell r="Q1042">
            <v>0</v>
          </cell>
          <cell r="R1042">
            <v>0</v>
          </cell>
          <cell r="S1042">
            <v>0</v>
          </cell>
          <cell r="T1042">
            <v>0</v>
          </cell>
          <cell r="U1042">
            <v>1</v>
          </cell>
          <cell r="V1042">
            <v>0</v>
          </cell>
          <cell r="W1042">
            <v>0</v>
          </cell>
          <cell r="X1042">
            <v>303267.74193548399</v>
          </cell>
          <cell r="Y1042">
            <v>70200</v>
          </cell>
        </row>
        <row r="1043">
          <cell r="E1043">
            <v>0</v>
          </cell>
          <cell r="F1043" t="str">
            <v>Warung tomo</v>
          </cell>
          <cell r="G1043">
            <v>0</v>
          </cell>
          <cell r="H1043">
            <v>0</v>
          </cell>
          <cell r="I1043">
            <v>1</v>
          </cell>
          <cell r="J1043">
            <v>1</v>
          </cell>
          <cell r="K1043">
            <v>0</v>
          </cell>
          <cell r="L1043">
            <v>0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0</v>
          </cell>
          <cell r="U1043">
            <v>0</v>
          </cell>
          <cell r="V1043">
            <v>0</v>
          </cell>
          <cell r="W1043">
            <v>0</v>
          </cell>
          <cell r="X1043">
            <v>95000</v>
          </cell>
          <cell r="Y1043">
            <v>70200</v>
          </cell>
        </row>
        <row r="1044">
          <cell r="E1044">
            <v>0</v>
          </cell>
          <cell r="F1044" t="str">
            <v>Warung Pian</v>
          </cell>
          <cell r="G1044">
            <v>0</v>
          </cell>
          <cell r="H1044">
            <v>0</v>
          </cell>
          <cell r="I1044">
            <v>1</v>
          </cell>
          <cell r="J1044">
            <v>1</v>
          </cell>
          <cell r="K1044">
            <v>0</v>
          </cell>
          <cell r="L1044">
            <v>0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0</v>
          </cell>
          <cell r="U1044">
            <v>0</v>
          </cell>
          <cell r="V1044">
            <v>0</v>
          </cell>
          <cell r="W1044">
            <v>0</v>
          </cell>
          <cell r="X1044">
            <v>252988.70967741901</v>
          </cell>
          <cell r="Y1044">
            <v>93600</v>
          </cell>
        </row>
        <row r="1045">
          <cell r="E1045">
            <v>0</v>
          </cell>
          <cell r="F1045" t="str">
            <v>TOKO mANDIRI</v>
          </cell>
          <cell r="G1045">
            <v>0</v>
          </cell>
          <cell r="H1045">
            <v>0</v>
          </cell>
          <cell r="I1045">
            <v>1</v>
          </cell>
          <cell r="J1045">
            <v>1</v>
          </cell>
          <cell r="K1045">
            <v>0</v>
          </cell>
          <cell r="L1045">
            <v>0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>
            <v>0</v>
          </cell>
          <cell r="V1045">
            <v>0</v>
          </cell>
          <cell r="W1045">
            <v>0</v>
          </cell>
          <cell r="X1045">
            <v>294092.58064516098</v>
          </cell>
          <cell r="Y1045">
            <v>629000</v>
          </cell>
        </row>
        <row r="1046">
          <cell r="E1046">
            <v>0</v>
          </cell>
          <cell r="F1046" t="str">
            <v>Warung jirin</v>
          </cell>
          <cell r="G1046">
            <v>0</v>
          </cell>
          <cell r="H1046">
            <v>0</v>
          </cell>
          <cell r="I1046">
            <v>1</v>
          </cell>
          <cell r="J1046">
            <v>1</v>
          </cell>
          <cell r="K1046">
            <v>1</v>
          </cell>
          <cell r="L1046">
            <v>1</v>
          </cell>
          <cell r="M1046">
            <v>0</v>
          </cell>
          <cell r="N1046">
            <v>1</v>
          </cell>
          <cell r="O1046">
            <v>1</v>
          </cell>
          <cell r="P1046">
            <v>0</v>
          </cell>
          <cell r="Q1046">
            <v>1</v>
          </cell>
          <cell r="R1046">
            <v>1</v>
          </cell>
          <cell r="S1046">
            <v>0</v>
          </cell>
          <cell r="T1046">
            <v>0</v>
          </cell>
          <cell r="U1046">
            <v>0</v>
          </cell>
          <cell r="V1046">
            <v>0</v>
          </cell>
          <cell r="W1046">
            <v>0</v>
          </cell>
          <cell r="X1046">
            <v>1077164.516129032</v>
          </cell>
          <cell r="Y1046">
            <v>93600</v>
          </cell>
        </row>
        <row r="1047">
          <cell r="E1047">
            <v>0</v>
          </cell>
          <cell r="F1047" t="str">
            <v>Warung Dayat</v>
          </cell>
          <cell r="G1047">
            <v>0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>
            <v>0</v>
          </cell>
          <cell r="V1047">
            <v>0</v>
          </cell>
          <cell r="W1047">
            <v>0</v>
          </cell>
          <cell r="X1047">
            <v>0</v>
          </cell>
          <cell r="Y1047">
            <v>0</v>
          </cell>
        </row>
        <row r="1048">
          <cell r="E1048">
            <v>0</v>
          </cell>
          <cell r="F1048" t="str">
            <v>Warung Andra</v>
          </cell>
          <cell r="G1048">
            <v>0</v>
          </cell>
          <cell r="H1048">
            <v>0</v>
          </cell>
          <cell r="I1048">
            <v>1</v>
          </cell>
          <cell r="J1048">
            <v>1</v>
          </cell>
          <cell r="K1048">
            <v>0</v>
          </cell>
          <cell r="L1048">
            <v>0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>
            <v>0</v>
          </cell>
          <cell r="V1048">
            <v>0</v>
          </cell>
          <cell r="W1048">
            <v>0</v>
          </cell>
          <cell r="X1048">
            <v>151503.22580645201</v>
          </cell>
          <cell r="Y1048">
            <v>93600</v>
          </cell>
        </row>
        <row r="1049">
          <cell r="E1049">
            <v>0</v>
          </cell>
          <cell r="F1049" t="str">
            <v>Dino cell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>
            <v>0</v>
          </cell>
          <cell r="V1049">
            <v>0</v>
          </cell>
          <cell r="W1049">
            <v>0</v>
          </cell>
          <cell r="X1049">
            <v>695654.83870967699</v>
          </cell>
          <cell r="Y1049">
            <v>0</v>
          </cell>
        </row>
        <row r="1050">
          <cell r="E1050">
            <v>0</v>
          </cell>
          <cell r="F1050" t="str">
            <v>central mega store</v>
          </cell>
          <cell r="G1050">
            <v>0</v>
          </cell>
          <cell r="H1050">
            <v>0</v>
          </cell>
          <cell r="I1050">
            <v>1</v>
          </cell>
          <cell r="J1050">
            <v>1</v>
          </cell>
          <cell r="K1050">
            <v>0</v>
          </cell>
          <cell r="L1050">
            <v>0</v>
          </cell>
          <cell r="M1050">
            <v>0</v>
          </cell>
          <cell r="N1050">
            <v>0</v>
          </cell>
          <cell r="O1050">
            <v>0</v>
          </cell>
          <cell r="P1050">
            <v>0</v>
          </cell>
          <cell r="Q1050">
            <v>0</v>
          </cell>
          <cell r="R1050">
            <v>0</v>
          </cell>
          <cell r="S1050">
            <v>0</v>
          </cell>
          <cell r="T1050">
            <v>0</v>
          </cell>
          <cell r="U1050">
            <v>0</v>
          </cell>
          <cell r="V1050">
            <v>0</v>
          </cell>
          <cell r="W1050">
            <v>0</v>
          </cell>
          <cell r="X1050">
            <v>595889.11290322605</v>
          </cell>
          <cell r="Y1050">
            <v>117000</v>
          </cell>
        </row>
        <row r="1051">
          <cell r="E1051">
            <v>0</v>
          </cell>
          <cell r="F1051" t="str">
            <v>TOKO JANI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</v>
          </cell>
          <cell r="O1051">
            <v>0</v>
          </cell>
          <cell r="P1051">
            <v>0</v>
          </cell>
          <cell r="Q1051">
            <v>0</v>
          </cell>
          <cell r="R1051">
            <v>0</v>
          </cell>
          <cell r="S1051">
            <v>0</v>
          </cell>
          <cell r="T1051">
            <v>0</v>
          </cell>
          <cell r="U1051">
            <v>0</v>
          </cell>
          <cell r="V1051">
            <v>0</v>
          </cell>
          <cell r="W1051">
            <v>0</v>
          </cell>
          <cell r="X1051">
            <v>0</v>
          </cell>
          <cell r="Y1051">
            <v>0</v>
          </cell>
        </row>
        <row r="1052">
          <cell r="E1052">
            <v>0</v>
          </cell>
          <cell r="F1052" t="str">
            <v>Insanak Ponsel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</v>
          </cell>
          <cell r="O1052">
            <v>0</v>
          </cell>
          <cell r="P1052">
            <v>0</v>
          </cell>
          <cell r="Q1052">
            <v>0</v>
          </cell>
          <cell r="R1052">
            <v>0</v>
          </cell>
          <cell r="S1052">
            <v>0</v>
          </cell>
          <cell r="T1052">
            <v>0</v>
          </cell>
          <cell r="U1052">
            <v>0</v>
          </cell>
          <cell r="V1052">
            <v>0</v>
          </cell>
          <cell r="W1052">
            <v>0</v>
          </cell>
          <cell r="X1052">
            <v>0</v>
          </cell>
          <cell r="Y1052">
            <v>0</v>
          </cell>
        </row>
        <row r="1053">
          <cell r="E1053">
            <v>0</v>
          </cell>
          <cell r="F1053" t="str">
            <v>TOKO ERIK</v>
          </cell>
          <cell r="G1053">
            <v>0</v>
          </cell>
          <cell r="H1053">
            <v>0</v>
          </cell>
          <cell r="I1053">
            <v>0</v>
          </cell>
          <cell r="J1053">
            <v>0</v>
          </cell>
          <cell r="K1053">
            <v>0</v>
          </cell>
          <cell r="L1053">
            <v>0</v>
          </cell>
          <cell r="M1053">
            <v>0</v>
          </cell>
          <cell r="N1053">
            <v>0</v>
          </cell>
          <cell r="O1053">
            <v>0</v>
          </cell>
          <cell r="P1053">
            <v>0</v>
          </cell>
          <cell r="Q1053">
            <v>0</v>
          </cell>
          <cell r="R1053">
            <v>0</v>
          </cell>
          <cell r="S1053">
            <v>0</v>
          </cell>
          <cell r="T1053">
            <v>0</v>
          </cell>
          <cell r="U1053">
            <v>0</v>
          </cell>
          <cell r="V1053">
            <v>0</v>
          </cell>
          <cell r="W1053">
            <v>0</v>
          </cell>
          <cell r="X1053">
            <v>0</v>
          </cell>
          <cell r="Y1053">
            <v>0</v>
          </cell>
        </row>
        <row r="1054">
          <cell r="E1054">
            <v>0</v>
          </cell>
          <cell r="F1054" t="str">
            <v>toko vitri</v>
          </cell>
          <cell r="G1054">
            <v>0</v>
          </cell>
          <cell r="H1054">
            <v>0</v>
          </cell>
          <cell r="I1054">
            <v>0</v>
          </cell>
          <cell r="J1054">
            <v>0</v>
          </cell>
          <cell r="K1054">
            <v>0</v>
          </cell>
          <cell r="L1054">
            <v>0</v>
          </cell>
          <cell r="M1054">
            <v>0</v>
          </cell>
          <cell r="N1054">
            <v>0</v>
          </cell>
          <cell r="O1054">
            <v>0</v>
          </cell>
          <cell r="P1054">
            <v>0</v>
          </cell>
          <cell r="Q1054">
            <v>0</v>
          </cell>
          <cell r="R1054">
            <v>0</v>
          </cell>
          <cell r="S1054">
            <v>0</v>
          </cell>
          <cell r="T1054">
            <v>0</v>
          </cell>
          <cell r="U1054">
            <v>0</v>
          </cell>
          <cell r="V1054">
            <v>0</v>
          </cell>
          <cell r="W1054">
            <v>0</v>
          </cell>
          <cell r="X1054">
            <v>0</v>
          </cell>
          <cell r="Y1054">
            <v>0</v>
          </cell>
        </row>
        <row r="1055">
          <cell r="E1055">
            <v>0</v>
          </cell>
          <cell r="F1055" t="str">
            <v>Toko safitri</v>
          </cell>
          <cell r="G1055">
            <v>0</v>
          </cell>
          <cell r="H1055">
            <v>0</v>
          </cell>
          <cell r="I1055">
            <v>1</v>
          </cell>
          <cell r="J1055">
            <v>1</v>
          </cell>
          <cell r="K1055">
            <v>0</v>
          </cell>
          <cell r="L1055">
            <v>0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</v>
          </cell>
          <cell r="R1055">
            <v>0</v>
          </cell>
          <cell r="S1055">
            <v>0</v>
          </cell>
          <cell r="T1055">
            <v>0</v>
          </cell>
          <cell r="U1055">
            <v>0</v>
          </cell>
          <cell r="V1055">
            <v>0</v>
          </cell>
          <cell r="W1055">
            <v>0</v>
          </cell>
          <cell r="X1055">
            <v>178752.49193548399</v>
          </cell>
          <cell r="Y1055">
            <v>70200</v>
          </cell>
        </row>
        <row r="1056">
          <cell r="E1056">
            <v>0</v>
          </cell>
          <cell r="F1056" t="str">
            <v>Tasya cell</v>
          </cell>
          <cell r="G1056">
            <v>0</v>
          </cell>
          <cell r="H1056">
            <v>0</v>
          </cell>
          <cell r="I1056">
            <v>0</v>
          </cell>
          <cell r="J1056">
            <v>0</v>
          </cell>
          <cell r="K1056">
            <v>0</v>
          </cell>
          <cell r="L1056">
            <v>0</v>
          </cell>
          <cell r="M1056">
            <v>0</v>
          </cell>
          <cell r="N1056">
            <v>0</v>
          </cell>
          <cell r="O1056">
            <v>0</v>
          </cell>
          <cell r="P1056">
            <v>0</v>
          </cell>
          <cell r="Q1056">
            <v>0</v>
          </cell>
          <cell r="R1056">
            <v>0</v>
          </cell>
          <cell r="S1056">
            <v>0</v>
          </cell>
          <cell r="T1056">
            <v>0</v>
          </cell>
          <cell r="U1056">
            <v>0</v>
          </cell>
          <cell r="V1056">
            <v>0</v>
          </cell>
          <cell r="W1056">
            <v>0</v>
          </cell>
          <cell r="X1056">
            <v>99975</v>
          </cell>
          <cell r="Y1056">
            <v>0</v>
          </cell>
        </row>
        <row r="1057">
          <cell r="E1057">
            <v>0</v>
          </cell>
          <cell r="F1057" t="str">
            <v>berkah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0</v>
          </cell>
          <cell r="M1057">
            <v>0</v>
          </cell>
          <cell r="N1057">
            <v>0</v>
          </cell>
          <cell r="O1057">
            <v>0</v>
          </cell>
          <cell r="P1057">
            <v>0</v>
          </cell>
          <cell r="Q1057">
            <v>0</v>
          </cell>
          <cell r="R1057">
            <v>0</v>
          </cell>
          <cell r="S1057">
            <v>0</v>
          </cell>
          <cell r="T1057">
            <v>0</v>
          </cell>
          <cell r="U1057">
            <v>0</v>
          </cell>
          <cell r="V1057">
            <v>0</v>
          </cell>
          <cell r="W1057">
            <v>0</v>
          </cell>
          <cell r="X1057">
            <v>271344.19354838697</v>
          </cell>
          <cell r="Y1057">
            <v>0</v>
          </cell>
        </row>
        <row r="1058">
          <cell r="E1058">
            <v>0</v>
          </cell>
          <cell r="F1058" t="str">
            <v>Sri lastri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0</v>
          </cell>
          <cell r="M1058">
            <v>0</v>
          </cell>
          <cell r="N1058">
            <v>0</v>
          </cell>
          <cell r="O1058">
            <v>0</v>
          </cell>
          <cell r="P1058">
            <v>0</v>
          </cell>
          <cell r="Q1058">
            <v>0</v>
          </cell>
          <cell r="R1058">
            <v>0</v>
          </cell>
          <cell r="S1058">
            <v>0</v>
          </cell>
          <cell r="T1058">
            <v>0</v>
          </cell>
          <cell r="U1058">
            <v>0</v>
          </cell>
          <cell r="V1058">
            <v>0</v>
          </cell>
          <cell r="W1058">
            <v>0</v>
          </cell>
          <cell r="X1058">
            <v>100000</v>
          </cell>
          <cell r="Y1058">
            <v>0</v>
          </cell>
        </row>
        <row r="1059">
          <cell r="E1059">
            <v>0</v>
          </cell>
          <cell r="F1059" t="str">
            <v>Aresha Mobile</v>
          </cell>
          <cell r="G1059">
            <v>0</v>
          </cell>
          <cell r="H1059">
            <v>0</v>
          </cell>
          <cell r="I1059">
            <v>1</v>
          </cell>
          <cell r="J1059">
            <v>1</v>
          </cell>
          <cell r="K1059">
            <v>0</v>
          </cell>
          <cell r="L1059">
            <v>0</v>
          </cell>
          <cell r="M1059">
            <v>0</v>
          </cell>
          <cell r="N1059">
            <v>0</v>
          </cell>
          <cell r="O1059">
            <v>0</v>
          </cell>
          <cell r="P1059">
            <v>0</v>
          </cell>
          <cell r="Q1059">
            <v>0</v>
          </cell>
          <cell r="R1059">
            <v>0</v>
          </cell>
          <cell r="S1059">
            <v>0</v>
          </cell>
          <cell r="T1059">
            <v>0</v>
          </cell>
          <cell r="U1059">
            <v>0</v>
          </cell>
          <cell r="V1059">
            <v>0</v>
          </cell>
          <cell r="W1059">
            <v>0</v>
          </cell>
          <cell r="X1059">
            <v>110377.956989247</v>
          </cell>
          <cell r="Y1059">
            <v>144600</v>
          </cell>
        </row>
        <row r="1060">
          <cell r="E1060">
            <v>0</v>
          </cell>
          <cell r="F1060" t="str">
            <v>Warung Otilia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0</v>
          </cell>
          <cell r="M1060">
            <v>0</v>
          </cell>
          <cell r="N1060">
            <v>0</v>
          </cell>
          <cell r="O1060">
            <v>0</v>
          </cell>
          <cell r="P1060">
            <v>0</v>
          </cell>
          <cell r="Q1060">
            <v>0</v>
          </cell>
          <cell r="R1060">
            <v>0</v>
          </cell>
          <cell r="S1060">
            <v>0</v>
          </cell>
          <cell r="T1060">
            <v>0</v>
          </cell>
          <cell r="U1060">
            <v>0</v>
          </cell>
          <cell r="V1060">
            <v>0</v>
          </cell>
          <cell r="W1060">
            <v>0</v>
          </cell>
          <cell r="X1060">
            <v>0</v>
          </cell>
          <cell r="Y1060">
            <v>0</v>
          </cell>
        </row>
        <row r="1061">
          <cell r="E1061">
            <v>0</v>
          </cell>
          <cell r="F1061" t="str">
            <v>Toko Bu Nyoman</v>
          </cell>
          <cell r="G1061">
            <v>0</v>
          </cell>
          <cell r="H1061">
            <v>0</v>
          </cell>
          <cell r="I1061">
            <v>1</v>
          </cell>
          <cell r="J1061">
            <v>1</v>
          </cell>
          <cell r="K1061">
            <v>0</v>
          </cell>
          <cell r="L1061">
            <v>0</v>
          </cell>
          <cell r="M1061">
            <v>0</v>
          </cell>
          <cell r="N1061">
            <v>0</v>
          </cell>
          <cell r="O1061">
            <v>0</v>
          </cell>
          <cell r="P1061">
            <v>0</v>
          </cell>
          <cell r="Q1061">
            <v>0</v>
          </cell>
          <cell r="R1061">
            <v>0</v>
          </cell>
          <cell r="S1061">
            <v>0</v>
          </cell>
          <cell r="T1061">
            <v>0</v>
          </cell>
          <cell r="U1061">
            <v>0</v>
          </cell>
          <cell r="V1061">
            <v>0</v>
          </cell>
          <cell r="W1061">
            <v>0</v>
          </cell>
          <cell r="X1061">
            <v>289174.83870967699</v>
          </cell>
          <cell r="Y1061">
            <v>70200</v>
          </cell>
        </row>
        <row r="1062">
          <cell r="E1062">
            <v>0</v>
          </cell>
          <cell r="F1062" t="str">
            <v>Warung Sembako Makmur</v>
          </cell>
          <cell r="G1062">
            <v>0</v>
          </cell>
          <cell r="H1062">
            <v>0</v>
          </cell>
          <cell r="I1062">
            <v>1</v>
          </cell>
          <cell r="J1062">
            <v>1</v>
          </cell>
          <cell r="K1062">
            <v>2</v>
          </cell>
          <cell r="L1062">
            <v>2</v>
          </cell>
          <cell r="M1062">
            <v>0</v>
          </cell>
          <cell r="N1062">
            <v>0</v>
          </cell>
          <cell r="O1062">
            <v>0</v>
          </cell>
          <cell r="P1062">
            <v>0</v>
          </cell>
          <cell r="Q1062">
            <v>1</v>
          </cell>
          <cell r="R1062">
            <v>1</v>
          </cell>
          <cell r="S1062">
            <v>0</v>
          </cell>
          <cell r="T1062">
            <v>0</v>
          </cell>
          <cell r="U1062">
            <v>0</v>
          </cell>
          <cell r="V1062">
            <v>0</v>
          </cell>
          <cell r="W1062">
            <v>0</v>
          </cell>
          <cell r="X1062">
            <v>285043.54838709702</v>
          </cell>
          <cell r="Y1062">
            <v>70200</v>
          </cell>
        </row>
        <row r="1063">
          <cell r="E1063">
            <v>0</v>
          </cell>
          <cell r="F1063" t="str">
            <v>Warung Sumber Rezeki</v>
          </cell>
          <cell r="G1063">
            <v>0</v>
          </cell>
          <cell r="H1063">
            <v>0</v>
          </cell>
          <cell r="I1063">
            <v>1</v>
          </cell>
          <cell r="J1063">
            <v>1</v>
          </cell>
          <cell r="K1063">
            <v>0</v>
          </cell>
          <cell r="L1063">
            <v>0</v>
          </cell>
          <cell r="M1063">
            <v>0</v>
          </cell>
          <cell r="N1063">
            <v>0</v>
          </cell>
          <cell r="O1063">
            <v>0</v>
          </cell>
          <cell r="P1063">
            <v>0</v>
          </cell>
          <cell r="Q1063">
            <v>0</v>
          </cell>
          <cell r="R1063">
            <v>0</v>
          </cell>
          <cell r="S1063">
            <v>0</v>
          </cell>
          <cell r="T1063">
            <v>0</v>
          </cell>
          <cell r="U1063">
            <v>0</v>
          </cell>
          <cell r="V1063">
            <v>0</v>
          </cell>
          <cell r="W1063">
            <v>0</v>
          </cell>
          <cell r="X1063">
            <v>581937.09677419404</v>
          </cell>
          <cell r="Y1063">
            <v>70200</v>
          </cell>
        </row>
        <row r="1064">
          <cell r="E1064">
            <v>0</v>
          </cell>
          <cell r="F1064" t="str">
            <v>Wahyudi Cell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0</v>
          </cell>
          <cell r="M1064">
            <v>0</v>
          </cell>
          <cell r="N1064">
            <v>0</v>
          </cell>
          <cell r="O1064">
            <v>0</v>
          </cell>
          <cell r="P1064">
            <v>0</v>
          </cell>
          <cell r="Q1064">
            <v>0</v>
          </cell>
          <cell r="R1064">
            <v>0</v>
          </cell>
          <cell r="S1064">
            <v>0</v>
          </cell>
          <cell r="T1064">
            <v>0</v>
          </cell>
          <cell r="U1064">
            <v>0</v>
          </cell>
          <cell r="V1064">
            <v>0</v>
          </cell>
          <cell r="W1064">
            <v>0</v>
          </cell>
          <cell r="X1064">
            <v>131449.03225806501</v>
          </cell>
          <cell r="Y1064">
            <v>0</v>
          </cell>
        </row>
        <row r="1065">
          <cell r="E1065">
            <v>0</v>
          </cell>
          <cell r="F1065" t="str">
            <v>SEVEN CELL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0</v>
          </cell>
          <cell r="M1065">
            <v>0</v>
          </cell>
          <cell r="N1065">
            <v>0</v>
          </cell>
          <cell r="O1065">
            <v>0</v>
          </cell>
          <cell r="P1065">
            <v>0</v>
          </cell>
          <cell r="Q1065">
            <v>0</v>
          </cell>
          <cell r="R1065">
            <v>0</v>
          </cell>
          <cell r="S1065">
            <v>0</v>
          </cell>
          <cell r="T1065">
            <v>0</v>
          </cell>
          <cell r="U1065">
            <v>0</v>
          </cell>
          <cell r="V1065">
            <v>0</v>
          </cell>
          <cell r="W1065">
            <v>0</v>
          </cell>
          <cell r="X1065">
            <v>372587.09677419398</v>
          </cell>
          <cell r="Y1065">
            <v>0</v>
          </cell>
        </row>
        <row r="1066">
          <cell r="E1066">
            <v>0</v>
          </cell>
          <cell r="F1066" t="str">
            <v>Dian cell</v>
          </cell>
          <cell r="G1066">
            <v>0</v>
          </cell>
          <cell r="H1066">
            <v>0</v>
          </cell>
          <cell r="I1066">
            <v>1</v>
          </cell>
          <cell r="J1066">
            <v>1</v>
          </cell>
          <cell r="K1066">
            <v>0</v>
          </cell>
          <cell r="L1066">
            <v>0</v>
          </cell>
          <cell r="M1066">
            <v>0</v>
          </cell>
          <cell r="N1066">
            <v>0</v>
          </cell>
          <cell r="O1066">
            <v>0</v>
          </cell>
          <cell r="P1066">
            <v>0</v>
          </cell>
          <cell r="Q1066">
            <v>0</v>
          </cell>
          <cell r="R1066">
            <v>0</v>
          </cell>
          <cell r="S1066">
            <v>0</v>
          </cell>
          <cell r="T1066">
            <v>0</v>
          </cell>
          <cell r="U1066">
            <v>0</v>
          </cell>
          <cell r="V1066">
            <v>0</v>
          </cell>
          <cell r="W1066">
            <v>100000</v>
          </cell>
          <cell r="X1066">
            <v>1751328.64516129</v>
          </cell>
          <cell r="Y1066">
            <v>193600</v>
          </cell>
        </row>
        <row r="1067">
          <cell r="E1067">
            <v>0</v>
          </cell>
          <cell r="F1067" t="str">
            <v>CHAVA CELL</v>
          </cell>
          <cell r="G1067">
            <v>0</v>
          </cell>
          <cell r="H1067">
            <v>0</v>
          </cell>
          <cell r="I1067">
            <v>0</v>
          </cell>
          <cell r="J1067">
            <v>0</v>
          </cell>
          <cell r="K1067">
            <v>0</v>
          </cell>
          <cell r="L1067">
            <v>0</v>
          </cell>
          <cell r="M1067">
            <v>0</v>
          </cell>
          <cell r="N1067">
            <v>0</v>
          </cell>
          <cell r="O1067">
            <v>0</v>
          </cell>
          <cell r="P1067">
            <v>0</v>
          </cell>
          <cell r="Q1067">
            <v>0</v>
          </cell>
          <cell r="R1067">
            <v>0</v>
          </cell>
          <cell r="S1067">
            <v>0</v>
          </cell>
          <cell r="T1067">
            <v>0</v>
          </cell>
          <cell r="U1067">
            <v>0</v>
          </cell>
          <cell r="V1067">
            <v>0</v>
          </cell>
          <cell r="W1067">
            <v>200000</v>
          </cell>
          <cell r="X1067">
            <v>1193641.935483871</v>
          </cell>
          <cell r="Y1067">
            <v>200000</v>
          </cell>
        </row>
        <row r="1068">
          <cell r="E1068">
            <v>0</v>
          </cell>
          <cell r="F1068" t="str">
            <v>WARUNG DEVITA</v>
          </cell>
          <cell r="G1068">
            <v>0</v>
          </cell>
          <cell r="H1068">
            <v>0</v>
          </cell>
          <cell r="I1068">
            <v>1</v>
          </cell>
          <cell r="J1068">
            <v>1</v>
          </cell>
          <cell r="K1068">
            <v>0</v>
          </cell>
          <cell r="L1068">
            <v>0</v>
          </cell>
          <cell r="M1068">
            <v>0</v>
          </cell>
          <cell r="N1068">
            <v>0</v>
          </cell>
          <cell r="O1068">
            <v>0</v>
          </cell>
          <cell r="P1068">
            <v>0</v>
          </cell>
          <cell r="Q1068">
            <v>0</v>
          </cell>
          <cell r="R1068">
            <v>0</v>
          </cell>
          <cell r="S1068">
            <v>0</v>
          </cell>
          <cell r="T1068">
            <v>0</v>
          </cell>
          <cell r="U1068">
            <v>0</v>
          </cell>
          <cell r="V1068">
            <v>0</v>
          </cell>
          <cell r="W1068">
            <v>0</v>
          </cell>
          <cell r="X1068">
            <v>105858.064516129</v>
          </cell>
          <cell r="Y1068">
            <v>144600</v>
          </cell>
        </row>
        <row r="1069">
          <cell r="E1069">
            <v>0</v>
          </cell>
          <cell r="F1069" t="str">
            <v>warkop lopui</v>
          </cell>
          <cell r="G1069">
            <v>0</v>
          </cell>
          <cell r="H1069">
            <v>0</v>
          </cell>
          <cell r="I1069">
            <v>1</v>
          </cell>
          <cell r="J1069">
            <v>1</v>
          </cell>
          <cell r="K1069">
            <v>1</v>
          </cell>
          <cell r="L1069">
            <v>1</v>
          </cell>
          <cell r="M1069">
            <v>0</v>
          </cell>
          <cell r="N1069">
            <v>0</v>
          </cell>
          <cell r="O1069">
            <v>0</v>
          </cell>
          <cell r="P1069">
            <v>0</v>
          </cell>
          <cell r="Q1069">
            <v>0</v>
          </cell>
          <cell r="R1069">
            <v>0</v>
          </cell>
          <cell r="S1069">
            <v>0</v>
          </cell>
          <cell r="T1069">
            <v>0</v>
          </cell>
          <cell r="U1069">
            <v>0</v>
          </cell>
          <cell r="V1069">
            <v>0</v>
          </cell>
          <cell r="W1069">
            <v>0</v>
          </cell>
          <cell r="X1069">
            <v>767554.03225806402</v>
          </cell>
          <cell r="Y1069">
            <v>70200</v>
          </cell>
        </row>
        <row r="1070">
          <cell r="E1070">
            <v>0</v>
          </cell>
          <cell r="F1070" t="str">
            <v>Santi tomboy ponsel</v>
          </cell>
          <cell r="G1070">
            <v>0</v>
          </cell>
          <cell r="H1070">
            <v>0</v>
          </cell>
          <cell r="I1070">
            <v>1</v>
          </cell>
          <cell r="J1070">
            <v>1</v>
          </cell>
          <cell r="K1070">
            <v>0</v>
          </cell>
          <cell r="L1070">
            <v>0</v>
          </cell>
          <cell r="M1070">
            <v>0</v>
          </cell>
          <cell r="N1070">
            <v>0</v>
          </cell>
          <cell r="O1070">
            <v>0</v>
          </cell>
          <cell r="P1070">
            <v>0</v>
          </cell>
          <cell r="Q1070">
            <v>0</v>
          </cell>
          <cell r="R1070">
            <v>0</v>
          </cell>
          <cell r="S1070">
            <v>0</v>
          </cell>
          <cell r="T1070">
            <v>0</v>
          </cell>
          <cell r="U1070">
            <v>0</v>
          </cell>
          <cell r="V1070">
            <v>0</v>
          </cell>
          <cell r="W1070">
            <v>0</v>
          </cell>
          <cell r="X1070">
            <v>97000</v>
          </cell>
          <cell r="Y1070">
            <v>144600</v>
          </cell>
        </row>
        <row r="1071">
          <cell r="E1071">
            <v>0</v>
          </cell>
          <cell r="F1071" t="str">
            <v>Jp cellular</v>
          </cell>
          <cell r="G1071">
            <v>0</v>
          </cell>
          <cell r="H1071">
            <v>0</v>
          </cell>
          <cell r="I1071">
            <v>1</v>
          </cell>
          <cell r="J1071">
            <v>1</v>
          </cell>
          <cell r="K1071">
            <v>0</v>
          </cell>
          <cell r="L1071">
            <v>0</v>
          </cell>
          <cell r="M1071">
            <v>0</v>
          </cell>
          <cell r="N1071">
            <v>0</v>
          </cell>
          <cell r="O1071">
            <v>0</v>
          </cell>
          <cell r="P1071">
            <v>0</v>
          </cell>
          <cell r="Q1071">
            <v>0</v>
          </cell>
          <cell r="R1071">
            <v>0</v>
          </cell>
          <cell r="S1071">
            <v>0</v>
          </cell>
          <cell r="T1071">
            <v>0</v>
          </cell>
          <cell r="U1071">
            <v>0</v>
          </cell>
          <cell r="V1071">
            <v>0</v>
          </cell>
          <cell r="W1071">
            <v>0</v>
          </cell>
          <cell r="X1071">
            <v>169630.24193548399</v>
          </cell>
          <cell r="Y1071">
            <v>70200</v>
          </cell>
        </row>
        <row r="1072">
          <cell r="E1072">
            <v>0</v>
          </cell>
          <cell r="F1072" t="str">
            <v>Toko hambali</v>
          </cell>
          <cell r="G1072">
            <v>0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0</v>
          </cell>
          <cell r="M1072">
            <v>0</v>
          </cell>
          <cell r="N1072">
            <v>0</v>
          </cell>
          <cell r="O1072">
            <v>0</v>
          </cell>
          <cell r="P1072">
            <v>0</v>
          </cell>
          <cell r="Q1072">
            <v>0</v>
          </cell>
          <cell r="R1072">
            <v>0</v>
          </cell>
          <cell r="S1072">
            <v>0</v>
          </cell>
          <cell r="T1072">
            <v>0</v>
          </cell>
          <cell r="U1072">
            <v>0</v>
          </cell>
          <cell r="V1072">
            <v>0</v>
          </cell>
          <cell r="W1072">
            <v>0</v>
          </cell>
          <cell r="X1072">
            <v>0</v>
          </cell>
          <cell r="Y1072">
            <v>0</v>
          </cell>
        </row>
        <row r="1073">
          <cell r="E1073">
            <v>0</v>
          </cell>
          <cell r="F1073" t="str">
            <v>Toko metro</v>
          </cell>
          <cell r="G1073">
            <v>0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0</v>
          </cell>
          <cell r="M1073">
            <v>0</v>
          </cell>
          <cell r="N1073">
            <v>0</v>
          </cell>
          <cell r="O1073">
            <v>0</v>
          </cell>
          <cell r="P1073">
            <v>0</v>
          </cell>
          <cell r="Q1073">
            <v>0</v>
          </cell>
          <cell r="R1073">
            <v>0</v>
          </cell>
          <cell r="S1073">
            <v>0</v>
          </cell>
          <cell r="T1073">
            <v>0</v>
          </cell>
          <cell r="U1073">
            <v>0</v>
          </cell>
          <cell r="V1073">
            <v>0</v>
          </cell>
          <cell r="W1073">
            <v>0</v>
          </cell>
          <cell r="X1073">
            <v>0</v>
          </cell>
          <cell r="Y1073">
            <v>0</v>
          </cell>
        </row>
        <row r="1074">
          <cell r="E1074">
            <v>0</v>
          </cell>
          <cell r="F1074" t="str">
            <v>Sahabat ponsel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0</v>
          </cell>
          <cell r="M1074">
            <v>0</v>
          </cell>
          <cell r="N1074">
            <v>0</v>
          </cell>
          <cell r="O1074">
            <v>0</v>
          </cell>
          <cell r="P1074">
            <v>0</v>
          </cell>
          <cell r="Q1074">
            <v>0</v>
          </cell>
          <cell r="R1074">
            <v>0</v>
          </cell>
          <cell r="S1074">
            <v>0</v>
          </cell>
          <cell r="T1074">
            <v>0</v>
          </cell>
          <cell r="U1074">
            <v>0</v>
          </cell>
          <cell r="V1074">
            <v>0</v>
          </cell>
          <cell r="W1074">
            <v>0</v>
          </cell>
          <cell r="X1074">
            <v>88750</v>
          </cell>
          <cell r="Y1074">
            <v>200000</v>
          </cell>
        </row>
        <row r="1075">
          <cell r="E1075">
            <v>0</v>
          </cell>
          <cell r="F1075" t="str">
            <v>TOKO PASAR 4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0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>
            <v>0</v>
          </cell>
          <cell r="V1075">
            <v>0</v>
          </cell>
          <cell r="W1075">
            <v>0</v>
          </cell>
          <cell r="X1075">
            <v>97000</v>
          </cell>
          <cell r="Y1075">
            <v>0</v>
          </cell>
        </row>
        <row r="1076">
          <cell r="E1076">
            <v>0</v>
          </cell>
          <cell r="F1076" t="str">
            <v>anan cellular</v>
          </cell>
          <cell r="G1076">
            <v>0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0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>
            <v>0</v>
          </cell>
          <cell r="V1076">
            <v>0</v>
          </cell>
          <cell r="W1076">
            <v>0</v>
          </cell>
          <cell r="X1076">
            <v>98000</v>
          </cell>
          <cell r="Y1076">
            <v>0</v>
          </cell>
        </row>
        <row r="1077">
          <cell r="E1077">
            <v>0</v>
          </cell>
          <cell r="F1077" t="str">
            <v>Central  Selindo</v>
          </cell>
          <cell r="G1077">
            <v>0</v>
          </cell>
          <cell r="H1077">
            <v>0</v>
          </cell>
          <cell r="I1077">
            <v>1</v>
          </cell>
          <cell r="J1077">
            <v>1</v>
          </cell>
          <cell r="K1077">
            <v>7</v>
          </cell>
          <cell r="L1077">
            <v>7</v>
          </cell>
          <cell r="M1077">
            <v>0</v>
          </cell>
          <cell r="N1077">
            <v>5</v>
          </cell>
          <cell r="O1077">
            <v>5</v>
          </cell>
          <cell r="P1077">
            <v>0</v>
          </cell>
          <cell r="Q1077">
            <v>6</v>
          </cell>
          <cell r="R1077">
            <v>6</v>
          </cell>
          <cell r="S1077">
            <v>0</v>
          </cell>
          <cell r="T1077">
            <v>7</v>
          </cell>
          <cell r="U1077">
            <v>0</v>
          </cell>
          <cell r="V1077">
            <v>0</v>
          </cell>
          <cell r="W1077">
            <v>0</v>
          </cell>
          <cell r="X1077">
            <v>0</v>
          </cell>
          <cell r="Y1077">
            <v>70200</v>
          </cell>
        </row>
        <row r="1078">
          <cell r="E1078">
            <v>0</v>
          </cell>
          <cell r="F1078" t="str">
            <v>MAWAR PONSEL</v>
          </cell>
          <cell r="G1078">
            <v>0</v>
          </cell>
          <cell r="H1078">
            <v>0</v>
          </cell>
          <cell r="I1078">
            <v>1</v>
          </cell>
          <cell r="J1078">
            <v>1</v>
          </cell>
          <cell r="K1078">
            <v>0</v>
          </cell>
          <cell r="L1078">
            <v>0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>
            <v>0</v>
          </cell>
          <cell r="V1078">
            <v>0</v>
          </cell>
          <cell r="W1078">
            <v>0</v>
          </cell>
          <cell r="X1078">
            <v>369500</v>
          </cell>
          <cell r="Y1078">
            <v>140400</v>
          </cell>
        </row>
        <row r="1079">
          <cell r="E1079">
            <v>0</v>
          </cell>
          <cell r="F1079" t="str">
            <v>ELITE PONSEL</v>
          </cell>
          <cell r="G1079">
            <v>0</v>
          </cell>
          <cell r="H1079">
            <v>0</v>
          </cell>
          <cell r="I1079">
            <v>1</v>
          </cell>
          <cell r="J1079">
            <v>1</v>
          </cell>
          <cell r="K1079">
            <v>0</v>
          </cell>
          <cell r="L1079">
            <v>0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>
            <v>0</v>
          </cell>
          <cell r="V1079">
            <v>0</v>
          </cell>
          <cell r="W1079">
            <v>0</v>
          </cell>
          <cell r="X1079">
            <v>547013.95161290304</v>
          </cell>
          <cell r="Y1079">
            <v>70200</v>
          </cell>
        </row>
        <row r="1080">
          <cell r="E1080">
            <v>0</v>
          </cell>
          <cell r="F1080" t="str">
            <v>PLASMA CELL</v>
          </cell>
          <cell r="G1080">
            <v>0</v>
          </cell>
          <cell r="H1080">
            <v>0</v>
          </cell>
          <cell r="I1080">
            <v>1</v>
          </cell>
          <cell r="J1080">
            <v>1</v>
          </cell>
          <cell r="K1080">
            <v>1</v>
          </cell>
          <cell r="L1080">
            <v>1</v>
          </cell>
          <cell r="M1080">
            <v>0</v>
          </cell>
          <cell r="N1080">
            <v>1</v>
          </cell>
          <cell r="O1080">
            <v>1</v>
          </cell>
          <cell r="P1080">
            <v>0</v>
          </cell>
          <cell r="Q1080">
            <v>1</v>
          </cell>
          <cell r="R1080">
            <v>1</v>
          </cell>
          <cell r="S1080">
            <v>0</v>
          </cell>
          <cell r="T1080">
            <v>0</v>
          </cell>
          <cell r="U1080">
            <v>0</v>
          </cell>
          <cell r="V1080">
            <v>0</v>
          </cell>
          <cell r="W1080">
            <v>0</v>
          </cell>
          <cell r="X1080">
            <v>368309.19354838697</v>
          </cell>
          <cell r="Y1080">
            <v>1117000</v>
          </cell>
        </row>
        <row r="1081">
          <cell r="E1081">
            <v>0</v>
          </cell>
          <cell r="F1081" t="str">
            <v>Borneo ponsel</v>
          </cell>
          <cell r="G1081">
            <v>0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0</v>
          </cell>
          <cell r="M1081">
            <v>0</v>
          </cell>
          <cell r="N1081">
            <v>0</v>
          </cell>
          <cell r="O1081">
            <v>0</v>
          </cell>
          <cell r="P1081">
            <v>0</v>
          </cell>
          <cell r="Q1081">
            <v>0</v>
          </cell>
          <cell r="R1081">
            <v>0</v>
          </cell>
          <cell r="S1081">
            <v>0</v>
          </cell>
          <cell r="T1081">
            <v>0</v>
          </cell>
          <cell r="U1081">
            <v>0</v>
          </cell>
          <cell r="V1081">
            <v>0</v>
          </cell>
          <cell r="W1081">
            <v>0</v>
          </cell>
          <cell r="X1081">
            <v>730790.5</v>
          </cell>
          <cell r="Y1081">
            <v>2231000</v>
          </cell>
        </row>
        <row r="1082">
          <cell r="E1082">
            <v>0</v>
          </cell>
          <cell r="F1082" t="str">
            <v>NOKIA PONSEL</v>
          </cell>
          <cell r="G1082">
            <v>0</v>
          </cell>
          <cell r="H1082">
            <v>0</v>
          </cell>
          <cell r="I1082">
            <v>1</v>
          </cell>
          <cell r="J1082">
            <v>1</v>
          </cell>
          <cell r="K1082">
            <v>0</v>
          </cell>
          <cell r="L1082">
            <v>0</v>
          </cell>
          <cell r="M1082">
            <v>0</v>
          </cell>
          <cell r="N1082">
            <v>0</v>
          </cell>
          <cell r="O1082">
            <v>0</v>
          </cell>
          <cell r="P1082">
            <v>0</v>
          </cell>
          <cell r="Q1082">
            <v>0</v>
          </cell>
          <cell r="R1082">
            <v>0</v>
          </cell>
          <cell r="S1082">
            <v>0</v>
          </cell>
          <cell r="T1082">
            <v>0</v>
          </cell>
          <cell r="U1082">
            <v>0</v>
          </cell>
          <cell r="V1082">
            <v>0</v>
          </cell>
          <cell r="W1082">
            <v>0</v>
          </cell>
          <cell r="X1082">
            <v>1328114</v>
          </cell>
          <cell r="Y1082">
            <v>3150600</v>
          </cell>
        </row>
        <row r="1083">
          <cell r="E1083">
            <v>0</v>
          </cell>
          <cell r="F1083" t="str">
            <v>HONEY PONSEL</v>
          </cell>
          <cell r="G1083">
            <v>0</v>
          </cell>
          <cell r="H1083">
            <v>0</v>
          </cell>
          <cell r="I1083">
            <v>1</v>
          </cell>
          <cell r="J1083">
            <v>1</v>
          </cell>
          <cell r="K1083">
            <v>0</v>
          </cell>
          <cell r="L1083">
            <v>0</v>
          </cell>
          <cell r="M1083">
            <v>0</v>
          </cell>
          <cell r="N1083">
            <v>0</v>
          </cell>
          <cell r="O1083">
            <v>0</v>
          </cell>
          <cell r="P1083">
            <v>0</v>
          </cell>
          <cell r="Q1083">
            <v>0</v>
          </cell>
          <cell r="R1083">
            <v>0</v>
          </cell>
          <cell r="S1083">
            <v>0</v>
          </cell>
          <cell r="T1083">
            <v>0</v>
          </cell>
          <cell r="U1083">
            <v>0</v>
          </cell>
          <cell r="V1083">
            <v>0</v>
          </cell>
          <cell r="W1083">
            <v>0</v>
          </cell>
          <cell r="X1083">
            <v>146456.070461956</v>
          </cell>
          <cell r="Y1083">
            <v>354000</v>
          </cell>
        </row>
        <row r="1084">
          <cell r="E1084">
            <v>0</v>
          </cell>
          <cell r="F1084" t="str">
            <v>STAR SELINDO</v>
          </cell>
          <cell r="G1084">
            <v>0</v>
          </cell>
          <cell r="H1084">
            <v>0</v>
          </cell>
          <cell r="I1084">
            <v>1</v>
          </cell>
          <cell r="J1084">
            <v>1</v>
          </cell>
          <cell r="K1084">
            <v>0</v>
          </cell>
          <cell r="L1084">
            <v>0</v>
          </cell>
          <cell r="M1084">
            <v>0</v>
          </cell>
          <cell r="N1084">
            <v>0</v>
          </cell>
          <cell r="O1084">
            <v>0</v>
          </cell>
          <cell r="P1084">
            <v>0</v>
          </cell>
          <cell r="Q1084">
            <v>0</v>
          </cell>
          <cell r="R1084">
            <v>0</v>
          </cell>
          <cell r="S1084">
            <v>0</v>
          </cell>
          <cell r="T1084">
            <v>0</v>
          </cell>
          <cell r="U1084">
            <v>0</v>
          </cell>
          <cell r="V1084">
            <v>0</v>
          </cell>
          <cell r="W1084">
            <v>0</v>
          </cell>
          <cell r="X1084">
            <v>399267.05892027699</v>
          </cell>
          <cell r="Y1084">
            <v>1054000</v>
          </cell>
        </row>
        <row r="1085">
          <cell r="E1085">
            <v>0</v>
          </cell>
          <cell r="F1085" t="str">
            <v>HENDRY PONSEL</v>
          </cell>
          <cell r="G1085">
            <v>0</v>
          </cell>
          <cell r="H1085">
            <v>0</v>
          </cell>
          <cell r="I1085">
            <v>1</v>
          </cell>
          <cell r="J1085">
            <v>1</v>
          </cell>
          <cell r="K1085">
            <v>0</v>
          </cell>
          <cell r="L1085">
            <v>0</v>
          </cell>
          <cell r="M1085">
            <v>0</v>
          </cell>
          <cell r="N1085">
            <v>0</v>
          </cell>
          <cell r="O1085">
            <v>0</v>
          </cell>
          <cell r="P1085">
            <v>0</v>
          </cell>
          <cell r="Q1085">
            <v>0</v>
          </cell>
          <cell r="R1085">
            <v>0</v>
          </cell>
          <cell r="S1085">
            <v>0</v>
          </cell>
          <cell r="T1085">
            <v>0</v>
          </cell>
          <cell r="U1085">
            <v>0</v>
          </cell>
          <cell r="V1085">
            <v>0</v>
          </cell>
          <cell r="W1085">
            <v>0</v>
          </cell>
          <cell r="X1085">
            <v>143403.38709677401</v>
          </cell>
          <cell r="Y1085">
            <v>204000</v>
          </cell>
        </row>
        <row r="1086">
          <cell r="E1086">
            <v>0</v>
          </cell>
          <cell r="F1086" t="str">
            <v>Bong Jun Sin</v>
          </cell>
          <cell r="G1086">
            <v>0</v>
          </cell>
          <cell r="H1086">
            <v>0</v>
          </cell>
          <cell r="I1086">
            <v>1</v>
          </cell>
          <cell r="J1086">
            <v>1</v>
          </cell>
          <cell r="K1086">
            <v>0</v>
          </cell>
          <cell r="L1086">
            <v>0</v>
          </cell>
          <cell r="M1086">
            <v>0</v>
          </cell>
          <cell r="N1086">
            <v>0</v>
          </cell>
          <cell r="O1086">
            <v>0</v>
          </cell>
          <cell r="P1086">
            <v>0</v>
          </cell>
          <cell r="Q1086">
            <v>0</v>
          </cell>
          <cell r="R1086">
            <v>0</v>
          </cell>
          <cell r="S1086">
            <v>0</v>
          </cell>
          <cell r="T1086">
            <v>0</v>
          </cell>
          <cell r="U1086">
            <v>0</v>
          </cell>
          <cell r="V1086">
            <v>0</v>
          </cell>
          <cell r="W1086">
            <v>0</v>
          </cell>
          <cell r="X1086">
            <v>194122.629032258</v>
          </cell>
          <cell r="Y1086">
            <v>54000</v>
          </cell>
        </row>
        <row r="1087">
          <cell r="E1087">
            <v>0</v>
          </cell>
          <cell r="F1087" t="str">
            <v>Andro shop</v>
          </cell>
          <cell r="G1087">
            <v>0</v>
          </cell>
          <cell r="H1087">
            <v>0</v>
          </cell>
          <cell r="I1087">
            <v>1</v>
          </cell>
          <cell r="J1087">
            <v>1</v>
          </cell>
          <cell r="K1087">
            <v>1</v>
          </cell>
          <cell r="L1087">
            <v>1</v>
          </cell>
          <cell r="M1087">
            <v>0</v>
          </cell>
          <cell r="N1087">
            <v>0</v>
          </cell>
          <cell r="O1087">
            <v>0</v>
          </cell>
          <cell r="P1087">
            <v>0</v>
          </cell>
          <cell r="Q1087">
            <v>0</v>
          </cell>
          <cell r="R1087">
            <v>0</v>
          </cell>
          <cell r="S1087">
            <v>0</v>
          </cell>
          <cell r="T1087">
            <v>0</v>
          </cell>
          <cell r="U1087">
            <v>1</v>
          </cell>
          <cell r="V1087">
            <v>0</v>
          </cell>
          <cell r="W1087">
            <v>0</v>
          </cell>
          <cell r="X1087">
            <v>1384900.483870968</v>
          </cell>
          <cell r="Y1087">
            <v>108000</v>
          </cell>
        </row>
        <row r="1088">
          <cell r="E1088">
            <v>0</v>
          </cell>
          <cell r="F1088" t="str">
            <v>Sejati Ponsel</v>
          </cell>
          <cell r="G1088">
            <v>0</v>
          </cell>
          <cell r="H1088">
            <v>0</v>
          </cell>
          <cell r="I1088">
            <v>1</v>
          </cell>
          <cell r="J1088">
            <v>1</v>
          </cell>
          <cell r="K1088">
            <v>0</v>
          </cell>
          <cell r="L1088">
            <v>0</v>
          </cell>
          <cell r="M1088">
            <v>0</v>
          </cell>
          <cell r="N1088">
            <v>0</v>
          </cell>
          <cell r="O1088">
            <v>0</v>
          </cell>
          <cell r="P1088">
            <v>0</v>
          </cell>
          <cell r="Q1088">
            <v>0</v>
          </cell>
          <cell r="R1088">
            <v>0</v>
          </cell>
          <cell r="S1088">
            <v>0</v>
          </cell>
          <cell r="T1088">
            <v>0</v>
          </cell>
          <cell r="U1088">
            <v>0</v>
          </cell>
          <cell r="V1088">
            <v>0</v>
          </cell>
          <cell r="W1088">
            <v>0</v>
          </cell>
          <cell r="X1088">
            <v>1852503.846774193</v>
          </cell>
          <cell r="Y1088">
            <v>54000</v>
          </cell>
        </row>
        <row r="1089">
          <cell r="E1089">
            <v>0</v>
          </cell>
          <cell r="F1089" t="str">
            <v>V3 SELINDO</v>
          </cell>
          <cell r="G1089">
            <v>0</v>
          </cell>
          <cell r="H1089">
            <v>0</v>
          </cell>
          <cell r="I1089">
            <v>0</v>
          </cell>
          <cell r="J1089">
            <v>0</v>
          </cell>
          <cell r="K1089">
            <v>0</v>
          </cell>
          <cell r="L1089">
            <v>0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  <cell r="Q1089">
            <v>0</v>
          </cell>
          <cell r="R1089">
            <v>0</v>
          </cell>
          <cell r="S1089">
            <v>0</v>
          </cell>
          <cell r="T1089">
            <v>0</v>
          </cell>
          <cell r="U1089">
            <v>0</v>
          </cell>
          <cell r="V1089">
            <v>0</v>
          </cell>
          <cell r="W1089">
            <v>0</v>
          </cell>
          <cell r="X1089">
            <v>78384.5</v>
          </cell>
          <cell r="Y1089">
            <v>90000</v>
          </cell>
        </row>
        <row r="1090">
          <cell r="E1090">
            <v>0</v>
          </cell>
          <cell r="F1090" t="str">
            <v>MEGA PHONE BARU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0</v>
          </cell>
          <cell r="M1090">
            <v>0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0</v>
          </cell>
        </row>
        <row r="1091">
          <cell r="E1091">
            <v>0</v>
          </cell>
          <cell r="F1091" t="str">
            <v>JAYA MOBILE</v>
          </cell>
          <cell r="G1091">
            <v>0</v>
          </cell>
          <cell r="H1091">
            <v>0</v>
          </cell>
          <cell r="I1091">
            <v>1</v>
          </cell>
          <cell r="J1091">
            <v>1</v>
          </cell>
          <cell r="K1091">
            <v>1</v>
          </cell>
          <cell r="L1091">
            <v>1</v>
          </cell>
          <cell r="M1091">
            <v>0</v>
          </cell>
          <cell r="N1091">
            <v>1</v>
          </cell>
          <cell r="O1091">
            <v>1</v>
          </cell>
          <cell r="P1091">
            <v>0</v>
          </cell>
          <cell r="Q1091">
            <v>1</v>
          </cell>
          <cell r="R1091">
            <v>1</v>
          </cell>
          <cell r="S1091">
            <v>0</v>
          </cell>
          <cell r="T1091">
            <v>0</v>
          </cell>
          <cell r="U1091">
            <v>0</v>
          </cell>
          <cell r="V1091">
            <v>0</v>
          </cell>
          <cell r="W1091">
            <v>0</v>
          </cell>
          <cell r="X1091">
            <v>519535.69337002799</v>
          </cell>
          <cell r="Y1091">
            <v>54000</v>
          </cell>
        </row>
        <row r="1092">
          <cell r="E1092">
            <v>0</v>
          </cell>
          <cell r="F1092" t="str">
            <v>mobile shop</v>
          </cell>
          <cell r="G1092">
            <v>0</v>
          </cell>
          <cell r="H1092">
            <v>0</v>
          </cell>
          <cell r="I1092">
            <v>1</v>
          </cell>
          <cell r="J1092">
            <v>1</v>
          </cell>
          <cell r="K1092">
            <v>1</v>
          </cell>
          <cell r="L1092">
            <v>1</v>
          </cell>
          <cell r="M1092">
            <v>0</v>
          </cell>
          <cell r="N1092">
            <v>0</v>
          </cell>
          <cell r="O1092">
            <v>0</v>
          </cell>
          <cell r="P1092">
            <v>0</v>
          </cell>
          <cell r="Q1092">
            <v>1</v>
          </cell>
          <cell r="R1092">
            <v>1</v>
          </cell>
          <cell r="S1092">
            <v>0</v>
          </cell>
          <cell r="T1092">
            <v>0</v>
          </cell>
          <cell r="U1092">
            <v>0</v>
          </cell>
          <cell r="V1092">
            <v>0</v>
          </cell>
          <cell r="W1092">
            <v>0</v>
          </cell>
          <cell r="X1092">
            <v>691404.77907844901</v>
          </cell>
          <cell r="Y1092">
            <v>1054000</v>
          </cell>
        </row>
        <row r="1093">
          <cell r="E1093">
            <v>0</v>
          </cell>
          <cell r="F1093" t="str">
            <v>PADA IDI CELLULER</v>
          </cell>
          <cell r="G1093">
            <v>0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0</v>
          </cell>
          <cell r="M1093">
            <v>0</v>
          </cell>
          <cell r="N1093">
            <v>0</v>
          </cell>
          <cell r="O1093">
            <v>0</v>
          </cell>
          <cell r="P1093">
            <v>0</v>
          </cell>
          <cell r="Q1093">
            <v>0</v>
          </cell>
          <cell r="R1093">
            <v>0</v>
          </cell>
          <cell r="S1093">
            <v>0</v>
          </cell>
          <cell r="T1093">
            <v>0</v>
          </cell>
          <cell r="U1093">
            <v>0</v>
          </cell>
          <cell r="V1093">
            <v>0</v>
          </cell>
          <cell r="W1093">
            <v>0</v>
          </cell>
          <cell r="X1093">
            <v>211887.95161290301</v>
          </cell>
          <cell r="Y1093">
            <v>90000</v>
          </cell>
        </row>
        <row r="1094">
          <cell r="E1094">
            <v>0</v>
          </cell>
          <cell r="F1094" t="str">
            <v>smile cell</v>
          </cell>
          <cell r="G1094">
            <v>0</v>
          </cell>
          <cell r="H1094">
            <v>0</v>
          </cell>
          <cell r="I1094">
            <v>1</v>
          </cell>
          <cell r="J1094">
            <v>1</v>
          </cell>
          <cell r="K1094">
            <v>0</v>
          </cell>
          <cell r="L1094">
            <v>0</v>
          </cell>
          <cell r="M1094">
            <v>0</v>
          </cell>
          <cell r="N1094">
            <v>0</v>
          </cell>
          <cell r="O1094">
            <v>0</v>
          </cell>
          <cell r="P1094">
            <v>0</v>
          </cell>
          <cell r="Q1094">
            <v>0</v>
          </cell>
          <cell r="R1094">
            <v>0</v>
          </cell>
          <cell r="S1094">
            <v>0</v>
          </cell>
          <cell r="T1094">
            <v>0</v>
          </cell>
          <cell r="U1094">
            <v>0</v>
          </cell>
          <cell r="V1094">
            <v>0</v>
          </cell>
          <cell r="W1094">
            <v>0</v>
          </cell>
          <cell r="X1094">
            <v>96868</v>
          </cell>
          <cell r="Y1094">
            <v>54000</v>
          </cell>
        </row>
        <row r="1095">
          <cell r="E1095">
            <v>0</v>
          </cell>
          <cell r="F1095" t="str">
            <v>Max mobile</v>
          </cell>
          <cell r="G1095">
            <v>0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0</v>
          </cell>
          <cell r="M1095">
            <v>0</v>
          </cell>
          <cell r="N1095">
            <v>0</v>
          </cell>
          <cell r="O1095">
            <v>0</v>
          </cell>
          <cell r="P1095">
            <v>0</v>
          </cell>
          <cell r="Q1095">
            <v>0</v>
          </cell>
          <cell r="R1095">
            <v>0</v>
          </cell>
          <cell r="S1095">
            <v>0</v>
          </cell>
          <cell r="T1095">
            <v>0</v>
          </cell>
          <cell r="U1095">
            <v>0</v>
          </cell>
          <cell r="V1095">
            <v>0</v>
          </cell>
          <cell r="W1095">
            <v>0</v>
          </cell>
          <cell r="X1095">
            <v>497474.25015880697</v>
          </cell>
          <cell r="Y1095">
            <v>1000000</v>
          </cell>
        </row>
        <row r="1096">
          <cell r="E1096">
            <v>0</v>
          </cell>
          <cell r="F1096" t="str">
            <v>MAMO Cell</v>
          </cell>
          <cell r="G1096">
            <v>0</v>
          </cell>
          <cell r="H1096">
            <v>0</v>
          </cell>
          <cell r="I1096">
            <v>1</v>
          </cell>
          <cell r="J1096">
            <v>1</v>
          </cell>
          <cell r="K1096">
            <v>0</v>
          </cell>
          <cell r="L1096">
            <v>0</v>
          </cell>
          <cell r="M1096">
            <v>0</v>
          </cell>
          <cell r="N1096">
            <v>0</v>
          </cell>
          <cell r="O1096">
            <v>0</v>
          </cell>
          <cell r="P1096">
            <v>0</v>
          </cell>
          <cell r="Q1096">
            <v>0</v>
          </cell>
          <cell r="R1096">
            <v>0</v>
          </cell>
          <cell r="S1096">
            <v>0</v>
          </cell>
          <cell r="T1096">
            <v>0</v>
          </cell>
          <cell r="U1096">
            <v>0</v>
          </cell>
          <cell r="V1096">
            <v>0</v>
          </cell>
          <cell r="W1096">
            <v>0</v>
          </cell>
          <cell r="X1096">
            <v>97074.75</v>
          </cell>
          <cell r="Y1096">
            <v>54000</v>
          </cell>
        </row>
        <row r="1097">
          <cell r="E1097">
            <v>0</v>
          </cell>
          <cell r="F1097" t="str">
            <v>Sky Jaya Cellular</v>
          </cell>
          <cell r="G1097">
            <v>0</v>
          </cell>
          <cell r="H1097">
            <v>0</v>
          </cell>
          <cell r="I1097">
            <v>1</v>
          </cell>
          <cell r="J1097">
            <v>1</v>
          </cell>
          <cell r="K1097">
            <v>0</v>
          </cell>
          <cell r="L1097">
            <v>0</v>
          </cell>
          <cell r="M1097">
            <v>0</v>
          </cell>
          <cell r="N1097">
            <v>0</v>
          </cell>
          <cell r="O1097">
            <v>0</v>
          </cell>
          <cell r="P1097">
            <v>0</v>
          </cell>
          <cell r="Q1097">
            <v>0</v>
          </cell>
          <cell r="R1097">
            <v>0</v>
          </cell>
          <cell r="S1097">
            <v>0</v>
          </cell>
          <cell r="T1097">
            <v>0</v>
          </cell>
          <cell r="U1097">
            <v>0</v>
          </cell>
          <cell r="V1097">
            <v>0</v>
          </cell>
          <cell r="W1097">
            <v>0</v>
          </cell>
          <cell r="X1097">
            <v>65390.145161289998</v>
          </cell>
          <cell r="Y1097">
            <v>144000</v>
          </cell>
        </row>
        <row r="1098">
          <cell r="E1098">
            <v>0</v>
          </cell>
          <cell r="F1098" t="str">
            <v>BELL PHONE</v>
          </cell>
          <cell r="G1098">
            <v>0</v>
          </cell>
          <cell r="H1098">
            <v>0</v>
          </cell>
          <cell r="I1098">
            <v>1</v>
          </cell>
          <cell r="J1098">
            <v>1</v>
          </cell>
          <cell r="K1098">
            <v>0</v>
          </cell>
          <cell r="L1098">
            <v>0</v>
          </cell>
          <cell r="M1098">
            <v>0</v>
          </cell>
          <cell r="N1098">
            <v>0</v>
          </cell>
          <cell r="O1098">
            <v>0</v>
          </cell>
          <cell r="P1098">
            <v>0</v>
          </cell>
          <cell r="Q1098">
            <v>0</v>
          </cell>
          <cell r="R1098">
            <v>0</v>
          </cell>
          <cell r="S1098">
            <v>0</v>
          </cell>
          <cell r="T1098">
            <v>0</v>
          </cell>
          <cell r="U1098">
            <v>0</v>
          </cell>
          <cell r="V1098">
            <v>0</v>
          </cell>
          <cell r="W1098">
            <v>0</v>
          </cell>
          <cell r="X1098">
            <v>631070.70967741904</v>
          </cell>
          <cell r="Y1098">
            <v>54000</v>
          </cell>
        </row>
        <row r="1099">
          <cell r="E1099">
            <v>0</v>
          </cell>
          <cell r="F1099" t="str">
            <v>Favorit Ponsel</v>
          </cell>
          <cell r="G1099">
            <v>0</v>
          </cell>
          <cell r="H1099">
            <v>0</v>
          </cell>
          <cell r="I1099">
            <v>1</v>
          </cell>
          <cell r="J1099">
            <v>1</v>
          </cell>
          <cell r="K1099">
            <v>0</v>
          </cell>
          <cell r="L1099">
            <v>0</v>
          </cell>
          <cell r="M1099">
            <v>0</v>
          </cell>
          <cell r="N1099">
            <v>0</v>
          </cell>
          <cell r="O1099">
            <v>0</v>
          </cell>
          <cell r="P1099">
            <v>0</v>
          </cell>
          <cell r="Q1099">
            <v>0</v>
          </cell>
          <cell r="R1099">
            <v>0</v>
          </cell>
          <cell r="S1099">
            <v>0</v>
          </cell>
          <cell r="T1099">
            <v>0</v>
          </cell>
          <cell r="U1099">
            <v>0</v>
          </cell>
          <cell r="V1099">
            <v>0</v>
          </cell>
          <cell r="W1099">
            <v>0</v>
          </cell>
          <cell r="X1099">
            <v>0</v>
          </cell>
          <cell r="Y1099">
            <v>198000</v>
          </cell>
        </row>
        <row r="1100">
          <cell r="E1100">
            <v>0</v>
          </cell>
          <cell r="F1100" t="str">
            <v>LINK PONSEL</v>
          </cell>
          <cell r="G1100">
            <v>0</v>
          </cell>
          <cell r="H1100">
            <v>0</v>
          </cell>
          <cell r="I1100">
            <v>1</v>
          </cell>
          <cell r="J1100">
            <v>1</v>
          </cell>
          <cell r="K1100">
            <v>2</v>
          </cell>
          <cell r="L1100">
            <v>2</v>
          </cell>
          <cell r="M1100">
            <v>0</v>
          </cell>
          <cell r="N1100">
            <v>0</v>
          </cell>
          <cell r="O1100">
            <v>0</v>
          </cell>
          <cell r="P1100">
            <v>0</v>
          </cell>
          <cell r="Q1100">
            <v>0</v>
          </cell>
          <cell r="R1100">
            <v>0</v>
          </cell>
          <cell r="S1100">
            <v>0</v>
          </cell>
          <cell r="T1100">
            <v>2</v>
          </cell>
          <cell r="U1100">
            <v>0</v>
          </cell>
          <cell r="V1100">
            <v>0</v>
          </cell>
          <cell r="W1100">
            <v>0</v>
          </cell>
          <cell r="X1100">
            <v>627652.55064516095</v>
          </cell>
          <cell r="Y1100">
            <v>54000</v>
          </cell>
        </row>
        <row r="1101">
          <cell r="E1101">
            <v>0</v>
          </cell>
          <cell r="F1101" t="str">
            <v>Amazon Cell</v>
          </cell>
          <cell r="G1101">
            <v>0</v>
          </cell>
          <cell r="H1101">
            <v>0</v>
          </cell>
          <cell r="I1101">
            <v>1</v>
          </cell>
          <cell r="J1101">
            <v>1</v>
          </cell>
          <cell r="K1101">
            <v>0</v>
          </cell>
          <cell r="L1101">
            <v>0</v>
          </cell>
          <cell r="M1101">
            <v>0</v>
          </cell>
          <cell r="N1101">
            <v>0</v>
          </cell>
          <cell r="O1101">
            <v>0</v>
          </cell>
          <cell r="P1101">
            <v>0</v>
          </cell>
          <cell r="Q1101">
            <v>0</v>
          </cell>
          <cell r="R1101">
            <v>0</v>
          </cell>
          <cell r="S1101">
            <v>0</v>
          </cell>
          <cell r="T1101">
            <v>0</v>
          </cell>
          <cell r="U1101">
            <v>0</v>
          </cell>
          <cell r="V1101">
            <v>0</v>
          </cell>
          <cell r="W1101">
            <v>0</v>
          </cell>
          <cell r="X1101">
            <v>0</v>
          </cell>
          <cell r="Y1101">
            <v>144000</v>
          </cell>
        </row>
        <row r="1102">
          <cell r="E1102">
            <v>0</v>
          </cell>
          <cell r="F1102" t="str">
            <v>Zona Cell Skw</v>
          </cell>
          <cell r="G1102">
            <v>0</v>
          </cell>
          <cell r="H1102">
            <v>0</v>
          </cell>
          <cell r="I1102">
            <v>1</v>
          </cell>
          <cell r="J1102">
            <v>1</v>
          </cell>
          <cell r="K1102">
            <v>0</v>
          </cell>
          <cell r="L1102">
            <v>0</v>
          </cell>
          <cell r="M1102">
            <v>0</v>
          </cell>
          <cell r="N1102">
            <v>0</v>
          </cell>
          <cell r="O1102">
            <v>0</v>
          </cell>
          <cell r="P1102">
            <v>0</v>
          </cell>
          <cell r="Q1102">
            <v>0</v>
          </cell>
          <cell r="R1102">
            <v>0</v>
          </cell>
          <cell r="S1102">
            <v>0</v>
          </cell>
          <cell r="T1102">
            <v>0</v>
          </cell>
          <cell r="U1102">
            <v>0</v>
          </cell>
          <cell r="V1102">
            <v>0</v>
          </cell>
          <cell r="W1102">
            <v>0</v>
          </cell>
          <cell r="X1102">
            <v>40508.725077256997</v>
          </cell>
          <cell r="Y1102">
            <v>108000</v>
          </cell>
        </row>
        <row r="1103">
          <cell r="E1103">
            <v>0</v>
          </cell>
          <cell r="F1103" t="str">
            <v>ICA CELL</v>
          </cell>
          <cell r="G1103">
            <v>0</v>
          </cell>
          <cell r="H1103">
            <v>0</v>
          </cell>
          <cell r="I1103">
            <v>1</v>
          </cell>
          <cell r="J1103">
            <v>1</v>
          </cell>
          <cell r="K1103">
            <v>0</v>
          </cell>
          <cell r="L1103">
            <v>0</v>
          </cell>
          <cell r="M1103">
            <v>0</v>
          </cell>
          <cell r="N1103">
            <v>0</v>
          </cell>
          <cell r="O1103">
            <v>0</v>
          </cell>
          <cell r="P1103">
            <v>0</v>
          </cell>
          <cell r="Q1103">
            <v>0</v>
          </cell>
          <cell r="R1103">
            <v>0</v>
          </cell>
          <cell r="S1103">
            <v>0</v>
          </cell>
          <cell r="T1103">
            <v>0</v>
          </cell>
          <cell r="U1103">
            <v>0</v>
          </cell>
          <cell r="V1103">
            <v>0</v>
          </cell>
          <cell r="W1103">
            <v>0</v>
          </cell>
          <cell r="X1103">
            <v>165348.41935483899</v>
          </cell>
          <cell r="Y1103">
            <v>54000</v>
          </cell>
        </row>
        <row r="1104">
          <cell r="E1104">
            <v>0</v>
          </cell>
          <cell r="F1104" t="str">
            <v>TOKO AFO</v>
          </cell>
          <cell r="G1104">
            <v>0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0</v>
          </cell>
          <cell r="M1104">
            <v>0</v>
          </cell>
          <cell r="N1104">
            <v>0</v>
          </cell>
          <cell r="O1104">
            <v>0</v>
          </cell>
          <cell r="P1104">
            <v>0</v>
          </cell>
          <cell r="Q1104">
            <v>0</v>
          </cell>
          <cell r="R1104">
            <v>0</v>
          </cell>
          <cell r="S1104">
            <v>0</v>
          </cell>
          <cell r="T1104">
            <v>0</v>
          </cell>
          <cell r="U1104">
            <v>0</v>
          </cell>
          <cell r="V1104">
            <v>0</v>
          </cell>
          <cell r="W1104">
            <v>0</v>
          </cell>
          <cell r="X1104">
            <v>0</v>
          </cell>
          <cell r="Y1104">
            <v>0</v>
          </cell>
        </row>
        <row r="1105">
          <cell r="E1105">
            <v>0</v>
          </cell>
          <cell r="F1105" t="str">
            <v>JOE CELL</v>
          </cell>
          <cell r="G1105">
            <v>0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0</v>
          </cell>
          <cell r="M1105">
            <v>0</v>
          </cell>
          <cell r="N1105">
            <v>0</v>
          </cell>
          <cell r="O1105">
            <v>0</v>
          </cell>
          <cell r="P1105">
            <v>0</v>
          </cell>
          <cell r="Q1105">
            <v>0</v>
          </cell>
          <cell r="R1105">
            <v>0</v>
          </cell>
          <cell r="S1105">
            <v>0</v>
          </cell>
          <cell r="T1105">
            <v>0</v>
          </cell>
          <cell r="U1105">
            <v>0</v>
          </cell>
          <cell r="V1105">
            <v>0</v>
          </cell>
          <cell r="W1105">
            <v>0</v>
          </cell>
          <cell r="X1105">
            <v>0</v>
          </cell>
          <cell r="Y1105">
            <v>0</v>
          </cell>
        </row>
        <row r="1106">
          <cell r="E1106">
            <v>0</v>
          </cell>
          <cell r="F1106" t="str">
            <v>REAL PHONE</v>
          </cell>
          <cell r="G1106">
            <v>0</v>
          </cell>
          <cell r="H1106">
            <v>0</v>
          </cell>
          <cell r="I1106">
            <v>1</v>
          </cell>
          <cell r="J1106">
            <v>1</v>
          </cell>
          <cell r="K1106">
            <v>2</v>
          </cell>
          <cell r="L1106">
            <v>2</v>
          </cell>
          <cell r="M1106">
            <v>0</v>
          </cell>
          <cell r="N1106">
            <v>0</v>
          </cell>
          <cell r="O1106">
            <v>0</v>
          </cell>
          <cell r="P1106">
            <v>0</v>
          </cell>
          <cell r="Q1106">
            <v>0</v>
          </cell>
          <cell r="R1106">
            <v>0</v>
          </cell>
          <cell r="S1106">
            <v>0</v>
          </cell>
          <cell r="T1106">
            <v>0</v>
          </cell>
          <cell r="U1106">
            <v>0</v>
          </cell>
          <cell r="V1106">
            <v>0</v>
          </cell>
          <cell r="W1106">
            <v>0</v>
          </cell>
          <cell r="X1106">
            <v>468932.77419354802</v>
          </cell>
          <cell r="Y1106">
            <v>108000</v>
          </cell>
        </row>
        <row r="1107">
          <cell r="E1107">
            <v>0</v>
          </cell>
          <cell r="F1107" t="str">
            <v>Jhon ponsel</v>
          </cell>
          <cell r="G1107">
            <v>0</v>
          </cell>
          <cell r="H1107">
            <v>0</v>
          </cell>
          <cell r="I1107">
            <v>1</v>
          </cell>
          <cell r="J1107">
            <v>1</v>
          </cell>
          <cell r="K1107">
            <v>4</v>
          </cell>
          <cell r="L1107">
            <v>4</v>
          </cell>
          <cell r="M1107">
            <v>0</v>
          </cell>
          <cell r="N1107">
            <v>0</v>
          </cell>
          <cell r="O1107">
            <v>0</v>
          </cell>
          <cell r="P1107">
            <v>0</v>
          </cell>
          <cell r="Q1107">
            <v>0</v>
          </cell>
          <cell r="R1107">
            <v>0</v>
          </cell>
          <cell r="S1107">
            <v>0</v>
          </cell>
          <cell r="T1107">
            <v>0</v>
          </cell>
          <cell r="U1107">
            <v>3</v>
          </cell>
          <cell r="V1107">
            <v>0</v>
          </cell>
          <cell r="W1107">
            <v>0</v>
          </cell>
          <cell r="X1107">
            <v>792665.52419354802</v>
          </cell>
          <cell r="Y1107">
            <v>198000</v>
          </cell>
        </row>
        <row r="1108">
          <cell r="E1108">
            <v>0</v>
          </cell>
          <cell r="F1108" t="str">
            <v>Grand Star</v>
          </cell>
          <cell r="G1108">
            <v>0</v>
          </cell>
          <cell r="H1108">
            <v>0</v>
          </cell>
          <cell r="I1108">
            <v>0</v>
          </cell>
          <cell r="J1108">
            <v>0</v>
          </cell>
          <cell r="K1108">
            <v>1</v>
          </cell>
          <cell r="L1108">
            <v>1</v>
          </cell>
          <cell r="M1108">
            <v>0</v>
          </cell>
          <cell r="N1108">
            <v>1</v>
          </cell>
          <cell r="O1108">
            <v>1</v>
          </cell>
          <cell r="P1108">
            <v>0</v>
          </cell>
          <cell r="Q1108">
            <v>1</v>
          </cell>
          <cell r="R1108">
            <v>1</v>
          </cell>
          <cell r="S1108">
            <v>0</v>
          </cell>
          <cell r="T1108">
            <v>0</v>
          </cell>
          <cell r="U1108">
            <v>0</v>
          </cell>
          <cell r="V1108">
            <v>0</v>
          </cell>
          <cell r="W1108">
            <v>0</v>
          </cell>
          <cell r="X1108">
            <v>735334.51612903201</v>
          </cell>
          <cell r="Y1108">
            <v>300000</v>
          </cell>
        </row>
        <row r="1109">
          <cell r="E1109">
            <v>0</v>
          </cell>
          <cell r="F1109" t="str">
            <v>Qory</v>
          </cell>
          <cell r="G1109">
            <v>0</v>
          </cell>
          <cell r="H1109">
            <v>0</v>
          </cell>
          <cell r="I1109">
            <v>1</v>
          </cell>
          <cell r="J1109">
            <v>1</v>
          </cell>
          <cell r="K1109">
            <v>0</v>
          </cell>
          <cell r="L1109">
            <v>0</v>
          </cell>
          <cell r="M1109">
            <v>0</v>
          </cell>
          <cell r="N1109">
            <v>0</v>
          </cell>
          <cell r="O1109">
            <v>0</v>
          </cell>
          <cell r="P1109">
            <v>0</v>
          </cell>
          <cell r="Q1109">
            <v>0</v>
          </cell>
          <cell r="R1109">
            <v>0</v>
          </cell>
          <cell r="S1109">
            <v>0</v>
          </cell>
          <cell r="T1109">
            <v>0</v>
          </cell>
          <cell r="U1109">
            <v>0</v>
          </cell>
          <cell r="V1109">
            <v>0</v>
          </cell>
          <cell r="W1109">
            <v>0</v>
          </cell>
          <cell r="X1109">
            <v>163946.564516129</v>
          </cell>
          <cell r="Y1109">
            <v>54000</v>
          </cell>
        </row>
        <row r="1110">
          <cell r="E1110">
            <v>0</v>
          </cell>
          <cell r="F1110" t="str">
            <v>Multi mobile</v>
          </cell>
          <cell r="G1110">
            <v>0</v>
          </cell>
          <cell r="H1110">
            <v>0</v>
          </cell>
          <cell r="I1110">
            <v>1</v>
          </cell>
          <cell r="J1110">
            <v>1</v>
          </cell>
          <cell r="K1110">
            <v>0</v>
          </cell>
          <cell r="L1110">
            <v>0</v>
          </cell>
          <cell r="M1110">
            <v>0</v>
          </cell>
          <cell r="N1110">
            <v>0</v>
          </cell>
          <cell r="O1110">
            <v>0</v>
          </cell>
          <cell r="P1110">
            <v>0</v>
          </cell>
          <cell r="Q1110">
            <v>0</v>
          </cell>
          <cell r="R1110">
            <v>0</v>
          </cell>
          <cell r="S1110">
            <v>0</v>
          </cell>
          <cell r="T1110">
            <v>0</v>
          </cell>
          <cell r="U1110">
            <v>0</v>
          </cell>
          <cell r="V1110">
            <v>0</v>
          </cell>
          <cell r="W1110">
            <v>0</v>
          </cell>
          <cell r="X1110">
            <v>704183.22580645198</v>
          </cell>
          <cell r="Y1110">
            <v>54000</v>
          </cell>
        </row>
        <row r="1111">
          <cell r="E1111">
            <v>0</v>
          </cell>
          <cell r="F1111" t="str">
            <v>Jo celin</v>
          </cell>
          <cell r="G1111">
            <v>0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0</v>
          </cell>
          <cell r="M1111">
            <v>0</v>
          </cell>
          <cell r="N1111">
            <v>0</v>
          </cell>
          <cell r="O1111">
            <v>0</v>
          </cell>
          <cell r="P1111">
            <v>0</v>
          </cell>
          <cell r="Q1111">
            <v>0</v>
          </cell>
          <cell r="R1111">
            <v>0</v>
          </cell>
          <cell r="S1111">
            <v>0</v>
          </cell>
          <cell r="T1111">
            <v>0</v>
          </cell>
          <cell r="U1111">
            <v>0</v>
          </cell>
          <cell r="V1111">
            <v>0</v>
          </cell>
          <cell r="W1111">
            <v>0</v>
          </cell>
          <cell r="X1111">
            <v>0</v>
          </cell>
          <cell r="Y1111">
            <v>0</v>
          </cell>
        </row>
        <row r="1112">
          <cell r="E1112">
            <v>0</v>
          </cell>
          <cell r="F1112" t="str">
            <v>Sinar ponsel</v>
          </cell>
          <cell r="G1112">
            <v>0</v>
          </cell>
          <cell r="H1112">
            <v>0</v>
          </cell>
          <cell r="I1112">
            <v>1</v>
          </cell>
          <cell r="J1112">
            <v>1</v>
          </cell>
          <cell r="K1112">
            <v>3</v>
          </cell>
          <cell r="L1112">
            <v>3</v>
          </cell>
          <cell r="M1112">
            <v>0</v>
          </cell>
          <cell r="N1112">
            <v>1</v>
          </cell>
          <cell r="O1112">
            <v>1</v>
          </cell>
          <cell r="P1112">
            <v>0</v>
          </cell>
          <cell r="Q1112">
            <v>2</v>
          </cell>
          <cell r="R1112">
            <v>2</v>
          </cell>
          <cell r="S1112">
            <v>0</v>
          </cell>
          <cell r="T1112">
            <v>0</v>
          </cell>
          <cell r="U1112">
            <v>0</v>
          </cell>
          <cell r="V1112">
            <v>0</v>
          </cell>
          <cell r="W1112">
            <v>0</v>
          </cell>
          <cell r="X1112">
            <v>526113.06451612897</v>
          </cell>
          <cell r="Y1112">
            <v>54000</v>
          </cell>
        </row>
        <row r="1113">
          <cell r="E1113">
            <v>0</v>
          </cell>
          <cell r="F1113" t="str">
            <v>DC Store</v>
          </cell>
          <cell r="G1113">
            <v>0</v>
          </cell>
          <cell r="H1113">
            <v>0</v>
          </cell>
          <cell r="I1113">
            <v>1</v>
          </cell>
          <cell r="J1113">
            <v>1</v>
          </cell>
          <cell r="K1113">
            <v>2</v>
          </cell>
          <cell r="L1113">
            <v>2</v>
          </cell>
          <cell r="M1113">
            <v>0</v>
          </cell>
          <cell r="N1113">
            <v>2</v>
          </cell>
          <cell r="O1113">
            <v>2</v>
          </cell>
          <cell r="P1113">
            <v>0</v>
          </cell>
          <cell r="Q1113">
            <v>2</v>
          </cell>
          <cell r="R1113">
            <v>2</v>
          </cell>
          <cell r="S1113">
            <v>0</v>
          </cell>
          <cell r="T1113">
            <v>0</v>
          </cell>
          <cell r="U1113">
            <v>0</v>
          </cell>
          <cell r="V1113">
            <v>0</v>
          </cell>
          <cell r="W1113">
            <v>0</v>
          </cell>
          <cell r="X1113">
            <v>413649.59677419398</v>
          </cell>
          <cell r="Y1113">
            <v>54000</v>
          </cell>
        </row>
        <row r="1114">
          <cell r="E1114">
            <v>0</v>
          </cell>
          <cell r="F1114" t="str">
            <v>Auto fokus</v>
          </cell>
          <cell r="G1114">
            <v>0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</v>
          </cell>
          <cell r="O1114">
            <v>0</v>
          </cell>
          <cell r="P1114">
            <v>0</v>
          </cell>
          <cell r="Q1114">
            <v>0</v>
          </cell>
          <cell r="R1114">
            <v>0</v>
          </cell>
          <cell r="S1114">
            <v>0</v>
          </cell>
          <cell r="T1114">
            <v>0</v>
          </cell>
          <cell r="U1114">
            <v>0</v>
          </cell>
          <cell r="V1114">
            <v>0</v>
          </cell>
          <cell r="W1114">
            <v>0</v>
          </cell>
          <cell r="X1114">
            <v>425003.95161290298</v>
          </cell>
          <cell r="Y1114">
            <v>90000</v>
          </cell>
        </row>
        <row r="1115">
          <cell r="E1115">
            <v>0</v>
          </cell>
          <cell r="F1115" t="str">
            <v>Warung ayuni</v>
          </cell>
          <cell r="G1115">
            <v>0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0</v>
          </cell>
          <cell r="M1115">
            <v>0</v>
          </cell>
          <cell r="N1115">
            <v>0</v>
          </cell>
          <cell r="O1115">
            <v>0</v>
          </cell>
          <cell r="P1115">
            <v>0</v>
          </cell>
          <cell r="Q1115">
            <v>0</v>
          </cell>
          <cell r="R1115">
            <v>0</v>
          </cell>
          <cell r="S1115">
            <v>0</v>
          </cell>
          <cell r="T1115">
            <v>0</v>
          </cell>
          <cell r="U1115">
            <v>0</v>
          </cell>
          <cell r="V1115">
            <v>0</v>
          </cell>
          <cell r="W1115">
            <v>0</v>
          </cell>
          <cell r="X1115">
            <v>0</v>
          </cell>
          <cell r="Y1115">
            <v>0</v>
          </cell>
        </row>
        <row r="1116">
          <cell r="E1116">
            <v>0</v>
          </cell>
          <cell r="F1116" t="str">
            <v>Cahaya elektronik</v>
          </cell>
          <cell r="G1116">
            <v>0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0</v>
          </cell>
          <cell r="M1116">
            <v>0</v>
          </cell>
          <cell r="N1116">
            <v>0</v>
          </cell>
          <cell r="O1116">
            <v>0</v>
          </cell>
          <cell r="P1116">
            <v>0</v>
          </cell>
          <cell r="Q1116">
            <v>0</v>
          </cell>
          <cell r="R1116">
            <v>0</v>
          </cell>
          <cell r="S1116">
            <v>0</v>
          </cell>
          <cell r="T1116">
            <v>0</v>
          </cell>
          <cell r="U1116">
            <v>0</v>
          </cell>
          <cell r="V1116">
            <v>0</v>
          </cell>
          <cell r="W1116">
            <v>0</v>
          </cell>
          <cell r="X1116">
            <v>0</v>
          </cell>
          <cell r="Y1116">
            <v>0</v>
          </cell>
        </row>
        <row r="1117">
          <cell r="E1117">
            <v>0</v>
          </cell>
          <cell r="F1117" t="str">
            <v>Warung buk rahma</v>
          </cell>
          <cell r="G1117">
            <v>0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0</v>
          </cell>
          <cell r="M1117">
            <v>0</v>
          </cell>
          <cell r="N1117">
            <v>0</v>
          </cell>
          <cell r="O1117">
            <v>0</v>
          </cell>
          <cell r="P1117">
            <v>0</v>
          </cell>
          <cell r="Q1117">
            <v>0</v>
          </cell>
          <cell r="R1117">
            <v>0</v>
          </cell>
          <cell r="S1117">
            <v>0</v>
          </cell>
          <cell r="T1117">
            <v>0</v>
          </cell>
          <cell r="U1117">
            <v>0</v>
          </cell>
          <cell r="V1117">
            <v>0</v>
          </cell>
          <cell r="W1117">
            <v>0</v>
          </cell>
          <cell r="X1117">
            <v>0</v>
          </cell>
          <cell r="Y1117">
            <v>0</v>
          </cell>
        </row>
        <row r="1118">
          <cell r="E1118">
            <v>0</v>
          </cell>
          <cell r="F1118" t="str">
            <v>berkah ID</v>
          </cell>
          <cell r="G1118">
            <v>0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0</v>
          </cell>
          <cell r="M1118">
            <v>0</v>
          </cell>
          <cell r="N1118">
            <v>0</v>
          </cell>
          <cell r="O1118">
            <v>0</v>
          </cell>
          <cell r="P1118">
            <v>0</v>
          </cell>
          <cell r="Q1118">
            <v>0</v>
          </cell>
          <cell r="R1118">
            <v>0</v>
          </cell>
          <cell r="S1118">
            <v>0</v>
          </cell>
          <cell r="T1118">
            <v>0</v>
          </cell>
          <cell r="U1118">
            <v>0</v>
          </cell>
          <cell r="V1118">
            <v>0</v>
          </cell>
          <cell r="W1118">
            <v>0</v>
          </cell>
          <cell r="X1118">
            <v>0</v>
          </cell>
          <cell r="Y1118">
            <v>0</v>
          </cell>
        </row>
        <row r="1119">
          <cell r="E1119">
            <v>0</v>
          </cell>
          <cell r="F1119" t="str">
            <v>Media ponsel</v>
          </cell>
          <cell r="G1119">
            <v>0</v>
          </cell>
          <cell r="H1119">
            <v>0</v>
          </cell>
          <cell r="I1119">
            <v>0</v>
          </cell>
          <cell r="J1119">
            <v>0</v>
          </cell>
          <cell r="K1119">
            <v>0</v>
          </cell>
          <cell r="L1119">
            <v>0</v>
          </cell>
          <cell r="M1119">
            <v>0</v>
          </cell>
          <cell r="N1119">
            <v>0</v>
          </cell>
          <cell r="O1119">
            <v>0</v>
          </cell>
          <cell r="P1119">
            <v>0</v>
          </cell>
          <cell r="Q1119">
            <v>0</v>
          </cell>
          <cell r="R1119">
            <v>0</v>
          </cell>
          <cell r="S1119">
            <v>0</v>
          </cell>
          <cell r="T1119">
            <v>0</v>
          </cell>
          <cell r="U1119">
            <v>0</v>
          </cell>
          <cell r="V1119">
            <v>0</v>
          </cell>
          <cell r="W1119">
            <v>0</v>
          </cell>
          <cell r="X1119">
            <v>355393.95161290298</v>
          </cell>
          <cell r="Y1119">
            <v>90000</v>
          </cell>
        </row>
        <row r="1120">
          <cell r="E1120">
            <v>0</v>
          </cell>
          <cell r="F1120" t="str">
            <v>KIRAN CELLULER</v>
          </cell>
          <cell r="G1120">
            <v>0</v>
          </cell>
          <cell r="H1120">
            <v>0</v>
          </cell>
          <cell r="I1120">
            <v>1</v>
          </cell>
          <cell r="J1120">
            <v>1</v>
          </cell>
          <cell r="K1120">
            <v>0</v>
          </cell>
          <cell r="L1120">
            <v>0</v>
          </cell>
          <cell r="M1120">
            <v>0</v>
          </cell>
          <cell r="N1120">
            <v>0</v>
          </cell>
          <cell r="O1120">
            <v>0</v>
          </cell>
          <cell r="P1120">
            <v>0</v>
          </cell>
          <cell r="Q1120">
            <v>0</v>
          </cell>
          <cell r="R1120">
            <v>0</v>
          </cell>
          <cell r="S1120">
            <v>0</v>
          </cell>
          <cell r="T1120">
            <v>0</v>
          </cell>
          <cell r="U1120">
            <v>0</v>
          </cell>
          <cell r="V1120">
            <v>0</v>
          </cell>
          <cell r="W1120">
            <v>0</v>
          </cell>
          <cell r="X1120">
            <v>98650</v>
          </cell>
          <cell r="Y1120">
            <v>54000</v>
          </cell>
        </row>
        <row r="1121">
          <cell r="E1121">
            <v>0</v>
          </cell>
          <cell r="F1121" t="str">
            <v>multi ponsel</v>
          </cell>
          <cell r="G1121">
            <v>0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0</v>
          </cell>
          <cell r="M1121">
            <v>0</v>
          </cell>
          <cell r="N1121">
            <v>0</v>
          </cell>
          <cell r="O1121">
            <v>0</v>
          </cell>
          <cell r="P1121">
            <v>0</v>
          </cell>
          <cell r="Q1121">
            <v>0</v>
          </cell>
          <cell r="R1121">
            <v>0</v>
          </cell>
          <cell r="S1121">
            <v>0</v>
          </cell>
          <cell r="T1121">
            <v>0</v>
          </cell>
          <cell r="U1121">
            <v>0</v>
          </cell>
          <cell r="V1121">
            <v>0</v>
          </cell>
          <cell r="W1121">
            <v>0</v>
          </cell>
          <cell r="X1121">
            <v>0</v>
          </cell>
          <cell r="Y1121">
            <v>0</v>
          </cell>
        </row>
        <row r="1122">
          <cell r="E1122">
            <v>0</v>
          </cell>
          <cell r="F1122" t="str">
            <v>Thomz cell</v>
          </cell>
          <cell r="G1122">
            <v>0</v>
          </cell>
          <cell r="H1122">
            <v>0</v>
          </cell>
          <cell r="I1122">
            <v>0</v>
          </cell>
          <cell r="J1122">
            <v>0</v>
          </cell>
          <cell r="K1122">
            <v>0</v>
          </cell>
          <cell r="L1122">
            <v>0</v>
          </cell>
          <cell r="M1122">
            <v>0</v>
          </cell>
          <cell r="N1122">
            <v>0</v>
          </cell>
          <cell r="O1122">
            <v>0</v>
          </cell>
          <cell r="P1122">
            <v>0</v>
          </cell>
          <cell r="Q1122">
            <v>0</v>
          </cell>
          <cell r="R1122">
            <v>0</v>
          </cell>
          <cell r="S1122">
            <v>0</v>
          </cell>
          <cell r="T1122">
            <v>0</v>
          </cell>
          <cell r="U1122">
            <v>0</v>
          </cell>
          <cell r="V1122">
            <v>0</v>
          </cell>
          <cell r="W1122">
            <v>0</v>
          </cell>
          <cell r="X1122">
            <v>0</v>
          </cell>
          <cell r="Y1122">
            <v>0</v>
          </cell>
        </row>
        <row r="1123">
          <cell r="E1123">
            <v>0</v>
          </cell>
          <cell r="F1123" t="str">
            <v>888 Ponsel</v>
          </cell>
          <cell r="G1123">
            <v>0</v>
          </cell>
          <cell r="H1123">
            <v>0</v>
          </cell>
          <cell r="I1123">
            <v>0</v>
          </cell>
          <cell r="J1123">
            <v>0</v>
          </cell>
          <cell r="K1123">
            <v>0</v>
          </cell>
          <cell r="L1123">
            <v>0</v>
          </cell>
          <cell r="M1123">
            <v>0</v>
          </cell>
          <cell r="N1123">
            <v>0</v>
          </cell>
          <cell r="O1123">
            <v>0</v>
          </cell>
          <cell r="P1123">
            <v>0</v>
          </cell>
          <cell r="Q1123">
            <v>0</v>
          </cell>
          <cell r="R1123">
            <v>0</v>
          </cell>
          <cell r="S1123">
            <v>0</v>
          </cell>
          <cell r="T1123">
            <v>0</v>
          </cell>
          <cell r="U1123">
            <v>0</v>
          </cell>
          <cell r="V1123">
            <v>0</v>
          </cell>
          <cell r="W1123">
            <v>0</v>
          </cell>
          <cell r="X1123">
            <v>407245.40322580602</v>
          </cell>
          <cell r="Y1123">
            <v>90000</v>
          </cell>
        </row>
        <row r="1124">
          <cell r="E1124">
            <v>0</v>
          </cell>
          <cell r="F1124" t="str">
            <v>Benua mobile</v>
          </cell>
          <cell r="G1124">
            <v>0</v>
          </cell>
          <cell r="H1124">
            <v>0</v>
          </cell>
          <cell r="I1124">
            <v>1</v>
          </cell>
          <cell r="J1124">
            <v>1</v>
          </cell>
          <cell r="K1124">
            <v>0</v>
          </cell>
          <cell r="L1124">
            <v>0</v>
          </cell>
          <cell r="M1124">
            <v>0</v>
          </cell>
          <cell r="N1124">
            <v>0</v>
          </cell>
          <cell r="O1124">
            <v>0</v>
          </cell>
          <cell r="P1124">
            <v>0</v>
          </cell>
          <cell r="Q1124">
            <v>0</v>
          </cell>
          <cell r="R1124">
            <v>0</v>
          </cell>
          <cell r="S1124">
            <v>0</v>
          </cell>
          <cell r="T1124">
            <v>0</v>
          </cell>
          <cell r="U1124">
            <v>0</v>
          </cell>
          <cell r="V1124">
            <v>0</v>
          </cell>
          <cell r="W1124">
            <v>0</v>
          </cell>
          <cell r="X1124">
            <v>373340.72580645198</v>
          </cell>
          <cell r="Y1124">
            <v>54000</v>
          </cell>
        </row>
        <row r="1125">
          <cell r="E1125">
            <v>0</v>
          </cell>
          <cell r="F1125" t="str">
            <v>afung ponsel</v>
          </cell>
          <cell r="G1125">
            <v>0</v>
          </cell>
          <cell r="H1125">
            <v>0</v>
          </cell>
          <cell r="I1125">
            <v>1</v>
          </cell>
          <cell r="J1125">
            <v>1</v>
          </cell>
          <cell r="K1125">
            <v>0</v>
          </cell>
          <cell r="L1125">
            <v>0</v>
          </cell>
          <cell r="M1125">
            <v>0</v>
          </cell>
          <cell r="N1125">
            <v>0</v>
          </cell>
          <cell r="O1125">
            <v>0</v>
          </cell>
          <cell r="P1125">
            <v>0</v>
          </cell>
          <cell r="Q1125">
            <v>0</v>
          </cell>
          <cell r="R1125">
            <v>0</v>
          </cell>
          <cell r="S1125">
            <v>0</v>
          </cell>
          <cell r="T1125">
            <v>0</v>
          </cell>
          <cell r="U1125">
            <v>0</v>
          </cell>
          <cell r="V1125">
            <v>0</v>
          </cell>
          <cell r="W1125">
            <v>0</v>
          </cell>
          <cell r="X1125">
            <v>95000</v>
          </cell>
          <cell r="Y1125">
            <v>54000</v>
          </cell>
        </row>
        <row r="1126">
          <cell r="E1126">
            <v>0</v>
          </cell>
          <cell r="F1126" t="str">
            <v>Paris Cell</v>
          </cell>
          <cell r="G1126">
            <v>0</v>
          </cell>
          <cell r="H1126">
            <v>0</v>
          </cell>
          <cell r="I1126">
            <v>1</v>
          </cell>
          <cell r="J1126">
            <v>1</v>
          </cell>
          <cell r="K1126">
            <v>1</v>
          </cell>
          <cell r="L1126">
            <v>1</v>
          </cell>
          <cell r="M1126">
            <v>0</v>
          </cell>
          <cell r="N1126">
            <v>0</v>
          </cell>
          <cell r="O1126">
            <v>0</v>
          </cell>
          <cell r="P1126">
            <v>0</v>
          </cell>
          <cell r="Q1126">
            <v>0</v>
          </cell>
          <cell r="R1126">
            <v>0</v>
          </cell>
          <cell r="S1126">
            <v>0</v>
          </cell>
          <cell r="T1126">
            <v>0</v>
          </cell>
          <cell r="U1126">
            <v>0</v>
          </cell>
          <cell r="V1126">
            <v>0</v>
          </cell>
          <cell r="W1126">
            <v>0</v>
          </cell>
          <cell r="X1126">
            <v>96075</v>
          </cell>
          <cell r="Y1126">
            <v>108000</v>
          </cell>
        </row>
        <row r="1127">
          <cell r="E1127">
            <v>0</v>
          </cell>
          <cell r="F1127" t="str">
            <v>EKA CELL</v>
          </cell>
          <cell r="G1127">
            <v>0</v>
          </cell>
          <cell r="H1127">
            <v>0</v>
          </cell>
          <cell r="I1127">
            <v>0</v>
          </cell>
          <cell r="J1127">
            <v>0</v>
          </cell>
          <cell r="K1127">
            <v>2</v>
          </cell>
          <cell r="L1127">
            <v>2</v>
          </cell>
          <cell r="M1127">
            <v>0</v>
          </cell>
          <cell r="N1127">
            <v>2</v>
          </cell>
          <cell r="O1127">
            <v>2</v>
          </cell>
          <cell r="P1127">
            <v>0</v>
          </cell>
          <cell r="Q1127">
            <v>2</v>
          </cell>
          <cell r="R1127">
            <v>2</v>
          </cell>
          <cell r="S1127">
            <v>0</v>
          </cell>
          <cell r="T1127">
            <v>0</v>
          </cell>
          <cell r="U1127">
            <v>0</v>
          </cell>
          <cell r="V1127">
            <v>0</v>
          </cell>
          <cell r="W1127">
            <v>0</v>
          </cell>
          <cell r="X1127">
            <v>75295.028024642001</v>
          </cell>
          <cell r="Y1127">
            <v>0</v>
          </cell>
        </row>
        <row r="1128">
          <cell r="E1128">
            <v>0</v>
          </cell>
          <cell r="F1128" t="str">
            <v>HAKIKI CELL</v>
          </cell>
          <cell r="G1128">
            <v>0</v>
          </cell>
          <cell r="H1128">
            <v>0</v>
          </cell>
          <cell r="I1128">
            <v>1</v>
          </cell>
          <cell r="J1128">
            <v>1</v>
          </cell>
          <cell r="K1128">
            <v>0</v>
          </cell>
          <cell r="L1128">
            <v>0</v>
          </cell>
          <cell r="M1128">
            <v>0</v>
          </cell>
          <cell r="N1128">
            <v>0</v>
          </cell>
          <cell r="O1128">
            <v>0</v>
          </cell>
          <cell r="P1128">
            <v>0</v>
          </cell>
          <cell r="Q1128">
            <v>0</v>
          </cell>
          <cell r="R1128">
            <v>0</v>
          </cell>
          <cell r="S1128">
            <v>0</v>
          </cell>
          <cell r="T1128">
            <v>0</v>
          </cell>
          <cell r="U1128">
            <v>0</v>
          </cell>
          <cell r="V1128">
            <v>0</v>
          </cell>
          <cell r="W1128">
            <v>0</v>
          </cell>
          <cell r="X1128">
            <v>204915.32258064501</v>
          </cell>
          <cell r="Y1128">
            <v>54000</v>
          </cell>
        </row>
        <row r="1129">
          <cell r="E1129">
            <v>0</v>
          </cell>
          <cell r="F1129" t="str">
            <v>SMART PHON</v>
          </cell>
          <cell r="G1129">
            <v>0</v>
          </cell>
          <cell r="H1129">
            <v>0</v>
          </cell>
          <cell r="I1129">
            <v>1</v>
          </cell>
          <cell r="J1129">
            <v>1</v>
          </cell>
          <cell r="K1129">
            <v>0</v>
          </cell>
          <cell r="L1129">
            <v>0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>
            <v>0</v>
          </cell>
          <cell r="V1129">
            <v>0</v>
          </cell>
          <cell r="W1129">
            <v>0</v>
          </cell>
          <cell r="X1129">
            <v>1519659.2741935491</v>
          </cell>
          <cell r="Y1129">
            <v>54000</v>
          </cell>
        </row>
        <row r="1130">
          <cell r="E1130">
            <v>0</v>
          </cell>
          <cell r="F1130" t="str">
            <v>era ponsel</v>
          </cell>
          <cell r="G1130">
            <v>0</v>
          </cell>
          <cell r="H1130">
            <v>0</v>
          </cell>
          <cell r="I1130">
            <v>1</v>
          </cell>
          <cell r="J1130">
            <v>1</v>
          </cell>
          <cell r="K1130">
            <v>0</v>
          </cell>
          <cell r="L1130">
            <v>0</v>
          </cell>
          <cell r="M1130">
            <v>0</v>
          </cell>
          <cell r="N1130">
            <v>0</v>
          </cell>
          <cell r="O1130">
            <v>0</v>
          </cell>
          <cell r="P1130">
            <v>0</v>
          </cell>
          <cell r="Q1130">
            <v>0</v>
          </cell>
          <cell r="R1130">
            <v>0</v>
          </cell>
          <cell r="S1130">
            <v>0</v>
          </cell>
          <cell r="T1130">
            <v>0</v>
          </cell>
          <cell r="U1130">
            <v>0</v>
          </cell>
          <cell r="V1130">
            <v>0</v>
          </cell>
          <cell r="W1130">
            <v>0</v>
          </cell>
          <cell r="X1130">
            <v>933705.64516128995</v>
          </cell>
          <cell r="Y1130">
            <v>54000</v>
          </cell>
        </row>
        <row r="1131">
          <cell r="E1131">
            <v>0</v>
          </cell>
          <cell r="F1131" t="str">
            <v>AZZAMI</v>
          </cell>
          <cell r="G1131">
            <v>0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0</v>
          </cell>
          <cell r="M1131">
            <v>0</v>
          </cell>
          <cell r="N1131">
            <v>0</v>
          </cell>
          <cell r="O1131">
            <v>0</v>
          </cell>
          <cell r="P1131">
            <v>0</v>
          </cell>
          <cell r="Q1131">
            <v>0</v>
          </cell>
          <cell r="R1131">
            <v>0</v>
          </cell>
          <cell r="S1131">
            <v>0</v>
          </cell>
          <cell r="T1131">
            <v>0</v>
          </cell>
          <cell r="U1131">
            <v>0</v>
          </cell>
          <cell r="V1131">
            <v>0</v>
          </cell>
          <cell r="W1131">
            <v>0</v>
          </cell>
          <cell r="X1131">
            <v>0</v>
          </cell>
          <cell r="Y1131">
            <v>0</v>
          </cell>
        </row>
        <row r="1132">
          <cell r="E1132">
            <v>0</v>
          </cell>
          <cell r="F1132" t="str">
            <v>Leo Ponsel</v>
          </cell>
          <cell r="G1132">
            <v>0</v>
          </cell>
          <cell r="H1132">
            <v>0</v>
          </cell>
          <cell r="I1132">
            <v>1</v>
          </cell>
          <cell r="J1132">
            <v>1</v>
          </cell>
          <cell r="K1132">
            <v>0</v>
          </cell>
          <cell r="L1132">
            <v>0</v>
          </cell>
          <cell r="M1132">
            <v>0</v>
          </cell>
          <cell r="N1132">
            <v>0</v>
          </cell>
          <cell r="O1132">
            <v>0</v>
          </cell>
          <cell r="P1132">
            <v>0</v>
          </cell>
          <cell r="Q1132">
            <v>0</v>
          </cell>
          <cell r="R1132">
            <v>0</v>
          </cell>
          <cell r="S1132">
            <v>0</v>
          </cell>
          <cell r="T1132">
            <v>0</v>
          </cell>
          <cell r="U1132">
            <v>0</v>
          </cell>
          <cell r="V1132">
            <v>0</v>
          </cell>
          <cell r="W1132">
            <v>0</v>
          </cell>
          <cell r="X1132">
            <v>718723.79032258096</v>
          </cell>
          <cell r="Y1132">
            <v>54000</v>
          </cell>
        </row>
        <row r="1133">
          <cell r="E1133">
            <v>0</v>
          </cell>
          <cell r="F1133" t="str">
            <v>Dinasty cell</v>
          </cell>
          <cell r="G1133">
            <v>0</v>
          </cell>
          <cell r="H1133">
            <v>0</v>
          </cell>
          <cell r="I1133">
            <v>1</v>
          </cell>
          <cell r="J1133">
            <v>1</v>
          </cell>
          <cell r="K1133">
            <v>2</v>
          </cell>
          <cell r="L1133">
            <v>2</v>
          </cell>
          <cell r="M1133">
            <v>0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2</v>
          </cell>
          <cell r="U1133">
            <v>2</v>
          </cell>
          <cell r="V1133">
            <v>0</v>
          </cell>
          <cell r="W1133">
            <v>0</v>
          </cell>
          <cell r="X1133">
            <v>464080.16129032202</v>
          </cell>
          <cell r="Y1133">
            <v>54000</v>
          </cell>
        </row>
        <row r="1134">
          <cell r="E1134">
            <v>0</v>
          </cell>
          <cell r="F1134" t="str">
            <v>DUAL PHON</v>
          </cell>
          <cell r="G1134">
            <v>0</v>
          </cell>
          <cell r="H1134">
            <v>0</v>
          </cell>
          <cell r="I1134">
            <v>1</v>
          </cell>
          <cell r="J1134">
            <v>1</v>
          </cell>
          <cell r="K1134">
            <v>0</v>
          </cell>
          <cell r="L1134">
            <v>0</v>
          </cell>
          <cell r="M1134">
            <v>0</v>
          </cell>
          <cell r="N1134">
            <v>0</v>
          </cell>
          <cell r="O1134">
            <v>0</v>
          </cell>
          <cell r="P1134">
            <v>0</v>
          </cell>
          <cell r="Q1134">
            <v>0</v>
          </cell>
          <cell r="R1134">
            <v>0</v>
          </cell>
          <cell r="S1134">
            <v>0</v>
          </cell>
          <cell r="T1134">
            <v>0</v>
          </cell>
          <cell r="U1134">
            <v>0</v>
          </cell>
          <cell r="V1134">
            <v>0</v>
          </cell>
          <cell r="W1134">
            <v>0</v>
          </cell>
          <cell r="X1134">
            <v>934834.67741935502</v>
          </cell>
          <cell r="Y1134">
            <v>54000</v>
          </cell>
        </row>
        <row r="1135">
          <cell r="E1135">
            <v>0</v>
          </cell>
          <cell r="F1135" t="str">
            <v>SAKURA PONSEL</v>
          </cell>
          <cell r="G1135">
            <v>0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0</v>
          </cell>
          <cell r="M1135">
            <v>0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158646.62404791999</v>
          </cell>
          <cell r="Y1135">
            <v>0</v>
          </cell>
        </row>
        <row r="1136">
          <cell r="E1136">
            <v>0</v>
          </cell>
          <cell r="F1136" t="str">
            <v>ELITE PONSEL</v>
          </cell>
          <cell r="G1136">
            <v>0</v>
          </cell>
          <cell r="H1136">
            <v>0</v>
          </cell>
          <cell r="I1136">
            <v>1</v>
          </cell>
          <cell r="J1136">
            <v>1</v>
          </cell>
          <cell r="K1136">
            <v>1</v>
          </cell>
          <cell r="L1136">
            <v>1</v>
          </cell>
          <cell r="M1136">
            <v>0</v>
          </cell>
          <cell r="N1136">
            <v>1</v>
          </cell>
          <cell r="O1136">
            <v>1</v>
          </cell>
          <cell r="P1136">
            <v>0</v>
          </cell>
          <cell r="Q1136">
            <v>1</v>
          </cell>
          <cell r="R1136">
            <v>1</v>
          </cell>
          <cell r="S1136">
            <v>0</v>
          </cell>
          <cell r="T1136">
            <v>0</v>
          </cell>
          <cell r="U1136">
            <v>0</v>
          </cell>
          <cell r="V1136">
            <v>0</v>
          </cell>
          <cell r="W1136">
            <v>0</v>
          </cell>
          <cell r="X1136">
            <v>157416.01612903201</v>
          </cell>
          <cell r="Y1136">
            <v>162000</v>
          </cell>
        </row>
        <row r="1137">
          <cell r="E1137">
            <v>0</v>
          </cell>
          <cell r="F1137" t="str">
            <v>Hero Ponsel</v>
          </cell>
          <cell r="G1137">
            <v>0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0</v>
          </cell>
          <cell r="M1137">
            <v>0</v>
          </cell>
          <cell r="N1137">
            <v>0</v>
          </cell>
          <cell r="O1137">
            <v>0</v>
          </cell>
          <cell r="P1137">
            <v>0</v>
          </cell>
          <cell r="Q1137">
            <v>0</v>
          </cell>
          <cell r="R1137">
            <v>0</v>
          </cell>
          <cell r="S1137">
            <v>0</v>
          </cell>
          <cell r="T1137">
            <v>0</v>
          </cell>
          <cell r="U1137">
            <v>0</v>
          </cell>
          <cell r="V1137">
            <v>0</v>
          </cell>
          <cell r="W1137">
            <v>0</v>
          </cell>
          <cell r="X1137">
            <v>45507.654901262002</v>
          </cell>
          <cell r="Y1137">
            <v>200000</v>
          </cell>
        </row>
        <row r="1138">
          <cell r="E1138">
            <v>0</v>
          </cell>
          <cell r="F1138" t="str">
            <v>My celluler</v>
          </cell>
          <cell r="G1138">
            <v>0</v>
          </cell>
          <cell r="H1138">
            <v>0</v>
          </cell>
          <cell r="I1138">
            <v>1</v>
          </cell>
          <cell r="J1138">
            <v>1</v>
          </cell>
          <cell r="K1138">
            <v>2</v>
          </cell>
          <cell r="L1138">
            <v>2</v>
          </cell>
          <cell r="M1138">
            <v>0</v>
          </cell>
          <cell r="N1138">
            <v>1</v>
          </cell>
          <cell r="O1138">
            <v>1</v>
          </cell>
          <cell r="P1138">
            <v>0</v>
          </cell>
          <cell r="Q1138">
            <v>2</v>
          </cell>
          <cell r="R1138">
            <v>2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358351.73982021899</v>
          </cell>
          <cell r="Y1138">
            <v>162000</v>
          </cell>
        </row>
        <row r="1139">
          <cell r="E1139">
            <v>0</v>
          </cell>
          <cell r="F1139" t="str">
            <v>NERO PONSEL</v>
          </cell>
          <cell r="G1139">
            <v>0</v>
          </cell>
          <cell r="H1139">
            <v>0</v>
          </cell>
          <cell r="I1139">
            <v>1</v>
          </cell>
          <cell r="J1139">
            <v>1</v>
          </cell>
          <cell r="K1139">
            <v>0</v>
          </cell>
          <cell r="L1139">
            <v>0</v>
          </cell>
          <cell r="M1139">
            <v>0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1</v>
          </cell>
          <cell r="U1139">
            <v>0</v>
          </cell>
          <cell r="V1139">
            <v>0</v>
          </cell>
          <cell r="W1139">
            <v>0</v>
          </cell>
          <cell r="X1139">
            <v>387810.51612903201</v>
          </cell>
          <cell r="Y1139">
            <v>54000</v>
          </cell>
        </row>
        <row r="1140">
          <cell r="E1140">
            <v>0</v>
          </cell>
          <cell r="F1140" t="str">
            <v>crystal ponsel</v>
          </cell>
          <cell r="G1140">
            <v>0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0</v>
          </cell>
          <cell r="M1140">
            <v>0</v>
          </cell>
          <cell r="N1140">
            <v>0</v>
          </cell>
          <cell r="O1140">
            <v>0</v>
          </cell>
          <cell r="P1140">
            <v>0</v>
          </cell>
          <cell r="Q1140">
            <v>0</v>
          </cell>
          <cell r="R1140">
            <v>0</v>
          </cell>
          <cell r="S1140">
            <v>0</v>
          </cell>
          <cell r="T1140">
            <v>0</v>
          </cell>
          <cell r="U1140">
            <v>0</v>
          </cell>
          <cell r="V1140">
            <v>0</v>
          </cell>
          <cell r="W1140">
            <v>0</v>
          </cell>
          <cell r="X1140">
            <v>0</v>
          </cell>
          <cell r="Y1140">
            <v>0</v>
          </cell>
        </row>
        <row r="1141">
          <cell r="E1141">
            <v>0</v>
          </cell>
          <cell r="F1141" t="str">
            <v>INDO PHONE</v>
          </cell>
          <cell r="G1141">
            <v>0</v>
          </cell>
          <cell r="H1141">
            <v>0</v>
          </cell>
          <cell r="I1141">
            <v>1</v>
          </cell>
          <cell r="J1141">
            <v>1</v>
          </cell>
          <cell r="K1141">
            <v>1</v>
          </cell>
          <cell r="L1141">
            <v>1</v>
          </cell>
          <cell r="M1141">
            <v>0</v>
          </cell>
          <cell r="N1141">
            <v>0</v>
          </cell>
          <cell r="O1141">
            <v>0</v>
          </cell>
          <cell r="P1141">
            <v>0</v>
          </cell>
          <cell r="Q1141">
            <v>0</v>
          </cell>
          <cell r="R1141">
            <v>0</v>
          </cell>
          <cell r="S1141">
            <v>0</v>
          </cell>
          <cell r="T1141">
            <v>0</v>
          </cell>
          <cell r="U1141">
            <v>0</v>
          </cell>
          <cell r="V1141">
            <v>0</v>
          </cell>
          <cell r="W1141">
            <v>0</v>
          </cell>
          <cell r="X1141">
            <v>72021.331154005005</v>
          </cell>
          <cell r="Y1141">
            <v>108000</v>
          </cell>
        </row>
        <row r="1142">
          <cell r="E1142">
            <v>0</v>
          </cell>
          <cell r="F1142" t="str">
            <v>Hendra Ponsel</v>
          </cell>
          <cell r="G1142">
            <v>0</v>
          </cell>
          <cell r="H1142">
            <v>0</v>
          </cell>
          <cell r="I1142">
            <v>1</v>
          </cell>
          <cell r="J1142">
            <v>1</v>
          </cell>
          <cell r="K1142">
            <v>0</v>
          </cell>
          <cell r="L1142">
            <v>0</v>
          </cell>
          <cell r="M1142">
            <v>0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150000</v>
          </cell>
          <cell r="X1142">
            <v>29373.343998357999</v>
          </cell>
          <cell r="Y1142">
            <v>175500</v>
          </cell>
        </row>
        <row r="1143">
          <cell r="E1143">
            <v>0</v>
          </cell>
          <cell r="F1143" t="str">
            <v>DIKI.P</v>
          </cell>
          <cell r="G1143">
            <v>0</v>
          </cell>
          <cell r="H1143">
            <v>0</v>
          </cell>
          <cell r="I1143">
            <v>1</v>
          </cell>
          <cell r="J1143">
            <v>1</v>
          </cell>
          <cell r="K1143">
            <v>1</v>
          </cell>
          <cell r="L1143">
            <v>0</v>
          </cell>
          <cell r="M1143">
            <v>1</v>
          </cell>
          <cell r="N1143">
            <v>0</v>
          </cell>
          <cell r="O1143">
            <v>0</v>
          </cell>
          <cell r="P1143">
            <v>0</v>
          </cell>
          <cell r="Q1143">
            <v>0</v>
          </cell>
          <cell r="R1143">
            <v>0</v>
          </cell>
          <cell r="S1143">
            <v>0</v>
          </cell>
          <cell r="T1143">
            <v>0</v>
          </cell>
          <cell r="U1143">
            <v>0</v>
          </cell>
          <cell r="V1143">
            <v>0</v>
          </cell>
          <cell r="W1143">
            <v>0</v>
          </cell>
          <cell r="X1143">
            <v>0</v>
          </cell>
          <cell r="Y1143">
            <v>53000</v>
          </cell>
        </row>
        <row r="1144">
          <cell r="E1144">
            <v>0</v>
          </cell>
          <cell r="F1144" t="str">
            <v>HOUSVITAL PONSEL</v>
          </cell>
          <cell r="G1144">
            <v>0</v>
          </cell>
          <cell r="H1144">
            <v>0</v>
          </cell>
          <cell r="I1144">
            <v>0</v>
          </cell>
          <cell r="J1144">
            <v>0</v>
          </cell>
          <cell r="K1144">
            <v>0</v>
          </cell>
          <cell r="L1144">
            <v>0</v>
          </cell>
          <cell r="M1144">
            <v>0</v>
          </cell>
          <cell r="N1144">
            <v>0</v>
          </cell>
          <cell r="O1144">
            <v>0</v>
          </cell>
          <cell r="P1144">
            <v>0</v>
          </cell>
          <cell r="Q1144">
            <v>0</v>
          </cell>
          <cell r="R1144">
            <v>0</v>
          </cell>
          <cell r="S1144">
            <v>0</v>
          </cell>
          <cell r="T1144">
            <v>0</v>
          </cell>
          <cell r="U1144">
            <v>0</v>
          </cell>
          <cell r="V1144">
            <v>0</v>
          </cell>
          <cell r="W1144">
            <v>0</v>
          </cell>
          <cell r="X1144">
            <v>47968.427402847003</v>
          </cell>
          <cell r="Y1144">
            <v>0</v>
          </cell>
        </row>
        <row r="1145">
          <cell r="E1145">
            <v>0</v>
          </cell>
          <cell r="F1145" t="str">
            <v>JOVIN CELL</v>
          </cell>
          <cell r="G1145">
            <v>0</v>
          </cell>
          <cell r="H1145">
            <v>0</v>
          </cell>
          <cell r="I1145">
            <v>1</v>
          </cell>
          <cell r="J1145">
            <v>1</v>
          </cell>
          <cell r="K1145">
            <v>0</v>
          </cell>
          <cell r="L1145">
            <v>0</v>
          </cell>
          <cell r="M1145">
            <v>0</v>
          </cell>
          <cell r="N1145">
            <v>0</v>
          </cell>
          <cell r="O1145">
            <v>0</v>
          </cell>
          <cell r="P1145">
            <v>0</v>
          </cell>
          <cell r="Q1145">
            <v>0</v>
          </cell>
          <cell r="R1145">
            <v>0</v>
          </cell>
          <cell r="S1145">
            <v>0</v>
          </cell>
          <cell r="T1145">
            <v>0</v>
          </cell>
          <cell r="U1145">
            <v>0</v>
          </cell>
          <cell r="V1145">
            <v>0</v>
          </cell>
          <cell r="W1145">
            <v>0</v>
          </cell>
          <cell r="X1145">
            <v>15777.25</v>
          </cell>
          <cell r="Y1145">
            <v>56500</v>
          </cell>
        </row>
        <row r="1146">
          <cell r="E1146">
            <v>0</v>
          </cell>
          <cell r="F1146" t="str">
            <v>GREEN MOBILE</v>
          </cell>
          <cell r="G1146">
            <v>0</v>
          </cell>
          <cell r="H1146">
            <v>0</v>
          </cell>
          <cell r="I1146">
            <v>1</v>
          </cell>
          <cell r="J1146">
            <v>1</v>
          </cell>
          <cell r="K1146">
            <v>3</v>
          </cell>
          <cell r="L1146">
            <v>3</v>
          </cell>
          <cell r="M1146">
            <v>0</v>
          </cell>
          <cell r="N1146">
            <v>1</v>
          </cell>
          <cell r="O1146">
            <v>1</v>
          </cell>
          <cell r="P1146">
            <v>0</v>
          </cell>
          <cell r="Q1146">
            <v>3</v>
          </cell>
          <cell r="R1146">
            <v>3</v>
          </cell>
          <cell r="S1146">
            <v>0</v>
          </cell>
          <cell r="T1146">
            <v>0</v>
          </cell>
          <cell r="U1146">
            <v>0</v>
          </cell>
          <cell r="V1146">
            <v>0</v>
          </cell>
          <cell r="W1146">
            <v>0</v>
          </cell>
          <cell r="X1146">
            <v>120783.81000716701</v>
          </cell>
          <cell r="Y1146">
            <v>1053000</v>
          </cell>
        </row>
        <row r="1147">
          <cell r="E1147">
            <v>0</v>
          </cell>
          <cell r="F1147" t="str">
            <v>cahaya.cell</v>
          </cell>
          <cell r="G1147">
            <v>0</v>
          </cell>
          <cell r="H1147">
            <v>0</v>
          </cell>
          <cell r="I1147">
            <v>1</v>
          </cell>
          <cell r="J1147">
            <v>1</v>
          </cell>
          <cell r="K1147">
            <v>1</v>
          </cell>
          <cell r="L1147">
            <v>1</v>
          </cell>
          <cell r="M1147">
            <v>0</v>
          </cell>
          <cell r="N1147">
            <v>1</v>
          </cell>
          <cell r="O1147">
            <v>1</v>
          </cell>
          <cell r="P1147">
            <v>0</v>
          </cell>
          <cell r="Q1147">
            <v>1</v>
          </cell>
          <cell r="R1147">
            <v>1</v>
          </cell>
          <cell r="S1147">
            <v>0</v>
          </cell>
          <cell r="T1147">
            <v>5</v>
          </cell>
          <cell r="U1147">
            <v>0</v>
          </cell>
          <cell r="V1147">
            <v>0</v>
          </cell>
          <cell r="W1147">
            <v>0</v>
          </cell>
          <cell r="X1147">
            <v>35053.838709677002</v>
          </cell>
          <cell r="Y1147">
            <v>56500</v>
          </cell>
        </row>
        <row r="1148">
          <cell r="E1148">
            <v>0</v>
          </cell>
          <cell r="F1148" t="str">
            <v>u yudi yansyah</v>
          </cell>
          <cell r="G1148">
            <v>0</v>
          </cell>
          <cell r="H1148">
            <v>0</v>
          </cell>
          <cell r="I1148">
            <v>1</v>
          </cell>
          <cell r="J1148">
            <v>1</v>
          </cell>
          <cell r="K1148">
            <v>0</v>
          </cell>
          <cell r="L1148">
            <v>0</v>
          </cell>
          <cell r="M1148">
            <v>0</v>
          </cell>
          <cell r="N1148">
            <v>0</v>
          </cell>
          <cell r="O1148">
            <v>0</v>
          </cell>
          <cell r="P1148">
            <v>0</v>
          </cell>
          <cell r="Q1148">
            <v>0</v>
          </cell>
          <cell r="R1148">
            <v>0</v>
          </cell>
          <cell r="S1148">
            <v>0</v>
          </cell>
          <cell r="T1148">
            <v>0</v>
          </cell>
          <cell r="U1148">
            <v>0</v>
          </cell>
          <cell r="V1148">
            <v>0</v>
          </cell>
          <cell r="W1148">
            <v>0</v>
          </cell>
          <cell r="X1148">
            <v>126552.661290323</v>
          </cell>
          <cell r="Y1148">
            <v>54000</v>
          </cell>
        </row>
        <row r="1149">
          <cell r="E1149">
            <v>0</v>
          </cell>
          <cell r="F1149" t="str">
            <v>Joy celluler</v>
          </cell>
          <cell r="G1149">
            <v>0</v>
          </cell>
          <cell r="H1149">
            <v>0</v>
          </cell>
          <cell r="I1149">
            <v>1</v>
          </cell>
          <cell r="J1149">
            <v>1</v>
          </cell>
          <cell r="K1149">
            <v>0</v>
          </cell>
          <cell r="L1149">
            <v>0</v>
          </cell>
          <cell r="M1149">
            <v>0</v>
          </cell>
          <cell r="N1149">
            <v>0</v>
          </cell>
          <cell r="O1149">
            <v>0</v>
          </cell>
          <cell r="P1149">
            <v>0</v>
          </cell>
          <cell r="Q1149">
            <v>0</v>
          </cell>
          <cell r="R1149">
            <v>0</v>
          </cell>
          <cell r="S1149">
            <v>0</v>
          </cell>
          <cell r="T1149">
            <v>0</v>
          </cell>
          <cell r="U1149">
            <v>0</v>
          </cell>
          <cell r="V1149">
            <v>0</v>
          </cell>
          <cell r="W1149">
            <v>0</v>
          </cell>
          <cell r="X1149">
            <v>105829.62400628001</v>
          </cell>
          <cell r="Y1149">
            <v>56500</v>
          </cell>
        </row>
        <row r="1150">
          <cell r="E1150">
            <v>0</v>
          </cell>
          <cell r="F1150" t="str">
            <v>Oke.ponsel</v>
          </cell>
          <cell r="G1150">
            <v>0</v>
          </cell>
          <cell r="H1150">
            <v>0</v>
          </cell>
          <cell r="I1150">
            <v>1</v>
          </cell>
          <cell r="J1150">
            <v>1</v>
          </cell>
          <cell r="K1150">
            <v>4</v>
          </cell>
          <cell r="L1150">
            <v>4</v>
          </cell>
          <cell r="M1150">
            <v>0</v>
          </cell>
          <cell r="N1150">
            <v>0</v>
          </cell>
          <cell r="O1150">
            <v>0</v>
          </cell>
          <cell r="P1150">
            <v>0</v>
          </cell>
          <cell r="Q1150">
            <v>1</v>
          </cell>
          <cell r="R1150">
            <v>1</v>
          </cell>
          <cell r="S1150">
            <v>0</v>
          </cell>
          <cell r="T1150">
            <v>13</v>
          </cell>
          <cell r="U1150">
            <v>2</v>
          </cell>
          <cell r="V1150">
            <v>0</v>
          </cell>
          <cell r="W1150">
            <v>0</v>
          </cell>
          <cell r="X1150">
            <v>75592.588575913993</v>
          </cell>
          <cell r="Y1150">
            <v>56500</v>
          </cell>
        </row>
        <row r="1151">
          <cell r="E1151">
            <v>0</v>
          </cell>
          <cell r="F1151" t="str">
            <v>Asia</v>
          </cell>
          <cell r="G1151">
            <v>0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0</v>
          </cell>
          <cell r="M1151">
            <v>0</v>
          </cell>
          <cell r="N1151">
            <v>0</v>
          </cell>
          <cell r="O1151">
            <v>0</v>
          </cell>
          <cell r="P1151">
            <v>0</v>
          </cell>
          <cell r="Q1151">
            <v>0</v>
          </cell>
          <cell r="R1151">
            <v>0</v>
          </cell>
          <cell r="S1151">
            <v>0</v>
          </cell>
          <cell r="T1151">
            <v>0</v>
          </cell>
          <cell r="U1151">
            <v>0</v>
          </cell>
          <cell r="V1151">
            <v>0</v>
          </cell>
          <cell r="W1151">
            <v>0</v>
          </cell>
          <cell r="X1151">
            <v>438471.98387096799</v>
          </cell>
          <cell r="Y1151">
            <v>418000</v>
          </cell>
        </row>
        <row r="1152">
          <cell r="E1152">
            <v>0</v>
          </cell>
          <cell r="F1152" t="str">
            <v>Toko GVL store</v>
          </cell>
          <cell r="G1152">
            <v>0</v>
          </cell>
          <cell r="H1152">
            <v>0</v>
          </cell>
          <cell r="I1152">
            <v>1</v>
          </cell>
          <cell r="J1152">
            <v>1</v>
          </cell>
          <cell r="K1152">
            <v>3</v>
          </cell>
          <cell r="L1152">
            <v>3</v>
          </cell>
          <cell r="M1152">
            <v>0</v>
          </cell>
          <cell r="N1152">
            <v>0</v>
          </cell>
          <cell r="O1152">
            <v>0</v>
          </cell>
          <cell r="P1152">
            <v>0</v>
          </cell>
          <cell r="Q1152">
            <v>1</v>
          </cell>
          <cell r="R1152">
            <v>1</v>
          </cell>
          <cell r="S1152">
            <v>0</v>
          </cell>
          <cell r="T1152">
            <v>3</v>
          </cell>
          <cell r="U1152">
            <v>1</v>
          </cell>
          <cell r="V1152">
            <v>0</v>
          </cell>
          <cell r="W1152">
            <v>0</v>
          </cell>
          <cell r="X1152">
            <v>282320.24193548399</v>
          </cell>
          <cell r="Y1152">
            <v>56500</v>
          </cell>
        </row>
        <row r="1153">
          <cell r="E1153">
            <v>0</v>
          </cell>
          <cell r="F1153" t="str">
            <v>JAI.CELL</v>
          </cell>
          <cell r="G1153">
            <v>0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0</v>
          </cell>
          <cell r="M1153">
            <v>0</v>
          </cell>
          <cell r="N1153">
            <v>0</v>
          </cell>
          <cell r="O1153">
            <v>0</v>
          </cell>
          <cell r="P1153">
            <v>0</v>
          </cell>
          <cell r="Q1153">
            <v>0</v>
          </cell>
          <cell r="R1153">
            <v>0</v>
          </cell>
          <cell r="S1153">
            <v>0</v>
          </cell>
          <cell r="T1153">
            <v>0</v>
          </cell>
          <cell r="U1153">
            <v>0</v>
          </cell>
          <cell r="V1153">
            <v>0</v>
          </cell>
          <cell r="W1153">
            <v>0</v>
          </cell>
          <cell r="X1153">
            <v>171973.13901020499</v>
          </cell>
          <cell r="Y1153">
            <v>0</v>
          </cell>
        </row>
        <row r="1154">
          <cell r="E1154">
            <v>0</v>
          </cell>
          <cell r="F1154" t="str">
            <v>Optimus mobile</v>
          </cell>
          <cell r="G1154">
            <v>0</v>
          </cell>
          <cell r="H1154">
            <v>0</v>
          </cell>
          <cell r="I1154">
            <v>1</v>
          </cell>
          <cell r="J1154">
            <v>1</v>
          </cell>
          <cell r="K1154">
            <v>4</v>
          </cell>
          <cell r="L1154">
            <v>4</v>
          </cell>
          <cell r="M1154">
            <v>0</v>
          </cell>
          <cell r="N1154">
            <v>0</v>
          </cell>
          <cell r="O1154">
            <v>0</v>
          </cell>
          <cell r="P1154">
            <v>0</v>
          </cell>
          <cell r="Q1154">
            <v>0</v>
          </cell>
          <cell r="R1154">
            <v>0</v>
          </cell>
          <cell r="S1154">
            <v>0</v>
          </cell>
          <cell r="T1154">
            <v>0</v>
          </cell>
          <cell r="U1154">
            <v>1</v>
          </cell>
          <cell r="V1154">
            <v>0</v>
          </cell>
          <cell r="W1154">
            <v>0</v>
          </cell>
          <cell r="X1154">
            <v>181745.74193548399</v>
          </cell>
          <cell r="Y1154">
            <v>56500</v>
          </cell>
        </row>
        <row r="1155">
          <cell r="E1155">
            <v>0</v>
          </cell>
          <cell r="F1155" t="str">
            <v>FAMILY ICE</v>
          </cell>
          <cell r="G1155">
            <v>0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0</v>
          </cell>
          <cell r="M1155">
            <v>0</v>
          </cell>
          <cell r="N1155">
            <v>0</v>
          </cell>
          <cell r="O1155">
            <v>0</v>
          </cell>
          <cell r="P1155">
            <v>0</v>
          </cell>
          <cell r="Q1155">
            <v>0</v>
          </cell>
          <cell r="R1155">
            <v>0</v>
          </cell>
          <cell r="S1155">
            <v>0</v>
          </cell>
          <cell r="T1155">
            <v>0</v>
          </cell>
          <cell r="U1155">
            <v>0</v>
          </cell>
          <cell r="V1155">
            <v>0</v>
          </cell>
          <cell r="W1155">
            <v>0</v>
          </cell>
          <cell r="X1155">
            <v>12282.016129031999</v>
          </cell>
          <cell r="Y1155">
            <v>0</v>
          </cell>
        </row>
        <row r="1156">
          <cell r="E1156">
            <v>0</v>
          </cell>
          <cell r="F1156" t="str">
            <v>AR.celluler</v>
          </cell>
          <cell r="G1156">
            <v>0</v>
          </cell>
          <cell r="H1156">
            <v>0</v>
          </cell>
          <cell r="I1156">
            <v>1</v>
          </cell>
          <cell r="J1156">
            <v>1</v>
          </cell>
          <cell r="K1156">
            <v>1</v>
          </cell>
          <cell r="L1156">
            <v>1</v>
          </cell>
          <cell r="M1156">
            <v>0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129370.693548387</v>
          </cell>
          <cell r="Y1156">
            <v>53000</v>
          </cell>
        </row>
        <row r="1157">
          <cell r="E1157">
            <v>0</v>
          </cell>
          <cell r="F1157" t="str">
            <v>Android Cell</v>
          </cell>
          <cell r="G1157">
            <v>0</v>
          </cell>
          <cell r="H1157">
            <v>0</v>
          </cell>
          <cell r="I1157">
            <v>1</v>
          </cell>
          <cell r="J1157">
            <v>1</v>
          </cell>
          <cell r="K1157">
            <v>1</v>
          </cell>
          <cell r="L1157">
            <v>1</v>
          </cell>
          <cell r="M1157">
            <v>0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35775</v>
          </cell>
          <cell r="Y1157">
            <v>56500</v>
          </cell>
        </row>
        <row r="1158">
          <cell r="E1158">
            <v>0</v>
          </cell>
          <cell r="F1158" t="str">
            <v>Sawargi cell</v>
          </cell>
          <cell r="G1158">
            <v>0</v>
          </cell>
          <cell r="H1158">
            <v>0</v>
          </cell>
          <cell r="I1158">
            <v>1</v>
          </cell>
          <cell r="J1158">
            <v>1</v>
          </cell>
          <cell r="K1158">
            <v>0</v>
          </cell>
          <cell r="L1158">
            <v>0</v>
          </cell>
          <cell r="M1158">
            <v>0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35928.322580644999</v>
          </cell>
          <cell r="Y1158">
            <v>54000</v>
          </cell>
        </row>
        <row r="1159">
          <cell r="E1159">
            <v>0</v>
          </cell>
          <cell r="F1159" t="str">
            <v>Sinar Berkah</v>
          </cell>
          <cell r="G1159">
            <v>0</v>
          </cell>
          <cell r="H1159">
            <v>0</v>
          </cell>
          <cell r="I1159">
            <v>1</v>
          </cell>
          <cell r="J1159">
            <v>1</v>
          </cell>
          <cell r="K1159">
            <v>1</v>
          </cell>
          <cell r="L1159">
            <v>1</v>
          </cell>
          <cell r="M1159">
            <v>0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69329.322580645006</v>
          </cell>
          <cell r="Y1159">
            <v>1054000</v>
          </cell>
        </row>
        <row r="1160">
          <cell r="E1160">
            <v>0</v>
          </cell>
          <cell r="F1160" t="str">
            <v>Hi Gaes Ponsel</v>
          </cell>
          <cell r="G1160">
            <v>0</v>
          </cell>
          <cell r="H1160">
            <v>0</v>
          </cell>
          <cell r="I1160">
            <v>1</v>
          </cell>
          <cell r="J1160">
            <v>1</v>
          </cell>
          <cell r="K1160">
            <v>1</v>
          </cell>
          <cell r="L1160">
            <v>1</v>
          </cell>
          <cell r="M1160">
            <v>0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66143.515003925</v>
          </cell>
          <cell r="Y1160">
            <v>53000</v>
          </cell>
        </row>
        <row r="1161">
          <cell r="E1161">
            <v>0</v>
          </cell>
          <cell r="F1161" t="str">
            <v>HOKI ACC</v>
          </cell>
          <cell r="G1161">
            <v>0</v>
          </cell>
          <cell r="H1161">
            <v>0</v>
          </cell>
          <cell r="I1161">
            <v>1</v>
          </cell>
          <cell r="J1161">
            <v>1</v>
          </cell>
          <cell r="K1161">
            <v>0</v>
          </cell>
          <cell r="L1161">
            <v>0</v>
          </cell>
          <cell r="M1161">
            <v>0</v>
          </cell>
          <cell r="N1161">
            <v>0</v>
          </cell>
          <cell r="O1161">
            <v>0</v>
          </cell>
          <cell r="P1161">
            <v>0</v>
          </cell>
          <cell r="Q1161">
            <v>0</v>
          </cell>
          <cell r="R1161">
            <v>0</v>
          </cell>
          <cell r="S1161">
            <v>0</v>
          </cell>
          <cell r="T1161">
            <v>0</v>
          </cell>
          <cell r="U1161">
            <v>0</v>
          </cell>
          <cell r="V1161">
            <v>0</v>
          </cell>
          <cell r="W1161">
            <v>0</v>
          </cell>
          <cell r="X1161">
            <v>897244.51981949899</v>
          </cell>
          <cell r="Y1161">
            <v>110500</v>
          </cell>
        </row>
        <row r="1162">
          <cell r="E1162">
            <v>0</v>
          </cell>
          <cell r="F1162" t="str">
            <v>Soft ponsel</v>
          </cell>
          <cell r="G1162">
            <v>0</v>
          </cell>
          <cell r="H1162">
            <v>0</v>
          </cell>
          <cell r="I1162">
            <v>0</v>
          </cell>
          <cell r="J1162">
            <v>0</v>
          </cell>
          <cell r="K1162">
            <v>1</v>
          </cell>
          <cell r="L1162">
            <v>1</v>
          </cell>
          <cell r="M1162">
            <v>0</v>
          </cell>
          <cell r="N1162">
            <v>1</v>
          </cell>
          <cell r="O1162">
            <v>1</v>
          </cell>
          <cell r="P1162">
            <v>0</v>
          </cell>
          <cell r="Q1162">
            <v>1</v>
          </cell>
          <cell r="R1162">
            <v>1</v>
          </cell>
          <cell r="S1162">
            <v>0</v>
          </cell>
          <cell r="T1162">
            <v>1</v>
          </cell>
          <cell r="U1162">
            <v>0</v>
          </cell>
          <cell r="V1162">
            <v>0</v>
          </cell>
          <cell r="W1162">
            <v>0</v>
          </cell>
          <cell r="X1162">
            <v>325376.79430502298</v>
          </cell>
          <cell r="Y1162">
            <v>300000</v>
          </cell>
        </row>
        <row r="1163">
          <cell r="E1163">
            <v>0</v>
          </cell>
          <cell r="F1163" t="str">
            <v>ZAHRA PONSEL</v>
          </cell>
          <cell r="G1163">
            <v>0</v>
          </cell>
          <cell r="H1163">
            <v>0</v>
          </cell>
          <cell r="I1163">
            <v>1</v>
          </cell>
          <cell r="J1163">
            <v>1</v>
          </cell>
          <cell r="K1163">
            <v>0</v>
          </cell>
          <cell r="L1163">
            <v>0</v>
          </cell>
          <cell r="M1163">
            <v>0</v>
          </cell>
          <cell r="N1163">
            <v>0</v>
          </cell>
          <cell r="O1163">
            <v>0</v>
          </cell>
          <cell r="P1163">
            <v>0</v>
          </cell>
          <cell r="Q1163">
            <v>0</v>
          </cell>
          <cell r="R1163">
            <v>0</v>
          </cell>
          <cell r="S1163">
            <v>0</v>
          </cell>
          <cell r="T1163">
            <v>0</v>
          </cell>
          <cell r="U1163">
            <v>0</v>
          </cell>
          <cell r="V1163">
            <v>0</v>
          </cell>
          <cell r="W1163">
            <v>0</v>
          </cell>
          <cell r="X1163">
            <v>124863.870967742</v>
          </cell>
          <cell r="Y1163">
            <v>53000</v>
          </cell>
        </row>
        <row r="1164">
          <cell r="E1164">
            <v>0</v>
          </cell>
          <cell r="F1164" t="str">
            <v>Mekar Jaya</v>
          </cell>
          <cell r="G1164">
            <v>0</v>
          </cell>
          <cell r="H1164">
            <v>0</v>
          </cell>
          <cell r="I1164">
            <v>1</v>
          </cell>
          <cell r="J1164">
            <v>1</v>
          </cell>
          <cell r="K1164">
            <v>0</v>
          </cell>
          <cell r="L1164">
            <v>0</v>
          </cell>
          <cell r="M1164">
            <v>0</v>
          </cell>
          <cell r="N1164">
            <v>0</v>
          </cell>
          <cell r="O1164">
            <v>0</v>
          </cell>
          <cell r="P1164">
            <v>0</v>
          </cell>
          <cell r="Q1164">
            <v>0</v>
          </cell>
          <cell r="R1164">
            <v>0</v>
          </cell>
          <cell r="S1164">
            <v>0</v>
          </cell>
          <cell r="T1164">
            <v>0</v>
          </cell>
          <cell r="U1164">
            <v>0</v>
          </cell>
          <cell r="V1164">
            <v>0</v>
          </cell>
          <cell r="W1164">
            <v>0</v>
          </cell>
          <cell r="X1164">
            <v>256981.29032258099</v>
          </cell>
          <cell r="Y1164">
            <v>53000</v>
          </cell>
        </row>
        <row r="1165">
          <cell r="E1165">
            <v>0</v>
          </cell>
          <cell r="F1165" t="str">
            <v>Warung Dini</v>
          </cell>
          <cell r="G1165">
            <v>0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0</v>
          </cell>
          <cell r="M1165">
            <v>0</v>
          </cell>
          <cell r="N1165">
            <v>0</v>
          </cell>
          <cell r="O1165">
            <v>0</v>
          </cell>
          <cell r="P1165">
            <v>0</v>
          </cell>
          <cell r="Q1165">
            <v>0</v>
          </cell>
          <cell r="R1165">
            <v>0</v>
          </cell>
          <cell r="S1165">
            <v>0</v>
          </cell>
          <cell r="T1165">
            <v>0</v>
          </cell>
          <cell r="U1165">
            <v>0</v>
          </cell>
          <cell r="V1165">
            <v>0</v>
          </cell>
          <cell r="W1165">
            <v>0</v>
          </cell>
          <cell r="X1165">
            <v>117367.580645161</v>
          </cell>
          <cell r="Y1165">
            <v>0</v>
          </cell>
        </row>
        <row r="1166">
          <cell r="E1166">
            <v>0</v>
          </cell>
          <cell r="F1166" t="str">
            <v>NSC</v>
          </cell>
          <cell r="G1166">
            <v>0</v>
          </cell>
          <cell r="H1166">
            <v>0</v>
          </cell>
          <cell r="I1166">
            <v>1</v>
          </cell>
          <cell r="J1166">
            <v>1</v>
          </cell>
          <cell r="K1166">
            <v>0</v>
          </cell>
          <cell r="L1166">
            <v>0</v>
          </cell>
          <cell r="M1166">
            <v>0</v>
          </cell>
          <cell r="N1166">
            <v>0</v>
          </cell>
          <cell r="O1166">
            <v>0</v>
          </cell>
          <cell r="P1166">
            <v>0</v>
          </cell>
          <cell r="Q1166">
            <v>0</v>
          </cell>
          <cell r="R1166">
            <v>0</v>
          </cell>
          <cell r="S1166">
            <v>0</v>
          </cell>
          <cell r="T1166">
            <v>0</v>
          </cell>
          <cell r="U1166">
            <v>0</v>
          </cell>
          <cell r="V1166">
            <v>0</v>
          </cell>
          <cell r="W1166">
            <v>0</v>
          </cell>
          <cell r="X1166">
            <v>102337.838709677</v>
          </cell>
          <cell r="Y1166">
            <v>113000</v>
          </cell>
        </row>
        <row r="1167">
          <cell r="E1167">
            <v>0</v>
          </cell>
          <cell r="F1167" t="str">
            <v>Jaya langgeng</v>
          </cell>
          <cell r="G1167">
            <v>0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0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>
            <v>0</v>
          </cell>
          <cell r="V1167">
            <v>0</v>
          </cell>
          <cell r="W1167">
            <v>0</v>
          </cell>
          <cell r="X1167">
            <v>0</v>
          </cell>
          <cell r="Y1167">
            <v>0</v>
          </cell>
        </row>
        <row r="1168">
          <cell r="E1168">
            <v>0</v>
          </cell>
          <cell r="F1168" t="str">
            <v>Channels cell</v>
          </cell>
          <cell r="G1168">
            <v>0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0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>
            <v>0</v>
          </cell>
          <cell r="V1168">
            <v>0</v>
          </cell>
          <cell r="W1168">
            <v>0</v>
          </cell>
          <cell r="X1168">
            <v>0</v>
          </cell>
          <cell r="Y1168">
            <v>0</v>
          </cell>
        </row>
        <row r="1169">
          <cell r="E1169">
            <v>0</v>
          </cell>
          <cell r="F1169" t="str">
            <v>Ricky gadged</v>
          </cell>
          <cell r="G1169">
            <v>0</v>
          </cell>
          <cell r="H1169">
            <v>0</v>
          </cell>
          <cell r="I1169">
            <v>1</v>
          </cell>
          <cell r="J1169">
            <v>1</v>
          </cell>
          <cell r="K1169">
            <v>0</v>
          </cell>
          <cell r="L1169">
            <v>0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>
            <v>0</v>
          </cell>
          <cell r="V1169">
            <v>0</v>
          </cell>
          <cell r="W1169">
            <v>0</v>
          </cell>
          <cell r="X1169">
            <v>2654095.6451612911</v>
          </cell>
          <cell r="Y1169">
            <v>110500</v>
          </cell>
        </row>
        <row r="1170">
          <cell r="E1170">
            <v>0</v>
          </cell>
          <cell r="F1170" t="str">
            <v>JJ cellular</v>
          </cell>
          <cell r="G1170">
            <v>0</v>
          </cell>
          <cell r="H1170">
            <v>0</v>
          </cell>
          <cell r="I1170">
            <v>1</v>
          </cell>
          <cell r="J1170">
            <v>1</v>
          </cell>
          <cell r="K1170">
            <v>0</v>
          </cell>
          <cell r="L1170">
            <v>0</v>
          </cell>
          <cell r="M1170">
            <v>0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>
            <v>0</v>
          </cell>
          <cell r="V1170">
            <v>0</v>
          </cell>
          <cell r="W1170">
            <v>0</v>
          </cell>
          <cell r="X1170">
            <v>269343.22580645198</v>
          </cell>
          <cell r="Y1170">
            <v>53000</v>
          </cell>
        </row>
        <row r="1171">
          <cell r="E1171">
            <v>0</v>
          </cell>
          <cell r="F1171" t="str">
            <v>Toko aneka</v>
          </cell>
          <cell r="G1171">
            <v>0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0</v>
          </cell>
          <cell r="M1171">
            <v>0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>
            <v>0</v>
          </cell>
          <cell r="V1171">
            <v>0</v>
          </cell>
          <cell r="W1171">
            <v>0</v>
          </cell>
          <cell r="X1171">
            <v>118102.25806451601</v>
          </cell>
          <cell r="Y1171">
            <v>0</v>
          </cell>
        </row>
        <row r="1172">
          <cell r="E1172">
            <v>0</v>
          </cell>
          <cell r="F1172" t="str">
            <v>Apo</v>
          </cell>
          <cell r="G1172">
            <v>0</v>
          </cell>
          <cell r="H1172">
            <v>0</v>
          </cell>
          <cell r="I1172">
            <v>1</v>
          </cell>
          <cell r="J1172">
            <v>1</v>
          </cell>
          <cell r="K1172">
            <v>100</v>
          </cell>
          <cell r="L1172">
            <v>100</v>
          </cell>
          <cell r="M1172">
            <v>0</v>
          </cell>
          <cell r="N1172">
            <v>0</v>
          </cell>
          <cell r="O1172">
            <v>0</v>
          </cell>
          <cell r="P1172">
            <v>0</v>
          </cell>
          <cell r="Q1172">
            <v>0</v>
          </cell>
          <cell r="R1172">
            <v>0</v>
          </cell>
          <cell r="S1172">
            <v>0</v>
          </cell>
          <cell r="T1172">
            <v>0</v>
          </cell>
          <cell r="U1172">
            <v>100</v>
          </cell>
          <cell r="V1172">
            <v>0</v>
          </cell>
          <cell r="W1172">
            <v>0</v>
          </cell>
          <cell r="X1172">
            <v>501662.80645161303</v>
          </cell>
          <cell r="Y1172">
            <v>56500</v>
          </cell>
        </row>
        <row r="1173">
          <cell r="E1173">
            <v>0</v>
          </cell>
          <cell r="F1173" t="str">
            <v>Amanah komputer</v>
          </cell>
          <cell r="G1173">
            <v>0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0</v>
          </cell>
          <cell r="M1173">
            <v>0</v>
          </cell>
          <cell r="N1173">
            <v>0</v>
          </cell>
          <cell r="O1173">
            <v>0</v>
          </cell>
          <cell r="P1173">
            <v>0</v>
          </cell>
          <cell r="Q1173">
            <v>0</v>
          </cell>
          <cell r="R1173">
            <v>0</v>
          </cell>
          <cell r="S1173">
            <v>0</v>
          </cell>
          <cell r="T1173">
            <v>0</v>
          </cell>
          <cell r="U1173">
            <v>0</v>
          </cell>
          <cell r="V1173">
            <v>0</v>
          </cell>
          <cell r="W1173">
            <v>0</v>
          </cell>
          <cell r="X1173">
            <v>112496.61290322601</v>
          </cell>
          <cell r="Y1173">
            <v>0</v>
          </cell>
        </row>
        <row r="1174">
          <cell r="E1174">
            <v>0</v>
          </cell>
          <cell r="F1174" t="str">
            <v>W.Mitra</v>
          </cell>
          <cell r="G1174">
            <v>0</v>
          </cell>
          <cell r="H1174">
            <v>0</v>
          </cell>
          <cell r="I1174">
            <v>0</v>
          </cell>
          <cell r="J1174">
            <v>0</v>
          </cell>
          <cell r="K1174">
            <v>0</v>
          </cell>
          <cell r="L1174">
            <v>0</v>
          </cell>
          <cell r="M1174">
            <v>0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0</v>
          </cell>
          <cell r="U1174">
            <v>0</v>
          </cell>
          <cell r="V1174">
            <v>0</v>
          </cell>
          <cell r="W1174">
            <v>0</v>
          </cell>
          <cell r="X1174">
            <v>185968.70967741901</v>
          </cell>
          <cell r="Y1174">
            <v>0</v>
          </cell>
        </row>
        <row r="1175">
          <cell r="E1175">
            <v>0</v>
          </cell>
          <cell r="F1175" t="str">
            <v>GIANT PONSEL</v>
          </cell>
          <cell r="G1175">
            <v>0</v>
          </cell>
          <cell r="H1175">
            <v>0</v>
          </cell>
          <cell r="I1175">
            <v>1</v>
          </cell>
          <cell r="J1175">
            <v>1</v>
          </cell>
          <cell r="K1175">
            <v>0</v>
          </cell>
          <cell r="L1175">
            <v>0</v>
          </cell>
          <cell r="M1175">
            <v>0</v>
          </cell>
          <cell r="N1175">
            <v>0</v>
          </cell>
          <cell r="O1175">
            <v>0</v>
          </cell>
          <cell r="P1175">
            <v>0</v>
          </cell>
          <cell r="Q1175">
            <v>0</v>
          </cell>
          <cell r="R1175">
            <v>0</v>
          </cell>
          <cell r="S1175">
            <v>0</v>
          </cell>
          <cell r="T1175">
            <v>0</v>
          </cell>
          <cell r="U1175">
            <v>0</v>
          </cell>
          <cell r="V1175">
            <v>0</v>
          </cell>
          <cell r="W1175">
            <v>0</v>
          </cell>
          <cell r="X1175">
            <v>150534.193548387</v>
          </cell>
          <cell r="Y1175">
            <v>53000</v>
          </cell>
        </row>
        <row r="1176">
          <cell r="E1176">
            <v>0</v>
          </cell>
          <cell r="F1176" t="str">
            <v>VVC Ponsel</v>
          </cell>
          <cell r="G1176">
            <v>0</v>
          </cell>
          <cell r="H1176">
            <v>0</v>
          </cell>
          <cell r="I1176">
            <v>1</v>
          </cell>
          <cell r="J1176">
            <v>1</v>
          </cell>
          <cell r="K1176">
            <v>0</v>
          </cell>
          <cell r="L1176">
            <v>0</v>
          </cell>
          <cell r="M1176">
            <v>0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186245.16129032301</v>
          </cell>
          <cell r="Y1176">
            <v>54000</v>
          </cell>
        </row>
        <row r="1177">
          <cell r="E1177">
            <v>0</v>
          </cell>
          <cell r="F1177" t="str">
            <v>Sinar ponsel</v>
          </cell>
          <cell r="G1177">
            <v>0</v>
          </cell>
          <cell r="H1177">
            <v>0</v>
          </cell>
          <cell r="I1177">
            <v>0</v>
          </cell>
          <cell r="J1177">
            <v>0</v>
          </cell>
          <cell r="K1177">
            <v>0</v>
          </cell>
          <cell r="L1177">
            <v>0</v>
          </cell>
          <cell r="M1177">
            <v>0</v>
          </cell>
          <cell r="N1177">
            <v>0</v>
          </cell>
          <cell r="O1177">
            <v>0</v>
          </cell>
          <cell r="P1177">
            <v>0</v>
          </cell>
          <cell r="Q1177">
            <v>0</v>
          </cell>
          <cell r="R1177">
            <v>0</v>
          </cell>
          <cell r="S1177">
            <v>0</v>
          </cell>
          <cell r="T1177">
            <v>0</v>
          </cell>
          <cell r="U1177">
            <v>0</v>
          </cell>
          <cell r="V1177">
            <v>0</v>
          </cell>
          <cell r="W1177">
            <v>0</v>
          </cell>
          <cell r="X1177">
            <v>0</v>
          </cell>
          <cell r="Y1177">
            <v>0</v>
          </cell>
        </row>
        <row r="1178">
          <cell r="E1178">
            <v>0</v>
          </cell>
          <cell r="F1178" t="str">
            <v>Cyber phone</v>
          </cell>
          <cell r="G1178">
            <v>0</v>
          </cell>
          <cell r="H1178">
            <v>0</v>
          </cell>
          <cell r="I1178">
            <v>1</v>
          </cell>
          <cell r="J1178">
            <v>1</v>
          </cell>
          <cell r="K1178">
            <v>1</v>
          </cell>
          <cell r="L1178">
            <v>1</v>
          </cell>
          <cell r="M1178">
            <v>0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215097.58064516101</v>
          </cell>
          <cell r="Y1178">
            <v>54000</v>
          </cell>
        </row>
        <row r="1179">
          <cell r="E1179">
            <v>0</v>
          </cell>
          <cell r="F1179" t="str">
            <v>dolphin celluler</v>
          </cell>
          <cell r="G1179">
            <v>0</v>
          </cell>
          <cell r="H1179">
            <v>0</v>
          </cell>
          <cell r="I1179">
            <v>1</v>
          </cell>
          <cell r="J1179">
            <v>1</v>
          </cell>
          <cell r="K1179">
            <v>0</v>
          </cell>
          <cell r="L1179">
            <v>0</v>
          </cell>
          <cell r="M1179">
            <v>0</v>
          </cell>
          <cell r="N1179">
            <v>0</v>
          </cell>
          <cell r="O1179">
            <v>0</v>
          </cell>
          <cell r="P1179">
            <v>0</v>
          </cell>
          <cell r="Q1179">
            <v>0</v>
          </cell>
          <cell r="R1179">
            <v>0</v>
          </cell>
          <cell r="S1179">
            <v>0</v>
          </cell>
          <cell r="T1179">
            <v>0</v>
          </cell>
          <cell r="U1179">
            <v>0</v>
          </cell>
          <cell r="V1179">
            <v>0</v>
          </cell>
          <cell r="W1179">
            <v>0</v>
          </cell>
          <cell r="X1179">
            <v>107639.11290322601</v>
          </cell>
          <cell r="Y1179">
            <v>164500</v>
          </cell>
        </row>
        <row r="1180">
          <cell r="E1180">
            <v>0</v>
          </cell>
          <cell r="F1180" t="str">
            <v>GALAXY CELL</v>
          </cell>
          <cell r="G1180">
            <v>0</v>
          </cell>
          <cell r="H1180">
            <v>0</v>
          </cell>
          <cell r="I1180">
            <v>0</v>
          </cell>
          <cell r="J1180">
            <v>0</v>
          </cell>
          <cell r="K1180">
            <v>1</v>
          </cell>
          <cell r="L1180">
            <v>1</v>
          </cell>
          <cell r="M1180">
            <v>0</v>
          </cell>
          <cell r="N1180">
            <v>0</v>
          </cell>
          <cell r="O1180">
            <v>0</v>
          </cell>
          <cell r="P1180">
            <v>0</v>
          </cell>
          <cell r="Q1180">
            <v>0</v>
          </cell>
          <cell r="R1180">
            <v>0</v>
          </cell>
          <cell r="S1180">
            <v>0</v>
          </cell>
          <cell r="T1180">
            <v>0</v>
          </cell>
          <cell r="U1180">
            <v>0</v>
          </cell>
          <cell r="V1180">
            <v>0</v>
          </cell>
          <cell r="W1180">
            <v>0</v>
          </cell>
          <cell r="X1180">
            <v>868782.17741935502</v>
          </cell>
          <cell r="Y1180">
            <v>500000</v>
          </cell>
        </row>
        <row r="1181">
          <cell r="E1181">
            <v>0</v>
          </cell>
          <cell r="F1181" t="str">
            <v>Askar Mukti jaya</v>
          </cell>
          <cell r="G1181">
            <v>0</v>
          </cell>
          <cell r="H1181">
            <v>0</v>
          </cell>
          <cell r="I1181">
            <v>1</v>
          </cell>
          <cell r="J1181">
            <v>1</v>
          </cell>
          <cell r="K1181">
            <v>0</v>
          </cell>
          <cell r="L1181">
            <v>0</v>
          </cell>
          <cell r="M1181">
            <v>0</v>
          </cell>
          <cell r="N1181">
            <v>0</v>
          </cell>
          <cell r="O1181">
            <v>0</v>
          </cell>
          <cell r="P1181">
            <v>0</v>
          </cell>
          <cell r="Q1181">
            <v>0</v>
          </cell>
          <cell r="R1181">
            <v>0</v>
          </cell>
          <cell r="S1181">
            <v>0</v>
          </cell>
          <cell r="T1181">
            <v>0</v>
          </cell>
          <cell r="U1181">
            <v>0</v>
          </cell>
          <cell r="V1181">
            <v>0</v>
          </cell>
          <cell r="W1181">
            <v>0</v>
          </cell>
          <cell r="X1181">
            <v>161300.32258064501</v>
          </cell>
          <cell r="Y1181">
            <v>54000</v>
          </cell>
        </row>
        <row r="1182">
          <cell r="E1182">
            <v>0</v>
          </cell>
          <cell r="F1182" t="str">
            <v>Boss ponsel</v>
          </cell>
          <cell r="G1182">
            <v>0</v>
          </cell>
          <cell r="H1182">
            <v>0</v>
          </cell>
          <cell r="I1182">
            <v>0</v>
          </cell>
          <cell r="J1182">
            <v>0</v>
          </cell>
          <cell r="K1182">
            <v>16</v>
          </cell>
          <cell r="L1182">
            <v>16</v>
          </cell>
          <cell r="M1182">
            <v>0</v>
          </cell>
          <cell r="N1182">
            <v>9</v>
          </cell>
          <cell r="O1182">
            <v>9</v>
          </cell>
          <cell r="P1182">
            <v>0</v>
          </cell>
          <cell r="Q1182">
            <v>10</v>
          </cell>
          <cell r="R1182">
            <v>10</v>
          </cell>
          <cell r="S1182">
            <v>0</v>
          </cell>
          <cell r="T1182">
            <v>0</v>
          </cell>
          <cell r="U1182">
            <v>4</v>
          </cell>
          <cell r="V1182">
            <v>0</v>
          </cell>
          <cell r="W1182">
            <v>0</v>
          </cell>
          <cell r="X1182">
            <v>805476.82757065503</v>
          </cell>
          <cell r="Y1182">
            <v>0</v>
          </cell>
        </row>
        <row r="1183">
          <cell r="E1183">
            <v>0</v>
          </cell>
          <cell r="F1183" t="str">
            <v>One Ponsel</v>
          </cell>
          <cell r="G1183">
            <v>0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0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>
            <v>0</v>
          </cell>
          <cell r="V1183">
            <v>0</v>
          </cell>
          <cell r="W1183">
            <v>0</v>
          </cell>
          <cell r="X1183">
            <v>284401.54838709702</v>
          </cell>
          <cell r="Y1183">
            <v>0</v>
          </cell>
        </row>
        <row r="1184">
          <cell r="E1184">
            <v>0</v>
          </cell>
          <cell r="F1184" t="str">
            <v>Fn pulsa</v>
          </cell>
          <cell r="G1184">
            <v>0</v>
          </cell>
          <cell r="H1184">
            <v>0</v>
          </cell>
          <cell r="I1184">
            <v>1</v>
          </cell>
          <cell r="J1184">
            <v>1</v>
          </cell>
          <cell r="K1184">
            <v>0</v>
          </cell>
          <cell r="L1184">
            <v>0</v>
          </cell>
          <cell r="M1184">
            <v>0</v>
          </cell>
          <cell r="N1184">
            <v>0</v>
          </cell>
          <cell r="O1184">
            <v>0</v>
          </cell>
          <cell r="P1184">
            <v>0</v>
          </cell>
          <cell r="Q1184">
            <v>0</v>
          </cell>
          <cell r="R1184">
            <v>0</v>
          </cell>
          <cell r="S1184">
            <v>0</v>
          </cell>
          <cell r="T1184">
            <v>0</v>
          </cell>
          <cell r="U1184">
            <v>0</v>
          </cell>
          <cell r="V1184">
            <v>0</v>
          </cell>
          <cell r="W1184">
            <v>0</v>
          </cell>
          <cell r="X1184">
            <v>123810.483870968</v>
          </cell>
          <cell r="Y1184">
            <v>54000</v>
          </cell>
        </row>
        <row r="1185">
          <cell r="E1185">
            <v>0</v>
          </cell>
          <cell r="F1185" t="str">
            <v>CROWN CELL</v>
          </cell>
          <cell r="G1185">
            <v>0</v>
          </cell>
          <cell r="H1185">
            <v>0</v>
          </cell>
          <cell r="I1185">
            <v>1</v>
          </cell>
          <cell r="J1185">
            <v>1</v>
          </cell>
          <cell r="K1185">
            <v>0</v>
          </cell>
          <cell r="L1185">
            <v>0</v>
          </cell>
          <cell r="M1185">
            <v>0</v>
          </cell>
          <cell r="N1185">
            <v>0</v>
          </cell>
          <cell r="O1185">
            <v>0</v>
          </cell>
          <cell r="P1185">
            <v>0</v>
          </cell>
          <cell r="Q1185">
            <v>0</v>
          </cell>
          <cell r="R1185">
            <v>0</v>
          </cell>
          <cell r="S1185">
            <v>0</v>
          </cell>
          <cell r="T1185">
            <v>0</v>
          </cell>
          <cell r="U1185">
            <v>0</v>
          </cell>
          <cell r="V1185">
            <v>0</v>
          </cell>
          <cell r="W1185">
            <v>0</v>
          </cell>
          <cell r="X1185">
            <v>357198.06451612897</v>
          </cell>
          <cell r="Y1185">
            <v>53000</v>
          </cell>
        </row>
        <row r="1186">
          <cell r="E1186">
            <v>0</v>
          </cell>
          <cell r="F1186" t="str">
            <v>GG celluler</v>
          </cell>
          <cell r="G1186">
            <v>0</v>
          </cell>
          <cell r="H1186">
            <v>0</v>
          </cell>
          <cell r="I1186">
            <v>1</v>
          </cell>
          <cell r="J1186">
            <v>1</v>
          </cell>
          <cell r="K1186">
            <v>1</v>
          </cell>
          <cell r="L1186">
            <v>1</v>
          </cell>
          <cell r="M1186">
            <v>0</v>
          </cell>
          <cell r="N1186">
            <v>1</v>
          </cell>
          <cell r="O1186">
            <v>1</v>
          </cell>
          <cell r="P1186">
            <v>0</v>
          </cell>
          <cell r="Q1186">
            <v>1</v>
          </cell>
          <cell r="R1186">
            <v>1</v>
          </cell>
          <cell r="S1186">
            <v>0</v>
          </cell>
          <cell r="T1186">
            <v>1</v>
          </cell>
          <cell r="U1186">
            <v>0</v>
          </cell>
          <cell r="V1186">
            <v>0</v>
          </cell>
          <cell r="W1186">
            <v>0</v>
          </cell>
          <cell r="X1186">
            <v>233965.78</v>
          </cell>
          <cell r="Y1186">
            <v>554000</v>
          </cell>
        </row>
        <row r="1187">
          <cell r="E1187">
            <v>0</v>
          </cell>
          <cell r="F1187" t="str">
            <v>Toko Siaga Jaya</v>
          </cell>
          <cell r="G1187">
            <v>0</v>
          </cell>
          <cell r="H1187">
            <v>0</v>
          </cell>
          <cell r="I1187">
            <v>1</v>
          </cell>
          <cell r="J1187">
            <v>1</v>
          </cell>
          <cell r="K1187">
            <v>0</v>
          </cell>
          <cell r="L1187">
            <v>0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127816.935483871</v>
          </cell>
          <cell r="Y1187">
            <v>53000</v>
          </cell>
        </row>
        <row r="1188">
          <cell r="E1188">
            <v>0</v>
          </cell>
          <cell r="F1188" t="str">
            <v>2000cell</v>
          </cell>
          <cell r="G1188">
            <v>0</v>
          </cell>
          <cell r="H1188">
            <v>0</v>
          </cell>
          <cell r="I1188">
            <v>1</v>
          </cell>
          <cell r="J1188">
            <v>1</v>
          </cell>
          <cell r="K1188">
            <v>2</v>
          </cell>
          <cell r="L1188">
            <v>2</v>
          </cell>
          <cell r="M1188">
            <v>0</v>
          </cell>
          <cell r="N1188">
            <v>0</v>
          </cell>
          <cell r="O1188">
            <v>0</v>
          </cell>
          <cell r="P1188">
            <v>0</v>
          </cell>
          <cell r="Q1188">
            <v>0</v>
          </cell>
          <cell r="R1188">
            <v>0</v>
          </cell>
          <cell r="S1188">
            <v>0</v>
          </cell>
          <cell r="T1188">
            <v>0</v>
          </cell>
          <cell r="U1188">
            <v>2</v>
          </cell>
          <cell r="V1188">
            <v>0</v>
          </cell>
          <cell r="W1188">
            <v>0</v>
          </cell>
          <cell r="X1188">
            <v>203693.54838709699</v>
          </cell>
          <cell r="Y1188">
            <v>54000</v>
          </cell>
        </row>
        <row r="1189">
          <cell r="E1189">
            <v>0</v>
          </cell>
          <cell r="F1189" t="str">
            <v>Darussalam parfum</v>
          </cell>
          <cell r="G1189">
            <v>0</v>
          </cell>
          <cell r="H1189">
            <v>0</v>
          </cell>
          <cell r="I1189">
            <v>1</v>
          </cell>
          <cell r="J1189">
            <v>1</v>
          </cell>
          <cell r="K1189">
            <v>0</v>
          </cell>
          <cell r="L1189">
            <v>0</v>
          </cell>
          <cell r="M1189">
            <v>0</v>
          </cell>
          <cell r="N1189">
            <v>0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>
            <v>0</v>
          </cell>
          <cell r="T1189">
            <v>3</v>
          </cell>
          <cell r="U1189">
            <v>0</v>
          </cell>
          <cell r="V1189">
            <v>0</v>
          </cell>
          <cell r="W1189">
            <v>0</v>
          </cell>
          <cell r="X1189">
            <v>595993.38709677395</v>
          </cell>
          <cell r="Y1189">
            <v>122000</v>
          </cell>
        </row>
        <row r="1190">
          <cell r="E1190">
            <v>0</v>
          </cell>
          <cell r="F1190" t="str">
            <v>Hyper Ponsel</v>
          </cell>
          <cell r="G1190">
            <v>0</v>
          </cell>
          <cell r="H1190">
            <v>0</v>
          </cell>
          <cell r="I1190">
            <v>1</v>
          </cell>
          <cell r="J1190">
            <v>1</v>
          </cell>
          <cell r="K1190">
            <v>0</v>
          </cell>
          <cell r="L1190">
            <v>0</v>
          </cell>
          <cell r="M1190">
            <v>0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0</v>
          </cell>
          <cell r="U1190">
            <v>0</v>
          </cell>
          <cell r="V1190">
            <v>0</v>
          </cell>
          <cell r="W1190">
            <v>0</v>
          </cell>
          <cell r="X1190">
            <v>97600</v>
          </cell>
          <cell r="Y1190">
            <v>107000</v>
          </cell>
        </row>
        <row r="1191">
          <cell r="E1191">
            <v>0</v>
          </cell>
          <cell r="F1191" t="str">
            <v>CK Ponsel</v>
          </cell>
          <cell r="G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0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  <cell r="Q1191">
            <v>0</v>
          </cell>
          <cell r="R1191">
            <v>0</v>
          </cell>
          <cell r="S1191">
            <v>0</v>
          </cell>
          <cell r="T1191">
            <v>0</v>
          </cell>
          <cell r="U1191">
            <v>0</v>
          </cell>
          <cell r="V1191">
            <v>0</v>
          </cell>
          <cell r="W1191">
            <v>0</v>
          </cell>
          <cell r="X1191">
            <v>0</v>
          </cell>
          <cell r="Y1191">
            <v>0</v>
          </cell>
        </row>
        <row r="1192">
          <cell r="E1192">
            <v>0</v>
          </cell>
          <cell r="F1192" t="str">
            <v>VIRGANDRA PONSEL</v>
          </cell>
          <cell r="G1192">
            <v>0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0</v>
          </cell>
          <cell r="M1192">
            <v>0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0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</row>
        <row r="1193">
          <cell r="E1193">
            <v>0</v>
          </cell>
          <cell r="F1193" t="str">
            <v>ERGAN CELL</v>
          </cell>
          <cell r="G1193">
            <v>0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0</v>
          </cell>
          <cell r="M1193">
            <v>0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>
            <v>0</v>
          </cell>
          <cell r="T1193">
            <v>0</v>
          </cell>
          <cell r="U1193">
            <v>0</v>
          </cell>
          <cell r="V1193">
            <v>0</v>
          </cell>
          <cell r="W1193">
            <v>0</v>
          </cell>
          <cell r="X1193">
            <v>0</v>
          </cell>
          <cell r="Y1193">
            <v>0</v>
          </cell>
        </row>
        <row r="1194">
          <cell r="E1194">
            <v>0</v>
          </cell>
          <cell r="F1194" t="str">
            <v>Asia ponsel</v>
          </cell>
          <cell r="G1194">
            <v>0</v>
          </cell>
          <cell r="H1194">
            <v>0</v>
          </cell>
          <cell r="I1194">
            <v>1</v>
          </cell>
          <cell r="J1194">
            <v>1</v>
          </cell>
          <cell r="K1194">
            <v>0</v>
          </cell>
          <cell r="L1194">
            <v>0</v>
          </cell>
          <cell r="M1194">
            <v>0</v>
          </cell>
          <cell r="N1194">
            <v>0</v>
          </cell>
          <cell r="O1194">
            <v>0</v>
          </cell>
          <cell r="P1194">
            <v>0</v>
          </cell>
          <cell r="Q1194">
            <v>0</v>
          </cell>
          <cell r="R1194">
            <v>0</v>
          </cell>
          <cell r="S1194">
            <v>0</v>
          </cell>
          <cell r="T1194">
            <v>0</v>
          </cell>
          <cell r="U1194">
            <v>0</v>
          </cell>
          <cell r="V1194">
            <v>0</v>
          </cell>
          <cell r="W1194">
            <v>0</v>
          </cell>
          <cell r="X1194">
            <v>139907.66129032301</v>
          </cell>
          <cell r="Y1194">
            <v>54000</v>
          </cell>
        </row>
        <row r="1195">
          <cell r="E1195">
            <v>0</v>
          </cell>
          <cell r="F1195" t="str">
            <v>Elly Cell</v>
          </cell>
          <cell r="G1195">
            <v>0</v>
          </cell>
          <cell r="H1195">
            <v>0</v>
          </cell>
          <cell r="I1195">
            <v>0</v>
          </cell>
          <cell r="J1195">
            <v>0</v>
          </cell>
          <cell r="K1195">
            <v>0</v>
          </cell>
          <cell r="L1195">
            <v>0</v>
          </cell>
          <cell r="M1195">
            <v>0</v>
          </cell>
          <cell r="N1195">
            <v>0</v>
          </cell>
          <cell r="O1195">
            <v>0</v>
          </cell>
          <cell r="P1195">
            <v>0</v>
          </cell>
          <cell r="Q1195">
            <v>0</v>
          </cell>
          <cell r="R1195">
            <v>0</v>
          </cell>
          <cell r="S1195">
            <v>0</v>
          </cell>
          <cell r="T1195">
            <v>0</v>
          </cell>
          <cell r="U1195">
            <v>0</v>
          </cell>
          <cell r="V1195">
            <v>0</v>
          </cell>
          <cell r="W1195">
            <v>0</v>
          </cell>
          <cell r="X1195">
            <v>0</v>
          </cell>
          <cell r="Y1195">
            <v>0</v>
          </cell>
        </row>
        <row r="1196">
          <cell r="E1196">
            <v>0</v>
          </cell>
          <cell r="F1196" t="str">
            <v>INDAH CELL</v>
          </cell>
          <cell r="G1196">
            <v>0</v>
          </cell>
          <cell r="H1196">
            <v>0</v>
          </cell>
          <cell r="I1196">
            <v>0</v>
          </cell>
          <cell r="J1196">
            <v>0</v>
          </cell>
          <cell r="K1196">
            <v>0</v>
          </cell>
          <cell r="L1196">
            <v>0</v>
          </cell>
          <cell r="M1196">
            <v>0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</row>
        <row r="1197">
          <cell r="E1197">
            <v>0</v>
          </cell>
          <cell r="F1197" t="str">
            <v>young store</v>
          </cell>
          <cell r="G1197">
            <v>0</v>
          </cell>
          <cell r="H1197">
            <v>0</v>
          </cell>
          <cell r="I1197">
            <v>1</v>
          </cell>
          <cell r="J1197">
            <v>1</v>
          </cell>
          <cell r="K1197">
            <v>1</v>
          </cell>
          <cell r="L1197">
            <v>1</v>
          </cell>
          <cell r="M1197">
            <v>0</v>
          </cell>
          <cell r="N1197">
            <v>0</v>
          </cell>
          <cell r="O1197">
            <v>0</v>
          </cell>
          <cell r="P1197">
            <v>0</v>
          </cell>
          <cell r="Q1197">
            <v>1</v>
          </cell>
          <cell r="R1197">
            <v>1</v>
          </cell>
          <cell r="S1197">
            <v>0</v>
          </cell>
          <cell r="T1197">
            <v>0</v>
          </cell>
          <cell r="U1197">
            <v>0</v>
          </cell>
          <cell r="V1197">
            <v>0</v>
          </cell>
          <cell r="W1197">
            <v>0</v>
          </cell>
          <cell r="X1197">
            <v>95000</v>
          </cell>
          <cell r="Y1197">
            <v>56500</v>
          </cell>
        </row>
        <row r="1198">
          <cell r="E1198">
            <v>0</v>
          </cell>
          <cell r="F1198" t="str">
            <v>LIO CELL</v>
          </cell>
          <cell r="G1198">
            <v>0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0</v>
          </cell>
          <cell r="M1198">
            <v>0</v>
          </cell>
          <cell r="N1198">
            <v>0</v>
          </cell>
          <cell r="O1198">
            <v>0</v>
          </cell>
          <cell r="P1198">
            <v>0</v>
          </cell>
          <cell r="Q1198">
            <v>0</v>
          </cell>
          <cell r="R1198">
            <v>0</v>
          </cell>
          <cell r="S1198">
            <v>0</v>
          </cell>
          <cell r="T1198">
            <v>0</v>
          </cell>
          <cell r="U1198">
            <v>0</v>
          </cell>
          <cell r="V1198">
            <v>0</v>
          </cell>
          <cell r="W1198">
            <v>0</v>
          </cell>
          <cell r="X1198">
            <v>0</v>
          </cell>
          <cell r="Y1198">
            <v>0</v>
          </cell>
        </row>
        <row r="1199">
          <cell r="E1199">
            <v>0</v>
          </cell>
          <cell r="F1199" t="str">
            <v>Dermayu cell</v>
          </cell>
          <cell r="G1199">
            <v>0</v>
          </cell>
          <cell r="H1199">
            <v>0</v>
          </cell>
          <cell r="I1199">
            <v>1</v>
          </cell>
          <cell r="J1199">
            <v>1</v>
          </cell>
          <cell r="K1199">
            <v>0</v>
          </cell>
          <cell r="L1199">
            <v>0</v>
          </cell>
          <cell r="M1199">
            <v>0</v>
          </cell>
          <cell r="N1199">
            <v>0</v>
          </cell>
          <cell r="O1199">
            <v>0</v>
          </cell>
          <cell r="P1199">
            <v>0</v>
          </cell>
          <cell r="Q1199">
            <v>0</v>
          </cell>
          <cell r="R1199">
            <v>0</v>
          </cell>
          <cell r="S1199">
            <v>0</v>
          </cell>
          <cell r="T1199">
            <v>0</v>
          </cell>
          <cell r="U1199">
            <v>0</v>
          </cell>
          <cell r="V1199">
            <v>0</v>
          </cell>
          <cell r="W1199">
            <v>0</v>
          </cell>
          <cell r="X1199">
            <v>95000</v>
          </cell>
          <cell r="Y1199">
            <v>56500</v>
          </cell>
        </row>
        <row r="1200">
          <cell r="E1200">
            <v>0</v>
          </cell>
          <cell r="F1200" t="str">
            <v>Aneka Techno</v>
          </cell>
          <cell r="G1200">
            <v>0</v>
          </cell>
          <cell r="H1200">
            <v>0</v>
          </cell>
          <cell r="I1200">
            <v>0</v>
          </cell>
          <cell r="J1200">
            <v>0</v>
          </cell>
          <cell r="K1200">
            <v>1</v>
          </cell>
          <cell r="L1200">
            <v>1</v>
          </cell>
          <cell r="M1200">
            <v>0</v>
          </cell>
          <cell r="N1200">
            <v>0</v>
          </cell>
          <cell r="O1200">
            <v>0</v>
          </cell>
          <cell r="P1200">
            <v>0</v>
          </cell>
          <cell r="Q1200">
            <v>0</v>
          </cell>
          <cell r="R1200">
            <v>0</v>
          </cell>
          <cell r="S1200">
            <v>0</v>
          </cell>
          <cell r="T1200">
            <v>0</v>
          </cell>
          <cell r="U1200">
            <v>0</v>
          </cell>
          <cell r="V1200">
            <v>0</v>
          </cell>
          <cell r="W1200">
            <v>0</v>
          </cell>
          <cell r="X1200">
            <v>1603557.1404808301</v>
          </cell>
          <cell r="Y1200">
            <v>500000</v>
          </cell>
        </row>
        <row r="1201">
          <cell r="E1201">
            <v>0</v>
          </cell>
          <cell r="F1201" t="str">
            <v>NDARI PONSEL</v>
          </cell>
          <cell r="G1201">
            <v>0</v>
          </cell>
          <cell r="H1201">
            <v>0</v>
          </cell>
          <cell r="I1201">
            <v>0</v>
          </cell>
          <cell r="J1201">
            <v>0</v>
          </cell>
          <cell r="K1201">
            <v>0</v>
          </cell>
          <cell r="L1201">
            <v>0</v>
          </cell>
          <cell r="M1201">
            <v>0</v>
          </cell>
          <cell r="N1201">
            <v>0</v>
          </cell>
          <cell r="O1201">
            <v>0</v>
          </cell>
          <cell r="P1201">
            <v>0</v>
          </cell>
          <cell r="Q1201">
            <v>0</v>
          </cell>
          <cell r="R1201">
            <v>0</v>
          </cell>
          <cell r="S1201">
            <v>0</v>
          </cell>
          <cell r="T1201">
            <v>0</v>
          </cell>
          <cell r="U1201">
            <v>0</v>
          </cell>
          <cell r="V1201">
            <v>0</v>
          </cell>
          <cell r="W1201">
            <v>0</v>
          </cell>
          <cell r="X1201">
            <v>63574.794005256001</v>
          </cell>
          <cell r="Y1201">
            <v>200000</v>
          </cell>
        </row>
        <row r="1202">
          <cell r="E1202">
            <v>0</v>
          </cell>
          <cell r="F1202" t="str">
            <v>3 G</v>
          </cell>
          <cell r="G1202">
            <v>0</v>
          </cell>
          <cell r="H1202">
            <v>0</v>
          </cell>
          <cell r="I1202">
            <v>1</v>
          </cell>
          <cell r="J1202">
            <v>1</v>
          </cell>
          <cell r="K1202">
            <v>0</v>
          </cell>
          <cell r="L1202">
            <v>0</v>
          </cell>
          <cell r="M1202">
            <v>0</v>
          </cell>
          <cell r="N1202">
            <v>0</v>
          </cell>
          <cell r="O1202">
            <v>0</v>
          </cell>
          <cell r="P1202">
            <v>0</v>
          </cell>
          <cell r="Q1202">
            <v>0</v>
          </cell>
          <cell r="R1202">
            <v>0</v>
          </cell>
          <cell r="S1202">
            <v>0</v>
          </cell>
          <cell r="T1202">
            <v>0</v>
          </cell>
          <cell r="U1202">
            <v>0</v>
          </cell>
          <cell r="V1202">
            <v>0</v>
          </cell>
          <cell r="W1202">
            <v>0</v>
          </cell>
          <cell r="X1202">
            <v>790846.37504693004</v>
          </cell>
          <cell r="Y1202">
            <v>1053000</v>
          </cell>
        </row>
        <row r="1203">
          <cell r="E1203">
            <v>0</v>
          </cell>
          <cell r="F1203" t="str">
            <v>SAHABAT NIKEN</v>
          </cell>
          <cell r="G1203">
            <v>0</v>
          </cell>
          <cell r="H1203">
            <v>0</v>
          </cell>
          <cell r="I1203">
            <v>1</v>
          </cell>
          <cell r="J1203">
            <v>1</v>
          </cell>
          <cell r="K1203">
            <v>0</v>
          </cell>
          <cell r="L1203">
            <v>0</v>
          </cell>
          <cell r="M1203">
            <v>0</v>
          </cell>
          <cell r="N1203">
            <v>0</v>
          </cell>
          <cell r="O1203">
            <v>0</v>
          </cell>
          <cell r="P1203">
            <v>0</v>
          </cell>
          <cell r="Q1203">
            <v>0</v>
          </cell>
          <cell r="R1203">
            <v>0</v>
          </cell>
          <cell r="S1203">
            <v>0</v>
          </cell>
          <cell r="T1203">
            <v>0</v>
          </cell>
          <cell r="U1203">
            <v>0</v>
          </cell>
          <cell r="V1203">
            <v>0</v>
          </cell>
          <cell r="W1203">
            <v>0</v>
          </cell>
          <cell r="X1203">
            <v>893556.98118279595</v>
          </cell>
          <cell r="Y1203">
            <v>1054000</v>
          </cell>
        </row>
        <row r="1204">
          <cell r="E1204">
            <v>0</v>
          </cell>
          <cell r="F1204" t="str">
            <v>GUAN CUAN</v>
          </cell>
          <cell r="G1204">
            <v>0</v>
          </cell>
          <cell r="H1204">
            <v>0</v>
          </cell>
          <cell r="I1204">
            <v>1</v>
          </cell>
          <cell r="J1204">
            <v>1</v>
          </cell>
          <cell r="K1204">
            <v>1</v>
          </cell>
          <cell r="L1204">
            <v>1</v>
          </cell>
          <cell r="M1204">
            <v>0</v>
          </cell>
          <cell r="N1204">
            <v>1</v>
          </cell>
          <cell r="O1204">
            <v>1</v>
          </cell>
          <cell r="P1204">
            <v>0</v>
          </cell>
          <cell r="Q1204">
            <v>1</v>
          </cell>
          <cell r="R1204">
            <v>1</v>
          </cell>
          <cell r="S1204">
            <v>0</v>
          </cell>
          <cell r="T1204">
            <v>5</v>
          </cell>
          <cell r="U1204">
            <v>0</v>
          </cell>
          <cell r="V1204">
            <v>0</v>
          </cell>
          <cell r="W1204">
            <v>0</v>
          </cell>
          <cell r="X1204">
            <v>193831.77419354799</v>
          </cell>
          <cell r="Y1204">
            <v>54000</v>
          </cell>
        </row>
        <row r="1205">
          <cell r="E1205">
            <v>0</v>
          </cell>
          <cell r="F1205" t="str">
            <v>ASAN</v>
          </cell>
          <cell r="G1205">
            <v>0</v>
          </cell>
          <cell r="H1205">
            <v>0</v>
          </cell>
          <cell r="I1205">
            <v>1</v>
          </cell>
          <cell r="J1205">
            <v>1</v>
          </cell>
          <cell r="K1205">
            <v>1</v>
          </cell>
          <cell r="L1205">
            <v>1</v>
          </cell>
          <cell r="M1205">
            <v>0</v>
          </cell>
          <cell r="N1205">
            <v>0</v>
          </cell>
          <cell r="O1205">
            <v>0</v>
          </cell>
          <cell r="P1205">
            <v>0</v>
          </cell>
          <cell r="Q1205">
            <v>0</v>
          </cell>
          <cell r="R1205">
            <v>0</v>
          </cell>
          <cell r="S1205">
            <v>0</v>
          </cell>
          <cell r="T1205">
            <v>0</v>
          </cell>
          <cell r="U1205">
            <v>1</v>
          </cell>
          <cell r="V1205">
            <v>0</v>
          </cell>
          <cell r="W1205">
            <v>0</v>
          </cell>
          <cell r="X1205">
            <v>229536.15053763401</v>
          </cell>
          <cell r="Y1205">
            <v>516000</v>
          </cell>
        </row>
        <row r="1206">
          <cell r="E1206">
            <v>0</v>
          </cell>
          <cell r="F1206" t="str">
            <v>Aishiterucelluler</v>
          </cell>
          <cell r="G1206">
            <v>0</v>
          </cell>
          <cell r="H1206">
            <v>0</v>
          </cell>
          <cell r="I1206">
            <v>1</v>
          </cell>
          <cell r="J1206">
            <v>1</v>
          </cell>
          <cell r="K1206">
            <v>0</v>
          </cell>
          <cell r="L1206">
            <v>0</v>
          </cell>
          <cell r="M1206">
            <v>0</v>
          </cell>
          <cell r="N1206">
            <v>0</v>
          </cell>
          <cell r="O1206">
            <v>0</v>
          </cell>
          <cell r="P1206">
            <v>0</v>
          </cell>
          <cell r="Q1206">
            <v>0</v>
          </cell>
          <cell r="R1206">
            <v>0</v>
          </cell>
          <cell r="S1206">
            <v>0</v>
          </cell>
          <cell r="T1206">
            <v>0</v>
          </cell>
          <cell r="U1206">
            <v>0</v>
          </cell>
          <cell r="V1206">
            <v>0</v>
          </cell>
          <cell r="W1206">
            <v>0</v>
          </cell>
          <cell r="X1206">
            <v>174991.75806451601</v>
          </cell>
          <cell r="Y1206">
            <v>54000</v>
          </cell>
        </row>
        <row r="1207">
          <cell r="E1207">
            <v>0</v>
          </cell>
          <cell r="F1207" t="str">
            <v>ABUI CELLULER</v>
          </cell>
          <cell r="G1207">
            <v>0</v>
          </cell>
          <cell r="H1207">
            <v>0</v>
          </cell>
          <cell r="I1207">
            <v>1</v>
          </cell>
          <cell r="J1207">
            <v>1</v>
          </cell>
          <cell r="K1207">
            <v>1</v>
          </cell>
          <cell r="L1207">
            <v>1</v>
          </cell>
          <cell r="M1207">
            <v>0</v>
          </cell>
          <cell r="N1207">
            <v>1</v>
          </cell>
          <cell r="O1207">
            <v>1</v>
          </cell>
          <cell r="P1207">
            <v>0</v>
          </cell>
          <cell r="Q1207">
            <v>1</v>
          </cell>
          <cell r="R1207">
            <v>1</v>
          </cell>
          <cell r="S1207">
            <v>0</v>
          </cell>
          <cell r="T1207">
            <v>1</v>
          </cell>
          <cell r="U1207">
            <v>0</v>
          </cell>
          <cell r="V1207">
            <v>0</v>
          </cell>
          <cell r="W1207">
            <v>0</v>
          </cell>
          <cell r="X1207">
            <v>106097.447326861</v>
          </cell>
          <cell r="Y1207">
            <v>216000</v>
          </cell>
        </row>
        <row r="1208">
          <cell r="E1208">
            <v>0</v>
          </cell>
          <cell r="F1208" t="str">
            <v>Sinar Ponsel Saliung</v>
          </cell>
          <cell r="G1208">
            <v>0</v>
          </cell>
          <cell r="H1208">
            <v>0</v>
          </cell>
          <cell r="I1208">
            <v>1</v>
          </cell>
          <cell r="J1208">
            <v>1</v>
          </cell>
          <cell r="K1208">
            <v>0</v>
          </cell>
          <cell r="L1208">
            <v>0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5</v>
          </cell>
          <cell r="U1208">
            <v>0</v>
          </cell>
          <cell r="V1208">
            <v>0</v>
          </cell>
          <cell r="W1208">
            <v>0</v>
          </cell>
          <cell r="X1208">
            <v>231707.09677419401</v>
          </cell>
          <cell r="Y1208">
            <v>54000</v>
          </cell>
        </row>
        <row r="1209">
          <cell r="E1209">
            <v>0</v>
          </cell>
          <cell r="F1209" t="str">
            <v>Nabila ponsel</v>
          </cell>
          <cell r="G1209">
            <v>0</v>
          </cell>
          <cell r="H1209">
            <v>0</v>
          </cell>
          <cell r="I1209">
            <v>1</v>
          </cell>
          <cell r="J1209">
            <v>1</v>
          </cell>
          <cell r="K1209">
            <v>0</v>
          </cell>
          <cell r="L1209">
            <v>0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0</v>
          </cell>
          <cell r="T1209">
            <v>0</v>
          </cell>
          <cell r="U1209">
            <v>0</v>
          </cell>
          <cell r="V1209">
            <v>0</v>
          </cell>
          <cell r="W1209">
            <v>0</v>
          </cell>
          <cell r="X1209">
            <v>110926.329844989</v>
          </cell>
          <cell r="Y1209">
            <v>254000</v>
          </cell>
        </row>
        <row r="1210">
          <cell r="E1210">
            <v>0</v>
          </cell>
          <cell r="F1210" t="str">
            <v>Prestasi</v>
          </cell>
          <cell r="G1210">
            <v>0</v>
          </cell>
          <cell r="H1210">
            <v>0</v>
          </cell>
          <cell r="I1210">
            <v>0</v>
          </cell>
          <cell r="J1210">
            <v>0</v>
          </cell>
          <cell r="K1210">
            <v>0</v>
          </cell>
          <cell r="L1210">
            <v>0</v>
          </cell>
          <cell r="M1210">
            <v>0</v>
          </cell>
          <cell r="N1210">
            <v>0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0</v>
          </cell>
          <cell r="T1210">
            <v>0</v>
          </cell>
          <cell r="U1210">
            <v>0</v>
          </cell>
          <cell r="V1210">
            <v>0</v>
          </cell>
          <cell r="W1210">
            <v>0</v>
          </cell>
          <cell r="X1210">
            <v>179473.48387096799</v>
          </cell>
          <cell r="Y1210">
            <v>0</v>
          </cell>
        </row>
        <row r="1211">
          <cell r="E1211">
            <v>0</v>
          </cell>
          <cell r="F1211" t="str">
            <v>HOLY CELLULAR</v>
          </cell>
          <cell r="G1211">
            <v>0</v>
          </cell>
          <cell r="H1211">
            <v>0</v>
          </cell>
          <cell r="I1211">
            <v>1</v>
          </cell>
          <cell r="J1211">
            <v>1</v>
          </cell>
          <cell r="K1211">
            <v>0</v>
          </cell>
          <cell r="L1211">
            <v>0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0</v>
          </cell>
          <cell r="T1211">
            <v>0</v>
          </cell>
          <cell r="U1211">
            <v>0</v>
          </cell>
          <cell r="V1211">
            <v>0</v>
          </cell>
          <cell r="W1211">
            <v>0</v>
          </cell>
          <cell r="X1211">
            <v>476123.172043011</v>
          </cell>
          <cell r="Y1211">
            <v>162000</v>
          </cell>
        </row>
        <row r="1212">
          <cell r="E1212">
            <v>0</v>
          </cell>
          <cell r="F1212" t="str">
            <v>Media cell</v>
          </cell>
          <cell r="G1212">
            <v>0</v>
          </cell>
          <cell r="H1212">
            <v>0</v>
          </cell>
          <cell r="I1212">
            <v>1</v>
          </cell>
          <cell r="J1212">
            <v>1</v>
          </cell>
          <cell r="K1212">
            <v>0</v>
          </cell>
          <cell r="L1212">
            <v>0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1</v>
          </cell>
          <cell r="U1212">
            <v>0</v>
          </cell>
          <cell r="V1212">
            <v>0</v>
          </cell>
          <cell r="W1212">
            <v>0</v>
          </cell>
          <cell r="X1212">
            <v>2598238.6383330338</v>
          </cell>
          <cell r="Y1212">
            <v>1108000</v>
          </cell>
        </row>
        <row r="1213">
          <cell r="E1213">
            <v>0</v>
          </cell>
          <cell r="F1213" t="str">
            <v>Duta cel</v>
          </cell>
          <cell r="G1213">
            <v>0</v>
          </cell>
          <cell r="H1213">
            <v>0</v>
          </cell>
          <cell r="I1213">
            <v>1</v>
          </cell>
          <cell r="J1213">
            <v>1</v>
          </cell>
          <cell r="K1213">
            <v>0</v>
          </cell>
          <cell r="L1213">
            <v>0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>
            <v>202798.29032258099</v>
          </cell>
          <cell r="Y1213">
            <v>54000</v>
          </cell>
        </row>
        <row r="1214">
          <cell r="E1214">
            <v>0</v>
          </cell>
          <cell r="F1214" t="str">
            <v>NIA KAPSEN</v>
          </cell>
          <cell r="G1214">
            <v>0</v>
          </cell>
          <cell r="H1214">
            <v>0</v>
          </cell>
          <cell r="I1214">
            <v>0</v>
          </cell>
          <cell r="J1214">
            <v>0</v>
          </cell>
          <cell r="K1214">
            <v>0</v>
          </cell>
          <cell r="L1214">
            <v>0</v>
          </cell>
          <cell r="M1214">
            <v>0</v>
          </cell>
          <cell r="N1214">
            <v>0</v>
          </cell>
          <cell r="O1214">
            <v>0</v>
          </cell>
          <cell r="P1214">
            <v>0</v>
          </cell>
          <cell r="Q1214">
            <v>0</v>
          </cell>
          <cell r="R1214">
            <v>0</v>
          </cell>
          <cell r="S1214">
            <v>0</v>
          </cell>
          <cell r="T1214">
            <v>0</v>
          </cell>
          <cell r="U1214">
            <v>0</v>
          </cell>
          <cell r="V1214">
            <v>0</v>
          </cell>
          <cell r="W1214">
            <v>0</v>
          </cell>
          <cell r="X1214">
            <v>154370.48387096799</v>
          </cell>
          <cell r="Y1214">
            <v>0</v>
          </cell>
        </row>
        <row r="1215">
          <cell r="E1215">
            <v>0</v>
          </cell>
          <cell r="F1215" t="str">
            <v>Haryono</v>
          </cell>
          <cell r="G1215">
            <v>0</v>
          </cell>
          <cell r="H1215">
            <v>0</v>
          </cell>
          <cell r="I1215">
            <v>0</v>
          </cell>
          <cell r="J1215">
            <v>0</v>
          </cell>
          <cell r="K1215">
            <v>0</v>
          </cell>
          <cell r="L1215">
            <v>0</v>
          </cell>
          <cell r="M1215">
            <v>0</v>
          </cell>
          <cell r="N1215">
            <v>0</v>
          </cell>
          <cell r="O1215">
            <v>0</v>
          </cell>
          <cell r="P1215">
            <v>0</v>
          </cell>
          <cell r="Q1215">
            <v>0</v>
          </cell>
          <cell r="R1215">
            <v>0</v>
          </cell>
          <cell r="S1215">
            <v>0</v>
          </cell>
          <cell r="T1215">
            <v>0</v>
          </cell>
          <cell r="U1215">
            <v>0</v>
          </cell>
          <cell r="V1215">
            <v>0</v>
          </cell>
          <cell r="W1215">
            <v>0</v>
          </cell>
          <cell r="X1215">
            <v>259783.064516129</v>
          </cell>
          <cell r="Y1215">
            <v>0</v>
          </cell>
        </row>
        <row r="1216">
          <cell r="E1216">
            <v>0</v>
          </cell>
          <cell r="F1216" t="str">
            <v>VJ MOBILE</v>
          </cell>
          <cell r="G1216">
            <v>0</v>
          </cell>
          <cell r="H1216">
            <v>0</v>
          </cell>
          <cell r="I1216">
            <v>1</v>
          </cell>
          <cell r="J1216">
            <v>1</v>
          </cell>
          <cell r="K1216">
            <v>3</v>
          </cell>
          <cell r="L1216">
            <v>3</v>
          </cell>
          <cell r="M1216">
            <v>0</v>
          </cell>
          <cell r="N1216">
            <v>2</v>
          </cell>
          <cell r="O1216">
            <v>2</v>
          </cell>
          <cell r="P1216">
            <v>0</v>
          </cell>
          <cell r="Q1216">
            <v>2</v>
          </cell>
          <cell r="R1216">
            <v>2</v>
          </cell>
          <cell r="S1216">
            <v>0</v>
          </cell>
          <cell r="T1216">
            <v>3</v>
          </cell>
          <cell r="U1216">
            <v>0</v>
          </cell>
          <cell r="V1216">
            <v>0</v>
          </cell>
          <cell r="W1216">
            <v>0</v>
          </cell>
          <cell r="X1216">
            <v>324224.96907428303</v>
          </cell>
          <cell r="Y1216">
            <v>54000</v>
          </cell>
        </row>
        <row r="1217">
          <cell r="E1217">
            <v>0</v>
          </cell>
          <cell r="F1217" t="str">
            <v>SINAR ANUGERAH</v>
          </cell>
          <cell r="G1217">
            <v>0</v>
          </cell>
          <cell r="H1217">
            <v>0</v>
          </cell>
          <cell r="I1217">
            <v>1</v>
          </cell>
          <cell r="J1217">
            <v>1</v>
          </cell>
          <cell r="K1217">
            <v>1</v>
          </cell>
          <cell r="L1217">
            <v>1</v>
          </cell>
          <cell r="M1217">
            <v>0</v>
          </cell>
          <cell r="N1217">
            <v>1</v>
          </cell>
          <cell r="O1217">
            <v>1</v>
          </cell>
          <cell r="P1217">
            <v>0</v>
          </cell>
          <cell r="Q1217">
            <v>1</v>
          </cell>
          <cell r="R1217">
            <v>1</v>
          </cell>
          <cell r="S1217">
            <v>0</v>
          </cell>
          <cell r="T1217">
            <v>5</v>
          </cell>
          <cell r="U1217">
            <v>0</v>
          </cell>
          <cell r="V1217">
            <v>0</v>
          </cell>
          <cell r="W1217">
            <v>0</v>
          </cell>
          <cell r="X1217">
            <v>270151.91397849499</v>
          </cell>
          <cell r="Y1217">
            <v>162000</v>
          </cell>
        </row>
        <row r="1218">
          <cell r="E1218">
            <v>0</v>
          </cell>
          <cell r="F1218" t="str">
            <v>WARUNG SUSAN</v>
          </cell>
          <cell r="G1218">
            <v>0</v>
          </cell>
          <cell r="H1218">
            <v>0</v>
          </cell>
          <cell r="I1218">
            <v>1</v>
          </cell>
          <cell r="J1218">
            <v>1</v>
          </cell>
          <cell r="K1218">
            <v>1</v>
          </cell>
          <cell r="L1218">
            <v>1</v>
          </cell>
          <cell r="M1218">
            <v>0</v>
          </cell>
          <cell r="N1218">
            <v>0</v>
          </cell>
          <cell r="O1218">
            <v>0</v>
          </cell>
          <cell r="P1218">
            <v>0</v>
          </cell>
          <cell r="Q1218">
            <v>1</v>
          </cell>
          <cell r="R1218">
            <v>1</v>
          </cell>
          <cell r="S1218">
            <v>0</v>
          </cell>
          <cell r="T1218">
            <v>0</v>
          </cell>
          <cell r="U1218">
            <v>0</v>
          </cell>
          <cell r="V1218">
            <v>0</v>
          </cell>
          <cell r="W1218">
            <v>0</v>
          </cell>
          <cell r="X1218">
            <v>145576.45161290301</v>
          </cell>
          <cell r="Y1218">
            <v>162000</v>
          </cell>
        </row>
        <row r="1219">
          <cell r="E1219">
            <v>0</v>
          </cell>
          <cell r="F1219" t="str">
            <v>Konter Layla Marhaban</v>
          </cell>
          <cell r="G1219">
            <v>0</v>
          </cell>
          <cell r="H1219">
            <v>0</v>
          </cell>
          <cell r="I1219">
            <v>1</v>
          </cell>
          <cell r="J1219">
            <v>1</v>
          </cell>
          <cell r="K1219">
            <v>0</v>
          </cell>
          <cell r="L1219">
            <v>0</v>
          </cell>
          <cell r="M1219">
            <v>0</v>
          </cell>
          <cell r="N1219">
            <v>0</v>
          </cell>
          <cell r="O1219">
            <v>0</v>
          </cell>
          <cell r="P1219">
            <v>0</v>
          </cell>
          <cell r="Q1219">
            <v>0</v>
          </cell>
          <cell r="R1219">
            <v>0</v>
          </cell>
          <cell r="S1219">
            <v>0</v>
          </cell>
          <cell r="T1219">
            <v>0</v>
          </cell>
          <cell r="U1219">
            <v>0</v>
          </cell>
          <cell r="V1219">
            <v>0</v>
          </cell>
          <cell r="W1219">
            <v>0</v>
          </cell>
          <cell r="X1219">
            <v>812070.56451612897</v>
          </cell>
          <cell r="Y1219">
            <v>108000</v>
          </cell>
        </row>
        <row r="1220">
          <cell r="E1220">
            <v>0</v>
          </cell>
          <cell r="F1220" t="str">
            <v>Galaxy 2</v>
          </cell>
          <cell r="G1220">
            <v>0</v>
          </cell>
          <cell r="H1220">
            <v>0</v>
          </cell>
          <cell r="I1220">
            <v>1</v>
          </cell>
          <cell r="J1220">
            <v>1</v>
          </cell>
          <cell r="K1220">
            <v>2</v>
          </cell>
          <cell r="L1220">
            <v>2</v>
          </cell>
          <cell r="M1220">
            <v>0</v>
          </cell>
          <cell r="N1220">
            <v>1</v>
          </cell>
          <cell r="O1220">
            <v>1</v>
          </cell>
          <cell r="P1220">
            <v>0</v>
          </cell>
          <cell r="Q1220">
            <v>1</v>
          </cell>
          <cell r="R1220">
            <v>1</v>
          </cell>
          <cell r="S1220">
            <v>0</v>
          </cell>
          <cell r="T1220">
            <v>2</v>
          </cell>
          <cell r="U1220">
            <v>1</v>
          </cell>
          <cell r="V1220">
            <v>0</v>
          </cell>
          <cell r="W1220">
            <v>0</v>
          </cell>
          <cell r="X1220">
            <v>2089782.6760491231</v>
          </cell>
          <cell r="Y1220">
            <v>54000</v>
          </cell>
        </row>
        <row r="1221">
          <cell r="E1221">
            <v>0</v>
          </cell>
          <cell r="F1221" t="str">
            <v>LASKAR CELL</v>
          </cell>
          <cell r="G1221">
            <v>0</v>
          </cell>
          <cell r="H1221">
            <v>0</v>
          </cell>
          <cell r="I1221">
            <v>1</v>
          </cell>
          <cell r="J1221">
            <v>1</v>
          </cell>
          <cell r="K1221">
            <v>0</v>
          </cell>
          <cell r="L1221">
            <v>0</v>
          </cell>
          <cell r="M1221">
            <v>0</v>
          </cell>
          <cell r="N1221">
            <v>0</v>
          </cell>
          <cell r="O1221">
            <v>0</v>
          </cell>
          <cell r="P1221">
            <v>0</v>
          </cell>
          <cell r="Q1221">
            <v>0</v>
          </cell>
          <cell r="R1221">
            <v>0</v>
          </cell>
          <cell r="S1221">
            <v>0</v>
          </cell>
          <cell r="T1221">
            <v>0</v>
          </cell>
          <cell r="U1221">
            <v>0</v>
          </cell>
          <cell r="V1221">
            <v>0</v>
          </cell>
          <cell r="W1221">
            <v>0</v>
          </cell>
          <cell r="X1221">
            <v>163402.870967742</v>
          </cell>
          <cell r="Y1221">
            <v>108000</v>
          </cell>
        </row>
        <row r="1222">
          <cell r="E1222">
            <v>0</v>
          </cell>
          <cell r="F1222" t="str">
            <v>Electro</v>
          </cell>
          <cell r="G1222">
            <v>0</v>
          </cell>
          <cell r="H1222">
            <v>0</v>
          </cell>
          <cell r="I1222">
            <v>1</v>
          </cell>
          <cell r="J1222">
            <v>1</v>
          </cell>
          <cell r="K1222">
            <v>1</v>
          </cell>
          <cell r="L1222">
            <v>1</v>
          </cell>
          <cell r="M1222">
            <v>0</v>
          </cell>
          <cell r="N1222">
            <v>1</v>
          </cell>
          <cell r="O1222">
            <v>1</v>
          </cell>
          <cell r="P1222">
            <v>0</v>
          </cell>
          <cell r="Q1222">
            <v>1</v>
          </cell>
          <cell r="R1222">
            <v>1</v>
          </cell>
          <cell r="S1222">
            <v>0</v>
          </cell>
          <cell r="T1222">
            <v>0</v>
          </cell>
          <cell r="U1222">
            <v>0</v>
          </cell>
          <cell r="V1222">
            <v>0</v>
          </cell>
          <cell r="W1222">
            <v>0</v>
          </cell>
          <cell r="X1222">
            <v>157677.79651029001</v>
          </cell>
          <cell r="Y1222">
            <v>54000</v>
          </cell>
        </row>
        <row r="1223">
          <cell r="E1223">
            <v>0</v>
          </cell>
          <cell r="F1223" t="str">
            <v>Fatur fc</v>
          </cell>
          <cell r="G1223">
            <v>0</v>
          </cell>
          <cell r="H1223">
            <v>0</v>
          </cell>
          <cell r="I1223">
            <v>1</v>
          </cell>
          <cell r="J1223">
            <v>1</v>
          </cell>
          <cell r="K1223">
            <v>0</v>
          </cell>
          <cell r="L1223">
            <v>0</v>
          </cell>
          <cell r="M1223">
            <v>0</v>
          </cell>
          <cell r="N1223">
            <v>0</v>
          </cell>
          <cell r="O1223">
            <v>0</v>
          </cell>
          <cell r="P1223">
            <v>0</v>
          </cell>
          <cell r="Q1223">
            <v>0</v>
          </cell>
          <cell r="R1223">
            <v>0</v>
          </cell>
          <cell r="S1223">
            <v>0</v>
          </cell>
          <cell r="T1223">
            <v>5</v>
          </cell>
          <cell r="U1223">
            <v>0</v>
          </cell>
          <cell r="V1223">
            <v>0</v>
          </cell>
          <cell r="W1223">
            <v>0</v>
          </cell>
          <cell r="X1223">
            <v>234866.85483870999</v>
          </cell>
          <cell r="Y1223">
            <v>108000</v>
          </cell>
        </row>
        <row r="1224">
          <cell r="E1224">
            <v>0</v>
          </cell>
          <cell r="F1224" t="str">
            <v>Toko Asan</v>
          </cell>
          <cell r="G1224">
            <v>0</v>
          </cell>
          <cell r="H1224">
            <v>0</v>
          </cell>
          <cell r="I1224">
            <v>1</v>
          </cell>
          <cell r="J1224">
            <v>1</v>
          </cell>
          <cell r="K1224">
            <v>0</v>
          </cell>
          <cell r="L1224">
            <v>0</v>
          </cell>
          <cell r="M1224">
            <v>0</v>
          </cell>
          <cell r="N1224">
            <v>0</v>
          </cell>
          <cell r="O1224">
            <v>0</v>
          </cell>
          <cell r="P1224">
            <v>0</v>
          </cell>
          <cell r="Q1224">
            <v>0</v>
          </cell>
          <cell r="R1224">
            <v>0</v>
          </cell>
          <cell r="S1224">
            <v>0</v>
          </cell>
          <cell r="T1224">
            <v>5</v>
          </cell>
          <cell r="U1224">
            <v>0</v>
          </cell>
          <cell r="V1224">
            <v>0</v>
          </cell>
          <cell r="W1224">
            <v>0</v>
          </cell>
          <cell r="X1224">
            <v>275416.20967741898</v>
          </cell>
          <cell r="Y1224">
            <v>54000</v>
          </cell>
        </row>
        <row r="1225">
          <cell r="E1225">
            <v>0</v>
          </cell>
          <cell r="F1225" t="str">
            <v>Eli pulsa</v>
          </cell>
          <cell r="G1225">
            <v>0</v>
          </cell>
          <cell r="H1225">
            <v>0</v>
          </cell>
          <cell r="I1225">
            <v>1</v>
          </cell>
          <cell r="J1225">
            <v>1</v>
          </cell>
          <cell r="K1225">
            <v>2</v>
          </cell>
          <cell r="L1225">
            <v>2</v>
          </cell>
          <cell r="M1225">
            <v>0</v>
          </cell>
          <cell r="N1225">
            <v>1</v>
          </cell>
          <cell r="O1225">
            <v>1</v>
          </cell>
          <cell r="P1225">
            <v>0</v>
          </cell>
          <cell r="Q1225">
            <v>2</v>
          </cell>
          <cell r="R1225">
            <v>2</v>
          </cell>
          <cell r="S1225">
            <v>0</v>
          </cell>
          <cell r="T1225">
            <v>5</v>
          </cell>
          <cell r="U1225">
            <v>0</v>
          </cell>
          <cell r="V1225">
            <v>0</v>
          </cell>
          <cell r="W1225">
            <v>0</v>
          </cell>
          <cell r="X1225">
            <v>248088.870967742</v>
          </cell>
          <cell r="Y1225">
            <v>54000</v>
          </cell>
        </row>
        <row r="1226">
          <cell r="E1226">
            <v>0</v>
          </cell>
          <cell r="F1226" t="str">
            <v>Windah counter</v>
          </cell>
          <cell r="G1226">
            <v>0</v>
          </cell>
          <cell r="H1226">
            <v>0</v>
          </cell>
          <cell r="I1226">
            <v>0</v>
          </cell>
          <cell r="J1226">
            <v>0</v>
          </cell>
          <cell r="K1226">
            <v>2</v>
          </cell>
          <cell r="L1226">
            <v>2</v>
          </cell>
          <cell r="M1226">
            <v>0</v>
          </cell>
          <cell r="N1226">
            <v>2</v>
          </cell>
          <cell r="O1226">
            <v>2</v>
          </cell>
          <cell r="P1226">
            <v>0</v>
          </cell>
          <cell r="Q1226">
            <v>2</v>
          </cell>
          <cell r="R1226">
            <v>2</v>
          </cell>
          <cell r="S1226">
            <v>0</v>
          </cell>
          <cell r="T1226">
            <v>5</v>
          </cell>
          <cell r="U1226">
            <v>0</v>
          </cell>
          <cell r="V1226">
            <v>0</v>
          </cell>
          <cell r="W1226">
            <v>0</v>
          </cell>
          <cell r="X1226">
            <v>393528.06451612897</v>
          </cell>
          <cell r="Y1226">
            <v>0</v>
          </cell>
        </row>
        <row r="1227">
          <cell r="E1227">
            <v>0</v>
          </cell>
          <cell r="F1227" t="str">
            <v>War phon</v>
          </cell>
          <cell r="G1227">
            <v>0</v>
          </cell>
          <cell r="H1227">
            <v>0</v>
          </cell>
          <cell r="I1227">
            <v>1</v>
          </cell>
          <cell r="J1227">
            <v>1</v>
          </cell>
          <cell r="K1227">
            <v>0</v>
          </cell>
          <cell r="L1227">
            <v>0</v>
          </cell>
          <cell r="M1227">
            <v>0</v>
          </cell>
          <cell r="N1227">
            <v>0</v>
          </cell>
          <cell r="O1227">
            <v>0</v>
          </cell>
          <cell r="P1227">
            <v>0</v>
          </cell>
          <cell r="Q1227">
            <v>0</v>
          </cell>
          <cell r="R1227">
            <v>0</v>
          </cell>
          <cell r="S1227">
            <v>0</v>
          </cell>
          <cell r="T1227">
            <v>0</v>
          </cell>
          <cell r="U1227">
            <v>0</v>
          </cell>
          <cell r="V1227">
            <v>0</v>
          </cell>
          <cell r="W1227">
            <v>0</v>
          </cell>
          <cell r="X1227">
            <v>167289.35483870999</v>
          </cell>
          <cell r="Y1227">
            <v>54000</v>
          </cell>
        </row>
        <row r="1228">
          <cell r="E1228">
            <v>0</v>
          </cell>
          <cell r="F1228" t="str">
            <v>ozzy ponsel</v>
          </cell>
          <cell r="G1228">
            <v>0</v>
          </cell>
          <cell r="H1228">
            <v>0</v>
          </cell>
          <cell r="I1228">
            <v>1</v>
          </cell>
          <cell r="J1228">
            <v>1</v>
          </cell>
          <cell r="K1228">
            <v>0</v>
          </cell>
          <cell r="L1228">
            <v>0</v>
          </cell>
          <cell r="M1228">
            <v>0</v>
          </cell>
          <cell r="N1228">
            <v>0</v>
          </cell>
          <cell r="O1228">
            <v>0</v>
          </cell>
          <cell r="P1228">
            <v>0</v>
          </cell>
          <cell r="Q1228">
            <v>0</v>
          </cell>
          <cell r="R1228">
            <v>0</v>
          </cell>
          <cell r="S1228">
            <v>0</v>
          </cell>
          <cell r="T1228">
            <v>0</v>
          </cell>
          <cell r="U1228">
            <v>0</v>
          </cell>
          <cell r="V1228">
            <v>0</v>
          </cell>
          <cell r="W1228">
            <v>0</v>
          </cell>
          <cell r="X1228">
            <v>873806.85483871005</v>
          </cell>
          <cell r="Y1228">
            <v>54000</v>
          </cell>
        </row>
        <row r="1229">
          <cell r="E1229">
            <v>0</v>
          </cell>
          <cell r="F1229" t="str">
            <v>Yumna ponsel</v>
          </cell>
          <cell r="G1229">
            <v>0</v>
          </cell>
          <cell r="H1229">
            <v>0</v>
          </cell>
          <cell r="I1229">
            <v>1</v>
          </cell>
          <cell r="J1229">
            <v>1</v>
          </cell>
          <cell r="K1229">
            <v>0</v>
          </cell>
          <cell r="L1229">
            <v>0</v>
          </cell>
          <cell r="M1229">
            <v>0</v>
          </cell>
          <cell r="N1229">
            <v>0</v>
          </cell>
          <cell r="O1229">
            <v>0</v>
          </cell>
          <cell r="P1229">
            <v>0</v>
          </cell>
          <cell r="Q1229">
            <v>0</v>
          </cell>
          <cell r="R1229">
            <v>0</v>
          </cell>
          <cell r="S1229">
            <v>0</v>
          </cell>
          <cell r="T1229">
            <v>0</v>
          </cell>
          <cell r="U1229">
            <v>0</v>
          </cell>
          <cell r="V1229">
            <v>0</v>
          </cell>
          <cell r="W1229">
            <v>0</v>
          </cell>
          <cell r="X1229">
            <v>207812.5</v>
          </cell>
          <cell r="Y1229">
            <v>54000</v>
          </cell>
        </row>
        <row r="1230">
          <cell r="E1230">
            <v>0</v>
          </cell>
          <cell r="F1230" t="str">
            <v>Warung GG</v>
          </cell>
          <cell r="G1230">
            <v>0</v>
          </cell>
          <cell r="H1230">
            <v>0</v>
          </cell>
          <cell r="I1230">
            <v>1</v>
          </cell>
          <cell r="J1230">
            <v>1</v>
          </cell>
          <cell r="K1230">
            <v>3</v>
          </cell>
          <cell r="L1230">
            <v>3</v>
          </cell>
          <cell r="M1230">
            <v>0</v>
          </cell>
          <cell r="N1230">
            <v>1</v>
          </cell>
          <cell r="O1230">
            <v>1</v>
          </cell>
          <cell r="P1230">
            <v>0</v>
          </cell>
          <cell r="Q1230">
            <v>1</v>
          </cell>
          <cell r="R1230">
            <v>1</v>
          </cell>
          <cell r="S1230">
            <v>0</v>
          </cell>
          <cell r="T1230">
            <v>5</v>
          </cell>
          <cell r="U1230">
            <v>0</v>
          </cell>
          <cell r="V1230">
            <v>0</v>
          </cell>
          <cell r="W1230">
            <v>0</v>
          </cell>
          <cell r="X1230">
            <v>141394.193548387</v>
          </cell>
          <cell r="Y1230">
            <v>54000</v>
          </cell>
        </row>
        <row r="1231">
          <cell r="E1231">
            <v>0</v>
          </cell>
          <cell r="F1231" t="str">
            <v>Duta celluler 2</v>
          </cell>
          <cell r="G1231">
            <v>0</v>
          </cell>
          <cell r="H1231">
            <v>0</v>
          </cell>
          <cell r="I1231">
            <v>1</v>
          </cell>
          <cell r="J1231">
            <v>1</v>
          </cell>
          <cell r="K1231">
            <v>0</v>
          </cell>
          <cell r="L1231">
            <v>0</v>
          </cell>
          <cell r="M1231">
            <v>0</v>
          </cell>
          <cell r="N1231">
            <v>0</v>
          </cell>
          <cell r="O1231">
            <v>0</v>
          </cell>
          <cell r="P1231">
            <v>0</v>
          </cell>
          <cell r="Q1231">
            <v>0</v>
          </cell>
          <cell r="R1231">
            <v>0</v>
          </cell>
          <cell r="S1231">
            <v>0</v>
          </cell>
          <cell r="T1231">
            <v>0</v>
          </cell>
          <cell r="U1231">
            <v>0</v>
          </cell>
          <cell r="V1231">
            <v>0</v>
          </cell>
          <cell r="W1231">
            <v>0</v>
          </cell>
          <cell r="X1231">
            <v>156458.870967742</v>
          </cell>
          <cell r="Y1231">
            <v>54000</v>
          </cell>
        </row>
        <row r="1232">
          <cell r="E1232">
            <v>0</v>
          </cell>
          <cell r="F1232" t="str">
            <v>MNC PONSEL 2</v>
          </cell>
          <cell r="G1232">
            <v>0</v>
          </cell>
          <cell r="H1232">
            <v>0</v>
          </cell>
          <cell r="I1232">
            <v>1</v>
          </cell>
          <cell r="J1232">
            <v>1</v>
          </cell>
          <cell r="K1232">
            <v>1</v>
          </cell>
          <cell r="L1232">
            <v>1</v>
          </cell>
          <cell r="M1232">
            <v>0</v>
          </cell>
          <cell r="N1232">
            <v>0</v>
          </cell>
          <cell r="O1232">
            <v>0</v>
          </cell>
          <cell r="P1232">
            <v>0</v>
          </cell>
          <cell r="Q1232">
            <v>0</v>
          </cell>
          <cell r="R1232">
            <v>0</v>
          </cell>
          <cell r="S1232">
            <v>0</v>
          </cell>
          <cell r="T1232">
            <v>1</v>
          </cell>
          <cell r="U1232">
            <v>0</v>
          </cell>
          <cell r="V1232">
            <v>0</v>
          </cell>
          <cell r="W1232">
            <v>0</v>
          </cell>
          <cell r="X1232">
            <v>166307.26999999999</v>
          </cell>
          <cell r="Y1232">
            <v>54000</v>
          </cell>
        </row>
        <row r="1233">
          <cell r="E1233">
            <v>0</v>
          </cell>
          <cell r="F1233" t="str">
            <v>kings cell</v>
          </cell>
          <cell r="G1233">
            <v>0</v>
          </cell>
          <cell r="H1233">
            <v>0</v>
          </cell>
          <cell r="I1233">
            <v>1</v>
          </cell>
          <cell r="J1233">
            <v>1</v>
          </cell>
          <cell r="K1233">
            <v>0</v>
          </cell>
          <cell r="L1233">
            <v>0</v>
          </cell>
          <cell r="M1233">
            <v>0</v>
          </cell>
          <cell r="N1233">
            <v>0</v>
          </cell>
          <cell r="O1233">
            <v>0</v>
          </cell>
          <cell r="P1233">
            <v>0</v>
          </cell>
          <cell r="Q1233">
            <v>0</v>
          </cell>
          <cell r="R1233">
            <v>0</v>
          </cell>
          <cell r="S1233">
            <v>0</v>
          </cell>
          <cell r="T1233">
            <v>5</v>
          </cell>
          <cell r="U1233">
            <v>0</v>
          </cell>
          <cell r="V1233">
            <v>0</v>
          </cell>
          <cell r="W1233">
            <v>0</v>
          </cell>
          <cell r="X1233">
            <v>172925.40322580599</v>
          </cell>
          <cell r="Y1233">
            <v>108000</v>
          </cell>
        </row>
        <row r="1234">
          <cell r="E1234">
            <v>0</v>
          </cell>
          <cell r="F1234" t="str">
            <v>Singkawang Mobile Shop</v>
          </cell>
          <cell r="G1234">
            <v>0</v>
          </cell>
          <cell r="H1234">
            <v>0</v>
          </cell>
          <cell r="I1234">
            <v>1</v>
          </cell>
          <cell r="J1234">
            <v>1</v>
          </cell>
          <cell r="K1234">
            <v>1</v>
          </cell>
          <cell r="L1234">
            <v>1</v>
          </cell>
          <cell r="M1234">
            <v>0</v>
          </cell>
          <cell r="N1234">
            <v>0</v>
          </cell>
          <cell r="O1234">
            <v>0</v>
          </cell>
          <cell r="P1234">
            <v>0</v>
          </cell>
          <cell r="Q1234">
            <v>1</v>
          </cell>
          <cell r="R1234">
            <v>1</v>
          </cell>
          <cell r="S1234">
            <v>0</v>
          </cell>
          <cell r="T1234">
            <v>0</v>
          </cell>
          <cell r="U1234">
            <v>0</v>
          </cell>
          <cell r="V1234">
            <v>0</v>
          </cell>
          <cell r="W1234">
            <v>0</v>
          </cell>
          <cell r="X1234">
            <v>62985.424149491002</v>
          </cell>
          <cell r="Y1234">
            <v>108000</v>
          </cell>
        </row>
        <row r="1235">
          <cell r="E1235">
            <v>0</v>
          </cell>
          <cell r="F1235" t="str">
            <v>CNC Ponsel</v>
          </cell>
          <cell r="G1235">
            <v>0</v>
          </cell>
          <cell r="H1235">
            <v>0</v>
          </cell>
          <cell r="I1235">
            <v>1</v>
          </cell>
          <cell r="J1235">
            <v>1</v>
          </cell>
          <cell r="K1235">
            <v>2</v>
          </cell>
          <cell r="L1235">
            <v>2</v>
          </cell>
          <cell r="M1235">
            <v>0</v>
          </cell>
          <cell r="N1235">
            <v>2</v>
          </cell>
          <cell r="O1235">
            <v>2</v>
          </cell>
          <cell r="P1235">
            <v>0</v>
          </cell>
          <cell r="Q1235">
            <v>2</v>
          </cell>
          <cell r="R1235">
            <v>2</v>
          </cell>
          <cell r="S1235">
            <v>0</v>
          </cell>
          <cell r="T1235">
            <v>1</v>
          </cell>
          <cell r="U1235">
            <v>0</v>
          </cell>
          <cell r="V1235">
            <v>0</v>
          </cell>
          <cell r="W1235">
            <v>0</v>
          </cell>
          <cell r="X1235">
            <v>0</v>
          </cell>
          <cell r="Y1235">
            <v>662000</v>
          </cell>
        </row>
        <row r="1236">
          <cell r="E1236">
            <v>0</v>
          </cell>
          <cell r="F1236" t="str">
            <v>Susi cell</v>
          </cell>
          <cell r="G1236">
            <v>0</v>
          </cell>
          <cell r="H1236">
            <v>0</v>
          </cell>
          <cell r="I1236">
            <v>1</v>
          </cell>
          <cell r="J1236">
            <v>1</v>
          </cell>
          <cell r="K1236">
            <v>1</v>
          </cell>
          <cell r="L1236">
            <v>1</v>
          </cell>
          <cell r="M1236">
            <v>0</v>
          </cell>
          <cell r="N1236">
            <v>1</v>
          </cell>
          <cell r="O1236">
            <v>1</v>
          </cell>
          <cell r="P1236">
            <v>0</v>
          </cell>
          <cell r="Q1236">
            <v>1</v>
          </cell>
          <cell r="R1236">
            <v>1</v>
          </cell>
          <cell r="S1236">
            <v>0</v>
          </cell>
          <cell r="T1236">
            <v>0</v>
          </cell>
          <cell r="U1236">
            <v>0</v>
          </cell>
          <cell r="V1236">
            <v>0</v>
          </cell>
          <cell r="W1236">
            <v>0</v>
          </cell>
          <cell r="X1236">
            <v>2349742.1034996118</v>
          </cell>
          <cell r="Y1236">
            <v>1054000</v>
          </cell>
        </row>
        <row r="1237">
          <cell r="E1237">
            <v>0</v>
          </cell>
          <cell r="F1237" t="str">
            <v>New All Ponsel</v>
          </cell>
          <cell r="G1237">
            <v>0</v>
          </cell>
          <cell r="H1237">
            <v>0</v>
          </cell>
          <cell r="I1237">
            <v>0</v>
          </cell>
          <cell r="J1237">
            <v>0</v>
          </cell>
          <cell r="K1237">
            <v>0</v>
          </cell>
          <cell r="L1237">
            <v>0</v>
          </cell>
          <cell r="M1237">
            <v>0</v>
          </cell>
          <cell r="N1237">
            <v>0</v>
          </cell>
          <cell r="O1237">
            <v>0</v>
          </cell>
          <cell r="P1237">
            <v>0</v>
          </cell>
          <cell r="Q1237">
            <v>0</v>
          </cell>
          <cell r="R1237">
            <v>0</v>
          </cell>
          <cell r="S1237">
            <v>0</v>
          </cell>
          <cell r="T1237">
            <v>0</v>
          </cell>
          <cell r="U1237">
            <v>0</v>
          </cell>
          <cell r="V1237">
            <v>0</v>
          </cell>
          <cell r="W1237">
            <v>0</v>
          </cell>
          <cell r="X1237">
            <v>0</v>
          </cell>
          <cell r="Y1237">
            <v>0</v>
          </cell>
        </row>
        <row r="1238">
          <cell r="E1238">
            <v>0</v>
          </cell>
          <cell r="F1238" t="str">
            <v>New Blue Star Cell</v>
          </cell>
          <cell r="G1238">
            <v>0</v>
          </cell>
          <cell r="H1238">
            <v>0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</v>
          </cell>
          <cell r="O1238">
            <v>0</v>
          </cell>
          <cell r="P1238">
            <v>0</v>
          </cell>
          <cell r="Q1238">
            <v>0</v>
          </cell>
          <cell r="R1238">
            <v>0</v>
          </cell>
          <cell r="S1238">
            <v>0</v>
          </cell>
          <cell r="T1238">
            <v>0</v>
          </cell>
          <cell r="U1238">
            <v>0</v>
          </cell>
          <cell r="V1238">
            <v>0</v>
          </cell>
          <cell r="W1238">
            <v>0</v>
          </cell>
          <cell r="X1238">
            <v>0</v>
          </cell>
          <cell r="Y1238">
            <v>0</v>
          </cell>
        </row>
        <row r="1239">
          <cell r="E1239">
            <v>0</v>
          </cell>
          <cell r="F1239" t="str">
            <v>EL Ponsel</v>
          </cell>
          <cell r="G1239">
            <v>0</v>
          </cell>
          <cell r="H1239">
            <v>0</v>
          </cell>
          <cell r="I1239">
            <v>1</v>
          </cell>
          <cell r="J1239">
            <v>1</v>
          </cell>
          <cell r="K1239">
            <v>1</v>
          </cell>
          <cell r="L1239">
            <v>1</v>
          </cell>
          <cell r="M1239">
            <v>0</v>
          </cell>
          <cell r="N1239">
            <v>0</v>
          </cell>
          <cell r="O1239">
            <v>0</v>
          </cell>
          <cell r="P1239">
            <v>0</v>
          </cell>
          <cell r="Q1239">
            <v>0</v>
          </cell>
          <cell r="R1239">
            <v>0</v>
          </cell>
          <cell r="S1239">
            <v>0</v>
          </cell>
          <cell r="T1239">
            <v>5</v>
          </cell>
          <cell r="U1239">
            <v>1</v>
          </cell>
          <cell r="V1239">
            <v>0</v>
          </cell>
          <cell r="W1239">
            <v>0</v>
          </cell>
          <cell r="X1239">
            <v>125203.225806452</v>
          </cell>
          <cell r="Y1239">
            <v>54000</v>
          </cell>
        </row>
        <row r="1240">
          <cell r="E1240">
            <v>0</v>
          </cell>
          <cell r="F1240" t="str">
            <v>EVOLUTION</v>
          </cell>
          <cell r="G1240">
            <v>0</v>
          </cell>
          <cell r="H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0</v>
          </cell>
          <cell r="M1240">
            <v>0</v>
          </cell>
          <cell r="N1240">
            <v>0</v>
          </cell>
          <cell r="O1240">
            <v>0</v>
          </cell>
          <cell r="P1240">
            <v>0</v>
          </cell>
          <cell r="Q1240">
            <v>0</v>
          </cell>
          <cell r="R1240">
            <v>0</v>
          </cell>
          <cell r="S1240">
            <v>0</v>
          </cell>
          <cell r="T1240">
            <v>0</v>
          </cell>
          <cell r="U1240">
            <v>0</v>
          </cell>
          <cell r="V1240">
            <v>0</v>
          </cell>
          <cell r="W1240">
            <v>0</v>
          </cell>
          <cell r="X1240">
            <v>0</v>
          </cell>
          <cell r="Y1240">
            <v>0</v>
          </cell>
        </row>
        <row r="1241">
          <cell r="E1241">
            <v>0</v>
          </cell>
          <cell r="F1241" t="str">
            <v>Vanesha Ponsel</v>
          </cell>
          <cell r="G1241">
            <v>0</v>
          </cell>
          <cell r="H1241">
            <v>0</v>
          </cell>
          <cell r="I1241">
            <v>0</v>
          </cell>
          <cell r="J1241">
            <v>0</v>
          </cell>
          <cell r="K1241">
            <v>0</v>
          </cell>
          <cell r="L1241">
            <v>0</v>
          </cell>
          <cell r="M1241">
            <v>0</v>
          </cell>
          <cell r="N1241">
            <v>0</v>
          </cell>
          <cell r="O1241">
            <v>0</v>
          </cell>
          <cell r="P1241">
            <v>0</v>
          </cell>
          <cell r="Q1241">
            <v>0</v>
          </cell>
          <cell r="R1241">
            <v>0</v>
          </cell>
          <cell r="S1241">
            <v>0</v>
          </cell>
          <cell r="T1241">
            <v>0</v>
          </cell>
          <cell r="U1241">
            <v>0</v>
          </cell>
          <cell r="V1241">
            <v>0</v>
          </cell>
          <cell r="W1241">
            <v>0</v>
          </cell>
          <cell r="X1241">
            <v>0</v>
          </cell>
          <cell r="Y1241">
            <v>0</v>
          </cell>
        </row>
        <row r="1242">
          <cell r="E1242">
            <v>0</v>
          </cell>
          <cell r="F1242" t="str">
            <v>Aqila ponsel</v>
          </cell>
          <cell r="G1242">
            <v>0</v>
          </cell>
          <cell r="H1242">
            <v>0</v>
          </cell>
          <cell r="I1242">
            <v>0</v>
          </cell>
          <cell r="J1242">
            <v>0</v>
          </cell>
          <cell r="K1242">
            <v>0</v>
          </cell>
          <cell r="L1242">
            <v>0</v>
          </cell>
          <cell r="M1242">
            <v>0</v>
          </cell>
          <cell r="N1242">
            <v>0</v>
          </cell>
          <cell r="O1242">
            <v>0</v>
          </cell>
          <cell r="P1242">
            <v>0</v>
          </cell>
          <cell r="Q1242">
            <v>0</v>
          </cell>
          <cell r="R1242">
            <v>0</v>
          </cell>
          <cell r="S1242">
            <v>0</v>
          </cell>
          <cell r="T1242">
            <v>0</v>
          </cell>
          <cell r="U1242">
            <v>0</v>
          </cell>
          <cell r="V1242">
            <v>0</v>
          </cell>
          <cell r="W1242">
            <v>0</v>
          </cell>
          <cell r="X1242">
            <v>0</v>
          </cell>
          <cell r="Y1242">
            <v>0</v>
          </cell>
        </row>
        <row r="1243">
          <cell r="E1243">
            <v>0</v>
          </cell>
          <cell r="F1243" t="str">
            <v>Toko Pai</v>
          </cell>
          <cell r="G1243">
            <v>0</v>
          </cell>
          <cell r="H1243">
            <v>0</v>
          </cell>
          <cell r="I1243">
            <v>1</v>
          </cell>
          <cell r="J1243">
            <v>1</v>
          </cell>
          <cell r="K1243">
            <v>0</v>
          </cell>
          <cell r="L1243">
            <v>0</v>
          </cell>
          <cell r="M1243">
            <v>0</v>
          </cell>
          <cell r="N1243">
            <v>0</v>
          </cell>
          <cell r="O1243">
            <v>0</v>
          </cell>
          <cell r="P1243">
            <v>0</v>
          </cell>
          <cell r="Q1243">
            <v>0</v>
          </cell>
          <cell r="R1243">
            <v>0</v>
          </cell>
          <cell r="S1243">
            <v>0</v>
          </cell>
          <cell r="T1243">
            <v>0</v>
          </cell>
          <cell r="U1243">
            <v>0</v>
          </cell>
          <cell r="V1243">
            <v>0</v>
          </cell>
          <cell r="W1243">
            <v>0</v>
          </cell>
          <cell r="X1243">
            <v>62985.424149491002</v>
          </cell>
          <cell r="Y1243">
            <v>108000</v>
          </cell>
        </row>
        <row r="1244">
          <cell r="E1244">
            <v>0</v>
          </cell>
          <cell r="F1244" t="str">
            <v>SYiFA</v>
          </cell>
          <cell r="G1244">
            <v>0</v>
          </cell>
          <cell r="H1244">
            <v>0</v>
          </cell>
          <cell r="I1244">
            <v>0</v>
          </cell>
          <cell r="J1244">
            <v>0</v>
          </cell>
          <cell r="K1244">
            <v>0</v>
          </cell>
          <cell r="L1244">
            <v>0</v>
          </cell>
          <cell r="M1244">
            <v>0</v>
          </cell>
          <cell r="N1244">
            <v>0</v>
          </cell>
          <cell r="O1244">
            <v>0</v>
          </cell>
          <cell r="P1244">
            <v>0</v>
          </cell>
          <cell r="Q1244">
            <v>0</v>
          </cell>
          <cell r="R1244">
            <v>0</v>
          </cell>
          <cell r="S1244">
            <v>0</v>
          </cell>
          <cell r="T1244">
            <v>0</v>
          </cell>
          <cell r="U1244">
            <v>0</v>
          </cell>
          <cell r="V1244">
            <v>0</v>
          </cell>
          <cell r="W1244">
            <v>0</v>
          </cell>
          <cell r="X1244">
            <v>0</v>
          </cell>
          <cell r="Y1244">
            <v>0</v>
          </cell>
        </row>
        <row r="1245">
          <cell r="E1245">
            <v>0</v>
          </cell>
          <cell r="F1245" t="str">
            <v>HELEN CELL</v>
          </cell>
          <cell r="G1245">
            <v>0</v>
          </cell>
          <cell r="H1245">
            <v>0</v>
          </cell>
          <cell r="I1245">
            <v>0</v>
          </cell>
          <cell r="J1245">
            <v>0</v>
          </cell>
          <cell r="K1245">
            <v>0</v>
          </cell>
          <cell r="L1245">
            <v>0</v>
          </cell>
          <cell r="M1245">
            <v>0</v>
          </cell>
          <cell r="N1245">
            <v>0</v>
          </cell>
          <cell r="O1245">
            <v>0</v>
          </cell>
          <cell r="P1245">
            <v>0</v>
          </cell>
          <cell r="Q1245">
            <v>0</v>
          </cell>
          <cell r="R1245">
            <v>0</v>
          </cell>
          <cell r="S1245">
            <v>0</v>
          </cell>
          <cell r="T1245">
            <v>0</v>
          </cell>
          <cell r="U1245">
            <v>0</v>
          </cell>
          <cell r="V1245">
            <v>0</v>
          </cell>
          <cell r="W1245">
            <v>0</v>
          </cell>
          <cell r="X1245">
            <v>0</v>
          </cell>
          <cell r="Y1245">
            <v>0</v>
          </cell>
        </row>
        <row r="1246">
          <cell r="E1246">
            <v>0</v>
          </cell>
          <cell r="F1246" t="str">
            <v>Neara Cell</v>
          </cell>
          <cell r="G1246">
            <v>0</v>
          </cell>
          <cell r="H1246">
            <v>0</v>
          </cell>
          <cell r="I1246">
            <v>0</v>
          </cell>
          <cell r="J1246">
            <v>0</v>
          </cell>
          <cell r="K1246">
            <v>0</v>
          </cell>
          <cell r="L1246">
            <v>0</v>
          </cell>
          <cell r="M1246">
            <v>0</v>
          </cell>
          <cell r="N1246">
            <v>0</v>
          </cell>
          <cell r="O1246">
            <v>0</v>
          </cell>
          <cell r="P1246">
            <v>0</v>
          </cell>
          <cell r="Q1246">
            <v>0</v>
          </cell>
          <cell r="R1246">
            <v>0</v>
          </cell>
          <cell r="S1246">
            <v>0</v>
          </cell>
          <cell r="T1246">
            <v>5</v>
          </cell>
          <cell r="U1246">
            <v>0</v>
          </cell>
          <cell r="V1246">
            <v>0</v>
          </cell>
          <cell r="W1246">
            <v>0</v>
          </cell>
          <cell r="X1246">
            <v>120370.967741935</v>
          </cell>
          <cell r="Y1246">
            <v>0</v>
          </cell>
        </row>
        <row r="1247">
          <cell r="E1247">
            <v>0</v>
          </cell>
          <cell r="F1247" t="str">
            <v>B.PHONE</v>
          </cell>
          <cell r="G1247">
            <v>0</v>
          </cell>
          <cell r="H1247">
            <v>0</v>
          </cell>
          <cell r="I1247">
            <v>1</v>
          </cell>
          <cell r="J1247">
            <v>1</v>
          </cell>
          <cell r="K1247">
            <v>0</v>
          </cell>
          <cell r="L1247">
            <v>0</v>
          </cell>
          <cell r="M1247">
            <v>0</v>
          </cell>
          <cell r="N1247">
            <v>0</v>
          </cell>
          <cell r="O1247">
            <v>0</v>
          </cell>
          <cell r="P1247">
            <v>0</v>
          </cell>
          <cell r="Q1247">
            <v>0</v>
          </cell>
          <cell r="R1247">
            <v>0</v>
          </cell>
          <cell r="S1247">
            <v>0</v>
          </cell>
          <cell r="T1247">
            <v>0</v>
          </cell>
          <cell r="U1247">
            <v>0</v>
          </cell>
          <cell r="V1247">
            <v>0</v>
          </cell>
          <cell r="W1247">
            <v>0</v>
          </cell>
          <cell r="X1247">
            <v>373987.80487804901</v>
          </cell>
          <cell r="Y1247">
            <v>54000</v>
          </cell>
        </row>
        <row r="1248">
          <cell r="E1248">
            <v>0</v>
          </cell>
          <cell r="F1248" t="str">
            <v>888 Ponsel</v>
          </cell>
          <cell r="G1248">
            <v>0</v>
          </cell>
          <cell r="H1248">
            <v>0</v>
          </cell>
          <cell r="I1248">
            <v>1</v>
          </cell>
          <cell r="J1248">
            <v>1</v>
          </cell>
          <cell r="K1248">
            <v>2</v>
          </cell>
          <cell r="L1248">
            <v>2</v>
          </cell>
          <cell r="M1248">
            <v>0</v>
          </cell>
          <cell r="N1248">
            <v>1</v>
          </cell>
          <cell r="O1248">
            <v>1</v>
          </cell>
          <cell r="P1248">
            <v>0</v>
          </cell>
          <cell r="Q1248">
            <v>2</v>
          </cell>
          <cell r="R1248">
            <v>2</v>
          </cell>
          <cell r="S1248">
            <v>0</v>
          </cell>
          <cell r="T1248">
            <v>5</v>
          </cell>
          <cell r="U1248">
            <v>0</v>
          </cell>
          <cell r="V1248">
            <v>0</v>
          </cell>
          <cell r="W1248">
            <v>0</v>
          </cell>
          <cell r="X1248">
            <v>5500252.6612903224</v>
          </cell>
          <cell r="Y1248">
            <v>549000</v>
          </cell>
        </row>
        <row r="1249">
          <cell r="E1249">
            <v>0</v>
          </cell>
          <cell r="F1249" t="str">
            <v>Sukses Cell</v>
          </cell>
          <cell r="G1249">
            <v>0</v>
          </cell>
          <cell r="H1249">
            <v>0</v>
          </cell>
          <cell r="I1249">
            <v>1</v>
          </cell>
          <cell r="J1249">
            <v>1</v>
          </cell>
          <cell r="K1249">
            <v>0</v>
          </cell>
          <cell r="L1249">
            <v>0</v>
          </cell>
          <cell r="M1249">
            <v>0</v>
          </cell>
          <cell r="N1249">
            <v>0</v>
          </cell>
          <cell r="O1249">
            <v>0</v>
          </cell>
          <cell r="P1249">
            <v>0</v>
          </cell>
          <cell r="Q1249">
            <v>0</v>
          </cell>
          <cell r="R1249">
            <v>0</v>
          </cell>
          <cell r="S1249">
            <v>0</v>
          </cell>
          <cell r="T1249">
            <v>5</v>
          </cell>
          <cell r="U1249">
            <v>0</v>
          </cell>
          <cell r="V1249">
            <v>0</v>
          </cell>
          <cell r="W1249">
            <v>0</v>
          </cell>
          <cell r="X1249">
            <v>288837.27956989198</v>
          </cell>
          <cell r="Y1249">
            <v>54000</v>
          </cell>
        </row>
        <row r="1250">
          <cell r="E1250">
            <v>0</v>
          </cell>
          <cell r="F1250" t="str">
            <v>Jiu Loy</v>
          </cell>
          <cell r="G1250">
            <v>0</v>
          </cell>
          <cell r="H1250">
            <v>0</v>
          </cell>
          <cell r="I1250">
            <v>1</v>
          </cell>
          <cell r="J1250">
            <v>1</v>
          </cell>
          <cell r="K1250">
            <v>1</v>
          </cell>
          <cell r="L1250">
            <v>1</v>
          </cell>
          <cell r="M1250">
            <v>0</v>
          </cell>
          <cell r="N1250">
            <v>0</v>
          </cell>
          <cell r="O1250">
            <v>0</v>
          </cell>
          <cell r="P1250">
            <v>0</v>
          </cell>
          <cell r="Q1250">
            <v>0</v>
          </cell>
          <cell r="R1250">
            <v>0</v>
          </cell>
          <cell r="S1250">
            <v>0</v>
          </cell>
          <cell r="T1250">
            <v>0</v>
          </cell>
          <cell r="U1250">
            <v>0</v>
          </cell>
          <cell r="V1250">
            <v>0</v>
          </cell>
          <cell r="W1250">
            <v>0</v>
          </cell>
          <cell r="X1250">
            <v>59386.257055233997</v>
          </cell>
          <cell r="Y1250">
            <v>108000</v>
          </cell>
        </row>
        <row r="1251">
          <cell r="E1251">
            <v>0</v>
          </cell>
          <cell r="F1251" t="str">
            <v>SURPRISE PONSEL</v>
          </cell>
          <cell r="G1251">
            <v>0</v>
          </cell>
          <cell r="H1251">
            <v>0</v>
          </cell>
          <cell r="I1251">
            <v>0</v>
          </cell>
          <cell r="J1251">
            <v>0</v>
          </cell>
          <cell r="K1251">
            <v>0</v>
          </cell>
          <cell r="L1251">
            <v>0</v>
          </cell>
          <cell r="M1251">
            <v>0</v>
          </cell>
          <cell r="N1251">
            <v>0</v>
          </cell>
          <cell r="O1251">
            <v>0</v>
          </cell>
          <cell r="P1251">
            <v>0</v>
          </cell>
          <cell r="Q1251">
            <v>0</v>
          </cell>
          <cell r="R1251">
            <v>0</v>
          </cell>
          <cell r="S1251">
            <v>0</v>
          </cell>
          <cell r="T1251">
            <v>0</v>
          </cell>
          <cell r="U1251">
            <v>0</v>
          </cell>
          <cell r="V1251">
            <v>0</v>
          </cell>
          <cell r="W1251">
            <v>0</v>
          </cell>
          <cell r="X1251">
            <v>695111.13427536504</v>
          </cell>
          <cell r="Y1251">
            <v>500000</v>
          </cell>
        </row>
        <row r="1252">
          <cell r="E1252">
            <v>0</v>
          </cell>
          <cell r="F1252" t="str">
            <v>Lewis ponsel</v>
          </cell>
          <cell r="G1252">
            <v>0</v>
          </cell>
          <cell r="H1252">
            <v>0</v>
          </cell>
          <cell r="I1252">
            <v>1</v>
          </cell>
          <cell r="J1252">
            <v>1</v>
          </cell>
          <cell r="K1252">
            <v>0</v>
          </cell>
          <cell r="L1252">
            <v>0</v>
          </cell>
          <cell r="M1252">
            <v>0</v>
          </cell>
          <cell r="N1252">
            <v>0</v>
          </cell>
          <cell r="O1252">
            <v>0</v>
          </cell>
          <cell r="P1252">
            <v>0</v>
          </cell>
          <cell r="Q1252">
            <v>0</v>
          </cell>
          <cell r="R1252">
            <v>0</v>
          </cell>
          <cell r="S1252">
            <v>0</v>
          </cell>
          <cell r="T1252">
            <v>0</v>
          </cell>
          <cell r="U1252">
            <v>0</v>
          </cell>
          <cell r="V1252">
            <v>0</v>
          </cell>
          <cell r="W1252">
            <v>0</v>
          </cell>
          <cell r="X1252">
            <v>244952.45687873501</v>
          </cell>
          <cell r="Y1252">
            <v>354000</v>
          </cell>
        </row>
        <row r="1253">
          <cell r="E1253">
            <v>0</v>
          </cell>
          <cell r="F1253" t="str">
            <v>Surya</v>
          </cell>
          <cell r="G1253">
            <v>0</v>
          </cell>
          <cell r="H1253">
            <v>0</v>
          </cell>
          <cell r="I1253">
            <v>1</v>
          </cell>
          <cell r="J1253">
            <v>1</v>
          </cell>
          <cell r="K1253">
            <v>0</v>
          </cell>
          <cell r="L1253">
            <v>0</v>
          </cell>
          <cell r="M1253">
            <v>0</v>
          </cell>
          <cell r="N1253">
            <v>0</v>
          </cell>
          <cell r="O1253">
            <v>0</v>
          </cell>
          <cell r="P1253">
            <v>0</v>
          </cell>
          <cell r="Q1253">
            <v>0</v>
          </cell>
          <cell r="R1253">
            <v>0</v>
          </cell>
          <cell r="S1253">
            <v>0</v>
          </cell>
          <cell r="T1253">
            <v>0</v>
          </cell>
          <cell r="U1253">
            <v>0</v>
          </cell>
          <cell r="V1253">
            <v>0</v>
          </cell>
          <cell r="W1253">
            <v>0</v>
          </cell>
          <cell r="X1253">
            <v>662639.90322580596</v>
          </cell>
          <cell r="Y1253">
            <v>53000</v>
          </cell>
        </row>
        <row r="1254">
          <cell r="E1254">
            <v>0</v>
          </cell>
          <cell r="F1254" t="str">
            <v>fa smart</v>
          </cell>
          <cell r="G1254">
            <v>0</v>
          </cell>
          <cell r="H1254">
            <v>0</v>
          </cell>
          <cell r="I1254">
            <v>1</v>
          </cell>
          <cell r="J1254">
            <v>1</v>
          </cell>
          <cell r="K1254">
            <v>0</v>
          </cell>
          <cell r="L1254">
            <v>0</v>
          </cell>
          <cell r="M1254">
            <v>0</v>
          </cell>
          <cell r="N1254">
            <v>0</v>
          </cell>
          <cell r="O1254">
            <v>0</v>
          </cell>
          <cell r="P1254">
            <v>0</v>
          </cell>
          <cell r="Q1254">
            <v>0</v>
          </cell>
          <cell r="R1254">
            <v>0</v>
          </cell>
          <cell r="S1254">
            <v>0</v>
          </cell>
          <cell r="T1254">
            <v>0</v>
          </cell>
          <cell r="U1254">
            <v>0</v>
          </cell>
          <cell r="V1254">
            <v>0</v>
          </cell>
          <cell r="W1254">
            <v>0</v>
          </cell>
          <cell r="X1254">
            <v>576763.81913152605</v>
          </cell>
          <cell r="Y1254">
            <v>572000</v>
          </cell>
        </row>
        <row r="1255">
          <cell r="E1255">
            <v>0</v>
          </cell>
          <cell r="F1255" t="str">
            <v>Stapuk Ponsel</v>
          </cell>
          <cell r="G1255">
            <v>0</v>
          </cell>
          <cell r="H1255">
            <v>0</v>
          </cell>
          <cell r="I1255">
            <v>1</v>
          </cell>
          <cell r="J1255">
            <v>1</v>
          </cell>
          <cell r="K1255">
            <v>0</v>
          </cell>
          <cell r="L1255">
            <v>0</v>
          </cell>
          <cell r="M1255">
            <v>0</v>
          </cell>
          <cell r="N1255">
            <v>0</v>
          </cell>
          <cell r="O1255">
            <v>0</v>
          </cell>
          <cell r="P1255">
            <v>0</v>
          </cell>
          <cell r="Q1255">
            <v>0</v>
          </cell>
          <cell r="R1255">
            <v>0</v>
          </cell>
          <cell r="S1255">
            <v>0</v>
          </cell>
          <cell r="T1255">
            <v>0</v>
          </cell>
          <cell r="U1255">
            <v>0</v>
          </cell>
          <cell r="V1255">
            <v>0</v>
          </cell>
          <cell r="W1255">
            <v>0</v>
          </cell>
          <cell r="X1255">
            <v>333992.58778861898</v>
          </cell>
          <cell r="Y1255">
            <v>372000</v>
          </cell>
        </row>
        <row r="1256">
          <cell r="E1256">
            <v>0</v>
          </cell>
          <cell r="F1256" t="str">
            <v>VR .ponsel</v>
          </cell>
          <cell r="G1256">
            <v>0</v>
          </cell>
          <cell r="H1256">
            <v>0</v>
          </cell>
          <cell r="I1256">
            <v>1</v>
          </cell>
          <cell r="J1256">
            <v>1</v>
          </cell>
          <cell r="K1256">
            <v>3</v>
          </cell>
          <cell r="L1256">
            <v>3</v>
          </cell>
          <cell r="M1256">
            <v>0</v>
          </cell>
          <cell r="N1256">
            <v>0</v>
          </cell>
          <cell r="O1256">
            <v>0</v>
          </cell>
          <cell r="P1256">
            <v>0</v>
          </cell>
          <cell r="Q1256">
            <v>1</v>
          </cell>
          <cell r="R1256">
            <v>1</v>
          </cell>
          <cell r="S1256">
            <v>0</v>
          </cell>
          <cell r="T1256">
            <v>2</v>
          </cell>
          <cell r="U1256">
            <v>1</v>
          </cell>
          <cell r="V1256">
            <v>0</v>
          </cell>
          <cell r="W1256">
            <v>0</v>
          </cell>
          <cell r="X1256">
            <v>3951736.4421791439</v>
          </cell>
          <cell r="Y1256">
            <v>2131500</v>
          </cell>
        </row>
        <row r="1257">
          <cell r="E1257">
            <v>0</v>
          </cell>
          <cell r="F1257" t="str">
            <v>Kalimantan Cellular</v>
          </cell>
          <cell r="G1257">
            <v>0</v>
          </cell>
          <cell r="H1257">
            <v>0</v>
          </cell>
          <cell r="I1257">
            <v>1</v>
          </cell>
          <cell r="J1257">
            <v>1</v>
          </cell>
          <cell r="K1257">
            <v>0</v>
          </cell>
          <cell r="L1257">
            <v>0</v>
          </cell>
          <cell r="M1257">
            <v>0</v>
          </cell>
          <cell r="N1257">
            <v>0</v>
          </cell>
          <cell r="O1257">
            <v>0</v>
          </cell>
          <cell r="P1257">
            <v>0</v>
          </cell>
          <cell r="Q1257">
            <v>0</v>
          </cell>
          <cell r="R1257">
            <v>0</v>
          </cell>
          <cell r="S1257">
            <v>0</v>
          </cell>
          <cell r="T1257">
            <v>0</v>
          </cell>
          <cell r="U1257">
            <v>0</v>
          </cell>
          <cell r="V1257">
            <v>0</v>
          </cell>
          <cell r="W1257">
            <v>0</v>
          </cell>
          <cell r="X1257">
            <v>367342.14516129001</v>
          </cell>
          <cell r="Y1257">
            <v>153000</v>
          </cell>
        </row>
        <row r="1258">
          <cell r="E1258">
            <v>0</v>
          </cell>
          <cell r="F1258" t="str">
            <v>D2 ponsel</v>
          </cell>
          <cell r="G1258">
            <v>0</v>
          </cell>
          <cell r="H1258">
            <v>0</v>
          </cell>
          <cell r="I1258">
            <v>1</v>
          </cell>
          <cell r="J1258">
            <v>1</v>
          </cell>
          <cell r="K1258">
            <v>1</v>
          </cell>
          <cell r="L1258">
            <v>1</v>
          </cell>
          <cell r="M1258">
            <v>0</v>
          </cell>
          <cell r="N1258">
            <v>0</v>
          </cell>
          <cell r="O1258">
            <v>0</v>
          </cell>
          <cell r="P1258">
            <v>0</v>
          </cell>
          <cell r="Q1258">
            <v>1</v>
          </cell>
          <cell r="R1258">
            <v>1</v>
          </cell>
          <cell r="S1258">
            <v>0</v>
          </cell>
          <cell r="T1258">
            <v>0</v>
          </cell>
          <cell r="U1258">
            <v>0</v>
          </cell>
          <cell r="V1258">
            <v>0</v>
          </cell>
          <cell r="W1258">
            <v>0</v>
          </cell>
          <cell r="X1258">
            <v>556028.90458408103</v>
          </cell>
          <cell r="Y1258">
            <v>572000</v>
          </cell>
        </row>
        <row r="1259">
          <cell r="E1259">
            <v>0</v>
          </cell>
          <cell r="F1259" t="str">
            <v>R MUSLIADI PULSA</v>
          </cell>
          <cell r="G1259">
            <v>0</v>
          </cell>
          <cell r="H1259">
            <v>0</v>
          </cell>
          <cell r="I1259">
            <v>1</v>
          </cell>
          <cell r="J1259">
            <v>1</v>
          </cell>
          <cell r="K1259">
            <v>0</v>
          </cell>
          <cell r="L1259">
            <v>0</v>
          </cell>
          <cell r="M1259">
            <v>0</v>
          </cell>
          <cell r="N1259">
            <v>0</v>
          </cell>
          <cell r="O1259">
            <v>0</v>
          </cell>
          <cell r="P1259">
            <v>0</v>
          </cell>
          <cell r="Q1259">
            <v>0</v>
          </cell>
          <cell r="R1259">
            <v>0</v>
          </cell>
          <cell r="S1259">
            <v>0</v>
          </cell>
          <cell r="T1259">
            <v>0</v>
          </cell>
          <cell r="U1259">
            <v>0</v>
          </cell>
          <cell r="V1259">
            <v>0</v>
          </cell>
          <cell r="W1259">
            <v>0</v>
          </cell>
          <cell r="X1259">
            <v>98052</v>
          </cell>
          <cell r="Y1259">
            <v>231500</v>
          </cell>
        </row>
        <row r="1260">
          <cell r="E1260">
            <v>0</v>
          </cell>
          <cell r="F1260" t="str">
            <v>Kios Yulita</v>
          </cell>
          <cell r="G1260">
            <v>0</v>
          </cell>
          <cell r="H1260">
            <v>0</v>
          </cell>
          <cell r="I1260">
            <v>1</v>
          </cell>
          <cell r="J1260">
            <v>1</v>
          </cell>
          <cell r="K1260">
            <v>0</v>
          </cell>
          <cell r="L1260">
            <v>0</v>
          </cell>
          <cell r="M1260">
            <v>0</v>
          </cell>
          <cell r="N1260">
            <v>0</v>
          </cell>
          <cell r="O1260">
            <v>0</v>
          </cell>
          <cell r="P1260">
            <v>0</v>
          </cell>
          <cell r="Q1260">
            <v>0</v>
          </cell>
          <cell r="R1260">
            <v>0</v>
          </cell>
          <cell r="S1260">
            <v>0</v>
          </cell>
          <cell r="T1260">
            <v>0</v>
          </cell>
          <cell r="U1260">
            <v>0</v>
          </cell>
          <cell r="V1260">
            <v>0</v>
          </cell>
          <cell r="W1260">
            <v>0</v>
          </cell>
          <cell r="X1260">
            <v>371516.21762513299</v>
          </cell>
          <cell r="Y1260">
            <v>253000</v>
          </cell>
        </row>
        <row r="1261">
          <cell r="E1261">
            <v>0</v>
          </cell>
          <cell r="F1261" t="str">
            <v>CENTRA PONSEL</v>
          </cell>
          <cell r="G1261">
            <v>0</v>
          </cell>
          <cell r="H1261">
            <v>0</v>
          </cell>
          <cell r="I1261">
            <v>1</v>
          </cell>
          <cell r="J1261">
            <v>1</v>
          </cell>
          <cell r="K1261">
            <v>0</v>
          </cell>
          <cell r="L1261">
            <v>0</v>
          </cell>
          <cell r="M1261">
            <v>0</v>
          </cell>
          <cell r="N1261">
            <v>0</v>
          </cell>
          <cell r="O1261">
            <v>0</v>
          </cell>
          <cell r="P1261">
            <v>0</v>
          </cell>
          <cell r="Q1261">
            <v>0</v>
          </cell>
          <cell r="R1261">
            <v>0</v>
          </cell>
          <cell r="S1261">
            <v>0</v>
          </cell>
          <cell r="T1261">
            <v>0</v>
          </cell>
          <cell r="U1261">
            <v>0</v>
          </cell>
          <cell r="V1261">
            <v>0</v>
          </cell>
          <cell r="W1261">
            <v>0</v>
          </cell>
          <cell r="X1261">
            <v>281918.51612903201</v>
          </cell>
          <cell r="Y1261">
            <v>225000</v>
          </cell>
        </row>
        <row r="1262">
          <cell r="E1262">
            <v>0</v>
          </cell>
          <cell r="F1262" t="str">
            <v>ULFA CELL</v>
          </cell>
          <cell r="G1262">
            <v>0</v>
          </cell>
          <cell r="H1262">
            <v>0</v>
          </cell>
          <cell r="I1262">
            <v>1</v>
          </cell>
          <cell r="J1262">
            <v>1</v>
          </cell>
          <cell r="K1262">
            <v>0</v>
          </cell>
          <cell r="L1262">
            <v>0</v>
          </cell>
          <cell r="M1262">
            <v>0</v>
          </cell>
          <cell r="N1262">
            <v>0</v>
          </cell>
          <cell r="O1262">
            <v>0</v>
          </cell>
          <cell r="P1262">
            <v>0</v>
          </cell>
          <cell r="Q1262">
            <v>0</v>
          </cell>
          <cell r="R1262">
            <v>0</v>
          </cell>
          <cell r="S1262">
            <v>0</v>
          </cell>
          <cell r="T1262">
            <v>0</v>
          </cell>
          <cell r="U1262">
            <v>0</v>
          </cell>
          <cell r="V1262">
            <v>0</v>
          </cell>
          <cell r="W1262">
            <v>0</v>
          </cell>
          <cell r="X1262">
            <v>468963.38709677401</v>
          </cell>
          <cell r="Y1262">
            <v>72000</v>
          </cell>
        </row>
        <row r="1263">
          <cell r="E1263">
            <v>0</v>
          </cell>
          <cell r="F1263" t="str">
            <v>COUNTER SUNGAI GARAM</v>
          </cell>
          <cell r="G1263">
            <v>0</v>
          </cell>
          <cell r="H1263">
            <v>0</v>
          </cell>
          <cell r="I1263">
            <v>1</v>
          </cell>
          <cell r="J1263">
            <v>1</v>
          </cell>
          <cell r="K1263">
            <v>0</v>
          </cell>
          <cell r="L1263">
            <v>0</v>
          </cell>
          <cell r="M1263">
            <v>0</v>
          </cell>
          <cell r="N1263">
            <v>0</v>
          </cell>
          <cell r="O1263">
            <v>0</v>
          </cell>
          <cell r="P1263">
            <v>0</v>
          </cell>
          <cell r="Q1263">
            <v>0</v>
          </cell>
          <cell r="R1263">
            <v>0</v>
          </cell>
          <cell r="S1263">
            <v>0</v>
          </cell>
          <cell r="T1263">
            <v>0</v>
          </cell>
          <cell r="U1263">
            <v>0</v>
          </cell>
          <cell r="V1263">
            <v>0</v>
          </cell>
          <cell r="W1263">
            <v>0</v>
          </cell>
          <cell r="X1263">
            <v>0</v>
          </cell>
          <cell r="Y1263">
            <v>72000</v>
          </cell>
        </row>
        <row r="1264">
          <cell r="E1264">
            <v>0</v>
          </cell>
          <cell r="F1264" t="str">
            <v>MINI STORE</v>
          </cell>
          <cell r="G1264">
            <v>0</v>
          </cell>
          <cell r="H1264">
            <v>0</v>
          </cell>
          <cell r="I1264">
            <v>1</v>
          </cell>
          <cell r="J1264">
            <v>1</v>
          </cell>
          <cell r="K1264">
            <v>1</v>
          </cell>
          <cell r="L1264">
            <v>0</v>
          </cell>
          <cell r="M1264">
            <v>1</v>
          </cell>
          <cell r="N1264">
            <v>0</v>
          </cell>
          <cell r="O1264">
            <v>0</v>
          </cell>
          <cell r="P1264">
            <v>0</v>
          </cell>
          <cell r="Q1264">
            <v>0</v>
          </cell>
          <cell r="R1264">
            <v>0</v>
          </cell>
          <cell r="S1264">
            <v>0</v>
          </cell>
          <cell r="T1264">
            <v>0</v>
          </cell>
          <cell r="U1264">
            <v>0</v>
          </cell>
          <cell r="V1264">
            <v>0</v>
          </cell>
          <cell r="W1264">
            <v>0</v>
          </cell>
          <cell r="X1264">
            <v>403498.83870967699</v>
          </cell>
          <cell r="Y1264">
            <v>72000</v>
          </cell>
        </row>
        <row r="1265">
          <cell r="E1265">
            <v>0</v>
          </cell>
          <cell r="F1265" t="str">
            <v>TOKO AKHIM</v>
          </cell>
          <cell r="G1265">
            <v>0</v>
          </cell>
          <cell r="H1265">
            <v>0</v>
          </cell>
          <cell r="I1265">
            <v>1</v>
          </cell>
          <cell r="J1265">
            <v>1</v>
          </cell>
          <cell r="K1265">
            <v>0</v>
          </cell>
          <cell r="L1265">
            <v>0</v>
          </cell>
          <cell r="M1265">
            <v>0</v>
          </cell>
          <cell r="N1265">
            <v>0</v>
          </cell>
          <cell r="O1265">
            <v>0</v>
          </cell>
          <cell r="P1265">
            <v>0</v>
          </cell>
          <cell r="Q1265">
            <v>0</v>
          </cell>
          <cell r="R1265">
            <v>0</v>
          </cell>
          <cell r="S1265">
            <v>0</v>
          </cell>
          <cell r="T1265">
            <v>0</v>
          </cell>
          <cell r="U1265">
            <v>0</v>
          </cell>
          <cell r="V1265">
            <v>0</v>
          </cell>
          <cell r="W1265">
            <v>0</v>
          </cell>
          <cell r="X1265">
            <v>442709.43548387103</v>
          </cell>
          <cell r="Y1265">
            <v>207000</v>
          </cell>
        </row>
        <row r="1266">
          <cell r="E1266">
            <v>0</v>
          </cell>
          <cell r="F1266" t="str">
            <v>Jamal Ponsel</v>
          </cell>
          <cell r="G1266">
            <v>0</v>
          </cell>
          <cell r="H1266">
            <v>0</v>
          </cell>
          <cell r="I1266">
            <v>0</v>
          </cell>
          <cell r="J1266">
            <v>0</v>
          </cell>
          <cell r="K1266">
            <v>0</v>
          </cell>
          <cell r="L1266">
            <v>0</v>
          </cell>
          <cell r="M1266">
            <v>0</v>
          </cell>
          <cell r="N1266">
            <v>0</v>
          </cell>
          <cell r="O1266">
            <v>0</v>
          </cell>
          <cell r="P1266">
            <v>0</v>
          </cell>
          <cell r="Q1266">
            <v>0</v>
          </cell>
          <cell r="R1266">
            <v>0</v>
          </cell>
          <cell r="S1266">
            <v>0</v>
          </cell>
          <cell r="T1266">
            <v>0</v>
          </cell>
          <cell r="U1266">
            <v>0</v>
          </cell>
          <cell r="V1266">
            <v>0</v>
          </cell>
          <cell r="W1266">
            <v>0</v>
          </cell>
          <cell r="X1266">
            <v>0</v>
          </cell>
          <cell r="Y1266">
            <v>0</v>
          </cell>
        </row>
        <row r="1267">
          <cell r="E1267">
            <v>0</v>
          </cell>
          <cell r="F1267" t="str">
            <v>HERO CELULLER</v>
          </cell>
          <cell r="G1267">
            <v>0</v>
          </cell>
          <cell r="H1267">
            <v>0</v>
          </cell>
          <cell r="I1267">
            <v>1</v>
          </cell>
          <cell r="J1267">
            <v>1</v>
          </cell>
          <cell r="K1267">
            <v>0</v>
          </cell>
          <cell r="L1267">
            <v>0</v>
          </cell>
          <cell r="M1267">
            <v>0</v>
          </cell>
          <cell r="N1267">
            <v>0</v>
          </cell>
          <cell r="O1267">
            <v>0</v>
          </cell>
          <cell r="P1267">
            <v>0</v>
          </cell>
          <cell r="Q1267">
            <v>0</v>
          </cell>
          <cell r="R1267">
            <v>0</v>
          </cell>
          <cell r="S1267">
            <v>0</v>
          </cell>
          <cell r="T1267">
            <v>0</v>
          </cell>
          <cell r="U1267">
            <v>0</v>
          </cell>
          <cell r="V1267">
            <v>0</v>
          </cell>
          <cell r="W1267">
            <v>0</v>
          </cell>
          <cell r="X1267">
            <v>137589.847329118</v>
          </cell>
          <cell r="Y1267">
            <v>66250</v>
          </cell>
        </row>
        <row r="1268">
          <cell r="E1268">
            <v>0</v>
          </cell>
          <cell r="F1268" t="str">
            <v>Idola ponsel</v>
          </cell>
          <cell r="G1268">
            <v>0</v>
          </cell>
          <cell r="H1268">
            <v>0</v>
          </cell>
          <cell r="I1268">
            <v>1</v>
          </cell>
          <cell r="J1268">
            <v>1</v>
          </cell>
          <cell r="K1268">
            <v>0</v>
          </cell>
          <cell r="L1268">
            <v>0</v>
          </cell>
          <cell r="M1268">
            <v>0</v>
          </cell>
          <cell r="N1268">
            <v>0</v>
          </cell>
          <cell r="O1268">
            <v>0</v>
          </cell>
          <cell r="P1268">
            <v>0</v>
          </cell>
          <cell r="Q1268">
            <v>0</v>
          </cell>
          <cell r="R1268">
            <v>0</v>
          </cell>
          <cell r="S1268">
            <v>0</v>
          </cell>
          <cell r="T1268">
            <v>0</v>
          </cell>
          <cell r="U1268">
            <v>0</v>
          </cell>
          <cell r="V1268">
            <v>0</v>
          </cell>
          <cell r="W1268">
            <v>0</v>
          </cell>
          <cell r="X1268">
            <v>295925</v>
          </cell>
          <cell r="Y1268">
            <v>53000</v>
          </cell>
        </row>
        <row r="1269">
          <cell r="E1269">
            <v>0</v>
          </cell>
          <cell r="F1269" t="str">
            <v>Happy ponsel</v>
          </cell>
          <cell r="G1269">
            <v>0</v>
          </cell>
          <cell r="H1269">
            <v>0</v>
          </cell>
          <cell r="I1269">
            <v>0</v>
          </cell>
          <cell r="J1269">
            <v>0</v>
          </cell>
          <cell r="K1269">
            <v>1</v>
          </cell>
          <cell r="L1269">
            <v>1</v>
          </cell>
          <cell r="M1269">
            <v>0</v>
          </cell>
          <cell r="N1269">
            <v>0</v>
          </cell>
          <cell r="O1269">
            <v>0</v>
          </cell>
          <cell r="P1269">
            <v>0</v>
          </cell>
          <cell r="Q1269">
            <v>0</v>
          </cell>
          <cell r="R1269">
            <v>0</v>
          </cell>
          <cell r="S1269">
            <v>0</v>
          </cell>
          <cell r="T1269">
            <v>0</v>
          </cell>
          <cell r="U1269">
            <v>0</v>
          </cell>
          <cell r="V1269">
            <v>0</v>
          </cell>
          <cell r="W1269">
            <v>0</v>
          </cell>
          <cell r="X1269">
            <v>214513.70967741901</v>
          </cell>
          <cell r="Y1269">
            <v>100000</v>
          </cell>
        </row>
        <row r="1270">
          <cell r="E1270">
            <v>0</v>
          </cell>
          <cell r="F1270" t="str">
            <v>SYiFA</v>
          </cell>
          <cell r="G1270">
            <v>0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0</v>
          </cell>
          <cell r="M1270">
            <v>0</v>
          </cell>
          <cell r="N1270">
            <v>0</v>
          </cell>
          <cell r="O1270">
            <v>0</v>
          </cell>
          <cell r="P1270">
            <v>0</v>
          </cell>
          <cell r="Q1270">
            <v>0</v>
          </cell>
          <cell r="R1270">
            <v>0</v>
          </cell>
          <cell r="S1270">
            <v>0</v>
          </cell>
          <cell r="T1270">
            <v>0</v>
          </cell>
          <cell r="U1270">
            <v>0</v>
          </cell>
          <cell r="V1270">
            <v>0</v>
          </cell>
          <cell r="W1270">
            <v>0</v>
          </cell>
          <cell r="X1270">
            <v>302130.44354838697</v>
          </cell>
          <cell r="Y1270">
            <v>100000</v>
          </cell>
        </row>
        <row r="1271">
          <cell r="E1271">
            <v>0</v>
          </cell>
          <cell r="F1271" t="str">
            <v>Fen Mobile</v>
          </cell>
          <cell r="G1271">
            <v>0</v>
          </cell>
          <cell r="H1271">
            <v>0</v>
          </cell>
          <cell r="I1271">
            <v>1</v>
          </cell>
          <cell r="J1271">
            <v>1</v>
          </cell>
          <cell r="K1271">
            <v>0</v>
          </cell>
          <cell r="L1271">
            <v>0</v>
          </cell>
          <cell r="M1271">
            <v>0</v>
          </cell>
          <cell r="N1271">
            <v>0</v>
          </cell>
          <cell r="O1271">
            <v>0</v>
          </cell>
          <cell r="P1271">
            <v>0</v>
          </cell>
          <cell r="Q1271">
            <v>0</v>
          </cell>
          <cell r="R1271">
            <v>0</v>
          </cell>
          <cell r="S1271">
            <v>0</v>
          </cell>
          <cell r="T1271">
            <v>0</v>
          </cell>
          <cell r="U1271">
            <v>0</v>
          </cell>
          <cell r="V1271">
            <v>0</v>
          </cell>
          <cell r="W1271">
            <v>0</v>
          </cell>
          <cell r="X1271">
            <v>445916.187025733</v>
          </cell>
          <cell r="Y1271">
            <v>607000</v>
          </cell>
        </row>
        <row r="1272">
          <cell r="E1272">
            <v>0</v>
          </cell>
          <cell r="F1272" t="str">
            <v>Singkawang cell</v>
          </cell>
          <cell r="G1272">
            <v>0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0</v>
          </cell>
          <cell r="M1272">
            <v>0</v>
          </cell>
          <cell r="N1272">
            <v>0</v>
          </cell>
          <cell r="O1272">
            <v>0</v>
          </cell>
          <cell r="P1272">
            <v>0</v>
          </cell>
          <cell r="Q1272">
            <v>0</v>
          </cell>
          <cell r="R1272">
            <v>0</v>
          </cell>
          <cell r="S1272">
            <v>0</v>
          </cell>
          <cell r="T1272">
            <v>0</v>
          </cell>
          <cell r="U1272">
            <v>0</v>
          </cell>
          <cell r="V1272">
            <v>0</v>
          </cell>
          <cell r="W1272">
            <v>0</v>
          </cell>
          <cell r="X1272">
            <v>97305</v>
          </cell>
          <cell r="Y1272">
            <v>0</v>
          </cell>
        </row>
        <row r="1273">
          <cell r="E1273">
            <v>0</v>
          </cell>
          <cell r="F1273" t="str">
            <v>Abeel Ponsel</v>
          </cell>
          <cell r="G1273">
            <v>0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0</v>
          </cell>
          <cell r="M1273">
            <v>0</v>
          </cell>
          <cell r="N1273">
            <v>0</v>
          </cell>
          <cell r="O1273">
            <v>0</v>
          </cell>
          <cell r="P1273">
            <v>0</v>
          </cell>
          <cell r="Q1273">
            <v>0</v>
          </cell>
          <cell r="R1273">
            <v>0</v>
          </cell>
          <cell r="S1273">
            <v>0</v>
          </cell>
          <cell r="T1273">
            <v>0</v>
          </cell>
          <cell r="U1273">
            <v>0</v>
          </cell>
          <cell r="V1273">
            <v>0</v>
          </cell>
          <cell r="W1273">
            <v>0</v>
          </cell>
          <cell r="X1273">
            <v>0</v>
          </cell>
          <cell r="Y1273">
            <v>0</v>
          </cell>
        </row>
        <row r="1274">
          <cell r="E1274">
            <v>0</v>
          </cell>
          <cell r="F1274" t="str">
            <v>CAHAYA</v>
          </cell>
          <cell r="G1274">
            <v>0</v>
          </cell>
          <cell r="H1274">
            <v>0</v>
          </cell>
          <cell r="I1274">
            <v>1</v>
          </cell>
          <cell r="J1274">
            <v>1</v>
          </cell>
          <cell r="K1274">
            <v>0</v>
          </cell>
          <cell r="L1274">
            <v>0</v>
          </cell>
          <cell r="M1274">
            <v>0</v>
          </cell>
          <cell r="N1274">
            <v>0</v>
          </cell>
          <cell r="O1274">
            <v>0</v>
          </cell>
          <cell r="P1274">
            <v>0</v>
          </cell>
          <cell r="Q1274">
            <v>0</v>
          </cell>
          <cell r="R1274">
            <v>0</v>
          </cell>
          <cell r="S1274">
            <v>0</v>
          </cell>
          <cell r="T1274">
            <v>0</v>
          </cell>
          <cell r="U1274">
            <v>0</v>
          </cell>
          <cell r="V1274">
            <v>0</v>
          </cell>
          <cell r="W1274">
            <v>0</v>
          </cell>
          <cell r="X1274">
            <v>246282.67741935499</v>
          </cell>
          <cell r="Y1274">
            <v>125000</v>
          </cell>
        </row>
        <row r="1275">
          <cell r="E1275">
            <v>0</v>
          </cell>
          <cell r="F1275" t="str">
            <v>HEPPY CELL</v>
          </cell>
          <cell r="G1275">
            <v>0</v>
          </cell>
          <cell r="H1275">
            <v>0</v>
          </cell>
          <cell r="I1275">
            <v>1</v>
          </cell>
          <cell r="J1275">
            <v>1</v>
          </cell>
          <cell r="K1275">
            <v>1</v>
          </cell>
          <cell r="L1275">
            <v>1</v>
          </cell>
          <cell r="M1275">
            <v>0</v>
          </cell>
          <cell r="N1275">
            <v>1</v>
          </cell>
          <cell r="O1275">
            <v>1</v>
          </cell>
          <cell r="P1275">
            <v>0</v>
          </cell>
          <cell r="Q1275">
            <v>1</v>
          </cell>
          <cell r="R1275">
            <v>1</v>
          </cell>
          <cell r="S1275">
            <v>0</v>
          </cell>
          <cell r="T1275">
            <v>1</v>
          </cell>
          <cell r="U1275">
            <v>0</v>
          </cell>
          <cell r="V1275">
            <v>0</v>
          </cell>
          <cell r="W1275">
            <v>0</v>
          </cell>
          <cell r="X1275">
            <v>359609.82824655902</v>
          </cell>
          <cell r="Y1275">
            <v>72000</v>
          </cell>
        </row>
        <row r="1276">
          <cell r="E1276">
            <v>0</v>
          </cell>
          <cell r="F1276" t="str">
            <v>Asong ponsel</v>
          </cell>
          <cell r="G1276">
            <v>0</v>
          </cell>
          <cell r="H1276">
            <v>0</v>
          </cell>
          <cell r="I1276">
            <v>0</v>
          </cell>
          <cell r="J1276">
            <v>0</v>
          </cell>
          <cell r="K1276">
            <v>1</v>
          </cell>
          <cell r="L1276">
            <v>1</v>
          </cell>
          <cell r="M1276">
            <v>0</v>
          </cell>
          <cell r="N1276">
            <v>0</v>
          </cell>
          <cell r="O1276">
            <v>0</v>
          </cell>
          <cell r="P1276">
            <v>0</v>
          </cell>
          <cell r="Q1276">
            <v>1</v>
          </cell>
          <cell r="R1276">
            <v>1</v>
          </cell>
          <cell r="S1276">
            <v>0</v>
          </cell>
          <cell r="T1276">
            <v>0</v>
          </cell>
          <cell r="U1276">
            <v>0</v>
          </cell>
          <cell r="V1276">
            <v>0</v>
          </cell>
          <cell r="W1276">
            <v>0</v>
          </cell>
          <cell r="X1276">
            <v>1729700.937851771</v>
          </cell>
          <cell r="Y1276">
            <v>2000000</v>
          </cell>
        </row>
        <row r="1277">
          <cell r="E1277">
            <v>0</v>
          </cell>
          <cell r="F1277" t="str">
            <v>Hengky cell</v>
          </cell>
          <cell r="G1277">
            <v>0</v>
          </cell>
          <cell r="H1277">
            <v>0</v>
          </cell>
          <cell r="I1277">
            <v>1</v>
          </cell>
          <cell r="J1277">
            <v>1</v>
          </cell>
          <cell r="K1277">
            <v>2</v>
          </cell>
          <cell r="L1277">
            <v>2</v>
          </cell>
          <cell r="M1277">
            <v>0</v>
          </cell>
          <cell r="N1277">
            <v>0</v>
          </cell>
          <cell r="O1277">
            <v>0</v>
          </cell>
          <cell r="P1277">
            <v>0</v>
          </cell>
          <cell r="Q1277">
            <v>0</v>
          </cell>
          <cell r="R1277">
            <v>0</v>
          </cell>
          <cell r="S1277">
            <v>0</v>
          </cell>
          <cell r="T1277">
            <v>3</v>
          </cell>
          <cell r="U1277">
            <v>2</v>
          </cell>
          <cell r="V1277">
            <v>0</v>
          </cell>
          <cell r="W1277">
            <v>200000</v>
          </cell>
          <cell r="X1277">
            <v>354150.15322580602</v>
          </cell>
          <cell r="Y1277">
            <v>392200</v>
          </cell>
        </row>
        <row r="1278">
          <cell r="E1278">
            <v>0</v>
          </cell>
          <cell r="F1278" t="str">
            <v>IBNU CELL</v>
          </cell>
          <cell r="G1278">
            <v>0</v>
          </cell>
          <cell r="H1278">
            <v>0</v>
          </cell>
          <cell r="I1278">
            <v>1</v>
          </cell>
          <cell r="J1278">
            <v>1</v>
          </cell>
          <cell r="K1278">
            <v>0</v>
          </cell>
          <cell r="L1278">
            <v>0</v>
          </cell>
          <cell r="M1278">
            <v>0</v>
          </cell>
          <cell r="N1278">
            <v>0</v>
          </cell>
          <cell r="O1278">
            <v>0</v>
          </cell>
          <cell r="P1278">
            <v>0</v>
          </cell>
          <cell r="Q1278">
            <v>0</v>
          </cell>
          <cell r="R1278">
            <v>0</v>
          </cell>
          <cell r="S1278">
            <v>0</v>
          </cell>
          <cell r="T1278">
            <v>0</v>
          </cell>
          <cell r="U1278">
            <v>0</v>
          </cell>
          <cell r="V1278">
            <v>0</v>
          </cell>
          <cell r="W1278">
            <v>0</v>
          </cell>
          <cell r="X1278">
            <v>331647.98387096799</v>
          </cell>
          <cell r="Y1278">
            <v>257000</v>
          </cell>
        </row>
        <row r="1279">
          <cell r="E1279">
            <v>0</v>
          </cell>
          <cell r="F1279" t="str">
            <v>Mega Surya</v>
          </cell>
          <cell r="G1279">
            <v>0</v>
          </cell>
          <cell r="H1279">
            <v>0</v>
          </cell>
          <cell r="I1279">
            <v>1</v>
          </cell>
          <cell r="J1279">
            <v>1</v>
          </cell>
          <cell r="K1279">
            <v>0</v>
          </cell>
          <cell r="L1279">
            <v>0</v>
          </cell>
          <cell r="M1279">
            <v>0</v>
          </cell>
          <cell r="N1279">
            <v>0</v>
          </cell>
          <cell r="O1279">
            <v>0</v>
          </cell>
          <cell r="P1279">
            <v>0</v>
          </cell>
          <cell r="Q1279">
            <v>0</v>
          </cell>
          <cell r="R1279">
            <v>0</v>
          </cell>
          <cell r="S1279">
            <v>0</v>
          </cell>
          <cell r="T1279">
            <v>0</v>
          </cell>
          <cell r="U1279">
            <v>0</v>
          </cell>
          <cell r="V1279">
            <v>0</v>
          </cell>
          <cell r="W1279">
            <v>0</v>
          </cell>
          <cell r="X1279">
            <v>330544.19354838697</v>
          </cell>
          <cell r="Y1279">
            <v>53000</v>
          </cell>
        </row>
        <row r="1280">
          <cell r="E1280">
            <v>0</v>
          </cell>
          <cell r="F1280" t="str">
            <v>Bintang ponsel</v>
          </cell>
          <cell r="G1280">
            <v>0</v>
          </cell>
          <cell r="H1280">
            <v>0</v>
          </cell>
          <cell r="I1280">
            <v>1</v>
          </cell>
          <cell r="J1280">
            <v>1</v>
          </cell>
          <cell r="K1280">
            <v>0</v>
          </cell>
          <cell r="L1280">
            <v>0</v>
          </cell>
          <cell r="M1280">
            <v>0</v>
          </cell>
          <cell r="N1280">
            <v>0</v>
          </cell>
          <cell r="O1280">
            <v>0</v>
          </cell>
          <cell r="P1280">
            <v>0</v>
          </cell>
          <cell r="Q1280">
            <v>0</v>
          </cell>
          <cell r="R1280">
            <v>0</v>
          </cell>
          <cell r="S1280">
            <v>0</v>
          </cell>
          <cell r="T1280">
            <v>0</v>
          </cell>
          <cell r="U1280">
            <v>0</v>
          </cell>
          <cell r="V1280">
            <v>0</v>
          </cell>
          <cell r="W1280">
            <v>0</v>
          </cell>
          <cell r="X1280">
            <v>640379.03225806402</v>
          </cell>
          <cell r="Y1280">
            <v>72000</v>
          </cell>
        </row>
        <row r="1281">
          <cell r="E1281">
            <v>0</v>
          </cell>
          <cell r="F1281" t="str">
            <v>Ven cell</v>
          </cell>
          <cell r="G1281">
            <v>0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0</v>
          </cell>
          <cell r="M1281">
            <v>0</v>
          </cell>
          <cell r="N1281">
            <v>0</v>
          </cell>
          <cell r="O1281">
            <v>0</v>
          </cell>
          <cell r="P1281">
            <v>0</v>
          </cell>
          <cell r="Q1281">
            <v>0</v>
          </cell>
          <cell r="R1281">
            <v>0</v>
          </cell>
          <cell r="S1281">
            <v>0</v>
          </cell>
          <cell r="T1281">
            <v>0</v>
          </cell>
          <cell r="U1281">
            <v>0</v>
          </cell>
          <cell r="V1281">
            <v>0</v>
          </cell>
          <cell r="W1281">
            <v>0</v>
          </cell>
          <cell r="X1281">
            <v>331061.04838709702</v>
          </cell>
          <cell r="Y1281">
            <v>100000</v>
          </cell>
        </row>
        <row r="1282">
          <cell r="E1282">
            <v>0</v>
          </cell>
          <cell r="F1282" t="str">
            <v>Tk. Kenanga</v>
          </cell>
          <cell r="G1282">
            <v>0</v>
          </cell>
          <cell r="H1282">
            <v>0</v>
          </cell>
          <cell r="I1282">
            <v>0</v>
          </cell>
          <cell r="J1282">
            <v>0</v>
          </cell>
          <cell r="K1282">
            <v>0</v>
          </cell>
          <cell r="L1282">
            <v>0</v>
          </cell>
          <cell r="M1282">
            <v>0</v>
          </cell>
          <cell r="N1282">
            <v>0</v>
          </cell>
          <cell r="O1282">
            <v>0</v>
          </cell>
          <cell r="P1282">
            <v>0</v>
          </cell>
          <cell r="Q1282">
            <v>0</v>
          </cell>
          <cell r="R1282">
            <v>0</v>
          </cell>
          <cell r="S1282">
            <v>0</v>
          </cell>
          <cell r="T1282">
            <v>0</v>
          </cell>
          <cell r="U1282">
            <v>0</v>
          </cell>
          <cell r="V1282">
            <v>0</v>
          </cell>
          <cell r="W1282">
            <v>0</v>
          </cell>
          <cell r="X1282">
            <v>340232.98387096799</v>
          </cell>
          <cell r="Y1282">
            <v>100000</v>
          </cell>
        </row>
        <row r="1283">
          <cell r="E1283">
            <v>0</v>
          </cell>
          <cell r="F1283" t="str">
            <v>Nelia setia ponsel</v>
          </cell>
          <cell r="G1283">
            <v>0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0</v>
          </cell>
          <cell r="M1283">
            <v>0</v>
          </cell>
          <cell r="N1283">
            <v>0</v>
          </cell>
          <cell r="O1283">
            <v>0</v>
          </cell>
          <cell r="P1283">
            <v>0</v>
          </cell>
          <cell r="Q1283">
            <v>0</v>
          </cell>
          <cell r="R1283">
            <v>0</v>
          </cell>
          <cell r="S1283">
            <v>0</v>
          </cell>
          <cell r="T1283">
            <v>0</v>
          </cell>
          <cell r="U1283">
            <v>0</v>
          </cell>
          <cell r="V1283">
            <v>0</v>
          </cell>
          <cell r="W1283">
            <v>0</v>
          </cell>
          <cell r="X1283">
            <v>499003.54838709702</v>
          </cell>
          <cell r="Y1283">
            <v>100000</v>
          </cell>
        </row>
        <row r="1284">
          <cell r="E1284">
            <v>0</v>
          </cell>
          <cell r="F1284" t="str">
            <v>BLUE STAR</v>
          </cell>
          <cell r="G1284">
            <v>0</v>
          </cell>
          <cell r="H1284">
            <v>0</v>
          </cell>
          <cell r="I1284">
            <v>1</v>
          </cell>
          <cell r="J1284">
            <v>1</v>
          </cell>
          <cell r="K1284">
            <v>3</v>
          </cell>
          <cell r="L1284">
            <v>3</v>
          </cell>
          <cell r="M1284">
            <v>0</v>
          </cell>
          <cell r="N1284">
            <v>0</v>
          </cell>
          <cell r="O1284">
            <v>0</v>
          </cell>
          <cell r="P1284">
            <v>0</v>
          </cell>
          <cell r="Q1284">
            <v>0</v>
          </cell>
          <cell r="R1284">
            <v>0</v>
          </cell>
          <cell r="S1284">
            <v>0</v>
          </cell>
          <cell r="T1284">
            <v>3</v>
          </cell>
          <cell r="U1284">
            <v>0</v>
          </cell>
          <cell r="V1284">
            <v>0</v>
          </cell>
          <cell r="W1284">
            <v>0</v>
          </cell>
          <cell r="X1284">
            <v>1487469.6774193549</v>
          </cell>
          <cell r="Y1284">
            <v>2753000</v>
          </cell>
        </row>
        <row r="1285">
          <cell r="E1285">
            <v>0</v>
          </cell>
          <cell r="F1285" t="str">
            <v>RAFA CELL</v>
          </cell>
          <cell r="G1285">
            <v>0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0</v>
          </cell>
          <cell r="M1285">
            <v>0</v>
          </cell>
          <cell r="N1285">
            <v>0</v>
          </cell>
          <cell r="O1285">
            <v>0</v>
          </cell>
          <cell r="P1285">
            <v>0</v>
          </cell>
          <cell r="Q1285">
            <v>0</v>
          </cell>
          <cell r="R1285">
            <v>0</v>
          </cell>
          <cell r="S1285">
            <v>0</v>
          </cell>
          <cell r="T1285">
            <v>0</v>
          </cell>
          <cell r="U1285">
            <v>0</v>
          </cell>
          <cell r="V1285">
            <v>0</v>
          </cell>
          <cell r="W1285">
            <v>0</v>
          </cell>
          <cell r="X1285">
            <v>0</v>
          </cell>
          <cell r="Y1285">
            <v>0</v>
          </cell>
        </row>
        <row r="1286">
          <cell r="E1286">
            <v>0</v>
          </cell>
          <cell r="F1286" t="str">
            <v>FAMILY</v>
          </cell>
          <cell r="G1286">
            <v>0</v>
          </cell>
          <cell r="H1286">
            <v>0</v>
          </cell>
          <cell r="I1286">
            <v>1</v>
          </cell>
          <cell r="J1286">
            <v>1</v>
          </cell>
          <cell r="K1286">
            <v>0</v>
          </cell>
          <cell r="L1286">
            <v>0</v>
          </cell>
          <cell r="M1286">
            <v>0</v>
          </cell>
          <cell r="N1286">
            <v>0</v>
          </cell>
          <cell r="O1286">
            <v>0</v>
          </cell>
          <cell r="P1286">
            <v>0</v>
          </cell>
          <cell r="Q1286">
            <v>0</v>
          </cell>
          <cell r="R1286">
            <v>0</v>
          </cell>
          <cell r="S1286">
            <v>0</v>
          </cell>
          <cell r="T1286">
            <v>0</v>
          </cell>
          <cell r="U1286">
            <v>0</v>
          </cell>
          <cell r="V1286">
            <v>0</v>
          </cell>
          <cell r="W1286">
            <v>0</v>
          </cell>
          <cell r="X1286">
            <v>31449.107960941001</v>
          </cell>
          <cell r="Y1286">
            <v>53000</v>
          </cell>
        </row>
        <row r="1287">
          <cell r="E1287">
            <v>0</v>
          </cell>
          <cell r="F1287" t="str">
            <v>Warung Fikri</v>
          </cell>
          <cell r="G1287">
            <v>0</v>
          </cell>
          <cell r="H1287">
            <v>0</v>
          </cell>
          <cell r="I1287">
            <v>1</v>
          </cell>
          <cell r="J1287">
            <v>1</v>
          </cell>
          <cell r="K1287">
            <v>0</v>
          </cell>
          <cell r="L1287">
            <v>0</v>
          </cell>
          <cell r="M1287">
            <v>0</v>
          </cell>
          <cell r="N1287">
            <v>0</v>
          </cell>
          <cell r="O1287">
            <v>0</v>
          </cell>
          <cell r="P1287">
            <v>0</v>
          </cell>
          <cell r="Q1287">
            <v>0</v>
          </cell>
          <cell r="R1287">
            <v>0</v>
          </cell>
          <cell r="S1287">
            <v>0</v>
          </cell>
          <cell r="T1287">
            <v>0</v>
          </cell>
          <cell r="U1287">
            <v>0</v>
          </cell>
          <cell r="V1287">
            <v>0</v>
          </cell>
          <cell r="W1287">
            <v>0</v>
          </cell>
          <cell r="X1287">
            <v>128849.596774194</v>
          </cell>
          <cell r="Y1287">
            <v>153000</v>
          </cell>
        </row>
        <row r="1288">
          <cell r="E1288">
            <v>0</v>
          </cell>
          <cell r="F1288" t="str">
            <v>Dewan</v>
          </cell>
          <cell r="G1288">
            <v>0</v>
          </cell>
          <cell r="H1288">
            <v>0</v>
          </cell>
          <cell r="I1288">
            <v>0</v>
          </cell>
          <cell r="J1288">
            <v>0</v>
          </cell>
          <cell r="K1288">
            <v>0</v>
          </cell>
          <cell r="L1288">
            <v>0</v>
          </cell>
          <cell r="M1288">
            <v>0</v>
          </cell>
          <cell r="N1288">
            <v>0</v>
          </cell>
          <cell r="O1288">
            <v>0</v>
          </cell>
          <cell r="P1288">
            <v>0</v>
          </cell>
          <cell r="Q1288">
            <v>0</v>
          </cell>
          <cell r="R1288">
            <v>0</v>
          </cell>
          <cell r="S1288">
            <v>0</v>
          </cell>
          <cell r="T1288">
            <v>0</v>
          </cell>
          <cell r="U1288">
            <v>0</v>
          </cell>
          <cell r="V1288">
            <v>0</v>
          </cell>
          <cell r="W1288">
            <v>0</v>
          </cell>
          <cell r="X1288">
            <v>0</v>
          </cell>
          <cell r="Y1288">
            <v>200000</v>
          </cell>
        </row>
        <row r="1289">
          <cell r="E1289">
            <v>0</v>
          </cell>
          <cell r="F1289" t="str">
            <v>SUN 21 CELL</v>
          </cell>
          <cell r="G1289">
            <v>0</v>
          </cell>
          <cell r="H1289">
            <v>0</v>
          </cell>
          <cell r="I1289">
            <v>1</v>
          </cell>
          <cell r="J1289">
            <v>1</v>
          </cell>
          <cell r="K1289">
            <v>0</v>
          </cell>
          <cell r="L1289">
            <v>0</v>
          </cell>
          <cell r="M1289">
            <v>0</v>
          </cell>
          <cell r="N1289">
            <v>0</v>
          </cell>
          <cell r="O1289">
            <v>0</v>
          </cell>
          <cell r="P1289">
            <v>0</v>
          </cell>
          <cell r="Q1289">
            <v>0</v>
          </cell>
          <cell r="R1289">
            <v>0</v>
          </cell>
          <cell r="S1289">
            <v>0</v>
          </cell>
          <cell r="T1289">
            <v>0</v>
          </cell>
          <cell r="U1289">
            <v>0</v>
          </cell>
          <cell r="V1289">
            <v>0</v>
          </cell>
          <cell r="W1289">
            <v>0</v>
          </cell>
          <cell r="X1289">
            <v>0</v>
          </cell>
          <cell r="Y1289">
            <v>72000</v>
          </cell>
        </row>
        <row r="1290">
          <cell r="E1290">
            <v>0</v>
          </cell>
          <cell r="F1290" t="str">
            <v>Coin ponsel</v>
          </cell>
          <cell r="G1290">
            <v>0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0</v>
          </cell>
          <cell r="M1290">
            <v>0</v>
          </cell>
          <cell r="N1290">
            <v>0</v>
          </cell>
          <cell r="O1290">
            <v>0</v>
          </cell>
          <cell r="P1290">
            <v>0</v>
          </cell>
          <cell r="Q1290">
            <v>0</v>
          </cell>
          <cell r="R1290">
            <v>0</v>
          </cell>
          <cell r="S1290">
            <v>0</v>
          </cell>
          <cell r="T1290">
            <v>0</v>
          </cell>
          <cell r="U1290">
            <v>0</v>
          </cell>
          <cell r="V1290">
            <v>0</v>
          </cell>
          <cell r="W1290">
            <v>0</v>
          </cell>
          <cell r="X1290">
            <v>340247.98387096799</v>
          </cell>
          <cell r="Y1290">
            <v>100000</v>
          </cell>
        </row>
        <row r="1291">
          <cell r="E1291">
            <v>0</v>
          </cell>
          <cell r="F1291" t="str">
            <v>MINI STORE CELL</v>
          </cell>
          <cell r="G1291">
            <v>0</v>
          </cell>
          <cell r="H1291">
            <v>0</v>
          </cell>
          <cell r="I1291">
            <v>1</v>
          </cell>
          <cell r="J1291">
            <v>1</v>
          </cell>
          <cell r="K1291">
            <v>0</v>
          </cell>
          <cell r="L1291">
            <v>0</v>
          </cell>
          <cell r="M1291">
            <v>0</v>
          </cell>
          <cell r="N1291">
            <v>0</v>
          </cell>
          <cell r="O1291">
            <v>0</v>
          </cell>
          <cell r="P1291">
            <v>0</v>
          </cell>
          <cell r="Q1291">
            <v>0</v>
          </cell>
          <cell r="R1291">
            <v>0</v>
          </cell>
          <cell r="S1291">
            <v>0</v>
          </cell>
          <cell r="T1291">
            <v>0</v>
          </cell>
          <cell r="U1291">
            <v>0</v>
          </cell>
          <cell r="V1291">
            <v>0</v>
          </cell>
          <cell r="W1291">
            <v>0</v>
          </cell>
          <cell r="X1291">
            <v>155661.29032258099</v>
          </cell>
          <cell r="Y1291">
            <v>54000</v>
          </cell>
        </row>
        <row r="1292">
          <cell r="E1292">
            <v>0</v>
          </cell>
          <cell r="F1292" t="str">
            <v>BORNEO</v>
          </cell>
          <cell r="G1292">
            <v>0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0</v>
          </cell>
          <cell r="M1292">
            <v>0</v>
          </cell>
          <cell r="N1292">
            <v>0</v>
          </cell>
          <cell r="O1292">
            <v>0</v>
          </cell>
          <cell r="P1292">
            <v>0</v>
          </cell>
          <cell r="Q1292">
            <v>0</v>
          </cell>
          <cell r="R1292">
            <v>0</v>
          </cell>
          <cell r="S1292">
            <v>0</v>
          </cell>
          <cell r="T1292">
            <v>0</v>
          </cell>
          <cell r="U1292">
            <v>0</v>
          </cell>
          <cell r="V1292">
            <v>0</v>
          </cell>
          <cell r="W1292">
            <v>0</v>
          </cell>
          <cell r="X1292">
            <v>0</v>
          </cell>
          <cell r="Y1292">
            <v>0</v>
          </cell>
        </row>
        <row r="1293">
          <cell r="E1293">
            <v>0</v>
          </cell>
          <cell r="F1293" t="str">
            <v>CRT CELL</v>
          </cell>
          <cell r="G1293">
            <v>0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0</v>
          </cell>
          <cell r="M1293">
            <v>0</v>
          </cell>
          <cell r="N1293">
            <v>0</v>
          </cell>
          <cell r="O1293">
            <v>0</v>
          </cell>
          <cell r="P1293">
            <v>0</v>
          </cell>
          <cell r="Q1293">
            <v>0</v>
          </cell>
          <cell r="R1293">
            <v>0</v>
          </cell>
          <cell r="S1293">
            <v>0</v>
          </cell>
          <cell r="T1293">
            <v>0</v>
          </cell>
          <cell r="U1293">
            <v>0</v>
          </cell>
          <cell r="V1293">
            <v>0</v>
          </cell>
          <cell r="W1293">
            <v>0</v>
          </cell>
          <cell r="X1293">
            <v>0</v>
          </cell>
          <cell r="Y1293">
            <v>0</v>
          </cell>
        </row>
        <row r="1294">
          <cell r="E1294">
            <v>0</v>
          </cell>
          <cell r="F1294" t="str">
            <v>nuansa celluler</v>
          </cell>
          <cell r="G1294">
            <v>0</v>
          </cell>
          <cell r="H1294">
            <v>0</v>
          </cell>
          <cell r="I1294">
            <v>1</v>
          </cell>
          <cell r="J1294">
            <v>1</v>
          </cell>
          <cell r="K1294">
            <v>0</v>
          </cell>
          <cell r="L1294">
            <v>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</v>
          </cell>
          <cell r="R1294">
            <v>0</v>
          </cell>
          <cell r="S1294">
            <v>0</v>
          </cell>
          <cell r="T1294">
            <v>0</v>
          </cell>
          <cell r="U1294">
            <v>0</v>
          </cell>
          <cell r="V1294">
            <v>0</v>
          </cell>
          <cell r="W1294">
            <v>0</v>
          </cell>
          <cell r="X1294">
            <v>108344.08602150501</v>
          </cell>
          <cell r="Y1294">
            <v>157000</v>
          </cell>
        </row>
        <row r="1295">
          <cell r="E1295">
            <v>0</v>
          </cell>
          <cell r="F1295" t="str">
            <v>ABIZAR cell</v>
          </cell>
          <cell r="G1295">
            <v>0</v>
          </cell>
          <cell r="H1295">
            <v>0</v>
          </cell>
          <cell r="I1295">
            <v>0</v>
          </cell>
          <cell r="J1295">
            <v>0</v>
          </cell>
          <cell r="K1295">
            <v>0</v>
          </cell>
          <cell r="L1295">
            <v>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</v>
          </cell>
          <cell r="R1295">
            <v>0</v>
          </cell>
          <cell r="S1295">
            <v>0</v>
          </cell>
          <cell r="T1295">
            <v>0</v>
          </cell>
          <cell r="U1295">
            <v>0</v>
          </cell>
          <cell r="V1295">
            <v>0</v>
          </cell>
          <cell r="W1295">
            <v>0</v>
          </cell>
          <cell r="X1295">
            <v>0</v>
          </cell>
          <cell r="Y1295">
            <v>0</v>
          </cell>
        </row>
        <row r="1296">
          <cell r="E1296">
            <v>0</v>
          </cell>
          <cell r="F1296" t="str">
            <v>Toko Ema</v>
          </cell>
          <cell r="G1296">
            <v>0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</v>
          </cell>
          <cell r="R1296">
            <v>0</v>
          </cell>
          <cell r="S1296">
            <v>0</v>
          </cell>
          <cell r="T1296">
            <v>0</v>
          </cell>
          <cell r="U1296">
            <v>0</v>
          </cell>
          <cell r="V1296">
            <v>0</v>
          </cell>
          <cell r="W1296">
            <v>0</v>
          </cell>
          <cell r="X1296">
            <v>246223.79032258099</v>
          </cell>
          <cell r="Y1296">
            <v>0</v>
          </cell>
        </row>
        <row r="1297">
          <cell r="E1297">
            <v>0</v>
          </cell>
          <cell r="F1297" t="str">
            <v>Andi ponsel</v>
          </cell>
          <cell r="G1297">
            <v>0</v>
          </cell>
          <cell r="H1297">
            <v>0</v>
          </cell>
          <cell r="I1297">
            <v>0</v>
          </cell>
          <cell r="J1297">
            <v>0</v>
          </cell>
          <cell r="K1297">
            <v>0</v>
          </cell>
          <cell r="L1297">
            <v>0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</v>
          </cell>
          <cell r="R1297">
            <v>0</v>
          </cell>
          <cell r="S1297">
            <v>0</v>
          </cell>
          <cell r="T1297">
            <v>0</v>
          </cell>
          <cell r="U1297">
            <v>0</v>
          </cell>
          <cell r="V1297">
            <v>0</v>
          </cell>
          <cell r="W1297">
            <v>0</v>
          </cell>
          <cell r="X1297">
            <v>606985.48387096799</v>
          </cell>
          <cell r="Y1297">
            <v>0</v>
          </cell>
        </row>
        <row r="1298">
          <cell r="E1298">
            <v>0</v>
          </cell>
          <cell r="F1298" t="str">
            <v>HANIF CELL</v>
          </cell>
          <cell r="G1298">
            <v>0</v>
          </cell>
          <cell r="H1298">
            <v>0</v>
          </cell>
          <cell r="I1298">
            <v>1</v>
          </cell>
          <cell r="J1298">
            <v>1</v>
          </cell>
          <cell r="K1298">
            <v>0</v>
          </cell>
          <cell r="L1298">
            <v>0</v>
          </cell>
          <cell r="M1298">
            <v>0</v>
          </cell>
          <cell r="N1298">
            <v>0</v>
          </cell>
          <cell r="O1298">
            <v>0</v>
          </cell>
          <cell r="P1298">
            <v>0</v>
          </cell>
          <cell r="Q1298">
            <v>0</v>
          </cell>
          <cell r="R1298">
            <v>0</v>
          </cell>
          <cell r="S1298">
            <v>0</v>
          </cell>
          <cell r="T1298">
            <v>0</v>
          </cell>
          <cell r="U1298">
            <v>0</v>
          </cell>
          <cell r="V1298">
            <v>0</v>
          </cell>
          <cell r="W1298">
            <v>0</v>
          </cell>
          <cell r="X1298">
            <v>133743.95161290301</v>
          </cell>
          <cell r="Y1298">
            <v>72000</v>
          </cell>
        </row>
        <row r="1299">
          <cell r="E1299">
            <v>0</v>
          </cell>
          <cell r="F1299" t="str">
            <v>Konter Box</v>
          </cell>
          <cell r="G1299">
            <v>0</v>
          </cell>
          <cell r="H1299">
            <v>0</v>
          </cell>
          <cell r="I1299">
            <v>1</v>
          </cell>
          <cell r="J1299">
            <v>1</v>
          </cell>
          <cell r="K1299">
            <v>0</v>
          </cell>
          <cell r="L1299">
            <v>0</v>
          </cell>
          <cell r="M1299">
            <v>0</v>
          </cell>
          <cell r="N1299">
            <v>0</v>
          </cell>
          <cell r="O1299">
            <v>0</v>
          </cell>
          <cell r="P1299">
            <v>0</v>
          </cell>
          <cell r="Q1299">
            <v>0</v>
          </cell>
          <cell r="R1299">
            <v>0</v>
          </cell>
          <cell r="S1299">
            <v>0</v>
          </cell>
          <cell r="T1299">
            <v>0</v>
          </cell>
          <cell r="U1299">
            <v>0</v>
          </cell>
          <cell r="V1299">
            <v>0</v>
          </cell>
          <cell r="W1299">
            <v>0</v>
          </cell>
          <cell r="X1299">
            <v>360800.80645161303</v>
          </cell>
          <cell r="Y1299">
            <v>72000</v>
          </cell>
        </row>
        <row r="1300">
          <cell r="E1300">
            <v>0</v>
          </cell>
          <cell r="F1300" t="str">
            <v>VEN PONSEL</v>
          </cell>
          <cell r="G1300">
            <v>0</v>
          </cell>
          <cell r="H1300">
            <v>0</v>
          </cell>
          <cell r="I1300">
            <v>1</v>
          </cell>
          <cell r="J1300">
            <v>1</v>
          </cell>
          <cell r="K1300">
            <v>0</v>
          </cell>
          <cell r="L1300">
            <v>0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  <cell r="Q1300">
            <v>0</v>
          </cell>
          <cell r="R1300">
            <v>0</v>
          </cell>
          <cell r="S1300">
            <v>0</v>
          </cell>
          <cell r="T1300">
            <v>0</v>
          </cell>
          <cell r="U1300">
            <v>0</v>
          </cell>
          <cell r="V1300">
            <v>0</v>
          </cell>
          <cell r="W1300">
            <v>0</v>
          </cell>
          <cell r="X1300">
            <v>354416.129032258</v>
          </cell>
          <cell r="Y1300">
            <v>72000</v>
          </cell>
        </row>
        <row r="1301">
          <cell r="E1301">
            <v>0</v>
          </cell>
          <cell r="F1301" t="str">
            <v>Humaira</v>
          </cell>
          <cell r="G1301">
            <v>0</v>
          </cell>
          <cell r="H1301">
            <v>0</v>
          </cell>
          <cell r="I1301">
            <v>1</v>
          </cell>
          <cell r="J1301">
            <v>1</v>
          </cell>
          <cell r="K1301">
            <v>0</v>
          </cell>
          <cell r="L1301">
            <v>0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  <cell r="Q1301">
            <v>0</v>
          </cell>
          <cell r="R1301">
            <v>0</v>
          </cell>
          <cell r="S1301">
            <v>0</v>
          </cell>
          <cell r="T1301">
            <v>0</v>
          </cell>
          <cell r="U1301">
            <v>0</v>
          </cell>
          <cell r="V1301">
            <v>0</v>
          </cell>
          <cell r="W1301">
            <v>0</v>
          </cell>
          <cell r="X1301">
            <v>699749.18854213203</v>
          </cell>
          <cell r="Y1301">
            <v>1053000</v>
          </cell>
        </row>
        <row r="1302">
          <cell r="E1302">
            <v>0</v>
          </cell>
          <cell r="F1302" t="str">
            <v>Winstar</v>
          </cell>
          <cell r="G1302">
            <v>0</v>
          </cell>
          <cell r="H1302">
            <v>0</v>
          </cell>
          <cell r="I1302">
            <v>1</v>
          </cell>
          <cell r="J1302">
            <v>1</v>
          </cell>
          <cell r="K1302">
            <v>0</v>
          </cell>
          <cell r="L1302">
            <v>0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  <cell r="Q1302">
            <v>0</v>
          </cell>
          <cell r="R1302">
            <v>0</v>
          </cell>
          <cell r="S1302">
            <v>0</v>
          </cell>
          <cell r="T1302">
            <v>0</v>
          </cell>
          <cell r="U1302">
            <v>0</v>
          </cell>
          <cell r="V1302">
            <v>0</v>
          </cell>
          <cell r="W1302">
            <v>0</v>
          </cell>
          <cell r="X1302">
            <v>184396.09375</v>
          </cell>
          <cell r="Y1302">
            <v>272000</v>
          </cell>
        </row>
        <row r="1303">
          <cell r="E1303">
            <v>0</v>
          </cell>
          <cell r="F1303" t="str">
            <v>WEB CELLULAR 2</v>
          </cell>
          <cell r="G1303">
            <v>0</v>
          </cell>
          <cell r="H1303">
            <v>0</v>
          </cell>
          <cell r="I1303">
            <v>1</v>
          </cell>
          <cell r="J1303">
            <v>1</v>
          </cell>
          <cell r="K1303">
            <v>0</v>
          </cell>
          <cell r="L1303">
            <v>0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  <cell r="Q1303">
            <v>0</v>
          </cell>
          <cell r="R1303">
            <v>0</v>
          </cell>
          <cell r="S1303">
            <v>0</v>
          </cell>
          <cell r="T1303">
            <v>0</v>
          </cell>
          <cell r="U1303">
            <v>0</v>
          </cell>
          <cell r="V1303">
            <v>0</v>
          </cell>
          <cell r="W1303">
            <v>0</v>
          </cell>
          <cell r="X1303">
            <v>1013059.659677419</v>
          </cell>
          <cell r="Y1303">
            <v>572000</v>
          </cell>
        </row>
        <row r="1304">
          <cell r="E1304">
            <v>0</v>
          </cell>
          <cell r="F1304" t="str">
            <v>DITHA</v>
          </cell>
          <cell r="G1304">
            <v>0</v>
          </cell>
          <cell r="H1304">
            <v>0</v>
          </cell>
          <cell r="I1304">
            <v>0</v>
          </cell>
          <cell r="J1304">
            <v>0</v>
          </cell>
          <cell r="K1304">
            <v>0</v>
          </cell>
          <cell r="L1304">
            <v>0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  <cell r="Q1304">
            <v>0</v>
          </cell>
          <cell r="R1304">
            <v>0</v>
          </cell>
          <cell r="S1304">
            <v>0</v>
          </cell>
          <cell r="T1304">
            <v>0</v>
          </cell>
          <cell r="U1304">
            <v>0</v>
          </cell>
          <cell r="V1304">
            <v>0</v>
          </cell>
          <cell r="W1304">
            <v>0</v>
          </cell>
          <cell r="X1304">
            <v>470367.83870967699</v>
          </cell>
          <cell r="Y1304">
            <v>100000</v>
          </cell>
        </row>
        <row r="1305">
          <cell r="E1305">
            <v>0</v>
          </cell>
          <cell r="F1305" t="str">
            <v>MUSIK CELLULER</v>
          </cell>
          <cell r="G1305">
            <v>0</v>
          </cell>
          <cell r="H1305">
            <v>0</v>
          </cell>
          <cell r="I1305">
            <v>1</v>
          </cell>
          <cell r="J1305">
            <v>1</v>
          </cell>
          <cell r="K1305">
            <v>0</v>
          </cell>
          <cell r="L1305">
            <v>0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  <cell r="Q1305">
            <v>0</v>
          </cell>
          <cell r="R1305">
            <v>0</v>
          </cell>
          <cell r="S1305">
            <v>0</v>
          </cell>
          <cell r="T1305">
            <v>0</v>
          </cell>
          <cell r="U1305">
            <v>0</v>
          </cell>
          <cell r="V1305">
            <v>0</v>
          </cell>
          <cell r="W1305">
            <v>0</v>
          </cell>
          <cell r="X1305">
            <v>249144.193548387</v>
          </cell>
          <cell r="Y1305">
            <v>125000</v>
          </cell>
        </row>
        <row r="1306">
          <cell r="E1306">
            <v>0</v>
          </cell>
          <cell r="F1306" t="str">
            <v>Debie ponsel</v>
          </cell>
          <cell r="G1306">
            <v>0</v>
          </cell>
          <cell r="H1306">
            <v>0</v>
          </cell>
          <cell r="I1306">
            <v>1</v>
          </cell>
          <cell r="J1306">
            <v>1</v>
          </cell>
          <cell r="K1306">
            <v>0</v>
          </cell>
          <cell r="L1306">
            <v>0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0</v>
          </cell>
          <cell r="R1306">
            <v>0</v>
          </cell>
          <cell r="S1306">
            <v>0</v>
          </cell>
          <cell r="T1306">
            <v>0</v>
          </cell>
          <cell r="U1306">
            <v>0</v>
          </cell>
          <cell r="V1306">
            <v>0</v>
          </cell>
          <cell r="W1306">
            <v>0</v>
          </cell>
          <cell r="X1306">
            <v>314586.19354838697</v>
          </cell>
          <cell r="Y1306">
            <v>172000</v>
          </cell>
        </row>
        <row r="1307">
          <cell r="E1307">
            <v>0</v>
          </cell>
          <cell r="F1307" t="str">
            <v>SAHABAT CELLULER</v>
          </cell>
          <cell r="G1307">
            <v>0</v>
          </cell>
          <cell r="H1307">
            <v>0</v>
          </cell>
          <cell r="I1307">
            <v>1</v>
          </cell>
          <cell r="J1307">
            <v>1</v>
          </cell>
          <cell r="K1307">
            <v>1</v>
          </cell>
          <cell r="L1307">
            <v>1</v>
          </cell>
          <cell r="M1307">
            <v>0</v>
          </cell>
          <cell r="N1307">
            <v>1</v>
          </cell>
          <cell r="O1307">
            <v>1</v>
          </cell>
          <cell r="P1307">
            <v>0</v>
          </cell>
          <cell r="Q1307">
            <v>1</v>
          </cell>
          <cell r="R1307">
            <v>1</v>
          </cell>
          <cell r="S1307">
            <v>0</v>
          </cell>
          <cell r="T1307">
            <v>1</v>
          </cell>
          <cell r="U1307">
            <v>0</v>
          </cell>
          <cell r="V1307">
            <v>0</v>
          </cell>
          <cell r="W1307">
            <v>0</v>
          </cell>
          <cell r="X1307">
            <v>77934.338709677002</v>
          </cell>
          <cell r="Y1307">
            <v>153000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5:Z338"/>
  <sheetViews>
    <sheetView tabSelected="1" zoomScale="85" zoomScaleNormal="85" workbookViewId="0">
      <pane xSplit="3" ySplit="5" topLeftCell="N6" activePane="bottomRight" state="frozen"/>
      <selection pane="topRight" activeCell="D1" sqref="D1"/>
      <selection pane="bottomLeft" activeCell="A6" sqref="A6"/>
      <selection pane="bottomRight" activeCell="P6" sqref="P6:P338"/>
    </sheetView>
  </sheetViews>
  <sheetFormatPr defaultRowHeight="14.5"/>
  <cols>
    <col min="1" max="1" width="18.90625" bestFit="1" customWidth="1"/>
    <col min="2" max="2" width="22.7265625" bestFit="1" customWidth="1"/>
    <col min="3" max="3" width="19.6328125" bestFit="1" customWidth="1"/>
    <col min="4" max="4" width="33.54296875" bestFit="1" customWidth="1"/>
    <col min="5" max="5" width="13.453125" bestFit="1" customWidth="1"/>
    <col min="6" max="6" width="15" bestFit="1" customWidth="1"/>
    <col min="7" max="7" width="30.1796875" bestFit="1" customWidth="1"/>
    <col min="8" max="9" width="20.81640625" bestFit="1" customWidth="1"/>
    <col min="10" max="11" width="16.90625" bestFit="1" customWidth="1"/>
    <col min="12" max="12" width="20.81640625" bestFit="1" customWidth="1"/>
    <col min="13" max="13" width="20.1796875" bestFit="1" customWidth="1"/>
    <col min="14" max="14" width="22.7265625" bestFit="1" customWidth="1"/>
    <col min="15" max="15" width="18.90625" bestFit="1" customWidth="1"/>
    <col min="16" max="16" width="20.81640625" bestFit="1" customWidth="1"/>
    <col min="17" max="17" width="24.81640625" bestFit="1" customWidth="1"/>
    <col min="18" max="19" width="18.90625" bestFit="1" customWidth="1"/>
    <col min="20" max="20" width="18.90625" customWidth="1"/>
    <col min="21" max="21" width="12.90625" bestFit="1" customWidth="1"/>
    <col min="22" max="22" width="15" bestFit="1" customWidth="1"/>
    <col min="23" max="23" width="11" bestFit="1" customWidth="1"/>
    <col min="24" max="26" width="12.90625" bestFit="1" customWidth="1"/>
  </cols>
  <sheetData>
    <row r="5" spans="1:26" ht="76.5">
      <c r="A5" s="8" t="s">
        <v>0</v>
      </c>
      <c r="B5" s="9" t="s">
        <v>1</v>
      </c>
      <c r="C5" s="8" t="s">
        <v>2</v>
      </c>
      <c r="D5" s="10" t="s">
        <v>3</v>
      </c>
      <c r="E5" s="10" t="s">
        <v>4</v>
      </c>
      <c r="F5" s="8" t="s">
        <v>5</v>
      </c>
      <c r="G5" s="8" t="s">
        <v>436</v>
      </c>
      <c r="H5" s="11" t="s">
        <v>452</v>
      </c>
      <c r="I5" s="12" t="s">
        <v>6</v>
      </c>
      <c r="J5" s="12" t="s">
        <v>7</v>
      </c>
      <c r="K5" s="12" t="s">
        <v>8</v>
      </c>
      <c r="L5" s="12" t="s">
        <v>437</v>
      </c>
      <c r="M5" s="13" t="s">
        <v>11</v>
      </c>
      <c r="N5" s="12" t="s">
        <v>12</v>
      </c>
      <c r="O5" s="12" t="s">
        <v>13</v>
      </c>
      <c r="P5" s="8" t="s">
        <v>9</v>
      </c>
      <c r="Q5" s="8" t="s">
        <v>10</v>
      </c>
      <c r="R5" s="14" t="s">
        <v>438</v>
      </c>
      <c r="S5" s="14" t="s">
        <v>439</v>
      </c>
      <c r="T5" s="14" t="s">
        <v>468</v>
      </c>
      <c r="U5" s="15" t="s">
        <v>14</v>
      </c>
      <c r="V5" s="15" t="s">
        <v>15</v>
      </c>
      <c r="W5" s="15" t="s">
        <v>16</v>
      </c>
      <c r="X5" s="15" t="s">
        <v>17</v>
      </c>
      <c r="Y5" s="15" t="s">
        <v>18</v>
      </c>
      <c r="Z5" s="15" t="s">
        <v>19</v>
      </c>
    </row>
    <row r="6" spans="1:26" ht="26">
      <c r="A6" s="16">
        <v>17692760</v>
      </c>
      <c r="B6" s="16" t="s">
        <v>272</v>
      </c>
      <c r="C6" s="16" t="s">
        <v>57</v>
      </c>
      <c r="D6" s="16" t="s">
        <v>440</v>
      </c>
      <c r="E6" s="16" t="s">
        <v>22</v>
      </c>
      <c r="F6" s="16" t="s">
        <v>175</v>
      </c>
      <c r="G6" s="21" t="s">
        <v>443</v>
      </c>
      <c r="H6" s="7">
        <v>9.9165450831630899</v>
      </c>
      <c r="I6" s="1">
        <v>0</v>
      </c>
      <c r="J6" s="1">
        <f t="shared" ref="J6:J69" si="0">IF(I6&gt;=3,1,0)</f>
        <v>0</v>
      </c>
      <c r="K6" s="5">
        <f t="shared" ref="K6:K69" si="1">I6/H6</f>
        <v>0</v>
      </c>
      <c r="L6" s="2">
        <v>17114355.885669671</v>
      </c>
      <c r="M6" s="2">
        <v>0</v>
      </c>
      <c r="N6" s="6">
        <f t="shared" ref="N6:N69" si="2">IF(M6&gt;=300000,1,0)</f>
        <v>0</v>
      </c>
      <c r="O6" s="17">
        <f t="shared" ref="O6:O69" si="3">M6/L6</f>
        <v>0</v>
      </c>
      <c r="P6" s="18">
        <v>0</v>
      </c>
      <c r="Q6" s="1">
        <f t="shared" ref="Q6:Q69" si="4">IF(P6&gt;=3,1,0)</f>
        <v>0</v>
      </c>
      <c r="R6" s="18">
        <v>12</v>
      </c>
      <c r="S6" s="18">
        <v>0</v>
      </c>
      <c r="T6" s="18">
        <v>0</v>
      </c>
      <c r="U6" s="3">
        <v>0</v>
      </c>
      <c r="V6" s="3">
        <v>1</v>
      </c>
      <c r="W6" s="3">
        <v>0</v>
      </c>
      <c r="X6" s="3">
        <v>0</v>
      </c>
      <c r="Y6" s="3">
        <v>0</v>
      </c>
      <c r="Z6" s="3">
        <v>0</v>
      </c>
    </row>
    <row r="7" spans="1:26" ht="26">
      <c r="A7" s="16">
        <v>17224859</v>
      </c>
      <c r="B7" s="16" t="s">
        <v>174</v>
      </c>
      <c r="C7" s="16" t="s">
        <v>57</v>
      </c>
      <c r="D7" s="16" t="s">
        <v>440</v>
      </c>
      <c r="E7" s="16" t="s">
        <v>22</v>
      </c>
      <c r="F7" s="16" t="s">
        <v>175</v>
      </c>
      <c r="G7" s="21" t="s">
        <v>443</v>
      </c>
      <c r="H7" s="7">
        <v>6.1978406769769432</v>
      </c>
      <c r="I7" s="1">
        <v>0</v>
      </c>
      <c r="J7" s="1">
        <f t="shared" si="0"/>
        <v>0</v>
      </c>
      <c r="K7" s="5">
        <f t="shared" si="1"/>
        <v>0</v>
      </c>
      <c r="L7" s="2">
        <v>3881954.490832367</v>
      </c>
      <c r="M7" s="2">
        <v>0</v>
      </c>
      <c r="N7" s="6">
        <f t="shared" si="2"/>
        <v>0</v>
      </c>
      <c r="O7" s="17">
        <f t="shared" si="3"/>
        <v>0</v>
      </c>
      <c r="P7" s="18">
        <v>0</v>
      </c>
      <c r="Q7" s="1">
        <f t="shared" si="4"/>
        <v>0</v>
      </c>
      <c r="R7" s="18">
        <v>9</v>
      </c>
      <c r="S7" s="18">
        <v>0</v>
      </c>
      <c r="T7" s="18">
        <v>0</v>
      </c>
      <c r="U7" s="3">
        <v>0</v>
      </c>
      <c r="V7" s="3">
        <v>1</v>
      </c>
      <c r="W7" s="3">
        <v>0</v>
      </c>
      <c r="X7" s="3">
        <v>0</v>
      </c>
      <c r="Y7" s="3">
        <v>0</v>
      </c>
      <c r="Z7" s="3">
        <v>0</v>
      </c>
    </row>
    <row r="8" spans="1:26" ht="26">
      <c r="A8" s="16">
        <v>17628917</v>
      </c>
      <c r="B8" s="16" t="s">
        <v>381</v>
      </c>
      <c r="C8" s="16" t="s">
        <v>57</v>
      </c>
      <c r="D8" s="16" t="s">
        <v>442</v>
      </c>
      <c r="E8" s="16" t="s">
        <v>26</v>
      </c>
      <c r="F8" s="16" t="s">
        <v>175</v>
      </c>
      <c r="G8" s="21" t="s">
        <v>443</v>
      </c>
      <c r="H8" s="7">
        <v>4</v>
      </c>
      <c r="I8" s="1">
        <v>0</v>
      </c>
      <c r="J8" s="1">
        <f t="shared" si="0"/>
        <v>0</v>
      </c>
      <c r="K8" s="5">
        <f t="shared" si="1"/>
        <v>0</v>
      </c>
      <c r="L8" s="2">
        <v>1556013.7658442741</v>
      </c>
      <c r="M8" s="2">
        <v>0</v>
      </c>
      <c r="N8" s="6">
        <f t="shared" si="2"/>
        <v>0</v>
      </c>
      <c r="O8" s="17">
        <f t="shared" si="3"/>
        <v>0</v>
      </c>
      <c r="P8" s="18">
        <v>1</v>
      </c>
      <c r="Q8" s="1">
        <f t="shared" si="4"/>
        <v>0</v>
      </c>
      <c r="R8" s="18">
        <v>6</v>
      </c>
      <c r="S8" s="18">
        <v>1</v>
      </c>
      <c r="T8" s="18">
        <v>0</v>
      </c>
      <c r="U8" s="3">
        <v>0</v>
      </c>
      <c r="V8" s="3">
        <v>1</v>
      </c>
      <c r="W8" s="3">
        <v>0</v>
      </c>
      <c r="X8" s="3">
        <v>0</v>
      </c>
      <c r="Y8" s="3">
        <v>0</v>
      </c>
      <c r="Z8" s="3">
        <v>0</v>
      </c>
    </row>
    <row r="9" spans="1:26" ht="26">
      <c r="A9" s="16">
        <v>17612149</v>
      </c>
      <c r="B9" s="16" t="s">
        <v>283</v>
      </c>
      <c r="C9" s="16" t="s">
        <v>57</v>
      </c>
      <c r="D9" s="16" t="s">
        <v>442</v>
      </c>
      <c r="E9" s="16" t="s">
        <v>26</v>
      </c>
      <c r="F9" s="16" t="s">
        <v>284</v>
      </c>
      <c r="G9" s="21" t="s">
        <v>443</v>
      </c>
      <c r="H9" s="7">
        <v>8.676976947767713</v>
      </c>
      <c r="I9" s="1">
        <v>0</v>
      </c>
      <c r="J9" s="1">
        <f t="shared" si="0"/>
        <v>0</v>
      </c>
      <c r="K9" s="5">
        <f t="shared" si="1"/>
        <v>0</v>
      </c>
      <c r="L9" s="2">
        <v>8918440.3126569595</v>
      </c>
      <c r="M9" s="2">
        <v>0</v>
      </c>
      <c r="N9" s="6">
        <f t="shared" si="2"/>
        <v>0</v>
      </c>
      <c r="O9" s="17">
        <f t="shared" si="3"/>
        <v>0</v>
      </c>
      <c r="P9" s="18">
        <v>0</v>
      </c>
      <c r="Q9" s="1">
        <f t="shared" si="4"/>
        <v>0</v>
      </c>
      <c r="R9" s="18">
        <v>11</v>
      </c>
      <c r="S9" s="18">
        <v>0</v>
      </c>
      <c r="T9" s="18">
        <v>0</v>
      </c>
      <c r="U9" s="3">
        <v>0</v>
      </c>
      <c r="V9" s="3">
        <v>1</v>
      </c>
      <c r="W9" s="3">
        <v>0</v>
      </c>
      <c r="X9" s="3">
        <v>0</v>
      </c>
      <c r="Y9" s="3">
        <v>0</v>
      </c>
      <c r="Z9" s="3">
        <v>0</v>
      </c>
    </row>
    <row r="10" spans="1:26" ht="26">
      <c r="A10" s="16">
        <v>17612118</v>
      </c>
      <c r="B10" s="16" t="s">
        <v>328</v>
      </c>
      <c r="C10" s="16" t="s">
        <v>57</v>
      </c>
      <c r="D10" s="16" t="s">
        <v>442</v>
      </c>
      <c r="E10" s="16" t="s">
        <v>26</v>
      </c>
      <c r="F10" s="16" t="s">
        <v>284</v>
      </c>
      <c r="G10" s="21" t="s">
        <v>443</v>
      </c>
      <c r="H10" s="7">
        <v>7.1275167785234892</v>
      </c>
      <c r="I10" s="1">
        <v>0</v>
      </c>
      <c r="J10" s="4">
        <f t="shared" si="0"/>
        <v>0</v>
      </c>
      <c r="K10" s="5">
        <f t="shared" si="1"/>
        <v>0</v>
      </c>
      <c r="L10" s="2">
        <v>9560884.0299649313</v>
      </c>
      <c r="M10" s="2">
        <v>0</v>
      </c>
      <c r="N10" s="6">
        <f t="shared" si="2"/>
        <v>0</v>
      </c>
      <c r="O10" s="17">
        <f t="shared" si="3"/>
        <v>0</v>
      </c>
      <c r="P10" s="18">
        <v>0</v>
      </c>
      <c r="Q10" s="1">
        <f t="shared" si="4"/>
        <v>0</v>
      </c>
      <c r="R10" s="18">
        <v>10</v>
      </c>
      <c r="S10" s="18">
        <v>0</v>
      </c>
      <c r="T10" s="18">
        <v>0</v>
      </c>
      <c r="U10" s="3">
        <v>0</v>
      </c>
      <c r="V10" s="3">
        <v>1</v>
      </c>
      <c r="W10" s="3">
        <v>0</v>
      </c>
      <c r="X10" s="3">
        <v>0</v>
      </c>
      <c r="Y10" s="3">
        <v>0</v>
      </c>
      <c r="Z10" s="3">
        <v>0</v>
      </c>
    </row>
    <row r="11" spans="1:26" ht="26">
      <c r="A11" s="16">
        <v>17588929</v>
      </c>
      <c r="B11" s="16" t="s">
        <v>186</v>
      </c>
      <c r="C11" s="16" t="s">
        <v>57</v>
      </c>
      <c r="D11" s="16" t="s">
        <v>444</v>
      </c>
      <c r="E11" s="16" t="s">
        <v>26</v>
      </c>
      <c r="F11" s="16" t="s">
        <v>159</v>
      </c>
      <c r="G11" s="21" t="s">
        <v>443</v>
      </c>
      <c r="H11" s="7">
        <v>13.015465421651569</v>
      </c>
      <c r="I11" s="1">
        <v>0</v>
      </c>
      <c r="J11" s="1">
        <f t="shared" si="0"/>
        <v>0</v>
      </c>
      <c r="K11" s="5">
        <f t="shared" si="1"/>
        <v>0</v>
      </c>
      <c r="L11" s="2">
        <v>11470259.79571476</v>
      </c>
      <c r="M11" s="2">
        <v>0</v>
      </c>
      <c r="N11" s="6">
        <f t="shared" si="2"/>
        <v>0</v>
      </c>
      <c r="O11" s="17">
        <f t="shared" si="3"/>
        <v>0</v>
      </c>
      <c r="P11" s="18">
        <v>1</v>
      </c>
      <c r="Q11" s="1">
        <f t="shared" si="4"/>
        <v>0</v>
      </c>
      <c r="R11" s="18">
        <v>9</v>
      </c>
      <c r="S11" s="18">
        <v>1</v>
      </c>
      <c r="T11" s="18">
        <v>0</v>
      </c>
      <c r="U11" s="3">
        <v>0</v>
      </c>
      <c r="V11" s="3">
        <v>1</v>
      </c>
      <c r="W11" s="3">
        <v>0</v>
      </c>
      <c r="X11" s="3">
        <v>1</v>
      </c>
      <c r="Y11" s="3">
        <v>0</v>
      </c>
      <c r="Z11" s="3">
        <v>0</v>
      </c>
    </row>
    <row r="12" spans="1:26" ht="26">
      <c r="A12" s="16">
        <v>17400773</v>
      </c>
      <c r="B12" s="16" t="s">
        <v>425</v>
      </c>
      <c r="C12" s="16" t="s">
        <v>57</v>
      </c>
      <c r="D12" s="16" t="s">
        <v>444</v>
      </c>
      <c r="E12" s="16" t="s">
        <v>26</v>
      </c>
      <c r="F12" s="16" t="s">
        <v>159</v>
      </c>
      <c r="G12" s="21" t="s">
        <v>443</v>
      </c>
      <c r="H12" s="7">
        <v>7.4374088123723361</v>
      </c>
      <c r="I12" s="1">
        <v>0</v>
      </c>
      <c r="J12" s="1">
        <f t="shared" si="0"/>
        <v>0</v>
      </c>
      <c r="K12" s="5">
        <f t="shared" si="1"/>
        <v>0</v>
      </c>
      <c r="L12" s="2">
        <v>10418971.93522338</v>
      </c>
      <c r="M12" s="2">
        <v>0</v>
      </c>
      <c r="N12" s="6">
        <f t="shared" si="2"/>
        <v>0</v>
      </c>
      <c r="O12" s="17">
        <f t="shared" si="3"/>
        <v>0</v>
      </c>
      <c r="P12" s="18">
        <v>1</v>
      </c>
      <c r="Q12" s="1">
        <f t="shared" si="4"/>
        <v>0</v>
      </c>
      <c r="R12" s="18">
        <v>10</v>
      </c>
      <c r="S12" s="18">
        <v>1</v>
      </c>
      <c r="T12" s="18">
        <v>0</v>
      </c>
      <c r="U12" s="3">
        <v>0</v>
      </c>
      <c r="V12" s="3">
        <v>1</v>
      </c>
      <c r="W12" s="3">
        <v>0</v>
      </c>
      <c r="X12" s="3">
        <v>1</v>
      </c>
      <c r="Y12" s="3">
        <v>0</v>
      </c>
      <c r="Z12" s="3">
        <v>0</v>
      </c>
    </row>
    <row r="13" spans="1:26" ht="26">
      <c r="A13" s="16">
        <v>17614624</v>
      </c>
      <c r="B13" s="16" t="s">
        <v>158</v>
      </c>
      <c r="C13" s="16" t="s">
        <v>57</v>
      </c>
      <c r="D13" s="16" t="s">
        <v>444</v>
      </c>
      <c r="E13" s="16" t="s">
        <v>26</v>
      </c>
      <c r="F13" s="16" t="s">
        <v>159</v>
      </c>
      <c r="G13" s="21" t="s">
        <v>443</v>
      </c>
      <c r="H13" s="7">
        <v>6.1978406769769432</v>
      </c>
      <c r="I13" s="1">
        <v>0</v>
      </c>
      <c r="J13" s="1">
        <f t="shared" si="0"/>
        <v>0</v>
      </c>
      <c r="K13" s="5">
        <f t="shared" si="1"/>
        <v>0</v>
      </c>
      <c r="L13" s="2">
        <v>9618161.7118601874</v>
      </c>
      <c r="M13" s="2">
        <v>0</v>
      </c>
      <c r="N13" s="6">
        <f t="shared" si="2"/>
        <v>0</v>
      </c>
      <c r="O13" s="17">
        <f t="shared" si="3"/>
        <v>0</v>
      </c>
      <c r="P13" s="18">
        <v>1</v>
      </c>
      <c r="Q13" s="1">
        <f t="shared" si="4"/>
        <v>0</v>
      </c>
      <c r="R13" s="18">
        <v>9</v>
      </c>
      <c r="S13" s="18">
        <v>1</v>
      </c>
      <c r="T13" s="18">
        <v>0</v>
      </c>
      <c r="U13" s="3">
        <v>0</v>
      </c>
      <c r="V13" s="3">
        <v>1</v>
      </c>
      <c r="W13" s="3">
        <v>0</v>
      </c>
      <c r="X13" s="3">
        <v>1</v>
      </c>
      <c r="Y13" s="3">
        <v>0</v>
      </c>
      <c r="Z13" s="3">
        <v>0</v>
      </c>
    </row>
    <row r="14" spans="1:26" ht="26">
      <c r="A14" s="16">
        <v>17588948</v>
      </c>
      <c r="B14" s="16" t="s">
        <v>220</v>
      </c>
      <c r="C14" s="16" t="s">
        <v>57</v>
      </c>
      <c r="D14" s="16" t="s">
        <v>444</v>
      </c>
      <c r="E14" s="16" t="s">
        <v>26</v>
      </c>
      <c r="F14" s="16" t="s">
        <v>159</v>
      </c>
      <c r="G14" s="21" t="s">
        <v>443</v>
      </c>
      <c r="H14" s="7">
        <v>5.5780566092792556</v>
      </c>
      <c r="I14" s="1">
        <v>0</v>
      </c>
      <c r="J14" s="4">
        <f t="shared" si="0"/>
        <v>0</v>
      </c>
      <c r="K14" s="5">
        <f t="shared" si="1"/>
        <v>0</v>
      </c>
      <c r="L14" s="2">
        <v>2126635.938455991</v>
      </c>
      <c r="M14" s="2">
        <v>0</v>
      </c>
      <c r="N14" s="6">
        <f t="shared" si="2"/>
        <v>0</v>
      </c>
      <c r="O14" s="17">
        <f t="shared" si="3"/>
        <v>0</v>
      </c>
      <c r="P14" s="18">
        <v>2</v>
      </c>
      <c r="Q14" s="1">
        <f t="shared" si="4"/>
        <v>0</v>
      </c>
      <c r="R14" s="18">
        <v>8</v>
      </c>
      <c r="S14" s="18">
        <v>3</v>
      </c>
      <c r="T14" s="18">
        <v>0</v>
      </c>
      <c r="U14" s="3">
        <v>0</v>
      </c>
      <c r="V14" s="3">
        <v>1</v>
      </c>
      <c r="W14" s="3">
        <v>0</v>
      </c>
      <c r="X14" s="3">
        <v>1</v>
      </c>
      <c r="Y14" s="3">
        <v>0</v>
      </c>
      <c r="Z14" s="3">
        <v>0</v>
      </c>
    </row>
    <row r="15" spans="1:26" ht="26">
      <c r="A15" s="16">
        <v>1318548</v>
      </c>
      <c r="B15" s="16" t="s">
        <v>428</v>
      </c>
      <c r="C15" s="16" t="s">
        <v>57</v>
      </c>
      <c r="D15" s="16" t="s">
        <v>442</v>
      </c>
      <c r="E15" s="16" t="s">
        <v>26</v>
      </c>
      <c r="F15" s="16" t="s">
        <v>117</v>
      </c>
      <c r="G15" s="21" t="s">
        <v>443</v>
      </c>
      <c r="H15" s="7">
        <v>22</v>
      </c>
      <c r="I15" s="1">
        <v>0</v>
      </c>
      <c r="J15" s="1">
        <f t="shared" si="0"/>
        <v>0</v>
      </c>
      <c r="K15" s="5">
        <f t="shared" si="1"/>
        <v>0</v>
      </c>
      <c r="L15" s="2">
        <v>22571715.959414259</v>
      </c>
      <c r="M15" s="2">
        <v>0</v>
      </c>
      <c r="N15" s="6">
        <f t="shared" si="2"/>
        <v>0</v>
      </c>
      <c r="O15" s="17">
        <f t="shared" si="3"/>
        <v>0</v>
      </c>
      <c r="P15" s="18">
        <v>0</v>
      </c>
      <c r="Q15" s="1">
        <f t="shared" si="4"/>
        <v>0</v>
      </c>
      <c r="R15" s="18">
        <v>14</v>
      </c>
      <c r="S15" s="18">
        <v>0</v>
      </c>
      <c r="T15" s="18">
        <v>0</v>
      </c>
      <c r="U15" s="3">
        <v>0</v>
      </c>
      <c r="V15" s="3">
        <v>1</v>
      </c>
      <c r="W15" s="3">
        <v>0</v>
      </c>
      <c r="X15" s="3">
        <v>0</v>
      </c>
      <c r="Y15" s="3">
        <v>0</v>
      </c>
      <c r="Z15" s="3">
        <v>0</v>
      </c>
    </row>
    <row r="16" spans="1:26" ht="26">
      <c r="A16" s="16">
        <v>698993</v>
      </c>
      <c r="B16" s="16" t="s">
        <v>367</v>
      </c>
      <c r="C16" s="16" t="s">
        <v>57</v>
      </c>
      <c r="D16" s="16" t="s">
        <v>442</v>
      </c>
      <c r="E16" s="16" t="s">
        <v>22</v>
      </c>
      <c r="F16" s="16" t="s">
        <v>117</v>
      </c>
      <c r="G16" s="21" t="s">
        <v>443</v>
      </c>
      <c r="H16" s="7">
        <v>10.226437117011949</v>
      </c>
      <c r="I16" s="1">
        <v>0</v>
      </c>
      <c r="J16" s="1">
        <f t="shared" si="0"/>
        <v>0</v>
      </c>
      <c r="K16" s="5">
        <f t="shared" si="1"/>
        <v>0</v>
      </c>
      <c r="L16" s="2">
        <v>20640793.730255559</v>
      </c>
      <c r="M16" s="2">
        <v>500000</v>
      </c>
      <c r="N16" s="6">
        <f t="shared" si="2"/>
        <v>1</v>
      </c>
      <c r="O16" s="17">
        <f t="shared" si="3"/>
        <v>2.4223874650086404E-2</v>
      </c>
      <c r="P16" s="18">
        <v>0</v>
      </c>
      <c r="Q16" s="1">
        <f t="shared" si="4"/>
        <v>0</v>
      </c>
      <c r="R16" s="18">
        <v>13</v>
      </c>
      <c r="S16" s="18">
        <v>0</v>
      </c>
      <c r="T16" s="18">
        <v>0</v>
      </c>
      <c r="U16" s="3">
        <v>0</v>
      </c>
      <c r="V16" s="3">
        <v>1</v>
      </c>
      <c r="W16" s="3">
        <v>0</v>
      </c>
      <c r="X16" s="3">
        <v>0</v>
      </c>
      <c r="Y16" s="3">
        <v>0</v>
      </c>
      <c r="Z16" s="3">
        <v>0</v>
      </c>
    </row>
    <row r="17" spans="1:26" ht="26">
      <c r="A17" s="16">
        <v>17546556</v>
      </c>
      <c r="B17" s="16" t="s">
        <v>116</v>
      </c>
      <c r="C17" s="16" t="s">
        <v>57</v>
      </c>
      <c r="D17" s="16" t="s">
        <v>442</v>
      </c>
      <c r="E17" s="16" t="s">
        <v>26</v>
      </c>
      <c r="F17" s="16" t="s">
        <v>117</v>
      </c>
      <c r="G17" s="21" t="s">
        <v>443</v>
      </c>
      <c r="H17" s="7">
        <v>4</v>
      </c>
      <c r="I17" s="1">
        <v>0</v>
      </c>
      <c r="J17" s="4">
        <f t="shared" si="0"/>
        <v>0</v>
      </c>
      <c r="K17" s="5">
        <f t="shared" si="1"/>
        <v>0</v>
      </c>
      <c r="L17" s="2">
        <v>8761151.1297721732</v>
      </c>
      <c r="M17" s="2">
        <v>0</v>
      </c>
      <c r="N17" s="6">
        <f t="shared" si="2"/>
        <v>0</v>
      </c>
      <c r="O17" s="17">
        <f t="shared" si="3"/>
        <v>0</v>
      </c>
      <c r="P17" s="18">
        <v>0</v>
      </c>
      <c r="Q17" s="1">
        <f t="shared" si="4"/>
        <v>0</v>
      </c>
      <c r="R17" s="18">
        <v>6</v>
      </c>
      <c r="S17" s="18">
        <v>0</v>
      </c>
      <c r="T17" s="18">
        <v>0</v>
      </c>
      <c r="U17" s="3">
        <v>0</v>
      </c>
      <c r="V17" s="3">
        <v>1</v>
      </c>
      <c r="W17" s="3">
        <v>0</v>
      </c>
      <c r="X17" s="3">
        <v>0</v>
      </c>
      <c r="Y17" s="3">
        <v>0</v>
      </c>
      <c r="Z17" s="3">
        <v>0</v>
      </c>
    </row>
    <row r="18" spans="1:26" ht="26">
      <c r="A18" s="16">
        <v>17546521</v>
      </c>
      <c r="B18" s="16" t="s">
        <v>82</v>
      </c>
      <c r="C18" s="16" t="s">
        <v>57</v>
      </c>
      <c r="D18" s="16" t="s">
        <v>440</v>
      </c>
      <c r="E18" s="16" t="s">
        <v>22</v>
      </c>
      <c r="F18" s="16" t="s">
        <v>83</v>
      </c>
      <c r="G18" s="21" t="s">
        <v>443</v>
      </c>
      <c r="H18" s="7">
        <v>30</v>
      </c>
      <c r="I18" s="1">
        <v>0</v>
      </c>
      <c r="J18" s="1">
        <f t="shared" si="0"/>
        <v>0</v>
      </c>
      <c r="K18" s="5">
        <f t="shared" si="1"/>
        <v>0</v>
      </c>
      <c r="L18" s="2">
        <v>4417024.9988194266</v>
      </c>
      <c r="M18" s="2">
        <v>500000</v>
      </c>
      <c r="N18" s="6">
        <f t="shared" si="2"/>
        <v>1</v>
      </c>
      <c r="O18" s="17">
        <f t="shared" si="3"/>
        <v>0.11319836318192425</v>
      </c>
      <c r="P18" s="18">
        <v>0</v>
      </c>
      <c r="Q18" s="1">
        <f t="shared" si="4"/>
        <v>0</v>
      </c>
      <c r="R18" s="18">
        <v>22</v>
      </c>
      <c r="S18" s="18">
        <v>0</v>
      </c>
      <c r="T18" s="18">
        <v>0</v>
      </c>
      <c r="U18" s="3">
        <v>0</v>
      </c>
      <c r="V18" s="3">
        <v>0</v>
      </c>
      <c r="W18" s="3">
        <v>0</v>
      </c>
      <c r="X18" s="3">
        <v>1</v>
      </c>
      <c r="Y18" s="3">
        <v>0</v>
      </c>
      <c r="Z18" s="3">
        <v>0</v>
      </c>
    </row>
    <row r="19" spans="1:26" ht="26">
      <c r="A19" s="16">
        <v>17796939</v>
      </c>
      <c r="B19" s="16" t="s">
        <v>325</v>
      </c>
      <c r="C19" s="16" t="s">
        <v>57</v>
      </c>
      <c r="D19" s="16" t="s">
        <v>442</v>
      </c>
      <c r="E19" s="16" t="s">
        <v>26</v>
      </c>
      <c r="F19" s="16" t="s">
        <v>83</v>
      </c>
      <c r="G19" s="21" t="s">
        <v>443</v>
      </c>
      <c r="H19" s="7">
        <v>18.283629997082009</v>
      </c>
      <c r="I19" s="1">
        <v>0</v>
      </c>
      <c r="J19" s="1">
        <f t="shared" si="0"/>
        <v>0</v>
      </c>
      <c r="K19" s="5">
        <f t="shared" si="1"/>
        <v>0</v>
      </c>
      <c r="L19" s="2">
        <v>4753329.3818596238</v>
      </c>
      <c r="M19" s="2">
        <v>0</v>
      </c>
      <c r="N19" s="6">
        <f t="shared" si="2"/>
        <v>0</v>
      </c>
      <c r="O19" s="17">
        <f t="shared" si="3"/>
        <v>0</v>
      </c>
      <c r="P19" s="18">
        <v>0</v>
      </c>
      <c r="Q19" s="1">
        <f t="shared" si="4"/>
        <v>0</v>
      </c>
      <c r="R19" s="18">
        <v>21</v>
      </c>
      <c r="S19" s="18">
        <v>0</v>
      </c>
      <c r="T19" s="18">
        <v>0</v>
      </c>
      <c r="U19" s="3">
        <v>0</v>
      </c>
      <c r="V19" s="3">
        <v>0</v>
      </c>
      <c r="W19" s="3">
        <v>0</v>
      </c>
      <c r="X19" s="3">
        <v>1</v>
      </c>
      <c r="Y19" s="3">
        <v>0</v>
      </c>
      <c r="Z19" s="3">
        <v>0</v>
      </c>
    </row>
    <row r="20" spans="1:26" ht="26">
      <c r="A20" s="16" t="s">
        <v>445</v>
      </c>
      <c r="B20" s="16" t="s">
        <v>446</v>
      </c>
      <c r="C20" s="16" t="s">
        <v>57</v>
      </c>
      <c r="D20" s="16" t="s">
        <v>442</v>
      </c>
      <c r="E20" s="16" t="s">
        <v>26</v>
      </c>
      <c r="F20" s="16" t="s">
        <v>83</v>
      </c>
      <c r="G20" s="21" t="s">
        <v>443</v>
      </c>
      <c r="H20" s="7">
        <v>8.9868689816165759</v>
      </c>
      <c r="I20" s="1">
        <v>0</v>
      </c>
      <c r="J20" s="4">
        <f t="shared" si="0"/>
        <v>0</v>
      </c>
      <c r="K20" s="5">
        <f t="shared" si="1"/>
        <v>0</v>
      </c>
      <c r="L20" s="2">
        <v>9233916.4477352388</v>
      </c>
      <c r="M20" s="2">
        <v>0</v>
      </c>
      <c r="N20" s="6">
        <f t="shared" si="2"/>
        <v>0</v>
      </c>
      <c r="O20" s="17">
        <f t="shared" si="3"/>
        <v>0</v>
      </c>
      <c r="P20" s="18">
        <v>0</v>
      </c>
      <c r="Q20" s="1">
        <f t="shared" si="4"/>
        <v>0</v>
      </c>
      <c r="R20" s="18">
        <v>11</v>
      </c>
      <c r="S20" s="18">
        <v>0</v>
      </c>
      <c r="T20" s="18">
        <v>0</v>
      </c>
      <c r="U20" s="3">
        <v>0</v>
      </c>
      <c r="V20" s="3">
        <v>0</v>
      </c>
      <c r="W20" s="3">
        <v>0</v>
      </c>
      <c r="X20" s="3">
        <v>0</v>
      </c>
      <c r="Y20" s="3">
        <v>1</v>
      </c>
      <c r="Z20" s="3">
        <v>0</v>
      </c>
    </row>
    <row r="21" spans="1:26" ht="26">
      <c r="A21" s="16">
        <v>17407927</v>
      </c>
      <c r="B21" s="16" t="s">
        <v>210</v>
      </c>
      <c r="C21" s="16" t="s">
        <v>57</v>
      </c>
      <c r="D21" s="16" t="s">
        <v>440</v>
      </c>
      <c r="E21" s="16" t="s">
        <v>22</v>
      </c>
      <c r="F21" s="16" t="s">
        <v>211</v>
      </c>
      <c r="G21" s="21" t="s">
        <v>443</v>
      </c>
      <c r="H21" s="7">
        <v>5.8879486431280963</v>
      </c>
      <c r="I21" s="1">
        <v>0</v>
      </c>
      <c r="J21" s="4">
        <f t="shared" si="0"/>
        <v>0</v>
      </c>
      <c r="K21" s="5">
        <f t="shared" si="1"/>
        <v>0</v>
      </c>
      <c r="L21" s="2">
        <v>3484422.240938616</v>
      </c>
      <c r="M21" s="2">
        <v>1000000</v>
      </c>
      <c r="N21" s="6">
        <f t="shared" si="2"/>
        <v>1</v>
      </c>
      <c r="O21" s="17">
        <f t="shared" si="3"/>
        <v>0.28699162468054534</v>
      </c>
      <c r="P21" s="18">
        <v>0</v>
      </c>
      <c r="Q21" s="1">
        <f t="shared" si="4"/>
        <v>0</v>
      </c>
      <c r="R21" s="18">
        <v>8</v>
      </c>
      <c r="S21" s="18">
        <v>0</v>
      </c>
      <c r="T21" s="18">
        <v>0</v>
      </c>
      <c r="U21" s="3">
        <v>0</v>
      </c>
      <c r="V21" s="3">
        <v>0</v>
      </c>
      <c r="W21" s="3">
        <v>0</v>
      </c>
      <c r="X21" s="3">
        <v>1</v>
      </c>
      <c r="Y21" s="3">
        <v>0</v>
      </c>
      <c r="Z21" s="3">
        <v>0</v>
      </c>
    </row>
    <row r="22" spans="1:26" ht="26">
      <c r="A22" s="16">
        <v>17694556</v>
      </c>
      <c r="B22" s="16" t="s">
        <v>400</v>
      </c>
      <c r="C22" s="16" t="s">
        <v>57</v>
      </c>
      <c r="D22" s="16" t="s">
        <v>442</v>
      </c>
      <c r="E22" s="16" t="s">
        <v>26</v>
      </c>
      <c r="F22" s="16" t="s">
        <v>211</v>
      </c>
      <c r="G22" s="21" t="s">
        <v>443</v>
      </c>
      <c r="H22" s="7">
        <v>4</v>
      </c>
      <c r="I22" s="1">
        <v>0</v>
      </c>
      <c r="J22" s="4">
        <f t="shared" si="0"/>
        <v>0</v>
      </c>
      <c r="K22" s="5">
        <f t="shared" si="1"/>
        <v>0</v>
      </c>
      <c r="L22" s="2">
        <v>1751368.367418078</v>
      </c>
      <c r="M22" s="2">
        <v>0</v>
      </c>
      <c r="N22" s="6">
        <f t="shared" si="2"/>
        <v>0</v>
      </c>
      <c r="O22" s="17">
        <f t="shared" si="3"/>
        <v>0</v>
      </c>
      <c r="P22" s="18">
        <v>0</v>
      </c>
      <c r="Q22" s="1">
        <f t="shared" si="4"/>
        <v>0</v>
      </c>
      <c r="R22" s="18">
        <v>6</v>
      </c>
      <c r="S22" s="18">
        <v>0</v>
      </c>
      <c r="T22" s="18">
        <v>0</v>
      </c>
      <c r="U22" s="3">
        <v>0</v>
      </c>
      <c r="V22" s="3">
        <v>0</v>
      </c>
      <c r="W22" s="3">
        <v>0</v>
      </c>
      <c r="X22" s="3">
        <v>1</v>
      </c>
      <c r="Y22" s="3">
        <v>0</v>
      </c>
      <c r="Z22" s="3">
        <v>0</v>
      </c>
    </row>
    <row r="23" spans="1:26" ht="26">
      <c r="A23" s="16">
        <v>17799029</v>
      </c>
      <c r="B23" s="16" t="s">
        <v>188</v>
      </c>
      <c r="C23" s="16" t="s">
        <v>57</v>
      </c>
      <c r="D23" s="16" t="s">
        <v>440</v>
      </c>
      <c r="E23" s="16" t="s">
        <v>22</v>
      </c>
      <c r="F23" s="16" t="s">
        <v>77</v>
      </c>
      <c r="G23" s="21" t="s">
        <v>443</v>
      </c>
      <c r="H23" s="7">
        <v>28</v>
      </c>
      <c r="I23" s="1">
        <v>0</v>
      </c>
      <c r="J23" s="4">
        <f t="shared" si="0"/>
        <v>0</v>
      </c>
      <c r="K23" s="5">
        <f t="shared" si="1"/>
        <v>0</v>
      </c>
      <c r="L23" s="2">
        <v>3412421.142380618</v>
      </c>
      <c r="M23" s="2">
        <v>0</v>
      </c>
      <c r="N23" s="6">
        <f t="shared" si="2"/>
        <v>0</v>
      </c>
      <c r="O23" s="17">
        <f t="shared" si="3"/>
        <v>0</v>
      </c>
      <c r="P23" s="18">
        <v>0</v>
      </c>
      <c r="Q23" s="1">
        <f t="shared" si="4"/>
        <v>0</v>
      </c>
      <c r="R23" s="18">
        <v>20</v>
      </c>
      <c r="S23" s="18">
        <v>0</v>
      </c>
      <c r="T23" s="18">
        <v>0</v>
      </c>
      <c r="U23" s="3">
        <v>1</v>
      </c>
      <c r="V23" s="3">
        <v>0</v>
      </c>
      <c r="W23" s="3">
        <v>1</v>
      </c>
      <c r="X23" s="3">
        <v>0</v>
      </c>
      <c r="Y23" s="3">
        <v>0</v>
      </c>
      <c r="Z23" s="3">
        <v>1</v>
      </c>
    </row>
    <row r="24" spans="1:26" ht="26">
      <c r="A24" s="16">
        <v>1077160</v>
      </c>
      <c r="B24" s="16" t="s">
        <v>299</v>
      </c>
      <c r="C24" s="16" t="s">
        <v>57</v>
      </c>
      <c r="D24" s="16" t="s">
        <v>440</v>
      </c>
      <c r="E24" s="16" t="s">
        <v>22</v>
      </c>
      <c r="F24" s="16" t="s">
        <v>77</v>
      </c>
      <c r="G24" s="21" t="s">
        <v>443</v>
      </c>
      <c r="H24" s="7">
        <v>10.84622118470968</v>
      </c>
      <c r="I24" s="1">
        <v>0</v>
      </c>
      <c r="J24" s="4">
        <f t="shared" si="0"/>
        <v>0</v>
      </c>
      <c r="K24" s="5">
        <f t="shared" si="1"/>
        <v>0</v>
      </c>
      <c r="L24" s="2">
        <v>23997732.729358271</v>
      </c>
      <c r="M24" s="2">
        <v>0</v>
      </c>
      <c r="N24" s="6">
        <f t="shared" si="2"/>
        <v>0</v>
      </c>
      <c r="O24" s="17">
        <f t="shared" si="3"/>
        <v>0</v>
      </c>
      <c r="P24" s="18">
        <v>0</v>
      </c>
      <c r="Q24" s="1">
        <f t="shared" si="4"/>
        <v>0</v>
      </c>
      <c r="R24" s="18">
        <v>13</v>
      </c>
      <c r="S24" s="18">
        <v>0</v>
      </c>
      <c r="T24" s="18">
        <v>0</v>
      </c>
      <c r="U24" s="3">
        <v>1</v>
      </c>
      <c r="V24" s="3">
        <v>0</v>
      </c>
      <c r="W24" s="3">
        <v>1</v>
      </c>
      <c r="X24" s="3">
        <v>0</v>
      </c>
      <c r="Y24" s="3">
        <v>0</v>
      </c>
      <c r="Z24" s="3">
        <v>1</v>
      </c>
    </row>
    <row r="25" spans="1:26" ht="26">
      <c r="A25" s="16">
        <v>698921</v>
      </c>
      <c r="B25" s="16" t="s">
        <v>221</v>
      </c>
      <c r="C25" s="16" t="s">
        <v>57</v>
      </c>
      <c r="D25" s="16" t="s">
        <v>440</v>
      </c>
      <c r="E25" s="16" t="s">
        <v>22</v>
      </c>
      <c r="F25" s="16" t="s">
        <v>77</v>
      </c>
      <c r="G25" s="21" t="s">
        <v>443</v>
      </c>
      <c r="H25" s="7">
        <v>9.9165450831630899</v>
      </c>
      <c r="I25" s="1">
        <v>0</v>
      </c>
      <c r="J25" s="1">
        <f t="shared" si="0"/>
        <v>0</v>
      </c>
      <c r="K25" s="5">
        <f t="shared" si="1"/>
        <v>0</v>
      </c>
      <c r="L25" s="2">
        <v>8058736.422642841</v>
      </c>
      <c r="M25" s="2">
        <v>0</v>
      </c>
      <c r="N25" s="6">
        <f t="shared" si="2"/>
        <v>0</v>
      </c>
      <c r="O25" s="17">
        <f t="shared" si="3"/>
        <v>0</v>
      </c>
      <c r="P25" s="18">
        <v>0</v>
      </c>
      <c r="Q25" s="1">
        <f t="shared" si="4"/>
        <v>0</v>
      </c>
      <c r="R25" s="18">
        <v>12</v>
      </c>
      <c r="S25" s="18">
        <v>0</v>
      </c>
      <c r="T25" s="18">
        <v>0</v>
      </c>
      <c r="U25" s="3">
        <v>1</v>
      </c>
      <c r="V25" s="3">
        <v>0</v>
      </c>
      <c r="W25" s="3">
        <v>1</v>
      </c>
      <c r="X25" s="3">
        <v>0</v>
      </c>
      <c r="Y25" s="3">
        <v>0</v>
      </c>
      <c r="Z25" s="3">
        <v>1</v>
      </c>
    </row>
    <row r="26" spans="1:26" ht="26">
      <c r="A26" s="16">
        <v>17272708</v>
      </c>
      <c r="B26" s="16" t="s">
        <v>99</v>
      </c>
      <c r="C26" s="16" t="s">
        <v>57</v>
      </c>
      <c r="D26" s="16" t="s">
        <v>440</v>
      </c>
      <c r="E26" s="16" t="s">
        <v>22</v>
      </c>
      <c r="F26" s="16" t="s">
        <v>77</v>
      </c>
      <c r="G26" s="21" t="s">
        <v>443</v>
      </c>
      <c r="H26" s="7">
        <v>6.8176247446746396</v>
      </c>
      <c r="I26" s="1">
        <v>0</v>
      </c>
      <c r="J26" s="4">
        <f t="shared" si="0"/>
        <v>0</v>
      </c>
      <c r="K26" s="5">
        <f t="shared" si="1"/>
        <v>0</v>
      </c>
      <c r="L26" s="2">
        <v>15574501.967381969</v>
      </c>
      <c r="M26" s="2">
        <v>0</v>
      </c>
      <c r="N26" s="6">
        <f t="shared" si="2"/>
        <v>0</v>
      </c>
      <c r="O26" s="17">
        <f t="shared" si="3"/>
        <v>0</v>
      </c>
      <c r="P26" s="18">
        <v>0</v>
      </c>
      <c r="Q26" s="1">
        <f t="shared" si="4"/>
        <v>0</v>
      </c>
      <c r="R26" s="18">
        <v>9</v>
      </c>
      <c r="S26" s="18">
        <v>0</v>
      </c>
      <c r="T26" s="18">
        <v>0</v>
      </c>
      <c r="U26" s="3">
        <v>1</v>
      </c>
      <c r="V26" s="3">
        <v>0</v>
      </c>
      <c r="W26" s="3">
        <v>1</v>
      </c>
      <c r="X26" s="3">
        <v>0</v>
      </c>
      <c r="Y26" s="3">
        <v>0</v>
      </c>
      <c r="Z26" s="3">
        <v>1</v>
      </c>
    </row>
    <row r="27" spans="1:26" ht="26">
      <c r="A27" s="16">
        <v>17053268</v>
      </c>
      <c r="B27" s="16" t="s">
        <v>141</v>
      </c>
      <c r="C27" s="16" t="s">
        <v>57</v>
      </c>
      <c r="D27" s="16" t="s">
        <v>440</v>
      </c>
      <c r="E27" s="16" t="s">
        <v>22</v>
      </c>
      <c r="F27" s="16" t="s">
        <v>77</v>
      </c>
      <c r="G27" s="21" t="s">
        <v>443</v>
      </c>
      <c r="H27" s="7">
        <v>6.1978406769769432</v>
      </c>
      <c r="I27" s="1">
        <v>0</v>
      </c>
      <c r="J27" s="4">
        <f t="shared" si="0"/>
        <v>0</v>
      </c>
      <c r="K27" s="5">
        <f t="shared" si="1"/>
        <v>0</v>
      </c>
      <c r="L27" s="2">
        <v>2183374.9587660348</v>
      </c>
      <c r="M27" s="2">
        <v>0</v>
      </c>
      <c r="N27" s="6">
        <f t="shared" si="2"/>
        <v>0</v>
      </c>
      <c r="O27" s="17">
        <f t="shared" si="3"/>
        <v>0</v>
      </c>
      <c r="P27" s="18">
        <v>0</v>
      </c>
      <c r="Q27" s="1">
        <f t="shared" si="4"/>
        <v>0</v>
      </c>
      <c r="R27" s="18">
        <v>9</v>
      </c>
      <c r="S27" s="18">
        <v>0</v>
      </c>
      <c r="T27" s="18">
        <v>0</v>
      </c>
      <c r="U27" s="3">
        <v>1</v>
      </c>
      <c r="V27" s="3">
        <v>0</v>
      </c>
      <c r="W27" s="3">
        <v>1</v>
      </c>
      <c r="X27" s="3">
        <v>0</v>
      </c>
      <c r="Y27" s="3">
        <v>0</v>
      </c>
      <c r="Z27" s="3">
        <v>1</v>
      </c>
    </row>
    <row r="28" spans="1:26" ht="26">
      <c r="A28" s="16">
        <v>17256272</v>
      </c>
      <c r="B28" s="16" t="s">
        <v>244</v>
      </c>
      <c r="C28" s="16" t="s">
        <v>57</v>
      </c>
      <c r="D28" s="16" t="s">
        <v>440</v>
      </c>
      <c r="E28" s="16" t="s">
        <v>22</v>
      </c>
      <c r="F28" s="16" t="s">
        <v>77</v>
      </c>
      <c r="G28" s="21" t="s">
        <v>443</v>
      </c>
      <c r="H28" s="7">
        <v>5.5780566092792556</v>
      </c>
      <c r="I28" s="1">
        <v>0</v>
      </c>
      <c r="J28" s="1">
        <f t="shared" si="0"/>
        <v>0</v>
      </c>
      <c r="K28" s="5">
        <f t="shared" si="1"/>
        <v>0</v>
      </c>
      <c r="L28" s="2">
        <v>17741896.63245308</v>
      </c>
      <c r="M28" s="2">
        <v>0</v>
      </c>
      <c r="N28" s="6">
        <f t="shared" si="2"/>
        <v>0</v>
      </c>
      <c r="O28" s="17">
        <f t="shared" si="3"/>
        <v>0</v>
      </c>
      <c r="P28" s="18">
        <v>0</v>
      </c>
      <c r="Q28" s="1">
        <f t="shared" si="4"/>
        <v>0</v>
      </c>
      <c r="R28" s="18">
        <v>8</v>
      </c>
      <c r="S28" s="18">
        <v>0</v>
      </c>
      <c r="T28" s="18">
        <v>0</v>
      </c>
      <c r="U28" s="3">
        <v>1</v>
      </c>
      <c r="V28" s="3">
        <v>0</v>
      </c>
      <c r="W28" s="3">
        <v>1</v>
      </c>
      <c r="X28" s="3">
        <v>0</v>
      </c>
      <c r="Y28" s="3">
        <v>0</v>
      </c>
      <c r="Z28" s="3">
        <v>1</v>
      </c>
    </row>
    <row r="29" spans="1:26" ht="26">
      <c r="A29" s="16">
        <v>1448552</v>
      </c>
      <c r="B29" s="16" t="s">
        <v>214</v>
      </c>
      <c r="C29" s="16" t="s">
        <v>57</v>
      </c>
      <c r="D29" s="16" t="s">
        <v>440</v>
      </c>
      <c r="E29" s="16" t="s">
        <v>22</v>
      </c>
      <c r="F29" s="16" t="s">
        <v>77</v>
      </c>
      <c r="G29" s="21" t="s">
        <v>443</v>
      </c>
      <c r="H29" s="7">
        <v>5.2681645754304078</v>
      </c>
      <c r="I29" s="1">
        <v>0</v>
      </c>
      <c r="J29" s="4">
        <f t="shared" si="0"/>
        <v>0</v>
      </c>
      <c r="K29" s="5">
        <f t="shared" si="1"/>
        <v>0</v>
      </c>
      <c r="L29" s="2">
        <v>3823060.8241814319</v>
      </c>
      <c r="M29" s="2">
        <v>500000</v>
      </c>
      <c r="N29" s="6">
        <f t="shared" si="2"/>
        <v>1</v>
      </c>
      <c r="O29" s="17">
        <f t="shared" si="3"/>
        <v>0.13078525898343682</v>
      </c>
      <c r="P29" s="18">
        <v>0</v>
      </c>
      <c r="Q29" s="1">
        <f t="shared" si="4"/>
        <v>0</v>
      </c>
      <c r="R29" s="18">
        <v>8</v>
      </c>
      <c r="S29" s="18">
        <v>0</v>
      </c>
      <c r="T29" s="18">
        <v>0</v>
      </c>
      <c r="U29" s="3">
        <v>1</v>
      </c>
      <c r="V29" s="3">
        <v>0</v>
      </c>
      <c r="W29" s="3">
        <v>1</v>
      </c>
      <c r="X29" s="3">
        <v>0</v>
      </c>
      <c r="Y29" s="3">
        <v>0</v>
      </c>
      <c r="Z29" s="3">
        <v>1</v>
      </c>
    </row>
    <row r="30" spans="1:26" ht="26">
      <c r="A30" s="16">
        <v>17570839</v>
      </c>
      <c r="B30" s="16" t="s">
        <v>76</v>
      </c>
      <c r="C30" s="16" t="s">
        <v>57</v>
      </c>
      <c r="D30" s="16" t="s">
        <v>444</v>
      </c>
      <c r="E30" s="16" t="s">
        <v>26</v>
      </c>
      <c r="F30" s="16" t="s">
        <v>77</v>
      </c>
      <c r="G30" s="21" t="s">
        <v>443</v>
      </c>
      <c r="H30" s="7">
        <v>5</v>
      </c>
      <c r="I30" s="1">
        <v>0</v>
      </c>
      <c r="J30" s="4">
        <f t="shared" si="0"/>
        <v>0</v>
      </c>
      <c r="K30" s="5">
        <f t="shared" si="1"/>
        <v>0</v>
      </c>
      <c r="L30" s="2">
        <v>1065113.5078454011</v>
      </c>
      <c r="M30" s="2">
        <v>0</v>
      </c>
      <c r="N30" s="6">
        <f t="shared" si="2"/>
        <v>0</v>
      </c>
      <c r="O30" s="17">
        <f t="shared" si="3"/>
        <v>0</v>
      </c>
      <c r="P30" s="18">
        <v>0</v>
      </c>
      <c r="Q30" s="1">
        <f t="shared" si="4"/>
        <v>0</v>
      </c>
      <c r="R30" s="18">
        <v>7</v>
      </c>
      <c r="S30" s="18">
        <v>0</v>
      </c>
      <c r="T30" s="18">
        <v>0</v>
      </c>
      <c r="U30" s="3">
        <v>1</v>
      </c>
      <c r="V30" s="3">
        <v>0</v>
      </c>
      <c r="W30" s="3">
        <v>1</v>
      </c>
      <c r="X30" s="3">
        <v>0</v>
      </c>
      <c r="Y30" s="3">
        <v>0</v>
      </c>
      <c r="Z30" s="3">
        <v>1</v>
      </c>
    </row>
    <row r="31" spans="1:26" ht="26">
      <c r="A31" s="16">
        <v>17589390</v>
      </c>
      <c r="B31" s="16" t="s">
        <v>102</v>
      </c>
      <c r="C31" s="16" t="s">
        <v>57</v>
      </c>
      <c r="D31" s="16" t="s">
        <v>440</v>
      </c>
      <c r="E31" s="16" t="s">
        <v>22</v>
      </c>
      <c r="F31" s="16" t="s">
        <v>77</v>
      </c>
      <c r="G31" s="21" t="s">
        <v>443</v>
      </c>
      <c r="H31" s="7">
        <v>4</v>
      </c>
      <c r="I31" s="1">
        <v>0</v>
      </c>
      <c r="J31" s="1">
        <f t="shared" si="0"/>
        <v>0</v>
      </c>
      <c r="K31" s="5">
        <f t="shared" si="1"/>
        <v>0</v>
      </c>
      <c r="L31" s="2">
        <v>5323951.554471341</v>
      </c>
      <c r="M31" s="2">
        <v>3000000</v>
      </c>
      <c r="N31" s="6">
        <f t="shared" si="2"/>
        <v>1</v>
      </c>
      <c r="O31" s="17">
        <f t="shared" si="3"/>
        <v>0.56349122814245722</v>
      </c>
      <c r="P31" s="18">
        <v>1</v>
      </c>
      <c r="Q31" s="1">
        <f t="shared" si="4"/>
        <v>0</v>
      </c>
      <c r="R31" s="18">
        <v>6</v>
      </c>
      <c r="S31" s="18">
        <v>1</v>
      </c>
      <c r="T31" s="18">
        <v>0</v>
      </c>
      <c r="U31" s="3">
        <v>1</v>
      </c>
      <c r="V31" s="3">
        <v>0</v>
      </c>
      <c r="W31" s="3">
        <v>1</v>
      </c>
      <c r="X31" s="3">
        <v>0</v>
      </c>
      <c r="Y31" s="3">
        <v>0</v>
      </c>
      <c r="Z31" s="3">
        <v>1</v>
      </c>
    </row>
    <row r="32" spans="1:26" ht="26">
      <c r="A32" s="16">
        <v>17771261</v>
      </c>
      <c r="B32" s="16" t="s">
        <v>310</v>
      </c>
      <c r="C32" s="16" t="s">
        <v>57</v>
      </c>
      <c r="D32" s="16" t="s">
        <v>442</v>
      </c>
      <c r="E32" s="16" t="s">
        <v>26</v>
      </c>
      <c r="F32" s="16" t="s">
        <v>311</v>
      </c>
      <c r="G32" s="21" t="s">
        <v>443</v>
      </c>
      <c r="H32" s="7">
        <v>10.536329150860819</v>
      </c>
      <c r="I32" s="1">
        <v>0</v>
      </c>
      <c r="J32" s="1">
        <f t="shared" si="0"/>
        <v>0</v>
      </c>
      <c r="K32" s="5">
        <f t="shared" si="1"/>
        <v>0</v>
      </c>
      <c r="L32" s="2">
        <v>12975280.2648247</v>
      </c>
      <c r="M32" s="2">
        <v>0</v>
      </c>
      <c r="N32" s="6">
        <f t="shared" si="2"/>
        <v>0</v>
      </c>
      <c r="O32" s="17">
        <f t="shared" si="3"/>
        <v>0</v>
      </c>
      <c r="P32" s="18">
        <v>1</v>
      </c>
      <c r="Q32" s="1">
        <f t="shared" si="4"/>
        <v>0</v>
      </c>
      <c r="R32" s="18">
        <v>13</v>
      </c>
      <c r="S32" s="18">
        <v>1</v>
      </c>
      <c r="T32" s="18">
        <v>0</v>
      </c>
      <c r="U32" s="3">
        <v>0</v>
      </c>
      <c r="V32" s="3">
        <v>0</v>
      </c>
      <c r="W32" s="3">
        <v>0</v>
      </c>
      <c r="X32" s="3">
        <v>1</v>
      </c>
      <c r="Y32" s="3">
        <v>0</v>
      </c>
      <c r="Z32" s="3">
        <v>0</v>
      </c>
    </row>
    <row r="33" spans="1:26" ht="26">
      <c r="A33" s="16">
        <v>17639127</v>
      </c>
      <c r="B33" s="16" t="s">
        <v>383</v>
      </c>
      <c r="C33" s="16" t="s">
        <v>57</v>
      </c>
      <c r="D33" s="16" t="s">
        <v>442</v>
      </c>
      <c r="E33" s="16" t="s">
        <v>26</v>
      </c>
      <c r="F33" s="16" t="s">
        <v>384</v>
      </c>
      <c r="G33" s="21" t="s">
        <v>443</v>
      </c>
      <c r="H33" s="7">
        <v>5</v>
      </c>
      <c r="I33" s="1">
        <v>0</v>
      </c>
      <c r="J33" s="4">
        <f t="shared" si="0"/>
        <v>0</v>
      </c>
      <c r="K33" s="5">
        <f t="shared" si="1"/>
        <v>0</v>
      </c>
      <c r="L33" s="2">
        <v>4831614.8655785387</v>
      </c>
      <c r="M33" s="2">
        <v>0</v>
      </c>
      <c r="N33" s="6">
        <f t="shared" si="2"/>
        <v>0</v>
      </c>
      <c r="O33" s="17">
        <f t="shared" si="3"/>
        <v>0</v>
      </c>
      <c r="P33" s="18">
        <v>0</v>
      </c>
      <c r="Q33" s="1">
        <f t="shared" si="4"/>
        <v>0</v>
      </c>
      <c r="R33" s="18">
        <v>7</v>
      </c>
      <c r="S33" s="18">
        <v>0</v>
      </c>
      <c r="T33" s="18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1</v>
      </c>
    </row>
    <row r="34" spans="1:26" ht="26">
      <c r="A34" s="16">
        <v>17635487</v>
      </c>
      <c r="B34" s="16" t="s">
        <v>213</v>
      </c>
      <c r="C34" s="16" t="s">
        <v>57</v>
      </c>
      <c r="D34" s="16" t="s">
        <v>442</v>
      </c>
      <c r="E34" s="16" t="s">
        <v>26</v>
      </c>
      <c r="F34" s="16" t="s">
        <v>58</v>
      </c>
      <c r="G34" s="21" t="s">
        <v>443</v>
      </c>
      <c r="H34" s="7">
        <v>5.8879486431281034</v>
      </c>
      <c r="I34" s="1">
        <v>0</v>
      </c>
      <c r="J34" s="4">
        <f t="shared" si="0"/>
        <v>0</v>
      </c>
      <c r="K34" s="5">
        <f t="shared" si="1"/>
        <v>0</v>
      </c>
      <c r="L34" s="2">
        <v>2545714.651758614</v>
      </c>
      <c r="M34" s="2">
        <v>0</v>
      </c>
      <c r="N34" s="6">
        <f t="shared" si="2"/>
        <v>0</v>
      </c>
      <c r="O34" s="17">
        <f t="shared" si="3"/>
        <v>0</v>
      </c>
      <c r="P34" s="18">
        <v>0</v>
      </c>
      <c r="Q34" s="1">
        <f t="shared" si="4"/>
        <v>0</v>
      </c>
      <c r="R34" s="18">
        <v>8</v>
      </c>
      <c r="S34" s="18">
        <v>0</v>
      </c>
      <c r="T34" s="18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1</v>
      </c>
    </row>
    <row r="35" spans="1:26" ht="26">
      <c r="A35" s="16">
        <v>17692185</v>
      </c>
      <c r="B35" s="16" t="s">
        <v>56</v>
      </c>
      <c r="C35" s="16" t="s">
        <v>57</v>
      </c>
      <c r="D35" s="16" t="s">
        <v>442</v>
      </c>
      <c r="E35" s="16" t="s">
        <v>26</v>
      </c>
      <c r="F35" s="16" t="s">
        <v>58</v>
      </c>
      <c r="G35" s="21" t="s">
        <v>443</v>
      </c>
      <c r="H35" s="7">
        <v>5</v>
      </c>
      <c r="I35" s="1">
        <v>0</v>
      </c>
      <c r="J35" s="4">
        <f t="shared" si="0"/>
        <v>0</v>
      </c>
      <c r="K35" s="5">
        <f t="shared" si="1"/>
        <v>0</v>
      </c>
      <c r="L35" s="2">
        <v>5352321.0646263557</v>
      </c>
      <c r="M35" s="2">
        <v>0</v>
      </c>
      <c r="N35" s="6">
        <f t="shared" si="2"/>
        <v>0</v>
      </c>
      <c r="O35" s="17">
        <f t="shared" si="3"/>
        <v>0</v>
      </c>
      <c r="P35" s="18">
        <v>101</v>
      </c>
      <c r="Q35" s="1">
        <f t="shared" si="4"/>
        <v>1</v>
      </c>
      <c r="R35" s="18">
        <v>7</v>
      </c>
      <c r="S35" s="18">
        <v>101</v>
      </c>
      <c r="T35" s="18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1</v>
      </c>
    </row>
    <row r="36" spans="1:26" ht="26">
      <c r="A36" s="16">
        <v>17579363</v>
      </c>
      <c r="B36" s="16" t="s">
        <v>181</v>
      </c>
      <c r="C36" s="16" t="s">
        <v>57</v>
      </c>
      <c r="D36" s="16" t="s">
        <v>444</v>
      </c>
      <c r="E36" s="16" t="s">
        <v>26</v>
      </c>
      <c r="F36" s="16" t="s">
        <v>58</v>
      </c>
      <c r="G36" s="21" t="s">
        <v>443</v>
      </c>
      <c r="H36" s="7">
        <v>4.9582725415815601</v>
      </c>
      <c r="I36" s="1">
        <v>0</v>
      </c>
      <c r="J36" s="4">
        <f t="shared" si="0"/>
        <v>0</v>
      </c>
      <c r="K36" s="5">
        <f t="shared" si="1"/>
        <v>0</v>
      </c>
      <c r="L36" s="2">
        <v>10243368.258441061</v>
      </c>
      <c r="M36" s="2">
        <v>0</v>
      </c>
      <c r="N36" s="6">
        <f t="shared" si="2"/>
        <v>0</v>
      </c>
      <c r="O36" s="17">
        <f t="shared" si="3"/>
        <v>0</v>
      </c>
      <c r="P36" s="18">
        <v>0</v>
      </c>
      <c r="Q36" s="1">
        <f t="shared" si="4"/>
        <v>0</v>
      </c>
      <c r="R36" s="18">
        <v>7</v>
      </c>
      <c r="S36" s="18">
        <v>0</v>
      </c>
      <c r="T36" s="18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1</v>
      </c>
    </row>
    <row r="37" spans="1:26" ht="26">
      <c r="A37" s="16">
        <v>17575257</v>
      </c>
      <c r="B37" s="16" t="s">
        <v>372</v>
      </c>
      <c r="C37" s="16" t="s">
        <v>57</v>
      </c>
      <c r="D37" s="16" t="s">
        <v>440</v>
      </c>
      <c r="E37" s="16" t="s">
        <v>22</v>
      </c>
      <c r="F37" s="16" t="s">
        <v>58</v>
      </c>
      <c r="G37" s="21" t="s">
        <v>443</v>
      </c>
      <c r="H37" s="7">
        <v>4.6483805077327114</v>
      </c>
      <c r="I37" s="1">
        <v>0</v>
      </c>
      <c r="J37" s="1">
        <f t="shared" si="0"/>
        <v>0</v>
      </c>
      <c r="K37" s="5">
        <f t="shared" si="1"/>
        <v>0</v>
      </c>
      <c r="L37" s="2">
        <v>2724550.2980522839</v>
      </c>
      <c r="M37" s="2">
        <v>0</v>
      </c>
      <c r="N37" s="6">
        <f t="shared" si="2"/>
        <v>0</v>
      </c>
      <c r="O37" s="17">
        <f t="shared" si="3"/>
        <v>0</v>
      </c>
      <c r="P37" s="18">
        <v>0</v>
      </c>
      <c r="Q37" s="1">
        <f t="shared" si="4"/>
        <v>0</v>
      </c>
      <c r="R37" s="18">
        <v>7</v>
      </c>
      <c r="S37" s="18">
        <v>0</v>
      </c>
      <c r="T37" s="18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1</v>
      </c>
    </row>
    <row r="38" spans="1:26" ht="26">
      <c r="A38" s="16">
        <v>17564430</v>
      </c>
      <c r="B38" s="16" t="s">
        <v>161</v>
      </c>
      <c r="C38" s="16" t="s">
        <v>57</v>
      </c>
      <c r="D38" s="16" t="s">
        <v>444</v>
      </c>
      <c r="E38" s="16" t="s">
        <v>26</v>
      </c>
      <c r="F38" s="16" t="s">
        <v>162</v>
      </c>
      <c r="G38" s="21" t="s">
        <v>443</v>
      </c>
      <c r="H38" s="7">
        <v>20.142982200175041</v>
      </c>
      <c r="I38" s="1">
        <v>0</v>
      </c>
      <c r="J38" s="1">
        <f t="shared" si="0"/>
        <v>0</v>
      </c>
      <c r="K38" s="5">
        <f t="shared" si="1"/>
        <v>0</v>
      </c>
      <c r="L38" s="2">
        <v>1065113.5078454011</v>
      </c>
      <c r="M38" s="2">
        <v>0</v>
      </c>
      <c r="N38" s="6">
        <f t="shared" si="2"/>
        <v>0</v>
      </c>
      <c r="O38" s="17">
        <f t="shared" si="3"/>
        <v>0</v>
      </c>
      <c r="P38" s="18">
        <v>1</v>
      </c>
      <c r="Q38" s="1">
        <f t="shared" si="4"/>
        <v>0</v>
      </c>
      <c r="R38" s="18">
        <v>12</v>
      </c>
      <c r="S38" s="18">
        <v>1</v>
      </c>
      <c r="T38" s="18">
        <v>0</v>
      </c>
      <c r="U38" s="3">
        <v>0</v>
      </c>
      <c r="V38" s="3">
        <v>0</v>
      </c>
      <c r="W38" s="3">
        <v>0</v>
      </c>
      <c r="X38" s="3">
        <v>0</v>
      </c>
      <c r="Y38" s="3">
        <v>1</v>
      </c>
      <c r="Z38" s="3">
        <v>0</v>
      </c>
    </row>
    <row r="39" spans="1:26" ht="26">
      <c r="A39" s="16">
        <v>17613077</v>
      </c>
      <c r="B39" s="16" t="s">
        <v>288</v>
      </c>
      <c r="C39" s="16" t="s">
        <v>57</v>
      </c>
      <c r="D39" s="16" t="s">
        <v>442</v>
      </c>
      <c r="E39" s="16" t="s">
        <v>26</v>
      </c>
      <c r="F39" s="16" t="s">
        <v>162</v>
      </c>
      <c r="G39" s="21" t="s">
        <v>443</v>
      </c>
      <c r="H39" s="7">
        <v>8.0571928800700618</v>
      </c>
      <c r="I39" s="1">
        <v>0</v>
      </c>
      <c r="J39" s="4">
        <f t="shared" si="0"/>
        <v>0</v>
      </c>
      <c r="K39" s="5">
        <f t="shared" si="1"/>
        <v>0</v>
      </c>
      <c r="L39" s="2">
        <v>1673082.8836991631</v>
      </c>
      <c r="M39" s="2">
        <v>0</v>
      </c>
      <c r="N39" s="6">
        <f t="shared" si="2"/>
        <v>0</v>
      </c>
      <c r="O39" s="17">
        <f t="shared" si="3"/>
        <v>0</v>
      </c>
      <c r="P39" s="18">
        <v>1</v>
      </c>
      <c r="Q39" s="1">
        <f t="shared" si="4"/>
        <v>0</v>
      </c>
      <c r="R39" s="18">
        <v>11</v>
      </c>
      <c r="S39" s="18">
        <v>1</v>
      </c>
      <c r="T39" s="18">
        <v>0</v>
      </c>
      <c r="U39" s="3">
        <v>0</v>
      </c>
      <c r="V39" s="3">
        <v>0</v>
      </c>
      <c r="W39" s="3">
        <v>0</v>
      </c>
      <c r="X39" s="3">
        <v>0</v>
      </c>
      <c r="Y39" s="3">
        <v>1</v>
      </c>
      <c r="Z39" s="3">
        <v>0</v>
      </c>
    </row>
    <row r="40" spans="1:26" ht="26">
      <c r="A40" s="16">
        <v>17636261</v>
      </c>
      <c r="B40" s="16" t="s">
        <v>306</v>
      </c>
      <c r="C40" s="16" t="s">
        <v>57</v>
      </c>
      <c r="D40" s="16" t="s">
        <v>442</v>
      </c>
      <c r="E40" s="16" t="s">
        <v>26</v>
      </c>
      <c r="F40" s="16" t="s">
        <v>162</v>
      </c>
      <c r="G40" s="21" t="s">
        <v>443</v>
      </c>
      <c r="H40" s="7">
        <v>7.1275167785234892</v>
      </c>
      <c r="I40" s="1">
        <v>0</v>
      </c>
      <c r="J40" s="1">
        <f t="shared" si="0"/>
        <v>0</v>
      </c>
      <c r="K40" s="5">
        <f t="shared" si="1"/>
        <v>0</v>
      </c>
      <c r="L40" s="2">
        <v>5705683.064531914</v>
      </c>
      <c r="M40" s="2">
        <v>0</v>
      </c>
      <c r="N40" s="6">
        <f t="shared" si="2"/>
        <v>0</v>
      </c>
      <c r="O40" s="17">
        <f t="shared" si="3"/>
        <v>0</v>
      </c>
      <c r="P40" s="18">
        <v>0</v>
      </c>
      <c r="Q40" s="1">
        <f t="shared" si="4"/>
        <v>0</v>
      </c>
      <c r="R40" s="18">
        <v>10</v>
      </c>
      <c r="S40" s="18">
        <v>0</v>
      </c>
      <c r="T40" s="18">
        <v>0</v>
      </c>
      <c r="U40" s="3">
        <v>0</v>
      </c>
      <c r="V40" s="3">
        <v>0</v>
      </c>
      <c r="W40" s="3">
        <v>0</v>
      </c>
      <c r="X40" s="3">
        <v>0</v>
      </c>
      <c r="Y40" s="3">
        <v>1</v>
      </c>
      <c r="Z40" s="3">
        <v>0</v>
      </c>
    </row>
    <row r="41" spans="1:26" ht="26">
      <c r="A41" s="16">
        <v>17834487</v>
      </c>
      <c r="B41" s="16" t="s">
        <v>226</v>
      </c>
      <c r="C41" s="16" t="s">
        <v>57</v>
      </c>
      <c r="D41" s="16" t="s">
        <v>442</v>
      </c>
      <c r="E41" s="16" t="s">
        <v>22</v>
      </c>
      <c r="F41" s="16" t="s">
        <v>79</v>
      </c>
      <c r="G41" s="21" t="s">
        <v>443</v>
      </c>
      <c r="H41" s="7">
        <v>10.226437117011949</v>
      </c>
      <c r="I41" s="1">
        <v>0</v>
      </c>
      <c r="J41" s="1">
        <f t="shared" si="0"/>
        <v>0</v>
      </c>
      <c r="K41" s="5">
        <f t="shared" si="1"/>
        <v>0</v>
      </c>
      <c r="L41" s="2">
        <v>2352335.1426639589</v>
      </c>
      <c r="M41" s="2">
        <v>0</v>
      </c>
      <c r="N41" s="6">
        <f t="shared" si="2"/>
        <v>0</v>
      </c>
      <c r="O41" s="17">
        <f t="shared" si="3"/>
        <v>0</v>
      </c>
      <c r="P41" s="18">
        <v>0</v>
      </c>
      <c r="Q41" s="1">
        <f t="shared" si="4"/>
        <v>0</v>
      </c>
      <c r="R41" s="18">
        <v>13</v>
      </c>
      <c r="S41" s="18">
        <v>0</v>
      </c>
      <c r="T41" s="18">
        <v>0</v>
      </c>
      <c r="U41" s="3">
        <v>1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</row>
    <row r="42" spans="1:26" ht="26">
      <c r="A42" s="16">
        <v>17434670</v>
      </c>
      <c r="B42" s="16" t="s">
        <v>255</v>
      </c>
      <c r="C42" s="16" t="s">
        <v>57</v>
      </c>
      <c r="D42" s="16" t="s">
        <v>440</v>
      </c>
      <c r="E42" s="16" t="s">
        <v>22</v>
      </c>
      <c r="F42" s="16" t="s">
        <v>79</v>
      </c>
      <c r="G42" s="21" t="s">
        <v>443</v>
      </c>
      <c r="H42" s="7">
        <v>9.9165450831630899</v>
      </c>
      <c r="I42" s="1">
        <v>0</v>
      </c>
      <c r="J42" s="4">
        <f t="shared" si="0"/>
        <v>0</v>
      </c>
      <c r="K42" s="5">
        <f t="shared" si="1"/>
        <v>0</v>
      </c>
      <c r="L42" s="2">
        <v>16535833.34314141</v>
      </c>
      <c r="M42" s="2">
        <v>0</v>
      </c>
      <c r="N42" s="6">
        <f t="shared" si="2"/>
        <v>0</v>
      </c>
      <c r="O42" s="17">
        <f t="shared" si="3"/>
        <v>0</v>
      </c>
      <c r="P42" s="18">
        <v>2</v>
      </c>
      <c r="Q42" s="1">
        <f t="shared" si="4"/>
        <v>0</v>
      </c>
      <c r="R42" s="18">
        <v>12</v>
      </c>
      <c r="S42" s="18">
        <v>2</v>
      </c>
      <c r="T42" s="18">
        <v>0</v>
      </c>
      <c r="U42" s="3">
        <v>0</v>
      </c>
      <c r="V42" s="3">
        <v>0</v>
      </c>
      <c r="W42" s="3">
        <v>1</v>
      </c>
      <c r="X42" s="3">
        <v>0</v>
      </c>
      <c r="Y42" s="3">
        <v>0</v>
      </c>
      <c r="Z42" s="3">
        <v>0</v>
      </c>
    </row>
    <row r="43" spans="1:26" ht="26">
      <c r="A43" s="16">
        <v>17434658</v>
      </c>
      <c r="B43" s="16" t="s">
        <v>78</v>
      </c>
      <c r="C43" s="16" t="s">
        <v>57</v>
      </c>
      <c r="D43" s="16" t="s">
        <v>440</v>
      </c>
      <c r="E43" s="16" t="s">
        <v>22</v>
      </c>
      <c r="F43" s="16" t="s">
        <v>79</v>
      </c>
      <c r="G43" s="21" t="s">
        <v>443</v>
      </c>
      <c r="H43" s="7">
        <v>6.5077327108257919</v>
      </c>
      <c r="I43" s="1">
        <v>0</v>
      </c>
      <c r="J43" s="1">
        <f t="shared" si="0"/>
        <v>0</v>
      </c>
      <c r="K43" s="5">
        <f t="shared" si="1"/>
        <v>0</v>
      </c>
      <c r="L43" s="2">
        <v>14129452.488093451</v>
      </c>
      <c r="M43" s="2">
        <v>0</v>
      </c>
      <c r="N43" s="6">
        <f t="shared" si="2"/>
        <v>0</v>
      </c>
      <c r="O43" s="17">
        <f t="shared" si="3"/>
        <v>0</v>
      </c>
      <c r="P43" s="18">
        <v>0</v>
      </c>
      <c r="Q43" s="1">
        <f t="shared" si="4"/>
        <v>0</v>
      </c>
      <c r="R43" s="18">
        <v>9</v>
      </c>
      <c r="S43" s="18">
        <v>0</v>
      </c>
      <c r="T43" s="18">
        <v>0</v>
      </c>
      <c r="U43" s="3">
        <v>1</v>
      </c>
      <c r="V43" s="3">
        <v>0</v>
      </c>
      <c r="W43" s="3">
        <v>1</v>
      </c>
      <c r="X43" s="3">
        <v>0</v>
      </c>
      <c r="Y43" s="3">
        <v>0</v>
      </c>
      <c r="Z43" s="3">
        <v>0</v>
      </c>
    </row>
    <row r="44" spans="1:26" ht="26">
      <c r="A44" s="16">
        <v>17693806</v>
      </c>
      <c r="B44" s="16" t="s">
        <v>182</v>
      </c>
      <c r="C44" s="16" t="s">
        <v>57</v>
      </c>
      <c r="D44" s="16" t="s">
        <v>444</v>
      </c>
      <c r="E44" s="16" t="s">
        <v>22</v>
      </c>
      <c r="F44" s="16" t="s">
        <v>79</v>
      </c>
      <c r="G44" s="21" t="s">
        <v>443</v>
      </c>
      <c r="H44" s="7">
        <v>6.5077327108257919</v>
      </c>
      <c r="I44" s="1">
        <v>0</v>
      </c>
      <c r="J44" s="1">
        <f t="shared" si="0"/>
        <v>0</v>
      </c>
      <c r="K44" s="5">
        <f t="shared" si="1"/>
        <v>0</v>
      </c>
      <c r="L44" s="2">
        <v>2861729.4484221209</v>
      </c>
      <c r="M44" s="2">
        <v>0</v>
      </c>
      <c r="N44" s="6">
        <f t="shared" si="2"/>
        <v>0</v>
      </c>
      <c r="O44" s="17">
        <f t="shared" si="3"/>
        <v>0</v>
      </c>
      <c r="P44" s="18">
        <v>101</v>
      </c>
      <c r="Q44" s="1">
        <f t="shared" si="4"/>
        <v>1</v>
      </c>
      <c r="R44" s="18">
        <v>9</v>
      </c>
      <c r="S44" s="18">
        <v>101</v>
      </c>
      <c r="T44" s="18">
        <v>0</v>
      </c>
      <c r="U44" s="3">
        <v>1</v>
      </c>
      <c r="V44" s="3">
        <v>0</v>
      </c>
      <c r="W44" s="3">
        <v>1</v>
      </c>
      <c r="X44" s="3">
        <v>0</v>
      </c>
      <c r="Y44" s="3">
        <v>0</v>
      </c>
      <c r="Z44" s="3">
        <v>0</v>
      </c>
    </row>
    <row r="45" spans="1:26" ht="26">
      <c r="A45" s="16">
        <v>17692277</v>
      </c>
      <c r="B45" s="16" t="s">
        <v>183</v>
      </c>
      <c r="C45" s="16" t="s">
        <v>57</v>
      </c>
      <c r="D45" s="16" t="s">
        <v>440</v>
      </c>
      <c r="E45" s="16" t="s">
        <v>22</v>
      </c>
      <c r="F45" s="16" t="s">
        <v>79</v>
      </c>
      <c r="G45" s="21" t="s">
        <v>443</v>
      </c>
      <c r="H45" s="7">
        <v>5</v>
      </c>
      <c r="I45" s="1">
        <v>0</v>
      </c>
      <c r="J45" s="1">
        <f t="shared" si="0"/>
        <v>0</v>
      </c>
      <c r="K45" s="5">
        <f t="shared" si="1"/>
        <v>0</v>
      </c>
      <c r="L45" s="2">
        <v>6438801.4820188954</v>
      </c>
      <c r="M45" s="2">
        <v>0</v>
      </c>
      <c r="N45" s="6">
        <f t="shared" si="2"/>
        <v>0</v>
      </c>
      <c r="O45" s="17">
        <f t="shared" si="3"/>
        <v>0</v>
      </c>
      <c r="P45" s="18">
        <v>0</v>
      </c>
      <c r="Q45" s="1">
        <f t="shared" si="4"/>
        <v>0</v>
      </c>
      <c r="R45" s="18">
        <v>7</v>
      </c>
      <c r="S45" s="18">
        <v>0</v>
      </c>
      <c r="T45" s="18">
        <v>0</v>
      </c>
      <c r="U45" s="3">
        <v>1</v>
      </c>
      <c r="V45" s="3">
        <v>0</v>
      </c>
      <c r="W45" s="3">
        <v>1</v>
      </c>
      <c r="X45" s="3">
        <v>0</v>
      </c>
      <c r="Y45" s="3">
        <v>0</v>
      </c>
      <c r="Z45" s="3">
        <v>0</v>
      </c>
    </row>
    <row r="46" spans="1:26" ht="26">
      <c r="A46" s="16">
        <v>17236843</v>
      </c>
      <c r="B46" s="16" t="s">
        <v>70</v>
      </c>
      <c r="C46" s="16" t="s">
        <v>57</v>
      </c>
      <c r="D46" s="16" t="s">
        <v>442</v>
      </c>
      <c r="E46" s="16" t="s">
        <v>26</v>
      </c>
      <c r="F46" s="16" t="s">
        <v>71</v>
      </c>
      <c r="G46" s="21" t="s">
        <v>443</v>
      </c>
      <c r="H46" s="7">
        <v>5.8879486431280963</v>
      </c>
      <c r="I46" s="1">
        <v>0</v>
      </c>
      <c r="J46" s="4">
        <f t="shared" si="0"/>
        <v>0</v>
      </c>
      <c r="K46" s="5">
        <f t="shared" si="1"/>
        <v>0</v>
      </c>
      <c r="L46" s="2">
        <v>7896060.6239058357</v>
      </c>
      <c r="M46" s="2">
        <v>0</v>
      </c>
      <c r="N46" s="6">
        <f t="shared" si="2"/>
        <v>0</v>
      </c>
      <c r="O46" s="17">
        <f t="shared" si="3"/>
        <v>0</v>
      </c>
      <c r="P46" s="18">
        <v>1</v>
      </c>
      <c r="Q46" s="1">
        <f t="shared" si="4"/>
        <v>0</v>
      </c>
      <c r="R46" s="18">
        <v>8</v>
      </c>
      <c r="S46" s="18">
        <v>1</v>
      </c>
      <c r="T46" s="18">
        <v>0</v>
      </c>
      <c r="U46" s="3">
        <v>0</v>
      </c>
      <c r="V46" s="3">
        <v>0</v>
      </c>
      <c r="W46" s="3">
        <v>0</v>
      </c>
      <c r="X46" s="3">
        <v>0</v>
      </c>
      <c r="Y46" s="3">
        <v>1</v>
      </c>
      <c r="Z46" s="3">
        <v>0</v>
      </c>
    </row>
    <row r="47" spans="1:26" ht="26">
      <c r="A47" s="16">
        <v>17628858</v>
      </c>
      <c r="B47" s="16" t="s">
        <v>405</v>
      </c>
      <c r="C47" s="16" t="s">
        <v>57</v>
      </c>
      <c r="D47" s="16" t="s">
        <v>442</v>
      </c>
      <c r="E47" s="16" t="s">
        <v>26</v>
      </c>
      <c r="F47" s="16" t="s">
        <v>71</v>
      </c>
      <c r="G47" s="21" t="s">
        <v>443</v>
      </c>
      <c r="H47" s="7">
        <v>5.2681645754304078</v>
      </c>
      <c r="I47" s="1">
        <v>0</v>
      </c>
      <c r="J47" s="4">
        <f t="shared" si="0"/>
        <v>0</v>
      </c>
      <c r="K47" s="5">
        <f t="shared" si="1"/>
        <v>0</v>
      </c>
      <c r="L47" s="2">
        <v>1194033.180575171</v>
      </c>
      <c r="M47" s="2">
        <v>0</v>
      </c>
      <c r="N47" s="6">
        <f t="shared" si="2"/>
        <v>0</v>
      </c>
      <c r="O47" s="17">
        <f t="shared" si="3"/>
        <v>0</v>
      </c>
      <c r="P47" s="18">
        <v>1</v>
      </c>
      <c r="Q47" s="1">
        <f t="shared" si="4"/>
        <v>0</v>
      </c>
      <c r="R47" s="18">
        <v>8</v>
      </c>
      <c r="S47" s="18">
        <v>1</v>
      </c>
      <c r="T47" s="18">
        <v>0</v>
      </c>
      <c r="U47" s="3">
        <v>0</v>
      </c>
      <c r="V47" s="3">
        <v>0</v>
      </c>
      <c r="W47" s="3">
        <v>0</v>
      </c>
      <c r="X47" s="3">
        <v>0</v>
      </c>
      <c r="Y47" s="3">
        <v>1</v>
      </c>
      <c r="Z47" s="3">
        <v>0</v>
      </c>
    </row>
    <row r="48" spans="1:26" ht="26">
      <c r="A48" s="20">
        <v>17691426</v>
      </c>
      <c r="B48" s="20" t="s">
        <v>473</v>
      </c>
      <c r="C48" s="16" t="s">
        <v>57</v>
      </c>
      <c r="D48" s="16" t="s">
        <v>442</v>
      </c>
      <c r="E48" s="16" t="s">
        <v>26</v>
      </c>
      <c r="F48" s="22" t="s">
        <v>71</v>
      </c>
      <c r="G48" s="20" t="s">
        <v>443</v>
      </c>
      <c r="H48" s="7">
        <v>2.7022719565954572</v>
      </c>
      <c r="I48" s="1">
        <v>0</v>
      </c>
      <c r="J48" s="1">
        <f t="shared" si="0"/>
        <v>0</v>
      </c>
      <c r="K48" s="5">
        <f t="shared" si="1"/>
        <v>0</v>
      </c>
      <c r="L48" s="2">
        <v>300000</v>
      </c>
      <c r="M48" s="2">
        <v>0</v>
      </c>
      <c r="N48" s="6">
        <f t="shared" si="2"/>
        <v>0</v>
      </c>
      <c r="O48" s="17">
        <f t="shared" si="3"/>
        <v>0</v>
      </c>
      <c r="P48" s="18">
        <v>1</v>
      </c>
      <c r="Q48" s="1">
        <f t="shared" si="4"/>
        <v>0</v>
      </c>
      <c r="R48" s="18">
        <v>5</v>
      </c>
      <c r="S48" s="18">
        <v>1</v>
      </c>
      <c r="T48" s="18">
        <v>0</v>
      </c>
      <c r="U48" s="3">
        <v>0</v>
      </c>
      <c r="V48" s="3">
        <v>0</v>
      </c>
      <c r="W48" s="3">
        <v>0</v>
      </c>
      <c r="X48" s="3">
        <v>0</v>
      </c>
      <c r="Y48" s="3">
        <v>1</v>
      </c>
      <c r="Z48" s="3">
        <v>0</v>
      </c>
    </row>
    <row r="49" spans="1:26" ht="26">
      <c r="A49" s="16">
        <v>17570713</v>
      </c>
      <c r="B49" s="16" t="s">
        <v>81</v>
      </c>
      <c r="C49" s="16" t="s">
        <v>25</v>
      </c>
      <c r="D49" s="16" t="s">
        <v>442</v>
      </c>
      <c r="E49" s="16" t="s">
        <v>26</v>
      </c>
      <c r="F49" s="16" t="s">
        <v>27</v>
      </c>
      <c r="G49" s="21" t="s">
        <v>443</v>
      </c>
      <c r="H49" s="7">
        <v>30</v>
      </c>
      <c r="I49" s="1">
        <v>0</v>
      </c>
      <c r="J49" s="4">
        <f t="shared" si="0"/>
        <v>0</v>
      </c>
      <c r="K49" s="5">
        <f t="shared" si="1"/>
        <v>0</v>
      </c>
      <c r="L49" s="2">
        <v>19021217.897355039</v>
      </c>
      <c r="M49" s="2">
        <v>0</v>
      </c>
      <c r="N49" s="6">
        <f t="shared" si="2"/>
        <v>0</v>
      </c>
      <c r="O49" s="17">
        <f t="shared" si="3"/>
        <v>0</v>
      </c>
      <c r="P49" s="18">
        <v>4</v>
      </c>
      <c r="Q49" s="1">
        <f t="shared" si="4"/>
        <v>1</v>
      </c>
      <c r="R49" s="18">
        <v>22</v>
      </c>
      <c r="S49" s="18">
        <v>4</v>
      </c>
      <c r="T49" s="18">
        <v>0</v>
      </c>
      <c r="U49" s="3">
        <v>0</v>
      </c>
      <c r="V49" s="3">
        <v>1</v>
      </c>
      <c r="W49" s="3">
        <v>0</v>
      </c>
      <c r="X49" s="3">
        <v>0</v>
      </c>
      <c r="Y49" s="3">
        <v>0</v>
      </c>
      <c r="Z49" s="3">
        <v>0</v>
      </c>
    </row>
    <row r="50" spans="1:26" ht="26">
      <c r="A50" s="16">
        <v>17681325</v>
      </c>
      <c r="B50" s="16" t="s">
        <v>166</v>
      </c>
      <c r="C50" s="16" t="s">
        <v>25</v>
      </c>
      <c r="D50" s="16" t="s">
        <v>442</v>
      </c>
      <c r="E50" s="16" t="s">
        <v>26</v>
      </c>
      <c r="F50" s="16" t="s">
        <v>27</v>
      </c>
      <c r="G50" s="21" t="s">
        <v>443</v>
      </c>
      <c r="H50" s="7">
        <v>14.25503355704695</v>
      </c>
      <c r="I50" s="1">
        <v>0</v>
      </c>
      <c r="J50" s="1">
        <f t="shared" si="0"/>
        <v>0</v>
      </c>
      <c r="K50" s="5">
        <f t="shared" si="1"/>
        <v>0</v>
      </c>
      <c r="L50" s="2">
        <v>11753595.78954147</v>
      </c>
      <c r="M50" s="2">
        <v>600000</v>
      </c>
      <c r="N50" s="6">
        <f t="shared" si="2"/>
        <v>1</v>
      </c>
      <c r="O50" s="17">
        <f t="shared" si="3"/>
        <v>5.1048207777732939E-2</v>
      </c>
      <c r="P50" s="18">
        <v>1</v>
      </c>
      <c r="Q50" s="1">
        <f t="shared" si="4"/>
        <v>0</v>
      </c>
      <c r="R50" s="18">
        <v>9</v>
      </c>
      <c r="S50" s="18">
        <v>1</v>
      </c>
      <c r="T50" s="18">
        <v>0</v>
      </c>
      <c r="U50" s="3">
        <v>0</v>
      </c>
      <c r="V50" s="3">
        <v>1</v>
      </c>
      <c r="W50" s="3">
        <v>0</v>
      </c>
      <c r="X50" s="3">
        <v>0</v>
      </c>
      <c r="Y50" s="3">
        <v>0</v>
      </c>
      <c r="Z50" s="3">
        <v>0</v>
      </c>
    </row>
    <row r="51" spans="1:26" ht="26">
      <c r="A51" s="16">
        <v>17681335</v>
      </c>
      <c r="B51" s="16" t="s">
        <v>379</v>
      </c>
      <c r="C51" s="16" t="s">
        <v>25</v>
      </c>
      <c r="D51" s="16" t="s">
        <v>442</v>
      </c>
      <c r="E51" s="16" t="s">
        <v>26</v>
      </c>
      <c r="F51" s="16" t="s">
        <v>27</v>
      </c>
      <c r="G51" s="21" t="s">
        <v>443</v>
      </c>
      <c r="H51" s="7">
        <v>5.8879486431280963</v>
      </c>
      <c r="I51" s="1">
        <v>0</v>
      </c>
      <c r="J51" s="4">
        <f t="shared" si="0"/>
        <v>0</v>
      </c>
      <c r="K51" s="5">
        <f t="shared" si="1"/>
        <v>0</v>
      </c>
      <c r="L51" s="2">
        <v>5113334.8746495834</v>
      </c>
      <c r="M51" s="2">
        <v>900000</v>
      </c>
      <c r="N51" s="6">
        <f t="shared" si="2"/>
        <v>1</v>
      </c>
      <c r="O51" s="17">
        <f t="shared" si="3"/>
        <v>0.17601037719276638</v>
      </c>
      <c r="P51" s="18">
        <v>0</v>
      </c>
      <c r="Q51" s="1">
        <f t="shared" si="4"/>
        <v>0</v>
      </c>
      <c r="R51" s="18">
        <v>8</v>
      </c>
      <c r="S51" s="18">
        <v>0</v>
      </c>
      <c r="T51" s="18">
        <v>0</v>
      </c>
      <c r="U51" s="3">
        <v>0</v>
      </c>
      <c r="V51" s="3">
        <v>1</v>
      </c>
      <c r="W51" s="3">
        <v>0</v>
      </c>
      <c r="X51" s="3">
        <v>0</v>
      </c>
      <c r="Y51" s="3">
        <v>0</v>
      </c>
      <c r="Z51" s="3">
        <v>0</v>
      </c>
    </row>
    <row r="52" spans="1:26" ht="26">
      <c r="A52" s="16">
        <v>17564305</v>
      </c>
      <c r="B52" s="16" t="s">
        <v>24</v>
      </c>
      <c r="C52" s="16" t="s">
        <v>25</v>
      </c>
      <c r="D52" s="16" t="s">
        <v>444</v>
      </c>
      <c r="E52" s="16" t="s">
        <v>26</v>
      </c>
      <c r="F52" s="16" t="s">
        <v>27</v>
      </c>
      <c r="G52" s="21" t="s">
        <v>443</v>
      </c>
      <c r="H52" s="7">
        <v>5</v>
      </c>
      <c r="I52" s="1">
        <v>3</v>
      </c>
      <c r="J52" s="4">
        <f t="shared" si="0"/>
        <v>1</v>
      </c>
      <c r="K52" s="5">
        <f t="shared" si="1"/>
        <v>0.6</v>
      </c>
      <c r="L52" s="2">
        <v>1129393.7903485449</v>
      </c>
      <c r="M52" s="2">
        <v>1715000</v>
      </c>
      <c r="N52" s="6">
        <f t="shared" si="2"/>
        <v>1</v>
      </c>
      <c r="O52" s="17">
        <f t="shared" si="3"/>
        <v>1.518513750169221</v>
      </c>
      <c r="P52" s="18">
        <v>5</v>
      </c>
      <c r="Q52" s="1">
        <f t="shared" si="4"/>
        <v>1</v>
      </c>
      <c r="R52" s="18">
        <v>7</v>
      </c>
      <c r="S52" s="18">
        <v>5</v>
      </c>
      <c r="T52" s="18">
        <v>0</v>
      </c>
      <c r="U52" s="3">
        <v>0</v>
      </c>
      <c r="V52" s="3">
        <v>1</v>
      </c>
      <c r="W52" s="3">
        <v>0</v>
      </c>
      <c r="X52" s="3">
        <v>0</v>
      </c>
      <c r="Y52" s="3">
        <v>0</v>
      </c>
      <c r="Z52" s="3">
        <v>0</v>
      </c>
    </row>
    <row r="53" spans="1:26" ht="26">
      <c r="A53" s="16">
        <v>17497275</v>
      </c>
      <c r="B53" s="16" t="s">
        <v>301</v>
      </c>
      <c r="C53" s="16" t="s">
        <v>25</v>
      </c>
      <c r="D53" s="16" t="s">
        <v>440</v>
      </c>
      <c r="E53" s="16" t="s">
        <v>22</v>
      </c>
      <c r="F53" s="16" t="s">
        <v>73</v>
      </c>
      <c r="G53" s="21" t="s">
        <v>443</v>
      </c>
      <c r="H53" s="7">
        <v>6.1978406769769432</v>
      </c>
      <c r="I53" s="1">
        <v>6</v>
      </c>
      <c r="J53" s="4">
        <f t="shared" si="0"/>
        <v>1</v>
      </c>
      <c r="K53" s="5">
        <f t="shared" si="1"/>
        <v>0.96807909604519848</v>
      </c>
      <c r="L53" s="2">
        <v>10825661.4320659</v>
      </c>
      <c r="M53" s="2">
        <v>1749500</v>
      </c>
      <c r="N53" s="6">
        <f t="shared" si="2"/>
        <v>1</v>
      </c>
      <c r="O53" s="17">
        <f t="shared" si="3"/>
        <v>0.16160675363612739</v>
      </c>
      <c r="P53" s="18">
        <v>0</v>
      </c>
      <c r="Q53" s="1">
        <f t="shared" si="4"/>
        <v>0</v>
      </c>
      <c r="R53" s="18">
        <v>9</v>
      </c>
      <c r="S53" s="18">
        <v>0</v>
      </c>
      <c r="T53" s="18">
        <v>0</v>
      </c>
      <c r="U53" s="3">
        <v>0</v>
      </c>
      <c r="V53" s="3">
        <v>0</v>
      </c>
      <c r="W53" s="3">
        <v>0</v>
      </c>
      <c r="X53" s="3">
        <v>0</v>
      </c>
      <c r="Y53" s="3">
        <v>1</v>
      </c>
      <c r="Z53" s="3">
        <v>0</v>
      </c>
    </row>
    <row r="54" spans="1:26" ht="26">
      <c r="A54" s="16">
        <v>17754764</v>
      </c>
      <c r="B54" s="16" t="s">
        <v>197</v>
      </c>
      <c r="C54" s="16" t="s">
        <v>25</v>
      </c>
      <c r="D54" s="16" t="s">
        <v>442</v>
      </c>
      <c r="E54" s="16" t="s">
        <v>26</v>
      </c>
      <c r="F54" s="16" t="s">
        <v>73</v>
      </c>
      <c r="G54" s="21" t="s">
        <v>443</v>
      </c>
      <c r="H54" s="7">
        <v>5</v>
      </c>
      <c r="I54" s="1">
        <v>6</v>
      </c>
      <c r="J54" s="1">
        <f t="shared" si="0"/>
        <v>1</v>
      </c>
      <c r="K54" s="5">
        <f t="shared" si="1"/>
        <v>1.2</v>
      </c>
      <c r="L54" s="2">
        <v>8987209.4417036269</v>
      </c>
      <c r="M54" s="2">
        <v>4179000</v>
      </c>
      <c r="N54" s="6">
        <f t="shared" si="2"/>
        <v>1</v>
      </c>
      <c r="O54" s="17">
        <f t="shared" si="3"/>
        <v>0.46499417056066999</v>
      </c>
      <c r="P54" s="18">
        <v>1</v>
      </c>
      <c r="Q54" s="1">
        <f t="shared" si="4"/>
        <v>0</v>
      </c>
      <c r="R54" s="18">
        <v>7</v>
      </c>
      <c r="S54" s="18">
        <v>2</v>
      </c>
      <c r="T54" s="18">
        <v>0</v>
      </c>
      <c r="U54" s="3">
        <v>0</v>
      </c>
      <c r="V54" s="3">
        <v>0</v>
      </c>
      <c r="W54" s="3">
        <v>0</v>
      </c>
      <c r="X54" s="3">
        <v>0</v>
      </c>
      <c r="Y54" s="3">
        <v>1</v>
      </c>
      <c r="Z54" s="3">
        <v>0</v>
      </c>
    </row>
    <row r="55" spans="1:26" ht="26">
      <c r="A55" s="16">
        <v>17133724</v>
      </c>
      <c r="B55" s="16" t="s">
        <v>195</v>
      </c>
      <c r="C55" s="16" t="s">
        <v>25</v>
      </c>
      <c r="D55" s="16" t="s">
        <v>440</v>
      </c>
      <c r="E55" s="16" t="s">
        <v>22</v>
      </c>
      <c r="F55" s="16" t="s">
        <v>73</v>
      </c>
      <c r="G55" s="21" t="s">
        <v>443</v>
      </c>
      <c r="H55" s="7">
        <v>4.6483805077327114</v>
      </c>
      <c r="I55" s="1">
        <v>8</v>
      </c>
      <c r="J55" s="1">
        <f t="shared" si="0"/>
        <v>1</v>
      </c>
      <c r="K55" s="5">
        <f t="shared" si="1"/>
        <v>1.7210295040803514</v>
      </c>
      <c r="L55" s="2">
        <v>3846582.3800694668</v>
      </c>
      <c r="M55" s="2">
        <v>2279500</v>
      </c>
      <c r="N55" s="6">
        <f t="shared" si="2"/>
        <v>1</v>
      </c>
      <c r="O55" s="17">
        <f t="shared" si="3"/>
        <v>0.59260397276577592</v>
      </c>
      <c r="P55" s="18">
        <v>2</v>
      </c>
      <c r="Q55" s="1">
        <f t="shared" si="4"/>
        <v>0</v>
      </c>
      <c r="R55" s="18">
        <v>7</v>
      </c>
      <c r="S55" s="18">
        <v>2</v>
      </c>
      <c r="T55" s="18">
        <v>0</v>
      </c>
      <c r="U55" s="3">
        <v>0</v>
      </c>
      <c r="V55" s="3">
        <v>0</v>
      </c>
      <c r="W55" s="3">
        <v>0</v>
      </c>
      <c r="X55" s="3">
        <v>0</v>
      </c>
      <c r="Y55" s="3">
        <v>1</v>
      </c>
      <c r="Z55" s="3">
        <v>0</v>
      </c>
    </row>
    <row r="56" spans="1:26" ht="26">
      <c r="A56" s="20">
        <v>17613115</v>
      </c>
      <c r="B56" s="20" t="s">
        <v>470</v>
      </c>
      <c r="C56" s="16" t="s">
        <v>25</v>
      </c>
      <c r="D56" s="16" t="s">
        <v>440</v>
      </c>
      <c r="E56" s="16" t="s">
        <v>26</v>
      </c>
      <c r="F56" s="22" t="s">
        <v>73</v>
      </c>
      <c r="G56" s="20" t="s">
        <v>443</v>
      </c>
      <c r="H56" s="7">
        <v>2.7022719565954572</v>
      </c>
      <c r="I56" s="1">
        <v>0</v>
      </c>
      <c r="J56" s="1">
        <f t="shared" si="0"/>
        <v>0</v>
      </c>
      <c r="K56" s="5">
        <f t="shared" si="1"/>
        <v>0</v>
      </c>
      <c r="L56" s="2">
        <v>300000</v>
      </c>
      <c r="M56" s="2">
        <v>0</v>
      </c>
      <c r="N56" s="6">
        <f t="shared" si="2"/>
        <v>0</v>
      </c>
      <c r="O56" s="17">
        <f t="shared" si="3"/>
        <v>0</v>
      </c>
      <c r="P56" s="18">
        <v>2</v>
      </c>
      <c r="Q56" s="1">
        <f t="shared" si="4"/>
        <v>0</v>
      </c>
      <c r="R56" s="18">
        <v>5</v>
      </c>
      <c r="S56" s="18">
        <v>2</v>
      </c>
      <c r="T56" s="18">
        <v>0</v>
      </c>
      <c r="U56" s="3">
        <v>0</v>
      </c>
      <c r="V56" s="3">
        <v>0</v>
      </c>
      <c r="W56" s="3">
        <v>0</v>
      </c>
      <c r="X56" s="3">
        <v>0</v>
      </c>
      <c r="Y56" s="3">
        <v>1</v>
      </c>
      <c r="Z56" s="3">
        <v>0</v>
      </c>
    </row>
    <row r="57" spans="1:26" ht="26">
      <c r="A57" s="16">
        <v>17703938</v>
      </c>
      <c r="B57" s="16" t="s">
        <v>402</v>
      </c>
      <c r="C57" s="16" t="s">
        <v>25</v>
      </c>
      <c r="D57" s="16" t="s">
        <v>442</v>
      </c>
      <c r="E57" s="16" t="s">
        <v>26</v>
      </c>
      <c r="F57" s="16" t="s">
        <v>98</v>
      </c>
      <c r="G57" s="21" t="s">
        <v>443</v>
      </c>
      <c r="H57" s="7">
        <v>13.635249489349301</v>
      </c>
      <c r="I57" s="1">
        <v>6</v>
      </c>
      <c r="J57" s="1">
        <f t="shared" si="0"/>
        <v>1</v>
      </c>
      <c r="K57" s="5">
        <f t="shared" si="1"/>
        <v>0.44003595274781665</v>
      </c>
      <c r="L57" s="2">
        <v>15160091.65448463</v>
      </c>
      <c r="M57" s="2">
        <v>2279500</v>
      </c>
      <c r="N57" s="6">
        <f t="shared" si="2"/>
        <v>1</v>
      </c>
      <c r="O57" s="17">
        <f t="shared" si="3"/>
        <v>0.15036188777431847</v>
      </c>
      <c r="P57" s="18">
        <v>1</v>
      </c>
      <c r="Q57" s="1">
        <f t="shared" si="4"/>
        <v>0</v>
      </c>
      <c r="R57" s="18">
        <v>9</v>
      </c>
      <c r="S57" s="18">
        <v>1</v>
      </c>
      <c r="T57" s="18">
        <v>0</v>
      </c>
      <c r="U57" s="3">
        <v>0</v>
      </c>
      <c r="V57" s="3">
        <v>0</v>
      </c>
      <c r="W57" s="3">
        <v>0</v>
      </c>
      <c r="X57" s="3">
        <v>0</v>
      </c>
      <c r="Y57" s="3">
        <v>1</v>
      </c>
      <c r="Z57" s="3">
        <v>0</v>
      </c>
    </row>
    <row r="58" spans="1:26" ht="26">
      <c r="A58" s="16">
        <v>17703945</v>
      </c>
      <c r="B58" s="16" t="s">
        <v>382</v>
      </c>
      <c r="C58" s="16" t="s">
        <v>25</v>
      </c>
      <c r="D58" s="16" t="s">
        <v>440</v>
      </c>
      <c r="E58" s="16" t="s">
        <v>26</v>
      </c>
      <c r="F58" s="16" t="s">
        <v>98</v>
      </c>
      <c r="G58" s="21" t="s">
        <v>443</v>
      </c>
      <c r="H58" s="7">
        <v>8.676976947767713</v>
      </c>
      <c r="I58" s="1">
        <v>6</v>
      </c>
      <c r="J58" s="4">
        <f t="shared" si="0"/>
        <v>1</v>
      </c>
      <c r="K58" s="5">
        <f t="shared" si="1"/>
        <v>0.69148506860371373</v>
      </c>
      <c r="L58" s="2">
        <v>1893575.0259166521</v>
      </c>
      <c r="M58" s="2">
        <v>1217500</v>
      </c>
      <c r="N58" s="6">
        <f t="shared" si="2"/>
        <v>1</v>
      </c>
      <c r="O58" s="17">
        <f t="shared" si="3"/>
        <v>0.64296369741707282</v>
      </c>
      <c r="P58" s="18">
        <v>2</v>
      </c>
      <c r="Q58" s="1">
        <f t="shared" si="4"/>
        <v>0</v>
      </c>
      <c r="R58" s="18">
        <v>11</v>
      </c>
      <c r="S58" s="18">
        <v>2</v>
      </c>
      <c r="T58" s="18">
        <v>0</v>
      </c>
      <c r="U58" s="3">
        <v>0</v>
      </c>
      <c r="V58" s="3">
        <v>0</v>
      </c>
      <c r="W58" s="3">
        <v>0</v>
      </c>
      <c r="X58" s="3">
        <v>0</v>
      </c>
      <c r="Y58" s="3">
        <v>1</v>
      </c>
      <c r="Z58" s="3">
        <v>0</v>
      </c>
    </row>
    <row r="59" spans="1:26" ht="26">
      <c r="A59" s="16">
        <v>17703957</v>
      </c>
      <c r="B59" s="16" t="s">
        <v>386</v>
      </c>
      <c r="C59" s="16" t="s">
        <v>25</v>
      </c>
      <c r="D59" s="16" t="s">
        <v>440</v>
      </c>
      <c r="E59" s="16" t="s">
        <v>26</v>
      </c>
      <c r="F59" s="16" t="s">
        <v>98</v>
      </c>
      <c r="G59" s="21" t="s">
        <v>443</v>
      </c>
      <c r="H59" s="7">
        <v>5.2681645754304078</v>
      </c>
      <c r="I59" s="1">
        <v>6</v>
      </c>
      <c r="J59" s="1">
        <f t="shared" si="0"/>
        <v>1</v>
      </c>
      <c r="K59" s="5">
        <f t="shared" si="1"/>
        <v>1.1389165835825852</v>
      </c>
      <c r="L59" s="2">
        <v>5325208.4315035222</v>
      </c>
      <c r="M59" s="2">
        <v>1389000</v>
      </c>
      <c r="N59" s="6">
        <f t="shared" si="2"/>
        <v>1</v>
      </c>
      <c r="O59" s="17">
        <f t="shared" si="3"/>
        <v>0.26083486080709689</v>
      </c>
      <c r="P59" s="18">
        <v>2</v>
      </c>
      <c r="Q59" s="1">
        <f t="shared" si="4"/>
        <v>0</v>
      </c>
      <c r="R59" s="18">
        <v>8</v>
      </c>
      <c r="S59" s="18">
        <v>2</v>
      </c>
      <c r="T59" s="18">
        <v>0</v>
      </c>
      <c r="U59" s="3">
        <v>0</v>
      </c>
      <c r="V59" s="3">
        <v>0</v>
      </c>
      <c r="W59" s="3">
        <v>0</v>
      </c>
      <c r="X59" s="3">
        <v>0</v>
      </c>
      <c r="Y59" s="3">
        <v>1</v>
      </c>
      <c r="Z59" s="3">
        <v>0</v>
      </c>
    </row>
    <row r="60" spans="1:26" ht="26">
      <c r="A60" s="16">
        <v>17703961</v>
      </c>
      <c r="B60" s="16" t="s">
        <v>97</v>
      </c>
      <c r="C60" s="16" t="s">
        <v>25</v>
      </c>
      <c r="D60" s="16" t="s">
        <v>442</v>
      </c>
      <c r="E60" s="16" t="s">
        <v>26</v>
      </c>
      <c r="F60" s="16" t="s">
        <v>98</v>
      </c>
      <c r="G60" s="21" t="s">
        <v>443</v>
      </c>
      <c r="H60" s="7">
        <v>5</v>
      </c>
      <c r="I60" s="1">
        <v>6</v>
      </c>
      <c r="J60" s="4">
        <f t="shared" si="0"/>
        <v>1</v>
      </c>
      <c r="K60" s="5">
        <f t="shared" si="1"/>
        <v>1.2</v>
      </c>
      <c r="L60" s="2">
        <v>1892497.7027462141</v>
      </c>
      <c r="M60" s="2">
        <v>1503000</v>
      </c>
      <c r="N60" s="6">
        <f t="shared" si="2"/>
        <v>1</v>
      </c>
      <c r="O60" s="17">
        <f t="shared" si="3"/>
        <v>0.79418854660641769</v>
      </c>
      <c r="P60" s="18">
        <v>1</v>
      </c>
      <c r="Q60" s="1">
        <f t="shared" si="4"/>
        <v>0</v>
      </c>
      <c r="R60" s="18">
        <v>7</v>
      </c>
      <c r="S60" s="18">
        <v>2</v>
      </c>
      <c r="T60" s="18">
        <v>0</v>
      </c>
      <c r="U60" s="3">
        <v>0</v>
      </c>
      <c r="V60" s="3">
        <v>0</v>
      </c>
      <c r="W60" s="3">
        <v>0</v>
      </c>
      <c r="X60" s="3">
        <v>0</v>
      </c>
      <c r="Y60" s="3">
        <v>1</v>
      </c>
      <c r="Z60" s="3">
        <v>0</v>
      </c>
    </row>
    <row r="61" spans="1:26" ht="26">
      <c r="A61" s="16">
        <v>17680832</v>
      </c>
      <c r="B61" s="16" t="s">
        <v>49</v>
      </c>
      <c r="C61" s="16" t="s">
        <v>25</v>
      </c>
      <c r="D61" s="16" t="s">
        <v>440</v>
      </c>
      <c r="E61" s="16" t="s">
        <v>22</v>
      </c>
      <c r="F61" s="16" t="s">
        <v>50</v>
      </c>
      <c r="G61" s="21" t="s">
        <v>443</v>
      </c>
      <c r="H61" s="7">
        <v>9.9165450831630899</v>
      </c>
      <c r="I61" s="1">
        <v>5</v>
      </c>
      <c r="J61" s="1">
        <f t="shared" si="0"/>
        <v>1</v>
      </c>
      <c r="K61" s="5">
        <f t="shared" si="1"/>
        <v>0.50420786252354188</v>
      </c>
      <c r="L61" s="2">
        <v>1708993.6560472909</v>
      </c>
      <c r="M61" s="2">
        <v>1302500</v>
      </c>
      <c r="N61" s="6">
        <f t="shared" si="2"/>
        <v>1</v>
      </c>
      <c r="O61" s="17">
        <f t="shared" si="3"/>
        <v>0.76214443242143759</v>
      </c>
      <c r="P61" s="18">
        <v>1</v>
      </c>
      <c r="Q61" s="1">
        <f t="shared" si="4"/>
        <v>0</v>
      </c>
      <c r="R61" s="18">
        <v>12</v>
      </c>
      <c r="S61" s="18">
        <v>1</v>
      </c>
      <c r="T61" s="18">
        <v>0</v>
      </c>
      <c r="U61" s="3">
        <v>0</v>
      </c>
      <c r="V61" s="3">
        <v>0</v>
      </c>
      <c r="W61" s="3">
        <v>0</v>
      </c>
      <c r="X61" s="3">
        <v>1</v>
      </c>
      <c r="Y61" s="3">
        <v>0</v>
      </c>
      <c r="Z61" s="3">
        <v>0</v>
      </c>
    </row>
    <row r="62" spans="1:26" ht="26">
      <c r="A62" s="16">
        <v>17564519</v>
      </c>
      <c r="B62" s="16" t="s">
        <v>160</v>
      </c>
      <c r="C62" s="16" t="s">
        <v>25</v>
      </c>
      <c r="D62" s="16" t="s">
        <v>442</v>
      </c>
      <c r="E62" s="16" t="s">
        <v>26</v>
      </c>
      <c r="F62" s="16" t="s">
        <v>50</v>
      </c>
      <c r="G62" s="21" t="s">
        <v>443</v>
      </c>
      <c r="H62" s="7">
        <v>6.5077327108257919</v>
      </c>
      <c r="I62" s="1">
        <v>3</v>
      </c>
      <c r="J62" s="1">
        <f t="shared" si="0"/>
        <v>1</v>
      </c>
      <c r="K62" s="5">
        <f t="shared" si="1"/>
        <v>0.46099004573580871</v>
      </c>
      <c r="L62" s="2">
        <v>8778029.1927757934</v>
      </c>
      <c r="M62" s="2">
        <v>1242500</v>
      </c>
      <c r="N62" s="6">
        <f t="shared" si="2"/>
        <v>1</v>
      </c>
      <c r="O62" s="17">
        <f t="shared" si="3"/>
        <v>0.14154657870385778</v>
      </c>
      <c r="P62" s="18">
        <v>1</v>
      </c>
      <c r="Q62" s="1">
        <f t="shared" si="4"/>
        <v>0</v>
      </c>
      <c r="R62" s="18">
        <v>9</v>
      </c>
      <c r="S62" s="18">
        <v>1</v>
      </c>
      <c r="T62" s="18">
        <v>0</v>
      </c>
      <c r="U62" s="3">
        <v>0</v>
      </c>
      <c r="V62" s="3">
        <v>0</v>
      </c>
      <c r="W62" s="3">
        <v>0</v>
      </c>
      <c r="X62" s="3">
        <v>1</v>
      </c>
      <c r="Y62" s="3">
        <v>0</v>
      </c>
      <c r="Z62" s="3">
        <v>0</v>
      </c>
    </row>
    <row r="63" spans="1:26" ht="26">
      <c r="A63" s="16">
        <v>17771119</v>
      </c>
      <c r="B63" s="16" t="s">
        <v>249</v>
      </c>
      <c r="C63" s="16" t="s">
        <v>25</v>
      </c>
      <c r="D63" s="16" t="s">
        <v>440</v>
      </c>
      <c r="E63" s="16" t="s">
        <v>22</v>
      </c>
      <c r="F63" s="16" t="s">
        <v>50</v>
      </c>
      <c r="G63" s="21" t="s">
        <v>443</v>
      </c>
      <c r="H63" s="7">
        <v>5.8879486431280963</v>
      </c>
      <c r="I63" s="1">
        <v>0</v>
      </c>
      <c r="J63" s="4">
        <f t="shared" si="0"/>
        <v>0</v>
      </c>
      <c r="K63" s="5">
        <f t="shared" si="1"/>
        <v>0</v>
      </c>
      <c r="L63" s="2">
        <v>11459486.56401032</v>
      </c>
      <c r="M63" s="2">
        <v>420000</v>
      </c>
      <c r="N63" s="6">
        <f t="shared" si="2"/>
        <v>1</v>
      </c>
      <c r="O63" s="17">
        <f t="shared" si="3"/>
        <v>3.6650856707581697E-2</v>
      </c>
      <c r="P63" s="18">
        <v>0</v>
      </c>
      <c r="Q63" s="1">
        <f t="shared" si="4"/>
        <v>0</v>
      </c>
      <c r="R63" s="18">
        <v>8</v>
      </c>
      <c r="S63" s="18">
        <v>0</v>
      </c>
      <c r="T63" s="18">
        <v>0</v>
      </c>
      <c r="U63" s="3">
        <v>0</v>
      </c>
      <c r="V63" s="3">
        <v>1</v>
      </c>
      <c r="W63" s="3">
        <v>0</v>
      </c>
      <c r="X63" s="3">
        <v>0</v>
      </c>
      <c r="Y63" s="3">
        <v>0</v>
      </c>
      <c r="Z63" s="3">
        <v>0</v>
      </c>
    </row>
    <row r="64" spans="1:26" ht="26">
      <c r="A64" s="16">
        <v>17680842</v>
      </c>
      <c r="B64" s="16" t="s">
        <v>321</v>
      </c>
      <c r="C64" s="16" t="s">
        <v>25</v>
      </c>
      <c r="D64" s="16" t="s">
        <v>440</v>
      </c>
      <c r="E64" s="16" t="s">
        <v>26</v>
      </c>
      <c r="F64" s="16" t="s">
        <v>50</v>
      </c>
      <c r="G64" s="21" t="s">
        <v>443</v>
      </c>
      <c r="H64" s="7">
        <v>4.9582725415815601</v>
      </c>
      <c r="I64" s="1">
        <v>6</v>
      </c>
      <c r="J64" s="4">
        <f t="shared" si="0"/>
        <v>1</v>
      </c>
      <c r="K64" s="5">
        <f t="shared" si="1"/>
        <v>1.2100988700564967</v>
      </c>
      <c r="L64" s="2">
        <v>4394401.2122401176</v>
      </c>
      <c r="M64" s="2">
        <v>3822500</v>
      </c>
      <c r="N64" s="6">
        <f t="shared" si="2"/>
        <v>1</v>
      </c>
      <c r="O64" s="17">
        <f t="shared" si="3"/>
        <v>0.86985685088399523</v>
      </c>
      <c r="P64" s="18">
        <v>3</v>
      </c>
      <c r="Q64" s="1">
        <f t="shared" si="4"/>
        <v>1</v>
      </c>
      <c r="R64" s="18">
        <v>7</v>
      </c>
      <c r="S64" s="18">
        <v>3</v>
      </c>
      <c r="T64" s="18">
        <v>0</v>
      </c>
      <c r="U64" s="3">
        <v>0</v>
      </c>
      <c r="V64" s="3">
        <v>0</v>
      </c>
      <c r="W64" s="3">
        <v>0</v>
      </c>
      <c r="X64" s="3">
        <v>1</v>
      </c>
      <c r="Y64" s="3">
        <v>0</v>
      </c>
      <c r="Z64" s="3">
        <v>0</v>
      </c>
    </row>
    <row r="65" spans="1:26" ht="26">
      <c r="A65" s="16">
        <v>17745379</v>
      </c>
      <c r="B65" s="16" t="s">
        <v>253</v>
      </c>
      <c r="C65" s="16" t="s">
        <v>25</v>
      </c>
      <c r="D65" s="16" t="s">
        <v>440</v>
      </c>
      <c r="E65" s="16" t="s">
        <v>22</v>
      </c>
      <c r="F65" s="16" t="s">
        <v>50</v>
      </c>
      <c r="G65" s="21" t="s">
        <v>443</v>
      </c>
      <c r="H65" s="7">
        <v>4</v>
      </c>
      <c r="I65" s="1">
        <v>0</v>
      </c>
      <c r="J65" s="4">
        <f t="shared" si="0"/>
        <v>0</v>
      </c>
      <c r="K65" s="5">
        <f t="shared" si="1"/>
        <v>0</v>
      </c>
      <c r="L65" s="2">
        <v>2092161.5970017861</v>
      </c>
      <c r="M65" s="2">
        <v>4110000</v>
      </c>
      <c r="N65" s="6">
        <f t="shared" si="2"/>
        <v>1</v>
      </c>
      <c r="O65" s="17">
        <f t="shared" si="3"/>
        <v>1.9644754047153516</v>
      </c>
      <c r="P65" s="18">
        <v>3</v>
      </c>
      <c r="Q65" s="1">
        <f t="shared" si="4"/>
        <v>1</v>
      </c>
      <c r="R65" s="18">
        <v>6</v>
      </c>
      <c r="S65" s="18">
        <v>3</v>
      </c>
      <c r="T65" s="18">
        <v>0</v>
      </c>
      <c r="U65" s="3">
        <v>0</v>
      </c>
      <c r="V65" s="3">
        <v>1</v>
      </c>
      <c r="W65" s="3">
        <v>0</v>
      </c>
      <c r="X65" s="3">
        <v>0</v>
      </c>
      <c r="Y65" s="3">
        <v>0</v>
      </c>
      <c r="Z65" s="3">
        <v>0</v>
      </c>
    </row>
    <row r="66" spans="1:26" ht="26">
      <c r="A66" s="16">
        <v>17681290</v>
      </c>
      <c r="B66" s="16" t="s">
        <v>280</v>
      </c>
      <c r="C66" s="16" t="s">
        <v>25</v>
      </c>
      <c r="D66" s="16" t="s">
        <v>442</v>
      </c>
      <c r="E66" s="16" t="s">
        <v>26</v>
      </c>
      <c r="F66" s="16" t="s">
        <v>281</v>
      </c>
      <c r="G66" s="21" t="s">
        <v>443</v>
      </c>
      <c r="H66" s="7">
        <v>7.4374088123723361</v>
      </c>
      <c r="I66" s="1">
        <v>6</v>
      </c>
      <c r="J66" s="1">
        <f t="shared" si="0"/>
        <v>1</v>
      </c>
      <c r="K66" s="5">
        <f t="shared" si="1"/>
        <v>0.8067325800376649</v>
      </c>
      <c r="L66" s="2">
        <v>4750636.0739335204</v>
      </c>
      <c r="M66" s="2">
        <v>4228000</v>
      </c>
      <c r="N66" s="6">
        <f t="shared" si="2"/>
        <v>1</v>
      </c>
      <c r="O66" s="17">
        <f t="shared" si="3"/>
        <v>0.88998608485267983</v>
      </c>
      <c r="P66" s="18">
        <v>0</v>
      </c>
      <c r="Q66" s="1">
        <f t="shared" si="4"/>
        <v>0</v>
      </c>
      <c r="R66" s="18">
        <v>10</v>
      </c>
      <c r="S66" s="18">
        <v>0</v>
      </c>
      <c r="T66" s="18">
        <v>0</v>
      </c>
      <c r="U66" s="3">
        <v>1</v>
      </c>
      <c r="V66" s="3">
        <v>0</v>
      </c>
      <c r="W66" s="3">
        <v>0</v>
      </c>
      <c r="X66" s="3">
        <v>0</v>
      </c>
      <c r="Y66" s="3">
        <v>1</v>
      </c>
      <c r="Z66" s="3">
        <v>0</v>
      </c>
    </row>
    <row r="67" spans="1:26" ht="26">
      <c r="A67" s="16">
        <v>17362939</v>
      </c>
      <c r="B67" s="16" t="s">
        <v>41</v>
      </c>
      <c r="C67" s="16" t="s">
        <v>25</v>
      </c>
      <c r="D67" s="16" t="s">
        <v>440</v>
      </c>
      <c r="E67" s="16" t="s">
        <v>22</v>
      </c>
      <c r="F67" s="16" t="s">
        <v>42</v>
      </c>
      <c r="G67" s="21" t="s">
        <v>443</v>
      </c>
      <c r="H67" s="7">
        <v>22</v>
      </c>
      <c r="I67" s="1">
        <v>6</v>
      </c>
      <c r="J67" s="4">
        <f t="shared" si="0"/>
        <v>1</v>
      </c>
      <c r="K67" s="5">
        <f t="shared" si="1"/>
        <v>0.27272727272727271</v>
      </c>
      <c r="L67" s="2">
        <v>12700562.85636154</v>
      </c>
      <c r="M67" s="2">
        <v>1136500</v>
      </c>
      <c r="N67" s="6">
        <f t="shared" si="2"/>
        <v>1</v>
      </c>
      <c r="O67" s="17">
        <f t="shared" si="3"/>
        <v>8.9484223089431228E-2</v>
      </c>
      <c r="P67" s="18">
        <v>0</v>
      </c>
      <c r="Q67" s="1">
        <f t="shared" si="4"/>
        <v>0</v>
      </c>
      <c r="R67" s="18">
        <v>14</v>
      </c>
      <c r="S67" s="18">
        <v>0</v>
      </c>
      <c r="T67" s="18">
        <v>0</v>
      </c>
      <c r="U67" s="3">
        <v>0</v>
      </c>
      <c r="V67" s="3">
        <v>0</v>
      </c>
      <c r="W67" s="3">
        <v>0</v>
      </c>
      <c r="X67" s="3">
        <v>1</v>
      </c>
      <c r="Y67" s="3">
        <v>0</v>
      </c>
      <c r="Z67" s="3">
        <v>0</v>
      </c>
    </row>
    <row r="68" spans="1:26" ht="26">
      <c r="A68" s="16">
        <v>17678771</v>
      </c>
      <c r="B68" s="16" t="s">
        <v>345</v>
      </c>
      <c r="C68" s="16" t="s">
        <v>25</v>
      </c>
      <c r="D68" s="16" t="s">
        <v>444</v>
      </c>
      <c r="E68" s="16" t="s">
        <v>26</v>
      </c>
      <c r="F68" s="16" t="s">
        <v>42</v>
      </c>
      <c r="G68" s="21" t="s">
        <v>443</v>
      </c>
      <c r="H68" s="7">
        <v>8.3670849139188501</v>
      </c>
      <c r="I68" s="1">
        <v>6</v>
      </c>
      <c r="J68" s="1">
        <f t="shared" si="0"/>
        <v>1</v>
      </c>
      <c r="K68" s="5">
        <f t="shared" si="1"/>
        <v>0.71709562670014904</v>
      </c>
      <c r="L68" s="2">
        <v>11418548.28353346</v>
      </c>
      <c r="M68" s="2">
        <v>4110500</v>
      </c>
      <c r="N68" s="6">
        <f t="shared" si="2"/>
        <v>1</v>
      </c>
      <c r="O68" s="17">
        <f t="shared" si="3"/>
        <v>0.35998446544449952</v>
      </c>
      <c r="P68" s="18">
        <v>4</v>
      </c>
      <c r="Q68" s="1">
        <f t="shared" si="4"/>
        <v>1</v>
      </c>
      <c r="R68" s="18">
        <v>11</v>
      </c>
      <c r="S68" s="18">
        <v>4</v>
      </c>
      <c r="T68" s="18">
        <v>0</v>
      </c>
      <c r="U68" s="3">
        <v>0</v>
      </c>
      <c r="V68" s="3">
        <v>0</v>
      </c>
      <c r="W68" s="3">
        <v>0</v>
      </c>
      <c r="X68" s="3">
        <v>1</v>
      </c>
      <c r="Y68" s="3">
        <v>0</v>
      </c>
      <c r="Z68" s="3">
        <v>0</v>
      </c>
    </row>
    <row r="69" spans="1:26" ht="26">
      <c r="A69" s="16">
        <v>17483035</v>
      </c>
      <c r="B69" s="16" t="s">
        <v>426</v>
      </c>
      <c r="C69" s="16" t="s">
        <v>25</v>
      </c>
      <c r="D69" s="16" t="s">
        <v>440</v>
      </c>
      <c r="E69" s="16" t="s">
        <v>22</v>
      </c>
      <c r="F69" s="16" t="s">
        <v>42</v>
      </c>
      <c r="G69" s="21" t="s">
        <v>443</v>
      </c>
      <c r="H69" s="7">
        <v>6.8176247446746396</v>
      </c>
      <c r="I69" s="1">
        <v>6</v>
      </c>
      <c r="J69" s="1">
        <f t="shared" si="0"/>
        <v>1</v>
      </c>
      <c r="K69" s="5">
        <f t="shared" si="1"/>
        <v>0.88007190549563463</v>
      </c>
      <c r="L69" s="2">
        <v>8134149.0445738966</v>
      </c>
      <c r="M69" s="2">
        <v>1616500</v>
      </c>
      <c r="N69" s="6">
        <f t="shared" si="2"/>
        <v>1</v>
      </c>
      <c r="O69" s="17">
        <f t="shared" si="3"/>
        <v>0.19873006889126649</v>
      </c>
      <c r="P69" s="18">
        <v>0</v>
      </c>
      <c r="Q69" s="1">
        <f t="shared" si="4"/>
        <v>0</v>
      </c>
      <c r="R69" s="18">
        <v>9</v>
      </c>
      <c r="S69" s="18">
        <v>0</v>
      </c>
      <c r="T69" s="18">
        <v>0</v>
      </c>
      <c r="U69" s="3">
        <v>0</v>
      </c>
      <c r="V69" s="3">
        <v>0</v>
      </c>
      <c r="W69" s="3">
        <v>0</v>
      </c>
      <c r="X69" s="3">
        <v>1</v>
      </c>
      <c r="Y69" s="3">
        <v>0</v>
      </c>
      <c r="Z69" s="3">
        <v>0</v>
      </c>
    </row>
    <row r="70" spans="1:26" ht="26">
      <c r="A70" s="16">
        <v>17745424</v>
      </c>
      <c r="B70" s="16" t="s">
        <v>115</v>
      </c>
      <c r="C70" s="16" t="s">
        <v>25</v>
      </c>
      <c r="D70" s="16" t="s">
        <v>440</v>
      </c>
      <c r="E70" s="16" t="s">
        <v>22</v>
      </c>
      <c r="F70" s="16" t="s">
        <v>42</v>
      </c>
      <c r="G70" s="21" t="s">
        <v>443</v>
      </c>
      <c r="H70" s="7">
        <v>6.8176247446746396</v>
      </c>
      <c r="I70" s="1">
        <v>6</v>
      </c>
      <c r="J70" s="4">
        <f t="shared" ref="J70:J91" si="5">IF(I70&gt;=3,1,0)</f>
        <v>1</v>
      </c>
      <c r="K70" s="5">
        <f t="shared" ref="K70:K91" si="6">I70/H70</f>
        <v>0.88007190549563463</v>
      </c>
      <c r="L70" s="2">
        <v>2473533.999338889</v>
      </c>
      <c r="M70" s="2">
        <v>4100500</v>
      </c>
      <c r="N70" s="6">
        <f t="shared" ref="N70:N91" si="7">IF(M70&gt;=300000,1,0)</f>
        <v>1</v>
      </c>
      <c r="O70" s="17">
        <f t="shared" ref="O70:O91" si="8">M70/L70</f>
        <v>1.6577496008124233</v>
      </c>
      <c r="P70" s="18">
        <v>0</v>
      </c>
      <c r="Q70" s="1">
        <f t="shared" ref="Q70:Q91" si="9">IF(P70&gt;=3,1,0)</f>
        <v>0</v>
      </c>
      <c r="R70" s="18">
        <v>9</v>
      </c>
      <c r="S70" s="18">
        <v>0</v>
      </c>
      <c r="T70" s="18">
        <v>0</v>
      </c>
      <c r="U70" s="3">
        <v>0</v>
      </c>
      <c r="V70" s="3">
        <v>0</v>
      </c>
      <c r="W70" s="3">
        <v>0</v>
      </c>
      <c r="X70" s="3">
        <v>1</v>
      </c>
      <c r="Y70" s="3">
        <v>0</v>
      </c>
      <c r="Z70" s="3">
        <v>0</v>
      </c>
    </row>
    <row r="71" spans="1:26" ht="26">
      <c r="A71" s="16">
        <v>17745417</v>
      </c>
      <c r="B71" s="16" t="s">
        <v>43</v>
      </c>
      <c r="C71" s="16" t="s">
        <v>25</v>
      </c>
      <c r="D71" s="16" t="s">
        <v>440</v>
      </c>
      <c r="E71" s="16" t="s">
        <v>22</v>
      </c>
      <c r="F71" s="16" t="s">
        <v>42</v>
      </c>
      <c r="G71" s="21" t="s">
        <v>443</v>
      </c>
      <c r="H71" s="7">
        <v>6.5077327108257919</v>
      </c>
      <c r="I71" s="1">
        <v>6</v>
      </c>
      <c r="J71" s="1">
        <f t="shared" si="5"/>
        <v>1</v>
      </c>
      <c r="K71" s="5">
        <f t="shared" si="6"/>
        <v>0.92198009147161741</v>
      </c>
      <c r="L71" s="2">
        <v>2241909.517693473</v>
      </c>
      <c r="M71" s="2">
        <v>1699500</v>
      </c>
      <c r="N71" s="6">
        <f t="shared" si="7"/>
        <v>1</v>
      </c>
      <c r="O71" s="17">
        <f t="shared" si="8"/>
        <v>0.75805913958047866</v>
      </c>
      <c r="P71" s="18">
        <v>0</v>
      </c>
      <c r="Q71" s="1">
        <f t="shared" si="9"/>
        <v>0</v>
      </c>
      <c r="R71" s="18">
        <v>9</v>
      </c>
      <c r="S71" s="18">
        <v>0</v>
      </c>
      <c r="T71" s="18">
        <v>0</v>
      </c>
      <c r="U71" s="3">
        <v>0</v>
      </c>
      <c r="V71" s="3">
        <v>0</v>
      </c>
      <c r="W71" s="3">
        <v>0</v>
      </c>
      <c r="X71" s="3">
        <v>1</v>
      </c>
      <c r="Y71" s="3">
        <v>0</v>
      </c>
      <c r="Z71" s="3">
        <v>0</v>
      </c>
    </row>
    <row r="72" spans="1:26" ht="26">
      <c r="A72" s="16">
        <v>17232911</v>
      </c>
      <c r="B72" s="16" t="s">
        <v>248</v>
      </c>
      <c r="C72" s="16" t="s">
        <v>25</v>
      </c>
      <c r="D72" s="16" t="s">
        <v>440</v>
      </c>
      <c r="E72" s="16" t="s">
        <v>22</v>
      </c>
      <c r="F72" s="16" t="s">
        <v>42</v>
      </c>
      <c r="G72" s="21" t="s">
        <v>443</v>
      </c>
      <c r="H72" s="7">
        <v>4.6483805077327114</v>
      </c>
      <c r="I72" s="1">
        <v>63</v>
      </c>
      <c r="J72" s="1">
        <f t="shared" si="5"/>
        <v>1</v>
      </c>
      <c r="K72" s="5">
        <f t="shared" si="6"/>
        <v>13.553107344632767</v>
      </c>
      <c r="L72" s="2">
        <v>13704268.94349164</v>
      </c>
      <c r="M72" s="2">
        <v>7256500</v>
      </c>
      <c r="N72" s="6">
        <f t="shared" si="7"/>
        <v>1</v>
      </c>
      <c r="O72" s="17">
        <f t="shared" si="8"/>
        <v>0.52950653770161304</v>
      </c>
      <c r="P72" s="18">
        <v>0</v>
      </c>
      <c r="Q72" s="1">
        <f t="shared" si="9"/>
        <v>0</v>
      </c>
      <c r="R72" s="18">
        <v>7</v>
      </c>
      <c r="S72" s="18">
        <v>0</v>
      </c>
      <c r="T72" s="18">
        <v>0</v>
      </c>
      <c r="U72" s="3">
        <v>0</v>
      </c>
      <c r="V72" s="3">
        <v>0</v>
      </c>
      <c r="W72" s="3">
        <v>0</v>
      </c>
      <c r="X72" s="3">
        <v>1</v>
      </c>
      <c r="Y72" s="3">
        <v>0</v>
      </c>
      <c r="Z72" s="3">
        <v>0</v>
      </c>
    </row>
    <row r="73" spans="1:26" ht="26">
      <c r="A73" s="16">
        <v>17244951</v>
      </c>
      <c r="B73" s="16" t="s">
        <v>63</v>
      </c>
      <c r="C73" s="16" t="s">
        <v>25</v>
      </c>
      <c r="D73" s="16" t="s">
        <v>444</v>
      </c>
      <c r="E73" s="16" t="s">
        <v>26</v>
      </c>
      <c r="F73" s="16" t="s">
        <v>42</v>
      </c>
      <c r="G73" s="21" t="s">
        <v>443</v>
      </c>
      <c r="H73" s="7">
        <v>4</v>
      </c>
      <c r="I73" s="1">
        <v>6</v>
      </c>
      <c r="J73" s="1">
        <f t="shared" si="5"/>
        <v>1</v>
      </c>
      <c r="K73" s="5">
        <f t="shared" si="6"/>
        <v>1.5</v>
      </c>
      <c r="L73" s="2">
        <v>8662935.1674000528</v>
      </c>
      <c r="M73" s="2">
        <v>1200500</v>
      </c>
      <c r="N73" s="6">
        <f t="shared" si="7"/>
        <v>1</v>
      </c>
      <c r="O73" s="17">
        <f t="shared" si="8"/>
        <v>0.13857889696758494</v>
      </c>
      <c r="P73" s="18">
        <v>2</v>
      </c>
      <c r="Q73" s="1">
        <f t="shared" si="9"/>
        <v>0</v>
      </c>
      <c r="R73" s="18">
        <v>6</v>
      </c>
      <c r="S73" s="18">
        <v>2</v>
      </c>
      <c r="T73" s="18">
        <v>0</v>
      </c>
      <c r="U73" s="3">
        <v>0</v>
      </c>
      <c r="V73" s="3">
        <v>0</v>
      </c>
      <c r="W73" s="3">
        <v>0</v>
      </c>
      <c r="X73" s="3">
        <v>1</v>
      </c>
      <c r="Y73" s="3">
        <v>0</v>
      </c>
      <c r="Z73" s="3">
        <v>0</v>
      </c>
    </row>
    <row r="74" spans="1:26" ht="26">
      <c r="A74" s="16">
        <v>17232965</v>
      </c>
      <c r="B74" s="16" t="s">
        <v>169</v>
      </c>
      <c r="C74" s="16" t="s">
        <v>25</v>
      </c>
      <c r="D74" s="16" t="s">
        <v>440</v>
      </c>
      <c r="E74" s="16" t="s">
        <v>22</v>
      </c>
      <c r="F74" s="16" t="s">
        <v>42</v>
      </c>
      <c r="G74" s="21" t="s">
        <v>443</v>
      </c>
      <c r="H74" s="7">
        <v>4</v>
      </c>
      <c r="I74" s="1">
        <v>6</v>
      </c>
      <c r="J74" s="4">
        <f t="shared" si="5"/>
        <v>1</v>
      </c>
      <c r="K74" s="5">
        <f t="shared" si="6"/>
        <v>1.5</v>
      </c>
      <c r="L74" s="2">
        <v>5655946.6448297696</v>
      </c>
      <c r="M74" s="2">
        <v>1300500</v>
      </c>
      <c r="N74" s="6">
        <f t="shared" si="7"/>
        <v>1</v>
      </c>
      <c r="O74" s="17">
        <f t="shared" si="8"/>
        <v>0.22993498377301999</v>
      </c>
      <c r="P74" s="18">
        <v>1</v>
      </c>
      <c r="Q74" s="1">
        <f t="shared" si="9"/>
        <v>0</v>
      </c>
      <c r="R74" s="18">
        <v>6</v>
      </c>
      <c r="S74" s="18">
        <v>1</v>
      </c>
      <c r="T74" s="18">
        <v>0</v>
      </c>
      <c r="U74" s="3">
        <v>0</v>
      </c>
      <c r="V74" s="3">
        <v>0</v>
      </c>
      <c r="W74" s="3">
        <v>0</v>
      </c>
      <c r="X74" s="3">
        <v>1</v>
      </c>
      <c r="Y74" s="3">
        <v>0</v>
      </c>
      <c r="Z74" s="3">
        <v>0</v>
      </c>
    </row>
    <row r="75" spans="1:26" ht="26">
      <c r="A75" s="16">
        <v>17764364</v>
      </c>
      <c r="B75" s="16" t="s">
        <v>136</v>
      </c>
      <c r="C75" s="16" t="s">
        <v>25</v>
      </c>
      <c r="D75" s="16" t="s">
        <v>444</v>
      </c>
      <c r="E75" s="16" t="s">
        <v>26</v>
      </c>
      <c r="F75" s="16" t="s">
        <v>137</v>
      </c>
      <c r="G75" s="21" t="s">
        <v>443</v>
      </c>
      <c r="H75" s="7">
        <v>5</v>
      </c>
      <c r="I75" s="1">
        <v>3</v>
      </c>
      <c r="J75" s="4">
        <f t="shared" si="5"/>
        <v>1</v>
      </c>
      <c r="K75" s="5">
        <f t="shared" si="6"/>
        <v>0.6</v>
      </c>
      <c r="L75" s="2">
        <v>4178038.8088426539</v>
      </c>
      <c r="M75" s="2">
        <v>1069000</v>
      </c>
      <c r="N75" s="6">
        <f t="shared" si="7"/>
        <v>1</v>
      </c>
      <c r="O75" s="17">
        <f t="shared" si="8"/>
        <v>0.25586167312220837</v>
      </c>
      <c r="P75" s="18">
        <v>0</v>
      </c>
      <c r="Q75" s="1">
        <f t="shared" si="9"/>
        <v>0</v>
      </c>
      <c r="R75" s="18">
        <v>7</v>
      </c>
      <c r="S75" s="18">
        <v>1</v>
      </c>
      <c r="T75" s="18">
        <v>0</v>
      </c>
      <c r="U75" s="3">
        <v>0</v>
      </c>
      <c r="V75" s="3">
        <v>0</v>
      </c>
      <c r="W75" s="3">
        <v>1</v>
      </c>
      <c r="X75" s="3">
        <v>0</v>
      </c>
      <c r="Y75" s="3">
        <v>0</v>
      </c>
      <c r="Z75" s="3">
        <v>0</v>
      </c>
    </row>
    <row r="76" spans="1:26" ht="26">
      <c r="A76" s="16">
        <v>17222435</v>
      </c>
      <c r="B76" s="16" t="s">
        <v>366</v>
      </c>
      <c r="C76" s="16" t="s">
        <v>25</v>
      </c>
      <c r="D76" s="16" t="s">
        <v>440</v>
      </c>
      <c r="E76" s="16" t="s">
        <v>22</v>
      </c>
      <c r="F76" s="16" t="s">
        <v>234</v>
      </c>
      <c r="G76" s="21" t="s">
        <v>443</v>
      </c>
      <c r="H76" s="7">
        <v>10.536329150860819</v>
      </c>
      <c r="I76" s="1">
        <v>3</v>
      </c>
      <c r="J76" s="1">
        <f t="shared" si="5"/>
        <v>1</v>
      </c>
      <c r="K76" s="5">
        <f t="shared" si="6"/>
        <v>0.28472914589564619</v>
      </c>
      <c r="L76" s="2">
        <v>3680495.057959374</v>
      </c>
      <c r="M76" s="2">
        <v>1344000</v>
      </c>
      <c r="N76" s="6">
        <f t="shared" si="7"/>
        <v>1</v>
      </c>
      <c r="O76" s="17">
        <f t="shared" si="8"/>
        <v>0.36516826645195166</v>
      </c>
      <c r="P76" s="18">
        <v>8</v>
      </c>
      <c r="Q76" s="1">
        <f t="shared" si="9"/>
        <v>1</v>
      </c>
      <c r="R76" s="18">
        <v>13</v>
      </c>
      <c r="S76" s="18">
        <v>8</v>
      </c>
      <c r="T76" s="18">
        <v>0</v>
      </c>
      <c r="U76" s="3">
        <v>0</v>
      </c>
      <c r="V76" s="3">
        <v>0</v>
      </c>
      <c r="W76" s="3">
        <v>1</v>
      </c>
      <c r="X76" s="3">
        <v>0</v>
      </c>
      <c r="Y76" s="3">
        <v>0</v>
      </c>
      <c r="Z76" s="3">
        <v>0</v>
      </c>
    </row>
    <row r="77" spans="1:26" ht="26">
      <c r="A77" s="16">
        <v>1529317</v>
      </c>
      <c r="B77" s="16" t="s">
        <v>240</v>
      </c>
      <c r="C77" s="16" t="s">
        <v>25</v>
      </c>
      <c r="D77" s="16" t="s">
        <v>440</v>
      </c>
      <c r="E77" s="16" t="s">
        <v>22</v>
      </c>
      <c r="F77" s="16" t="s">
        <v>234</v>
      </c>
      <c r="G77" s="21" t="s">
        <v>443</v>
      </c>
      <c r="H77" s="7">
        <v>7.4374088123723361</v>
      </c>
      <c r="I77" s="1">
        <v>3</v>
      </c>
      <c r="J77" s="1">
        <f t="shared" si="5"/>
        <v>1</v>
      </c>
      <c r="K77" s="5">
        <f t="shared" si="6"/>
        <v>0.40336629001883245</v>
      </c>
      <c r="L77" s="2">
        <v>16163438.633891329</v>
      </c>
      <c r="M77" s="2">
        <v>1489000</v>
      </c>
      <c r="N77" s="6">
        <f t="shared" si="7"/>
        <v>1</v>
      </c>
      <c r="O77" s="17">
        <f t="shared" si="8"/>
        <v>9.2121486877048575E-2</v>
      </c>
      <c r="P77" s="18">
        <v>0</v>
      </c>
      <c r="Q77" s="1">
        <f t="shared" si="9"/>
        <v>0</v>
      </c>
      <c r="R77" s="18">
        <v>10</v>
      </c>
      <c r="S77" s="18">
        <v>0</v>
      </c>
      <c r="T77" s="18">
        <v>0</v>
      </c>
      <c r="U77" s="3">
        <v>0</v>
      </c>
      <c r="V77" s="3">
        <v>0</v>
      </c>
      <c r="W77" s="3">
        <v>1</v>
      </c>
      <c r="X77" s="3">
        <v>0</v>
      </c>
      <c r="Y77" s="3">
        <v>0</v>
      </c>
      <c r="Z77" s="3">
        <v>0</v>
      </c>
    </row>
    <row r="78" spans="1:26" ht="26">
      <c r="A78" s="16">
        <v>17602077</v>
      </c>
      <c r="B78" s="16" t="s">
        <v>414</v>
      </c>
      <c r="C78" s="16" t="s">
        <v>25</v>
      </c>
      <c r="D78" s="16" t="s">
        <v>440</v>
      </c>
      <c r="E78" s="16" t="s">
        <v>22</v>
      </c>
      <c r="F78" s="16" t="s">
        <v>234</v>
      </c>
      <c r="G78" s="21" t="s">
        <v>443</v>
      </c>
      <c r="H78" s="7">
        <v>5.8879486431280963</v>
      </c>
      <c r="I78" s="1">
        <v>3</v>
      </c>
      <c r="J78" s="1">
        <f t="shared" si="5"/>
        <v>1</v>
      </c>
      <c r="K78" s="5">
        <f t="shared" si="6"/>
        <v>0.50951531370799918</v>
      </c>
      <c r="L78" s="2">
        <v>5493091.2922310065</v>
      </c>
      <c r="M78" s="2">
        <v>1869000</v>
      </c>
      <c r="N78" s="6">
        <f t="shared" si="7"/>
        <v>1</v>
      </c>
      <c r="O78" s="17">
        <f t="shared" si="8"/>
        <v>0.34024557404377487</v>
      </c>
      <c r="P78" s="18">
        <v>6</v>
      </c>
      <c r="Q78" s="1">
        <f t="shared" si="9"/>
        <v>1</v>
      </c>
      <c r="R78" s="18">
        <v>8</v>
      </c>
      <c r="S78" s="18">
        <v>6</v>
      </c>
      <c r="T78" s="18">
        <v>0</v>
      </c>
      <c r="U78" s="3">
        <v>0</v>
      </c>
      <c r="V78" s="3">
        <v>0</v>
      </c>
      <c r="W78" s="3">
        <v>1</v>
      </c>
      <c r="X78" s="3">
        <v>0</v>
      </c>
      <c r="Y78" s="3">
        <v>0</v>
      </c>
      <c r="Z78" s="3">
        <v>0</v>
      </c>
    </row>
    <row r="79" spans="1:26" ht="26">
      <c r="A79" s="16">
        <v>17706331</v>
      </c>
      <c r="B79" s="16" t="s">
        <v>241</v>
      </c>
      <c r="C79" s="16" t="s">
        <v>25</v>
      </c>
      <c r="D79" s="16" t="s">
        <v>440</v>
      </c>
      <c r="E79" s="16" t="s">
        <v>22</v>
      </c>
      <c r="F79" s="16" t="s">
        <v>234</v>
      </c>
      <c r="G79" s="21" t="s">
        <v>443</v>
      </c>
      <c r="H79" s="7">
        <v>5.8879486431280963</v>
      </c>
      <c r="I79" s="1">
        <v>3</v>
      </c>
      <c r="J79" s="1">
        <f t="shared" si="5"/>
        <v>1</v>
      </c>
      <c r="K79" s="5">
        <f t="shared" si="6"/>
        <v>0.50951531370799918</v>
      </c>
      <c r="L79" s="2">
        <v>4970050.8929805709</v>
      </c>
      <c r="M79" s="2">
        <v>1489000</v>
      </c>
      <c r="N79" s="6">
        <f t="shared" si="7"/>
        <v>1</v>
      </c>
      <c r="O79" s="17">
        <f t="shared" si="8"/>
        <v>0.29959451765433276</v>
      </c>
      <c r="P79" s="18">
        <v>0</v>
      </c>
      <c r="Q79" s="1">
        <f t="shared" si="9"/>
        <v>0</v>
      </c>
      <c r="R79" s="18">
        <v>8</v>
      </c>
      <c r="S79" s="18">
        <v>0</v>
      </c>
      <c r="T79" s="18">
        <v>0</v>
      </c>
      <c r="U79" s="3">
        <v>0</v>
      </c>
      <c r="V79" s="3">
        <v>0</v>
      </c>
      <c r="W79" s="3">
        <v>1</v>
      </c>
      <c r="X79" s="3">
        <v>0</v>
      </c>
      <c r="Y79" s="3">
        <v>0</v>
      </c>
      <c r="Z79" s="3">
        <v>0</v>
      </c>
    </row>
    <row r="80" spans="1:26" ht="26">
      <c r="A80" s="16">
        <v>17694207</v>
      </c>
      <c r="B80" s="16" t="s">
        <v>266</v>
      </c>
      <c r="C80" s="16" t="s">
        <v>25</v>
      </c>
      <c r="D80" s="16" t="s">
        <v>444</v>
      </c>
      <c r="E80" s="16" t="s">
        <v>26</v>
      </c>
      <c r="F80" s="16" t="s">
        <v>234</v>
      </c>
      <c r="G80" s="21" t="s">
        <v>443</v>
      </c>
      <c r="H80" s="7">
        <v>5.2681645754304078</v>
      </c>
      <c r="I80" s="1">
        <v>3</v>
      </c>
      <c r="J80" s="4">
        <f t="shared" si="5"/>
        <v>1</v>
      </c>
      <c r="K80" s="5">
        <f t="shared" si="6"/>
        <v>0.56945829179129259</v>
      </c>
      <c r="L80" s="2">
        <v>24528493.944663569</v>
      </c>
      <c r="M80" s="2">
        <v>649000</v>
      </c>
      <c r="N80" s="6">
        <f t="shared" si="7"/>
        <v>1</v>
      </c>
      <c r="O80" s="17">
        <f t="shared" si="8"/>
        <v>2.6459023593708931E-2</v>
      </c>
      <c r="P80" s="18">
        <v>0</v>
      </c>
      <c r="Q80" s="1">
        <f t="shared" si="9"/>
        <v>0</v>
      </c>
      <c r="R80" s="18">
        <v>8</v>
      </c>
      <c r="S80" s="18">
        <v>0</v>
      </c>
      <c r="T80" s="18">
        <v>0</v>
      </c>
      <c r="U80" s="3">
        <v>0</v>
      </c>
      <c r="V80" s="3">
        <v>0</v>
      </c>
      <c r="W80" s="3">
        <v>1</v>
      </c>
      <c r="X80" s="3">
        <v>0</v>
      </c>
      <c r="Y80" s="3">
        <v>0</v>
      </c>
      <c r="Z80" s="3">
        <v>0</v>
      </c>
    </row>
    <row r="81" spans="1:26" ht="26">
      <c r="A81" s="16">
        <v>17689411</v>
      </c>
      <c r="B81" s="16" t="s">
        <v>243</v>
      </c>
      <c r="C81" s="16" t="s">
        <v>25</v>
      </c>
      <c r="D81" s="16" t="s">
        <v>444</v>
      </c>
      <c r="E81" s="16" t="s">
        <v>26</v>
      </c>
      <c r="F81" s="16" t="s">
        <v>234</v>
      </c>
      <c r="G81" s="21" t="s">
        <v>443</v>
      </c>
      <c r="H81" s="7">
        <v>5</v>
      </c>
      <c r="I81" s="1">
        <v>3</v>
      </c>
      <c r="J81" s="1">
        <f t="shared" si="5"/>
        <v>1</v>
      </c>
      <c r="K81" s="5">
        <f t="shared" si="6"/>
        <v>0.6</v>
      </c>
      <c r="L81" s="2">
        <v>8652341.4895573519</v>
      </c>
      <c r="M81" s="2">
        <v>1069000</v>
      </c>
      <c r="N81" s="6">
        <f t="shared" si="7"/>
        <v>1</v>
      </c>
      <c r="O81" s="17">
        <f t="shared" si="8"/>
        <v>0.12355037087824065</v>
      </c>
      <c r="P81" s="18">
        <v>0</v>
      </c>
      <c r="Q81" s="1">
        <f t="shared" si="9"/>
        <v>0</v>
      </c>
      <c r="R81" s="18">
        <v>7</v>
      </c>
      <c r="S81" s="18">
        <v>0</v>
      </c>
      <c r="T81" s="18">
        <v>0</v>
      </c>
      <c r="U81" s="3">
        <v>0</v>
      </c>
      <c r="V81" s="3">
        <v>0</v>
      </c>
      <c r="W81" s="3">
        <v>1</v>
      </c>
      <c r="X81" s="3">
        <v>0</v>
      </c>
      <c r="Y81" s="3">
        <v>0</v>
      </c>
      <c r="Z81" s="3">
        <v>0</v>
      </c>
    </row>
    <row r="82" spans="1:26" ht="26">
      <c r="A82" s="16">
        <v>1541579</v>
      </c>
      <c r="B82" s="16" t="s">
        <v>233</v>
      </c>
      <c r="C82" s="16" t="s">
        <v>25</v>
      </c>
      <c r="D82" s="16" t="s">
        <v>442</v>
      </c>
      <c r="E82" s="16" t="s">
        <v>26</v>
      </c>
      <c r="F82" s="16" t="s">
        <v>234</v>
      </c>
      <c r="G82" s="21" t="s">
        <v>443</v>
      </c>
      <c r="H82" s="7">
        <v>4.9582725415815601</v>
      </c>
      <c r="I82" s="1">
        <v>3</v>
      </c>
      <c r="J82" s="1">
        <f t="shared" si="5"/>
        <v>1</v>
      </c>
      <c r="K82" s="5">
        <f t="shared" si="6"/>
        <v>0.60504943502824837</v>
      </c>
      <c r="L82" s="2">
        <v>2520936.2188384128</v>
      </c>
      <c r="M82" s="2">
        <v>1235000</v>
      </c>
      <c r="N82" s="6">
        <f t="shared" si="7"/>
        <v>1</v>
      </c>
      <c r="O82" s="17">
        <f t="shared" si="8"/>
        <v>0.48989736065954836</v>
      </c>
      <c r="P82" s="18">
        <v>0</v>
      </c>
      <c r="Q82" s="1">
        <f t="shared" si="9"/>
        <v>0</v>
      </c>
      <c r="R82" s="18">
        <v>7</v>
      </c>
      <c r="S82" s="18">
        <v>0</v>
      </c>
      <c r="T82" s="18">
        <v>0</v>
      </c>
      <c r="U82" s="3">
        <v>0</v>
      </c>
      <c r="V82" s="3">
        <v>0</v>
      </c>
      <c r="W82" s="3">
        <v>1</v>
      </c>
      <c r="X82" s="3">
        <v>0</v>
      </c>
      <c r="Y82" s="3">
        <v>0</v>
      </c>
      <c r="Z82" s="3">
        <v>0</v>
      </c>
    </row>
    <row r="83" spans="1:26" ht="26">
      <c r="A83" s="16">
        <v>17695888</v>
      </c>
      <c r="B83" s="16" t="s">
        <v>229</v>
      </c>
      <c r="C83" s="16" t="s">
        <v>25</v>
      </c>
      <c r="D83" s="16" t="s">
        <v>442</v>
      </c>
      <c r="E83" s="16" t="s">
        <v>26</v>
      </c>
      <c r="F83" s="16" t="s">
        <v>230</v>
      </c>
      <c r="G83" s="21" t="s">
        <v>443</v>
      </c>
      <c r="H83" s="7">
        <v>5</v>
      </c>
      <c r="I83" s="1">
        <v>0</v>
      </c>
      <c r="J83" s="1">
        <f t="shared" si="5"/>
        <v>0</v>
      </c>
      <c r="K83" s="5">
        <f t="shared" si="6"/>
        <v>0</v>
      </c>
      <c r="L83" s="2">
        <v>1065113.5078454011</v>
      </c>
      <c r="M83" s="2">
        <v>0</v>
      </c>
      <c r="N83" s="6">
        <f t="shared" si="7"/>
        <v>0</v>
      </c>
      <c r="O83" s="17">
        <f t="shared" si="8"/>
        <v>0</v>
      </c>
      <c r="P83" s="18">
        <v>0</v>
      </c>
      <c r="Q83" s="1">
        <f t="shared" si="9"/>
        <v>0</v>
      </c>
      <c r="R83" s="18">
        <v>7</v>
      </c>
      <c r="S83" s="18">
        <v>0</v>
      </c>
      <c r="T83" s="18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1</v>
      </c>
    </row>
    <row r="84" spans="1:26" ht="26">
      <c r="A84" s="16">
        <v>1296234</v>
      </c>
      <c r="B84" s="16" t="s">
        <v>91</v>
      </c>
      <c r="C84" s="16" t="s">
        <v>25</v>
      </c>
      <c r="D84" s="16" t="s">
        <v>440</v>
      </c>
      <c r="E84" s="16" t="s">
        <v>22</v>
      </c>
      <c r="F84" s="16" t="s">
        <v>92</v>
      </c>
      <c r="G84" s="21" t="s">
        <v>443</v>
      </c>
      <c r="H84" s="7">
        <v>10.536329150860819</v>
      </c>
      <c r="I84" s="1">
        <v>10</v>
      </c>
      <c r="J84" s="4">
        <f t="shared" si="5"/>
        <v>1</v>
      </c>
      <c r="K84" s="5">
        <f t="shared" si="6"/>
        <v>0.94909715298548725</v>
      </c>
      <c r="L84" s="2">
        <v>8061250.1767072026</v>
      </c>
      <c r="M84" s="2">
        <v>1459000</v>
      </c>
      <c r="N84" s="6">
        <f t="shared" si="7"/>
        <v>1</v>
      </c>
      <c r="O84" s="17">
        <f t="shared" si="8"/>
        <v>0.18098929669938132</v>
      </c>
      <c r="P84" s="18">
        <v>7</v>
      </c>
      <c r="Q84" s="1">
        <f t="shared" si="9"/>
        <v>1</v>
      </c>
      <c r="R84" s="18">
        <v>13</v>
      </c>
      <c r="S84" s="18">
        <v>7</v>
      </c>
      <c r="T84" s="18">
        <v>0</v>
      </c>
      <c r="U84" s="3">
        <v>0</v>
      </c>
      <c r="V84" s="3">
        <v>0</v>
      </c>
      <c r="W84" s="3">
        <v>1</v>
      </c>
      <c r="X84" s="3">
        <v>0</v>
      </c>
      <c r="Y84" s="3">
        <v>0</v>
      </c>
      <c r="Z84" s="3">
        <v>0</v>
      </c>
    </row>
    <row r="85" spans="1:26" ht="26">
      <c r="A85" s="16">
        <v>1073854</v>
      </c>
      <c r="B85" s="16" t="s">
        <v>170</v>
      </c>
      <c r="C85" s="16" t="s">
        <v>25</v>
      </c>
      <c r="D85" s="16" t="s">
        <v>440</v>
      </c>
      <c r="E85" s="16" t="s">
        <v>22</v>
      </c>
      <c r="F85" s="16" t="s">
        <v>92</v>
      </c>
      <c r="G85" s="21" t="s">
        <v>443</v>
      </c>
      <c r="H85" s="7">
        <v>5.5780566092792556</v>
      </c>
      <c r="I85" s="1">
        <v>3</v>
      </c>
      <c r="J85" s="1">
        <f t="shared" si="5"/>
        <v>1</v>
      </c>
      <c r="K85" s="5">
        <f t="shared" si="6"/>
        <v>0.53782172002510964</v>
      </c>
      <c r="L85" s="2">
        <v>7224888.2887193644</v>
      </c>
      <c r="M85" s="2">
        <v>1069000</v>
      </c>
      <c r="N85" s="6">
        <f t="shared" si="7"/>
        <v>1</v>
      </c>
      <c r="O85" s="17">
        <f t="shared" si="8"/>
        <v>0.14796076524381579</v>
      </c>
      <c r="P85" s="18">
        <v>0</v>
      </c>
      <c r="Q85" s="1">
        <f t="shared" si="9"/>
        <v>0</v>
      </c>
      <c r="R85" s="18">
        <v>8</v>
      </c>
      <c r="S85" s="18">
        <v>0</v>
      </c>
      <c r="T85" s="18">
        <v>0</v>
      </c>
      <c r="U85" s="3">
        <v>0</v>
      </c>
      <c r="V85" s="3">
        <v>0</v>
      </c>
      <c r="W85" s="3">
        <v>1</v>
      </c>
      <c r="X85" s="3">
        <v>0</v>
      </c>
      <c r="Y85" s="3">
        <v>0</v>
      </c>
      <c r="Z85" s="3">
        <v>0</v>
      </c>
    </row>
    <row r="86" spans="1:26" ht="26">
      <c r="A86" s="16">
        <v>17518440</v>
      </c>
      <c r="B86" s="16" t="s">
        <v>269</v>
      </c>
      <c r="C86" s="16" t="s">
        <v>25</v>
      </c>
      <c r="D86" s="16" t="s">
        <v>442</v>
      </c>
      <c r="E86" s="16" t="s">
        <v>26</v>
      </c>
      <c r="F86" s="16" t="s">
        <v>92</v>
      </c>
      <c r="G86" s="21" t="s">
        <v>443</v>
      </c>
      <c r="H86" s="7">
        <v>5</v>
      </c>
      <c r="I86" s="1">
        <v>0</v>
      </c>
      <c r="J86" s="1">
        <f t="shared" si="5"/>
        <v>0</v>
      </c>
      <c r="K86" s="5">
        <f t="shared" si="6"/>
        <v>0</v>
      </c>
      <c r="L86" s="2">
        <v>1750470.598109382</v>
      </c>
      <c r="M86" s="2">
        <v>0</v>
      </c>
      <c r="N86" s="6">
        <f t="shared" si="7"/>
        <v>0</v>
      </c>
      <c r="O86" s="17">
        <f t="shared" si="8"/>
        <v>0</v>
      </c>
      <c r="P86" s="18">
        <v>0</v>
      </c>
      <c r="Q86" s="1">
        <f t="shared" si="9"/>
        <v>0</v>
      </c>
      <c r="R86" s="18">
        <v>7</v>
      </c>
      <c r="S86" s="18">
        <v>0</v>
      </c>
      <c r="T86" s="18">
        <v>0</v>
      </c>
      <c r="U86" s="3">
        <v>0</v>
      </c>
      <c r="V86" s="3">
        <v>0</v>
      </c>
      <c r="W86" s="3">
        <v>0</v>
      </c>
      <c r="X86" s="3">
        <v>1</v>
      </c>
      <c r="Y86" s="3">
        <v>0</v>
      </c>
      <c r="Z86" s="3">
        <v>0</v>
      </c>
    </row>
    <row r="87" spans="1:26" ht="26">
      <c r="A87" s="16">
        <v>1538977</v>
      </c>
      <c r="B87" s="16" t="s">
        <v>303</v>
      </c>
      <c r="C87" s="16" t="s">
        <v>25</v>
      </c>
      <c r="D87" s="16" t="s">
        <v>442</v>
      </c>
      <c r="E87" s="16" t="s">
        <v>26</v>
      </c>
      <c r="F87" s="16" t="s">
        <v>304</v>
      </c>
      <c r="G87" s="21" t="s">
        <v>443</v>
      </c>
      <c r="H87" s="7">
        <v>7.747300846221199</v>
      </c>
      <c r="I87" s="1">
        <v>0</v>
      </c>
      <c r="J87" s="4">
        <f t="shared" si="5"/>
        <v>0</v>
      </c>
      <c r="K87" s="5">
        <f t="shared" si="6"/>
        <v>0</v>
      </c>
      <c r="L87" s="2">
        <v>5923122.7910998147</v>
      </c>
      <c r="M87" s="2">
        <v>0</v>
      </c>
      <c r="N87" s="6">
        <f t="shared" si="7"/>
        <v>0</v>
      </c>
      <c r="O87" s="17">
        <f t="shared" si="8"/>
        <v>0</v>
      </c>
      <c r="P87" s="18">
        <v>0</v>
      </c>
      <c r="Q87" s="1">
        <f t="shared" si="9"/>
        <v>0</v>
      </c>
      <c r="R87" s="18">
        <v>10</v>
      </c>
      <c r="S87" s="18">
        <v>0</v>
      </c>
      <c r="T87" s="18">
        <v>0</v>
      </c>
      <c r="U87" s="3">
        <v>0</v>
      </c>
      <c r="V87" s="3">
        <v>0</v>
      </c>
      <c r="W87" s="3">
        <v>0</v>
      </c>
      <c r="X87" s="3">
        <v>1</v>
      </c>
      <c r="Y87" s="3">
        <v>0</v>
      </c>
      <c r="Z87" s="3">
        <v>0</v>
      </c>
    </row>
    <row r="88" spans="1:26" ht="26">
      <c r="A88" s="16">
        <v>1376915</v>
      </c>
      <c r="B88" s="16" t="s">
        <v>415</v>
      </c>
      <c r="C88" s="16" t="s">
        <v>25</v>
      </c>
      <c r="D88" s="16" t="s">
        <v>442</v>
      </c>
      <c r="E88" s="16" t="s">
        <v>26</v>
      </c>
      <c r="F88" s="16" t="s">
        <v>416</v>
      </c>
      <c r="G88" s="21" t="s">
        <v>443</v>
      </c>
      <c r="H88" s="7">
        <v>9.2967610154654388</v>
      </c>
      <c r="I88" s="1">
        <v>0</v>
      </c>
      <c r="J88" s="4">
        <f t="shared" si="5"/>
        <v>0</v>
      </c>
      <c r="K88" s="5">
        <f t="shared" si="6"/>
        <v>0</v>
      </c>
      <c r="L88" s="2">
        <v>4313242.8667333564</v>
      </c>
      <c r="M88" s="2">
        <v>0</v>
      </c>
      <c r="N88" s="6">
        <f t="shared" si="7"/>
        <v>0</v>
      </c>
      <c r="O88" s="17">
        <f t="shared" si="8"/>
        <v>0</v>
      </c>
      <c r="P88" s="18">
        <v>0</v>
      </c>
      <c r="Q88" s="1">
        <f t="shared" si="9"/>
        <v>0</v>
      </c>
      <c r="R88" s="18">
        <v>12</v>
      </c>
      <c r="S88" s="18">
        <v>0</v>
      </c>
      <c r="T88" s="18">
        <v>0</v>
      </c>
      <c r="U88" s="3">
        <v>0</v>
      </c>
      <c r="V88" s="3">
        <v>0</v>
      </c>
      <c r="W88" s="3">
        <v>0</v>
      </c>
      <c r="X88" s="3">
        <v>1</v>
      </c>
      <c r="Y88" s="3">
        <v>0</v>
      </c>
      <c r="Z88" s="3">
        <v>0</v>
      </c>
    </row>
    <row r="89" spans="1:26" ht="26">
      <c r="A89" s="16">
        <v>17228035</v>
      </c>
      <c r="B89" s="16" t="s">
        <v>64</v>
      </c>
      <c r="C89" s="16" t="s">
        <v>25</v>
      </c>
      <c r="D89" s="16" t="s">
        <v>442</v>
      </c>
      <c r="E89" s="16" t="s">
        <v>26</v>
      </c>
      <c r="F89" s="16" t="s">
        <v>65</v>
      </c>
      <c r="G89" s="21" t="s">
        <v>443</v>
      </c>
      <c r="H89" s="7">
        <v>7.4374088123723361</v>
      </c>
      <c r="I89" s="1">
        <v>0</v>
      </c>
      <c r="J89" s="4">
        <f t="shared" si="5"/>
        <v>0</v>
      </c>
      <c r="K89" s="5">
        <f t="shared" si="6"/>
        <v>0</v>
      </c>
      <c r="L89" s="2">
        <v>1474316.7587522869</v>
      </c>
      <c r="M89" s="2">
        <v>0</v>
      </c>
      <c r="N89" s="6">
        <f t="shared" si="7"/>
        <v>0</v>
      </c>
      <c r="O89" s="17">
        <f t="shared" si="8"/>
        <v>0</v>
      </c>
      <c r="P89" s="18">
        <v>0</v>
      </c>
      <c r="Q89" s="1">
        <f t="shared" si="9"/>
        <v>0</v>
      </c>
      <c r="R89" s="18">
        <v>10</v>
      </c>
      <c r="S89" s="18">
        <v>0</v>
      </c>
      <c r="T89" s="18">
        <v>0</v>
      </c>
      <c r="U89" s="3">
        <v>0</v>
      </c>
      <c r="V89" s="3">
        <v>0</v>
      </c>
      <c r="W89" s="3">
        <v>0</v>
      </c>
      <c r="X89" s="3">
        <v>1</v>
      </c>
      <c r="Y89" s="3">
        <v>0</v>
      </c>
      <c r="Z89" s="3">
        <v>0</v>
      </c>
    </row>
    <row r="90" spans="1:26" ht="26">
      <c r="A90" s="20">
        <v>17631777</v>
      </c>
      <c r="B90" s="20" t="s">
        <v>471</v>
      </c>
      <c r="C90" s="16" t="s">
        <v>25</v>
      </c>
      <c r="D90" s="16" t="s">
        <v>440</v>
      </c>
      <c r="E90" s="16" t="s">
        <v>26</v>
      </c>
      <c r="F90" s="22" t="s">
        <v>479</v>
      </c>
      <c r="G90" s="20" t="s">
        <v>443</v>
      </c>
      <c r="H90" s="7">
        <v>2.7022719565954572</v>
      </c>
      <c r="I90" s="1">
        <v>0</v>
      </c>
      <c r="J90" s="1">
        <f t="shared" si="5"/>
        <v>0</v>
      </c>
      <c r="K90" s="5">
        <f t="shared" si="6"/>
        <v>0</v>
      </c>
      <c r="L90" s="2">
        <v>300000</v>
      </c>
      <c r="M90" s="2">
        <v>0</v>
      </c>
      <c r="N90" s="6">
        <f t="shared" si="7"/>
        <v>0</v>
      </c>
      <c r="O90" s="17">
        <f t="shared" si="8"/>
        <v>0</v>
      </c>
      <c r="P90" s="18">
        <v>1</v>
      </c>
      <c r="Q90" s="1">
        <f t="shared" si="9"/>
        <v>0</v>
      </c>
      <c r="R90" s="18">
        <v>5</v>
      </c>
      <c r="S90" s="18">
        <v>0</v>
      </c>
      <c r="T90" s="18">
        <v>0</v>
      </c>
      <c r="U90" s="3">
        <v>0</v>
      </c>
      <c r="V90" s="3">
        <v>0</v>
      </c>
      <c r="W90" s="3">
        <v>0</v>
      </c>
      <c r="X90" s="3">
        <v>1</v>
      </c>
      <c r="Y90" s="3">
        <v>0</v>
      </c>
      <c r="Z90" s="3">
        <v>0</v>
      </c>
    </row>
    <row r="91" spans="1:26" ht="26">
      <c r="A91" s="16">
        <v>17254935</v>
      </c>
      <c r="B91" s="16" t="s">
        <v>363</v>
      </c>
      <c r="C91" s="16" t="s">
        <v>25</v>
      </c>
      <c r="D91" s="16" t="s">
        <v>442</v>
      </c>
      <c r="E91" s="16" t="s">
        <v>26</v>
      </c>
      <c r="F91" s="16" t="s">
        <v>364</v>
      </c>
      <c r="G91" s="21" t="s">
        <v>443</v>
      </c>
      <c r="H91" s="7">
        <v>5.8879486431280963</v>
      </c>
      <c r="I91" s="1">
        <v>0</v>
      </c>
      <c r="J91" s="4">
        <f t="shared" si="5"/>
        <v>0</v>
      </c>
      <c r="K91" s="5">
        <f t="shared" si="6"/>
        <v>0</v>
      </c>
      <c r="L91" s="2">
        <v>4476816.4347790591</v>
      </c>
      <c r="M91" s="2">
        <v>0</v>
      </c>
      <c r="N91" s="6">
        <f t="shared" si="7"/>
        <v>0</v>
      </c>
      <c r="O91" s="17">
        <f t="shared" si="8"/>
        <v>0</v>
      </c>
      <c r="P91" s="18">
        <v>0</v>
      </c>
      <c r="Q91" s="1">
        <f t="shared" si="9"/>
        <v>0</v>
      </c>
      <c r="R91" s="18">
        <v>8</v>
      </c>
      <c r="S91" s="18">
        <v>0</v>
      </c>
      <c r="T91" s="18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1</v>
      </c>
    </row>
    <row r="92" spans="1:26" ht="26">
      <c r="A92" s="16">
        <v>17611702</v>
      </c>
      <c r="B92" s="16" t="s">
        <v>34</v>
      </c>
      <c r="C92" s="16" t="s">
        <v>35</v>
      </c>
      <c r="D92" s="16" t="s">
        <v>442</v>
      </c>
      <c r="E92" s="16" t="s">
        <v>26</v>
      </c>
      <c r="F92" s="16" t="s">
        <v>36</v>
      </c>
      <c r="G92" s="21" t="s">
        <v>441</v>
      </c>
      <c r="H92" s="7">
        <v>7.2753475754493193</v>
      </c>
      <c r="I92" s="1">
        <v>0</v>
      </c>
      <c r="J92" s="4">
        <f t="shared" ref="J92:J155" si="10">IF(I92&gt;=3,1,0)</f>
        <v>0</v>
      </c>
      <c r="K92" s="5">
        <f t="shared" ref="K92:K155" si="11">I92/H92</f>
        <v>0</v>
      </c>
      <c r="L92" s="2">
        <v>1233517.793070439</v>
      </c>
      <c r="M92" s="2">
        <v>1410000</v>
      </c>
      <c r="N92" s="6">
        <f t="shared" ref="N92:N155" si="12">IF(M92&gt;=300000,1,0)</f>
        <v>1</v>
      </c>
      <c r="O92" s="17">
        <f t="shared" ref="O92:O155" si="13">M92/L92</f>
        <v>1.143072283124726</v>
      </c>
      <c r="P92" s="18">
        <v>1</v>
      </c>
      <c r="Q92" s="1">
        <f t="shared" ref="Q92:Q155" si="14">IF(P92&gt;=3,1,0)</f>
        <v>0</v>
      </c>
      <c r="R92" s="18">
        <v>10</v>
      </c>
      <c r="S92" s="18">
        <v>3</v>
      </c>
      <c r="T92" s="18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</row>
    <row r="93" spans="1:26" ht="26">
      <c r="A93" s="16">
        <v>17667161</v>
      </c>
      <c r="B93" s="16" t="s">
        <v>297</v>
      </c>
      <c r="C93" s="16" t="s">
        <v>31</v>
      </c>
      <c r="D93" s="16" t="s">
        <v>442</v>
      </c>
      <c r="E93" s="16" t="s">
        <v>22</v>
      </c>
      <c r="F93" s="16" t="s">
        <v>296</v>
      </c>
      <c r="G93" s="21" t="s">
        <v>441</v>
      </c>
      <c r="H93" s="7">
        <v>14.134961003730091</v>
      </c>
      <c r="I93" s="1">
        <v>3</v>
      </c>
      <c r="J93" s="1">
        <f t="shared" si="10"/>
        <v>1</v>
      </c>
      <c r="K93" s="5">
        <f t="shared" si="11"/>
        <v>0.21223970828135477</v>
      </c>
      <c r="L93" s="2">
        <v>1233517.793070439</v>
      </c>
      <c r="M93" s="2">
        <v>619500</v>
      </c>
      <c r="N93" s="6">
        <f t="shared" si="12"/>
        <v>1</v>
      </c>
      <c r="O93" s="17">
        <f t="shared" si="13"/>
        <v>0.50222218396862961</v>
      </c>
      <c r="P93" s="18">
        <v>1</v>
      </c>
      <c r="Q93" s="1">
        <f t="shared" si="14"/>
        <v>0</v>
      </c>
      <c r="R93" s="18">
        <v>9</v>
      </c>
      <c r="S93" s="18">
        <v>1</v>
      </c>
      <c r="T93" s="18">
        <v>0</v>
      </c>
      <c r="U93" s="3">
        <v>0</v>
      </c>
      <c r="V93" s="3">
        <v>0</v>
      </c>
      <c r="W93" s="3">
        <v>1</v>
      </c>
      <c r="X93" s="3">
        <v>0</v>
      </c>
      <c r="Y93" s="3">
        <v>0</v>
      </c>
      <c r="Z93" s="3">
        <v>0</v>
      </c>
    </row>
    <row r="94" spans="1:26" ht="26">
      <c r="A94" s="16">
        <v>17664158</v>
      </c>
      <c r="B94" s="16" t="s">
        <v>420</v>
      </c>
      <c r="C94" s="16" t="s">
        <v>31</v>
      </c>
      <c r="D94" s="16" t="s">
        <v>442</v>
      </c>
      <c r="E94" s="16" t="s">
        <v>26</v>
      </c>
      <c r="F94" s="16" t="s">
        <v>296</v>
      </c>
      <c r="G94" s="21" t="s">
        <v>441</v>
      </c>
      <c r="H94" s="7">
        <v>12.05629026788742</v>
      </c>
      <c r="I94" s="1">
        <v>3</v>
      </c>
      <c r="J94" s="4">
        <f t="shared" si="10"/>
        <v>1</v>
      </c>
      <c r="K94" s="5">
        <f t="shared" si="11"/>
        <v>0.2488327614333127</v>
      </c>
      <c r="L94" s="2">
        <v>1233517.793070439</v>
      </c>
      <c r="M94" s="2">
        <v>619500</v>
      </c>
      <c r="N94" s="6">
        <f t="shared" si="12"/>
        <v>1</v>
      </c>
      <c r="O94" s="17">
        <f t="shared" si="13"/>
        <v>0.50222218396862961</v>
      </c>
      <c r="P94" s="18">
        <v>0</v>
      </c>
      <c r="Q94" s="1">
        <f t="shared" si="14"/>
        <v>0</v>
      </c>
      <c r="R94" s="18">
        <v>15</v>
      </c>
      <c r="S94" s="18">
        <v>0</v>
      </c>
      <c r="T94" s="18">
        <v>0</v>
      </c>
      <c r="U94" s="3">
        <v>0</v>
      </c>
      <c r="V94" s="3">
        <v>0</v>
      </c>
      <c r="W94" s="3">
        <v>1</v>
      </c>
      <c r="X94" s="3">
        <v>0</v>
      </c>
      <c r="Y94" s="3">
        <v>0</v>
      </c>
      <c r="Z94" s="3">
        <v>0</v>
      </c>
    </row>
    <row r="95" spans="1:26" ht="26">
      <c r="A95" s="16">
        <v>17612215</v>
      </c>
      <c r="B95" s="16" t="s">
        <v>421</v>
      </c>
      <c r="C95" s="16" t="s">
        <v>31</v>
      </c>
      <c r="D95" s="16" t="s">
        <v>442</v>
      </c>
      <c r="E95" s="16" t="s">
        <v>26</v>
      </c>
      <c r="F95" s="16" t="s">
        <v>296</v>
      </c>
      <c r="G95" s="21" t="s">
        <v>441</v>
      </c>
      <c r="H95" s="7">
        <v>4.5730756188538484</v>
      </c>
      <c r="I95" s="1">
        <v>3</v>
      </c>
      <c r="J95" s="1">
        <f t="shared" si="10"/>
        <v>1</v>
      </c>
      <c r="K95" s="5">
        <f t="shared" si="11"/>
        <v>0.6560136437787335</v>
      </c>
      <c r="L95" s="2">
        <v>1233517.793070439</v>
      </c>
      <c r="M95" s="2">
        <v>1642000</v>
      </c>
      <c r="N95" s="6">
        <f t="shared" si="12"/>
        <v>1</v>
      </c>
      <c r="O95" s="17">
        <f t="shared" si="13"/>
        <v>1.3311522616246809</v>
      </c>
      <c r="P95" s="18">
        <v>0</v>
      </c>
      <c r="Q95" s="1">
        <f t="shared" si="14"/>
        <v>0</v>
      </c>
      <c r="R95" s="18">
        <v>7</v>
      </c>
      <c r="S95" s="18">
        <v>0</v>
      </c>
      <c r="T95" s="18">
        <v>0</v>
      </c>
      <c r="U95" s="3">
        <v>0</v>
      </c>
      <c r="V95" s="3">
        <v>0</v>
      </c>
      <c r="W95" s="3">
        <v>1</v>
      </c>
      <c r="X95" s="3">
        <v>0</v>
      </c>
      <c r="Y95" s="3">
        <v>0</v>
      </c>
      <c r="Z95" s="3">
        <v>0</v>
      </c>
    </row>
    <row r="96" spans="1:26" ht="26">
      <c r="A96" s="16">
        <v>17622240</v>
      </c>
      <c r="B96" s="16" t="s">
        <v>103</v>
      </c>
      <c r="C96" s="16" t="s">
        <v>31</v>
      </c>
      <c r="D96" s="16" t="s">
        <v>440</v>
      </c>
      <c r="E96" s="16" t="s">
        <v>22</v>
      </c>
      <c r="F96" s="16" t="s">
        <v>104</v>
      </c>
      <c r="G96" s="21" t="s">
        <v>441</v>
      </c>
      <c r="H96" s="7">
        <v>3.3258731773482562</v>
      </c>
      <c r="I96" s="1">
        <v>3</v>
      </c>
      <c r="J96" s="4">
        <f t="shared" si="10"/>
        <v>1</v>
      </c>
      <c r="K96" s="5">
        <f t="shared" si="11"/>
        <v>0.90201876019575788</v>
      </c>
      <c r="L96" s="2">
        <v>2549477.9785796599</v>
      </c>
      <c r="M96" s="2">
        <v>787200</v>
      </c>
      <c r="N96" s="6">
        <f t="shared" si="12"/>
        <v>1</v>
      </c>
      <c r="O96" s="17">
        <f t="shared" si="13"/>
        <v>0.30876909179602213</v>
      </c>
      <c r="P96" s="18">
        <v>1</v>
      </c>
      <c r="Q96" s="1">
        <f t="shared" si="14"/>
        <v>0</v>
      </c>
      <c r="R96" s="18">
        <v>6</v>
      </c>
      <c r="S96" s="18">
        <v>1</v>
      </c>
      <c r="T96" s="18">
        <v>0</v>
      </c>
      <c r="U96" s="3">
        <v>1</v>
      </c>
      <c r="V96" s="3">
        <v>0</v>
      </c>
      <c r="W96" s="3">
        <v>1</v>
      </c>
      <c r="X96" s="3">
        <v>0</v>
      </c>
      <c r="Y96" s="3">
        <v>0</v>
      </c>
      <c r="Z96" s="3">
        <v>0</v>
      </c>
    </row>
    <row r="97" spans="1:26" ht="26">
      <c r="A97" s="16">
        <v>17232076</v>
      </c>
      <c r="B97" s="16" t="s">
        <v>123</v>
      </c>
      <c r="C97" s="16" t="s">
        <v>31</v>
      </c>
      <c r="D97" s="16" t="s">
        <v>442</v>
      </c>
      <c r="E97" s="16" t="s">
        <v>22</v>
      </c>
      <c r="F97" s="16" t="s">
        <v>104</v>
      </c>
      <c r="G97" s="21" t="s">
        <v>441</v>
      </c>
      <c r="H97" s="7">
        <v>5</v>
      </c>
      <c r="I97" s="1">
        <v>3</v>
      </c>
      <c r="J97" s="1">
        <f t="shared" si="10"/>
        <v>1</v>
      </c>
      <c r="K97" s="5">
        <f t="shared" si="11"/>
        <v>0.6</v>
      </c>
      <c r="L97" s="2">
        <v>1233517.793070439</v>
      </c>
      <c r="M97" s="2">
        <v>2026200</v>
      </c>
      <c r="N97" s="6">
        <f t="shared" si="12"/>
        <v>1</v>
      </c>
      <c r="O97" s="17">
        <f t="shared" si="13"/>
        <v>1.6426191915371062</v>
      </c>
      <c r="P97" s="18">
        <v>7</v>
      </c>
      <c r="Q97" s="1">
        <f t="shared" si="14"/>
        <v>1</v>
      </c>
      <c r="R97" s="18">
        <v>7</v>
      </c>
      <c r="S97" s="18">
        <v>7</v>
      </c>
      <c r="T97" s="18">
        <v>0</v>
      </c>
      <c r="U97" s="3">
        <v>1</v>
      </c>
      <c r="V97" s="3">
        <v>0</v>
      </c>
      <c r="W97" s="3">
        <v>1</v>
      </c>
      <c r="X97" s="3">
        <v>0</v>
      </c>
      <c r="Y97" s="3">
        <v>0</v>
      </c>
      <c r="Z97" s="3">
        <v>0</v>
      </c>
    </row>
    <row r="98" spans="1:26" ht="26">
      <c r="A98" s="16">
        <v>17741642</v>
      </c>
      <c r="B98" s="16" t="s">
        <v>423</v>
      </c>
      <c r="C98" s="16" t="s">
        <v>31</v>
      </c>
      <c r="D98" s="16" t="s">
        <v>442</v>
      </c>
      <c r="E98" s="16" t="s">
        <v>26</v>
      </c>
      <c r="F98" s="16" t="s">
        <v>104</v>
      </c>
      <c r="G98" s="21" t="s">
        <v>441</v>
      </c>
      <c r="H98" s="7">
        <v>5.8202780603594357</v>
      </c>
      <c r="I98" s="1">
        <v>3</v>
      </c>
      <c r="J98" s="1">
        <f t="shared" si="10"/>
        <v>1</v>
      </c>
      <c r="K98" s="5">
        <f t="shared" si="11"/>
        <v>0.51543929154043422</v>
      </c>
      <c r="L98" s="2">
        <v>1233517.793070439</v>
      </c>
      <c r="M98" s="2">
        <v>1576200</v>
      </c>
      <c r="N98" s="6">
        <f t="shared" si="12"/>
        <v>1</v>
      </c>
      <c r="O98" s="17">
        <f t="shared" si="13"/>
        <v>1.2778088884121936</v>
      </c>
      <c r="P98" s="18">
        <v>5</v>
      </c>
      <c r="Q98" s="1">
        <f t="shared" si="14"/>
        <v>1</v>
      </c>
      <c r="R98" s="18">
        <v>8</v>
      </c>
      <c r="S98" s="18">
        <v>5</v>
      </c>
      <c r="T98" s="18">
        <v>0</v>
      </c>
      <c r="U98" s="3">
        <v>1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</row>
    <row r="99" spans="1:26" ht="26">
      <c r="A99" s="16">
        <v>17754185</v>
      </c>
      <c r="B99" s="16" t="s">
        <v>37</v>
      </c>
      <c r="C99" s="16" t="s">
        <v>35</v>
      </c>
      <c r="D99" s="16" t="s">
        <v>440</v>
      </c>
      <c r="E99" s="16" t="s">
        <v>22</v>
      </c>
      <c r="F99" s="16" t="s">
        <v>38</v>
      </c>
      <c r="G99" s="21" t="s">
        <v>441</v>
      </c>
      <c r="H99" s="7">
        <v>3</v>
      </c>
      <c r="I99" s="1">
        <v>0</v>
      </c>
      <c r="J99" s="4">
        <f t="shared" si="10"/>
        <v>0</v>
      </c>
      <c r="K99" s="5">
        <f t="shared" si="11"/>
        <v>0</v>
      </c>
      <c r="L99" s="2">
        <v>12908778</v>
      </c>
      <c r="M99" s="2">
        <v>1260000</v>
      </c>
      <c r="N99" s="6">
        <f t="shared" si="12"/>
        <v>1</v>
      </c>
      <c r="O99" s="17">
        <f t="shared" si="13"/>
        <v>9.7607999765740805E-2</v>
      </c>
      <c r="P99" s="18">
        <v>1</v>
      </c>
      <c r="Q99" s="1">
        <f t="shared" si="14"/>
        <v>0</v>
      </c>
      <c r="R99" s="18">
        <v>5</v>
      </c>
      <c r="S99" s="18">
        <v>4</v>
      </c>
      <c r="T99" s="18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>
        <v>0</v>
      </c>
    </row>
    <row r="100" spans="1:26" ht="26">
      <c r="A100" s="16">
        <v>17693220</v>
      </c>
      <c r="B100" s="16" t="s">
        <v>54</v>
      </c>
      <c r="C100" s="16" t="s">
        <v>35</v>
      </c>
      <c r="D100" s="16" t="s">
        <v>442</v>
      </c>
      <c r="E100" s="16" t="s">
        <v>26</v>
      </c>
      <c r="F100" s="16" t="s">
        <v>55</v>
      </c>
      <c r="G100" s="21" t="s">
        <v>441</v>
      </c>
      <c r="H100" s="7">
        <v>5</v>
      </c>
      <c r="I100" s="1">
        <v>0</v>
      </c>
      <c r="J100" s="1">
        <f t="shared" si="10"/>
        <v>0</v>
      </c>
      <c r="K100" s="5">
        <f t="shared" si="11"/>
        <v>0</v>
      </c>
      <c r="L100" s="2">
        <v>1233517.793070439</v>
      </c>
      <c r="M100" s="2">
        <v>634000</v>
      </c>
      <c r="N100" s="6">
        <f t="shared" si="12"/>
        <v>1</v>
      </c>
      <c r="O100" s="17">
        <f t="shared" si="13"/>
        <v>0.51397718262487679</v>
      </c>
      <c r="P100" s="18">
        <v>0</v>
      </c>
      <c r="Q100" s="1">
        <f t="shared" si="14"/>
        <v>0</v>
      </c>
      <c r="R100" s="18">
        <v>7</v>
      </c>
      <c r="S100" s="18">
        <v>0</v>
      </c>
      <c r="T100" s="18">
        <v>2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</row>
    <row r="101" spans="1:26" ht="26">
      <c r="A101" s="16">
        <v>17651452</v>
      </c>
      <c r="B101" s="16" t="s">
        <v>61</v>
      </c>
      <c r="C101" s="16" t="s">
        <v>35</v>
      </c>
      <c r="D101" s="16" t="s">
        <v>442</v>
      </c>
      <c r="E101" s="16" t="s">
        <v>22</v>
      </c>
      <c r="F101" s="16" t="s">
        <v>62</v>
      </c>
      <c r="G101" s="21" t="s">
        <v>441</v>
      </c>
      <c r="H101" s="7">
        <v>3</v>
      </c>
      <c r="I101" s="1">
        <v>3</v>
      </c>
      <c r="J101" s="1">
        <f t="shared" si="10"/>
        <v>1</v>
      </c>
      <c r="K101" s="5">
        <f t="shared" si="11"/>
        <v>1</v>
      </c>
      <c r="L101" s="2">
        <v>1233517.793070439</v>
      </c>
      <c r="M101" s="2">
        <v>290000</v>
      </c>
      <c r="N101" s="6">
        <f t="shared" si="12"/>
        <v>0</v>
      </c>
      <c r="O101" s="17">
        <f t="shared" si="13"/>
        <v>0.23509997312494363</v>
      </c>
      <c r="P101" s="18">
        <v>0</v>
      </c>
      <c r="Q101" s="1">
        <f t="shared" si="14"/>
        <v>0</v>
      </c>
      <c r="R101" s="18">
        <v>5</v>
      </c>
      <c r="S101" s="18">
        <v>0</v>
      </c>
      <c r="T101" s="18">
        <v>0</v>
      </c>
      <c r="U101" s="3">
        <v>0</v>
      </c>
      <c r="V101" s="3">
        <v>0</v>
      </c>
      <c r="W101" s="3">
        <v>1</v>
      </c>
      <c r="X101" s="3">
        <v>0</v>
      </c>
      <c r="Y101" s="3">
        <v>0</v>
      </c>
      <c r="Z101" s="3">
        <v>0</v>
      </c>
    </row>
    <row r="102" spans="1:26" ht="26">
      <c r="A102" s="16" t="s">
        <v>431</v>
      </c>
      <c r="B102" s="16" t="s">
        <v>447</v>
      </c>
      <c r="C102" s="16" t="s">
        <v>35</v>
      </c>
      <c r="D102" s="16" t="s">
        <v>440</v>
      </c>
      <c r="E102" s="16" t="s">
        <v>22</v>
      </c>
      <c r="F102" s="16" t="s">
        <v>105</v>
      </c>
      <c r="G102" s="21" t="s">
        <v>441</v>
      </c>
      <c r="H102" s="7">
        <v>5</v>
      </c>
      <c r="I102" s="1">
        <v>0</v>
      </c>
      <c r="J102" s="1">
        <f t="shared" si="10"/>
        <v>0</v>
      </c>
      <c r="K102" s="5">
        <f t="shared" si="11"/>
        <v>0</v>
      </c>
      <c r="L102" s="2">
        <v>29626053.564346101</v>
      </c>
      <c r="M102" s="2">
        <v>1260000</v>
      </c>
      <c r="N102" s="6">
        <f t="shared" si="12"/>
        <v>1</v>
      </c>
      <c r="O102" s="17">
        <f t="shared" si="13"/>
        <v>4.2530133055465921E-2</v>
      </c>
      <c r="P102" s="18">
        <v>0</v>
      </c>
      <c r="Q102" s="1">
        <f t="shared" si="14"/>
        <v>0</v>
      </c>
      <c r="R102" s="18">
        <v>7</v>
      </c>
      <c r="S102" s="18">
        <v>0</v>
      </c>
      <c r="T102" s="18">
        <v>0</v>
      </c>
      <c r="U102" s="3">
        <v>0</v>
      </c>
      <c r="V102" s="3">
        <v>0</v>
      </c>
      <c r="W102" s="3">
        <v>0</v>
      </c>
      <c r="X102" s="3">
        <v>0</v>
      </c>
      <c r="Y102" s="3">
        <v>1</v>
      </c>
      <c r="Z102" s="3">
        <v>0</v>
      </c>
    </row>
    <row r="103" spans="1:26" ht="26">
      <c r="A103" s="16">
        <v>17120321</v>
      </c>
      <c r="B103" s="16" t="s">
        <v>84</v>
      </c>
      <c r="C103" s="16" t="s">
        <v>35</v>
      </c>
      <c r="D103" s="16" t="s">
        <v>440</v>
      </c>
      <c r="E103" s="16" t="s">
        <v>22</v>
      </c>
      <c r="F103" s="16" t="s">
        <v>85</v>
      </c>
      <c r="G103" s="21" t="s">
        <v>441</v>
      </c>
      <c r="H103" s="7">
        <v>5</v>
      </c>
      <c r="I103" s="1">
        <v>3</v>
      </c>
      <c r="J103" s="4">
        <f t="shared" si="10"/>
        <v>1</v>
      </c>
      <c r="K103" s="5">
        <f t="shared" si="11"/>
        <v>0.6</v>
      </c>
      <c r="L103" s="2">
        <v>29626053.564346101</v>
      </c>
      <c r="M103" s="2">
        <v>3770000</v>
      </c>
      <c r="N103" s="6">
        <f t="shared" si="12"/>
        <v>1</v>
      </c>
      <c r="O103" s="17">
        <f t="shared" si="13"/>
        <v>0.1272528584278623</v>
      </c>
      <c r="P103" s="18">
        <v>0</v>
      </c>
      <c r="Q103" s="1">
        <f t="shared" si="14"/>
        <v>0</v>
      </c>
      <c r="R103" s="18">
        <v>7</v>
      </c>
      <c r="S103" s="18">
        <v>0</v>
      </c>
      <c r="T103" s="18">
        <v>0</v>
      </c>
      <c r="U103" s="3">
        <v>0</v>
      </c>
      <c r="V103" s="3">
        <v>0</v>
      </c>
      <c r="W103" s="3">
        <v>1</v>
      </c>
      <c r="X103" s="3">
        <v>0</v>
      </c>
      <c r="Y103" s="3">
        <v>0</v>
      </c>
      <c r="Z103" s="3">
        <v>1</v>
      </c>
    </row>
    <row r="104" spans="1:26" ht="26">
      <c r="A104" s="16">
        <v>966775</v>
      </c>
      <c r="B104" s="16" t="s">
        <v>184</v>
      </c>
      <c r="C104" s="16" t="s">
        <v>31</v>
      </c>
      <c r="D104" s="16" t="s">
        <v>442</v>
      </c>
      <c r="E104" s="16" t="s">
        <v>22</v>
      </c>
      <c r="F104" s="16" t="s">
        <v>185</v>
      </c>
      <c r="G104" s="21" t="s">
        <v>441</v>
      </c>
      <c r="H104" s="7">
        <v>5</v>
      </c>
      <c r="I104" s="1">
        <v>3</v>
      </c>
      <c r="J104" s="1">
        <f t="shared" si="10"/>
        <v>1</v>
      </c>
      <c r="K104" s="5">
        <f t="shared" si="11"/>
        <v>0.6</v>
      </c>
      <c r="L104" s="2">
        <v>1233517.793070439</v>
      </c>
      <c r="M104" s="2">
        <v>361200</v>
      </c>
      <c r="N104" s="6">
        <f t="shared" si="12"/>
        <v>1</v>
      </c>
      <c r="O104" s="17">
        <f t="shared" si="13"/>
        <v>0.29282106997492979</v>
      </c>
      <c r="P104" s="18">
        <v>0</v>
      </c>
      <c r="Q104" s="1">
        <f t="shared" si="14"/>
        <v>0</v>
      </c>
      <c r="R104" s="18">
        <v>7</v>
      </c>
      <c r="S104" s="18">
        <v>0</v>
      </c>
      <c r="T104" s="18">
        <v>0</v>
      </c>
      <c r="U104" s="3">
        <v>1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</row>
    <row r="105" spans="1:26" ht="26">
      <c r="A105" s="16">
        <v>17242821</v>
      </c>
      <c r="B105" s="16" t="s">
        <v>256</v>
      </c>
      <c r="C105" s="16" t="s">
        <v>31</v>
      </c>
      <c r="D105" s="16" t="s">
        <v>442</v>
      </c>
      <c r="E105" s="16" t="s">
        <v>22</v>
      </c>
      <c r="F105" s="16" t="s">
        <v>185</v>
      </c>
      <c r="G105" s="21" t="s">
        <v>441</v>
      </c>
      <c r="H105" s="7">
        <v>7.691081722617823</v>
      </c>
      <c r="I105" s="1">
        <v>3</v>
      </c>
      <c r="J105" s="1">
        <f t="shared" si="10"/>
        <v>1</v>
      </c>
      <c r="K105" s="5">
        <f t="shared" si="11"/>
        <v>0.39006216657113951</v>
      </c>
      <c r="L105" s="2">
        <v>1233517.793070439</v>
      </c>
      <c r="M105" s="2">
        <v>342800</v>
      </c>
      <c r="N105" s="6">
        <f t="shared" si="12"/>
        <v>1</v>
      </c>
      <c r="O105" s="17">
        <f t="shared" si="13"/>
        <v>0.27790438202493339</v>
      </c>
      <c r="P105" s="18">
        <v>0</v>
      </c>
      <c r="Q105" s="1">
        <f t="shared" si="14"/>
        <v>0</v>
      </c>
      <c r="R105" s="18">
        <v>10</v>
      </c>
      <c r="S105" s="18">
        <v>0</v>
      </c>
      <c r="T105" s="18">
        <v>0</v>
      </c>
      <c r="U105" s="3">
        <v>1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</row>
    <row r="106" spans="1:26" ht="26">
      <c r="A106" s="16">
        <v>17569366</v>
      </c>
      <c r="B106" s="16" t="s">
        <v>291</v>
      </c>
      <c r="C106" s="16" t="s">
        <v>31</v>
      </c>
      <c r="D106" s="16" t="s">
        <v>440</v>
      </c>
      <c r="E106" s="16" t="s">
        <v>22</v>
      </c>
      <c r="F106" s="16" t="s">
        <v>185</v>
      </c>
      <c r="G106" s="21" t="s">
        <v>441</v>
      </c>
      <c r="H106" s="7">
        <v>5</v>
      </c>
      <c r="I106" s="1">
        <v>3</v>
      </c>
      <c r="J106" s="1">
        <f t="shared" si="10"/>
        <v>1</v>
      </c>
      <c r="K106" s="5">
        <f t="shared" si="11"/>
        <v>0.6</v>
      </c>
      <c r="L106" s="2">
        <v>22463880</v>
      </c>
      <c r="M106" s="2">
        <v>361200</v>
      </c>
      <c r="N106" s="6">
        <f t="shared" si="12"/>
        <v>1</v>
      </c>
      <c r="O106" s="17">
        <f t="shared" si="13"/>
        <v>1.6079145721932274E-2</v>
      </c>
      <c r="P106" s="18">
        <v>0</v>
      </c>
      <c r="Q106" s="1">
        <f t="shared" si="14"/>
        <v>0</v>
      </c>
      <c r="R106" s="18">
        <v>7</v>
      </c>
      <c r="S106" s="18">
        <v>0</v>
      </c>
      <c r="T106" s="18">
        <v>0</v>
      </c>
      <c r="U106" s="3">
        <v>1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</row>
    <row r="107" spans="1:26" ht="26">
      <c r="A107" s="16">
        <v>1375440</v>
      </c>
      <c r="B107" s="16" t="s">
        <v>66</v>
      </c>
      <c r="C107" s="16" t="s">
        <v>31</v>
      </c>
      <c r="D107" s="16" t="s">
        <v>442</v>
      </c>
      <c r="E107" s="16" t="s">
        <v>22</v>
      </c>
      <c r="F107" s="16" t="s">
        <v>67</v>
      </c>
      <c r="G107" s="21" t="s">
        <v>441</v>
      </c>
      <c r="H107" s="7">
        <v>5.1966768396066563</v>
      </c>
      <c r="I107" s="1">
        <v>3</v>
      </c>
      <c r="J107" s="1">
        <f t="shared" si="10"/>
        <v>1</v>
      </c>
      <c r="K107" s="5">
        <f t="shared" si="11"/>
        <v>0.57729200652528434</v>
      </c>
      <c r="L107" s="2">
        <v>1233517.793070439</v>
      </c>
      <c r="M107" s="2">
        <v>781200</v>
      </c>
      <c r="N107" s="6">
        <f t="shared" si="12"/>
        <v>1</v>
      </c>
      <c r="O107" s="17">
        <f t="shared" si="13"/>
        <v>0.63331068622484821</v>
      </c>
      <c r="P107" s="18">
        <v>1</v>
      </c>
      <c r="Q107" s="1">
        <f t="shared" si="14"/>
        <v>0</v>
      </c>
      <c r="R107" s="18">
        <v>8</v>
      </c>
      <c r="S107" s="18">
        <v>1</v>
      </c>
      <c r="T107" s="18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1</v>
      </c>
    </row>
    <row r="108" spans="1:26" ht="26">
      <c r="A108" s="16">
        <v>17211864</v>
      </c>
      <c r="B108" s="16" t="s">
        <v>143</v>
      </c>
      <c r="C108" s="16" t="s">
        <v>31</v>
      </c>
      <c r="D108" s="16" t="s">
        <v>442</v>
      </c>
      <c r="E108" s="16" t="s">
        <v>22</v>
      </c>
      <c r="F108" s="16" t="s">
        <v>67</v>
      </c>
      <c r="G108" s="21" t="s">
        <v>441</v>
      </c>
      <c r="H108" s="7">
        <v>22.241776873516461</v>
      </c>
      <c r="I108" s="1">
        <v>3</v>
      </c>
      <c r="J108" s="4">
        <f t="shared" si="10"/>
        <v>1</v>
      </c>
      <c r="K108" s="5">
        <f t="shared" si="11"/>
        <v>0.13488130993581426</v>
      </c>
      <c r="L108" s="2">
        <v>1233517.793070439</v>
      </c>
      <c r="M108" s="2">
        <v>632400</v>
      </c>
      <c r="N108" s="6">
        <f t="shared" si="12"/>
        <v>1</v>
      </c>
      <c r="O108" s="17">
        <f t="shared" si="13"/>
        <v>0.51268007932487714</v>
      </c>
      <c r="P108" s="18">
        <v>0</v>
      </c>
      <c r="Q108" s="1">
        <f t="shared" si="14"/>
        <v>0</v>
      </c>
      <c r="R108" s="18">
        <v>14</v>
      </c>
      <c r="S108" s="18">
        <v>0</v>
      </c>
      <c r="T108" s="18">
        <v>0</v>
      </c>
      <c r="U108" s="3">
        <v>1</v>
      </c>
      <c r="V108" s="3">
        <v>0</v>
      </c>
      <c r="W108" s="3">
        <v>0</v>
      </c>
      <c r="X108" s="3">
        <v>0</v>
      </c>
      <c r="Y108" s="3">
        <v>0</v>
      </c>
      <c r="Z108" s="3">
        <v>1</v>
      </c>
    </row>
    <row r="109" spans="1:26" ht="26">
      <c r="A109" s="16">
        <v>507357</v>
      </c>
      <c r="B109" s="16" t="s">
        <v>212</v>
      </c>
      <c r="C109" s="16" t="s">
        <v>31</v>
      </c>
      <c r="D109" s="16" t="s">
        <v>442</v>
      </c>
      <c r="E109" s="16" t="s">
        <v>26</v>
      </c>
      <c r="F109" s="16" t="s">
        <v>67</v>
      </c>
      <c r="G109" s="21" t="s">
        <v>441</v>
      </c>
      <c r="H109" s="7">
        <v>5.8202780603594357</v>
      </c>
      <c r="I109" s="1">
        <v>3</v>
      </c>
      <c r="J109" s="1">
        <f t="shared" si="10"/>
        <v>1</v>
      </c>
      <c r="K109" s="5">
        <f t="shared" si="11"/>
        <v>0.51543929154043422</v>
      </c>
      <c r="L109" s="2">
        <v>1233517.793070439</v>
      </c>
      <c r="M109" s="2">
        <v>649200</v>
      </c>
      <c r="N109" s="6">
        <f t="shared" si="12"/>
        <v>1</v>
      </c>
      <c r="O109" s="17">
        <f t="shared" si="13"/>
        <v>0.52629966397487382</v>
      </c>
      <c r="P109" s="18">
        <v>0</v>
      </c>
      <c r="Q109" s="1">
        <f t="shared" si="14"/>
        <v>0</v>
      </c>
      <c r="R109" s="18">
        <v>8</v>
      </c>
      <c r="S109" s="18">
        <v>0</v>
      </c>
      <c r="T109" s="18">
        <v>0</v>
      </c>
      <c r="U109" s="3">
        <v>1</v>
      </c>
      <c r="V109" s="3">
        <v>0</v>
      </c>
      <c r="W109" s="3">
        <v>0</v>
      </c>
      <c r="X109" s="3">
        <v>0</v>
      </c>
      <c r="Y109" s="3">
        <v>0</v>
      </c>
      <c r="Z109" s="3">
        <v>1</v>
      </c>
    </row>
    <row r="110" spans="1:26" ht="26">
      <c r="A110" s="16">
        <v>17609597</v>
      </c>
      <c r="B110" s="16" t="s">
        <v>365</v>
      </c>
      <c r="C110" s="16" t="s">
        <v>31</v>
      </c>
      <c r="D110" s="16" t="s">
        <v>442</v>
      </c>
      <c r="E110" s="16" t="s">
        <v>26</v>
      </c>
      <c r="F110" s="16" t="s">
        <v>67</v>
      </c>
      <c r="G110" s="21" t="s">
        <v>441</v>
      </c>
      <c r="H110" s="7">
        <v>4.9888097660223796</v>
      </c>
      <c r="I110" s="1">
        <v>3</v>
      </c>
      <c r="J110" s="4">
        <f t="shared" si="10"/>
        <v>1</v>
      </c>
      <c r="K110" s="5">
        <f t="shared" si="11"/>
        <v>0.60134584013050585</v>
      </c>
      <c r="L110" s="2">
        <v>1233517.793070439</v>
      </c>
      <c r="M110" s="2">
        <v>1847400</v>
      </c>
      <c r="N110" s="6">
        <f t="shared" si="12"/>
        <v>1</v>
      </c>
      <c r="O110" s="17">
        <f t="shared" si="13"/>
        <v>1.4976678977621409</v>
      </c>
      <c r="P110" s="18">
        <v>5</v>
      </c>
      <c r="Q110" s="1">
        <f t="shared" si="14"/>
        <v>1</v>
      </c>
      <c r="R110" s="18">
        <v>7</v>
      </c>
      <c r="S110" s="18">
        <v>5</v>
      </c>
      <c r="T110" s="18">
        <v>0</v>
      </c>
      <c r="U110" s="3">
        <v>1</v>
      </c>
      <c r="V110" s="3">
        <v>0</v>
      </c>
      <c r="W110" s="3">
        <v>0</v>
      </c>
      <c r="X110" s="3">
        <v>0</v>
      </c>
      <c r="Y110" s="3">
        <v>0</v>
      </c>
      <c r="Z110" s="3">
        <v>1</v>
      </c>
    </row>
    <row r="111" spans="1:26" ht="26">
      <c r="A111" s="16">
        <v>17228835</v>
      </c>
      <c r="B111" s="16" t="s">
        <v>87</v>
      </c>
      <c r="C111" s="16" t="s">
        <v>35</v>
      </c>
      <c r="D111" s="16" t="s">
        <v>442</v>
      </c>
      <c r="E111" s="16" t="s">
        <v>22</v>
      </c>
      <c r="F111" s="16" t="s">
        <v>88</v>
      </c>
      <c r="G111" s="21" t="s">
        <v>441</v>
      </c>
      <c r="H111" s="7">
        <v>3</v>
      </c>
      <c r="I111" s="1">
        <v>3</v>
      </c>
      <c r="J111" s="1">
        <f t="shared" si="10"/>
        <v>1</v>
      </c>
      <c r="K111" s="5">
        <f t="shared" si="11"/>
        <v>1</v>
      </c>
      <c r="L111" s="2">
        <v>1233517.793070439</v>
      </c>
      <c r="M111" s="2">
        <v>1308000</v>
      </c>
      <c r="N111" s="6">
        <f t="shared" si="12"/>
        <v>1</v>
      </c>
      <c r="O111" s="17">
        <f t="shared" si="13"/>
        <v>1.0603819477497458</v>
      </c>
      <c r="P111" s="18">
        <v>0</v>
      </c>
      <c r="Q111" s="1">
        <f t="shared" si="14"/>
        <v>0</v>
      </c>
      <c r="R111" s="18">
        <v>5</v>
      </c>
      <c r="S111" s="18">
        <v>0</v>
      </c>
      <c r="T111" s="18">
        <v>0</v>
      </c>
      <c r="U111" s="3">
        <v>0</v>
      </c>
      <c r="V111" s="3">
        <v>1</v>
      </c>
      <c r="W111" s="3">
        <v>0</v>
      </c>
      <c r="X111" s="3">
        <v>0</v>
      </c>
      <c r="Y111" s="3">
        <v>0</v>
      </c>
      <c r="Z111" s="3">
        <v>0</v>
      </c>
    </row>
    <row r="112" spans="1:26" ht="26">
      <c r="A112" s="16">
        <v>17308382</v>
      </c>
      <c r="B112" s="16" t="s">
        <v>103</v>
      </c>
      <c r="C112" s="16" t="s">
        <v>31</v>
      </c>
      <c r="D112" s="16" t="s">
        <v>440</v>
      </c>
      <c r="E112" s="16" t="s">
        <v>22</v>
      </c>
      <c r="F112" s="16" t="s">
        <v>105</v>
      </c>
      <c r="G112" s="21" t="s">
        <v>441</v>
      </c>
      <c r="H112" s="7">
        <v>4.7809426924381153</v>
      </c>
      <c r="I112" s="1">
        <v>3</v>
      </c>
      <c r="J112" s="4">
        <f t="shared" si="10"/>
        <v>1</v>
      </c>
      <c r="K112" s="5">
        <f t="shared" si="11"/>
        <v>0.62749131144052761</v>
      </c>
      <c r="L112" s="2">
        <v>2825491.6161999619</v>
      </c>
      <c r="M112" s="2">
        <v>974400</v>
      </c>
      <c r="N112" s="6">
        <f t="shared" si="12"/>
        <v>1</v>
      </c>
      <c r="O112" s="17">
        <f t="shared" si="13"/>
        <v>0.34486034020178141</v>
      </c>
      <c r="P112" s="18">
        <v>0</v>
      </c>
      <c r="Q112" s="1">
        <f t="shared" si="14"/>
        <v>0</v>
      </c>
      <c r="R112" s="18">
        <v>7</v>
      </c>
      <c r="S112" s="18">
        <v>0</v>
      </c>
      <c r="T112" s="18">
        <v>0</v>
      </c>
      <c r="U112" s="3">
        <v>0</v>
      </c>
      <c r="V112" s="3">
        <v>1</v>
      </c>
      <c r="W112" s="3">
        <v>0</v>
      </c>
      <c r="X112" s="3">
        <v>0</v>
      </c>
      <c r="Y112" s="3">
        <v>0</v>
      </c>
      <c r="Z112" s="3">
        <v>0</v>
      </c>
    </row>
    <row r="113" spans="1:26" ht="26">
      <c r="A113" s="16">
        <v>1496057</v>
      </c>
      <c r="B113" s="16" t="s">
        <v>157</v>
      </c>
      <c r="C113" s="16" t="s">
        <v>31</v>
      </c>
      <c r="D113" s="16" t="s">
        <v>440</v>
      </c>
      <c r="E113" s="16" t="s">
        <v>22</v>
      </c>
      <c r="F113" s="16" t="s">
        <v>105</v>
      </c>
      <c r="G113" s="21" t="s">
        <v>441</v>
      </c>
      <c r="H113" s="7">
        <v>3.1180061037639888</v>
      </c>
      <c r="I113" s="1">
        <v>3</v>
      </c>
      <c r="J113" s="4">
        <f t="shared" si="10"/>
        <v>1</v>
      </c>
      <c r="K113" s="5">
        <f t="shared" si="11"/>
        <v>0.96215334420880883</v>
      </c>
      <c r="L113" s="2">
        <v>3274995.9767890298</v>
      </c>
      <c r="M113" s="2">
        <v>3274800</v>
      </c>
      <c r="N113" s="6">
        <f t="shared" si="12"/>
        <v>1</v>
      </c>
      <c r="O113" s="17">
        <f t="shared" si="13"/>
        <v>0.99994015968556338</v>
      </c>
      <c r="P113" s="18">
        <v>0</v>
      </c>
      <c r="Q113" s="1">
        <f t="shared" si="14"/>
        <v>0</v>
      </c>
      <c r="R113" s="18">
        <v>6</v>
      </c>
      <c r="S113" s="18">
        <v>0</v>
      </c>
      <c r="T113" s="18">
        <v>0</v>
      </c>
      <c r="U113" s="3">
        <v>1</v>
      </c>
      <c r="V113" s="3">
        <v>1</v>
      </c>
      <c r="W113" s="3">
        <v>1</v>
      </c>
      <c r="X113" s="3">
        <v>1</v>
      </c>
      <c r="Y113" s="3">
        <v>1</v>
      </c>
      <c r="Z113" s="3">
        <v>1</v>
      </c>
    </row>
    <row r="114" spans="1:26" ht="26">
      <c r="A114" s="16">
        <v>504933</v>
      </c>
      <c r="B114" s="16" t="s">
        <v>215</v>
      </c>
      <c r="C114" s="16" t="s">
        <v>31</v>
      </c>
      <c r="D114" s="16" t="s">
        <v>440</v>
      </c>
      <c r="E114" s="16" t="s">
        <v>22</v>
      </c>
      <c r="F114" s="16" t="s">
        <v>105</v>
      </c>
      <c r="G114" s="21" t="s">
        <v>441</v>
      </c>
      <c r="H114" s="7">
        <v>5</v>
      </c>
      <c r="I114" s="1">
        <v>3</v>
      </c>
      <c r="J114" s="1">
        <f t="shared" si="10"/>
        <v>1</v>
      </c>
      <c r="K114" s="5">
        <f t="shared" si="11"/>
        <v>0.6</v>
      </c>
      <c r="L114" s="2">
        <v>22463880</v>
      </c>
      <c r="M114" s="2">
        <v>2134800</v>
      </c>
      <c r="N114" s="6">
        <f t="shared" si="12"/>
        <v>1</v>
      </c>
      <c r="O114" s="17">
        <f t="shared" si="13"/>
        <v>9.5032558934609698E-2</v>
      </c>
      <c r="P114" s="18">
        <v>1</v>
      </c>
      <c r="Q114" s="1">
        <f t="shared" si="14"/>
        <v>0</v>
      </c>
      <c r="R114" s="18">
        <v>7</v>
      </c>
      <c r="S114" s="18">
        <v>1</v>
      </c>
      <c r="T114" s="18">
        <v>0</v>
      </c>
      <c r="U114" s="3">
        <v>0</v>
      </c>
      <c r="V114" s="3">
        <v>1</v>
      </c>
      <c r="W114" s="3">
        <v>0</v>
      </c>
      <c r="X114" s="3">
        <v>0</v>
      </c>
      <c r="Y114" s="3">
        <v>0</v>
      </c>
      <c r="Z114" s="3">
        <v>1</v>
      </c>
    </row>
    <row r="115" spans="1:26" ht="26">
      <c r="A115" s="16">
        <v>17006852</v>
      </c>
      <c r="B115" s="16" t="s">
        <v>95</v>
      </c>
      <c r="C115" s="16" t="s">
        <v>35</v>
      </c>
      <c r="D115" s="16" t="s">
        <v>440</v>
      </c>
      <c r="E115" s="16" t="s">
        <v>22</v>
      </c>
      <c r="F115" s="16" t="s">
        <v>96</v>
      </c>
      <c r="G115" s="21" t="s">
        <v>441</v>
      </c>
      <c r="H115" s="7">
        <v>7.2753475754493193</v>
      </c>
      <c r="I115" s="1">
        <v>3</v>
      </c>
      <c r="J115" s="4">
        <f t="shared" si="10"/>
        <v>1</v>
      </c>
      <c r="K115" s="5">
        <f t="shared" si="11"/>
        <v>0.41235143323234597</v>
      </c>
      <c r="L115" s="2">
        <v>19880654</v>
      </c>
      <c r="M115" s="2">
        <v>4371000</v>
      </c>
      <c r="N115" s="6">
        <f t="shared" si="12"/>
        <v>1</v>
      </c>
      <c r="O115" s="17">
        <f t="shared" si="13"/>
        <v>0.219861982407621</v>
      </c>
      <c r="P115" s="18">
        <v>0</v>
      </c>
      <c r="Q115" s="1">
        <f t="shared" si="14"/>
        <v>0</v>
      </c>
      <c r="R115" s="18">
        <v>10</v>
      </c>
      <c r="S115" s="18">
        <v>0</v>
      </c>
      <c r="T115" s="18">
        <v>0</v>
      </c>
      <c r="U115" s="3">
        <v>1</v>
      </c>
      <c r="V115" s="3">
        <v>0</v>
      </c>
      <c r="W115" s="3">
        <v>0</v>
      </c>
      <c r="X115" s="3">
        <v>1</v>
      </c>
      <c r="Y115" s="3">
        <v>1</v>
      </c>
      <c r="Z115" s="3">
        <v>0</v>
      </c>
    </row>
    <row r="116" spans="1:26" ht="26">
      <c r="A116" s="16">
        <v>1370953</v>
      </c>
      <c r="B116" s="16" t="s">
        <v>216</v>
      </c>
      <c r="C116" s="16" t="s">
        <v>31</v>
      </c>
      <c r="D116" s="16" t="s">
        <v>442</v>
      </c>
      <c r="E116" s="16" t="s">
        <v>22</v>
      </c>
      <c r="F116" s="16" t="s">
        <v>105</v>
      </c>
      <c r="G116" s="21" t="s">
        <v>441</v>
      </c>
      <c r="H116" s="7">
        <v>3</v>
      </c>
      <c r="I116" s="1">
        <v>3</v>
      </c>
      <c r="J116" s="1">
        <f t="shared" si="10"/>
        <v>1</v>
      </c>
      <c r="K116" s="5">
        <f t="shared" si="11"/>
        <v>1</v>
      </c>
      <c r="L116" s="2">
        <v>1233517.793070439</v>
      </c>
      <c r="M116" s="2">
        <v>1870000</v>
      </c>
      <c r="N116" s="6">
        <f t="shared" si="12"/>
        <v>1</v>
      </c>
      <c r="O116" s="17">
        <f t="shared" si="13"/>
        <v>1.5159894818746367</v>
      </c>
      <c r="P116" s="18">
        <v>0</v>
      </c>
      <c r="Q116" s="1">
        <f t="shared" si="14"/>
        <v>0</v>
      </c>
      <c r="R116" s="18">
        <v>5</v>
      </c>
      <c r="S116" s="18">
        <v>0</v>
      </c>
      <c r="T116" s="18">
        <v>0</v>
      </c>
      <c r="U116" s="3">
        <v>0</v>
      </c>
      <c r="V116" s="3">
        <v>1</v>
      </c>
      <c r="W116" s="3">
        <v>0</v>
      </c>
      <c r="X116" s="3">
        <v>0</v>
      </c>
      <c r="Y116" s="3">
        <v>0</v>
      </c>
      <c r="Z116" s="3">
        <v>1</v>
      </c>
    </row>
    <row r="117" spans="1:26" ht="26">
      <c r="A117" s="16">
        <v>17033536</v>
      </c>
      <c r="B117" s="16" t="s">
        <v>228</v>
      </c>
      <c r="C117" s="16" t="s">
        <v>31</v>
      </c>
      <c r="D117" s="16" t="s">
        <v>440</v>
      </c>
      <c r="E117" s="16" t="s">
        <v>22</v>
      </c>
      <c r="F117" s="16" t="s">
        <v>105</v>
      </c>
      <c r="G117" s="21" t="s">
        <v>441</v>
      </c>
      <c r="H117" s="7">
        <v>30</v>
      </c>
      <c r="I117" s="1">
        <v>5</v>
      </c>
      <c r="J117" s="4">
        <f t="shared" si="10"/>
        <v>1</v>
      </c>
      <c r="K117" s="5">
        <f t="shared" si="11"/>
        <v>0.16666666666666666</v>
      </c>
      <c r="L117" s="2">
        <v>25626053.564346101</v>
      </c>
      <c r="M117" s="2">
        <v>1048400</v>
      </c>
      <c r="N117" s="6">
        <f t="shared" si="12"/>
        <v>1</v>
      </c>
      <c r="O117" s="17">
        <f t="shared" si="13"/>
        <v>4.091148866787097E-2</v>
      </c>
      <c r="P117" s="18">
        <v>3</v>
      </c>
      <c r="Q117" s="1">
        <f t="shared" si="14"/>
        <v>1</v>
      </c>
      <c r="R117" s="18">
        <v>23</v>
      </c>
      <c r="S117" s="18">
        <v>3</v>
      </c>
      <c r="T117" s="18">
        <v>0</v>
      </c>
      <c r="U117" s="3">
        <v>0</v>
      </c>
      <c r="V117" s="3">
        <v>1</v>
      </c>
      <c r="W117" s="3">
        <v>0</v>
      </c>
      <c r="X117" s="3">
        <v>0</v>
      </c>
      <c r="Y117" s="3">
        <v>0</v>
      </c>
      <c r="Z117" s="3">
        <v>0</v>
      </c>
    </row>
    <row r="118" spans="1:26" ht="26">
      <c r="A118" s="16">
        <v>1329385</v>
      </c>
      <c r="B118" s="16" t="s">
        <v>257</v>
      </c>
      <c r="C118" s="16" t="s">
        <v>31</v>
      </c>
      <c r="D118" s="16" t="s">
        <v>449</v>
      </c>
      <c r="E118" s="16" t="s">
        <v>22</v>
      </c>
      <c r="F118" s="16" t="s">
        <v>105</v>
      </c>
      <c r="G118" s="21" t="s">
        <v>441</v>
      </c>
      <c r="H118" s="7">
        <v>2.9101390301797232</v>
      </c>
      <c r="I118" s="1">
        <v>3</v>
      </c>
      <c r="J118" s="4">
        <f t="shared" si="10"/>
        <v>1</v>
      </c>
      <c r="K118" s="5">
        <f t="shared" si="11"/>
        <v>1.0308785830808664</v>
      </c>
      <c r="L118" s="2">
        <v>29626053.564346101</v>
      </c>
      <c r="M118" s="2">
        <v>1246800</v>
      </c>
      <c r="N118" s="6">
        <f t="shared" si="12"/>
        <v>1</v>
      </c>
      <c r="O118" s="17">
        <f t="shared" si="13"/>
        <v>4.2084579280599131E-2</v>
      </c>
      <c r="P118" s="18">
        <v>1</v>
      </c>
      <c r="Q118" s="1">
        <f t="shared" si="14"/>
        <v>0</v>
      </c>
      <c r="R118" s="18">
        <v>5</v>
      </c>
      <c r="S118" s="18">
        <v>1</v>
      </c>
      <c r="T118" s="18">
        <v>0</v>
      </c>
      <c r="U118" s="3">
        <v>0</v>
      </c>
      <c r="V118" s="3">
        <v>1</v>
      </c>
      <c r="W118" s="3">
        <v>0</v>
      </c>
      <c r="X118" s="3">
        <v>0</v>
      </c>
      <c r="Y118" s="3">
        <v>0</v>
      </c>
      <c r="Z118" s="3">
        <v>1</v>
      </c>
    </row>
    <row r="119" spans="1:26" ht="26">
      <c r="A119" s="16">
        <v>658632</v>
      </c>
      <c r="B119" s="16" t="s">
        <v>259</v>
      </c>
      <c r="C119" s="16" t="s">
        <v>31</v>
      </c>
      <c r="D119" s="16" t="s">
        <v>440</v>
      </c>
      <c r="E119" s="16" t="s">
        <v>22</v>
      </c>
      <c r="F119" s="16" t="s">
        <v>105</v>
      </c>
      <c r="G119" s="21" t="s">
        <v>441</v>
      </c>
      <c r="H119" s="7">
        <v>3</v>
      </c>
      <c r="I119" s="1">
        <v>6</v>
      </c>
      <c r="J119" s="4">
        <f t="shared" si="10"/>
        <v>1</v>
      </c>
      <c r="K119" s="5">
        <f t="shared" si="11"/>
        <v>2</v>
      </c>
      <c r="L119" s="2">
        <v>2649506.4184221751</v>
      </c>
      <c r="M119" s="2">
        <v>772800</v>
      </c>
      <c r="N119" s="6">
        <f t="shared" si="12"/>
        <v>1</v>
      </c>
      <c r="O119" s="17">
        <f t="shared" si="13"/>
        <v>0.29167696844464153</v>
      </c>
      <c r="P119" s="18">
        <v>0</v>
      </c>
      <c r="Q119" s="1">
        <f t="shared" si="14"/>
        <v>0</v>
      </c>
      <c r="R119" s="18">
        <v>5</v>
      </c>
      <c r="S119" s="18">
        <v>0</v>
      </c>
      <c r="T119" s="18">
        <v>0</v>
      </c>
      <c r="U119" s="3">
        <v>1</v>
      </c>
      <c r="V119" s="3">
        <v>0</v>
      </c>
      <c r="W119" s="3">
        <v>0</v>
      </c>
      <c r="X119" s="3">
        <v>0</v>
      </c>
      <c r="Y119" s="3">
        <v>0</v>
      </c>
      <c r="Z119" s="3">
        <v>1</v>
      </c>
    </row>
    <row r="120" spans="1:26" ht="26">
      <c r="A120" s="16">
        <v>17524586</v>
      </c>
      <c r="B120" s="16" t="s">
        <v>262</v>
      </c>
      <c r="C120" s="16" t="s">
        <v>31</v>
      </c>
      <c r="D120" s="16" t="s">
        <v>440</v>
      </c>
      <c r="E120" s="16" t="s">
        <v>22</v>
      </c>
      <c r="F120" s="16" t="s">
        <v>105</v>
      </c>
      <c r="G120" s="21" t="s">
        <v>441</v>
      </c>
      <c r="H120" s="7">
        <v>5</v>
      </c>
      <c r="I120" s="1">
        <v>3</v>
      </c>
      <c r="J120" s="1">
        <f t="shared" si="10"/>
        <v>1</v>
      </c>
      <c r="K120" s="5">
        <f t="shared" si="11"/>
        <v>0.6</v>
      </c>
      <c r="L120" s="2">
        <v>19880654</v>
      </c>
      <c r="M120" s="2">
        <v>1311800</v>
      </c>
      <c r="N120" s="6">
        <f t="shared" si="12"/>
        <v>1</v>
      </c>
      <c r="O120" s="17">
        <f t="shared" si="13"/>
        <v>6.5983744800347105E-2</v>
      </c>
      <c r="P120" s="18">
        <v>1</v>
      </c>
      <c r="Q120" s="1">
        <f t="shared" si="14"/>
        <v>0</v>
      </c>
      <c r="R120" s="18">
        <v>7</v>
      </c>
      <c r="S120" s="18">
        <v>1</v>
      </c>
      <c r="T120" s="18">
        <v>0</v>
      </c>
      <c r="U120" s="3">
        <v>0</v>
      </c>
      <c r="V120" s="3">
        <v>1</v>
      </c>
      <c r="W120" s="3">
        <v>1</v>
      </c>
      <c r="X120" s="3">
        <v>0</v>
      </c>
      <c r="Y120" s="3">
        <v>0</v>
      </c>
      <c r="Z120" s="3">
        <v>0</v>
      </c>
    </row>
    <row r="121" spans="1:26" ht="26">
      <c r="A121" s="16">
        <v>515112</v>
      </c>
      <c r="B121" s="16" t="s">
        <v>298</v>
      </c>
      <c r="C121" s="16" t="s">
        <v>31</v>
      </c>
      <c r="D121" s="16" t="s">
        <v>440</v>
      </c>
      <c r="E121" s="16" t="s">
        <v>22</v>
      </c>
      <c r="F121" s="16" t="s">
        <v>105</v>
      </c>
      <c r="G121" s="21" t="s">
        <v>441</v>
      </c>
      <c r="H121" s="7">
        <v>18.50016954899969</v>
      </c>
      <c r="I121" s="1">
        <v>3</v>
      </c>
      <c r="J121" s="4">
        <f t="shared" si="10"/>
        <v>1</v>
      </c>
      <c r="K121" s="5">
        <f t="shared" si="11"/>
        <v>0.16216067599024847</v>
      </c>
      <c r="L121" s="2">
        <v>22463880</v>
      </c>
      <c r="M121" s="2">
        <v>1549600</v>
      </c>
      <c r="N121" s="6">
        <f t="shared" si="12"/>
        <v>1</v>
      </c>
      <c r="O121" s="17">
        <f t="shared" si="13"/>
        <v>6.8981849974269802E-2</v>
      </c>
      <c r="P121" s="18">
        <v>0</v>
      </c>
      <c r="Q121" s="1">
        <f t="shared" si="14"/>
        <v>0</v>
      </c>
      <c r="R121" s="18">
        <v>21</v>
      </c>
      <c r="S121" s="18">
        <v>1</v>
      </c>
      <c r="T121" s="18">
        <v>0</v>
      </c>
      <c r="U121" s="3">
        <v>0</v>
      </c>
      <c r="V121" s="3">
        <v>1</v>
      </c>
      <c r="W121" s="3">
        <v>0</v>
      </c>
      <c r="X121" s="3">
        <v>0</v>
      </c>
      <c r="Y121" s="3">
        <v>0</v>
      </c>
      <c r="Z121" s="3">
        <v>1</v>
      </c>
    </row>
    <row r="122" spans="1:26" ht="26">
      <c r="A122" s="16">
        <v>17232998</v>
      </c>
      <c r="B122" s="16" t="s">
        <v>302</v>
      </c>
      <c r="C122" s="16" t="s">
        <v>31</v>
      </c>
      <c r="D122" s="16" t="s">
        <v>442</v>
      </c>
      <c r="E122" s="16" t="s">
        <v>22</v>
      </c>
      <c r="F122" s="16" t="s">
        <v>105</v>
      </c>
      <c r="G122" s="21" t="s">
        <v>441</v>
      </c>
      <c r="H122" s="7">
        <v>3</v>
      </c>
      <c r="I122" s="1">
        <v>3</v>
      </c>
      <c r="J122" s="4">
        <f t="shared" si="10"/>
        <v>1</v>
      </c>
      <c r="K122" s="5">
        <f t="shared" si="11"/>
        <v>1</v>
      </c>
      <c r="L122" s="2">
        <v>1233517.793070439</v>
      </c>
      <c r="M122" s="2">
        <v>1100400</v>
      </c>
      <c r="N122" s="6">
        <f t="shared" si="12"/>
        <v>1</v>
      </c>
      <c r="O122" s="17">
        <f t="shared" si="13"/>
        <v>0.89208279457478612</v>
      </c>
      <c r="P122" s="18">
        <v>0</v>
      </c>
      <c r="Q122" s="1">
        <f t="shared" si="14"/>
        <v>0</v>
      </c>
      <c r="R122" s="18">
        <v>5</v>
      </c>
      <c r="S122" s="18">
        <v>0</v>
      </c>
      <c r="T122" s="18">
        <v>0</v>
      </c>
      <c r="U122" s="3">
        <v>0</v>
      </c>
      <c r="V122" s="3">
        <v>1</v>
      </c>
      <c r="W122" s="3">
        <v>0</v>
      </c>
      <c r="X122" s="3">
        <v>0</v>
      </c>
      <c r="Y122" s="3">
        <v>0</v>
      </c>
      <c r="Z122" s="3">
        <v>0</v>
      </c>
    </row>
    <row r="123" spans="1:26" ht="26">
      <c r="A123" s="16">
        <v>664096</v>
      </c>
      <c r="B123" s="16" t="s">
        <v>368</v>
      </c>
      <c r="C123" s="16" t="s">
        <v>31</v>
      </c>
      <c r="D123" s="16" t="s">
        <v>440</v>
      </c>
      <c r="E123" s="16" t="s">
        <v>22</v>
      </c>
      <c r="F123" s="16" t="s">
        <v>105</v>
      </c>
      <c r="G123" s="21" t="s">
        <v>441</v>
      </c>
      <c r="H123" s="7">
        <v>3</v>
      </c>
      <c r="I123" s="1">
        <v>3</v>
      </c>
      <c r="J123" s="1">
        <f t="shared" si="10"/>
        <v>1</v>
      </c>
      <c r="K123" s="5">
        <f t="shared" si="11"/>
        <v>1</v>
      </c>
      <c r="L123" s="2">
        <v>4382792.2394838315</v>
      </c>
      <c r="M123" s="2">
        <v>699600</v>
      </c>
      <c r="N123" s="6">
        <f t="shared" si="12"/>
        <v>1</v>
      </c>
      <c r="O123" s="17">
        <f t="shared" si="13"/>
        <v>0.15962426731010024</v>
      </c>
      <c r="P123" s="18">
        <v>0</v>
      </c>
      <c r="Q123" s="1">
        <f t="shared" si="14"/>
        <v>0</v>
      </c>
      <c r="R123" s="18">
        <v>5</v>
      </c>
      <c r="S123" s="18">
        <v>0</v>
      </c>
      <c r="T123" s="18">
        <v>0</v>
      </c>
      <c r="U123" s="3">
        <v>0</v>
      </c>
      <c r="V123" s="3">
        <v>1</v>
      </c>
      <c r="W123" s="3">
        <v>0</v>
      </c>
      <c r="X123" s="3">
        <v>0</v>
      </c>
      <c r="Y123" s="3">
        <v>0</v>
      </c>
      <c r="Z123" s="3">
        <v>1</v>
      </c>
    </row>
    <row r="124" spans="1:26" ht="26">
      <c r="A124" s="16" t="s">
        <v>450</v>
      </c>
      <c r="B124" s="16" t="s">
        <v>451</v>
      </c>
      <c r="C124" s="16" t="s">
        <v>31</v>
      </c>
      <c r="D124" s="16" t="s">
        <v>440</v>
      </c>
      <c r="E124" s="16" t="s">
        <v>22</v>
      </c>
      <c r="F124" s="19" t="s">
        <v>225</v>
      </c>
      <c r="G124" s="21" t="s">
        <v>441</v>
      </c>
      <c r="H124" s="7">
        <v>3</v>
      </c>
      <c r="I124" s="1">
        <v>0</v>
      </c>
      <c r="J124" s="1">
        <f t="shared" si="10"/>
        <v>0</v>
      </c>
      <c r="K124" s="5">
        <f t="shared" si="11"/>
        <v>0</v>
      </c>
      <c r="L124" s="2">
        <v>2549477.9785796599</v>
      </c>
      <c r="M124" s="2">
        <v>608500</v>
      </c>
      <c r="N124" s="6">
        <f t="shared" si="12"/>
        <v>1</v>
      </c>
      <c r="O124" s="17">
        <f t="shared" si="13"/>
        <v>0.23867631143023307</v>
      </c>
      <c r="P124" s="18">
        <v>0</v>
      </c>
      <c r="Q124" s="1">
        <f t="shared" si="14"/>
        <v>0</v>
      </c>
      <c r="R124" s="18">
        <v>5</v>
      </c>
      <c r="S124" s="18">
        <v>0</v>
      </c>
      <c r="T124" s="18">
        <v>0</v>
      </c>
      <c r="U124" s="3">
        <v>0</v>
      </c>
      <c r="V124" s="3">
        <v>0</v>
      </c>
      <c r="W124" s="3">
        <v>1</v>
      </c>
      <c r="X124" s="3">
        <v>0</v>
      </c>
      <c r="Y124" s="3">
        <v>0</v>
      </c>
      <c r="Z124" s="3">
        <v>0</v>
      </c>
    </row>
    <row r="125" spans="1:26" ht="26">
      <c r="A125" s="16">
        <v>17564330</v>
      </c>
      <c r="B125" s="16" t="s">
        <v>224</v>
      </c>
      <c r="C125" s="16" t="s">
        <v>31</v>
      </c>
      <c r="D125" s="16" t="s">
        <v>442</v>
      </c>
      <c r="E125" s="16" t="s">
        <v>22</v>
      </c>
      <c r="F125" s="16" t="s">
        <v>225</v>
      </c>
      <c r="G125" s="21" t="s">
        <v>441</v>
      </c>
      <c r="H125" s="7">
        <v>5</v>
      </c>
      <c r="I125" s="1">
        <v>3</v>
      </c>
      <c r="J125" s="4">
        <f t="shared" si="10"/>
        <v>1</v>
      </c>
      <c r="K125" s="5">
        <f t="shared" si="11"/>
        <v>0.6</v>
      </c>
      <c r="L125" s="2">
        <v>1233517.793070439</v>
      </c>
      <c r="M125" s="2">
        <v>1190400</v>
      </c>
      <c r="N125" s="6">
        <f t="shared" si="12"/>
        <v>1</v>
      </c>
      <c r="O125" s="17">
        <f t="shared" si="13"/>
        <v>0.96504485519976868</v>
      </c>
      <c r="P125" s="18">
        <v>0</v>
      </c>
      <c r="Q125" s="1">
        <f t="shared" si="14"/>
        <v>0</v>
      </c>
      <c r="R125" s="18">
        <v>7</v>
      </c>
      <c r="S125" s="18">
        <v>0</v>
      </c>
      <c r="T125" s="18">
        <v>0</v>
      </c>
      <c r="U125" s="3">
        <v>0</v>
      </c>
      <c r="V125" s="3">
        <v>1</v>
      </c>
      <c r="W125" s="3">
        <v>0</v>
      </c>
      <c r="X125" s="3">
        <v>1</v>
      </c>
      <c r="Y125" s="3">
        <v>0</v>
      </c>
      <c r="Z125" s="3">
        <v>0</v>
      </c>
    </row>
    <row r="126" spans="1:26" ht="26">
      <c r="A126" s="16">
        <v>1070922</v>
      </c>
      <c r="B126" s="16" t="s">
        <v>101</v>
      </c>
      <c r="C126" s="16" t="s">
        <v>35</v>
      </c>
      <c r="D126" s="16" t="s">
        <v>440</v>
      </c>
      <c r="E126" s="16" t="s">
        <v>22</v>
      </c>
      <c r="F126" s="16" t="s">
        <v>96</v>
      </c>
      <c r="G126" s="21" t="s">
        <v>441</v>
      </c>
      <c r="H126" s="7">
        <v>5.4045439131909321</v>
      </c>
      <c r="I126" s="1">
        <v>6</v>
      </c>
      <c r="J126" s="1">
        <f t="shared" si="10"/>
        <v>1</v>
      </c>
      <c r="K126" s="5">
        <f t="shared" si="11"/>
        <v>1.1101769356255449</v>
      </c>
      <c r="L126" s="2">
        <v>19880654</v>
      </c>
      <c r="M126" s="2">
        <v>5493000</v>
      </c>
      <c r="N126" s="6">
        <f t="shared" si="12"/>
        <v>1</v>
      </c>
      <c r="O126" s="17">
        <f t="shared" si="13"/>
        <v>0.27629875757608374</v>
      </c>
      <c r="P126" s="18">
        <v>0</v>
      </c>
      <c r="Q126" s="1">
        <f t="shared" si="14"/>
        <v>0</v>
      </c>
      <c r="R126" s="18">
        <v>8</v>
      </c>
      <c r="S126" s="18">
        <v>0</v>
      </c>
      <c r="T126" s="18">
        <v>0</v>
      </c>
      <c r="U126" s="3">
        <v>1</v>
      </c>
      <c r="V126" s="3">
        <v>0</v>
      </c>
      <c r="W126" s="3">
        <v>0</v>
      </c>
      <c r="X126" s="3">
        <v>1</v>
      </c>
      <c r="Y126" s="3">
        <v>1</v>
      </c>
      <c r="Z126" s="3">
        <v>0</v>
      </c>
    </row>
    <row r="127" spans="1:26" ht="26">
      <c r="A127" s="16">
        <v>17221170</v>
      </c>
      <c r="B127" s="16" t="s">
        <v>242</v>
      </c>
      <c r="C127" s="16" t="s">
        <v>31</v>
      </c>
      <c r="D127" s="16" t="s">
        <v>444</v>
      </c>
      <c r="E127" s="16" t="s">
        <v>26</v>
      </c>
      <c r="F127" s="16" t="s">
        <v>225</v>
      </c>
      <c r="G127" s="21" t="s">
        <v>441</v>
      </c>
      <c r="H127" s="7">
        <v>2.7022719565954572</v>
      </c>
      <c r="I127" s="1">
        <v>3</v>
      </c>
      <c r="J127" s="1">
        <f t="shared" si="10"/>
        <v>1</v>
      </c>
      <c r="K127" s="5">
        <f t="shared" si="11"/>
        <v>1.1101769356255486</v>
      </c>
      <c r="L127" s="2">
        <v>6018419.3717715694</v>
      </c>
      <c r="M127" s="2">
        <v>4227200</v>
      </c>
      <c r="N127" s="6">
        <f t="shared" si="12"/>
        <v>1</v>
      </c>
      <c r="O127" s="17">
        <f t="shared" si="13"/>
        <v>0.70237710915045293</v>
      </c>
      <c r="P127" s="18">
        <v>0</v>
      </c>
      <c r="Q127" s="1">
        <f t="shared" si="14"/>
        <v>0</v>
      </c>
      <c r="R127" s="18">
        <v>5</v>
      </c>
      <c r="S127" s="18">
        <v>0</v>
      </c>
      <c r="T127" s="18">
        <v>1</v>
      </c>
      <c r="U127" s="3">
        <v>0</v>
      </c>
      <c r="V127" s="3">
        <v>1</v>
      </c>
      <c r="W127" s="3">
        <v>0</v>
      </c>
      <c r="X127" s="3">
        <v>1</v>
      </c>
      <c r="Y127" s="3">
        <v>0</v>
      </c>
      <c r="Z127" s="3">
        <v>0</v>
      </c>
    </row>
    <row r="128" spans="1:26" ht="26">
      <c r="A128" s="16">
        <v>1078285</v>
      </c>
      <c r="B128" s="16" t="s">
        <v>59</v>
      </c>
      <c r="C128" s="16" t="s">
        <v>31</v>
      </c>
      <c r="D128" s="16" t="s">
        <v>440</v>
      </c>
      <c r="E128" s="16" t="s">
        <v>22</v>
      </c>
      <c r="F128" s="16" t="s">
        <v>60</v>
      </c>
      <c r="G128" s="21" t="s">
        <v>441</v>
      </c>
      <c r="H128" s="7">
        <v>5</v>
      </c>
      <c r="I128" s="1">
        <v>6</v>
      </c>
      <c r="J128" s="4">
        <f t="shared" si="10"/>
        <v>1</v>
      </c>
      <c r="K128" s="5">
        <f t="shared" si="11"/>
        <v>1.2</v>
      </c>
      <c r="L128" s="2">
        <v>2549477.9785796599</v>
      </c>
      <c r="M128" s="2">
        <v>980700</v>
      </c>
      <c r="N128" s="6">
        <f t="shared" si="12"/>
        <v>1</v>
      </c>
      <c r="O128" s="17">
        <f t="shared" si="13"/>
        <v>0.3846669821193584</v>
      </c>
      <c r="P128" s="18">
        <v>1</v>
      </c>
      <c r="Q128" s="1">
        <f t="shared" si="14"/>
        <v>0</v>
      </c>
      <c r="R128" s="18">
        <v>7</v>
      </c>
      <c r="S128" s="18">
        <v>1</v>
      </c>
      <c r="T128" s="18">
        <v>0</v>
      </c>
      <c r="U128" s="3">
        <v>1</v>
      </c>
      <c r="V128" s="3">
        <v>0</v>
      </c>
      <c r="W128" s="3">
        <v>1</v>
      </c>
      <c r="X128" s="3">
        <v>0</v>
      </c>
      <c r="Y128" s="3">
        <v>0</v>
      </c>
      <c r="Z128" s="3">
        <v>0</v>
      </c>
    </row>
    <row r="129" spans="1:26" ht="26">
      <c r="A129" s="16">
        <v>1291615</v>
      </c>
      <c r="B129" s="16" t="s">
        <v>80</v>
      </c>
      <c r="C129" s="16" t="s">
        <v>31</v>
      </c>
      <c r="D129" s="16" t="s">
        <v>442</v>
      </c>
      <c r="E129" s="16" t="s">
        <v>22</v>
      </c>
      <c r="F129" s="16" t="s">
        <v>60</v>
      </c>
      <c r="G129" s="21" t="s">
        <v>441</v>
      </c>
      <c r="H129" s="7">
        <v>9.3540183112919824</v>
      </c>
      <c r="I129" s="1">
        <v>0</v>
      </c>
      <c r="J129" s="4">
        <f t="shared" si="10"/>
        <v>0</v>
      </c>
      <c r="K129" s="5">
        <f t="shared" si="11"/>
        <v>0</v>
      </c>
      <c r="L129" s="2">
        <v>1233517.793070439</v>
      </c>
      <c r="M129" s="2">
        <v>631000</v>
      </c>
      <c r="N129" s="6">
        <f t="shared" si="12"/>
        <v>1</v>
      </c>
      <c r="O129" s="17">
        <f t="shared" si="13"/>
        <v>0.51154511393737734</v>
      </c>
      <c r="P129" s="18">
        <v>0</v>
      </c>
      <c r="Q129" s="1">
        <f t="shared" si="14"/>
        <v>0</v>
      </c>
      <c r="R129" s="18">
        <v>12</v>
      </c>
      <c r="S129" s="18">
        <v>0</v>
      </c>
      <c r="T129" s="18">
        <v>0</v>
      </c>
      <c r="U129" s="3">
        <v>0</v>
      </c>
      <c r="V129" s="3">
        <v>0</v>
      </c>
      <c r="W129" s="3">
        <v>1</v>
      </c>
      <c r="X129" s="3">
        <v>0</v>
      </c>
      <c r="Y129" s="3">
        <v>0</v>
      </c>
      <c r="Z129" s="3">
        <v>0</v>
      </c>
    </row>
    <row r="130" spans="1:26" ht="26">
      <c r="A130" s="16">
        <v>17342969</v>
      </c>
      <c r="B130" s="16" t="s">
        <v>86</v>
      </c>
      <c r="C130" s="16" t="s">
        <v>31</v>
      </c>
      <c r="D130" s="16" t="s">
        <v>440</v>
      </c>
      <c r="E130" s="16" t="s">
        <v>22</v>
      </c>
      <c r="F130" s="16" t="s">
        <v>60</v>
      </c>
      <c r="G130" s="21" t="s">
        <v>441</v>
      </c>
      <c r="H130" s="7">
        <v>3</v>
      </c>
      <c r="I130" s="1">
        <v>4</v>
      </c>
      <c r="J130" s="1">
        <f t="shared" si="10"/>
        <v>1</v>
      </c>
      <c r="K130" s="5">
        <f t="shared" si="11"/>
        <v>1.3333333333333333</v>
      </c>
      <c r="L130" s="2">
        <v>12908778</v>
      </c>
      <c r="M130" s="2">
        <v>914000</v>
      </c>
      <c r="N130" s="6">
        <f t="shared" si="12"/>
        <v>1</v>
      </c>
      <c r="O130" s="17">
        <f t="shared" si="13"/>
        <v>7.0804533163402447E-2</v>
      </c>
      <c r="P130" s="18">
        <v>1</v>
      </c>
      <c r="Q130" s="1">
        <f t="shared" si="14"/>
        <v>0</v>
      </c>
      <c r="R130" s="18">
        <v>5</v>
      </c>
      <c r="S130" s="18">
        <v>1</v>
      </c>
      <c r="T130" s="18">
        <v>0</v>
      </c>
      <c r="U130" s="3">
        <v>1</v>
      </c>
      <c r="V130" s="3">
        <v>0</v>
      </c>
      <c r="W130" s="3">
        <v>0</v>
      </c>
      <c r="X130" s="3">
        <v>0</v>
      </c>
      <c r="Y130" s="3">
        <v>0</v>
      </c>
      <c r="Z130" s="3">
        <v>0</v>
      </c>
    </row>
    <row r="131" spans="1:26" ht="26">
      <c r="A131" s="16">
        <v>17607319</v>
      </c>
      <c r="B131" s="16" t="s">
        <v>100</v>
      </c>
      <c r="C131" s="16" t="s">
        <v>31</v>
      </c>
      <c r="D131" s="16" t="s">
        <v>444</v>
      </c>
      <c r="E131" s="16" t="s">
        <v>26</v>
      </c>
      <c r="F131" s="16" t="s">
        <v>60</v>
      </c>
      <c r="G131" s="21" t="s">
        <v>441</v>
      </c>
      <c r="H131" s="7">
        <v>11.432689047134639</v>
      </c>
      <c r="I131" s="1">
        <v>0</v>
      </c>
      <c r="J131" s="1">
        <f t="shared" si="10"/>
        <v>0</v>
      </c>
      <c r="K131" s="5">
        <f t="shared" si="11"/>
        <v>0</v>
      </c>
      <c r="L131" s="2">
        <v>6018419.3717715694</v>
      </c>
      <c r="M131" s="2">
        <v>271200</v>
      </c>
      <c r="N131" s="6">
        <f t="shared" si="12"/>
        <v>0</v>
      </c>
      <c r="O131" s="17">
        <f t="shared" si="13"/>
        <v>4.5061665405375387E-2</v>
      </c>
      <c r="P131" s="18">
        <v>0</v>
      </c>
      <c r="Q131" s="1">
        <f t="shared" si="14"/>
        <v>0</v>
      </c>
      <c r="R131" s="18">
        <v>14</v>
      </c>
      <c r="S131" s="18">
        <v>0</v>
      </c>
      <c r="T131" s="18">
        <v>0</v>
      </c>
      <c r="U131" s="3">
        <v>1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</row>
    <row r="132" spans="1:26" ht="26">
      <c r="A132" s="16">
        <v>658571</v>
      </c>
      <c r="B132" s="16" t="s">
        <v>132</v>
      </c>
      <c r="C132" s="16" t="s">
        <v>31</v>
      </c>
      <c r="D132" s="16" t="s">
        <v>442</v>
      </c>
      <c r="E132" s="16" t="s">
        <v>22</v>
      </c>
      <c r="F132" s="16" t="s">
        <v>60</v>
      </c>
      <c r="G132" s="21" t="s">
        <v>441</v>
      </c>
      <c r="H132" s="7">
        <v>5.4045439131909321</v>
      </c>
      <c r="I132" s="1">
        <v>3</v>
      </c>
      <c r="J132" s="1">
        <f t="shared" si="10"/>
        <v>1</v>
      </c>
      <c r="K132" s="5">
        <f t="shared" si="11"/>
        <v>0.55508846781277243</v>
      </c>
      <c r="L132" s="2">
        <v>1233517.793070439</v>
      </c>
      <c r="M132" s="2">
        <v>758500</v>
      </c>
      <c r="N132" s="6">
        <f t="shared" si="12"/>
        <v>1</v>
      </c>
      <c r="O132" s="17">
        <f t="shared" si="13"/>
        <v>0.61490803315610254</v>
      </c>
      <c r="P132" s="18">
        <v>0</v>
      </c>
      <c r="Q132" s="1">
        <f t="shared" si="14"/>
        <v>0</v>
      </c>
      <c r="R132" s="18">
        <v>8</v>
      </c>
      <c r="S132" s="18">
        <v>1</v>
      </c>
      <c r="T132" s="18">
        <v>0</v>
      </c>
      <c r="U132" s="3">
        <v>0</v>
      </c>
      <c r="V132" s="3">
        <v>0</v>
      </c>
      <c r="W132" s="3">
        <v>1</v>
      </c>
      <c r="X132" s="3">
        <v>0</v>
      </c>
      <c r="Y132" s="3">
        <v>0</v>
      </c>
      <c r="Z132" s="3">
        <v>0</v>
      </c>
    </row>
    <row r="133" spans="1:26" ht="26">
      <c r="A133" s="16">
        <v>17717812</v>
      </c>
      <c r="B133" s="16" t="s">
        <v>153</v>
      </c>
      <c r="C133" s="16" t="s">
        <v>31</v>
      </c>
      <c r="D133" s="16" t="s">
        <v>440</v>
      </c>
      <c r="E133" s="16" t="s">
        <v>22</v>
      </c>
      <c r="F133" s="16" t="s">
        <v>60</v>
      </c>
      <c r="G133" s="21" t="s">
        <v>441</v>
      </c>
      <c r="H133" s="7">
        <v>7.0674805018650426</v>
      </c>
      <c r="I133" s="1">
        <v>3</v>
      </c>
      <c r="J133" s="4">
        <f t="shared" si="10"/>
        <v>1</v>
      </c>
      <c r="K133" s="5">
        <f t="shared" si="11"/>
        <v>0.42447941656270971</v>
      </c>
      <c r="L133" s="2">
        <v>2549477.9785796599</v>
      </c>
      <c r="M133" s="2">
        <v>142800</v>
      </c>
      <c r="N133" s="6">
        <f t="shared" si="12"/>
        <v>0</v>
      </c>
      <c r="O133" s="17">
        <f t="shared" si="13"/>
        <v>5.6011466347144261E-2</v>
      </c>
      <c r="P133" s="18">
        <v>0</v>
      </c>
      <c r="Q133" s="1">
        <f t="shared" si="14"/>
        <v>0</v>
      </c>
      <c r="R133" s="18">
        <v>10</v>
      </c>
      <c r="S133" s="18">
        <v>0</v>
      </c>
      <c r="T133" s="18">
        <v>0</v>
      </c>
      <c r="U133" s="3">
        <v>1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</row>
    <row r="134" spans="1:26" ht="26">
      <c r="A134" s="16" t="s">
        <v>155</v>
      </c>
      <c r="B134" s="16" t="s">
        <v>156</v>
      </c>
      <c r="C134" s="16" t="s">
        <v>31</v>
      </c>
      <c r="D134" s="16" t="s">
        <v>440</v>
      </c>
      <c r="E134" s="16" t="s">
        <v>26</v>
      </c>
      <c r="F134" s="16" t="s">
        <v>60</v>
      </c>
      <c r="G134" s="21" t="s">
        <v>441</v>
      </c>
      <c r="H134" s="7">
        <v>3.3258731773482562</v>
      </c>
      <c r="I134" s="1">
        <v>0</v>
      </c>
      <c r="J134" s="1">
        <f t="shared" si="10"/>
        <v>0</v>
      </c>
      <c r="K134" s="5">
        <f t="shared" si="11"/>
        <v>0</v>
      </c>
      <c r="L134" s="2">
        <v>29626053.564346101</v>
      </c>
      <c r="M134" s="2">
        <v>1185600</v>
      </c>
      <c r="N134" s="6">
        <f t="shared" si="12"/>
        <v>1</v>
      </c>
      <c r="O134" s="17">
        <f t="shared" si="13"/>
        <v>4.0018829960762219E-2</v>
      </c>
      <c r="P134" s="18">
        <v>6</v>
      </c>
      <c r="Q134" s="1">
        <f t="shared" si="14"/>
        <v>1</v>
      </c>
      <c r="R134" s="18">
        <v>6</v>
      </c>
      <c r="S134" s="18">
        <v>0</v>
      </c>
      <c r="T134" s="18">
        <v>0</v>
      </c>
      <c r="U134" s="3">
        <v>0</v>
      </c>
      <c r="V134" s="3">
        <v>0</v>
      </c>
      <c r="W134" s="3">
        <v>0</v>
      </c>
      <c r="X134" s="3">
        <v>1</v>
      </c>
      <c r="Y134" s="3">
        <v>0</v>
      </c>
      <c r="Z134" s="3">
        <v>0</v>
      </c>
    </row>
    <row r="135" spans="1:26" ht="26">
      <c r="A135" s="16" t="s">
        <v>167</v>
      </c>
      <c r="B135" s="16" t="s">
        <v>168</v>
      </c>
      <c r="C135" s="16" t="s">
        <v>31</v>
      </c>
      <c r="D135" s="16" t="s">
        <v>440</v>
      </c>
      <c r="E135" s="16" t="s">
        <v>26</v>
      </c>
      <c r="F135" s="16" t="s">
        <v>60</v>
      </c>
      <c r="G135" s="21" t="s">
        <v>441</v>
      </c>
      <c r="H135" s="7">
        <v>7.2753475754493193</v>
      </c>
      <c r="I135" s="1">
        <v>0</v>
      </c>
      <c r="J135" s="4">
        <f t="shared" si="10"/>
        <v>0</v>
      </c>
      <c r="K135" s="5">
        <f t="shared" si="11"/>
        <v>0</v>
      </c>
      <c r="L135" s="2">
        <v>3197916.7051896802</v>
      </c>
      <c r="M135" s="2">
        <v>306000</v>
      </c>
      <c r="N135" s="6">
        <f t="shared" si="12"/>
        <v>1</v>
      </c>
      <c r="O135" s="17">
        <f t="shared" si="13"/>
        <v>9.5687295264261743E-2</v>
      </c>
      <c r="P135" s="18">
        <v>0</v>
      </c>
      <c r="Q135" s="1">
        <f t="shared" si="14"/>
        <v>0</v>
      </c>
      <c r="R135" s="18">
        <v>10</v>
      </c>
      <c r="S135" s="18">
        <v>0</v>
      </c>
      <c r="T135" s="18">
        <v>0</v>
      </c>
      <c r="U135" s="3">
        <v>0</v>
      </c>
      <c r="V135" s="3">
        <v>0</v>
      </c>
      <c r="W135" s="3">
        <v>0</v>
      </c>
      <c r="X135" s="3">
        <v>1</v>
      </c>
      <c r="Y135" s="3">
        <v>0</v>
      </c>
      <c r="Z135" s="3">
        <v>0</v>
      </c>
    </row>
    <row r="136" spans="1:26" ht="26">
      <c r="A136" s="16" t="s">
        <v>171</v>
      </c>
      <c r="B136" s="16" t="s">
        <v>172</v>
      </c>
      <c r="C136" s="16" t="s">
        <v>31</v>
      </c>
      <c r="D136" s="16" t="s">
        <v>440</v>
      </c>
      <c r="E136" s="16" t="s">
        <v>22</v>
      </c>
      <c r="F136" s="16" t="s">
        <v>60</v>
      </c>
      <c r="G136" s="21" t="s">
        <v>441</v>
      </c>
      <c r="H136" s="7">
        <v>16.83723296032553</v>
      </c>
      <c r="I136" s="1">
        <v>0</v>
      </c>
      <c r="J136" s="4">
        <f t="shared" si="10"/>
        <v>0</v>
      </c>
      <c r="K136" s="5">
        <f t="shared" si="11"/>
        <v>0</v>
      </c>
      <c r="L136" s="2">
        <v>22463880</v>
      </c>
      <c r="M136" s="2">
        <v>855200</v>
      </c>
      <c r="N136" s="6">
        <f t="shared" si="12"/>
        <v>1</v>
      </c>
      <c r="O136" s="17">
        <f t="shared" si="13"/>
        <v>3.8070003935206209E-2</v>
      </c>
      <c r="P136" s="18">
        <v>1</v>
      </c>
      <c r="Q136" s="1">
        <f t="shared" si="14"/>
        <v>0</v>
      </c>
      <c r="R136" s="18">
        <v>9</v>
      </c>
      <c r="S136" s="18">
        <v>0</v>
      </c>
      <c r="T136" s="18">
        <v>0</v>
      </c>
      <c r="U136" s="3">
        <v>0</v>
      </c>
      <c r="V136" s="3">
        <v>0</v>
      </c>
      <c r="W136" s="3">
        <v>0</v>
      </c>
      <c r="X136" s="3">
        <v>1</v>
      </c>
      <c r="Y136" s="3">
        <v>0</v>
      </c>
      <c r="Z136" s="3">
        <v>0</v>
      </c>
    </row>
    <row r="137" spans="1:26" ht="26">
      <c r="A137" s="16">
        <v>17236778</v>
      </c>
      <c r="B137" s="16" t="s">
        <v>108</v>
      </c>
      <c r="C137" s="16" t="s">
        <v>35</v>
      </c>
      <c r="D137" s="16" t="s">
        <v>442</v>
      </c>
      <c r="E137" s="16" t="s">
        <v>22</v>
      </c>
      <c r="F137" s="16" t="s">
        <v>109</v>
      </c>
      <c r="G137" s="21" t="s">
        <v>441</v>
      </c>
      <c r="H137" s="7">
        <v>5</v>
      </c>
      <c r="I137" s="1">
        <v>3</v>
      </c>
      <c r="J137" s="1">
        <f t="shared" si="10"/>
        <v>1</v>
      </c>
      <c r="K137" s="5">
        <f t="shared" si="11"/>
        <v>0.6</v>
      </c>
      <c r="L137" s="2">
        <v>1233517.793070439</v>
      </c>
      <c r="M137" s="2">
        <v>1590000</v>
      </c>
      <c r="N137" s="6">
        <f t="shared" si="12"/>
        <v>1</v>
      </c>
      <c r="O137" s="17">
        <f t="shared" si="13"/>
        <v>1.2889964043746909</v>
      </c>
      <c r="P137" s="18">
        <v>0</v>
      </c>
      <c r="Q137" s="1">
        <f t="shared" si="14"/>
        <v>0</v>
      </c>
      <c r="R137" s="18">
        <v>7</v>
      </c>
      <c r="S137" s="18">
        <v>0</v>
      </c>
      <c r="T137" s="18">
        <v>0</v>
      </c>
      <c r="U137" s="3">
        <v>1</v>
      </c>
      <c r="V137" s="3">
        <v>0</v>
      </c>
      <c r="W137" s="3">
        <v>0</v>
      </c>
      <c r="X137" s="3">
        <v>0</v>
      </c>
      <c r="Y137" s="3">
        <v>0</v>
      </c>
      <c r="Z137" s="3">
        <v>1</v>
      </c>
    </row>
    <row r="138" spans="1:26" ht="26">
      <c r="A138" s="23">
        <v>17750171</v>
      </c>
      <c r="B138" s="23" t="s">
        <v>124</v>
      </c>
      <c r="C138" s="16" t="s">
        <v>35</v>
      </c>
      <c r="D138" s="16" t="s">
        <v>442</v>
      </c>
      <c r="E138" s="16" t="s">
        <v>26</v>
      </c>
      <c r="F138" s="22" t="s">
        <v>126</v>
      </c>
      <c r="G138" s="20" t="s">
        <v>441</v>
      </c>
      <c r="H138" s="7">
        <v>2.7022719565954572</v>
      </c>
      <c r="I138" s="1">
        <v>0</v>
      </c>
      <c r="J138" s="1">
        <f t="shared" si="10"/>
        <v>0</v>
      </c>
      <c r="K138" s="5">
        <f t="shared" si="11"/>
        <v>0</v>
      </c>
      <c r="L138" s="2">
        <v>300000</v>
      </c>
      <c r="M138" s="2">
        <v>0</v>
      </c>
      <c r="N138" s="6">
        <f t="shared" si="12"/>
        <v>0</v>
      </c>
      <c r="O138" s="17">
        <f t="shared" si="13"/>
        <v>0</v>
      </c>
      <c r="P138" s="18">
        <v>6</v>
      </c>
      <c r="Q138" s="1">
        <f t="shared" si="14"/>
        <v>1</v>
      </c>
      <c r="R138" s="18">
        <v>5</v>
      </c>
      <c r="S138" s="18">
        <v>6</v>
      </c>
      <c r="T138" s="18">
        <v>0</v>
      </c>
      <c r="U138" s="3">
        <v>0</v>
      </c>
      <c r="V138" s="3">
        <v>0</v>
      </c>
      <c r="W138" s="3">
        <v>0</v>
      </c>
      <c r="X138" s="3">
        <v>0</v>
      </c>
      <c r="Y138" s="3">
        <v>1</v>
      </c>
      <c r="Z138" s="3">
        <v>0</v>
      </c>
    </row>
    <row r="139" spans="1:26" ht="26">
      <c r="A139" s="16">
        <v>17654507</v>
      </c>
      <c r="B139" s="16" t="s">
        <v>127</v>
      </c>
      <c r="C139" s="16" t="s">
        <v>35</v>
      </c>
      <c r="D139" s="16" t="s">
        <v>442</v>
      </c>
      <c r="E139" s="16" t="s">
        <v>26</v>
      </c>
      <c r="F139" s="16" t="s">
        <v>62</v>
      </c>
      <c r="G139" s="21" t="s">
        <v>441</v>
      </c>
      <c r="H139" s="7">
        <v>3</v>
      </c>
      <c r="I139" s="1">
        <v>3</v>
      </c>
      <c r="J139" s="4">
        <f t="shared" si="10"/>
        <v>1</v>
      </c>
      <c r="K139" s="5">
        <f t="shared" si="11"/>
        <v>1</v>
      </c>
      <c r="L139" s="2">
        <v>1233517.793070439</v>
      </c>
      <c r="M139" s="2">
        <v>2610000</v>
      </c>
      <c r="N139" s="6">
        <f t="shared" si="12"/>
        <v>1</v>
      </c>
      <c r="O139" s="17">
        <f t="shared" si="13"/>
        <v>2.1158997581244927</v>
      </c>
      <c r="P139" s="18">
        <v>5</v>
      </c>
      <c r="Q139" s="1">
        <f t="shared" si="14"/>
        <v>1</v>
      </c>
      <c r="R139" s="18">
        <v>5</v>
      </c>
      <c r="S139" s="18">
        <v>5</v>
      </c>
      <c r="T139" s="18">
        <v>0</v>
      </c>
      <c r="U139" s="3">
        <v>0</v>
      </c>
      <c r="V139" s="3">
        <v>0</v>
      </c>
      <c r="W139" s="3">
        <v>1</v>
      </c>
      <c r="X139" s="3">
        <v>0</v>
      </c>
      <c r="Y139" s="3">
        <v>0</v>
      </c>
      <c r="Z139" s="3">
        <v>0</v>
      </c>
    </row>
    <row r="140" spans="1:26" ht="26">
      <c r="A140" s="16" t="s">
        <v>192</v>
      </c>
      <c r="B140" s="16" t="s">
        <v>193</v>
      </c>
      <c r="C140" s="16" t="s">
        <v>31</v>
      </c>
      <c r="D140" s="16" t="s">
        <v>440</v>
      </c>
      <c r="E140" s="16" t="s">
        <v>22</v>
      </c>
      <c r="F140" s="16" t="s">
        <v>60</v>
      </c>
      <c r="G140" s="21" t="s">
        <v>441</v>
      </c>
      <c r="H140" s="7">
        <v>6.0281451339437124</v>
      </c>
      <c r="I140" s="1">
        <v>0</v>
      </c>
      <c r="J140" s="1">
        <f t="shared" si="10"/>
        <v>0</v>
      </c>
      <c r="K140" s="5">
        <f t="shared" si="11"/>
        <v>0</v>
      </c>
      <c r="L140" s="2">
        <v>29626053.564346101</v>
      </c>
      <c r="M140" s="2">
        <v>1492000</v>
      </c>
      <c r="N140" s="6">
        <f t="shared" si="12"/>
        <v>1</v>
      </c>
      <c r="O140" s="17">
        <f t="shared" si="13"/>
        <v>5.0361078189488213E-2</v>
      </c>
      <c r="P140" s="18">
        <v>1</v>
      </c>
      <c r="Q140" s="1">
        <f t="shared" si="14"/>
        <v>0</v>
      </c>
      <c r="R140" s="18">
        <v>9</v>
      </c>
      <c r="S140" s="18">
        <v>0</v>
      </c>
      <c r="T140" s="18">
        <v>0</v>
      </c>
      <c r="U140" s="3">
        <v>0</v>
      </c>
      <c r="V140" s="3">
        <v>0</v>
      </c>
      <c r="W140" s="3">
        <v>0</v>
      </c>
      <c r="X140" s="3">
        <v>1</v>
      </c>
      <c r="Y140" s="3">
        <v>0</v>
      </c>
      <c r="Z140" s="3">
        <v>0</v>
      </c>
    </row>
    <row r="141" spans="1:26" ht="26">
      <c r="A141" s="16">
        <v>17634238</v>
      </c>
      <c r="B141" s="16" t="s">
        <v>130</v>
      </c>
      <c r="C141" s="16" t="s">
        <v>35</v>
      </c>
      <c r="D141" s="16" t="s">
        <v>442</v>
      </c>
      <c r="E141" s="16" t="s">
        <v>26</v>
      </c>
      <c r="F141" s="16" t="s">
        <v>131</v>
      </c>
      <c r="G141" s="21" t="s">
        <v>441</v>
      </c>
      <c r="H141" s="7">
        <v>19.74737199050525</v>
      </c>
      <c r="I141" s="1">
        <v>0</v>
      </c>
      <c r="J141" s="1">
        <f t="shared" si="10"/>
        <v>0</v>
      </c>
      <c r="K141" s="5">
        <f t="shared" si="11"/>
        <v>0</v>
      </c>
      <c r="L141" s="2">
        <v>1233517.793070439</v>
      </c>
      <c r="M141" s="2">
        <v>0</v>
      </c>
      <c r="N141" s="6">
        <f t="shared" si="12"/>
        <v>0</v>
      </c>
      <c r="O141" s="17">
        <f t="shared" si="13"/>
        <v>0</v>
      </c>
      <c r="P141" s="18">
        <v>0</v>
      </c>
      <c r="Q141" s="1">
        <f t="shared" si="14"/>
        <v>0</v>
      </c>
      <c r="R141" s="18">
        <v>22</v>
      </c>
      <c r="S141" s="18">
        <v>0</v>
      </c>
      <c r="T141" s="18">
        <v>0</v>
      </c>
      <c r="U141" s="3">
        <v>0</v>
      </c>
      <c r="V141" s="3">
        <v>1</v>
      </c>
      <c r="W141" s="3">
        <v>0</v>
      </c>
      <c r="X141" s="3">
        <v>0</v>
      </c>
      <c r="Y141" s="3">
        <v>0</v>
      </c>
      <c r="Z141" s="3">
        <v>0</v>
      </c>
    </row>
    <row r="142" spans="1:26" ht="26">
      <c r="A142" s="16">
        <v>1375110</v>
      </c>
      <c r="B142" s="16" t="s">
        <v>222</v>
      </c>
      <c r="C142" s="16" t="s">
        <v>31</v>
      </c>
      <c r="D142" s="16" t="s">
        <v>442</v>
      </c>
      <c r="E142" s="16" t="s">
        <v>22</v>
      </c>
      <c r="F142" s="16" t="s">
        <v>60</v>
      </c>
      <c r="G142" s="21" t="s">
        <v>441</v>
      </c>
      <c r="H142" s="7">
        <v>7.691081722617823</v>
      </c>
      <c r="I142" s="1">
        <v>1</v>
      </c>
      <c r="J142" s="1">
        <f t="shared" si="10"/>
        <v>0</v>
      </c>
      <c r="K142" s="5">
        <f t="shared" si="11"/>
        <v>0.13002072219037986</v>
      </c>
      <c r="L142" s="2">
        <v>1233517.793070439</v>
      </c>
      <c r="M142" s="2">
        <v>875500</v>
      </c>
      <c r="N142" s="6">
        <f t="shared" si="12"/>
        <v>1</v>
      </c>
      <c r="O142" s="17">
        <f t="shared" si="13"/>
        <v>0.70975871196857987</v>
      </c>
      <c r="P142" s="18">
        <v>1</v>
      </c>
      <c r="Q142" s="1">
        <f t="shared" si="14"/>
        <v>0</v>
      </c>
      <c r="R142" s="18">
        <v>10</v>
      </c>
      <c r="S142" s="18">
        <v>1</v>
      </c>
      <c r="T142" s="18">
        <v>0</v>
      </c>
      <c r="U142" s="3">
        <v>0</v>
      </c>
      <c r="V142" s="3">
        <v>0</v>
      </c>
      <c r="W142" s="3">
        <v>1</v>
      </c>
      <c r="X142" s="3">
        <v>0</v>
      </c>
      <c r="Y142" s="3">
        <v>0</v>
      </c>
      <c r="Z142" s="3">
        <v>0</v>
      </c>
    </row>
    <row r="143" spans="1:26" ht="26">
      <c r="A143" s="16">
        <v>1570103</v>
      </c>
      <c r="B143" s="16" t="s">
        <v>246</v>
      </c>
      <c r="C143" s="16" t="s">
        <v>31</v>
      </c>
      <c r="D143" s="16" t="s">
        <v>440</v>
      </c>
      <c r="E143" s="16" t="s">
        <v>22</v>
      </c>
      <c r="F143" s="16" t="s">
        <v>60</v>
      </c>
      <c r="G143" s="21" t="s">
        <v>441</v>
      </c>
      <c r="H143" s="7">
        <v>3</v>
      </c>
      <c r="I143" s="1">
        <v>3</v>
      </c>
      <c r="J143" s="4">
        <f t="shared" si="10"/>
        <v>1</v>
      </c>
      <c r="K143" s="5">
        <f t="shared" si="11"/>
        <v>1</v>
      </c>
      <c r="L143" s="2">
        <v>19880654</v>
      </c>
      <c r="M143" s="2">
        <v>1361200</v>
      </c>
      <c r="N143" s="6">
        <f t="shared" si="12"/>
        <v>1</v>
      </c>
      <c r="O143" s="17">
        <f t="shared" si="13"/>
        <v>6.8468572512755371E-2</v>
      </c>
      <c r="P143" s="18">
        <v>0</v>
      </c>
      <c r="Q143" s="1">
        <f t="shared" si="14"/>
        <v>0</v>
      </c>
      <c r="R143" s="18">
        <v>5</v>
      </c>
      <c r="S143" s="18">
        <v>0</v>
      </c>
      <c r="T143" s="18">
        <v>0</v>
      </c>
      <c r="U143" s="3">
        <v>1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</row>
    <row r="144" spans="1:26" ht="26">
      <c r="A144" s="16">
        <v>971296</v>
      </c>
      <c r="B144" s="16" t="s">
        <v>133</v>
      </c>
      <c r="C144" s="16" t="s">
        <v>35</v>
      </c>
      <c r="D144" s="16" t="s">
        <v>440</v>
      </c>
      <c r="E144" s="16" t="s">
        <v>22</v>
      </c>
      <c r="F144" s="16" t="s">
        <v>88</v>
      </c>
      <c r="G144" s="21" t="s">
        <v>441</v>
      </c>
      <c r="H144" s="7">
        <v>5</v>
      </c>
      <c r="I144" s="1">
        <v>3</v>
      </c>
      <c r="J144" s="1">
        <f t="shared" si="10"/>
        <v>1</v>
      </c>
      <c r="K144" s="5">
        <f t="shared" si="11"/>
        <v>0.6</v>
      </c>
      <c r="L144" s="2">
        <v>3447239.462353264</v>
      </c>
      <c r="M144" s="2">
        <v>258000</v>
      </c>
      <c r="N144" s="6">
        <f t="shared" si="12"/>
        <v>0</v>
      </c>
      <c r="O144" s="17">
        <f t="shared" si="13"/>
        <v>7.4842494354562722E-2</v>
      </c>
      <c r="P144" s="18">
        <v>3</v>
      </c>
      <c r="Q144" s="1">
        <f t="shared" si="14"/>
        <v>1</v>
      </c>
      <c r="R144" s="18">
        <v>7</v>
      </c>
      <c r="S144" s="18">
        <v>3</v>
      </c>
      <c r="T144" s="18">
        <v>0</v>
      </c>
      <c r="U144" s="3">
        <v>0</v>
      </c>
      <c r="V144" s="3">
        <v>1</v>
      </c>
      <c r="W144" s="3">
        <v>0</v>
      </c>
      <c r="X144" s="3">
        <v>0</v>
      </c>
      <c r="Y144" s="3">
        <v>0</v>
      </c>
      <c r="Z144" s="3">
        <v>0</v>
      </c>
    </row>
    <row r="145" spans="1:26" ht="26">
      <c r="A145" s="16">
        <v>507409</v>
      </c>
      <c r="B145" s="16" t="s">
        <v>134</v>
      </c>
      <c r="C145" s="16" t="s">
        <v>35</v>
      </c>
      <c r="D145" s="16" t="s">
        <v>442</v>
      </c>
      <c r="E145" s="16" t="s">
        <v>22</v>
      </c>
      <c r="F145" s="16" t="s">
        <v>135</v>
      </c>
      <c r="G145" s="21" t="s">
        <v>441</v>
      </c>
      <c r="H145" s="7">
        <v>7.4832146490335463</v>
      </c>
      <c r="I145" s="1">
        <v>3</v>
      </c>
      <c r="J145" s="1">
        <f t="shared" si="10"/>
        <v>1</v>
      </c>
      <c r="K145" s="5">
        <f t="shared" si="11"/>
        <v>0.40089722675367179</v>
      </c>
      <c r="L145" s="2">
        <v>1233517.793070439</v>
      </c>
      <c r="M145" s="2">
        <v>3058000</v>
      </c>
      <c r="N145" s="6">
        <f t="shared" si="12"/>
        <v>1</v>
      </c>
      <c r="O145" s="17">
        <f t="shared" si="13"/>
        <v>2.4790886821244058</v>
      </c>
      <c r="P145" s="18">
        <v>2</v>
      </c>
      <c r="Q145" s="1">
        <f t="shared" si="14"/>
        <v>0</v>
      </c>
      <c r="R145" s="18">
        <v>10</v>
      </c>
      <c r="S145" s="18">
        <v>2</v>
      </c>
      <c r="T145" s="18">
        <v>0</v>
      </c>
      <c r="U145" s="3">
        <v>0</v>
      </c>
      <c r="V145" s="3">
        <v>1</v>
      </c>
      <c r="W145" s="3">
        <v>0</v>
      </c>
      <c r="X145" s="3">
        <v>0</v>
      </c>
      <c r="Y145" s="3">
        <v>0</v>
      </c>
      <c r="Z145" s="3">
        <v>0</v>
      </c>
    </row>
    <row r="146" spans="1:26" ht="26">
      <c r="A146" s="16">
        <v>17799381</v>
      </c>
      <c r="B146" s="16" t="s">
        <v>142</v>
      </c>
      <c r="C146" s="16" t="s">
        <v>35</v>
      </c>
      <c r="D146" s="16" t="s">
        <v>440</v>
      </c>
      <c r="E146" s="16" t="s">
        <v>22</v>
      </c>
      <c r="F146" s="16" t="s">
        <v>85</v>
      </c>
      <c r="G146" s="21" t="s">
        <v>441</v>
      </c>
      <c r="H146" s="7">
        <v>3</v>
      </c>
      <c r="I146" s="1">
        <v>3</v>
      </c>
      <c r="J146" s="4">
        <f t="shared" si="10"/>
        <v>1</v>
      </c>
      <c r="K146" s="5">
        <f t="shared" si="11"/>
        <v>1</v>
      </c>
      <c r="L146" s="2">
        <v>3917572.6875978149</v>
      </c>
      <c r="M146" s="2">
        <v>6230000</v>
      </c>
      <c r="N146" s="6">
        <f t="shared" si="12"/>
        <v>1</v>
      </c>
      <c r="O146" s="17">
        <f t="shared" si="13"/>
        <v>1.5902704293714391</v>
      </c>
      <c r="P146" s="18">
        <v>0</v>
      </c>
      <c r="Q146" s="1">
        <f t="shared" si="14"/>
        <v>0</v>
      </c>
      <c r="R146" s="18">
        <v>5</v>
      </c>
      <c r="S146" s="18">
        <v>0</v>
      </c>
      <c r="T146" s="18">
        <v>0</v>
      </c>
      <c r="U146" s="3">
        <v>0</v>
      </c>
      <c r="V146" s="3">
        <v>0</v>
      </c>
      <c r="W146" s="3">
        <v>1</v>
      </c>
      <c r="X146" s="3">
        <v>0</v>
      </c>
      <c r="Y146" s="3">
        <v>0</v>
      </c>
      <c r="Z146" s="3">
        <v>1</v>
      </c>
    </row>
    <row r="147" spans="1:26" ht="26">
      <c r="A147" s="16">
        <v>818388</v>
      </c>
      <c r="B147" s="16" t="s">
        <v>235</v>
      </c>
      <c r="C147" s="16" t="s">
        <v>31</v>
      </c>
      <c r="D147" s="16" t="s">
        <v>444</v>
      </c>
      <c r="E147" s="16" t="s">
        <v>26</v>
      </c>
      <c r="F147" s="16" t="s">
        <v>236</v>
      </c>
      <c r="G147" s="21" t="s">
        <v>441</v>
      </c>
      <c r="H147" s="7">
        <v>7.0674805018650426</v>
      </c>
      <c r="I147" s="1">
        <v>0</v>
      </c>
      <c r="J147" s="4">
        <f t="shared" si="10"/>
        <v>0</v>
      </c>
      <c r="K147" s="5">
        <f t="shared" si="11"/>
        <v>0</v>
      </c>
      <c r="L147" s="2">
        <v>6018419.3717715694</v>
      </c>
      <c r="M147" s="2">
        <v>0</v>
      </c>
      <c r="N147" s="6">
        <f t="shared" si="12"/>
        <v>0</v>
      </c>
      <c r="O147" s="17">
        <f t="shared" si="13"/>
        <v>0</v>
      </c>
      <c r="P147" s="18">
        <v>0</v>
      </c>
      <c r="Q147" s="1">
        <f t="shared" si="14"/>
        <v>0</v>
      </c>
      <c r="R147" s="18">
        <v>10</v>
      </c>
      <c r="S147" s="18">
        <v>0</v>
      </c>
      <c r="T147" s="18">
        <v>0</v>
      </c>
      <c r="U147" s="3">
        <v>0</v>
      </c>
      <c r="V147" s="3">
        <v>0</v>
      </c>
      <c r="W147" s="3">
        <v>1</v>
      </c>
      <c r="X147" s="3">
        <v>0</v>
      </c>
      <c r="Y147" s="3">
        <v>0</v>
      </c>
      <c r="Z147" s="3">
        <v>0</v>
      </c>
    </row>
    <row r="148" spans="1:26" ht="26">
      <c r="A148" s="16">
        <v>17707702</v>
      </c>
      <c r="B148" s="16" t="s">
        <v>340</v>
      </c>
      <c r="C148" s="16" t="s">
        <v>31</v>
      </c>
      <c r="D148" s="16" t="s">
        <v>442</v>
      </c>
      <c r="E148" s="16" t="s">
        <v>22</v>
      </c>
      <c r="F148" s="16" t="s">
        <v>236</v>
      </c>
      <c r="G148" s="21" t="s">
        <v>441</v>
      </c>
      <c r="H148" s="7">
        <v>13.719226856561541</v>
      </c>
      <c r="I148" s="1">
        <v>0</v>
      </c>
      <c r="J148" s="1">
        <f t="shared" si="10"/>
        <v>0</v>
      </c>
      <c r="K148" s="5">
        <f t="shared" si="11"/>
        <v>0</v>
      </c>
      <c r="L148" s="2">
        <v>1233517.793070439</v>
      </c>
      <c r="M148" s="2">
        <v>618000</v>
      </c>
      <c r="N148" s="6">
        <f t="shared" si="12"/>
        <v>1</v>
      </c>
      <c r="O148" s="17">
        <f t="shared" si="13"/>
        <v>0.50100614962487988</v>
      </c>
      <c r="P148" s="18">
        <v>5</v>
      </c>
      <c r="Q148" s="1">
        <f t="shared" si="14"/>
        <v>1</v>
      </c>
      <c r="R148" s="18">
        <v>9</v>
      </c>
      <c r="S148" s="18">
        <v>5</v>
      </c>
      <c r="T148" s="18">
        <v>0</v>
      </c>
      <c r="U148" s="3">
        <v>0</v>
      </c>
      <c r="V148" s="3">
        <v>0</v>
      </c>
      <c r="W148" s="3">
        <v>0</v>
      </c>
      <c r="X148" s="3">
        <v>1</v>
      </c>
      <c r="Y148" s="3">
        <v>0</v>
      </c>
      <c r="Z148" s="3">
        <v>0</v>
      </c>
    </row>
    <row r="149" spans="1:26" ht="26">
      <c r="A149" s="16">
        <v>17689734</v>
      </c>
      <c r="B149" s="16" t="s">
        <v>417</v>
      </c>
      <c r="C149" s="16" t="s">
        <v>31</v>
      </c>
      <c r="D149" s="16" t="s">
        <v>442</v>
      </c>
      <c r="E149" s="16" t="s">
        <v>26</v>
      </c>
      <c r="F149" s="16" t="s">
        <v>236</v>
      </c>
      <c r="G149" s="21" t="s">
        <v>441</v>
      </c>
      <c r="H149" s="7">
        <v>3.1180061037639888</v>
      </c>
      <c r="I149" s="1">
        <v>0</v>
      </c>
      <c r="J149" s="1">
        <f t="shared" si="10"/>
        <v>0</v>
      </c>
      <c r="K149" s="5">
        <f t="shared" si="11"/>
        <v>0</v>
      </c>
      <c r="L149" s="2">
        <v>1233517.793070439</v>
      </c>
      <c r="M149" s="2">
        <v>618000</v>
      </c>
      <c r="N149" s="6">
        <f t="shared" si="12"/>
        <v>1</v>
      </c>
      <c r="O149" s="17">
        <f t="shared" si="13"/>
        <v>0.50100614962487988</v>
      </c>
      <c r="P149" s="18">
        <v>5</v>
      </c>
      <c r="Q149" s="1">
        <f t="shared" si="14"/>
        <v>1</v>
      </c>
      <c r="R149" s="18">
        <v>6</v>
      </c>
      <c r="S149" s="18">
        <v>5</v>
      </c>
      <c r="T149" s="18">
        <v>0</v>
      </c>
      <c r="U149" s="3">
        <v>0</v>
      </c>
      <c r="V149" s="3">
        <v>0</v>
      </c>
      <c r="W149" s="3">
        <v>0</v>
      </c>
      <c r="X149" s="3">
        <v>1</v>
      </c>
      <c r="Y149" s="3">
        <v>0</v>
      </c>
      <c r="Z149" s="3">
        <v>0</v>
      </c>
    </row>
    <row r="150" spans="1:26" ht="26">
      <c r="A150" s="16">
        <v>17689754</v>
      </c>
      <c r="B150" s="16" t="s">
        <v>418</v>
      </c>
      <c r="C150" s="16" t="s">
        <v>31</v>
      </c>
      <c r="D150" s="16" t="s">
        <v>442</v>
      </c>
      <c r="E150" s="16" t="s">
        <v>26</v>
      </c>
      <c r="F150" s="16" t="s">
        <v>236</v>
      </c>
      <c r="G150" s="21" t="s">
        <v>441</v>
      </c>
      <c r="H150" s="7">
        <v>4.9888097660223796</v>
      </c>
      <c r="I150" s="1">
        <v>0</v>
      </c>
      <c r="J150" s="1">
        <f t="shared" si="10"/>
        <v>0</v>
      </c>
      <c r="K150" s="5">
        <f t="shared" si="11"/>
        <v>0</v>
      </c>
      <c r="L150" s="2">
        <v>1233517.793070439</v>
      </c>
      <c r="M150" s="2">
        <v>618000</v>
      </c>
      <c r="N150" s="6">
        <f t="shared" si="12"/>
        <v>1</v>
      </c>
      <c r="O150" s="17">
        <f t="shared" si="13"/>
        <v>0.50100614962487988</v>
      </c>
      <c r="P150" s="18">
        <v>5</v>
      </c>
      <c r="Q150" s="1">
        <f t="shared" si="14"/>
        <v>1</v>
      </c>
      <c r="R150" s="18">
        <v>7</v>
      </c>
      <c r="S150" s="18">
        <v>5</v>
      </c>
      <c r="T150" s="18">
        <v>0</v>
      </c>
      <c r="U150" s="3">
        <v>0</v>
      </c>
      <c r="V150" s="3">
        <v>0</v>
      </c>
      <c r="W150" s="3">
        <v>0</v>
      </c>
      <c r="X150" s="3">
        <v>1</v>
      </c>
      <c r="Y150" s="3">
        <v>0</v>
      </c>
      <c r="Z150" s="3">
        <v>0</v>
      </c>
    </row>
    <row r="151" spans="1:26" ht="26">
      <c r="A151" s="16">
        <v>17634230</v>
      </c>
      <c r="B151" s="16" t="s">
        <v>148</v>
      </c>
      <c r="C151" s="16" t="s">
        <v>35</v>
      </c>
      <c r="D151" s="16" t="s">
        <v>442</v>
      </c>
      <c r="E151" s="16" t="s">
        <v>26</v>
      </c>
      <c r="F151" s="16" t="s">
        <v>38</v>
      </c>
      <c r="G151" s="21" t="s">
        <v>441</v>
      </c>
      <c r="H151" s="7">
        <v>5.8202780603594357</v>
      </c>
      <c r="I151" s="1">
        <v>0</v>
      </c>
      <c r="J151" s="4">
        <f t="shared" si="10"/>
        <v>0</v>
      </c>
      <c r="K151" s="5">
        <f t="shared" si="11"/>
        <v>0</v>
      </c>
      <c r="L151" s="2">
        <v>1233517.793070439</v>
      </c>
      <c r="M151" s="2">
        <v>6318000</v>
      </c>
      <c r="N151" s="6">
        <f t="shared" si="12"/>
        <v>1</v>
      </c>
      <c r="O151" s="17">
        <f t="shared" si="13"/>
        <v>5.121936655873772</v>
      </c>
      <c r="P151" s="18">
        <v>5</v>
      </c>
      <c r="Q151" s="1">
        <f t="shared" si="14"/>
        <v>1</v>
      </c>
      <c r="R151" s="18">
        <v>8</v>
      </c>
      <c r="S151" s="18">
        <v>5</v>
      </c>
      <c r="T151" s="18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</row>
    <row r="152" spans="1:26" ht="26">
      <c r="A152" s="16">
        <v>17634254</v>
      </c>
      <c r="B152" s="16" t="s">
        <v>150</v>
      </c>
      <c r="C152" s="16" t="s">
        <v>35</v>
      </c>
      <c r="D152" s="16" t="s">
        <v>442</v>
      </c>
      <c r="E152" s="16" t="s">
        <v>26</v>
      </c>
      <c r="F152" s="16" t="s">
        <v>151</v>
      </c>
      <c r="G152" s="21" t="s">
        <v>441</v>
      </c>
      <c r="H152" s="7">
        <v>10</v>
      </c>
      <c r="I152" s="1">
        <v>0</v>
      </c>
      <c r="J152" s="4">
        <f t="shared" si="10"/>
        <v>0</v>
      </c>
      <c r="K152" s="5">
        <f t="shared" si="11"/>
        <v>0</v>
      </c>
      <c r="L152" s="2">
        <v>1233517.793070439</v>
      </c>
      <c r="M152" s="2">
        <v>0</v>
      </c>
      <c r="N152" s="6">
        <f t="shared" si="12"/>
        <v>0</v>
      </c>
      <c r="O152" s="17">
        <f t="shared" si="13"/>
        <v>0</v>
      </c>
      <c r="P152" s="18">
        <v>0</v>
      </c>
      <c r="Q152" s="1">
        <f t="shared" si="14"/>
        <v>0</v>
      </c>
      <c r="R152" s="18">
        <v>12</v>
      </c>
      <c r="S152" s="18">
        <v>0</v>
      </c>
      <c r="T152" s="18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</row>
    <row r="153" spans="1:26" ht="26">
      <c r="A153" s="16">
        <v>1486638</v>
      </c>
      <c r="B153" s="16" t="s">
        <v>152</v>
      </c>
      <c r="C153" s="16" t="s">
        <v>35</v>
      </c>
      <c r="D153" s="16" t="s">
        <v>440</v>
      </c>
      <c r="E153" s="16" t="s">
        <v>22</v>
      </c>
      <c r="F153" s="16" t="s">
        <v>96</v>
      </c>
      <c r="G153" s="21" t="s">
        <v>441</v>
      </c>
      <c r="H153" s="7">
        <v>2.7022719565954572</v>
      </c>
      <c r="I153" s="1">
        <v>4</v>
      </c>
      <c r="J153" s="4">
        <f t="shared" si="10"/>
        <v>1</v>
      </c>
      <c r="K153" s="5">
        <f t="shared" si="11"/>
        <v>1.4802359141673982</v>
      </c>
      <c r="L153" s="2">
        <v>19880654</v>
      </c>
      <c r="M153" s="2">
        <v>2288000</v>
      </c>
      <c r="N153" s="6">
        <f t="shared" si="12"/>
        <v>1</v>
      </c>
      <c r="O153" s="17">
        <f t="shared" si="13"/>
        <v>0.11508675720627702</v>
      </c>
      <c r="P153" s="18">
        <v>1</v>
      </c>
      <c r="Q153" s="1">
        <f t="shared" si="14"/>
        <v>0</v>
      </c>
      <c r="R153" s="18">
        <v>5</v>
      </c>
      <c r="S153" s="18">
        <v>1</v>
      </c>
      <c r="T153" s="18">
        <v>0</v>
      </c>
      <c r="U153" s="3">
        <v>0</v>
      </c>
      <c r="V153" s="3">
        <v>0</v>
      </c>
      <c r="W153" s="3">
        <v>1</v>
      </c>
      <c r="X153" s="3">
        <v>1</v>
      </c>
      <c r="Y153" s="3">
        <v>0</v>
      </c>
      <c r="Z153" s="3">
        <v>0</v>
      </c>
    </row>
    <row r="154" spans="1:26" ht="26">
      <c r="A154" s="16">
        <v>17690318</v>
      </c>
      <c r="B154" s="16" t="s">
        <v>289</v>
      </c>
      <c r="C154" s="16" t="s">
        <v>31</v>
      </c>
      <c r="D154" s="16" t="s">
        <v>444</v>
      </c>
      <c r="E154" s="16" t="s">
        <v>26</v>
      </c>
      <c r="F154" s="16" t="s">
        <v>290</v>
      </c>
      <c r="G154" s="21" t="s">
        <v>441</v>
      </c>
      <c r="H154" s="7">
        <v>5</v>
      </c>
      <c r="I154" s="1">
        <v>0</v>
      </c>
      <c r="J154" s="1">
        <f t="shared" si="10"/>
        <v>0</v>
      </c>
      <c r="K154" s="5">
        <f t="shared" si="11"/>
        <v>0</v>
      </c>
      <c r="L154" s="2">
        <v>6018419.3717715694</v>
      </c>
      <c r="M154" s="2">
        <v>618000</v>
      </c>
      <c r="N154" s="6">
        <f t="shared" si="12"/>
        <v>1</v>
      </c>
      <c r="O154" s="17">
        <f t="shared" si="13"/>
        <v>0.10268476851224922</v>
      </c>
      <c r="P154" s="18">
        <v>1</v>
      </c>
      <c r="Q154" s="1">
        <f t="shared" si="14"/>
        <v>0</v>
      </c>
      <c r="R154" s="18">
        <v>7</v>
      </c>
      <c r="S154" s="18">
        <v>1</v>
      </c>
      <c r="T154" s="18">
        <v>0</v>
      </c>
      <c r="U154" s="3">
        <v>0</v>
      </c>
      <c r="V154" s="3">
        <v>0</v>
      </c>
      <c r="W154" s="3">
        <v>0</v>
      </c>
      <c r="X154" s="3">
        <v>1</v>
      </c>
      <c r="Y154" s="3">
        <v>0</v>
      </c>
      <c r="Z154" s="3">
        <v>0</v>
      </c>
    </row>
    <row r="155" spans="1:26" ht="26">
      <c r="A155" s="16">
        <v>1335665</v>
      </c>
      <c r="B155" s="16" t="s">
        <v>163</v>
      </c>
      <c r="C155" s="16" t="s">
        <v>35</v>
      </c>
      <c r="D155" s="16" t="s">
        <v>440</v>
      </c>
      <c r="E155" s="16" t="s">
        <v>22</v>
      </c>
      <c r="F155" s="16" t="s">
        <v>60</v>
      </c>
      <c r="G155" s="21" t="s">
        <v>441</v>
      </c>
      <c r="H155" s="7">
        <v>22.449643947100689</v>
      </c>
      <c r="I155" s="1">
        <v>3</v>
      </c>
      <c r="J155" s="1">
        <f t="shared" si="10"/>
        <v>1</v>
      </c>
      <c r="K155" s="5">
        <f t="shared" si="11"/>
        <v>0.1336324089178903</v>
      </c>
      <c r="L155" s="2">
        <v>22463880</v>
      </c>
      <c r="M155" s="2">
        <v>2178000</v>
      </c>
      <c r="N155" s="6">
        <f t="shared" si="12"/>
        <v>1</v>
      </c>
      <c r="O155" s="17">
        <f t="shared" si="13"/>
        <v>9.695564613058831E-2</v>
      </c>
      <c r="P155" s="18">
        <v>0</v>
      </c>
      <c r="Q155" s="1">
        <f t="shared" si="14"/>
        <v>0</v>
      </c>
      <c r="R155" s="18">
        <v>14</v>
      </c>
      <c r="S155" s="18">
        <v>0</v>
      </c>
      <c r="T155" s="18">
        <v>0</v>
      </c>
      <c r="U155" s="3">
        <v>1</v>
      </c>
      <c r="V155" s="3">
        <v>0</v>
      </c>
      <c r="W155" s="3">
        <v>0</v>
      </c>
      <c r="X155" s="3">
        <v>1</v>
      </c>
      <c r="Y155" s="3">
        <v>0</v>
      </c>
      <c r="Z155" s="3">
        <v>1</v>
      </c>
    </row>
    <row r="156" spans="1:26" ht="26">
      <c r="A156" s="16">
        <v>17696373</v>
      </c>
      <c r="B156" s="16" t="s">
        <v>349</v>
      </c>
      <c r="C156" s="16" t="s">
        <v>31</v>
      </c>
      <c r="D156" s="16" t="s">
        <v>442</v>
      </c>
      <c r="E156" s="16" t="s">
        <v>26</v>
      </c>
      <c r="F156" s="16" t="s">
        <v>290</v>
      </c>
      <c r="G156" s="21" t="s">
        <v>441</v>
      </c>
      <c r="H156" s="7">
        <v>11.432689047134639</v>
      </c>
      <c r="I156" s="1">
        <v>0</v>
      </c>
      <c r="J156" s="4">
        <f t="shared" ref="J156:J219" si="15">IF(I156&gt;=3,1,0)</f>
        <v>0</v>
      </c>
      <c r="K156" s="5">
        <f t="shared" ref="K156:K219" si="16">I156/H156</f>
        <v>0</v>
      </c>
      <c r="L156" s="2">
        <v>1233517.793070439</v>
      </c>
      <c r="M156" s="2">
        <v>618000</v>
      </c>
      <c r="N156" s="6">
        <f t="shared" ref="N156:N219" si="17">IF(M156&gt;=300000,1,0)</f>
        <v>1</v>
      </c>
      <c r="O156" s="17">
        <f t="shared" ref="O156:O219" si="18">M156/L156</f>
        <v>0.50100614962487988</v>
      </c>
      <c r="P156" s="18">
        <v>5</v>
      </c>
      <c r="Q156" s="1">
        <f t="shared" ref="Q156:Q219" si="19">IF(P156&gt;=3,1,0)</f>
        <v>1</v>
      </c>
      <c r="R156" s="18">
        <v>14</v>
      </c>
      <c r="S156" s="18">
        <v>5</v>
      </c>
      <c r="T156" s="18">
        <v>0</v>
      </c>
      <c r="U156" s="3">
        <v>0</v>
      </c>
      <c r="V156" s="3">
        <v>0</v>
      </c>
      <c r="W156" s="3">
        <v>0</v>
      </c>
      <c r="X156" s="3">
        <v>1</v>
      </c>
      <c r="Y156" s="3">
        <v>0</v>
      </c>
      <c r="Z156" s="3">
        <v>0</v>
      </c>
    </row>
    <row r="157" spans="1:26" ht="26">
      <c r="A157" s="16">
        <v>17245632</v>
      </c>
      <c r="B157" s="16" t="s">
        <v>180</v>
      </c>
      <c r="C157" s="16" t="s">
        <v>35</v>
      </c>
      <c r="D157" s="16" t="s">
        <v>440</v>
      </c>
      <c r="E157" s="16" t="s">
        <v>22</v>
      </c>
      <c r="F157" s="16" t="s">
        <v>38</v>
      </c>
      <c r="G157" s="21" t="s">
        <v>441</v>
      </c>
      <c r="H157" s="7">
        <v>3</v>
      </c>
      <c r="I157" s="1">
        <v>0</v>
      </c>
      <c r="J157" s="4">
        <f t="shared" si="15"/>
        <v>0</v>
      </c>
      <c r="K157" s="5">
        <f t="shared" si="16"/>
        <v>0</v>
      </c>
      <c r="L157" s="2">
        <v>2572302.4230823722</v>
      </c>
      <c r="M157" s="2">
        <v>3840000</v>
      </c>
      <c r="N157" s="6">
        <f t="shared" si="17"/>
        <v>1</v>
      </c>
      <c r="O157" s="17">
        <f t="shared" si="18"/>
        <v>1.4928260244759848</v>
      </c>
      <c r="P157" s="18">
        <v>1</v>
      </c>
      <c r="Q157" s="1">
        <f t="shared" si="19"/>
        <v>0</v>
      </c>
      <c r="R157" s="18">
        <v>5</v>
      </c>
      <c r="S157" s="18">
        <v>1</v>
      </c>
      <c r="T157" s="18">
        <v>0</v>
      </c>
      <c r="U157" s="3">
        <v>0</v>
      </c>
      <c r="V157" s="3">
        <v>0</v>
      </c>
      <c r="W157" s="3">
        <v>0</v>
      </c>
      <c r="X157" s="3">
        <v>0</v>
      </c>
      <c r="Y157" s="3">
        <v>0</v>
      </c>
      <c r="Z157" s="3">
        <v>0</v>
      </c>
    </row>
    <row r="158" spans="1:26" ht="26">
      <c r="A158" s="16">
        <v>17519344</v>
      </c>
      <c r="B158" s="16" t="s">
        <v>209</v>
      </c>
      <c r="C158" s="16" t="s">
        <v>35</v>
      </c>
      <c r="D158" s="16" t="s">
        <v>440</v>
      </c>
      <c r="E158" s="16" t="s">
        <v>22</v>
      </c>
      <c r="F158" s="16" t="s">
        <v>60</v>
      </c>
      <c r="G158" s="21" t="s">
        <v>441</v>
      </c>
      <c r="H158" s="7">
        <v>9.5618853848762093</v>
      </c>
      <c r="I158" s="1">
        <v>6</v>
      </c>
      <c r="J158" s="1">
        <f t="shared" si="15"/>
        <v>1</v>
      </c>
      <c r="K158" s="5">
        <f t="shared" si="16"/>
        <v>0.62749131144052905</v>
      </c>
      <c r="L158" s="2">
        <v>22463880</v>
      </c>
      <c r="M158" s="2">
        <v>1248500</v>
      </c>
      <c r="N158" s="6">
        <f t="shared" si="17"/>
        <v>1</v>
      </c>
      <c r="O158" s="17">
        <f t="shared" si="18"/>
        <v>5.5578110281928148E-2</v>
      </c>
      <c r="P158" s="18">
        <v>4</v>
      </c>
      <c r="Q158" s="1">
        <f t="shared" si="19"/>
        <v>1</v>
      </c>
      <c r="R158" s="18">
        <v>12</v>
      </c>
      <c r="S158" s="18">
        <v>4</v>
      </c>
      <c r="T158" s="18">
        <v>0</v>
      </c>
      <c r="U158" s="3">
        <v>1</v>
      </c>
      <c r="V158" s="3">
        <v>0</v>
      </c>
      <c r="W158" s="3">
        <v>0</v>
      </c>
      <c r="X158" s="3">
        <v>1</v>
      </c>
      <c r="Y158" s="3">
        <v>0</v>
      </c>
      <c r="Z158" s="3">
        <v>1</v>
      </c>
    </row>
    <row r="159" spans="1:26" ht="26">
      <c r="A159" s="16">
        <v>17546493</v>
      </c>
      <c r="B159" s="16" t="s">
        <v>219</v>
      </c>
      <c r="C159" s="16" t="s">
        <v>35</v>
      </c>
      <c r="D159" s="16" t="s">
        <v>440</v>
      </c>
      <c r="E159" s="16" t="s">
        <v>22</v>
      </c>
      <c r="F159" s="16" t="s">
        <v>60</v>
      </c>
      <c r="G159" s="21" t="s">
        <v>441</v>
      </c>
      <c r="H159" s="7">
        <v>4.7809426924381153</v>
      </c>
      <c r="I159" s="1">
        <v>3</v>
      </c>
      <c r="J159" s="4">
        <f t="shared" si="15"/>
        <v>1</v>
      </c>
      <c r="K159" s="5">
        <f t="shared" si="16"/>
        <v>0.62749131144052761</v>
      </c>
      <c r="L159" s="2">
        <v>2549477.9785796599</v>
      </c>
      <c r="M159" s="2">
        <v>2438000</v>
      </c>
      <c r="N159" s="6">
        <f t="shared" si="17"/>
        <v>1</v>
      </c>
      <c r="O159" s="17">
        <f t="shared" si="18"/>
        <v>0.95627419435810723</v>
      </c>
      <c r="P159" s="18">
        <v>0</v>
      </c>
      <c r="Q159" s="1">
        <f t="shared" si="19"/>
        <v>0</v>
      </c>
      <c r="R159" s="18">
        <v>7</v>
      </c>
      <c r="S159" s="18">
        <v>0</v>
      </c>
      <c r="T159" s="18">
        <v>0</v>
      </c>
      <c r="U159" s="3">
        <v>1</v>
      </c>
      <c r="V159" s="3">
        <v>0</v>
      </c>
      <c r="W159" s="3">
        <v>0</v>
      </c>
      <c r="X159" s="3">
        <v>1</v>
      </c>
      <c r="Y159" s="3">
        <v>0</v>
      </c>
      <c r="Z159" s="3">
        <v>1</v>
      </c>
    </row>
    <row r="160" spans="1:26" ht="26">
      <c r="A160" s="16">
        <v>17692924</v>
      </c>
      <c r="B160" s="16" t="s">
        <v>144</v>
      </c>
      <c r="C160" s="16" t="s">
        <v>31</v>
      </c>
      <c r="D160" s="16" t="s">
        <v>440</v>
      </c>
      <c r="E160" s="16" t="s">
        <v>22</v>
      </c>
      <c r="F160" s="16" t="s">
        <v>145</v>
      </c>
      <c r="G160" s="21" t="s">
        <v>441</v>
      </c>
      <c r="H160" s="7">
        <v>5</v>
      </c>
      <c r="I160" s="1">
        <v>3</v>
      </c>
      <c r="J160" s="1">
        <f t="shared" si="15"/>
        <v>1</v>
      </c>
      <c r="K160" s="5">
        <f t="shared" si="16"/>
        <v>0.6</v>
      </c>
      <c r="L160" s="2">
        <v>29626053.564346101</v>
      </c>
      <c r="M160" s="2">
        <v>524400</v>
      </c>
      <c r="N160" s="6">
        <f t="shared" si="17"/>
        <v>1</v>
      </c>
      <c r="O160" s="17">
        <f t="shared" si="18"/>
        <v>1.7700636328798671E-2</v>
      </c>
      <c r="P160" s="18">
        <v>0</v>
      </c>
      <c r="Q160" s="1">
        <f t="shared" si="19"/>
        <v>0</v>
      </c>
      <c r="R160" s="18">
        <v>7</v>
      </c>
      <c r="S160" s="18">
        <v>0</v>
      </c>
      <c r="T160" s="18">
        <v>0</v>
      </c>
      <c r="U160" s="3">
        <v>0</v>
      </c>
      <c r="V160" s="3">
        <v>0</v>
      </c>
      <c r="W160" s="3">
        <v>0</v>
      </c>
      <c r="X160" s="3">
        <v>0</v>
      </c>
      <c r="Y160" s="3">
        <v>1</v>
      </c>
      <c r="Z160" s="3">
        <v>0</v>
      </c>
    </row>
    <row r="161" spans="1:26" ht="26">
      <c r="A161" s="16">
        <v>17640992</v>
      </c>
      <c r="B161" s="16" t="s">
        <v>232</v>
      </c>
      <c r="C161" s="16" t="s">
        <v>31</v>
      </c>
      <c r="D161" s="16" t="s">
        <v>442</v>
      </c>
      <c r="E161" s="16" t="s">
        <v>22</v>
      </c>
      <c r="F161" s="16" t="s">
        <v>145</v>
      </c>
      <c r="G161" s="21" t="s">
        <v>441</v>
      </c>
      <c r="H161" s="7">
        <v>5.8202780603594357</v>
      </c>
      <c r="I161" s="1">
        <v>3</v>
      </c>
      <c r="J161" s="4">
        <f t="shared" si="15"/>
        <v>1</v>
      </c>
      <c r="K161" s="5">
        <f t="shared" si="16"/>
        <v>0.51543929154043422</v>
      </c>
      <c r="L161" s="2">
        <v>1233517.793070439</v>
      </c>
      <c r="M161" s="2">
        <v>445200</v>
      </c>
      <c r="N161" s="6">
        <f t="shared" si="17"/>
        <v>1</v>
      </c>
      <c r="O161" s="17">
        <f t="shared" si="18"/>
        <v>0.3609189932249135</v>
      </c>
      <c r="P161" s="18">
        <v>0</v>
      </c>
      <c r="Q161" s="1">
        <f t="shared" si="19"/>
        <v>0</v>
      </c>
      <c r="R161" s="18">
        <v>8</v>
      </c>
      <c r="S161" s="18">
        <v>0</v>
      </c>
      <c r="T161" s="18">
        <v>0</v>
      </c>
      <c r="U161" s="3">
        <v>0</v>
      </c>
      <c r="V161" s="3">
        <v>0</v>
      </c>
      <c r="W161" s="3">
        <v>0</v>
      </c>
      <c r="X161" s="3">
        <v>0</v>
      </c>
      <c r="Y161" s="3">
        <v>1</v>
      </c>
      <c r="Z161" s="3">
        <v>0</v>
      </c>
    </row>
    <row r="162" spans="1:26" ht="26">
      <c r="A162" s="16">
        <v>17373486</v>
      </c>
      <c r="B162" s="16" t="s">
        <v>106</v>
      </c>
      <c r="C162" s="16" t="s">
        <v>31</v>
      </c>
      <c r="D162" s="16" t="s">
        <v>442</v>
      </c>
      <c r="E162" s="16" t="s">
        <v>22</v>
      </c>
      <c r="F162" s="16" t="s">
        <v>107</v>
      </c>
      <c r="G162" s="21" t="s">
        <v>441</v>
      </c>
      <c r="H162" s="7">
        <v>3</v>
      </c>
      <c r="I162" s="1">
        <v>3</v>
      </c>
      <c r="J162" s="4">
        <f t="shared" si="15"/>
        <v>1</v>
      </c>
      <c r="K162" s="5">
        <f t="shared" si="16"/>
        <v>1</v>
      </c>
      <c r="L162" s="2">
        <v>1233517.793070439</v>
      </c>
      <c r="M162" s="2">
        <v>528000</v>
      </c>
      <c r="N162" s="6">
        <f t="shared" si="17"/>
        <v>1</v>
      </c>
      <c r="O162" s="17">
        <f t="shared" si="18"/>
        <v>0.42804408899989738</v>
      </c>
      <c r="P162" s="18">
        <v>0</v>
      </c>
      <c r="Q162" s="1">
        <f t="shared" si="19"/>
        <v>0</v>
      </c>
      <c r="R162" s="18">
        <v>5</v>
      </c>
      <c r="S162" s="18">
        <v>0</v>
      </c>
      <c r="T162" s="18">
        <v>0</v>
      </c>
      <c r="U162" s="3">
        <v>0</v>
      </c>
      <c r="V162" s="3">
        <v>0</v>
      </c>
      <c r="W162" s="3">
        <v>0</v>
      </c>
      <c r="X162" s="3">
        <v>0</v>
      </c>
      <c r="Y162" s="3">
        <v>1</v>
      </c>
      <c r="Z162" s="3">
        <v>0</v>
      </c>
    </row>
    <row r="163" spans="1:26" ht="26">
      <c r="A163" s="16">
        <v>17209980</v>
      </c>
      <c r="B163" s="16" t="s">
        <v>196</v>
      </c>
      <c r="C163" s="16" t="s">
        <v>31</v>
      </c>
      <c r="D163" s="16" t="s">
        <v>442</v>
      </c>
      <c r="E163" s="16" t="s">
        <v>22</v>
      </c>
      <c r="F163" s="16" t="s">
        <v>107</v>
      </c>
      <c r="G163" s="21" t="s">
        <v>441</v>
      </c>
      <c r="H163" s="7">
        <v>3</v>
      </c>
      <c r="I163" s="1">
        <v>3</v>
      </c>
      <c r="J163" s="1">
        <f t="shared" si="15"/>
        <v>1</v>
      </c>
      <c r="K163" s="5">
        <f t="shared" si="16"/>
        <v>1</v>
      </c>
      <c r="L163" s="2">
        <v>1233517.793070439</v>
      </c>
      <c r="M163" s="2">
        <v>532800</v>
      </c>
      <c r="N163" s="6">
        <f t="shared" si="17"/>
        <v>1</v>
      </c>
      <c r="O163" s="17">
        <f t="shared" si="18"/>
        <v>0.43193539889989646</v>
      </c>
      <c r="P163" s="18">
        <v>0</v>
      </c>
      <c r="Q163" s="1">
        <f t="shared" si="19"/>
        <v>0</v>
      </c>
      <c r="R163" s="18">
        <v>5</v>
      </c>
      <c r="S163" s="18">
        <v>0</v>
      </c>
      <c r="T163" s="18">
        <v>0</v>
      </c>
      <c r="U163" s="3">
        <v>0</v>
      </c>
      <c r="V163" s="3">
        <v>0</v>
      </c>
      <c r="W163" s="3">
        <v>0</v>
      </c>
      <c r="X163" s="3">
        <v>0</v>
      </c>
      <c r="Y163" s="3">
        <v>1</v>
      </c>
      <c r="Z163" s="3">
        <v>0</v>
      </c>
    </row>
    <row r="164" spans="1:26" ht="26">
      <c r="A164" s="16">
        <v>17223680</v>
      </c>
      <c r="B164" s="16" t="s">
        <v>252</v>
      </c>
      <c r="C164" s="16" t="s">
        <v>31</v>
      </c>
      <c r="D164" s="16" t="s">
        <v>442</v>
      </c>
      <c r="E164" s="16" t="s">
        <v>26</v>
      </c>
      <c r="F164" s="16" t="s">
        <v>107</v>
      </c>
      <c r="G164" s="21" t="s">
        <v>441</v>
      </c>
      <c r="H164" s="7">
        <v>3.1180061037639888</v>
      </c>
      <c r="I164" s="1">
        <v>3</v>
      </c>
      <c r="J164" s="4">
        <f t="shared" si="15"/>
        <v>1</v>
      </c>
      <c r="K164" s="5">
        <f t="shared" si="16"/>
        <v>0.96215334420880883</v>
      </c>
      <c r="L164" s="2">
        <v>1233517.793070439</v>
      </c>
      <c r="M164" s="2">
        <v>577200</v>
      </c>
      <c r="N164" s="6">
        <f t="shared" si="17"/>
        <v>1</v>
      </c>
      <c r="O164" s="17">
        <f t="shared" si="18"/>
        <v>0.46793001547488783</v>
      </c>
      <c r="P164" s="18">
        <v>0</v>
      </c>
      <c r="Q164" s="1">
        <f t="shared" si="19"/>
        <v>0</v>
      </c>
      <c r="R164" s="18">
        <v>6</v>
      </c>
      <c r="S164" s="18">
        <v>0</v>
      </c>
      <c r="T164" s="18">
        <v>0</v>
      </c>
      <c r="U164" s="3">
        <v>0</v>
      </c>
      <c r="V164" s="3">
        <v>0</v>
      </c>
      <c r="W164" s="3">
        <v>0</v>
      </c>
      <c r="X164" s="3">
        <v>0</v>
      </c>
      <c r="Y164" s="3">
        <v>1</v>
      </c>
      <c r="Z164" s="3">
        <v>0</v>
      </c>
    </row>
    <row r="165" spans="1:26" ht="26">
      <c r="A165" s="16">
        <v>17611798</v>
      </c>
      <c r="B165" s="16" t="s">
        <v>45</v>
      </c>
      <c r="C165" s="16" t="s">
        <v>21</v>
      </c>
      <c r="D165" s="16" t="s">
        <v>442</v>
      </c>
      <c r="E165" s="16" t="s">
        <v>22</v>
      </c>
      <c r="F165" s="16" t="s">
        <v>46</v>
      </c>
      <c r="G165" s="21" t="s">
        <v>441</v>
      </c>
      <c r="H165" s="7">
        <v>5.612410986775159</v>
      </c>
      <c r="I165" s="1">
        <v>3</v>
      </c>
      <c r="J165" s="1">
        <f t="shared" si="15"/>
        <v>1</v>
      </c>
      <c r="K165" s="5">
        <f t="shared" si="16"/>
        <v>0.53452963567156242</v>
      </c>
      <c r="L165" s="2">
        <v>1233517.793070439</v>
      </c>
      <c r="M165" s="2">
        <v>175000</v>
      </c>
      <c r="N165" s="6">
        <f t="shared" si="17"/>
        <v>0</v>
      </c>
      <c r="O165" s="17">
        <f t="shared" si="18"/>
        <v>0.14187067343746598</v>
      </c>
      <c r="P165" s="18">
        <v>0</v>
      </c>
      <c r="Q165" s="1">
        <f t="shared" si="19"/>
        <v>0</v>
      </c>
      <c r="R165" s="18">
        <v>8</v>
      </c>
      <c r="S165" s="18">
        <v>0</v>
      </c>
      <c r="T165" s="18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1</v>
      </c>
    </row>
    <row r="166" spans="1:26" ht="26">
      <c r="A166" s="16">
        <v>17552372</v>
      </c>
      <c r="B166" s="16" t="s">
        <v>165</v>
      </c>
      <c r="C166" s="16" t="s">
        <v>21</v>
      </c>
      <c r="D166" s="16" t="s">
        <v>440</v>
      </c>
      <c r="E166" s="16" t="s">
        <v>22</v>
      </c>
      <c r="F166" s="16" t="s">
        <v>46</v>
      </c>
      <c r="G166" s="21" t="s">
        <v>441</v>
      </c>
      <c r="H166" s="7">
        <v>5</v>
      </c>
      <c r="I166" s="1">
        <v>10</v>
      </c>
      <c r="J166" s="1">
        <f t="shared" si="15"/>
        <v>1</v>
      </c>
      <c r="K166" s="5">
        <f t="shared" si="16"/>
        <v>2</v>
      </c>
      <c r="L166" s="2">
        <v>12908778</v>
      </c>
      <c r="M166" s="2">
        <v>8590000</v>
      </c>
      <c r="N166" s="6">
        <f t="shared" si="17"/>
        <v>1</v>
      </c>
      <c r="O166" s="17">
        <f t="shared" si="18"/>
        <v>0.66543866506961391</v>
      </c>
      <c r="P166" s="18">
        <v>0</v>
      </c>
      <c r="Q166" s="1">
        <f t="shared" si="19"/>
        <v>0</v>
      </c>
      <c r="R166" s="18">
        <v>7</v>
      </c>
      <c r="S166" s="18">
        <v>0</v>
      </c>
      <c r="T166" s="18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1</v>
      </c>
    </row>
    <row r="167" spans="1:26" ht="26">
      <c r="A167" s="16">
        <v>17699722</v>
      </c>
      <c r="B167" s="16" t="s">
        <v>114</v>
      </c>
      <c r="C167" s="16" t="s">
        <v>21</v>
      </c>
      <c r="D167" s="16" t="s">
        <v>442</v>
      </c>
      <c r="E167" s="16" t="s">
        <v>22</v>
      </c>
      <c r="F167" s="16" t="s">
        <v>46</v>
      </c>
      <c r="G167" s="21" t="s">
        <v>441</v>
      </c>
      <c r="H167" s="7">
        <v>5</v>
      </c>
      <c r="I167" s="1">
        <v>3</v>
      </c>
      <c r="J167" s="1">
        <f t="shared" si="15"/>
        <v>1</v>
      </c>
      <c r="K167" s="5">
        <f t="shared" si="16"/>
        <v>0.6</v>
      </c>
      <c r="L167" s="2">
        <v>1233517.793070439</v>
      </c>
      <c r="M167" s="2">
        <v>175000</v>
      </c>
      <c r="N167" s="6">
        <f t="shared" si="17"/>
        <v>0</v>
      </c>
      <c r="O167" s="17">
        <f t="shared" si="18"/>
        <v>0.14187067343746598</v>
      </c>
      <c r="P167" s="18">
        <v>0</v>
      </c>
      <c r="Q167" s="1">
        <f t="shared" si="19"/>
        <v>0</v>
      </c>
      <c r="R167" s="18">
        <v>7</v>
      </c>
      <c r="S167" s="18">
        <v>0</v>
      </c>
      <c r="T167" s="18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1</v>
      </c>
    </row>
    <row r="168" spans="1:26" ht="26">
      <c r="A168" s="16">
        <v>17705470</v>
      </c>
      <c r="B168" s="16" t="s">
        <v>350</v>
      </c>
      <c r="C168" s="16" t="s">
        <v>21</v>
      </c>
      <c r="D168" s="16" t="s">
        <v>442</v>
      </c>
      <c r="E168" s="16" t="s">
        <v>22</v>
      </c>
      <c r="F168" s="16" t="s">
        <v>46</v>
      </c>
      <c r="G168" s="21" t="s">
        <v>441</v>
      </c>
      <c r="H168" s="7">
        <v>3</v>
      </c>
      <c r="I168" s="1">
        <v>3</v>
      </c>
      <c r="J168" s="4">
        <f t="shared" si="15"/>
        <v>1</v>
      </c>
      <c r="K168" s="5">
        <f t="shared" si="16"/>
        <v>1</v>
      </c>
      <c r="L168" s="2">
        <v>1233517.793070439</v>
      </c>
      <c r="M168" s="2">
        <v>1170000</v>
      </c>
      <c r="N168" s="6">
        <f t="shared" si="17"/>
        <v>1</v>
      </c>
      <c r="O168" s="17">
        <f t="shared" si="18"/>
        <v>0.94850678812477263</v>
      </c>
      <c r="P168" s="18">
        <v>2</v>
      </c>
      <c r="Q168" s="1">
        <f t="shared" si="19"/>
        <v>0</v>
      </c>
      <c r="R168" s="18">
        <v>5</v>
      </c>
      <c r="S168" s="18">
        <v>2</v>
      </c>
      <c r="T168" s="18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1</v>
      </c>
    </row>
    <row r="169" spans="1:26" s="25" customFormat="1" ht="26">
      <c r="A169" s="23">
        <v>17565276</v>
      </c>
      <c r="B169" s="23" t="s">
        <v>469</v>
      </c>
      <c r="C169" s="16" t="s">
        <v>21</v>
      </c>
      <c r="D169" s="16" t="s">
        <v>442</v>
      </c>
      <c r="E169" s="16" t="s">
        <v>26</v>
      </c>
      <c r="F169" s="24" t="s">
        <v>46</v>
      </c>
      <c r="G169" s="23" t="s">
        <v>441</v>
      </c>
      <c r="H169" s="7">
        <v>2.7022719565954572</v>
      </c>
      <c r="I169" s="1">
        <v>0</v>
      </c>
      <c r="J169" s="1">
        <f t="shared" si="15"/>
        <v>0</v>
      </c>
      <c r="K169" s="5">
        <f t="shared" si="16"/>
        <v>0</v>
      </c>
      <c r="L169" s="2">
        <v>300000</v>
      </c>
      <c r="M169" s="2">
        <v>180000</v>
      </c>
      <c r="N169" s="6">
        <f t="shared" si="17"/>
        <v>0</v>
      </c>
      <c r="O169" s="17">
        <f t="shared" si="18"/>
        <v>0.6</v>
      </c>
      <c r="P169" s="18">
        <v>3</v>
      </c>
      <c r="Q169" s="1">
        <f t="shared" si="19"/>
        <v>1</v>
      </c>
      <c r="R169" s="18">
        <v>5</v>
      </c>
      <c r="S169" s="18">
        <v>3</v>
      </c>
      <c r="T169" s="18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1</v>
      </c>
    </row>
    <row r="170" spans="1:26" ht="26">
      <c r="A170" s="16">
        <v>17347639</v>
      </c>
      <c r="B170" s="16" t="s">
        <v>238</v>
      </c>
      <c r="C170" s="16" t="s">
        <v>35</v>
      </c>
      <c r="D170" s="16" t="s">
        <v>440</v>
      </c>
      <c r="E170" s="16" t="s">
        <v>22</v>
      </c>
      <c r="F170" s="16" t="s">
        <v>60</v>
      </c>
      <c r="G170" s="21" t="s">
        <v>441</v>
      </c>
      <c r="H170" s="7">
        <v>5</v>
      </c>
      <c r="I170" s="1">
        <v>3</v>
      </c>
      <c r="J170" s="1">
        <f t="shared" si="15"/>
        <v>1</v>
      </c>
      <c r="K170" s="5">
        <f t="shared" si="16"/>
        <v>0.6</v>
      </c>
      <c r="L170" s="2">
        <v>29626053.564346101</v>
      </c>
      <c r="M170" s="2">
        <v>1510000</v>
      </c>
      <c r="N170" s="6">
        <f t="shared" si="17"/>
        <v>1</v>
      </c>
      <c r="O170" s="17">
        <f t="shared" si="18"/>
        <v>5.0968651518852014E-2</v>
      </c>
      <c r="P170" s="18">
        <v>0</v>
      </c>
      <c r="Q170" s="1">
        <f t="shared" si="19"/>
        <v>0</v>
      </c>
      <c r="R170" s="18">
        <v>7</v>
      </c>
      <c r="S170" s="18">
        <v>0</v>
      </c>
      <c r="T170" s="18">
        <v>0</v>
      </c>
      <c r="U170" s="3">
        <v>1</v>
      </c>
      <c r="V170" s="3">
        <v>0</v>
      </c>
      <c r="W170" s="3">
        <v>0</v>
      </c>
      <c r="X170" s="3">
        <v>1</v>
      </c>
      <c r="Y170" s="3">
        <v>0</v>
      </c>
      <c r="Z170" s="3">
        <v>1</v>
      </c>
    </row>
    <row r="171" spans="1:26" ht="26">
      <c r="A171" s="16">
        <v>17626277</v>
      </c>
      <c r="B171" s="16" t="s">
        <v>250</v>
      </c>
      <c r="C171" s="16" t="s">
        <v>35</v>
      </c>
      <c r="D171" s="16" t="s">
        <v>444</v>
      </c>
      <c r="E171" s="16" t="s">
        <v>26</v>
      </c>
      <c r="F171" s="16" t="s">
        <v>96</v>
      </c>
      <c r="G171" s="21" t="s">
        <v>441</v>
      </c>
      <c r="H171" s="7">
        <v>3</v>
      </c>
      <c r="I171" s="1">
        <v>0</v>
      </c>
      <c r="J171" s="1">
        <f t="shared" si="15"/>
        <v>0</v>
      </c>
      <c r="K171" s="5">
        <f t="shared" si="16"/>
        <v>0</v>
      </c>
      <c r="L171" s="2">
        <v>6018419.3717715694</v>
      </c>
      <c r="M171" s="2">
        <v>866000</v>
      </c>
      <c r="N171" s="6">
        <f t="shared" si="17"/>
        <v>1</v>
      </c>
      <c r="O171" s="17">
        <f t="shared" si="18"/>
        <v>0.14389160118383143</v>
      </c>
      <c r="P171" s="18">
        <v>4</v>
      </c>
      <c r="Q171" s="1">
        <f t="shared" si="19"/>
        <v>1</v>
      </c>
      <c r="R171" s="18">
        <v>5</v>
      </c>
      <c r="S171" s="18">
        <v>4</v>
      </c>
      <c r="T171" s="18">
        <v>0</v>
      </c>
      <c r="U171" s="3">
        <v>0</v>
      </c>
      <c r="V171" s="3">
        <v>1</v>
      </c>
      <c r="W171" s="3">
        <v>0</v>
      </c>
      <c r="X171" s="3">
        <v>1</v>
      </c>
      <c r="Y171" s="3">
        <v>1</v>
      </c>
      <c r="Z171" s="3">
        <v>0</v>
      </c>
    </row>
    <row r="172" spans="1:26" ht="26">
      <c r="A172" s="16">
        <v>17628338</v>
      </c>
      <c r="B172" s="16" t="s">
        <v>254</v>
      </c>
      <c r="C172" s="16" t="s">
        <v>35</v>
      </c>
      <c r="D172" s="16" t="s">
        <v>442</v>
      </c>
      <c r="E172" s="16" t="s">
        <v>22</v>
      </c>
      <c r="F172" s="16" t="s">
        <v>109</v>
      </c>
      <c r="G172" s="21" t="s">
        <v>441</v>
      </c>
      <c r="H172" s="7">
        <v>3.3258731773482562</v>
      </c>
      <c r="I172" s="1">
        <v>4</v>
      </c>
      <c r="J172" s="4">
        <f t="shared" si="15"/>
        <v>1</v>
      </c>
      <c r="K172" s="5">
        <f t="shared" si="16"/>
        <v>1.2026916802610106</v>
      </c>
      <c r="L172" s="2">
        <v>1233517.793070439</v>
      </c>
      <c r="M172" s="2">
        <v>5222500</v>
      </c>
      <c r="N172" s="6">
        <f t="shared" si="17"/>
        <v>1</v>
      </c>
      <c r="O172" s="17">
        <f t="shared" si="18"/>
        <v>4.2338262401552349</v>
      </c>
      <c r="P172" s="18">
        <v>4</v>
      </c>
      <c r="Q172" s="1">
        <f t="shared" si="19"/>
        <v>1</v>
      </c>
      <c r="R172" s="18">
        <v>6</v>
      </c>
      <c r="S172" s="18">
        <v>4</v>
      </c>
      <c r="T172" s="18">
        <v>0</v>
      </c>
      <c r="U172" s="3">
        <v>1</v>
      </c>
      <c r="V172" s="3">
        <v>0</v>
      </c>
      <c r="W172" s="3">
        <v>0</v>
      </c>
      <c r="X172" s="3">
        <v>0</v>
      </c>
      <c r="Y172" s="3">
        <v>0</v>
      </c>
      <c r="Z172" s="3">
        <v>1</v>
      </c>
    </row>
    <row r="173" spans="1:26" ht="26">
      <c r="A173" s="16">
        <v>1483993</v>
      </c>
      <c r="B173" s="16" t="s">
        <v>258</v>
      </c>
      <c r="C173" s="16" t="s">
        <v>35</v>
      </c>
      <c r="D173" s="16" t="s">
        <v>440</v>
      </c>
      <c r="E173" s="16" t="s">
        <v>22</v>
      </c>
      <c r="F173" s="16" t="s">
        <v>105</v>
      </c>
      <c r="G173" s="21" t="s">
        <v>441</v>
      </c>
      <c r="H173" s="7">
        <v>29</v>
      </c>
      <c r="I173" s="1">
        <v>6</v>
      </c>
      <c r="J173" s="1">
        <f t="shared" si="15"/>
        <v>1</v>
      </c>
      <c r="K173" s="5">
        <f t="shared" si="16"/>
        <v>0.20689655172413793</v>
      </c>
      <c r="L173" s="2">
        <v>3282105.2299947948</v>
      </c>
      <c r="M173" s="2">
        <v>3588000</v>
      </c>
      <c r="N173" s="6">
        <f t="shared" si="17"/>
        <v>1</v>
      </c>
      <c r="O173" s="17">
        <f t="shared" si="18"/>
        <v>1.0932007807701187</v>
      </c>
      <c r="P173" s="18">
        <v>5</v>
      </c>
      <c r="Q173" s="1">
        <f t="shared" si="19"/>
        <v>1</v>
      </c>
      <c r="R173" s="18">
        <v>21</v>
      </c>
      <c r="S173" s="18">
        <v>7</v>
      </c>
      <c r="T173" s="18">
        <v>0</v>
      </c>
      <c r="U173" s="3">
        <v>1</v>
      </c>
      <c r="V173" s="3">
        <v>0</v>
      </c>
      <c r="W173" s="3">
        <v>0</v>
      </c>
      <c r="X173" s="3">
        <v>1</v>
      </c>
      <c r="Y173" s="3">
        <v>0</v>
      </c>
      <c r="Z173" s="3">
        <v>1</v>
      </c>
    </row>
    <row r="174" spans="1:26" ht="26">
      <c r="A174" s="16" t="s">
        <v>432</v>
      </c>
      <c r="B174" s="16" t="s">
        <v>435</v>
      </c>
      <c r="C174" s="16" t="s">
        <v>35</v>
      </c>
      <c r="D174" s="16" t="s">
        <v>440</v>
      </c>
      <c r="E174" s="16" t="s">
        <v>22</v>
      </c>
      <c r="F174" s="19" t="s">
        <v>225</v>
      </c>
      <c r="G174" s="21" t="s">
        <v>441</v>
      </c>
      <c r="H174" s="7">
        <v>6.0281451339437124</v>
      </c>
      <c r="I174" s="1">
        <v>3</v>
      </c>
      <c r="J174" s="4">
        <f t="shared" si="15"/>
        <v>1</v>
      </c>
      <c r="K174" s="5">
        <f t="shared" si="16"/>
        <v>0.49766552286662519</v>
      </c>
      <c r="L174" s="2">
        <v>2549477.9785796599</v>
      </c>
      <c r="M174" s="2">
        <v>1683000</v>
      </c>
      <c r="N174" s="6">
        <f t="shared" si="17"/>
        <v>1</v>
      </c>
      <c r="O174" s="17">
        <f t="shared" si="18"/>
        <v>0.66013513909134303</v>
      </c>
      <c r="P174" s="18">
        <v>0</v>
      </c>
      <c r="Q174" s="1">
        <f t="shared" si="19"/>
        <v>0</v>
      </c>
      <c r="R174" s="18">
        <v>9</v>
      </c>
      <c r="S174" s="18">
        <v>0</v>
      </c>
      <c r="T174" s="18">
        <v>0</v>
      </c>
      <c r="U174" s="3">
        <v>0</v>
      </c>
      <c r="V174" s="3">
        <v>0</v>
      </c>
      <c r="W174" s="3">
        <v>0</v>
      </c>
      <c r="X174" s="3">
        <v>1</v>
      </c>
      <c r="Y174" s="3">
        <v>1</v>
      </c>
      <c r="Z174" s="3">
        <v>0</v>
      </c>
    </row>
    <row r="175" spans="1:26" ht="26">
      <c r="A175" s="16">
        <v>17775710</v>
      </c>
      <c r="B175" s="16" t="s">
        <v>263</v>
      </c>
      <c r="C175" s="16" t="s">
        <v>35</v>
      </c>
      <c r="D175" s="16" t="s">
        <v>442</v>
      </c>
      <c r="E175" s="16" t="s">
        <v>26</v>
      </c>
      <c r="F175" s="16" t="s">
        <v>62</v>
      </c>
      <c r="G175" s="21" t="s">
        <v>441</v>
      </c>
      <c r="H175" s="7">
        <v>4.7809426924381153</v>
      </c>
      <c r="I175" s="1">
        <v>3</v>
      </c>
      <c r="J175" s="1">
        <f t="shared" si="15"/>
        <v>1</v>
      </c>
      <c r="K175" s="5">
        <f t="shared" si="16"/>
        <v>0.62749131144052761</v>
      </c>
      <c r="L175" s="2">
        <v>1233517.793070439</v>
      </c>
      <c r="M175" s="2">
        <v>1350000</v>
      </c>
      <c r="N175" s="6">
        <f t="shared" si="17"/>
        <v>1</v>
      </c>
      <c r="O175" s="17">
        <f t="shared" si="18"/>
        <v>1.0944309093747375</v>
      </c>
      <c r="P175" s="18">
        <v>5</v>
      </c>
      <c r="Q175" s="1">
        <f t="shared" si="19"/>
        <v>1</v>
      </c>
      <c r="R175" s="18">
        <v>7</v>
      </c>
      <c r="S175" s="18">
        <v>5</v>
      </c>
      <c r="T175" s="18">
        <v>0</v>
      </c>
      <c r="U175" s="3">
        <v>0</v>
      </c>
      <c r="V175" s="3">
        <v>0</v>
      </c>
      <c r="W175" s="3">
        <v>1</v>
      </c>
      <c r="X175" s="3">
        <v>0</v>
      </c>
      <c r="Y175" s="3">
        <v>0</v>
      </c>
      <c r="Z175" s="3">
        <v>0</v>
      </c>
    </row>
    <row r="176" spans="1:26" ht="26">
      <c r="A176" s="16">
        <v>17674081</v>
      </c>
      <c r="B176" s="16" t="s">
        <v>264</v>
      </c>
      <c r="C176" s="16" t="s">
        <v>35</v>
      </c>
      <c r="D176" s="16" t="s">
        <v>442</v>
      </c>
      <c r="E176" s="16" t="s">
        <v>26</v>
      </c>
      <c r="F176" s="16" t="s">
        <v>85</v>
      </c>
      <c r="G176" s="21" t="s">
        <v>441</v>
      </c>
      <c r="H176" s="7">
        <v>4.9888097660223796</v>
      </c>
      <c r="I176" s="1">
        <v>3</v>
      </c>
      <c r="J176" s="4">
        <f t="shared" si="15"/>
        <v>1</v>
      </c>
      <c r="K176" s="5">
        <f t="shared" si="16"/>
        <v>0.60134584013050585</v>
      </c>
      <c r="L176" s="2">
        <v>1233517.793070439</v>
      </c>
      <c r="M176" s="2">
        <v>3465000</v>
      </c>
      <c r="N176" s="6">
        <f t="shared" si="17"/>
        <v>1</v>
      </c>
      <c r="O176" s="17">
        <f t="shared" si="18"/>
        <v>2.8090393340618265</v>
      </c>
      <c r="P176" s="18">
        <v>5</v>
      </c>
      <c r="Q176" s="1">
        <f t="shared" si="19"/>
        <v>1</v>
      </c>
      <c r="R176" s="18">
        <v>7</v>
      </c>
      <c r="S176" s="18">
        <v>5</v>
      </c>
      <c r="T176" s="18">
        <v>0</v>
      </c>
      <c r="U176" s="3">
        <v>0</v>
      </c>
      <c r="V176" s="3">
        <v>0</v>
      </c>
      <c r="W176" s="3">
        <v>1</v>
      </c>
      <c r="X176" s="3">
        <v>0</v>
      </c>
      <c r="Y176" s="3">
        <v>0</v>
      </c>
      <c r="Z176" s="3">
        <v>0</v>
      </c>
    </row>
    <row r="177" spans="1:26" ht="26">
      <c r="A177" s="16">
        <v>17446543</v>
      </c>
      <c r="B177" s="16" t="s">
        <v>270</v>
      </c>
      <c r="C177" s="16" t="s">
        <v>35</v>
      </c>
      <c r="D177" s="16" t="s">
        <v>442</v>
      </c>
      <c r="E177" s="16" t="s">
        <v>26</v>
      </c>
      <c r="F177" s="16" t="s">
        <v>271</v>
      </c>
      <c r="G177" s="21" t="s">
        <v>441</v>
      </c>
      <c r="H177" s="7">
        <v>5</v>
      </c>
      <c r="I177" s="1">
        <v>0</v>
      </c>
      <c r="J177" s="1">
        <f t="shared" si="15"/>
        <v>0</v>
      </c>
      <c r="K177" s="5">
        <f t="shared" si="16"/>
        <v>0</v>
      </c>
      <c r="L177" s="2">
        <v>1233517.793070439</v>
      </c>
      <c r="M177" s="2">
        <v>0</v>
      </c>
      <c r="N177" s="6">
        <f t="shared" si="17"/>
        <v>0</v>
      </c>
      <c r="O177" s="17">
        <f t="shared" si="18"/>
        <v>0</v>
      </c>
      <c r="P177" s="18">
        <v>5</v>
      </c>
      <c r="Q177" s="1">
        <f t="shared" si="19"/>
        <v>1</v>
      </c>
      <c r="R177" s="18">
        <v>7</v>
      </c>
      <c r="S177" s="18">
        <v>5</v>
      </c>
      <c r="T177" s="18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 s="3">
        <v>0</v>
      </c>
    </row>
    <row r="178" spans="1:26" ht="26">
      <c r="A178" s="16">
        <v>17377232</v>
      </c>
      <c r="B178" s="16" t="s">
        <v>277</v>
      </c>
      <c r="C178" s="16" t="s">
        <v>35</v>
      </c>
      <c r="D178" s="16" t="s">
        <v>442</v>
      </c>
      <c r="E178" s="16" t="s">
        <v>26</v>
      </c>
      <c r="F178" s="16" t="s">
        <v>271</v>
      </c>
      <c r="G178" s="21" t="s">
        <v>441</v>
      </c>
      <c r="H178" s="7">
        <v>3</v>
      </c>
      <c r="I178" s="1">
        <v>0</v>
      </c>
      <c r="J178" s="4">
        <f t="shared" si="15"/>
        <v>0</v>
      </c>
      <c r="K178" s="5">
        <f t="shared" si="16"/>
        <v>0</v>
      </c>
      <c r="L178" s="2">
        <v>1233517.793070439</v>
      </c>
      <c r="M178" s="2">
        <v>0</v>
      </c>
      <c r="N178" s="6">
        <f t="shared" si="17"/>
        <v>0</v>
      </c>
      <c r="O178" s="17">
        <f t="shared" si="18"/>
        <v>0</v>
      </c>
      <c r="P178" s="18">
        <v>0</v>
      </c>
      <c r="Q178" s="1">
        <f t="shared" si="19"/>
        <v>0</v>
      </c>
      <c r="R178" s="18">
        <v>5</v>
      </c>
      <c r="S178" s="18">
        <v>0</v>
      </c>
      <c r="T178" s="18">
        <v>0</v>
      </c>
      <c r="U178" s="3">
        <v>0</v>
      </c>
      <c r="V178" s="3">
        <v>0</v>
      </c>
      <c r="W178" s="3">
        <v>0</v>
      </c>
      <c r="X178" s="3">
        <v>0</v>
      </c>
      <c r="Y178" s="3">
        <v>0</v>
      </c>
      <c r="Z178" s="3">
        <v>0</v>
      </c>
    </row>
    <row r="179" spans="1:26" ht="26">
      <c r="A179" s="16">
        <v>17668458</v>
      </c>
      <c r="B179" s="16" t="s">
        <v>279</v>
      </c>
      <c r="C179" s="16" t="s">
        <v>35</v>
      </c>
      <c r="D179" s="16" t="s">
        <v>442</v>
      </c>
      <c r="E179" s="16" t="s">
        <v>22</v>
      </c>
      <c r="F179" s="16" t="s">
        <v>88</v>
      </c>
      <c r="G179" s="21" t="s">
        <v>441</v>
      </c>
      <c r="H179" s="7">
        <v>3</v>
      </c>
      <c r="I179" s="1">
        <v>3</v>
      </c>
      <c r="J179" s="1">
        <f t="shared" si="15"/>
        <v>1</v>
      </c>
      <c r="K179" s="5">
        <f t="shared" si="16"/>
        <v>1</v>
      </c>
      <c r="L179" s="2">
        <v>1233517.793070439</v>
      </c>
      <c r="M179" s="2">
        <v>1850000</v>
      </c>
      <c r="N179" s="6">
        <f t="shared" si="17"/>
        <v>1</v>
      </c>
      <c r="O179" s="17">
        <f t="shared" si="18"/>
        <v>1.4997756906246404</v>
      </c>
      <c r="P179" s="18">
        <v>0</v>
      </c>
      <c r="Q179" s="1">
        <f t="shared" si="19"/>
        <v>0</v>
      </c>
      <c r="R179" s="18">
        <v>5</v>
      </c>
      <c r="S179" s="18">
        <v>0</v>
      </c>
      <c r="T179" s="18">
        <v>0</v>
      </c>
      <c r="U179" s="3">
        <v>0</v>
      </c>
      <c r="V179" s="3">
        <v>1</v>
      </c>
      <c r="W179" s="3">
        <v>0</v>
      </c>
      <c r="X179" s="3">
        <v>0</v>
      </c>
      <c r="Y179" s="3">
        <v>0</v>
      </c>
      <c r="Z179" s="3">
        <v>0</v>
      </c>
    </row>
    <row r="180" spans="1:26" ht="26">
      <c r="A180" s="16">
        <v>17630100</v>
      </c>
      <c r="B180" s="16" t="s">
        <v>411</v>
      </c>
      <c r="C180" s="16" t="s">
        <v>21</v>
      </c>
      <c r="D180" s="16" t="s">
        <v>442</v>
      </c>
      <c r="E180" s="16" t="s">
        <v>26</v>
      </c>
      <c r="F180" s="16" t="s">
        <v>412</v>
      </c>
      <c r="G180" s="21" t="s">
        <v>441</v>
      </c>
      <c r="H180" s="7">
        <v>6.0281451339437124</v>
      </c>
      <c r="I180" s="1">
        <v>3</v>
      </c>
      <c r="J180" s="1">
        <f t="shared" si="15"/>
        <v>1</v>
      </c>
      <c r="K180" s="5">
        <f t="shared" si="16"/>
        <v>0.49766552286662519</v>
      </c>
      <c r="L180" s="2">
        <v>1233517.793070439</v>
      </c>
      <c r="M180" s="2">
        <v>1062000</v>
      </c>
      <c r="N180" s="6">
        <f t="shared" si="17"/>
        <v>1</v>
      </c>
      <c r="O180" s="17">
        <f t="shared" si="18"/>
        <v>0.86095231537479355</v>
      </c>
      <c r="P180" s="18">
        <v>0</v>
      </c>
      <c r="Q180" s="1">
        <f t="shared" si="19"/>
        <v>0</v>
      </c>
      <c r="R180" s="18">
        <v>9</v>
      </c>
      <c r="S180" s="18">
        <v>0</v>
      </c>
      <c r="T180" s="18">
        <v>0</v>
      </c>
      <c r="U180" s="3">
        <v>0</v>
      </c>
      <c r="V180" s="3">
        <v>0</v>
      </c>
      <c r="W180" s="3">
        <v>0</v>
      </c>
      <c r="X180" s="3">
        <v>0</v>
      </c>
      <c r="Y180" s="3">
        <v>1</v>
      </c>
      <c r="Z180" s="3">
        <v>0</v>
      </c>
    </row>
    <row r="181" spans="1:26" ht="26">
      <c r="A181" s="16">
        <v>17692826</v>
      </c>
      <c r="B181" s="16" t="s">
        <v>239</v>
      </c>
      <c r="C181" s="16" t="s">
        <v>21</v>
      </c>
      <c r="D181" s="16" t="s">
        <v>442</v>
      </c>
      <c r="E181" s="16" t="s">
        <v>22</v>
      </c>
      <c r="F181" s="16" t="s">
        <v>177</v>
      </c>
      <c r="G181" s="21" t="s">
        <v>441</v>
      </c>
      <c r="H181" s="7">
        <v>12.47202441505593</v>
      </c>
      <c r="I181" s="1">
        <v>3</v>
      </c>
      <c r="J181" s="4">
        <f t="shared" si="15"/>
        <v>1</v>
      </c>
      <c r="K181" s="5">
        <f t="shared" si="16"/>
        <v>0.24053833605220268</v>
      </c>
      <c r="L181" s="2">
        <v>1233517.793070439</v>
      </c>
      <c r="M181" s="2">
        <v>2154000</v>
      </c>
      <c r="N181" s="6">
        <f t="shared" si="17"/>
        <v>1</v>
      </c>
      <c r="O181" s="17">
        <f t="shared" si="18"/>
        <v>1.7462253176245814</v>
      </c>
      <c r="P181" s="18">
        <v>0</v>
      </c>
      <c r="Q181" s="1">
        <f t="shared" si="19"/>
        <v>0</v>
      </c>
      <c r="R181" s="18">
        <v>15</v>
      </c>
      <c r="S181" s="18">
        <v>0</v>
      </c>
      <c r="T181" s="18">
        <v>0</v>
      </c>
      <c r="U181" s="3">
        <v>0</v>
      </c>
      <c r="V181" s="3">
        <v>0</v>
      </c>
      <c r="W181" s="3">
        <v>0</v>
      </c>
      <c r="X181" s="3">
        <v>0</v>
      </c>
      <c r="Y181" s="3">
        <v>1</v>
      </c>
      <c r="Z181" s="3">
        <v>0</v>
      </c>
    </row>
    <row r="182" spans="1:26" ht="26">
      <c r="A182" s="16">
        <v>17811480</v>
      </c>
      <c r="B182" s="16" t="s">
        <v>176</v>
      </c>
      <c r="C182" s="16" t="s">
        <v>21</v>
      </c>
      <c r="D182" s="16" t="s">
        <v>442</v>
      </c>
      <c r="E182" s="16" t="s">
        <v>26</v>
      </c>
      <c r="F182" s="16" t="s">
        <v>177</v>
      </c>
      <c r="G182" s="21" t="s">
        <v>441</v>
      </c>
      <c r="H182" s="7">
        <v>5.1966768396066563</v>
      </c>
      <c r="I182" s="1">
        <v>3</v>
      </c>
      <c r="J182" s="4">
        <f t="shared" si="15"/>
        <v>1</v>
      </c>
      <c r="K182" s="5">
        <f t="shared" si="16"/>
        <v>0.57729200652528434</v>
      </c>
      <c r="L182" s="2">
        <v>1233517.793070439</v>
      </c>
      <c r="M182" s="2">
        <v>1300000</v>
      </c>
      <c r="N182" s="6">
        <f t="shared" si="17"/>
        <v>1</v>
      </c>
      <c r="O182" s="17">
        <f t="shared" si="18"/>
        <v>1.0538964312497474</v>
      </c>
      <c r="P182" s="18">
        <v>0</v>
      </c>
      <c r="Q182" s="1">
        <f t="shared" si="19"/>
        <v>0</v>
      </c>
      <c r="R182" s="18">
        <v>8</v>
      </c>
      <c r="S182" s="18">
        <v>0</v>
      </c>
      <c r="T182" s="18">
        <v>0</v>
      </c>
      <c r="U182" s="3">
        <v>0</v>
      </c>
      <c r="V182" s="3">
        <v>0</v>
      </c>
      <c r="W182" s="3">
        <v>0</v>
      </c>
      <c r="X182" s="3">
        <v>0</v>
      </c>
      <c r="Y182" s="3">
        <v>1</v>
      </c>
      <c r="Z182" s="3">
        <v>0</v>
      </c>
    </row>
    <row r="183" spans="1:26" ht="26">
      <c r="A183" s="16">
        <v>17664125</v>
      </c>
      <c r="B183" s="16" t="s">
        <v>194</v>
      </c>
      <c r="C183" s="16" t="s">
        <v>21</v>
      </c>
      <c r="D183" s="16" t="s">
        <v>442</v>
      </c>
      <c r="E183" s="16" t="s">
        <v>22</v>
      </c>
      <c r="F183" s="16" t="s">
        <v>177</v>
      </c>
      <c r="G183" s="21" t="s">
        <v>441</v>
      </c>
      <c r="H183" s="7">
        <v>5</v>
      </c>
      <c r="I183" s="1">
        <v>3</v>
      </c>
      <c r="J183" s="1">
        <f t="shared" si="15"/>
        <v>1</v>
      </c>
      <c r="K183" s="5">
        <f t="shared" si="16"/>
        <v>0.6</v>
      </c>
      <c r="L183" s="2">
        <v>1233517.793070439</v>
      </c>
      <c r="M183" s="2">
        <v>884000</v>
      </c>
      <c r="N183" s="6">
        <f t="shared" si="17"/>
        <v>1</v>
      </c>
      <c r="O183" s="17">
        <f t="shared" si="18"/>
        <v>0.71664957324982814</v>
      </c>
      <c r="P183" s="18">
        <v>1</v>
      </c>
      <c r="Q183" s="1">
        <f t="shared" si="19"/>
        <v>0</v>
      </c>
      <c r="R183" s="18">
        <v>7</v>
      </c>
      <c r="S183" s="18">
        <v>0</v>
      </c>
      <c r="T183" s="18">
        <v>0</v>
      </c>
      <c r="U183" s="3">
        <v>0</v>
      </c>
      <c r="V183" s="3">
        <v>0</v>
      </c>
      <c r="W183" s="3">
        <v>0</v>
      </c>
      <c r="X183" s="3">
        <v>0</v>
      </c>
      <c r="Y183" s="3">
        <v>1</v>
      </c>
      <c r="Z183" s="3">
        <v>0</v>
      </c>
    </row>
    <row r="184" spans="1:26" ht="26">
      <c r="A184" s="16">
        <v>17746764</v>
      </c>
      <c r="B184" s="16" t="s">
        <v>335</v>
      </c>
      <c r="C184" s="16" t="s">
        <v>21</v>
      </c>
      <c r="D184" s="16" t="s">
        <v>442</v>
      </c>
      <c r="E184" s="16" t="s">
        <v>22</v>
      </c>
      <c r="F184" s="16" t="s">
        <v>177</v>
      </c>
      <c r="G184" s="21" t="s">
        <v>441</v>
      </c>
      <c r="H184" s="7">
        <v>3.1180061037639888</v>
      </c>
      <c r="I184" s="1">
        <v>3</v>
      </c>
      <c r="J184" s="1">
        <f t="shared" si="15"/>
        <v>1</v>
      </c>
      <c r="K184" s="5">
        <f t="shared" si="16"/>
        <v>0.96215334420880883</v>
      </c>
      <c r="L184" s="2">
        <v>1233517.793070439</v>
      </c>
      <c r="M184" s="2">
        <v>1624000</v>
      </c>
      <c r="N184" s="6">
        <f t="shared" si="17"/>
        <v>1</v>
      </c>
      <c r="O184" s="17">
        <f t="shared" si="18"/>
        <v>1.3165598494996844</v>
      </c>
      <c r="P184" s="18">
        <v>0</v>
      </c>
      <c r="Q184" s="1">
        <f t="shared" si="19"/>
        <v>0</v>
      </c>
      <c r="R184" s="18">
        <v>6</v>
      </c>
      <c r="S184" s="18">
        <v>2</v>
      </c>
      <c r="T184" s="18">
        <v>0</v>
      </c>
      <c r="U184" s="3">
        <v>0</v>
      </c>
      <c r="V184" s="3">
        <v>0</v>
      </c>
      <c r="W184" s="3">
        <v>0</v>
      </c>
      <c r="X184" s="3">
        <v>0</v>
      </c>
      <c r="Y184" s="3">
        <v>1</v>
      </c>
      <c r="Z184" s="3">
        <v>0</v>
      </c>
    </row>
    <row r="185" spans="1:26" ht="26">
      <c r="A185" s="16">
        <v>17724158</v>
      </c>
      <c r="B185" s="16" t="s">
        <v>237</v>
      </c>
      <c r="C185" s="16" t="s">
        <v>21</v>
      </c>
      <c r="D185" s="16" t="s">
        <v>442</v>
      </c>
      <c r="E185" s="16" t="s">
        <v>26</v>
      </c>
      <c r="F185" s="16" t="s">
        <v>177</v>
      </c>
      <c r="G185" s="21" t="s">
        <v>441</v>
      </c>
      <c r="H185" s="7">
        <v>3</v>
      </c>
      <c r="I185" s="1">
        <v>3</v>
      </c>
      <c r="J185" s="4">
        <f t="shared" si="15"/>
        <v>1</v>
      </c>
      <c r="K185" s="5">
        <f t="shared" si="16"/>
        <v>1</v>
      </c>
      <c r="L185" s="2">
        <v>1233517.793070439</v>
      </c>
      <c r="M185" s="2">
        <v>792000</v>
      </c>
      <c r="N185" s="6">
        <f t="shared" si="17"/>
        <v>1</v>
      </c>
      <c r="O185" s="17">
        <f t="shared" si="18"/>
        <v>0.64206613349984609</v>
      </c>
      <c r="P185" s="18">
        <v>5</v>
      </c>
      <c r="Q185" s="1">
        <f t="shared" si="19"/>
        <v>1</v>
      </c>
      <c r="R185" s="18">
        <v>5</v>
      </c>
      <c r="S185" s="18">
        <v>5</v>
      </c>
      <c r="T185" s="18">
        <v>0</v>
      </c>
      <c r="U185" s="3">
        <v>0</v>
      </c>
      <c r="V185" s="3">
        <v>0</v>
      </c>
      <c r="W185" s="3">
        <v>0</v>
      </c>
      <c r="X185" s="3">
        <v>0</v>
      </c>
      <c r="Y185" s="3">
        <v>1</v>
      </c>
      <c r="Z185" s="3">
        <v>0</v>
      </c>
    </row>
    <row r="186" spans="1:26" ht="26">
      <c r="A186" s="16">
        <v>17612187</v>
      </c>
      <c r="B186" s="16" t="s">
        <v>268</v>
      </c>
      <c r="C186" s="16" t="s">
        <v>21</v>
      </c>
      <c r="D186" s="16" t="s">
        <v>442</v>
      </c>
      <c r="E186" s="16" t="s">
        <v>26</v>
      </c>
      <c r="F186" s="16" t="s">
        <v>75</v>
      </c>
      <c r="G186" s="21" t="s">
        <v>441</v>
      </c>
      <c r="H186" s="7">
        <v>6.651746354696491</v>
      </c>
      <c r="I186" s="1">
        <v>3</v>
      </c>
      <c r="J186" s="4">
        <f t="shared" si="15"/>
        <v>1</v>
      </c>
      <c r="K186" s="5">
        <f t="shared" si="16"/>
        <v>0.45100938009788039</v>
      </c>
      <c r="L186" s="2">
        <v>1233517.793070439</v>
      </c>
      <c r="M186" s="2">
        <v>258000</v>
      </c>
      <c r="N186" s="6">
        <f t="shared" si="17"/>
        <v>0</v>
      </c>
      <c r="O186" s="17">
        <f t="shared" si="18"/>
        <v>0.20915790712494986</v>
      </c>
      <c r="P186" s="18">
        <v>0</v>
      </c>
      <c r="Q186" s="1">
        <f t="shared" si="19"/>
        <v>0</v>
      </c>
      <c r="R186" s="18">
        <v>9</v>
      </c>
      <c r="S186" s="18">
        <v>0</v>
      </c>
      <c r="T186" s="18">
        <v>0</v>
      </c>
      <c r="U186" s="3">
        <v>0</v>
      </c>
      <c r="V186" s="3">
        <v>0</v>
      </c>
      <c r="W186" s="3">
        <v>0</v>
      </c>
      <c r="X186" s="3">
        <v>0</v>
      </c>
      <c r="Y186" s="3">
        <v>1</v>
      </c>
      <c r="Z186" s="3">
        <v>0</v>
      </c>
    </row>
    <row r="187" spans="1:26" ht="26">
      <c r="A187" s="16">
        <v>17803417</v>
      </c>
      <c r="B187" s="16" t="s">
        <v>354</v>
      </c>
      <c r="C187" s="16" t="s">
        <v>21</v>
      </c>
      <c r="D187" s="16" t="s">
        <v>442</v>
      </c>
      <c r="E187" s="16" t="s">
        <v>26</v>
      </c>
      <c r="F187" s="16" t="s">
        <v>75</v>
      </c>
      <c r="G187" s="21" t="s">
        <v>441</v>
      </c>
      <c r="H187" s="7">
        <v>5.1966768396066563</v>
      </c>
      <c r="I187" s="1">
        <v>3</v>
      </c>
      <c r="J187" s="4">
        <f t="shared" si="15"/>
        <v>1</v>
      </c>
      <c r="K187" s="5">
        <f t="shared" si="16"/>
        <v>0.57729200652528434</v>
      </c>
      <c r="L187" s="2">
        <v>1233517.793070439</v>
      </c>
      <c r="M187" s="2">
        <v>1869000</v>
      </c>
      <c r="N187" s="6">
        <f t="shared" si="17"/>
        <v>1</v>
      </c>
      <c r="O187" s="17">
        <f t="shared" si="18"/>
        <v>1.5151787923121367</v>
      </c>
      <c r="P187" s="18">
        <v>1</v>
      </c>
      <c r="Q187" s="1">
        <f t="shared" si="19"/>
        <v>0</v>
      </c>
      <c r="R187" s="18">
        <v>8</v>
      </c>
      <c r="S187" s="18">
        <v>0</v>
      </c>
      <c r="T187" s="18">
        <v>0</v>
      </c>
      <c r="U187" s="3">
        <v>0</v>
      </c>
      <c r="V187" s="3">
        <v>0</v>
      </c>
      <c r="W187" s="3">
        <v>0</v>
      </c>
      <c r="X187" s="3">
        <v>0</v>
      </c>
      <c r="Y187" s="3">
        <v>1</v>
      </c>
      <c r="Z187" s="3">
        <v>0</v>
      </c>
    </row>
    <row r="188" spans="1:26" ht="26">
      <c r="A188" s="16">
        <v>17707156</v>
      </c>
      <c r="B188" s="16" t="s">
        <v>356</v>
      </c>
      <c r="C188" s="16" t="s">
        <v>21</v>
      </c>
      <c r="D188" s="16" t="s">
        <v>442</v>
      </c>
      <c r="E188" s="16" t="s">
        <v>22</v>
      </c>
      <c r="F188" s="16" t="s">
        <v>75</v>
      </c>
      <c r="G188" s="21" t="s">
        <v>441</v>
      </c>
      <c r="H188" s="7">
        <v>4.7809426924381153</v>
      </c>
      <c r="I188" s="1">
        <v>3</v>
      </c>
      <c r="J188" s="4">
        <f t="shared" si="15"/>
        <v>1</v>
      </c>
      <c r="K188" s="5">
        <f t="shared" si="16"/>
        <v>0.62749131144052761</v>
      </c>
      <c r="L188" s="2">
        <v>1233517.793070439</v>
      </c>
      <c r="M188" s="2">
        <v>426000</v>
      </c>
      <c r="N188" s="6">
        <f t="shared" si="17"/>
        <v>1</v>
      </c>
      <c r="O188" s="17">
        <f t="shared" si="18"/>
        <v>0.34535375362491721</v>
      </c>
      <c r="P188" s="18">
        <v>6</v>
      </c>
      <c r="Q188" s="1">
        <f t="shared" si="19"/>
        <v>1</v>
      </c>
      <c r="R188" s="18">
        <v>7</v>
      </c>
      <c r="S188" s="18">
        <v>5</v>
      </c>
      <c r="T188" s="18">
        <v>0</v>
      </c>
      <c r="U188" s="3">
        <v>0</v>
      </c>
      <c r="V188" s="3">
        <v>0</v>
      </c>
      <c r="W188" s="3">
        <v>0</v>
      </c>
      <c r="X188" s="3">
        <v>0</v>
      </c>
      <c r="Y188" s="3">
        <v>1</v>
      </c>
      <c r="Z188" s="3">
        <v>0</v>
      </c>
    </row>
    <row r="189" spans="1:26" ht="26">
      <c r="A189" s="16">
        <v>17681735</v>
      </c>
      <c r="B189" s="16" t="s">
        <v>74</v>
      </c>
      <c r="C189" s="16" t="s">
        <v>21</v>
      </c>
      <c r="D189" s="16" t="s">
        <v>442</v>
      </c>
      <c r="E189" s="16" t="s">
        <v>22</v>
      </c>
      <c r="F189" s="16" t="s">
        <v>75</v>
      </c>
      <c r="G189" s="21" t="s">
        <v>441</v>
      </c>
      <c r="H189" s="7">
        <v>3</v>
      </c>
      <c r="I189" s="1">
        <v>4</v>
      </c>
      <c r="J189" s="1">
        <f t="shared" si="15"/>
        <v>1</v>
      </c>
      <c r="K189" s="5">
        <f t="shared" si="16"/>
        <v>1.3333333333333333</v>
      </c>
      <c r="L189" s="2">
        <v>1233517.793070439</v>
      </c>
      <c r="M189" s="2">
        <v>1840000</v>
      </c>
      <c r="N189" s="6">
        <f t="shared" si="17"/>
        <v>1</v>
      </c>
      <c r="O189" s="17">
        <f t="shared" si="18"/>
        <v>1.4916687949996423</v>
      </c>
      <c r="P189" s="18">
        <v>0</v>
      </c>
      <c r="Q189" s="1">
        <f t="shared" si="19"/>
        <v>0</v>
      </c>
      <c r="R189" s="18">
        <v>5</v>
      </c>
      <c r="S189" s="18">
        <v>0</v>
      </c>
      <c r="T189" s="18">
        <v>0</v>
      </c>
      <c r="U189" s="3">
        <v>0</v>
      </c>
      <c r="V189" s="3">
        <v>0</v>
      </c>
      <c r="W189" s="3">
        <v>0</v>
      </c>
      <c r="X189" s="3">
        <v>0</v>
      </c>
      <c r="Y189" s="3">
        <v>1</v>
      </c>
      <c r="Z189" s="3">
        <v>0</v>
      </c>
    </row>
    <row r="190" spans="1:26" ht="26">
      <c r="A190" s="16">
        <v>17449128</v>
      </c>
      <c r="B190" s="16" t="s">
        <v>286</v>
      </c>
      <c r="C190" s="16" t="s">
        <v>35</v>
      </c>
      <c r="D190" s="16" t="s">
        <v>442</v>
      </c>
      <c r="E190" s="16" t="s">
        <v>22</v>
      </c>
      <c r="F190" s="16" t="s">
        <v>151</v>
      </c>
      <c r="G190" s="21" t="s">
        <v>441</v>
      </c>
      <c r="H190" s="7">
        <v>4.9888097660223796</v>
      </c>
      <c r="I190" s="1">
        <v>0</v>
      </c>
      <c r="J190" s="4">
        <f t="shared" si="15"/>
        <v>0</v>
      </c>
      <c r="K190" s="5">
        <f t="shared" si="16"/>
        <v>0</v>
      </c>
      <c r="L190" s="2">
        <v>1233517.793070439</v>
      </c>
      <c r="M190" s="2">
        <v>2000000</v>
      </c>
      <c r="N190" s="6">
        <f t="shared" si="17"/>
        <v>1</v>
      </c>
      <c r="O190" s="17">
        <f t="shared" si="18"/>
        <v>1.6213791249996112</v>
      </c>
      <c r="P190" s="18">
        <v>0</v>
      </c>
      <c r="Q190" s="1">
        <f t="shared" si="19"/>
        <v>0</v>
      </c>
      <c r="R190" s="18">
        <v>7</v>
      </c>
      <c r="S190" s="18">
        <v>0</v>
      </c>
      <c r="T190" s="18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</row>
    <row r="191" spans="1:26" ht="26">
      <c r="A191" s="16">
        <v>1069320</v>
      </c>
      <c r="B191" s="16" t="s">
        <v>292</v>
      </c>
      <c r="C191" s="16" t="s">
        <v>35</v>
      </c>
      <c r="D191" s="16" t="s">
        <v>440</v>
      </c>
      <c r="E191" s="16" t="s">
        <v>22</v>
      </c>
      <c r="F191" s="16" t="s">
        <v>135</v>
      </c>
      <c r="G191" s="21" t="s">
        <v>441</v>
      </c>
      <c r="H191" s="7">
        <v>5</v>
      </c>
      <c r="I191" s="1">
        <v>4</v>
      </c>
      <c r="J191" s="4">
        <f t="shared" si="15"/>
        <v>1</v>
      </c>
      <c r="K191" s="5">
        <f t="shared" si="16"/>
        <v>0.8</v>
      </c>
      <c r="L191" s="2">
        <v>3959230.4169087922</v>
      </c>
      <c r="M191" s="2">
        <v>1830000</v>
      </c>
      <c r="N191" s="6">
        <f t="shared" si="17"/>
        <v>1</v>
      </c>
      <c r="O191" s="17">
        <f t="shared" si="18"/>
        <v>0.46221103782810152</v>
      </c>
      <c r="P191" s="18">
        <v>1</v>
      </c>
      <c r="Q191" s="1">
        <f t="shared" si="19"/>
        <v>0</v>
      </c>
      <c r="R191" s="18">
        <v>7</v>
      </c>
      <c r="S191" s="18">
        <v>1</v>
      </c>
      <c r="T191" s="18">
        <v>0</v>
      </c>
      <c r="U191" s="3">
        <v>0</v>
      </c>
      <c r="V191" s="3">
        <v>1</v>
      </c>
      <c r="W191" s="3">
        <v>0</v>
      </c>
      <c r="X191" s="3">
        <v>0</v>
      </c>
      <c r="Y191" s="3">
        <v>0</v>
      </c>
      <c r="Z191" s="3">
        <v>0</v>
      </c>
    </row>
    <row r="192" spans="1:26" ht="26">
      <c r="A192" s="16">
        <v>17478838</v>
      </c>
      <c r="B192" s="16" t="s">
        <v>293</v>
      </c>
      <c r="C192" s="16" t="s">
        <v>35</v>
      </c>
      <c r="D192" s="16" t="s">
        <v>440</v>
      </c>
      <c r="E192" s="16" t="s">
        <v>22</v>
      </c>
      <c r="F192" s="16" t="s">
        <v>151</v>
      </c>
      <c r="G192" s="21" t="s">
        <v>441</v>
      </c>
      <c r="H192" s="7">
        <v>16.213631739572751</v>
      </c>
      <c r="I192" s="1">
        <v>0</v>
      </c>
      <c r="J192" s="4">
        <f t="shared" si="15"/>
        <v>0</v>
      </c>
      <c r="K192" s="5">
        <f t="shared" si="16"/>
        <v>0</v>
      </c>
      <c r="L192" s="2">
        <v>3114725.9703081902</v>
      </c>
      <c r="M192" s="2">
        <v>4000000</v>
      </c>
      <c r="N192" s="6">
        <f t="shared" si="17"/>
        <v>1</v>
      </c>
      <c r="O192" s="17">
        <f t="shared" si="18"/>
        <v>1.2842221235931761</v>
      </c>
      <c r="P192" s="18">
        <v>0</v>
      </c>
      <c r="Q192" s="1">
        <f t="shared" si="19"/>
        <v>0</v>
      </c>
      <c r="R192" s="18">
        <v>9</v>
      </c>
      <c r="S192" s="18">
        <v>0</v>
      </c>
      <c r="T192" s="18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0</v>
      </c>
    </row>
    <row r="193" spans="1:26" ht="26">
      <c r="A193" s="16">
        <v>17694204</v>
      </c>
      <c r="B193" s="16" t="s">
        <v>295</v>
      </c>
      <c r="C193" s="16" t="s">
        <v>35</v>
      </c>
      <c r="D193" s="16" t="s">
        <v>440</v>
      </c>
      <c r="E193" s="16" t="s">
        <v>22</v>
      </c>
      <c r="F193" s="16" t="s">
        <v>296</v>
      </c>
      <c r="G193" s="21" t="s">
        <v>441</v>
      </c>
      <c r="H193" s="7">
        <v>6.443879281112264</v>
      </c>
      <c r="I193" s="1">
        <v>3</v>
      </c>
      <c r="J193" s="1">
        <f t="shared" si="15"/>
        <v>1</v>
      </c>
      <c r="K193" s="5">
        <f t="shared" si="16"/>
        <v>0.46555806977845438</v>
      </c>
      <c r="L193" s="2">
        <v>12908778</v>
      </c>
      <c r="M193" s="2">
        <v>438000</v>
      </c>
      <c r="N193" s="6">
        <f t="shared" si="17"/>
        <v>1</v>
      </c>
      <c r="O193" s="17">
        <f t="shared" si="18"/>
        <v>3.3930399918567042E-2</v>
      </c>
      <c r="P193" s="18">
        <v>0</v>
      </c>
      <c r="Q193" s="1">
        <f t="shared" si="19"/>
        <v>0</v>
      </c>
      <c r="R193" s="18">
        <v>9</v>
      </c>
      <c r="S193" s="18">
        <v>0</v>
      </c>
      <c r="T193" s="18">
        <v>0</v>
      </c>
      <c r="U193" s="3">
        <v>1</v>
      </c>
      <c r="V193" s="3">
        <v>0</v>
      </c>
      <c r="W193" s="3">
        <v>0</v>
      </c>
      <c r="X193" s="3">
        <v>1</v>
      </c>
      <c r="Y193" s="3">
        <v>0</v>
      </c>
      <c r="Z193" s="3">
        <v>0</v>
      </c>
    </row>
    <row r="194" spans="1:26" ht="26">
      <c r="A194" s="16">
        <v>17667163</v>
      </c>
      <c r="B194" s="16" t="s">
        <v>305</v>
      </c>
      <c r="C194" s="16" t="s">
        <v>35</v>
      </c>
      <c r="D194" s="16" t="s">
        <v>440</v>
      </c>
      <c r="E194" s="16" t="s">
        <v>22</v>
      </c>
      <c r="F194" s="16" t="s">
        <v>135</v>
      </c>
      <c r="G194" s="21" t="s">
        <v>441</v>
      </c>
      <c r="H194" s="7">
        <v>7.8989487962020979</v>
      </c>
      <c r="I194" s="1">
        <v>3</v>
      </c>
      <c r="J194" s="1">
        <f t="shared" si="15"/>
        <v>1</v>
      </c>
      <c r="K194" s="5">
        <f t="shared" si="16"/>
        <v>0.37979737271400382</v>
      </c>
      <c r="L194" s="2">
        <v>4815583.6188523257</v>
      </c>
      <c r="M194" s="2">
        <v>258000</v>
      </c>
      <c r="N194" s="6">
        <f t="shared" si="17"/>
        <v>0</v>
      </c>
      <c r="O194" s="17">
        <f t="shared" si="18"/>
        <v>5.3576060644023843E-2</v>
      </c>
      <c r="P194" s="18">
        <v>0</v>
      </c>
      <c r="Q194" s="1">
        <f t="shared" si="19"/>
        <v>0</v>
      </c>
      <c r="R194" s="18">
        <v>10</v>
      </c>
      <c r="S194" s="18">
        <v>0</v>
      </c>
      <c r="T194" s="18">
        <v>0</v>
      </c>
      <c r="U194" s="3">
        <v>0</v>
      </c>
      <c r="V194" s="3">
        <v>1</v>
      </c>
      <c r="W194" s="3">
        <v>0</v>
      </c>
      <c r="X194" s="3">
        <v>0</v>
      </c>
      <c r="Y194" s="3">
        <v>0</v>
      </c>
      <c r="Z194" s="3">
        <v>0</v>
      </c>
    </row>
    <row r="195" spans="1:26" ht="26">
      <c r="A195" s="16">
        <v>17595029</v>
      </c>
      <c r="B195" s="16" t="s">
        <v>334</v>
      </c>
      <c r="C195" s="16" t="s">
        <v>21</v>
      </c>
      <c r="D195" s="16" t="s">
        <v>442</v>
      </c>
      <c r="E195" s="16" t="s">
        <v>26</v>
      </c>
      <c r="F195" s="16" t="s">
        <v>120</v>
      </c>
      <c r="G195" s="21" t="s">
        <v>441</v>
      </c>
      <c r="H195" s="7">
        <v>7.2753475754493193</v>
      </c>
      <c r="I195" s="1">
        <v>0</v>
      </c>
      <c r="J195" s="1">
        <f t="shared" si="15"/>
        <v>0</v>
      </c>
      <c r="K195" s="5">
        <f t="shared" si="16"/>
        <v>0</v>
      </c>
      <c r="L195" s="2">
        <v>1233517.793070439</v>
      </c>
      <c r="M195" s="2">
        <v>445000</v>
      </c>
      <c r="N195" s="6">
        <f t="shared" si="17"/>
        <v>1</v>
      </c>
      <c r="O195" s="17">
        <f t="shared" si="18"/>
        <v>0.36075685531241353</v>
      </c>
      <c r="P195" s="18">
        <v>5</v>
      </c>
      <c r="Q195" s="1">
        <f t="shared" si="19"/>
        <v>1</v>
      </c>
      <c r="R195" s="18">
        <v>10</v>
      </c>
      <c r="S195" s="18">
        <v>5</v>
      </c>
      <c r="T195" s="18">
        <v>0</v>
      </c>
      <c r="U195" s="3">
        <v>0</v>
      </c>
      <c r="V195" s="3">
        <v>0</v>
      </c>
      <c r="W195" s="3">
        <v>1</v>
      </c>
      <c r="X195" s="3">
        <v>0</v>
      </c>
      <c r="Y195" s="3">
        <v>0</v>
      </c>
      <c r="Z195" s="3">
        <v>0</v>
      </c>
    </row>
    <row r="196" spans="1:26" ht="26">
      <c r="A196" s="16">
        <v>17766225</v>
      </c>
      <c r="B196" s="16" t="s">
        <v>376</v>
      </c>
      <c r="C196" s="16" t="s">
        <v>21</v>
      </c>
      <c r="D196" s="16" t="s">
        <v>442</v>
      </c>
      <c r="E196" s="16" t="s">
        <v>22</v>
      </c>
      <c r="F196" s="16" t="s">
        <v>120</v>
      </c>
      <c r="G196" s="21" t="s">
        <v>441</v>
      </c>
      <c r="H196" s="7">
        <v>6.651746354696491</v>
      </c>
      <c r="I196" s="1">
        <v>0</v>
      </c>
      <c r="J196" s="1">
        <f t="shared" si="15"/>
        <v>0</v>
      </c>
      <c r="K196" s="5">
        <f t="shared" si="16"/>
        <v>0</v>
      </c>
      <c r="L196" s="2">
        <v>1233517.793070439</v>
      </c>
      <c r="M196" s="2">
        <v>145000</v>
      </c>
      <c r="N196" s="6">
        <f t="shared" si="17"/>
        <v>0</v>
      </c>
      <c r="O196" s="17">
        <f t="shared" si="18"/>
        <v>0.11754998656247181</v>
      </c>
      <c r="P196" s="18">
        <v>0</v>
      </c>
      <c r="Q196" s="1">
        <f t="shared" si="19"/>
        <v>0</v>
      </c>
      <c r="R196" s="18">
        <v>9</v>
      </c>
      <c r="S196" s="18">
        <v>0</v>
      </c>
      <c r="T196" s="18">
        <v>0</v>
      </c>
      <c r="U196" s="3">
        <v>0</v>
      </c>
      <c r="V196" s="3">
        <v>0</v>
      </c>
      <c r="W196" s="3">
        <v>1</v>
      </c>
      <c r="X196" s="3">
        <v>0</v>
      </c>
      <c r="Y196" s="3">
        <v>0</v>
      </c>
      <c r="Z196" s="3">
        <v>0</v>
      </c>
    </row>
    <row r="197" spans="1:26" ht="26">
      <c r="A197" s="16">
        <v>17783845</v>
      </c>
      <c r="B197" s="16" t="s">
        <v>140</v>
      </c>
      <c r="C197" s="16" t="s">
        <v>21</v>
      </c>
      <c r="D197" s="16" t="s">
        <v>440</v>
      </c>
      <c r="E197" s="16" t="s">
        <v>22</v>
      </c>
      <c r="F197" s="16" t="s">
        <v>120</v>
      </c>
      <c r="G197" s="21" t="s">
        <v>441</v>
      </c>
      <c r="H197" s="7">
        <v>5.8202780603594357</v>
      </c>
      <c r="I197" s="1">
        <v>1</v>
      </c>
      <c r="J197" s="4">
        <f t="shared" si="15"/>
        <v>0</v>
      </c>
      <c r="K197" s="5">
        <f t="shared" si="16"/>
        <v>0.17181309718014473</v>
      </c>
      <c r="L197" s="2">
        <v>2549477.9785796599</v>
      </c>
      <c r="M197" s="2">
        <v>3000000</v>
      </c>
      <c r="N197" s="6">
        <f t="shared" si="17"/>
        <v>1</v>
      </c>
      <c r="O197" s="17">
        <f t="shared" si="18"/>
        <v>1.176711477881182</v>
      </c>
      <c r="P197" s="18">
        <v>1</v>
      </c>
      <c r="Q197" s="1">
        <f t="shared" si="19"/>
        <v>0</v>
      </c>
      <c r="R197" s="18">
        <v>8</v>
      </c>
      <c r="S197" s="18">
        <v>1</v>
      </c>
      <c r="T197" s="18">
        <v>0</v>
      </c>
      <c r="U197" s="3">
        <v>0</v>
      </c>
      <c r="V197" s="3">
        <v>0</v>
      </c>
      <c r="W197" s="3">
        <v>1</v>
      </c>
      <c r="X197" s="3">
        <v>0</v>
      </c>
      <c r="Y197" s="3">
        <v>0</v>
      </c>
      <c r="Z197" s="3">
        <v>0</v>
      </c>
    </row>
    <row r="198" spans="1:26" ht="26">
      <c r="A198" s="16">
        <v>17699495</v>
      </c>
      <c r="B198" s="16" t="s">
        <v>119</v>
      </c>
      <c r="C198" s="16" t="s">
        <v>21</v>
      </c>
      <c r="D198" s="16" t="s">
        <v>440</v>
      </c>
      <c r="E198" s="16" t="s">
        <v>22</v>
      </c>
      <c r="F198" s="16" t="s">
        <v>120</v>
      </c>
      <c r="G198" s="21" t="s">
        <v>441</v>
      </c>
      <c r="H198" s="7">
        <v>3</v>
      </c>
      <c r="I198" s="1">
        <v>0</v>
      </c>
      <c r="J198" s="4">
        <f t="shared" si="15"/>
        <v>0</v>
      </c>
      <c r="K198" s="5">
        <f t="shared" si="16"/>
        <v>0</v>
      </c>
      <c r="L198" s="2">
        <v>12908778</v>
      </c>
      <c r="M198" s="2">
        <v>2510000</v>
      </c>
      <c r="N198" s="6">
        <f t="shared" si="17"/>
        <v>1</v>
      </c>
      <c r="O198" s="17">
        <f t="shared" si="18"/>
        <v>0.19444133286667414</v>
      </c>
      <c r="P198" s="18">
        <v>1</v>
      </c>
      <c r="Q198" s="1">
        <f t="shared" si="19"/>
        <v>0</v>
      </c>
      <c r="R198" s="18">
        <v>5</v>
      </c>
      <c r="S198" s="18">
        <v>1</v>
      </c>
      <c r="T198" s="18">
        <v>0</v>
      </c>
      <c r="U198" s="3">
        <v>0</v>
      </c>
      <c r="V198" s="3">
        <v>0</v>
      </c>
      <c r="W198" s="3">
        <v>1</v>
      </c>
      <c r="X198" s="3">
        <v>0</v>
      </c>
      <c r="Y198" s="3">
        <v>1</v>
      </c>
      <c r="Z198" s="3">
        <v>0</v>
      </c>
    </row>
    <row r="199" spans="1:26" ht="26">
      <c r="A199" s="16">
        <v>507427</v>
      </c>
      <c r="B199" s="16" t="s">
        <v>110</v>
      </c>
      <c r="C199" s="16" t="s">
        <v>21</v>
      </c>
      <c r="D199" s="16" t="s">
        <v>440</v>
      </c>
      <c r="E199" s="16" t="s">
        <v>22</v>
      </c>
      <c r="F199" s="16" t="s">
        <v>111</v>
      </c>
      <c r="G199" s="21" t="s">
        <v>441</v>
      </c>
      <c r="H199" s="7">
        <v>8.938284164123429</v>
      </c>
      <c r="I199" s="1">
        <v>7</v>
      </c>
      <c r="J199" s="4">
        <f t="shared" si="15"/>
        <v>1</v>
      </c>
      <c r="K199" s="5">
        <f t="shared" si="16"/>
        <v>0.7831480708676356</v>
      </c>
      <c r="L199" s="2">
        <v>22463880</v>
      </c>
      <c r="M199" s="2">
        <v>668000</v>
      </c>
      <c r="N199" s="6">
        <f t="shared" si="17"/>
        <v>1</v>
      </c>
      <c r="O199" s="17">
        <f t="shared" si="18"/>
        <v>2.973662608596556E-2</v>
      </c>
      <c r="P199" s="18">
        <v>0</v>
      </c>
      <c r="Q199" s="1">
        <f t="shared" si="19"/>
        <v>0</v>
      </c>
      <c r="R199" s="18">
        <v>11</v>
      </c>
      <c r="S199" s="18">
        <v>0</v>
      </c>
      <c r="T199" s="18"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1</v>
      </c>
    </row>
    <row r="200" spans="1:26" ht="26">
      <c r="A200" s="16">
        <v>17608447</v>
      </c>
      <c r="B200" s="16" t="s">
        <v>285</v>
      </c>
      <c r="C200" s="16" t="s">
        <v>21</v>
      </c>
      <c r="D200" s="16" t="s">
        <v>442</v>
      </c>
      <c r="E200" s="16" t="s">
        <v>22</v>
      </c>
      <c r="F200" s="16" t="s">
        <v>111</v>
      </c>
      <c r="G200" s="21" t="s">
        <v>441</v>
      </c>
      <c r="H200" s="7">
        <v>7.2753475754493193</v>
      </c>
      <c r="I200" s="1">
        <v>6</v>
      </c>
      <c r="J200" s="4">
        <f t="shared" si="15"/>
        <v>1</v>
      </c>
      <c r="K200" s="5">
        <f t="shared" si="16"/>
        <v>0.82470286646469193</v>
      </c>
      <c r="L200" s="2">
        <v>1233517.793070439</v>
      </c>
      <c r="M200" s="2">
        <v>698000</v>
      </c>
      <c r="N200" s="6">
        <f t="shared" si="17"/>
        <v>1</v>
      </c>
      <c r="O200" s="17">
        <f t="shared" si="18"/>
        <v>0.56586131462486433</v>
      </c>
      <c r="P200" s="18">
        <v>0</v>
      </c>
      <c r="Q200" s="1">
        <f t="shared" si="19"/>
        <v>0</v>
      </c>
      <c r="R200" s="18">
        <v>10</v>
      </c>
      <c r="S200" s="18">
        <v>0</v>
      </c>
      <c r="T200" s="18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1</v>
      </c>
    </row>
    <row r="201" spans="1:26" ht="26">
      <c r="A201" s="16">
        <v>659110</v>
      </c>
      <c r="B201" s="16" t="s">
        <v>164</v>
      </c>
      <c r="C201" s="16" t="s">
        <v>21</v>
      </c>
      <c r="D201" s="16" t="s">
        <v>440</v>
      </c>
      <c r="E201" s="16" t="s">
        <v>22</v>
      </c>
      <c r="F201" s="16" t="s">
        <v>111</v>
      </c>
      <c r="G201" s="21" t="s">
        <v>441</v>
      </c>
      <c r="H201" s="7">
        <v>5.1966768396066563</v>
      </c>
      <c r="I201" s="1">
        <v>10</v>
      </c>
      <c r="J201" s="4">
        <f t="shared" si="15"/>
        <v>1</v>
      </c>
      <c r="K201" s="5">
        <f t="shared" si="16"/>
        <v>1.9243066884176145</v>
      </c>
      <c r="L201" s="2">
        <v>2574298.0029296018</v>
      </c>
      <c r="M201" s="2">
        <v>4670000</v>
      </c>
      <c r="N201" s="6">
        <f t="shared" si="17"/>
        <v>1</v>
      </c>
      <c r="O201" s="17">
        <f t="shared" si="18"/>
        <v>1.8140867897521764</v>
      </c>
      <c r="P201" s="18">
        <v>4</v>
      </c>
      <c r="Q201" s="1">
        <f t="shared" si="19"/>
        <v>1</v>
      </c>
      <c r="R201" s="18">
        <v>8</v>
      </c>
      <c r="S201" s="18">
        <v>4</v>
      </c>
      <c r="T201" s="18">
        <v>0</v>
      </c>
      <c r="U201" s="3">
        <v>0</v>
      </c>
      <c r="V201" s="3">
        <v>0</v>
      </c>
      <c r="W201" s="3">
        <v>1</v>
      </c>
      <c r="X201" s="3">
        <v>0</v>
      </c>
      <c r="Y201" s="3">
        <v>1</v>
      </c>
      <c r="Z201" s="3">
        <v>1</v>
      </c>
    </row>
    <row r="202" spans="1:26" ht="26">
      <c r="A202" s="16">
        <v>1546472</v>
      </c>
      <c r="B202" s="16" t="s">
        <v>205</v>
      </c>
      <c r="C202" s="16" t="s">
        <v>21</v>
      </c>
      <c r="D202" s="16" t="s">
        <v>440</v>
      </c>
      <c r="E202" s="16" t="s">
        <v>22</v>
      </c>
      <c r="F202" s="16" t="s">
        <v>111</v>
      </c>
      <c r="G202" s="21" t="s">
        <v>441</v>
      </c>
      <c r="H202" s="7">
        <v>5</v>
      </c>
      <c r="I202" s="1">
        <v>10</v>
      </c>
      <c r="J202" s="1">
        <f t="shared" si="15"/>
        <v>1</v>
      </c>
      <c r="K202" s="5">
        <f t="shared" si="16"/>
        <v>2</v>
      </c>
      <c r="L202" s="2">
        <v>2905564.257570155</v>
      </c>
      <c r="M202" s="2">
        <v>1320000</v>
      </c>
      <c r="N202" s="6">
        <f t="shared" si="17"/>
        <v>1</v>
      </c>
      <c r="O202" s="17">
        <f t="shared" si="18"/>
        <v>0.45430074263918718</v>
      </c>
      <c r="P202" s="18">
        <v>2</v>
      </c>
      <c r="Q202" s="1">
        <f t="shared" si="19"/>
        <v>0</v>
      </c>
      <c r="R202" s="18">
        <v>7</v>
      </c>
      <c r="S202" s="18">
        <v>2</v>
      </c>
      <c r="T202" s="18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1</v>
      </c>
    </row>
    <row r="203" spans="1:26" ht="26">
      <c r="A203" s="16">
        <v>17666253</v>
      </c>
      <c r="B203" s="16" t="s">
        <v>227</v>
      </c>
      <c r="C203" s="16" t="s">
        <v>21</v>
      </c>
      <c r="D203" s="16" t="s">
        <v>449</v>
      </c>
      <c r="E203" s="16" t="s">
        <v>22</v>
      </c>
      <c r="F203" s="16" t="s">
        <v>111</v>
      </c>
      <c r="G203" s="21" t="s">
        <v>441</v>
      </c>
      <c r="H203" s="7">
        <v>3.3258731773482562</v>
      </c>
      <c r="I203" s="1">
        <v>3</v>
      </c>
      <c r="J203" s="4">
        <f t="shared" si="15"/>
        <v>1</v>
      </c>
      <c r="K203" s="5">
        <f t="shared" si="16"/>
        <v>0.90201876019575788</v>
      </c>
      <c r="L203" s="2">
        <v>34799719.042036198</v>
      </c>
      <c r="M203" s="2">
        <v>13290000</v>
      </c>
      <c r="N203" s="6">
        <f t="shared" si="17"/>
        <v>1</v>
      </c>
      <c r="O203" s="17">
        <f t="shared" si="18"/>
        <v>0.38189963499263863</v>
      </c>
      <c r="P203" s="18">
        <v>4</v>
      </c>
      <c r="Q203" s="1">
        <f t="shared" si="19"/>
        <v>1</v>
      </c>
      <c r="R203" s="18">
        <v>6</v>
      </c>
      <c r="S203" s="18">
        <v>4</v>
      </c>
      <c r="T203" s="18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1</v>
      </c>
    </row>
    <row r="204" spans="1:26" ht="26">
      <c r="A204" s="16">
        <v>17663066</v>
      </c>
      <c r="B204" s="16" t="s">
        <v>231</v>
      </c>
      <c r="C204" s="16" t="s">
        <v>21</v>
      </c>
      <c r="D204" s="16" t="s">
        <v>440</v>
      </c>
      <c r="E204" s="16" t="s">
        <v>22</v>
      </c>
      <c r="F204" s="16" t="s">
        <v>111</v>
      </c>
      <c r="G204" s="21" t="s">
        <v>441</v>
      </c>
      <c r="H204" s="7">
        <v>3.1180061037639888</v>
      </c>
      <c r="I204" s="1">
        <v>20</v>
      </c>
      <c r="J204" s="4">
        <f t="shared" si="15"/>
        <v>1</v>
      </c>
      <c r="K204" s="5">
        <f t="shared" si="16"/>
        <v>6.4143556280587255</v>
      </c>
      <c r="L204" s="2">
        <v>22463880</v>
      </c>
      <c r="M204" s="2">
        <v>12030000</v>
      </c>
      <c r="N204" s="6">
        <f t="shared" si="17"/>
        <v>1</v>
      </c>
      <c r="O204" s="17">
        <f t="shared" si="18"/>
        <v>0.53552636499126594</v>
      </c>
      <c r="P204" s="18">
        <v>4</v>
      </c>
      <c r="Q204" s="1">
        <f t="shared" si="19"/>
        <v>1</v>
      </c>
      <c r="R204" s="18">
        <v>6</v>
      </c>
      <c r="S204" s="18">
        <v>3</v>
      </c>
      <c r="T204" s="18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 s="3">
        <v>1</v>
      </c>
    </row>
    <row r="205" spans="1:26" ht="26">
      <c r="A205" s="16">
        <v>17746582</v>
      </c>
      <c r="B205" s="16" t="s">
        <v>218</v>
      </c>
      <c r="C205" s="16" t="s">
        <v>21</v>
      </c>
      <c r="D205" s="16" t="s">
        <v>444</v>
      </c>
      <c r="E205" s="16" t="s">
        <v>26</v>
      </c>
      <c r="F205" s="16" t="s">
        <v>111</v>
      </c>
      <c r="G205" s="21" t="s">
        <v>441</v>
      </c>
      <c r="H205" s="7">
        <v>3</v>
      </c>
      <c r="I205" s="1">
        <v>0</v>
      </c>
      <c r="J205" s="4">
        <f t="shared" si="15"/>
        <v>0</v>
      </c>
      <c r="K205" s="5">
        <f t="shared" si="16"/>
        <v>0</v>
      </c>
      <c r="L205" s="2">
        <v>6018419.3717715694</v>
      </c>
      <c r="M205" s="2">
        <v>336000</v>
      </c>
      <c r="N205" s="6">
        <f t="shared" si="17"/>
        <v>1</v>
      </c>
      <c r="O205" s="17">
        <f t="shared" si="18"/>
        <v>5.582861200665977E-2</v>
      </c>
      <c r="P205" s="18">
        <v>5</v>
      </c>
      <c r="Q205" s="1">
        <f t="shared" si="19"/>
        <v>1</v>
      </c>
      <c r="R205" s="18">
        <v>5</v>
      </c>
      <c r="S205" s="18">
        <v>5</v>
      </c>
      <c r="T205" s="18">
        <v>0</v>
      </c>
      <c r="U205" s="3">
        <v>0</v>
      </c>
      <c r="V205" s="3">
        <v>0</v>
      </c>
      <c r="W205" s="3">
        <v>1</v>
      </c>
      <c r="X205" s="3">
        <v>0</v>
      </c>
      <c r="Y205" s="3">
        <v>0</v>
      </c>
      <c r="Z205" s="3">
        <v>0</v>
      </c>
    </row>
    <row r="206" spans="1:26" ht="26">
      <c r="A206" s="16">
        <v>17582760</v>
      </c>
      <c r="B206" s="16" t="s">
        <v>265</v>
      </c>
      <c r="C206" s="16" t="s">
        <v>21</v>
      </c>
      <c r="D206" s="16" t="s">
        <v>444</v>
      </c>
      <c r="E206" s="16" t="s">
        <v>26</v>
      </c>
      <c r="F206" s="16" t="s">
        <v>111</v>
      </c>
      <c r="G206" s="21" t="s">
        <v>441</v>
      </c>
      <c r="H206" s="7">
        <v>3</v>
      </c>
      <c r="I206" s="1">
        <v>0</v>
      </c>
      <c r="J206" s="4">
        <f t="shared" si="15"/>
        <v>0</v>
      </c>
      <c r="K206" s="5">
        <f t="shared" si="16"/>
        <v>0</v>
      </c>
      <c r="L206" s="2">
        <v>6018419.3717715694</v>
      </c>
      <c r="M206" s="2">
        <v>4415000</v>
      </c>
      <c r="N206" s="6">
        <f t="shared" si="17"/>
        <v>1</v>
      </c>
      <c r="O206" s="17">
        <f t="shared" si="18"/>
        <v>0.73358131550417527</v>
      </c>
      <c r="P206" s="18">
        <v>5</v>
      </c>
      <c r="Q206" s="1">
        <f t="shared" si="19"/>
        <v>1</v>
      </c>
      <c r="R206" s="18">
        <v>5</v>
      </c>
      <c r="S206" s="18">
        <v>5</v>
      </c>
      <c r="T206" s="18">
        <v>0</v>
      </c>
      <c r="U206" s="3">
        <v>0</v>
      </c>
      <c r="V206" s="3">
        <v>0</v>
      </c>
      <c r="W206" s="3">
        <v>1</v>
      </c>
      <c r="X206" s="3">
        <v>0</v>
      </c>
      <c r="Y206" s="3">
        <v>0</v>
      </c>
      <c r="Z206" s="3">
        <v>0</v>
      </c>
    </row>
    <row r="207" spans="1:26" ht="26">
      <c r="A207" s="16">
        <v>17691756</v>
      </c>
      <c r="B207" s="16" t="s">
        <v>309</v>
      </c>
      <c r="C207" s="16" t="s">
        <v>35</v>
      </c>
      <c r="D207" s="16" t="s">
        <v>442</v>
      </c>
      <c r="E207" s="16" t="s">
        <v>26</v>
      </c>
      <c r="F207" s="16" t="s">
        <v>62</v>
      </c>
      <c r="G207" s="21" t="s">
        <v>441</v>
      </c>
      <c r="H207" s="7">
        <v>3</v>
      </c>
      <c r="I207" s="1">
        <v>3</v>
      </c>
      <c r="J207" s="1">
        <f t="shared" si="15"/>
        <v>1</v>
      </c>
      <c r="K207" s="5">
        <f t="shared" si="16"/>
        <v>1</v>
      </c>
      <c r="L207" s="2">
        <v>1233517.793070439</v>
      </c>
      <c r="M207" s="2">
        <v>2610000</v>
      </c>
      <c r="N207" s="6">
        <f t="shared" si="17"/>
        <v>1</v>
      </c>
      <c r="O207" s="17">
        <f t="shared" si="18"/>
        <v>2.1158997581244927</v>
      </c>
      <c r="P207" s="18">
        <v>5</v>
      </c>
      <c r="Q207" s="1">
        <f t="shared" si="19"/>
        <v>1</v>
      </c>
      <c r="R207" s="18">
        <v>5</v>
      </c>
      <c r="S207" s="18">
        <v>5</v>
      </c>
      <c r="T207" s="18">
        <v>0</v>
      </c>
      <c r="U207" s="3">
        <v>0</v>
      </c>
      <c r="V207" s="3">
        <v>0</v>
      </c>
      <c r="W207" s="3">
        <v>1</v>
      </c>
      <c r="X207" s="3">
        <v>0</v>
      </c>
      <c r="Y207" s="3">
        <v>0</v>
      </c>
      <c r="Z207" s="3">
        <v>0</v>
      </c>
    </row>
    <row r="208" spans="1:26" ht="26">
      <c r="A208" s="16">
        <v>17741916</v>
      </c>
      <c r="B208" s="16" t="s">
        <v>318</v>
      </c>
      <c r="C208" s="16" t="s">
        <v>35</v>
      </c>
      <c r="D208" s="16" t="s">
        <v>442</v>
      </c>
      <c r="E208" s="16" t="s">
        <v>26</v>
      </c>
      <c r="F208" s="16" t="s">
        <v>278</v>
      </c>
      <c r="G208" s="21" t="s">
        <v>441</v>
      </c>
      <c r="H208" s="7">
        <v>2.7022719565954572</v>
      </c>
      <c r="I208" s="1">
        <v>0</v>
      </c>
      <c r="J208" s="4">
        <f t="shared" si="15"/>
        <v>0</v>
      </c>
      <c r="K208" s="5">
        <f t="shared" si="16"/>
        <v>0</v>
      </c>
      <c r="L208" s="2">
        <v>1233517.793070439</v>
      </c>
      <c r="M208" s="2">
        <v>0</v>
      </c>
      <c r="N208" s="6">
        <f t="shared" si="17"/>
        <v>0</v>
      </c>
      <c r="O208" s="17">
        <f t="shared" si="18"/>
        <v>0</v>
      </c>
      <c r="P208" s="18">
        <v>0</v>
      </c>
      <c r="Q208" s="1">
        <f t="shared" si="19"/>
        <v>0</v>
      </c>
      <c r="R208" s="18">
        <v>5</v>
      </c>
      <c r="S208" s="18">
        <v>0</v>
      </c>
      <c r="T208" s="18">
        <v>0</v>
      </c>
      <c r="U208" s="3">
        <v>0</v>
      </c>
      <c r="V208" s="3">
        <v>0</v>
      </c>
      <c r="W208" s="3">
        <v>0</v>
      </c>
      <c r="X208" s="3">
        <v>0</v>
      </c>
      <c r="Y208" s="3">
        <v>1</v>
      </c>
      <c r="Z208" s="3">
        <v>0</v>
      </c>
    </row>
    <row r="209" spans="1:26" ht="26">
      <c r="A209" s="16">
        <v>17239588</v>
      </c>
      <c r="B209" s="16" t="s">
        <v>128</v>
      </c>
      <c r="C209" s="16" t="s">
        <v>21</v>
      </c>
      <c r="D209" s="16" t="s">
        <v>442</v>
      </c>
      <c r="E209" s="16" t="s">
        <v>26</v>
      </c>
      <c r="F209" s="16" t="s">
        <v>129</v>
      </c>
      <c r="G209" s="21" t="s">
        <v>441</v>
      </c>
      <c r="H209" s="7">
        <v>5.8202780603594357</v>
      </c>
      <c r="I209" s="1">
        <v>3</v>
      </c>
      <c r="J209" s="4">
        <f t="shared" si="15"/>
        <v>1</v>
      </c>
      <c r="K209" s="5">
        <f t="shared" si="16"/>
        <v>0.51543929154043422</v>
      </c>
      <c r="L209" s="2">
        <v>1233517.793070439</v>
      </c>
      <c r="M209" s="2">
        <v>390000</v>
      </c>
      <c r="N209" s="6">
        <f t="shared" si="17"/>
        <v>1</v>
      </c>
      <c r="O209" s="17">
        <f t="shared" si="18"/>
        <v>0.31616892937492419</v>
      </c>
      <c r="P209" s="18">
        <v>0</v>
      </c>
      <c r="Q209" s="1">
        <f t="shared" si="19"/>
        <v>0</v>
      </c>
      <c r="R209" s="18">
        <v>8</v>
      </c>
      <c r="S209" s="18">
        <v>0</v>
      </c>
      <c r="T209" s="18">
        <v>0</v>
      </c>
      <c r="U209" s="3">
        <v>1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</row>
    <row r="210" spans="1:26" ht="26">
      <c r="A210" s="16">
        <v>17255305</v>
      </c>
      <c r="B210" s="16" t="s">
        <v>202</v>
      </c>
      <c r="C210" s="16" t="s">
        <v>21</v>
      </c>
      <c r="D210" s="16" t="s">
        <v>440</v>
      </c>
      <c r="E210" s="16" t="s">
        <v>22</v>
      </c>
      <c r="F210" s="16" t="s">
        <v>129</v>
      </c>
      <c r="G210" s="21" t="s">
        <v>441</v>
      </c>
      <c r="H210" s="7">
        <v>5</v>
      </c>
      <c r="I210" s="1">
        <v>3</v>
      </c>
      <c r="J210" s="1">
        <f t="shared" si="15"/>
        <v>1</v>
      </c>
      <c r="K210" s="5">
        <f t="shared" si="16"/>
        <v>0.6</v>
      </c>
      <c r="L210" s="2">
        <v>29626053.564346101</v>
      </c>
      <c r="M210" s="2">
        <v>1590000</v>
      </c>
      <c r="N210" s="6">
        <f t="shared" si="17"/>
        <v>1</v>
      </c>
      <c r="O210" s="17">
        <f t="shared" si="18"/>
        <v>5.3668977427135563E-2</v>
      </c>
      <c r="P210" s="18">
        <v>0</v>
      </c>
      <c r="Q210" s="1">
        <f t="shared" si="19"/>
        <v>0</v>
      </c>
      <c r="R210" s="18">
        <v>7</v>
      </c>
      <c r="S210" s="18">
        <v>0</v>
      </c>
      <c r="T210" s="18">
        <v>0</v>
      </c>
      <c r="U210" s="3">
        <v>1</v>
      </c>
      <c r="V210" s="3">
        <v>0</v>
      </c>
      <c r="W210" s="3">
        <v>0</v>
      </c>
      <c r="X210" s="3">
        <v>0</v>
      </c>
      <c r="Y210" s="3">
        <v>0</v>
      </c>
      <c r="Z210" s="3">
        <v>0</v>
      </c>
    </row>
    <row r="211" spans="1:26" ht="26">
      <c r="A211" s="16">
        <v>17723382</v>
      </c>
      <c r="B211" s="16" t="s">
        <v>208</v>
      </c>
      <c r="C211" s="16" t="s">
        <v>21</v>
      </c>
      <c r="D211" s="16" t="s">
        <v>442</v>
      </c>
      <c r="E211" s="16" t="s">
        <v>26</v>
      </c>
      <c r="F211" s="16" t="s">
        <v>129</v>
      </c>
      <c r="G211" s="21" t="s">
        <v>441</v>
      </c>
      <c r="H211" s="7">
        <v>3</v>
      </c>
      <c r="I211" s="1">
        <v>3</v>
      </c>
      <c r="J211" s="1">
        <f t="shared" si="15"/>
        <v>1</v>
      </c>
      <c r="K211" s="5">
        <f t="shared" si="16"/>
        <v>1</v>
      </c>
      <c r="L211" s="2">
        <v>1233517.793070439</v>
      </c>
      <c r="M211" s="2">
        <v>390000</v>
      </c>
      <c r="N211" s="6">
        <f t="shared" si="17"/>
        <v>1</v>
      </c>
      <c r="O211" s="17">
        <f t="shared" si="18"/>
        <v>0.31616892937492419</v>
      </c>
      <c r="P211" s="18">
        <v>5</v>
      </c>
      <c r="Q211" s="1">
        <f t="shared" si="19"/>
        <v>1</v>
      </c>
      <c r="R211" s="18">
        <v>5</v>
      </c>
      <c r="S211" s="18">
        <v>5</v>
      </c>
      <c r="T211" s="18">
        <v>0</v>
      </c>
      <c r="U211" s="3">
        <v>1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</row>
    <row r="212" spans="1:26" ht="26">
      <c r="A212" s="16">
        <v>17750165</v>
      </c>
      <c r="B212" s="16" t="s">
        <v>330</v>
      </c>
      <c r="C212" s="16" t="s">
        <v>21</v>
      </c>
      <c r="D212" s="16" t="s">
        <v>442</v>
      </c>
      <c r="E212" s="16" t="s">
        <v>26</v>
      </c>
      <c r="F212" s="16" t="s">
        <v>129</v>
      </c>
      <c r="G212" s="21" t="s">
        <v>441</v>
      </c>
      <c r="H212" s="7">
        <v>3</v>
      </c>
      <c r="I212" s="1">
        <v>3</v>
      </c>
      <c r="J212" s="1">
        <f t="shared" si="15"/>
        <v>1</v>
      </c>
      <c r="K212" s="5">
        <f t="shared" si="16"/>
        <v>1</v>
      </c>
      <c r="L212" s="2">
        <v>1233517.793070439</v>
      </c>
      <c r="M212" s="2">
        <v>428000</v>
      </c>
      <c r="N212" s="6">
        <f t="shared" si="17"/>
        <v>1</v>
      </c>
      <c r="O212" s="17">
        <f t="shared" si="18"/>
        <v>0.34697513274991681</v>
      </c>
      <c r="P212" s="18">
        <v>0</v>
      </c>
      <c r="Q212" s="1">
        <f t="shared" si="19"/>
        <v>0</v>
      </c>
      <c r="R212" s="18">
        <v>5</v>
      </c>
      <c r="S212" s="18">
        <v>0</v>
      </c>
      <c r="T212" s="18">
        <v>0</v>
      </c>
      <c r="U212" s="3">
        <v>1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</row>
    <row r="213" spans="1:26" ht="26">
      <c r="A213" s="16">
        <v>17707547</v>
      </c>
      <c r="B213" s="16" t="s">
        <v>375</v>
      </c>
      <c r="C213" s="16" t="s">
        <v>21</v>
      </c>
      <c r="D213" s="16" t="s">
        <v>442</v>
      </c>
      <c r="E213" s="16" t="s">
        <v>22</v>
      </c>
      <c r="F213" s="16" t="s">
        <v>129</v>
      </c>
      <c r="G213" s="21" t="s">
        <v>441</v>
      </c>
      <c r="H213" s="7">
        <v>3</v>
      </c>
      <c r="I213" s="1">
        <v>3</v>
      </c>
      <c r="J213" s="1">
        <f t="shared" si="15"/>
        <v>1</v>
      </c>
      <c r="K213" s="5">
        <f t="shared" si="16"/>
        <v>1</v>
      </c>
      <c r="L213" s="2">
        <v>1233517.793070439</v>
      </c>
      <c r="M213" s="2">
        <v>222000</v>
      </c>
      <c r="N213" s="6">
        <f t="shared" si="17"/>
        <v>0</v>
      </c>
      <c r="O213" s="17">
        <f t="shared" si="18"/>
        <v>0.17997308287495686</v>
      </c>
      <c r="P213" s="18">
        <v>0</v>
      </c>
      <c r="Q213" s="1">
        <f t="shared" si="19"/>
        <v>0</v>
      </c>
      <c r="R213" s="18">
        <v>5</v>
      </c>
      <c r="S213" s="18">
        <v>0</v>
      </c>
      <c r="T213" s="18">
        <v>0</v>
      </c>
      <c r="U213" s="3">
        <v>1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</row>
    <row r="214" spans="1:26" ht="26">
      <c r="A214" s="16">
        <v>17674665</v>
      </c>
      <c r="B214" s="16" t="s">
        <v>173</v>
      </c>
      <c r="C214" s="16" t="s">
        <v>21</v>
      </c>
      <c r="D214" s="16" t="s">
        <v>442</v>
      </c>
      <c r="E214" s="16" t="s">
        <v>26</v>
      </c>
      <c r="F214" s="16" t="s">
        <v>129</v>
      </c>
      <c r="G214" s="21" t="s">
        <v>441</v>
      </c>
      <c r="H214" s="7">
        <v>2.7022719565954572</v>
      </c>
      <c r="I214" s="1">
        <v>3</v>
      </c>
      <c r="J214" s="1">
        <f t="shared" si="15"/>
        <v>1</v>
      </c>
      <c r="K214" s="5">
        <f t="shared" si="16"/>
        <v>1.1101769356255486</v>
      </c>
      <c r="L214" s="2">
        <v>300000</v>
      </c>
      <c r="M214" s="2">
        <v>475000</v>
      </c>
      <c r="N214" s="6">
        <f t="shared" si="17"/>
        <v>1</v>
      </c>
      <c r="O214" s="17">
        <f t="shared" si="18"/>
        <v>1.5833333333333333</v>
      </c>
      <c r="P214" s="18">
        <v>0</v>
      </c>
      <c r="Q214" s="1">
        <f t="shared" si="19"/>
        <v>0</v>
      </c>
      <c r="R214" s="18">
        <v>5</v>
      </c>
      <c r="S214" s="18">
        <v>0</v>
      </c>
      <c r="T214" s="18">
        <v>0</v>
      </c>
      <c r="U214" s="3">
        <v>1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</row>
    <row r="215" spans="1:26" s="25" customFormat="1" ht="26">
      <c r="A215" s="23">
        <v>17741675</v>
      </c>
      <c r="B215" s="23" t="s">
        <v>475</v>
      </c>
      <c r="C215" s="16" t="s">
        <v>21</v>
      </c>
      <c r="D215" s="16" t="s">
        <v>442</v>
      </c>
      <c r="E215" s="16" t="s">
        <v>26</v>
      </c>
      <c r="F215" s="24" t="s">
        <v>129</v>
      </c>
      <c r="G215" s="23" t="s">
        <v>441</v>
      </c>
      <c r="H215" s="7">
        <v>2.7022719565954572</v>
      </c>
      <c r="I215" s="1">
        <v>0</v>
      </c>
      <c r="J215" s="1">
        <f t="shared" si="15"/>
        <v>0</v>
      </c>
      <c r="K215" s="5">
        <f t="shared" si="16"/>
        <v>0</v>
      </c>
      <c r="L215" s="2">
        <v>300000</v>
      </c>
      <c r="M215" s="2">
        <v>132000</v>
      </c>
      <c r="N215" s="6">
        <f t="shared" si="17"/>
        <v>0</v>
      </c>
      <c r="O215" s="17">
        <f t="shared" si="18"/>
        <v>0.44</v>
      </c>
      <c r="P215" s="18">
        <v>0</v>
      </c>
      <c r="Q215" s="1">
        <f t="shared" si="19"/>
        <v>0</v>
      </c>
      <c r="R215" s="18">
        <v>5</v>
      </c>
      <c r="S215" s="18">
        <v>0</v>
      </c>
      <c r="T215" s="18">
        <v>0</v>
      </c>
      <c r="U215" s="3">
        <v>1</v>
      </c>
      <c r="V215" s="3">
        <v>0</v>
      </c>
      <c r="W215" s="3">
        <v>0</v>
      </c>
      <c r="X215" s="3">
        <v>0</v>
      </c>
      <c r="Y215" s="3">
        <v>0</v>
      </c>
      <c r="Z215" s="3">
        <v>0</v>
      </c>
    </row>
    <row r="216" spans="1:26" ht="26">
      <c r="A216" s="16">
        <v>17612210</v>
      </c>
      <c r="B216" s="16" t="s">
        <v>319</v>
      </c>
      <c r="C216" s="16" t="s">
        <v>35</v>
      </c>
      <c r="D216" s="16" t="s">
        <v>442</v>
      </c>
      <c r="E216" s="16" t="s">
        <v>26</v>
      </c>
      <c r="F216" s="16" t="s">
        <v>109</v>
      </c>
      <c r="G216" s="21" t="s">
        <v>441</v>
      </c>
      <c r="H216" s="7">
        <v>3</v>
      </c>
      <c r="I216" s="1">
        <v>3</v>
      </c>
      <c r="J216" s="4">
        <f t="shared" si="15"/>
        <v>1</v>
      </c>
      <c r="K216" s="5">
        <f t="shared" si="16"/>
        <v>1</v>
      </c>
      <c r="L216" s="2">
        <v>1233517.793070439</v>
      </c>
      <c r="M216" s="2">
        <v>90000</v>
      </c>
      <c r="N216" s="6">
        <f t="shared" si="17"/>
        <v>0</v>
      </c>
      <c r="O216" s="17">
        <f t="shared" si="18"/>
        <v>7.2962060624982505E-2</v>
      </c>
      <c r="P216" s="18">
        <v>5</v>
      </c>
      <c r="Q216" s="1">
        <f t="shared" si="19"/>
        <v>1</v>
      </c>
      <c r="R216" s="18">
        <v>5</v>
      </c>
      <c r="S216" s="18">
        <v>5</v>
      </c>
      <c r="T216" s="18">
        <v>0</v>
      </c>
      <c r="U216" s="3">
        <v>1</v>
      </c>
      <c r="V216" s="3">
        <v>0</v>
      </c>
      <c r="W216" s="3">
        <v>0</v>
      </c>
      <c r="X216" s="3">
        <v>0</v>
      </c>
      <c r="Y216" s="3">
        <v>0</v>
      </c>
      <c r="Z216" s="3">
        <v>1</v>
      </c>
    </row>
    <row r="217" spans="1:26" ht="26">
      <c r="A217" s="16">
        <v>17563421</v>
      </c>
      <c r="B217" s="16" t="s">
        <v>323</v>
      </c>
      <c r="C217" s="16" t="s">
        <v>35</v>
      </c>
      <c r="D217" s="16" t="s">
        <v>442</v>
      </c>
      <c r="E217" s="16" t="s">
        <v>26</v>
      </c>
      <c r="F217" s="16" t="s">
        <v>131</v>
      </c>
      <c r="G217" s="21" t="s">
        <v>441</v>
      </c>
      <c r="H217" s="7">
        <v>2.7022719565954572</v>
      </c>
      <c r="I217" s="1">
        <v>0</v>
      </c>
      <c r="J217" s="1">
        <f t="shared" si="15"/>
        <v>0</v>
      </c>
      <c r="K217" s="5">
        <f t="shared" si="16"/>
        <v>0</v>
      </c>
      <c r="L217" s="2">
        <v>1233517.793070439</v>
      </c>
      <c r="M217" s="2">
        <v>0</v>
      </c>
      <c r="N217" s="6">
        <f t="shared" si="17"/>
        <v>0</v>
      </c>
      <c r="O217" s="17">
        <f t="shared" si="18"/>
        <v>0</v>
      </c>
      <c r="P217" s="18">
        <v>0</v>
      </c>
      <c r="Q217" s="1">
        <f t="shared" si="19"/>
        <v>0</v>
      </c>
      <c r="R217" s="18">
        <v>5</v>
      </c>
      <c r="S217" s="18">
        <v>0</v>
      </c>
      <c r="T217" s="18">
        <v>0</v>
      </c>
      <c r="U217" s="3">
        <v>0</v>
      </c>
      <c r="V217" s="3">
        <v>1</v>
      </c>
      <c r="W217" s="3">
        <v>0</v>
      </c>
      <c r="X217" s="3">
        <v>0</v>
      </c>
      <c r="Y217" s="3">
        <v>0</v>
      </c>
      <c r="Z217" s="3">
        <v>0</v>
      </c>
    </row>
    <row r="218" spans="1:26" ht="26">
      <c r="A218" s="16">
        <v>17438394</v>
      </c>
      <c r="B218" s="16" t="s">
        <v>326</v>
      </c>
      <c r="C218" s="16" t="s">
        <v>35</v>
      </c>
      <c r="D218" s="16" t="s">
        <v>442</v>
      </c>
      <c r="E218" s="16" t="s">
        <v>26</v>
      </c>
      <c r="F218" s="16" t="s">
        <v>271</v>
      </c>
      <c r="G218" s="21" t="s">
        <v>441</v>
      </c>
      <c r="H218" s="7">
        <v>5</v>
      </c>
      <c r="I218" s="1">
        <v>0</v>
      </c>
      <c r="J218" s="4">
        <f t="shared" si="15"/>
        <v>0</v>
      </c>
      <c r="K218" s="5">
        <f t="shared" si="16"/>
        <v>0</v>
      </c>
      <c r="L218" s="2">
        <v>1233517.793070439</v>
      </c>
      <c r="M218" s="2">
        <v>0</v>
      </c>
      <c r="N218" s="6">
        <f t="shared" si="17"/>
        <v>0</v>
      </c>
      <c r="O218" s="17">
        <f t="shared" si="18"/>
        <v>0</v>
      </c>
      <c r="P218" s="18">
        <v>5</v>
      </c>
      <c r="Q218" s="1">
        <f t="shared" si="19"/>
        <v>1</v>
      </c>
      <c r="R218" s="18">
        <v>7</v>
      </c>
      <c r="S218" s="18">
        <v>6</v>
      </c>
      <c r="T218" s="18">
        <v>0</v>
      </c>
      <c r="U218" s="3">
        <v>0</v>
      </c>
      <c r="V218" s="3">
        <v>0</v>
      </c>
      <c r="W218" s="3">
        <v>0</v>
      </c>
      <c r="X218" s="3">
        <v>0</v>
      </c>
      <c r="Y218" s="3">
        <v>0</v>
      </c>
      <c r="Z218" s="3">
        <v>0</v>
      </c>
    </row>
    <row r="219" spans="1:26" ht="26">
      <c r="A219" s="16">
        <v>17646638</v>
      </c>
      <c r="B219" s="16" t="s">
        <v>327</v>
      </c>
      <c r="C219" s="16" t="s">
        <v>35</v>
      </c>
      <c r="D219" s="16" t="s">
        <v>442</v>
      </c>
      <c r="E219" s="16" t="s">
        <v>22</v>
      </c>
      <c r="F219" s="16" t="s">
        <v>290</v>
      </c>
      <c r="G219" s="21" t="s">
        <v>441</v>
      </c>
      <c r="H219" s="7">
        <v>4.5730756188538484</v>
      </c>
      <c r="I219" s="1">
        <v>3</v>
      </c>
      <c r="J219" s="4">
        <f t="shared" si="15"/>
        <v>1</v>
      </c>
      <c r="K219" s="5">
        <f t="shared" si="16"/>
        <v>0.6560136437787335</v>
      </c>
      <c r="L219" s="2">
        <v>1233517.793070439</v>
      </c>
      <c r="M219" s="2">
        <v>330000</v>
      </c>
      <c r="N219" s="6">
        <f t="shared" si="17"/>
        <v>1</v>
      </c>
      <c r="O219" s="17">
        <f t="shared" si="18"/>
        <v>0.26752755562493585</v>
      </c>
      <c r="P219" s="18">
        <v>0</v>
      </c>
      <c r="Q219" s="1">
        <f t="shared" si="19"/>
        <v>0</v>
      </c>
      <c r="R219" s="18">
        <v>7</v>
      </c>
      <c r="S219" s="18">
        <v>0</v>
      </c>
      <c r="T219" s="18">
        <v>0</v>
      </c>
      <c r="U219" s="3">
        <v>1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</row>
    <row r="220" spans="1:26" ht="26">
      <c r="A220" s="16">
        <v>17694192</v>
      </c>
      <c r="B220" s="16" t="s">
        <v>333</v>
      </c>
      <c r="C220" s="16" t="s">
        <v>35</v>
      </c>
      <c r="D220" s="16" t="s">
        <v>442</v>
      </c>
      <c r="E220" s="16" t="s">
        <v>22</v>
      </c>
      <c r="F220" s="16" t="s">
        <v>135</v>
      </c>
      <c r="G220" s="21" t="s">
        <v>441</v>
      </c>
      <c r="H220" s="7">
        <v>7.0674805018650426</v>
      </c>
      <c r="I220" s="1">
        <v>3</v>
      </c>
      <c r="J220" s="4">
        <f t="shared" ref="J220:J283" si="20">IF(I220&gt;=3,1,0)</f>
        <v>1</v>
      </c>
      <c r="K220" s="5">
        <f t="shared" ref="K220:K283" si="21">I220/H220</f>
        <v>0.42447941656270971</v>
      </c>
      <c r="L220" s="2">
        <v>1233517.793070439</v>
      </c>
      <c r="M220" s="2">
        <v>1258000</v>
      </c>
      <c r="N220" s="6">
        <f t="shared" ref="N220:N283" si="22">IF(M220&gt;=300000,1,0)</f>
        <v>1</v>
      </c>
      <c r="O220" s="17">
        <f t="shared" ref="O220:O283" si="23">M220/L220</f>
        <v>1.0198474696247555</v>
      </c>
      <c r="P220" s="18">
        <v>1</v>
      </c>
      <c r="Q220" s="1">
        <f t="shared" ref="Q220:Q283" si="24">IF(P220&gt;=3,1,0)</f>
        <v>0</v>
      </c>
      <c r="R220" s="18">
        <v>10</v>
      </c>
      <c r="S220" s="18">
        <v>1</v>
      </c>
      <c r="T220" s="18">
        <v>0</v>
      </c>
      <c r="U220" s="3">
        <v>0</v>
      </c>
      <c r="V220" s="3">
        <v>1</v>
      </c>
      <c r="W220" s="3">
        <v>0</v>
      </c>
      <c r="X220" s="3">
        <v>0</v>
      </c>
      <c r="Y220" s="3">
        <v>0</v>
      </c>
      <c r="Z220" s="3">
        <v>0</v>
      </c>
    </row>
    <row r="221" spans="1:26" ht="26">
      <c r="A221" s="16">
        <v>17750177</v>
      </c>
      <c r="B221" s="16" t="s">
        <v>344</v>
      </c>
      <c r="C221" s="16" t="s">
        <v>35</v>
      </c>
      <c r="D221" s="16" t="s">
        <v>442</v>
      </c>
      <c r="E221" s="16" t="s">
        <v>26</v>
      </c>
      <c r="F221" s="16" t="s">
        <v>126</v>
      </c>
      <c r="G221" s="21" t="s">
        <v>441</v>
      </c>
      <c r="H221" s="7">
        <v>3.3258731773482562</v>
      </c>
      <c r="I221" s="1">
        <v>0</v>
      </c>
      <c r="J221" s="4">
        <f t="shared" si="20"/>
        <v>0</v>
      </c>
      <c r="K221" s="5">
        <f t="shared" si="21"/>
        <v>0</v>
      </c>
      <c r="L221" s="2">
        <v>1233517.793070439</v>
      </c>
      <c r="M221" s="2">
        <v>0</v>
      </c>
      <c r="N221" s="6">
        <f t="shared" si="22"/>
        <v>0</v>
      </c>
      <c r="O221" s="17">
        <f t="shared" si="23"/>
        <v>0</v>
      </c>
      <c r="P221" s="18">
        <v>5</v>
      </c>
      <c r="Q221" s="1">
        <f t="shared" si="24"/>
        <v>1</v>
      </c>
      <c r="R221" s="18">
        <v>6</v>
      </c>
      <c r="S221" s="18">
        <v>5</v>
      </c>
      <c r="T221" s="18">
        <v>0</v>
      </c>
      <c r="U221" s="3">
        <v>0</v>
      </c>
      <c r="V221" s="3">
        <v>0</v>
      </c>
      <c r="W221" s="3">
        <v>0</v>
      </c>
      <c r="X221" s="3">
        <v>0</v>
      </c>
      <c r="Y221" s="3">
        <v>1</v>
      </c>
      <c r="Z221" s="3">
        <v>0</v>
      </c>
    </row>
    <row r="222" spans="1:26" ht="26">
      <c r="A222" s="16">
        <v>17712252</v>
      </c>
      <c r="B222" s="16" t="s">
        <v>343</v>
      </c>
      <c r="C222" s="16" t="s">
        <v>21</v>
      </c>
      <c r="D222" s="16" t="s">
        <v>442</v>
      </c>
      <c r="E222" s="16" t="s">
        <v>26</v>
      </c>
      <c r="F222" s="16" t="s">
        <v>261</v>
      </c>
      <c r="G222" s="21" t="s">
        <v>441</v>
      </c>
      <c r="H222" s="7">
        <v>7.2753475754493193</v>
      </c>
      <c r="I222" s="1">
        <v>0</v>
      </c>
      <c r="J222" s="1">
        <f t="shared" si="20"/>
        <v>0</v>
      </c>
      <c r="K222" s="5">
        <f t="shared" si="21"/>
        <v>0</v>
      </c>
      <c r="L222" s="2">
        <v>1233517.793070439</v>
      </c>
      <c r="M222" s="2">
        <v>300000</v>
      </c>
      <c r="N222" s="6">
        <f t="shared" si="22"/>
        <v>1</v>
      </c>
      <c r="O222" s="17">
        <f t="shared" si="23"/>
        <v>0.24320686874994168</v>
      </c>
      <c r="P222" s="18">
        <v>5</v>
      </c>
      <c r="Q222" s="1">
        <f t="shared" si="24"/>
        <v>1</v>
      </c>
      <c r="R222" s="18">
        <v>10</v>
      </c>
      <c r="S222" s="18">
        <v>5</v>
      </c>
      <c r="T222" s="18">
        <v>0</v>
      </c>
      <c r="U222" s="3">
        <v>0</v>
      </c>
      <c r="V222" s="3">
        <v>1</v>
      </c>
      <c r="W222" s="3">
        <v>0</v>
      </c>
      <c r="X222" s="3">
        <v>0</v>
      </c>
      <c r="Y222" s="3">
        <v>0</v>
      </c>
      <c r="Z222" s="3">
        <v>0</v>
      </c>
    </row>
    <row r="223" spans="1:26" ht="26">
      <c r="A223" s="16">
        <v>17763874</v>
      </c>
      <c r="B223" s="16" t="s">
        <v>448</v>
      </c>
      <c r="C223" s="16" t="s">
        <v>21</v>
      </c>
      <c r="D223" s="16" t="s">
        <v>442</v>
      </c>
      <c r="E223" s="16" t="s">
        <v>26</v>
      </c>
      <c r="F223" s="16" t="s">
        <v>261</v>
      </c>
      <c r="G223" s="21" t="s">
        <v>441</v>
      </c>
      <c r="H223" s="7">
        <v>5</v>
      </c>
      <c r="I223" s="1">
        <v>0</v>
      </c>
      <c r="J223" s="1">
        <f t="shared" si="20"/>
        <v>0</v>
      </c>
      <c r="K223" s="5">
        <f t="shared" si="21"/>
        <v>0</v>
      </c>
      <c r="L223" s="2">
        <v>1233517.793070439</v>
      </c>
      <c r="M223" s="2">
        <v>132000</v>
      </c>
      <c r="N223" s="6">
        <f t="shared" si="22"/>
        <v>0</v>
      </c>
      <c r="O223" s="17">
        <f t="shared" si="23"/>
        <v>0.10701102224997434</v>
      </c>
      <c r="P223" s="18">
        <v>6</v>
      </c>
      <c r="Q223" s="1">
        <f t="shared" si="24"/>
        <v>1</v>
      </c>
      <c r="R223" s="18">
        <v>7</v>
      </c>
      <c r="S223" s="18">
        <v>6</v>
      </c>
      <c r="T223" s="18">
        <v>0</v>
      </c>
      <c r="U223" s="3">
        <v>0</v>
      </c>
      <c r="V223" s="3">
        <v>1</v>
      </c>
      <c r="W223" s="3">
        <v>0</v>
      </c>
      <c r="X223" s="3">
        <v>0</v>
      </c>
      <c r="Y223" s="3">
        <v>0</v>
      </c>
      <c r="Z223" s="3">
        <v>0</v>
      </c>
    </row>
    <row r="224" spans="1:26" ht="26">
      <c r="A224" s="16">
        <v>17647227</v>
      </c>
      <c r="B224" s="16" t="s">
        <v>260</v>
      </c>
      <c r="C224" s="16" t="s">
        <v>21</v>
      </c>
      <c r="D224" s="16" t="s">
        <v>442</v>
      </c>
      <c r="E224" s="16" t="s">
        <v>26</v>
      </c>
      <c r="F224" s="16" t="s">
        <v>261</v>
      </c>
      <c r="G224" s="21" t="s">
        <v>441</v>
      </c>
      <c r="H224" s="7">
        <v>4.7809426924381153</v>
      </c>
      <c r="I224" s="1">
        <v>0</v>
      </c>
      <c r="J224" s="1">
        <f t="shared" si="20"/>
        <v>0</v>
      </c>
      <c r="K224" s="5">
        <f t="shared" si="21"/>
        <v>0</v>
      </c>
      <c r="L224" s="2">
        <v>1233517.793070439</v>
      </c>
      <c r="M224" s="2">
        <v>85000</v>
      </c>
      <c r="N224" s="6">
        <f t="shared" si="22"/>
        <v>0</v>
      </c>
      <c r="O224" s="17">
        <f t="shared" si="23"/>
        <v>6.8908612812483477E-2</v>
      </c>
      <c r="P224" s="18">
        <v>0</v>
      </c>
      <c r="Q224" s="1">
        <f t="shared" si="24"/>
        <v>0</v>
      </c>
      <c r="R224" s="18">
        <v>7</v>
      </c>
      <c r="S224" s="18">
        <v>0</v>
      </c>
      <c r="T224" s="18">
        <v>0</v>
      </c>
      <c r="U224" s="3">
        <v>0</v>
      </c>
      <c r="V224" s="3">
        <v>1</v>
      </c>
      <c r="W224" s="3">
        <v>0</v>
      </c>
      <c r="X224" s="3">
        <v>0</v>
      </c>
      <c r="Y224" s="3">
        <v>0</v>
      </c>
      <c r="Z224" s="3">
        <v>0</v>
      </c>
    </row>
    <row r="225" spans="1:26" ht="26">
      <c r="A225" s="16">
        <v>17691033</v>
      </c>
      <c r="B225" s="16" t="s">
        <v>396</v>
      </c>
      <c r="C225" s="16" t="s">
        <v>21</v>
      </c>
      <c r="D225" s="16" t="s">
        <v>442</v>
      </c>
      <c r="E225" s="16" t="s">
        <v>22</v>
      </c>
      <c r="F225" s="16" t="s">
        <v>261</v>
      </c>
      <c r="G225" s="21" t="s">
        <v>441</v>
      </c>
      <c r="H225" s="7">
        <v>4.5730756188538484</v>
      </c>
      <c r="I225" s="1">
        <v>0</v>
      </c>
      <c r="J225" s="1">
        <f t="shared" si="20"/>
        <v>0</v>
      </c>
      <c r="K225" s="5">
        <f t="shared" si="21"/>
        <v>0</v>
      </c>
      <c r="L225" s="2">
        <v>1233517.793070439</v>
      </c>
      <c r="M225" s="2">
        <v>300000</v>
      </c>
      <c r="N225" s="6">
        <f t="shared" si="22"/>
        <v>1</v>
      </c>
      <c r="O225" s="17">
        <f t="shared" si="23"/>
        <v>0.24320686874994168</v>
      </c>
      <c r="P225" s="18">
        <v>0</v>
      </c>
      <c r="Q225" s="1">
        <f t="shared" si="24"/>
        <v>0</v>
      </c>
      <c r="R225" s="18">
        <v>7</v>
      </c>
      <c r="S225" s="18">
        <v>0</v>
      </c>
      <c r="T225" s="18">
        <v>0</v>
      </c>
      <c r="U225" s="3">
        <v>0</v>
      </c>
      <c r="V225" s="3">
        <v>1</v>
      </c>
      <c r="W225" s="3">
        <v>0</v>
      </c>
      <c r="X225" s="3">
        <v>0</v>
      </c>
      <c r="Y225" s="3">
        <v>0</v>
      </c>
      <c r="Z225" s="3">
        <v>0</v>
      </c>
    </row>
    <row r="226" spans="1:26" ht="26">
      <c r="A226" s="16">
        <v>17664687</v>
      </c>
      <c r="B226" s="16" t="s">
        <v>203</v>
      </c>
      <c r="C226" s="16" t="s">
        <v>21</v>
      </c>
      <c r="D226" s="16" t="s">
        <v>442</v>
      </c>
      <c r="E226" s="16" t="s">
        <v>22</v>
      </c>
      <c r="F226" s="16" t="s">
        <v>204</v>
      </c>
      <c r="G226" s="21" t="s">
        <v>441</v>
      </c>
      <c r="H226" s="7">
        <v>6.0281451339437124</v>
      </c>
      <c r="I226" s="1">
        <v>3</v>
      </c>
      <c r="J226" s="1">
        <f t="shared" si="20"/>
        <v>1</v>
      </c>
      <c r="K226" s="5">
        <f t="shared" si="21"/>
        <v>0.49766552286662519</v>
      </c>
      <c r="L226" s="2">
        <v>1233517.793070439</v>
      </c>
      <c r="M226" s="2">
        <v>390000</v>
      </c>
      <c r="N226" s="6">
        <f t="shared" si="22"/>
        <v>1</v>
      </c>
      <c r="O226" s="17">
        <f t="shared" si="23"/>
        <v>0.31616892937492419</v>
      </c>
      <c r="P226" s="18">
        <v>0</v>
      </c>
      <c r="Q226" s="1">
        <f t="shared" si="24"/>
        <v>0</v>
      </c>
      <c r="R226" s="18">
        <v>9</v>
      </c>
      <c r="S226" s="18">
        <v>0</v>
      </c>
      <c r="T226" s="18">
        <v>0</v>
      </c>
      <c r="U226" s="3">
        <v>1</v>
      </c>
      <c r="V226" s="3">
        <v>0</v>
      </c>
      <c r="W226" s="3">
        <v>0</v>
      </c>
      <c r="X226" s="3">
        <v>0</v>
      </c>
      <c r="Y226" s="3">
        <v>0</v>
      </c>
      <c r="Z226" s="3">
        <v>0</v>
      </c>
    </row>
    <row r="227" spans="1:26" ht="26">
      <c r="A227" s="16" t="s">
        <v>430</v>
      </c>
      <c r="B227" s="16" t="s">
        <v>434</v>
      </c>
      <c r="C227" s="16" t="s">
        <v>21</v>
      </c>
      <c r="D227" s="16" t="s">
        <v>442</v>
      </c>
      <c r="E227" s="16" t="s">
        <v>22</v>
      </c>
      <c r="F227" s="16" t="s">
        <v>204</v>
      </c>
      <c r="G227" s="21" t="s">
        <v>441</v>
      </c>
      <c r="H227" s="7">
        <v>5</v>
      </c>
      <c r="I227" s="1">
        <v>3</v>
      </c>
      <c r="J227" s="1">
        <f t="shared" si="20"/>
        <v>1</v>
      </c>
      <c r="K227" s="5">
        <f t="shared" si="21"/>
        <v>0.6</v>
      </c>
      <c r="L227" s="2">
        <v>1233517.793070439</v>
      </c>
      <c r="M227" s="2">
        <v>390000</v>
      </c>
      <c r="N227" s="6">
        <f t="shared" si="22"/>
        <v>1</v>
      </c>
      <c r="O227" s="17">
        <f t="shared" si="23"/>
        <v>0.31616892937492419</v>
      </c>
      <c r="P227" s="18">
        <v>0</v>
      </c>
      <c r="Q227" s="1">
        <f t="shared" si="24"/>
        <v>0</v>
      </c>
      <c r="R227" s="18">
        <v>7</v>
      </c>
      <c r="S227" s="18">
        <v>0</v>
      </c>
      <c r="T227" s="18">
        <v>0</v>
      </c>
      <c r="U227" s="3">
        <v>0</v>
      </c>
      <c r="V227" s="3">
        <v>0</v>
      </c>
      <c r="W227" s="3">
        <v>0</v>
      </c>
      <c r="X227" s="3">
        <v>1</v>
      </c>
      <c r="Y227" s="3">
        <v>0</v>
      </c>
      <c r="Z227" s="3">
        <v>0</v>
      </c>
    </row>
    <row r="228" spans="1:26" ht="26">
      <c r="A228" s="16">
        <v>17783359</v>
      </c>
      <c r="B228" s="16" t="s">
        <v>339</v>
      </c>
      <c r="C228" s="16" t="s">
        <v>21</v>
      </c>
      <c r="D228" s="16" t="s">
        <v>442</v>
      </c>
      <c r="E228" s="16" t="s">
        <v>26</v>
      </c>
      <c r="F228" s="16" t="s">
        <v>204</v>
      </c>
      <c r="G228" s="21" t="s">
        <v>441</v>
      </c>
      <c r="H228" s="7">
        <v>3</v>
      </c>
      <c r="I228" s="1">
        <v>3</v>
      </c>
      <c r="J228" s="1">
        <f t="shared" si="20"/>
        <v>1</v>
      </c>
      <c r="K228" s="5">
        <f t="shared" si="21"/>
        <v>1</v>
      </c>
      <c r="L228" s="2">
        <v>1233517.793070439</v>
      </c>
      <c r="M228" s="2">
        <v>306000</v>
      </c>
      <c r="N228" s="6">
        <f t="shared" si="22"/>
        <v>1</v>
      </c>
      <c r="O228" s="17">
        <f t="shared" si="23"/>
        <v>0.24807100612494054</v>
      </c>
      <c r="P228" s="18">
        <v>0</v>
      </c>
      <c r="Q228" s="1">
        <f t="shared" si="24"/>
        <v>0</v>
      </c>
      <c r="R228" s="18">
        <v>5</v>
      </c>
      <c r="S228" s="18">
        <v>0</v>
      </c>
      <c r="T228" s="18">
        <v>0</v>
      </c>
      <c r="U228" s="3">
        <v>1</v>
      </c>
      <c r="V228" s="3">
        <v>0</v>
      </c>
      <c r="W228" s="3">
        <v>0</v>
      </c>
      <c r="X228" s="3">
        <v>0</v>
      </c>
      <c r="Y228" s="3">
        <v>0</v>
      </c>
      <c r="Z228" s="3">
        <v>0</v>
      </c>
    </row>
    <row r="229" spans="1:26" ht="26">
      <c r="A229" s="16">
        <v>17708464</v>
      </c>
      <c r="B229" s="16" t="s">
        <v>362</v>
      </c>
      <c r="C229" s="16" t="s">
        <v>21</v>
      </c>
      <c r="D229" s="16" t="s">
        <v>442</v>
      </c>
      <c r="E229" s="16" t="s">
        <v>26</v>
      </c>
      <c r="F229" s="16" t="s">
        <v>53</v>
      </c>
      <c r="G229" s="21" t="s">
        <v>441</v>
      </c>
      <c r="H229" s="7">
        <v>7.0674805018650426</v>
      </c>
      <c r="I229" s="1">
        <v>3</v>
      </c>
      <c r="J229" s="1">
        <f t="shared" si="20"/>
        <v>1</v>
      </c>
      <c r="K229" s="5">
        <f t="shared" si="21"/>
        <v>0.42447941656270971</v>
      </c>
      <c r="L229" s="2">
        <v>1233517.793070439</v>
      </c>
      <c r="M229" s="2">
        <v>813000</v>
      </c>
      <c r="N229" s="6">
        <f t="shared" si="22"/>
        <v>1</v>
      </c>
      <c r="O229" s="17">
        <f t="shared" si="23"/>
        <v>0.65909061431234195</v>
      </c>
      <c r="P229" s="18">
        <v>0</v>
      </c>
      <c r="Q229" s="1">
        <f t="shared" si="24"/>
        <v>0</v>
      </c>
      <c r="R229" s="18">
        <v>10</v>
      </c>
      <c r="S229" s="18">
        <v>0</v>
      </c>
      <c r="T229" s="18">
        <v>0</v>
      </c>
      <c r="U229" s="3">
        <v>1</v>
      </c>
      <c r="V229" s="3">
        <v>0</v>
      </c>
      <c r="W229" s="3">
        <v>0</v>
      </c>
      <c r="X229" s="3">
        <v>0</v>
      </c>
      <c r="Y229" s="3">
        <v>0</v>
      </c>
      <c r="Z229" s="3">
        <v>0</v>
      </c>
    </row>
    <row r="230" spans="1:26" ht="26">
      <c r="A230" s="16">
        <v>17747746</v>
      </c>
      <c r="B230" s="16" t="s">
        <v>322</v>
      </c>
      <c r="C230" s="16" t="s">
        <v>21</v>
      </c>
      <c r="D230" s="16" t="s">
        <v>442</v>
      </c>
      <c r="E230" s="16" t="s">
        <v>26</v>
      </c>
      <c r="F230" s="16" t="s">
        <v>53</v>
      </c>
      <c r="G230" s="21" t="s">
        <v>441</v>
      </c>
      <c r="H230" s="7">
        <v>6.8596134282807677</v>
      </c>
      <c r="I230" s="1">
        <v>3</v>
      </c>
      <c r="J230" s="4">
        <f t="shared" si="20"/>
        <v>1</v>
      </c>
      <c r="K230" s="5">
        <f t="shared" si="21"/>
        <v>0.43734242918582267</v>
      </c>
      <c r="L230" s="2">
        <v>1233517.793070439</v>
      </c>
      <c r="M230" s="2">
        <v>594000</v>
      </c>
      <c r="N230" s="6">
        <f t="shared" si="22"/>
        <v>1</v>
      </c>
      <c r="O230" s="17">
        <f t="shared" si="23"/>
        <v>0.48154960012488457</v>
      </c>
      <c r="P230" s="18">
        <v>5</v>
      </c>
      <c r="Q230" s="1">
        <f t="shared" si="24"/>
        <v>1</v>
      </c>
      <c r="R230" s="18">
        <v>9</v>
      </c>
      <c r="S230" s="18">
        <v>5</v>
      </c>
      <c r="T230" s="18">
        <v>0</v>
      </c>
      <c r="U230" s="3">
        <v>0</v>
      </c>
      <c r="V230" s="3">
        <v>1</v>
      </c>
      <c r="W230" s="3">
        <v>0</v>
      </c>
      <c r="X230" s="3">
        <v>0</v>
      </c>
      <c r="Y230" s="3">
        <v>0</v>
      </c>
      <c r="Z230" s="3">
        <v>0</v>
      </c>
    </row>
    <row r="231" spans="1:26" ht="26">
      <c r="A231" s="16">
        <v>17698994</v>
      </c>
      <c r="B231" s="16" t="s">
        <v>52</v>
      </c>
      <c r="C231" s="16" t="s">
        <v>21</v>
      </c>
      <c r="D231" s="16" t="s">
        <v>442</v>
      </c>
      <c r="E231" s="16" t="s">
        <v>22</v>
      </c>
      <c r="F231" s="16" t="s">
        <v>53</v>
      </c>
      <c r="G231" s="21" t="s">
        <v>441</v>
      </c>
      <c r="H231" s="7">
        <v>5.8202780603594357</v>
      </c>
      <c r="I231" s="1">
        <v>3</v>
      </c>
      <c r="J231" s="1">
        <f t="shared" si="20"/>
        <v>1</v>
      </c>
      <c r="K231" s="5">
        <f t="shared" si="21"/>
        <v>0.51543929154043422</v>
      </c>
      <c r="L231" s="2">
        <v>1233517.793070439</v>
      </c>
      <c r="M231" s="2">
        <v>1317000</v>
      </c>
      <c r="N231" s="6">
        <f t="shared" si="22"/>
        <v>1</v>
      </c>
      <c r="O231" s="17">
        <f t="shared" si="23"/>
        <v>1.067678153812244</v>
      </c>
      <c r="P231" s="18">
        <v>1</v>
      </c>
      <c r="Q231" s="1">
        <f t="shared" si="24"/>
        <v>0</v>
      </c>
      <c r="R231" s="18">
        <v>8</v>
      </c>
      <c r="S231" s="18">
        <v>1</v>
      </c>
      <c r="T231" s="18">
        <v>0</v>
      </c>
      <c r="U231" s="3">
        <v>1</v>
      </c>
      <c r="V231" s="3">
        <v>0</v>
      </c>
      <c r="W231" s="3">
        <v>0</v>
      </c>
      <c r="X231" s="3">
        <v>0</v>
      </c>
      <c r="Y231" s="3">
        <v>0</v>
      </c>
      <c r="Z231" s="3">
        <v>0</v>
      </c>
    </row>
    <row r="232" spans="1:26" ht="26">
      <c r="A232" s="16">
        <v>17753641</v>
      </c>
      <c r="B232" s="16" t="s">
        <v>370</v>
      </c>
      <c r="C232" s="16" t="s">
        <v>21</v>
      </c>
      <c r="D232" s="16" t="s">
        <v>442</v>
      </c>
      <c r="E232" s="16" t="s">
        <v>26</v>
      </c>
      <c r="F232" s="16" t="s">
        <v>53</v>
      </c>
      <c r="G232" s="21" t="s">
        <v>441</v>
      </c>
      <c r="H232" s="7">
        <v>5</v>
      </c>
      <c r="I232" s="1">
        <v>3</v>
      </c>
      <c r="J232" s="4">
        <f t="shared" si="20"/>
        <v>1</v>
      </c>
      <c r="K232" s="5">
        <f t="shared" si="21"/>
        <v>0.6</v>
      </c>
      <c r="L232" s="2">
        <v>1233517.793070439</v>
      </c>
      <c r="M232" s="2">
        <v>511000</v>
      </c>
      <c r="N232" s="6">
        <f t="shared" si="22"/>
        <v>1</v>
      </c>
      <c r="O232" s="17">
        <f t="shared" si="23"/>
        <v>0.41426236643740066</v>
      </c>
      <c r="P232" s="18">
        <v>0</v>
      </c>
      <c r="Q232" s="1">
        <f t="shared" si="24"/>
        <v>0</v>
      </c>
      <c r="R232" s="18">
        <v>7</v>
      </c>
      <c r="S232" s="18">
        <v>0</v>
      </c>
      <c r="T232" s="18">
        <v>0</v>
      </c>
      <c r="U232" s="3">
        <v>0</v>
      </c>
      <c r="V232" s="3">
        <v>1</v>
      </c>
      <c r="W232" s="3">
        <v>0</v>
      </c>
      <c r="X232" s="3">
        <v>0</v>
      </c>
      <c r="Y232" s="3">
        <v>0</v>
      </c>
      <c r="Z232" s="3">
        <v>0</v>
      </c>
    </row>
    <row r="233" spans="1:26" ht="26">
      <c r="A233" s="16">
        <v>17440382</v>
      </c>
      <c r="B233" s="16" t="s">
        <v>329</v>
      </c>
      <c r="C233" s="16" t="s">
        <v>21</v>
      </c>
      <c r="D233" s="16" t="s">
        <v>442</v>
      </c>
      <c r="E233" s="16" t="s">
        <v>22</v>
      </c>
      <c r="F233" s="16" t="s">
        <v>53</v>
      </c>
      <c r="G233" s="21" t="s">
        <v>441</v>
      </c>
      <c r="H233" s="7">
        <v>5</v>
      </c>
      <c r="I233" s="1">
        <v>3</v>
      </c>
      <c r="J233" s="4">
        <f t="shared" si="20"/>
        <v>1</v>
      </c>
      <c r="K233" s="5">
        <f t="shared" si="21"/>
        <v>0.6</v>
      </c>
      <c r="L233" s="2">
        <v>1233517.793070439</v>
      </c>
      <c r="M233" s="2">
        <v>728000</v>
      </c>
      <c r="N233" s="6">
        <f t="shared" si="22"/>
        <v>1</v>
      </c>
      <c r="O233" s="17">
        <f t="shared" si="23"/>
        <v>0.59018200149985856</v>
      </c>
      <c r="P233" s="18">
        <v>2</v>
      </c>
      <c r="Q233" s="1">
        <f t="shared" si="24"/>
        <v>0</v>
      </c>
      <c r="R233" s="18">
        <v>7</v>
      </c>
      <c r="S233" s="18">
        <v>2</v>
      </c>
      <c r="T233" s="18">
        <v>0</v>
      </c>
      <c r="U233" s="3">
        <v>1</v>
      </c>
      <c r="V233" s="3">
        <v>0</v>
      </c>
      <c r="W233" s="3">
        <v>0</v>
      </c>
      <c r="X233" s="3">
        <v>0</v>
      </c>
      <c r="Y233" s="3">
        <v>0</v>
      </c>
      <c r="Z233" s="3">
        <v>0</v>
      </c>
    </row>
    <row r="234" spans="1:26" ht="26">
      <c r="A234" s="16">
        <v>17565415</v>
      </c>
      <c r="B234" s="16" t="s">
        <v>320</v>
      </c>
      <c r="C234" s="16" t="s">
        <v>21</v>
      </c>
      <c r="D234" s="16" t="s">
        <v>442</v>
      </c>
      <c r="E234" s="16" t="s">
        <v>26</v>
      </c>
      <c r="F234" s="16" t="s">
        <v>53</v>
      </c>
      <c r="G234" s="21" t="s">
        <v>441</v>
      </c>
      <c r="H234" s="7">
        <v>4.5730756188538484</v>
      </c>
      <c r="I234" s="1">
        <v>0</v>
      </c>
      <c r="J234" s="4">
        <f t="shared" si="20"/>
        <v>0</v>
      </c>
      <c r="K234" s="5">
        <f t="shared" si="21"/>
        <v>0</v>
      </c>
      <c r="L234" s="2">
        <v>1233517.793070439</v>
      </c>
      <c r="M234" s="2">
        <v>336000</v>
      </c>
      <c r="N234" s="6">
        <f t="shared" si="22"/>
        <v>1</v>
      </c>
      <c r="O234" s="17">
        <f t="shared" si="23"/>
        <v>0.27239169299993471</v>
      </c>
      <c r="P234" s="18">
        <v>0</v>
      </c>
      <c r="Q234" s="1">
        <f t="shared" si="24"/>
        <v>0</v>
      </c>
      <c r="R234" s="18">
        <v>7</v>
      </c>
      <c r="S234" s="18">
        <v>0</v>
      </c>
      <c r="T234" s="18">
        <v>0</v>
      </c>
      <c r="U234" s="3">
        <v>0</v>
      </c>
      <c r="V234" s="3">
        <v>1</v>
      </c>
      <c r="W234" s="3">
        <v>0</v>
      </c>
      <c r="X234" s="3">
        <v>0</v>
      </c>
      <c r="Y234" s="3">
        <v>0</v>
      </c>
      <c r="Z234" s="3">
        <v>0</v>
      </c>
    </row>
    <row r="235" spans="1:26" ht="26">
      <c r="A235" s="16">
        <v>17675844</v>
      </c>
      <c r="B235" s="16" t="s">
        <v>294</v>
      </c>
      <c r="C235" s="16" t="s">
        <v>21</v>
      </c>
      <c r="D235" s="16" t="s">
        <v>442</v>
      </c>
      <c r="E235" s="16" t="s">
        <v>22</v>
      </c>
      <c r="F235" s="16" t="s">
        <v>53</v>
      </c>
      <c r="G235" s="21" t="s">
        <v>441</v>
      </c>
      <c r="H235" s="7">
        <v>3.3258731773482562</v>
      </c>
      <c r="I235" s="1">
        <v>3</v>
      </c>
      <c r="J235" s="4">
        <f t="shared" si="20"/>
        <v>1</v>
      </c>
      <c r="K235" s="5">
        <f t="shared" si="21"/>
        <v>0.90201876019575788</v>
      </c>
      <c r="L235" s="2">
        <v>1233517.793070439</v>
      </c>
      <c r="M235" s="2">
        <v>2610000</v>
      </c>
      <c r="N235" s="6">
        <f t="shared" si="22"/>
        <v>1</v>
      </c>
      <c r="O235" s="17">
        <f t="shared" si="23"/>
        <v>2.1158997581244927</v>
      </c>
      <c r="P235" s="18">
        <v>1</v>
      </c>
      <c r="Q235" s="1">
        <f t="shared" si="24"/>
        <v>0</v>
      </c>
      <c r="R235" s="18">
        <v>6</v>
      </c>
      <c r="S235" s="18">
        <v>1</v>
      </c>
      <c r="T235" s="18">
        <v>0</v>
      </c>
      <c r="U235" s="3">
        <v>1</v>
      </c>
      <c r="V235" s="3">
        <v>0</v>
      </c>
      <c r="W235" s="3">
        <v>0</v>
      </c>
      <c r="X235" s="3">
        <v>0</v>
      </c>
      <c r="Y235" s="3">
        <v>0</v>
      </c>
      <c r="Z235" s="3">
        <v>0</v>
      </c>
    </row>
    <row r="236" spans="1:26" ht="26">
      <c r="A236" s="16">
        <v>17569071</v>
      </c>
      <c r="B236" s="16" t="s">
        <v>348</v>
      </c>
      <c r="C236" s="16" t="s">
        <v>21</v>
      </c>
      <c r="D236" s="16" t="s">
        <v>442</v>
      </c>
      <c r="E236" s="16" t="s">
        <v>26</v>
      </c>
      <c r="F236" s="16" t="s">
        <v>53</v>
      </c>
      <c r="G236" s="21" t="s">
        <v>441</v>
      </c>
      <c r="H236" s="7">
        <v>3</v>
      </c>
      <c r="I236" s="1">
        <v>3</v>
      </c>
      <c r="J236" s="1">
        <f t="shared" si="20"/>
        <v>1</v>
      </c>
      <c r="K236" s="5">
        <f t="shared" si="21"/>
        <v>1</v>
      </c>
      <c r="L236" s="2">
        <v>1233517.793070439</v>
      </c>
      <c r="M236" s="2">
        <v>558000</v>
      </c>
      <c r="N236" s="6">
        <f t="shared" si="22"/>
        <v>1</v>
      </c>
      <c r="O236" s="17">
        <f t="shared" si="23"/>
        <v>0.45236477587489154</v>
      </c>
      <c r="P236" s="18">
        <v>0</v>
      </c>
      <c r="Q236" s="1">
        <f t="shared" si="24"/>
        <v>0</v>
      </c>
      <c r="R236" s="18">
        <v>5</v>
      </c>
      <c r="S236" s="18">
        <v>0</v>
      </c>
      <c r="T236" s="18">
        <v>0</v>
      </c>
      <c r="U236" s="3">
        <v>1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</row>
    <row r="237" spans="1:26" s="25" customFormat="1" ht="26">
      <c r="A237" s="23">
        <v>17707600</v>
      </c>
      <c r="B237" s="23" t="s">
        <v>474</v>
      </c>
      <c r="C237" s="16" t="s">
        <v>21</v>
      </c>
      <c r="D237" s="16" t="s">
        <v>442</v>
      </c>
      <c r="E237" s="16" t="s">
        <v>26</v>
      </c>
      <c r="F237" s="24" t="s">
        <v>53</v>
      </c>
      <c r="G237" s="23" t="s">
        <v>441</v>
      </c>
      <c r="H237" s="7">
        <v>2.7022719565954572</v>
      </c>
      <c r="I237" s="1">
        <v>0</v>
      </c>
      <c r="J237" s="1">
        <f t="shared" si="20"/>
        <v>0</v>
      </c>
      <c r="K237" s="5">
        <f t="shared" si="21"/>
        <v>0</v>
      </c>
      <c r="L237" s="2">
        <v>300000</v>
      </c>
      <c r="M237" s="2">
        <v>264000</v>
      </c>
      <c r="N237" s="6">
        <f t="shared" si="22"/>
        <v>0</v>
      </c>
      <c r="O237" s="17">
        <f t="shared" si="23"/>
        <v>0.88</v>
      </c>
      <c r="P237" s="18">
        <v>0</v>
      </c>
      <c r="Q237" s="1">
        <f t="shared" si="24"/>
        <v>0</v>
      </c>
      <c r="R237" s="18">
        <v>5</v>
      </c>
      <c r="S237" s="18">
        <v>0</v>
      </c>
      <c r="T237" s="18">
        <v>0</v>
      </c>
      <c r="U237" s="3">
        <v>1</v>
      </c>
      <c r="V237" s="3">
        <v>0</v>
      </c>
      <c r="W237" s="3">
        <v>0</v>
      </c>
      <c r="X237" s="3">
        <v>0</v>
      </c>
      <c r="Y237" s="3">
        <v>0</v>
      </c>
      <c r="Z237" s="3">
        <v>0</v>
      </c>
    </row>
    <row r="238" spans="1:26" s="25" customFormat="1" ht="26">
      <c r="A238" s="23" t="s">
        <v>477</v>
      </c>
      <c r="B238" s="23" t="s">
        <v>478</v>
      </c>
      <c r="C238" s="16" t="s">
        <v>21</v>
      </c>
      <c r="D238" s="16" t="s">
        <v>442</v>
      </c>
      <c r="E238" s="16" t="s">
        <v>26</v>
      </c>
      <c r="F238" s="24" t="s">
        <v>53</v>
      </c>
      <c r="G238" s="23" t="s">
        <v>441</v>
      </c>
      <c r="H238" s="7">
        <v>2.7022719565954572</v>
      </c>
      <c r="I238" s="1">
        <v>3</v>
      </c>
      <c r="J238" s="1">
        <f t="shared" si="20"/>
        <v>1</v>
      </c>
      <c r="K238" s="5">
        <f t="shared" si="21"/>
        <v>1.1101769356255486</v>
      </c>
      <c r="L238" s="2">
        <v>300000</v>
      </c>
      <c r="M238" s="2">
        <v>258000</v>
      </c>
      <c r="N238" s="6">
        <f t="shared" si="22"/>
        <v>0</v>
      </c>
      <c r="O238" s="17">
        <f t="shared" si="23"/>
        <v>0.86</v>
      </c>
      <c r="P238" s="18">
        <v>0</v>
      </c>
      <c r="Q238" s="1">
        <f t="shared" si="24"/>
        <v>0</v>
      </c>
      <c r="R238" s="18">
        <v>5</v>
      </c>
      <c r="S238" s="18">
        <v>0</v>
      </c>
      <c r="T238" s="18">
        <v>0</v>
      </c>
      <c r="U238" s="3">
        <v>1</v>
      </c>
      <c r="V238" s="3">
        <v>0</v>
      </c>
      <c r="W238" s="3">
        <v>0</v>
      </c>
      <c r="X238" s="3">
        <v>0</v>
      </c>
      <c r="Y238" s="3">
        <v>0</v>
      </c>
      <c r="Z238" s="3">
        <v>0</v>
      </c>
    </row>
    <row r="239" spans="1:26" ht="26">
      <c r="A239" s="16">
        <v>17741887</v>
      </c>
      <c r="B239" s="16" t="s">
        <v>187</v>
      </c>
      <c r="C239" s="16" t="s">
        <v>21</v>
      </c>
      <c r="D239" s="16" t="s">
        <v>444</v>
      </c>
      <c r="E239" s="16" t="s">
        <v>26</v>
      </c>
      <c r="F239" s="16" t="s">
        <v>23</v>
      </c>
      <c r="G239" s="21" t="s">
        <v>441</v>
      </c>
      <c r="H239" s="7">
        <v>10.80908782638182</v>
      </c>
      <c r="I239" s="1">
        <v>3</v>
      </c>
      <c r="J239" s="4">
        <f t="shared" si="20"/>
        <v>1</v>
      </c>
      <c r="K239" s="5">
        <f t="shared" si="21"/>
        <v>0.27754423390638738</v>
      </c>
      <c r="L239" s="2">
        <v>6018419.3717715694</v>
      </c>
      <c r="M239" s="2">
        <v>884000</v>
      </c>
      <c r="N239" s="6">
        <f t="shared" si="22"/>
        <v>1</v>
      </c>
      <c r="O239" s="17">
        <f t="shared" si="23"/>
        <v>0.14688241968418822</v>
      </c>
      <c r="P239" s="18">
        <v>0</v>
      </c>
      <c r="Q239" s="1">
        <f t="shared" si="24"/>
        <v>0</v>
      </c>
      <c r="R239" s="18">
        <v>13</v>
      </c>
      <c r="S239" s="18">
        <v>0</v>
      </c>
      <c r="T239" s="18">
        <v>0</v>
      </c>
      <c r="U239" s="3">
        <v>0</v>
      </c>
      <c r="V239" s="3">
        <v>0</v>
      </c>
      <c r="W239" s="3">
        <v>0</v>
      </c>
      <c r="X239" s="3">
        <v>1</v>
      </c>
      <c r="Y239" s="3">
        <v>0</v>
      </c>
      <c r="Z239" s="3">
        <v>0</v>
      </c>
    </row>
    <row r="240" spans="1:26" ht="26">
      <c r="A240" s="16">
        <v>17804899</v>
      </c>
      <c r="B240" s="16" t="s">
        <v>351</v>
      </c>
      <c r="C240" s="16" t="s">
        <v>21</v>
      </c>
      <c r="D240" s="16" t="s">
        <v>442</v>
      </c>
      <c r="E240" s="16" t="s">
        <v>26</v>
      </c>
      <c r="F240" s="16" t="s">
        <v>23</v>
      </c>
      <c r="G240" s="21" t="s">
        <v>441</v>
      </c>
      <c r="H240" s="7">
        <v>10.185486605629039</v>
      </c>
      <c r="I240" s="1">
        <v>0</v>
      </c>
      <c r="J240" s="1">
        <f t="shared" si="20"/>
        <v>0</v>
      </c>
      <c r="K240" s="5">
        <f t="shared" si="21"/>
        <v>0</v>
      </c>
      <c r="L240" s="2">
        <v>1233517.793070439</v>
      </c>
      <c r="M240" s="2">
        <v>336000</v>
      </c>
      <c r="N240" s="6">
        <f t="shared" si="22"/>
        <v>1</v>
      </c>
      <c r="O240" s="17">
        <f t="shared" si="23"/>
        <v>0.27239169299993471</v>
      </c>
      <c r="P240" s="18">
        <v>0</v>
      </c>
      <c r="Q240" s="1">
        <f t="shared" si="24"/>
        <v>0</v>
      </c>
      <c r="R240" s="18">
        <v>13</v>
      </c>
      <c r="S240" s="18">
        <v>0</v>
      </c>
      <c r="T240" s="18">
        <v>0</v>
      </c>
      <c r="U240" s="3">
        <v>0</v>
      </c>
      <c r="V240" s="3">
        <v>1</v>
      </c>
      <c r="W240" s="3">
        <v>0</v>
      </c>
      <c r="X240" s="3">
        <v>0</v>
      </c>
      <c r="Y240" s="3">
        <v>0</v>
      </c>
      <c r="Z240" s="3">
        <v>0</v>
      </c>
    </row>
    <row r="241" spans="1:26" ht="26">
      <c r="A241" s="16">
        <v>1545922</v>
      </c>
      <c r="B241" s="16" t="s">
        <v>33</v>
      </c>
      <c r="C241" s="16" t="s">
        <v>21</v>
      </c>
      <c r="D241" s="16" t="s">
        <v>440</v>
      </c>
      <c r="E241" s="16" t="s">
        <v>22</v>
      </c>
      <c r="F241" s="16" t="s">
        <v>23</v>
      </c>
      <c r="G241" s="21" t="s">
        <v>441</v>
      </c>
      <c r="H241" s="7">
        <v>5</v>
      </c>
      <c r="I241" s="1">
        <v>3</v>
      </c>
      <c r="J241" s="4">
        <f t="shared" si="20"/>
        <v>1</v>
      </c>
      <c r="K241" s="5">
        <f t="shared" si="21"/>
        <v>0.6</v>
      </c>
      <c r="L241" s="2">
        <v>19880654</v>
      </c>
      <c r="M241" s="2">
        <v>4760000</v>
      </c>
      <c r="N241" s="6">
        <f t="shared" si="22"/>
        <v>1</v>
      </c>
      <c r="O241" s="17">
        <f t="shared" si="23"/>
        <v>0.23942874313893295</v>
      </c>
      <c r="P241" s="18">
        <v>0</v>
      </c>
      <c r="Q241" s="1">
        <f t="shared" si="24"/>
        <v>0</v>
      </c>
      <c r="R241" s="18">
        <v>7</v>
      </c>
      <c r="S241" s="18">
        <v>0</v>
      </c>
      <c r="T241" s="18">
        <v>0</v>
      </c>
      <c r="U241" s="3">
        <v>0</v>
      </c>
      <c r="V241" s="3">
        <v>0</v>
      </c>
      <c r="W241" s="3">
        <v>0</v>
      </c>
      <c r="X241" s="3">
        <v>1</v>
      </c>
      <c r="Y241" s="3">
        <v>0</v>
      </c>
      <c r="Z241" s="3">
        <v>0</v>
      </c>
    </row>
    <row r="242" spans="1:26" ht="26">
      <c r="A242" s="16">
        <v>17736369</v>
      </c>
      <c r="B242" s="16" t="s">
        <v>287</v>
      </c>
      <c r="C242" s="16" t="s">
        <v>21</v>
      </c>
      <c r="D242" s="16" t="s">
        <v>442</v>
      </c>
      <c r="E242" s="16" t="s">
        <v>22</v>
      </c>
      <c r="F242" s="16" t="s">
        <v>23</v>
      </c>
      <c r="G242" s="21" t="s">
        <v>441</v>
      </c>
      <c r="H242" s="7">
        <v>5</v>
      </c>
      <c r="I242" s="1">
        <v>0</v>
      </c>
      <c r="J242" s="1">
        <f t="shared" si="20"/>
        <v>0</v>
      </c>
      <c r="K242" s="5">
        <f t="shared" si="21"/>
        <v>0</v>
      </c>
      <c r="L242" s="2">
        <v>1233517.793070439</v>
      </c>
      <c r="M242" s="2">
        <v>675000</v>
      </c>
      <c r="N242" s="6">
        <f t="shared" si="22"/>
        <v>1</v>
      </c>
      <c r="O242" s="17">
        <f t="shared" si="23"/>
        <v>0.54721545468736876</v>
      </c>
      <c r="P242" s="18">
        <v>3</v>
      </c>
      <c r="Q242" s="1">
        <f t="shared" si="24"/>
        <v>1</v>
      </c>
      <c r="R242" s="18">
        <v>7</v>
      </c>
      <c r="S242" s="18">
        <v>3</v>
      </c>
      <c r="T242" s="18">
        <v>0</v>
      </c>
      <c r="U242" s="3">
        <v>0</v>
      </c>
      <c r="V242" s="3">
        <v>1</v>
      </c>
      <c r="W242" s="3">
        <v>0</v>
      </c>
      <c r="X242" s="3">
        <v>0</v>
      </c>
      <c r="Y242" s="3">
        <v>0</v>
      </c>
      <c r="Z242" s="3">
        <v>0</v>
      </c>
    </row>
    <row r="243" spans="1:26" ht="26">
      <c r="A243" s="16">
        <v>17422989</v>
      </c>
      <c r="B243" s="16" t="s">
        <v>371</v>
      </c>
      <c r="C243" s="16" t="s">
        <v>21</v>
      </c>
      <c r="D243" s="16" t="s">
        <v>440</v>
      </c>
      <c r="E243" s="16" t="s">
        <v>22</v>
      </c>
      <c r="F243" s="16" t="s">
        <v>23</v>
      </c>
      <c r="G243" s="21" t="s">
        <v>441</v>
      </c>
      <c r="H243" s="7">
        <v>4.7809426924381153</v>
      </c>
      <c r="I243" s="1">
        <v>0</v>
      </c>
      <c r="J243" s="1">
        <f t="shared" si="20"/>
        <v>0</v>
      </c>
      <c r="K243" s="5">
        <f t="shared" si="21"/>
        <v>0</v>
      </c>
      <c r="L243" s="2">
        <v>2549477.9785796599</v>
      </c>
      <c r="M243" s="2">
        <v>4168000</v>
      </c>
      <c r="N243" s="6">
        <f t="shared" si="22"/>
        <v>1</v>
      </c>
      <c r="O243" s="17">
        <f t="shared" si="23"/>
        <v>1.6348444799362554</v>
      </c>
      <c r="P243" s="18">
        <v>2</v>
      </c>
      <c r="Q243" s="1">
        <f t="shared" si="24"/>
        <v>0</v>
      </c>
      <c r="R243" s="18">
        <v>7</v>
      </c>
      <c r="S243" s="18">
        <v>2</v>
      </c>
      <c r="T243" s="18">
        <v>0</v>
      </c>
      <c r="U243" s="3">
        <v>0</v>
      </c>
      <c r="V243" s="3">
        <v>0</v>
      </c>
      <c r="W243" s="3">
        <v>0</v>
      </c>
      <c r="X243" s="3">
        <v>1</v>
      </c>
      <c r="Y243" s="3">
        <v>0</v>
      </c>
      <c r="Z243" s="3">
        <v>0</v>
      </c>
    </row>
    <row r="244" spans="1:26" ht="26">
      <c r="A244" s="16">
        <v>17227194</v>
      </c>
      <c r="B244" s="16" t="s">
        <v>69</v>
      </c>
      <c r="C244" s="16" t="s">
        <v>21</v>
      </c>
      <c r="D244" s="16" t="s">
        <v>440</v>
      </c>
      <c r="E244" s="16" t="s">
        <v>22</v>
      </c>
      <c r="F244" s="16" t="s">
        <v>23</v>
      </c>
      <c r="G244" s="21" t="s">
        <v>441</v>
      </c>
      <c r="H244" s="7">
        <v>3.1180061037639888</v>
      </c>
      <c r="I244" s="1">
        <v>3</v>
      </c>
      <c r="J244" s="1">
        <f t="shared" si="20"/>
        <v>1</v>
      </c>
      <c r="K244" s="5">
        <f t="shared" si="21"/>
        <v>0.96215334420880883</v>
      </c>
      <c r="L244" s="2">
        <v>22463880</v>
      </c>
      <c r="M244" s="2">
        <v>2060000</v>
      </c>
      <c r="N244" s="6">
        <f t="shared" si="22"/>
        <v>1</v>
      </c>
      <c r="O244" s="17">
        <f t="shared" si="23"/>
        <v>9.170276906749858E-2</v>
      </c>
      <c r="P244" s="18">
        <v>0</v>
      </c>
      <c r="Q244" s="1">
        <f t="shared" si="24"/>
        <v>0</v>
      </c>
      <c r="R244" s="18">
        <v>6</v>
      </c>
      <c r="S244" s="18">
        <v>0</v>
      </c>
      <c r="T244" s="18">
        <v>0</v>
      </c>
      <c r="U244" s="3">
        <v>0</v>
      </c>
      <c r="V244" s="3">
        <v>1</v>
      </c>
      <c r="W244" s="3">
        <v>0</v>
      </c>
      <c r="X244" s="3">
        <v>0</v>
      </c>
      <c r="Y244" s="3">
        <v>0</v>
      </c>
      <c r="Z244" s="3">
        <v>0</v>
      </c>
    </row>
    <row r="245" spans="1:26" ht="26">
      <c r="A245" s="16">
        <v>17685979</v>
      </c>
      <c r="B245" s="16" t="s">
        <v>149</v>
      </c>
      <c r="C245" s="16" t="s">
        <v>21</v>
      </c>
      <c r="D245" s="16" t="s">
        <v>442</v>
      </c>
      <c r="E245" s="16" t="s">
        <v>22</v>
      </c>
      <c r="F245" s="16" t="s">
        <v>23</v>
      </c>
      <c r="G245" s="21" t="s">
        <v>441</v>
      </c>
      <c r="H245" s="7">
        <v>3.1180061037639888</v>
      </c>
      <c r="I245" s="1">
        <v>3</v>
      </c>
      <c r="J245" s="4">
        <f t="shared" si="20"/>
        <v>1</v>
      </c>
      <c r="K245" s="5">
        <f t="shared" si="21"/>
        <v>0.96215334420880883</v>
      </c>
      <c r="L245" s="2">
        <v>1233517.793070439</v>
      </c>
      <c r="M245" s="2">
        <v>426000</v>
      </c>
      <c r="N245" s="6">
        <f t="shared" si="22"/>
        <v>1</v>
      </c>
      <c r="O245" s="17">
        <f t="shared" si="23"/>
        <v>0.34535375362491721</v>
      </c>
      <c r="P245" s="18">
        <v>0</v>
      </c>
      <c r="Q245" s="1">
        <f t="shared" si="24"/>
        <v>0</v>
      </c>
      <c r="R245" s="18">
        <v>6</v>
      </c>
      <c r="S245" s="18">
        <v>0</v>
      </c>
      <c r="T245" s="18">
        <v>0</v>
      </c>
      <c r="U245" s="3">
        <v>0</v>
      </c>
      <c r="V245" s="3">
        <v>0</v>
      </c>
      <c r="W245" s="3">
        <v>0</v>
      </c>
      <c r="X245" s="3">
        <v>1</v>
      </c>
      <c r="Y245" s="3">
        <v>0</v>
      </c>
      <c r="Z245" s="3">
        <v>0</v>
      </c>
    </row>
    <row r="246" spans="1:26" ht="26">
      <c r="A246" s="16">
        <v>17444152</v>
      </c>
      <c r="B246" s="16" t="s">
        <v>72</v>
      </c>
      <c r="C246" s="16" t="s">
        <v>21</v>
      </c>
      <c r="D246" s="16" t="s">
        <v>442</v>
      </c>
      <c r="E246" s="16" t="s">
        <v>22</v>
      </c>
      <c r="F246" s="16" t="s">
        <v>23</v>
      </c>
      <c r="G246" s="21" t="s">
        <v>441</v>
      </c>
      <c r="H246" s="7">
        <v>3</v>
      </c>
      <c r="I246" s="1">
        <v>3</v>
      </c>
      <c r="J246" s="1">
        <f t="shared" si="20"/>
        <v>1</v>
      </c>
      <c r="K246" s="5">
        <f t="shared" si="21"/>
        <v>1</v>
      </c>
      <c r="L246" s="2">
        <v>1233517.793070439</v>
      </c>
      <c r="M246" s="2">
        <v>792000</v>
      </c>
      <c r="N246" s="6">
        <f t="shared" si="22"/>
        <v>1</v>
      </c>
      <c r="O246" s="17">
        <f t="shared" si="23"/>
        <v>0.64206613349984609</v>
      </c>
      <c r="P246" s="18">
        <v>0</v>
      </c>
      <c r="Q246" s="1">
        <f t="shared" si="24"/>
        <v>0</v>
      </c>
      <c r="R246" s="18">
        <v>5</v>
      </c>
      <c r="S246" s="18">
        <v>0</v>
      </c>
      <c r="T246" s="18">
        <v>0</v>
      </c>
      <c r="U246" s="3">
        <v>0</v>
      </c>
      <c r="V246" s="3">
        <v>0</v>
      </c>
      <c r="W246" s="3">
        <v>0</v>
      </c>
      <c r="X246" s="3">
        <v>1</v>
      </c>
      <c r="Y246" s="3">
        <v>0</v>
      </c>
      <c r="Z246" s="3">
        <v>0</v>
      </c>
    </row>
    <row r="247" spans="1:26" ht="26">
      <c r="A247" s="16">
        <v>17790525</v>
      </c>
      <c r="B247" s="16" t="s">
        <v>313</v>
      </c>
      <c r="C247" s="16" t="s">
        <v>21</v>
      </c>
      <c r="D247" s="16" t="s">
        <v>442</v>
      </c>
      <c r="E247" s="16" t="s">
        <v>22</v>
      </c>
      <c r="F247" s="16" t="s">
        <v>23</v>
      </c>
      <c r="G247" s="21" t="s">
        <v>441</v>
      </c>
      <c r="H247" s="7">
        <v>3</v>
      </c>
      <c r="I247" s="1">
        <v>3</v>
      </c>
      <c r="J247" s="1">
        <f t="shared" si="20"/>
        <v>1</v>
      </c>
      <c r="K247" s="5">
        <f t="shared" si="21"/>
        <v>1</v>
      </c>
      <c r="L247" s="2">
        <v>1233517.793070439</v>
      </c>
      <c r="M247" s="2">
        <v>1290000</v>
      </c>
      <c r="N247" s="6">
        <f t="shared" si="22"/>
        <v>1</v>
      </c>
      <c r="O247" s="17">
        <f t="shared" si="23"/>
        <v>1.0457895356247493</v>
      </c>
      <c r="P247" s="18">
        <v>0</v>
      </c>
      <c r="Q247" s="1">
        <f t="shared" si="24"/>
        <v>0</v>
      </c>
      <c r="R247" s="18">
        <v>5</v>
      </c>
      <c r="S247" s="18">
        <v>0</v>
      </c>
      <c r="T247" s="18">
        <v>0</v>
      </c>
      <c r="U247" s="3">
        <v>0</v>
      </c>
      <c r="V247" s="3">
        <v>1</v>
      </c>
      <c r="W247" s="3">
        <v>0</v>
      </c>
      <c r="X247" s="3">
        <v>0</v>
      </c>
      <c r="Y247" s="3">
        <v>0</v>
      </c>
      <c r="Z247" s="3">
        <v>0</v>
      </c>
    </row>
    <row r="248" spans="1:26" ht="26">
      <c r="A248" s="16">
        <v>17717259</v>
      </c>
      <c r="B248" s="16" t="s">
        <v>20</v>
      </c>
      <c r="C248" s="16" t="s">
        <v>21</v>
      </c>
      <c r="D248" s="16" t="s">
        <v>440</v>
      </c>
      <c r="E248" s="16" t="s">
        <v>22</v>
      </c>
      <c r="F248" s="16" t="s">
        <v>23</v>
      </c>
      <c r="G248" s="21" t="s">
        <v>441</v>
      </c>
      <c r="H248" s="7">
        <v>2.9101390301797232</v>
      </c>
      <c r="I248" s="1">
        <v>9</v>
      </c>
      <c r="J248" s="1">
        <f t="shared" si="20"/>
        <v>1</v>
      </c>
      <c r="K248" s="5">
        <f t="shared" si="21"/>
        <v>3.0926357492425995</v>
      </c>
      <c r="L248" s="2">
        <v>12908778</v>
      </c>
      <c r="M248" s="2">
        <v>1925000</v>
      </c>
      <c r="N248" s="6">
        <f t="shared" si="22"/>
        <v>1</v>
      </c>
      <c r="O248" s="17">
        <f t="shared" si="23"/>
        <v>0.14912333297543734</v>
      </c>
      <c r="P248" s="18">
        <v>17</v>
      </c>
      <c r="Q248" s="1">
        <f t="shared" si="24"/>
        <v>1</v>
      </c>
      <c r="R248" s="18">
        <v>5</v>
      </c>
      <c r="S248" s="18">
        <v>17</v>
      </c>
      <c r="T248" s="18">
        <v>0</v>
      </c>
      <c r="U248" s="3">
        <v>0</v>
      </c>
      <c r="V248" s="3">
        <v>1</v>
      </c>
      <c r="W248" s="3">
        <v>0</v>
      </c>
      <c r="X248" s="3">
        <v>1</v>
      </c>
      <c r="Y248" s="3">
        <v>0</v>
      </c>
      <c r="Z248" s="3">
        <v>0</v>
      </c>
    </row>
    <row r="249" spans="1:26" ht="26">
      <c r="A249" s="16">
        <v>17705774</v>
      </c>
      <c r="B249" s="16" t="s">
        <v>390</v>
      </c>
      <c r="C249" s="16" t="s">
        <v>21</v>
      </c>
      <c r="D249" s="16" t="s">
        <v>442</v>
      </c>
      <c r="E249" s="16" t="s">
        <v>26</v>
      </c>
      <c r="F249" s="16" t="s">
        <v>40</v>
      </c>
      <c r="G249" s="21" t="s">
        <v>441</v>
      </c>
      <c r="H249" s="7">
        <v>6.651746354696491</v>
      </c>
      <c r="I249" s="1">
        <v>3</v>
      </c>
      <c r="J249" s="4">
        <f t="shared" si="20"/>
        <v>1</v>
      </c>
      <c r="K249" s="5">
        <f t="shared" si="21"/>
        <v>0.45100938009788039</v>
      </c>
      <c r="L249" s="2">
        <v>1233517.793070439</v>
      </c>
      <c r="M249" s="2">
        <v>307000</v>
      </c>
      <c r="N249" s="6">
        <f t="shared" si="22"/>
        <v>1</v>
      </c>
      <c r="O249" s="17">
        <f t="shared" si="23"/>
        <v>0.24888169568744034</v>
      </c>
      <c r="P249" s="18">
        <v>0</v>
      </c>
      <c r="Q249" s="1">
        <f t="shared" si="24"/>
        <v>0</v>
      </c>
      <c r="R249" s="18">
        <v>9</v>
      </c>
      <c r="S249" s="18">
        <v>0</v>
      </c>
      <c r="T249" s="18">
        <v>0</v>
      </c>
      <c r="U249" s="3">
        <v>0</v>
      </c>
      <c r="V249" s="3">
        <v>0</v>
      </c>
      <c r="W249" s="3">
        <v>0</v>
      </c>
      <c r="X249" s="3">
        <v>1</v>
      </c>
      <c r="Y249" s="3">
        <v>0</v>
      </c>
      <c r="Z249" s="3">
        <v>0</v>
      </c>
    </row>
    <row r="250" spans="1:26" ht="26">
      <c r="A250" s="16">
        <v>17569102</v>
      </c>
      <c r="B250" s="16" t="s">
        <v>39</v>
      </c>
      <c r="C250" s="16" t="s">
        <v>21</v>
      </c>
      <c r="D250" s="16" t="s">
        <v>442</v>
      </c>
      <c r="E250" s="16" t="s">
        <v>26</v>
      </c>
      <c r="F250" s="16" t="s">
        <v>40</v>
      </c>
      <c r="G250" s="21" t="s">
        <v>441</v>
      </c>
      <c r="H250" s="7">
        <v>5</v>
      </c>
      <c r="I250" s="1">
        <v>0</v>
      </c>
      <c r="J250" s="4">
        <f t="shared" si="20"/>
        <v>0</v>
      </c>
      <c r="K250" s="5">
        <f t="shared" si="21"/>
        <v>0</v>
      </c>
      <c r="L250" s="2">
        <v>1233517.793070439</v>
      </c>
      <c r="M250" s="2">
        <v>336000</v>
      </c>
      <c r="N250" s="6">
        <f t="shared" si="22"/>
        <v>1</v>
      </c>
      <c r="O250" s="17">
        <f t="shared" si="23"/>
        <v>0.27239169299993471</v>
      </c>
      <c r="P250" s="18">
        <v>5</v>
      </c>
      <c r="Q250" s="1">
        <f t="shared" si="24"/>
        <v>1</v>
      </c>
      <c r="R250" s="18">
        <v>7</v>
      </c>
      <c r="S250" s="18">
        <v>5</v>
      </c>
      <c r="T250" s="18">
        <v>0</v>
      </c>
      <c r="U250" s="3">
        <v>0</v>
      </c>
      <c r="V250" s="3">
        <v>0</v>
      </c>
      <c r="W250" s="3">
        <v>0</v>
      </c>
      <c r="X250" s="3">
        <v>1</v>
      </c>
      <c r="Y250" s="3">
        <v>0</v>
      </c>
      <c r="Z250" s="3">
        <v>0</v>
      </c>
    </row>
    <row r="251" spans="1:26" ht="26">
      <c r="A251" s="16">
        <v>17765205</v>
      </c>
      <c r="B251" s="16" t="s">
        <v>347</v>
      </c>
      <c r="C251" s="16" t="s">
        <v>21</v>
      </c>
      <c r="D251" s="16" t="s">
        <v>442</v>
      </c>
      <c r="E251" s="16" t="s">
        <v>26</v>
      </c>
      <c r="F251" s="16" t="s">
        <v>40</v>
      </c>
      <c r="G251" s="21" t="s">
        <v>441</v>
      </c>
      <c r="H251" s="7">
        <v>4.9888097660223796</v>
      </c>
      <c r="I251" s="1">
        <v>0</v>
      </c>
      <c r="J251" s="1">
        <f t="shared" si="20"/>
        <v>0</v>
      </c>
      <c r="K251" s="5">
        <f t="shared" si="21"/>
        <v>0</v>
      </c>
      <c r="L251" s="2">
        <v>1233517.793070439</v>
      </c>
      <c r="M251" s="2">
        <v>481000</v>
      </c>
      <c r="N251" s="6">
        <f t="shared" si="22"/>
        <v>1</v>
      </c>
      <c r="O251" s="17">
        <f t="shared" si="23"/>
        <v>0.3899416795624065</v>
      </c>
      <c r="P251" s="18">
        <v>5</v>
      </c>
      <c r="Q251" s="1">
        <f t="shared" si="24"/>
        <v>1</v>
      </c>
      <c r="R251" s="18">
        <v>7</v>
      </c>
      <c r="S251" s="18">
        <v>5</v>
      </c>
      <c r="T251" s="18">
        <v>0</v>
      </c>
      <c r="U251" s="3">
        <v>0</v>
      </c>
      <c r="V251" s="3">
        <v>0</v>
      </c>
      <c r="W251" s="3">
        <v>0</v>
      </c>
      <c r="X251" s="3">
        <v>1</v>
      </c>
      <c r="Y251" s="3">
        <v>0</v>
      </c>
      <c r="Z251" s="3">
        <v>0</v>
      </c>
    </row>
    <row r="252" spans="1:26" ht="26">
      <c r="A252" s="16">
        <v>17706862</v>
      </c>
      <c r="B252" s="16" t="s">
        <v>346</v>
      </c>
      <c r="C252" s="16" t="s">
        <v>21</v>
      </c>
      <c r="D252" s="16" t="s">
        <v>440</v>
      </c>
      <c r="E252" s="16" t="s">
        <v>22</v>
      </c>
      <c r="F252" s="16" t="s">
        <v>40</v>
      </c>
      <c r="G252" s="21" t="s">
        <v>441</v>
      </c>
      <c r="H252" s="7">
        <v>4.5730756188538484</v>
      </c>
      <c r="I252" s="1">
        <v>0</v>
      </c>
      <c r="J252" s="1">
        <f t="shared" si="20"/>
        <v>0</v>
      </c>
      <c r="K252" s="5">
        <f t="shared" si="21"/>
        <v>0</v>
      </c>
      <c r="L252" s="2">
        <v>2781339.4120799541</v>
      </c>
      <c r="M252" s="2">
        <v>2140000</v>
      </c>
      <c r="N252" s="6">
        <f t="shared" si="22"/>
        <v>1</v>
      </c>
      <c r="O252" s="17">
        <f t="shared" si="23"/>
        <v>0.76941346701719349</v>
      </c>
      <c r="P252" s="18">
        <v>1</v>
      </c>
      <c r="Q252" s="1">
        <f t="shared" si="24"/>
        <v>0</v>
      </c>
      <c r="R252" s="18">
        <v>7</v>
      </c>
      <c r="S252" s="18">
        <v>1</v>
      </c>
      <c r="T252" s="18">
        <v>0</v>
      </c>
      <c r="U252" s="3">
        <v>0</v>
      </c>
      <c r="V252" s="3">
        <v>0</v>
      </c>
      <c r="W252" s="3">
        <v>0</v>
      </c>
      <c r="X252" s="3">
        <v>1</v>
      </c>
      <c r="Y252" s="3">
        <v>0</v>
      </c>
      <c r="Z252" s="3">
        <v>0</v>
      </c>
    </row>
    <row r="253" spans="1:26" ht="26">
      <c r="A253" s="16">
        <v>17282971</v>
      </c>
      <c r="B253" s="16" t="s">
        <v>247</v>
      </c>
      <c r="C253" s="16" t="s">
        <v>21</v>
      </c>
      <c r="D253" s="16" t="s">
        <v>440</v>
      </c>
      <c r="E253" s="16" t="s">
        <v>22</v>
      </c>
      <c r="F253" s="16" t="s">
        <v>40</v>
      </c>
      <c r="G253" s="21" t="s">
        <v>441</v>
      </c>
      <c r="H253" s="7">
        <v>3.3258731773482562</v>
      </c>
      <c r="I253" s="1">
        <v>0</v>
      </c>
      <c r="J253" s="1">
        <f t="shared" si="20"/>
        <v>0</v>
      </c>
      <c r="K253" s="5">
        <f t="shared" si="21"/>
        <v>0</v>
      </c>
      <c r="L253" s="2">
        <v>2549477.9785796599</v>
      </c>
      <c r="M253" s="2">
        <v>1215000</v>
      </c>
      <c r="N253" s="6">
        <f t="shared" si="22"/>
        <v>1</v>
      </c>
      <c r="O253" s="17">
        <f t="shared" si="23"/>
        <v>0.47656814854187868</v>
      </c>
      <c r="P253" s="18">
        <v>2</v>
      </c>
      <c r="Q253" s="1">
        <f t="shared" si="24"/>
        <v>0</v>
      </c>
      <c r="R253" s="18">
        <v>6</v>
      </c>
      <c r="S253" s="18">
        <v>1</v>
      </c>
      <c r="T253" s="18">
        <v>0</v>
      </c>
      <c r="U253" s="3">
        <v>0</v>
      </c>
      <c r="V253" s="3">
        <v>0</v>
      </c>
      <c r="W253" s="3">
        <v>0</v>
      </c>
      <c r="X253" s="3">
        <v>1</v>
      </c>
      <c r="Y253" s="3">
        <v>0</v>
      </c>
      <c r="Z253" s="3">
        <v>0</v>
      </c>
    </row>
    <row r="254" spans="1:26" ht="26">
      <c r="A254" s="16">
        <v>17705764</v>
      </c>
      <c r="B254" s="16" t="s">
        <v>68</v>
      </c>
      <c r="C254" s="16" t="s">
        <v>21</v>
      </c>
      <c r="D254" s="16" t="s">
        <v>442</v>
      </c>
      <c r="E254" s="16" t="s">
        <v>22</v>
      </c>
      <c r="F254" s="16" t="s">
        <v>40</v>
      </c>
      <c r="G254" s="21" t="s">
        <v>441</v>
      </c>
      <c r="H254" s="7">
        <v>3.1180061037639888</v>
      </c>
      <c r="I254" s="1">
        <v>0</v>
      </c>
      <c r="J254" s="1">
        <f t="shared" si="20"/>
        <v>0</v>
      </c>
      <c r="K254" s="5">
        <f t="shared" si="21"/>
        <v>0</v>
      </c>
      <c r="L254" s="2">
        <v>1233517.793070439</v>
      </c>
      <c r="M254" s="2">
        <v>1864000</v>
      </c>
      <c r="N254" s="6">
        <f t="shared" si="22"/>
        <v>1</v>
      </c>
      <c r="O254" s="17">
        <f t="shared" si="23"/>
        <v>1.5111253444996378</v>
      </c>
      <c r="P254" s="18">
        <v>0</v>
      </c>
      <c r="Q254" s="1">
        <f t="shared" si="24"/>
        <v>0</v>
      </c>
      <c r="R254" s="18">
        <v>6</v>
      </c>
      <c r="S254" s="18">
        <v>0</v>
      </c>
      <c r="T254" s="18">
        <v>0</v>
      </c>
      <c r="U254" s="3">
        <v>0</v>
      </c>
      <c r="V254" s="3">
        <v>0</v>
      </c>
      <c r="W254" s="3">
        <v>0</v>
      </c>
      <c r="X254" s="3">
        <v>1</v>
      </c>
      <c r="Y254" s="3">
        <v>0</v>
      </c>
      <c r="Z254" s="3">
        <v>0</v>
      </c>
    </row>
    <row r="255" spans="1:26" ht="26">
      <c r="A255" s="16">
        <v>17742351</v>
      </c>
      <c r="B255" s="16" t="s">
        <v>312</v>
      </c>
      <c r="C255" s="16" t="s">
        <v>21</v>
      </c>
      <c r="D255" s="16" t="s">
        <v>442</v>
      </c>
      <c r="E255" s="16" t="s">
        <v>26</v>
      </c>
      <c r="F255" s="16" t="s">
        <v>40</v>
      </c>
      <c r="G255" s="21" t="s">
        <v>441</v>
      </c>
      <c r="H255" s="7">
        <v>3.1180061037639888</v>
      </c>
      <c r="I255" s="1">
        <v>0</v>
      </c>
      <c r="J255" s="1">
        <f t="shared" si="20"/>
        <v>0</v>
      </c>
      <c r="K255" s="5">
        <f t="shared" si="21"/>
        <v>0</v>
      </c>
      <c r="L255" s="2">
        <v>1233517.793070439</v>
      </c>
      <c r="M255" s="2">
        <v>847000</v>
      </c>
      <c r="N255" s="6">
        <f t="shared" si="22"/>
        <v>1</v>
      </c>
      <c r="O255" s="17">
        <f t="shared" si="23"/>
        <v>0.68665405943733537</v>
      </c>
      <c r="P255" s="18">
        <v>5</v>
      </c>
      <c r="Q255" s="1">
        <f t="shared" si="24"/>
        <v>1</v>
      </c>
      <c r="R255" s="18">
        <v>6</v>
      </c>
      <c r="S255" s="18">
        <v>5</v>
      </c>
      <c r="T255" s="18">
        <v>0</v>
      </c>
      <c r="U255" s="3">
        <v>0</v>
      </c>
      <c r="V255" s="3">
        <v>0</v>
      </c>
      <c r="W255" s="3">
        <v>0</v>
      </c>
      <c r="X255" s="3">
        <v>1</v>
      </c>
      <c r="Y255" s="3">
        <v>0</v>
      </c>
      <c r="Z255" s="3">
        <v>0</v>
      </c>
    </row>
    <row r="256" spans="1:26" ht="26">
      <c r="A256" s="16">
        <v>17459755</v>
      </c>
      <c r="B256" s="16" t="s">
        <v>154</v>
      </c>
      <c r="C256" s="16" t="s">
        <v>21</v>
      </c>
      <c r="D256" s="16" t="s">
        <v>449</v>
      </c>
      <c r="E256" s="16" t="s">
        <v>22</v>
      </c>
      <c r="F256" s="16" t="s">
        <v>40</v>
      </c>
      <c r="G256" s="21" t="s">
        <v>441</v>
      </c>
      <c r="H256" s="7">
        <v>3</v>
      </c>
      <c r="I256" s="1">
        <v>9</v>
      </c>
      <c r="J256" s="4">
        <f t="shared" si="20"/>
        <v>1</v>
      </c>
      <c r="K256" s="5">
        <f t="shared" si="21"/>
        <v>3</v>
      </c>
      <c r="L256" s="2">
        <v>22463880</v>
      </c>
      <c r="M256" s="2">
        <v>5130000</v>
      </c>
      <c r="N256" s="6">
        <f t="shared" si="22"/>
        <v>1</v>
      </c>
      <c r="O256" s="17">
        <f t="shared" si="23"/>
        <v>0.22836660452246005</v>
      </c>
      <c r="P256" s="18">
        <v>9</v>
      </c>
      <c r="Q256" s="1">
        <f t="shared" si="24"/>
        <v>1</v>
      </c>
      <c r="R256" s="18">
        <v>5</v>
      </c>
      <c r="S256" s="18">
        <v>9</v>
      </c>
      <c r="T256" s="18">
        <v>0</v>
      </c>
      <c r="U256" s="3">
        <v>0</v>
      </c>
      <c r="V256" s="3">
        <v>0</v>
      </c>
      <c r="W256" s="3">
        <v>0</v>
      </c>
      <c r="X256" s="3">
        <v>1</v>
      </c>
      <c r="Y256" s="3">
        <v>0</v>
      </c>
      <c r="Z256" s="3">
        <v>0</v>
      </c>
    </row>
    <row r="257" spans="1:26" ht="26">
      <c r="A257" s="16">
        <v>17664400</v>
      </c>
      <c r="B257" s="16" t="s">
        <v>191</v>
      </c>
      <c r="C257" s="16" t="s">
        <v>21</v>
      </c>
      <c r="D257" s="16" t="s">
        <v>442</v>
      </c>
      <c r="E257" s="16" t="s">
        <v>26</v>
      </c>
      <c r="F257" s="16" t="s">
        <v>190</v>
      </c>
      <c r="G257" s="21" t="s">
        <v>441</v>
      </c>
      <c r="H257" s="7">
        <v>11.84842319430315</v>
      </c>
      <c r="I257" s="1">
        <v>0</v>
      </c>
      <c r="J257" s="4">
        <f t="shared" si="20"/>
        <v>0</v>
      </c>
      <c r="K257" s="5">
        <f t="shared" si="21"/>
        <v>0</v>
      </c>
      <c r="L257" s="2">
        <v>1233517.793070439</v>
      </c>
      <c r="M257" s="2">
        <v>883000</v>
      </c>
      <c r="N257" s="6">
        <f t="shared" si="22"/>
        <v>1</v>
      </c>
      <c r="O257" s="17">
        <f t="shared" si="23"/>
        <v>0.7158388836873284</v>
      </c>
      <c r="P257" s="18">
        <v>0</v>
      </c>
      <c r="Q257" s="1">
        <f t="shared" si="24"/>
        <v>0</v>
      </c>
      <c r="R257" s="18">
        <v>14</v>
      </c>
      <c r="S257" s="18">
        <v>5</v>
      </c>
      <c r="T257" s="18">
        <v>0</v>
      </c>
      <c r="U257" s="3">
        <v>0</v>
      </c>
      <c r="V257" s="3">
        <v>0</v>
      </c>
      <c r="W257" s="3">
        <v>0</v>
      </c>
      <c r="X257" s="3">
        <v>1</v>
      </c>
      <c r="Y257" s="3">
        <v>0</v>
      </c>
      <c r="Z257" s="3">
        <v>0</v>
      </c>
    </row>
    <row r="258" spans="1:26" ht="26">
      <c r="A258" s="16">
        <v>17714371</v>
      </c>
      <c r="B258" s="16" t="s">
        <v>324</v>
      </c>
      <c r="C258" s="16" t="s">
        <v>21</v>
      </c>
      <c r="D258" s="16" t="s">
        <v>442</v>
      </c>
      <c r="E258" s="16" t="s">
        <v>26</v>
      </c>
      <c r="F258" s="16" t="s">
        <v>190</v>
      </c>
      <c r="G258" s="21" t="s">
        <v>441</v>
      </c>
      <c r="H258" s="7">
        <v>9.769752458460486</v>
      </c>
      <c r="I258" s="1">
        <v>3</v>
      </c>
      <c r="J258" s="4">
        <f t="shared" si="20"/>
        <v>1</v>
      </c>
      <c r="K258" s="5">
        <f t="shared" si="21"/>
        <v>0.30707021623685427</v>
      </c>
      <c r="L258" s="2">
        <v>1233517.793070439</v>
      </c>
      <c r="M258" s="2">
        <v>426000</v>
      </c>
      <c r="N258" s="6">
        <f t="shared" si="22"/>
        <v>1</v>
      </c>
      <c r="O258" s="17">
        <f t="shared" si="23"/>
        <v>0.34535375362491721</v>
      </c>
      <c r="P258" s="18">
        <v>0</v>
      </c>
      <c r="Q258" s="1">
        <f t="shared" si="24"/>
        <v>0</v>
      </c>
      <c r="R258" s="18">
        <v>12</v>
      </c>
      <c r="S258" s="18">
        <v>0</v>
      </c>
      <c r="T258" s="18">
        <v>0</v>
      </c>
      <c r="U258" s="3">
        <v>0</v>
      </c>
      <c r="V258" s="3">
        <v>0</v>
      </c>
      <c r="W258" s="3">
        <v>0</v>
      </c>
      <c r="X258" s="3">
        <v>1</v>
      </c>
      <c r="Y258" s="3">
        <v>0</v>
      </c>
      <c r="Z258" s="3">
        <v>0</v>
      </c>
    </row>
    <row r="259" spans="1:26" ht="26">
      <c r="A259" s="16">
        <v>17634234</v>
      </c>
      <c r="B259" s="16" t="s">
        <v>419</v>
      </c>
      <c r="C259" s="16" t="s">
        <v>21</v>
      </c>
      <c r="D259" s="16" t="s">
        <v>442</v>
      </c>
      <c r="E259" s="16" t="s">
        <v>26</v>
      </c>
      <c r="F259" s="16" t="s">
        <v>190</v>
      </c>
      <c r="G259" s="21" t="s">
        <v>441</v>
      </c>
      <c r="H259" s="7">
        <v>8.938284164123429</v>
      </c>
      <c r="I259" s="1">
        <v>3</v>
      </c>
      <c r="J259" s="4">
        <f t="shared" si="20"/>
        <v>1</v>
      </c>
      <c r="K259" s="5">
        <f t="shared" si="21"/>
        <v>0.33563488751470094</v>
      </c>
      <c r="L259" s="2">
        <v>1233517.793070439</v>
      </c>
      <c r="M259" s="2">
        <v>1315000</v>
      </c>
      <c r="N259" s="6">
        <f t="shared" si="22"/>
        <v>1</v>
      </c>
      <c r="O259" s="17">
        <f t="shared" si="23"/>
        <v>1.0660567746872445</v>
      </c>
      <c r="P259" s="18">
        <v>23</v>
      </c>
      <c r="Q259" s="1">
        <f t="shared" si="24"/>
        <v>1</v>
      </c>
      <c r="R259" s="18">
        <v>11</v>
      </c>
      <c r="S259" s="18">
        <v>28</v>
      </c>
      <c r="T259" s="18">
        <v>0</v>
      </c>
      <c r="U259" s="3">
        <v>0</v>
      </c>
      <c r="V259" s="3">
        <v>0</v>
      </c>
      <c r="W259" s="3">
        <v>0</v>
      </c>
      <c r="X259" s="3">
        <v>1</v>
      </c>
      <c r="Y259" s="3">
        <v>0</v>
      </c>
      <c r="Z259" s="3">
        <v>0</v>
      </c>
    </row>
    <row r="260" spans="1:26" ht="26">
      <c r="A260" s="16">
        <v>17571864</v>
      </c>
      <c r="B260" s="16" t="s">
        <v>189</v>
      </c>
      <c r="C260" s="16" t="s">
        <v>21</v>
      </c>
      <c r="D260" s="16" t="s">
        <v>442</v>
      </c>
      <c r="E260" s="16" t="s">
        <v>26</v>
      </c>
      <c r="F260" s="16" t="s">
        <v>190</v>
      </c>
      <c r="G260" s="21" t="s">
        <v>441</v>
      </c>
      <c r="H260" s="7">
        <v>5.4045439131909321</v>
      </c>
      <c r="I260" s="1">
        <v>3</v>
      </c>
      <c r="J260" s="1">
        <f t="shared" si="20"/>
        <v>1</v>
      </c>
      <c r="K260" s="5">
        <f t="shared" si="21"/>
        <v>0.55508846781277243</v>
      </c>
      <c r="L260" s="2">
        <v>1233517.793070439</v>
      </c>
      <c r="M260" s="2">
        <v>1092000</v>
      </c>
      <c r="N260" s="6">
        <f t="shared" si="22"/>
        <v>1</v>
      </c>
      <c r="O260" s="17">
        <f t="shared" si="23"/>
        <v>0.88527300224978778</v>
      </c>
      <c r="P260" s="18">
        <v>0</v>
      </c>
      <c r="Q260" s="1">
        <f t="shared" si="24"/>
        <v>0</v>
      </c>
      <c r="R260" s="18">
        <v>8</v>
      </c>
      <c r="S260" s="18">
        <v>0</v>
      </c>
      <c r="T260" s="18">
        <v>0</v>
      </c>
      <c r="U260" s="3">
        <v>0</v>
      </c>
      <c r="V260" s="3">
        <v>0</v>
      </c>
      <c r="W260" s="3">
        <v>0</v>
      </c>
      <c r="X260" s="3">
        <v>1</v>
      </c>
      <c r="Y260" s="3">
        <v>0</v>
      </c>
      <c r="Z260" s="3">
        <v>0</v>
      </c>
    </row>
    <row r="261" spans="1:26" ht="26">
      <c r="A261" s="16">
        <v>17678795</v>
      </c>
      <c r="B261" s="16" t="s">
        <v>28</v>
      </c>
      <c r="C261" s="16" t="s">
        <v>25</v>
      </c>
      <c r="D261" s="16" t="s">
        <v>440</v>
      </c>
      <c r="E261" s="16" t="s">
        <v>26</v>
      </c>
      <c r="F261" s="16" t="s">
        <v>29</v>
      </c>
      <c r="G261" s="21" t="s">
        <v>443</v>
      </c>
      <c r="H261" s="7">
        <v>22</v>
      </c>
      <c r="I261" s="1">
        <v>3</v>
      </c>
      <c r="J261" s="4">
        <f t="shared" si="20"/>
        <v>1</v>
      </c>
      <c r="K261" s="5">
        <f t="shared" si="21"/>
        <v>0.13636363636363635</v>
      </c>
      <c r="L261" s="2">
        <v>6305572.5166073563</v>
      </c>
      <c r="M261" s="2">
        <v>5945000</v>
      </c>
      <c r="N261" s="6">
        <f t="shared" si="22"/>
        <v>1</v>
      </c>
      <c r="O261" s="17">
        <f t="shared" si="23"/>
        <v>0.9428168472160624</v>
      </c>
      <c r="P261" s="18">
        <v>1</v>
      </c>
      <c r="Q261" s="1">
        <f t="shared" si="24"/>
        <v>0</v>
      </c>
      <c r="R261" s="18">
        <v>14</v>
      </c>
      <c r="S261" s="18">
        <v>1</v>
      </c>
      <c r="T261" s="18">
        <v>0</v>
      </c>
      <c r="U261" s="3">
        <v>1</v>
      </c>
      <c r="V261" s="3">
        <v>0</v>
      </c>
      <c r="W261" s="3">
        <v>0</v>
      </c>
      <c r="X261" s="3">
        <v>0</v>
      </c>
      <c r="Y261" s="3">
        <v>0</v>
      </c>
      <c r="Z261" s="3">
        <v>0</v>
      </c>
    </row>
    <row r="262" spans="1:26" ht="26">
      <c r="A262" s="16">
        <v>17764294</v>
      </c>
      <c r="B262" s="16" t="s">
        <v>378</v>
      </c>
      <c r="C262" s="16" t="s">
        <v>25</v>
      </c>
      <c r="D262" s="16" t="s">
        <v>442</v>
      </c>
      <c r="E262" s="16" t="s">
        <v>26</v>
      </c>
      <c r="F262" s="16" t="s">
        <v>29</v>
      </c>
      <c r="G262" s="21" t="s">
        <v>443</v>
      </c>
      <c r="H262" s="7">
        <v>21</v>
      </c>
      <c r="I262" s="1">
        <v>3</v>
      </c>
      <c r="J262" s="4">
        <f t="shared" si="20"/>
        <v>1</v>
      </c>
      <c r="K262" s="5">
        <f t="shared" si="21"/>
        <v>0.14285714285714285</v>
      </c>
      <c r="L262" s="2">
        <v>2198816.5908757159</v>
      </c>
      <c r="M262" s="2">
        <v>1634000</v>
      </c>
      <c r="N262" s="6">
        <f t="shared" si="22"/>
        <v>1</v>
      </c>
      <c r="O262" s="17">
        <f t="shared" si="23"/>
        <v>0.74312701058401232</v>
      </c>
      <c r="P262" s="18">
        <v>4</v>
      </c>
      <c r="Q262" s="1">
        <f t="shared" si="24"/>
        <v>1</v>
      </c>
      <c r="R262" s="18">
        <v>13</v>
      </c>
      <c r="S262" s="18">
        <v>4</v>
      </c>
      <c r="T262" s="18">
        <v>0</v>
      </c>
      <c r="U262" s="3">
        <v>0</v>
      </c>
      <c r="V262" s="3">
        <v>1</v>
      </c>
      <c r="W262" s="3">
        <v>0</v>
      </c>
      <c r="X262" s="3">
        <v>0</v>
      </c>
      <c r="Y262" s="3">
        <v>0</v>
      </c>
      <c r="Z262" s="3">
        <v>0</v>
      </c>
    </row>
    <row r="263" spans="1:26" ht="26">
      <c r="A263" s="16">
        <v>697740</v>
      </c>
      <c r="B263" s="16" t="s">
        <v>282</v>
      </c>
      <c r="C263" s="16" t="s">
        <v>25</v>
      </c>
      <c r="D263" s="16" t="s">
        <v>440</v>
      </c>
      <c r="E263" s="16" t="s">
        <v>22</v>
      </c>
      <c r="F263" s="16" t="s">
        <v>29</v>
      </c>
      <c r="G263" s="21" t="s">
        <v>443</v>
      </c>
      <c r="H263" s="7">
        <v>13.325357455500431</v>
      </c>
      <c r="I263" s="1">
        <v>6</v>
      </c>
      <c r="J263" s="1">
        <f t="shared" si="20"/>
        <v>1</v>
      </c>
      <c r="K263" s="5">
        <f t="shared" si="21"/>
        <v>0.45026934699776661</v>
      </c>
      <c r="L263" s="2">
        <v>2979157.6740004942</v>
      </c>
      <c r="M263" s="2">
        <v>3141500</v>
      </c>
      <c r="N263" s="6">
        <f t="shared" si="22"/>
        <v>1</v>
      </c>
      <c r="O263" s="17">
        <f t="shared" si="23"/>
        <v>1.054492693493966</v>
      </c>
      <c r="P263" s="18">
        <v>0</v>
      </c>
      <c r="Q263" s="1">
        <f t="shared" si="24"/>
        <v>0</v>
      </c>
      <c r="R263" s="18">
        <v>9</v>
      </c>
      <c r="S263" s="18">
        <v>0</v>
      </c>
      <c r="T263" s="18">
        <v>0</v>
      </c>
      <c r="U263" s="3">
        <v>1</v>
      </c>
      <c r="V263" s="3">
        <v>0</v>
      </c>
      <c r="W263" s="3">
        <v>0</v>
      </c>
      <c r="X263" s="3">
        <v>0</v>
      </c>
      <c r="Y263" s="3">
        <v>0</v>
      </c>
      <c r="Z263" s="3">
        <v>1</v>
      </c>
    </row>
    <row r="264" spans="1:26" ht="26">
      <c r="A264" s="16">
        <v>17259641</v>
      </c>
      <c r="B264" s="16" t="s">
        <v>200</v>
      </c>
      <c r="C264" s="16" t="s">
        <v>25</v>
      </c>
      <c r="D264" s="16" t="s">
        <v>444</v>
      </c>
      <c r="E264" s="16" t="s">
        <v>26</v>
      </c>
      <c r="F264" s="16" t="s">
        <v>29</v>
      </c>
      <c r="G264" s="21" t="s">
        <v>443</v>
      </c>
      <c r="H264" s="7">
        <v>8.676976947767713</v>
      </c>
      <c r="I264" s="1">
        <v>6</v>
      </c>
      <c r="J264" s="1">
        <f t="shared" si="20"/>
        <v>1</v>
      </c>
      <c r="K264" s="5">
        <f t="shared" si="21"/>
        <v>0.69148506860371373</v>
      </c>
      <c r="L264" s="2">
        <v>5800307.9496692214</v>
      </c>
      <c r="M264" s="2">
        <v>4041500</v>
      </c>
      <c r="N264" s="6">
        <f t="shared" si="22"/>
        <v>1</v>
      </c>
      <c r="O264" s="17">
        <f t="shared" si="23"/>
        <v>0.69677334980644912</v>
      </c>
      <c r="P264" s="18">
        <v>1</v>
      </c>
      <c r="Q264" s="1">
        <f t="shared" si="24"/>
        <v>0</v>
      </c>
      <c r="R264" s="18">
        <v>11</v>
      </c>
      <c r="S264" s="18">
        <v>1</v>
      </c>
      <c r="T264" s="18">
        <v>0</v>
      </c>
      <c r="U264" s="3">
        <v>1</v>
      </c>
      <c r="V264" s="3">
        <v>0</v>
      </c>
      <c r="W264" s="3">
        <v>0</v>
      </c>
      <c r="X264" s="3">
        <v>0</v>
      </c>
      <c r="Y264" s="3">
        <v>0</v>
      </c>
      <c r="Z264" s="3">
        <v>1</v>
      </c>
    </row>
    <row r="265" spans="1:26" ht="26">
      <c r="A265" s="16">
        <v>17223145</v>
      </c>
      <c r="B265" s="16" t="s">
        <v>44</v>
      </c>
      <c r="C265" s="16" t="s">
        <v>25</v>
      </c>
      <c r="D265" s="16" t="s">
        <v>442</v>
      </c>
      <c r="E265" s="16" t="s">
        <v>26</v>
      </c>
      <c r="F265" s="16" t="s">
        <v>29</v>
      </c>
      <c r="G265" s="21" t="s">
        <v>443</v>
      </c>
      <c r="H265" s="7">
        <v>7.747300846221199</v>
      </c>
      <c r="I265" s="1">
        <v>3</v>
      </c>
      <c r="J265" s="4">
        <f t="shared" si="20"/>
        <v>1</v>
      </c>
      <c r="K265" s="5">
        <f t="shared" si="21"/>
        <v>0.38723163841807839</v>
      </c>
      <c r="L265" s="2">
        <v>33955430.79377</v>
      </c>
      <c r="M265" s="2">
        <v>1239000</v>
      </c>
      <c r="N265" s="6">
        <f t="shared" si="22"/>
        <v>1</v>
      </c>
      <c r="O265" s="17">
        <f t="shared" si="23"/>
        <v>3.6489008415918157E-2</v>
      </c>
      <c r="P265" s="18">
        <v>1</v>
      </c>
      <c r="Q265" s="1">
        <f t="shared" si="24"/>
        <v>0</v>
      </c>
      <c r="R265" s="18">
        <v>10</v>
      </c>
      <c r="S265" s="18">
        <v>1</v>
      </c>
      <c r="T265" s="18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1</v>
      </c>
    </row>
    <row r="266" spans="1:26" ht="26">
      <c r="A266" s="16">
        <v>766491</v>
      </c>
      <c r="B266" s="16" t="s">
        <v>267</v>
      </c>
      <c r="C266" s="16" t="s">
        <v>25</v>
      </c>
      <c r="D266" s="16" t="s">
        <v>440</v>
      </c>
      <c r="E266" s="16" t="s">
        <v>22</v>
      </c>
      <c r="F266" s="16" t="s">
        <v>29</v>
      </c>
      <c r="G266" s="21" t="s">
        <v>443</v>
      </c>
      <c r="H266" s="7">
        <v>5.5780566092792494</v>
      </c>
      <c r="I266" s="1">
        <v>6</v>
      </c>
      <c r="J266" s="4">
        <f t="shared" si="20"/>
        <v>1</v>
      </c>
      <c r="K266" s="5">
        <f t="shared" si="21"/>
        <v>1.0756434400502204</v>
      </c>
      <c r="L266" s="2">
        <v>11830444.84236645</v>
      </c>
      <c r="M266" s="2">
        <v>4034000</v>
      </c>
      <c r="N266" s="6">
        <f t="shared" si="22"/>
        <v>1</v>
      </c>
      <c r="O266" s="17">
        <f t="shared" si="23"/>
        <v>0.34098464206127665</v>
      </c>
      <c r="P266" s="18">
        <v>7</v>
      </c>
      <c r="Q266" s="1">
        <f t="shared" si="24"/>
        <v>1</v>
      </c>
      <c r="R266" s="18">
        <v>8</v>
      </c>
      <c r="S266" s="18">
        <v>7</v>
      </c>
      <c r="T266" s="18">
        <v>0</v>
      </c>
      <c r="U266" s="3">
        <v>1</v>
      </c>
      <c r="V266" s="3">
        <v>0</v>
      </c>
      <c r="W266" s="3">
        <v>0</v>
      </c>
      <c r="X266" s="3">
        <v>0</v>
      </c>
      <c r="Y266" s="3">
        <v>0</v>
      </c>
      <c r="Z266" s="3">
        <v>1</v>
      </c>
    </row>
    <row r="267" spans="1:26" ht="26">
      <c r="A267" s="16" t="s">
        <v>429</v>
      </c>
      <c r="B267" s="16" t="s">
        <v>433</v>
      </c>
      <c r="C267" s="16" t="s">
        <v>25</v>
      </c>
      <c r="D267" s="16" t="s">
        <v>440</v>
      </c>
      <c r="E267" s="16" t="s">
        <v>22</v>
      </c>
      <c r="F267" s="16" t="s">
        <v>29</v>
      </c>
      <c r="G267" s="21" t="s">
        <v>443</v>
      </c>
      <c r="H267" s="7">
        <v>5.5780566092792494</v>
      </c>
      <c r="I267" s="1">
        <v>0</v>
      </c>
      <c r="J267" s="4">
        <f t="shared" si="20"/>
        <v>0</v>
      </c>
      <c r="K267" s="5">
        <f t="shared" si="21"/>
        <v>0</v>
      </c>
      <c r="L267" s="2">
        <v>11830444.84236645</v>
      </c>
      <c r="M267" s="2">
        <v>0</v>
      </c>
      <c r="N267" s="6">
        <f t="shared" si="22"/>
        <v>0</v>
      </c>
      <c r="O267" s="17">
        <f t="shared" si="23"/>
        <v>0</v>
      </c>
      <c r="P267" s="18">
        <v>0</v>
      </c>
      <c r="Q267" s="1">
        <f t="shared" si="24"/>
        <v>0</v>
      </c>
      <c r="R267" s="18">
        <v>8</v>
      </c>
      <c r="S267" s="18">
        <v>0</v>
      </c>
      <c r="T267" s="18"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1</v>
      </c>
    </row>
    <row r="268" spans="1:26" ht="26">
      <c r="A268" s="16">
        <v>17562101</v>
      </c>
      <c r="B268" s="16" t="s">
        <v>245</v>
      </c>
      <c r="C268" s="16" t="s">
        <v>25</v>
      </c>
      <c r="D268" s="16" t="s">
        <v>444</v>
      </c>
      <c r="E268" s="16" t="s">
        <v>26</v>
      </c>
      <c r="F268" s="16" t="s">
        <v>29</v>
      </c>
      <c r="G268" s="21" t="s">
        <v>443</v>
      </c>
      <c r="H268" s="7">
        <v>5.2681645754304078</v>
      </c>
      <c r="I268" s="1">
        <v>3</v>
      </c>
      <c r="J268" s="1">
        <f t="shared" si="20"/>
        <v>1</v>
      </c>
      <c r="K268" s="5">
        <f t="shared" si="21"/>
        <v>0.56945829179129259</v>
      </c>
      <c r="L268" s="2">
        <v>16648593.16831439</v>
      </c>
      <c r="M268" s="2">
        <v>1902500</v>
      </c>
      <c r="N268" s="6">
        <f t="shared" si="22"/>
        <v>1</v>
      </c>
      <c r="O268" s="17">
        <f t="shared" si="23"/>
        <v>0.11427391977004032</v>
      </c>
      <c r="P268" s="18">
        <v>0</v>
      </c>
      <c r="Q268" s="1">
        <f t="shared" si="24"/>
        <v>0</v>
      </c>
      <c r="R268" s="18">
        <v>8</v>
      </c>
      <c r="S268" s="18">
        <v>0</v>
      </c>
      <c r="T268" s="18">
        <v>0</v>
      </c>
      <c r="U268" s="3">
        <v>1</v>
      </c>
      <c r="V268" s="3">
        <v>0</v>
      </c>
      <c r="W268" s="3">
        <v>0</v>
      </c>
      <c r="X268" s="3">
        <v>0</v>
      </c>
      <c r="Y268" s="3">
        <v>0</v>
      </c>
      <c r="Z268" s="3">
        <v>0</v>
      </c>
    </row>
    <row r="269" spans="1:26" ht="26">
      <c r="A269" s="16">
        <v>17673837</v>
      </c>
      <c r="B269" s="16" t="s">
        <v>359</v>
      </c>
      <c r="C269" s="16" t="s">
        <v>25</v>
      </c>
      <c r="D269" s="16" t="s">
        <v>440</v>
      </c>
      <c r="E269" s="16" t="s">
        <v>22</v>
      </c>
      <c r="F269" s="16" t="s">
        <v>29</v>
      </c>
      <c r="G269" s="21" t="s">
        <v>443</v>
      </c>
      <c r="H269" s="7">
        <v>5</v>
      </c>
      <c r="I269" s="1">
        <v>3</v>
      </c>
      <c r="J269" s="4">
        <f t="shared" si="20"/>
        <v>1</v>
      </c>
      <c r="K269" s="5">
        <f t="shared" si="21"/>
        <v>0.6</v>
      </c>
      <c r="L269" s="2">
        <v>6043962.54005126</v>
      </c>
      <c r="M269" s="2">
        <v>1965000</v>
      </c>
      <c r="N269" s="6">
        <f t="shared" si="22"/>
        <v>1</v>
      </c>
      <c r="O269" s="17">
        <f t="shared" si="23"/>
        <v>0.32511783237877817</v>
      </c>
      <c r="P269" s="18">
        <v>0</v>
      </c>
      <c r="Q269" s="1">
        <f t="shared" si="24"/>
        <v>0</v>
      </c>
      <c r="R269" s="18">
        <v>7</v>
      </c>
      <c r="S269" s="18">
        <v>0</v>
      </c>
      <c r="T269" s="18">
        <v>0</v>
      </c>
      <c r="U269" s="3">
        <v>1</v>
      </c>
      <c r="V269" s="3">
        <v>0</v>
      </c>
      <c r="W269" s="3">
        <v>0</v>
      </c>
      <c r="X269" s="3">
        <v>0</v>
      </c>
      <c r="Y269" s="3">
        <v>0</v>
      </c>
      <c r="Z269" s="3">
        <v>0</v>
      </c>
    </row>
    <row r="270" spans="1:26" ht="26">
      <c r="A270" s="16">
        <v>17621375</v>
      </c>
      <c r="B270" s="16" t="s">
        <v>399</v>
      </c>
      <c r="C270" s="16" t="s">
        <v>57</v>
      </c>
      <c r="D270" s="16" t="s">
        <v>442</v>
      </c>
      <c r="E270" s="16" t="s">
        <v>26</v>
      </c>
      <c r="F270" s="16" t="s">
        <v>274</v>
      </c>
      <c r="G270" s="21" t="s">
        <v>443</v>
      </c>
      <c r="H270" s="7">
        <v>20</v>
      </c>
      <c r="I270" s="1">
        <v>0</v>
      </c>
      <c r="J270" s="4">
        <f t="shared" si="20"/>
        <v>0</v>
      </c>
      <c r="K270" s="5">
        <f t="shared" si="21"/>
        <v>0</v>
      </c>
      <c r="L270" s="2">
        <v>15968084.03231754</v>
      </c>
      <c r="M270" s="2">
        <v>0</v>
      </c>
      <c r="N270" s="6">
        <f t="shared" si="22"/>
        <v>0</v>
      </c>
      <c r="O270" s="17">
        <f t="shared" si="23"/>
        <v>0</v>
      </c>
      <c r="P270" s="18">
        <v>0</v>
      </c>
      <c r="Q270" s="1">
        <f t="shared" si="24"/>
        <v>0</v>
      </c>
      <c r="R270" s="18">
        <v>22</v>
      </c>
      <c r="S270" s="18">
        <v>0</v>
      </c>
      <c r="T270" s="18">
        <v>0</v>
      </c>
      <c r="U270" s="3">
        <v>0</v>
      </c>
      <c r="V270" s="3">
        <v>0</v>
      </c>
      <c r="W270" s="3">
        <v>0</v>
      </c>
      <c r="X270" s="3">
        <v>0</v>
      </c>
      <c r="Y270" s="3">
        <v>1</v>
      </c>
      <c r="Z270" s="3">
        <v>0</v>
      </c>
    </row>
    <row r="271" spans="1:26" ht="26">
      <c r="A271" s="16">
        <v>17622706</v>
      </c>
      <c r="B271" s="16" t="s">
        <v>408</v>
      </c>
      <c r="C271" s="16" t="s">
        <v>57</v>
      </c>
      <c r="D271" s="16" t="s">
        <v>442</v>
      </c>
      <c r="E271" s="16" t="s">
        <v>26</v>
      </c>
      <c r="F271" s="16" t="s">
        <v>274</v>
      </c>
      <c r="G271" s="21" t="s">
        <v>443</v>
      </c>
      <c r="H271" s="7">
        <v>7.747300846221199</v>
      </c>
      <c r="I271" s="1">
        <v>0</v>
      </c>
      <c r="J271" s="1">
        <f t="shared" si="20"/>
        <v>0</v>
      </c>
      <c r="K271" s="5">
        <f t="shared" si="21"/>
        <v>0</v>
      </c>
      <c r="L271" s="2">
        <v>7211242.1952270754</v>
      </c>
      <c r="M271" s="2">
        <v>0</v>
      </c>
      <c r="N271" s="6">
        <f t="shared" si="22"/>
        <v>0</v>
      </c>
      <c r="O271" s="17">
        <f t="shared" si="23"/>
        <v>0</v>
      </c>
      <c r="P271" s="18">
        <v>1</v>
      </c>
      <c r="Q271" s="1">
        <f t="shared" si="24"/>
        <v>0</v>
      </c>
      <c r="R271" s="18">
        <v>10</v>
      </c>
      <c r="S271" s="18">
        <v>1</v>
      </c>
      <c r="T271" s="18">
        <v>0</v>
      </c>
      <c r="U271" s="3">
        <v>0</v>
      </c>
      <c r="V271" s="3">
        <v>0</v>
      </c>
      <c r="W271" s="3">
        <v>0</v>
      </c>
      <c r="X271" s="3">
        <v>0</v>
      </c>
      <c r="Y271" s="3">
        <v>1</v>
      </c>
      <c r="Z271" s="3">
        <v>0</v>
      </c>
    </row>
    <row r="272" spans="1:26" ht="26">
      <c r="A272" s="16">
        <v>17764704</v>
      </c>
      <c r="B272" s="16" t="s">
        <v>273</v>
      </c>
      <c r="C272" s="16" t="s">
        <v>57</v>
      </c>
      <c r="D272" s="16" t="s">
        <v>442</v>
      </c>
      <c r="E272" s="16" t="s">
        <v>26</v>
      </c>
      <c r="F272" s="16" t="s">
        <v>274</v>
      </c>
      <c r="G272" s="21" t="s">
        <v>443</v>
      </c>
      <c r="H272" s="7">
        <v>6.1978406769769432</v>
      </c>
      <c r="I272" s="1">
        <v>0</v>
      </c>
      <c r="J272" s="4">
        <f t="shared" si="20"/>
        <v>0</v>
      </c>
      <c r="K272" s="5">
        <f t="shared" si="21"/>
        <v>0</v>
      </c>
      <c r="L272" s="2">
        <v>1810800.695654226</v>
      </c>
      <c r="M272" s="2">
        <v>0</v>
      </c>
      <c r="N272" s="6">
        <f t="shared" si="22"/>
        <v>0</v>
      </c>
      <c r="O272" s="17">
        <f t="shared" si="23"/>
        <v>0</v>
      </c>
      <c r="P272" s="18">
        <v>0</v>
      </c>
      <c r="Q272" s="1">
        <f t="shared" si="24"/>
        <v>0</v>
      </c>
      <c r="R272" s="18">
        <v>9</v>
      </c>
      <c r="S272" s="18">
        <v>0</v>
      </c>
      <c r="T272" s="18">
        <v>0</v>
      </c>
      <c r="U272" s="3">
        <v>0</v>
      </c>
      <c r="V272" s="3">
        <v>0</v>
      </c>
      <c r="W272" s="3">
        <v>0</v>
      </c>
      <c r="X272" s="3">
        <v>0</v>
      </c>
      <c r="Y272" s="3">
        <v>1</v>
      </c>
      <c r="Z272" s="3">
        <v>0</v>
      </c>
    </row>
    <row r="273" spans="1:26" ht="26">
      <c r="A273" s="16">
        <v>17634262</v>
      </c>
      <c r="B273" s="16" t="s">
        <v>355</v>
      </c>
      <c r="C273" s="16" t="s">
        <v>35</v>
      </c>
      <c r="D273" s="16" t="s">
        <v>442</v>
      </c>
      <c r="E273" s="16" t="s">
        <v>26</v>
      </c>
      <c r="F273" s="16" t="s">
        <v>135</v>
      </c>
      <c r="G273" s="21" t="s">
        <v>441</v>
      </c>
      <c r="H273" s="7">
        <v>5.4045439131909321</v>
      </c>
      <c r="I273" s="1">
        <v>3</v>
      </c>
      <c r="J273" s="1">
        <f t="shared" si="20"/>
        <v>1</v>
      </c>
      <c r="K273" s="5">
        <f t="shared" si="21"/>
        <v>0.55508846781277243</v>
      </c>
      <c r="L273" s="2">
        <v>1233517.793070439</v>
      </c>
      <c r="M273" s="2">
        <v>426000</v>
      </c>
      <c r="N273" s="6">
        <f t="shared" si="22"/>
        <v>1</v>
      </c>
      <c r="O273" s="17">
        <f t="shared" si="23"/>
        <v>0.34535375362491721</v>
      </c>
      <c r="P273" s="18">
        <v>5</v>
      </c>
      <c r="Q273" s="1">
        <f t="shared" si="24"/>
        <v>1</v>
      </c>
      <c r="R273" s="18">
        <v>8</v>
      </c>
      <c r="S273" s="18">
        <v>5</v>
      </c>
      <c r="T273" s="18">
        <v>0</v>
      </c>
      <c r="U273" s="3">
        <v>0</v>
      </c>
      <c r="V273" s="3">
        <v>1</v>
      </c>
      <c r="W273" s="3">
        <v>0</v>
      </c>
      <c r="X273" s="3">
        <v>0</v>
      </c>
      <c r="Y273" s="3">
        <v>0</v>
      </c>
      <c r="Z273" s="3">
        <v>0</v>
      </c>
    </row>
    <row r="274" spans="1:26" ht="26">
      <c r="A274" s="16">
        <v>17379579</v>
      </c>
      <c r="B274" s="16" t="s">
        <v>357</v>
      </c>
      <c r="C274" s="16" t="s">
        <v>35</v>
      </c>
      <c r="D274" s="16" t="s">
        <v>442</v>
      </c>
      <c r="E274" s="16" t="s">
        <v>22</v>
      </c>
      <c r="F274" s="16" t="s">
        <v>38</v>
      </c>
      <c r="G274" s="21" t="s">
        <v>441</v>
      </c>
      <c r="H274" s="7">
        <v>13.30349270939303</v>
      </c>
      <c r="I274" s="1">
        <v>0</v>
      </c>
      <c r="J274" s="1">
        <f t="shared" si="20"/>
        <v>0</v>
      </c>
      <c r="K274" s="5">
        <f t="shared" si="21"/>
        <v>0</v>
      </c>
      <c r="L274" s="2">
        <v>1233517.793070439</v>
      </c>
      <c r="M274" s="2">
        <v>840000</v>
      </c>
      <c r="N274" s="6">
        <f t="shared" si="22"/>
        <v>1</v>
      </c>
      <c r="O274" s="17">
        <f t="shared" si="23"/>
        <v>0.68097923249983672</v>
      </c>
      <c r="P274" s="18">
        <v>0</v>
      </c>
      <c r="Q274" s="1">
        <f t="shared" si="24"/>
        <v>0</v>
      </c>
      <c r="R274" s="18">
        <v>9</v>
      </c>
      <c r="S274" s="18">
        <v>0</v>
      </c>
      <c r="T274" s="18">
        <v>0</v>
      </c>
      <c r="U274" s="3">
        <v>0</v>
      </c>
      <c r="V274" s="3">
        <v>0</v>
      </c>
      <c r="W274" s="3">
        <v>0</v>
      </c>
      <c r="X274" s="3">
        <v>0</v>
      </c>
      <c r="Y274" s="3">
        <v>0</v>
      </c>
      <c r="Z274" s="3">
        <v>0</v>
      </c>
    </row>
    <row r="275" spans="1:26" ht="26">
      <c r="A275" s="16">
        <v>658678</v>
      </c>
      <c r="B275" s="16" t="s">
        <v>360</v>
      </c>
      <c r="C275" s="16" t="s">
        <v>35</v>
      </c>
      <c r="D275" s="16" t="s">
        <v>440</v>
      </c>
      <c r="E275" s="16" t="s">
        <v>22</v>
      </c>
      <c r="F275" s="16" t="s">
        <v>85</v>
      </c>
      <c r="G275" s="21" t="s">
        <v>441</v>
      </c>
      <c r="H275" s="7">
        <v>50</v>
      </c>
      <c r="I275" s="1">
        <v>3</v>
      </c>
      <c r="J275" s="4">
        <f t="shared" si="20"/>
        <v>1</v>
      </c>
      <c r="K275" s="5">
        <f t="shared" si="21"/>
        <v>0.06</v>
      </c>
      <c r="L275" s="2">
        <v>23626053.564346101</v>
      </c>
      <c r="M275" s="2">
        <v>1590000</v>
      </c>
      <c r="N275" s="6">
        <f t="shared" si="22"/>
        <v>1</v>
      </c>
      <c r="O275" s="17">
        <f t="shared" si="23"/>
        <v>6.7298586099857866E-2</v>
      </c>
      <c r="P275" s="18">
        <v>0</v>
      </c>
      <c r="Q275" s="1">
        <f t="shared" si="24"/>
        <v>0</v>
      </c>
      <c r="R275" s="18">
        <v>38</v>
      </c>
      <c r="S275" s="18">
        <v>0</v>
      </c>
      <c r="T275" s="18">
        <v>0</v>
      </c>
      <c r="U275" s="3">
        <v>0</v>
      </c>
      <c r="V275" s="3">
        <v>0</v>
      </c>
      <c r="W275" s="3">
        <v>1</v>
      </c>
      <c r="X275" s="3">
        <v>0</v>
      </c>
      <c r="Y275" s="3">
        <v>0</v>
      </c>
      <c r="Z275" s="3">
        <v>1</v>
      </c>
    </row>
    <row r="276" spans="1:26" ht="26">
      <c r="A276" s="16">
        <v>17611830</v>
      </c>
      <c r="B276" s="16" t="s">
        <v>373</v>
      </c>
      <c r="C276" s="16" t="s">
        <v>35</v>
      </c>
      <c r="D276" s="16" t="s">
        <v>442</v>
      </c>
      <c r="E276" s="16" t="s">
        <v>22</v>
      </c>
      <c r="F276" s="16" t="s">
        <v>96</v>
      </c>
      <c r="G276" s="21" t="s">
        <v>441</v>
      </c>
      <c r="H276" s="7">
        <v>5.8202780603594357</v>
      </c>
      <c r="I276" s="1">
        <v>3</v>
      </c>
      <c r="J276" s="1">
        <f t="shared" si="20"/>
        <v>1</v>
      </c>
      <c r="K276" s="5">
        <f t="shared" si="21"/>
        <v>0.51543929154043422</v>
      </c>
      <c r="L276" s="2">
        <v>1233517.793070439</v>
      </c>
      <c r="M276" s="2">
        <v>571000</v>
      </c>
      <c r="N276" s="6">
        <f t="shared" si="22"/>
        <v>1</v>
      </c>
      <c r="O276" s="17">
        <f t="shared" si="23"/>
        <v>0.462903740187389</v>
      </c>
      <c r="P276" s="18">
        <v>0</v>
      </c>
      <c r="Q276" s="1">
        <f t="shared" si="24"/>
        <v>0</v>
      </c>
      <c r="R276" s="18">
        <v>8</v>
      </c>
      <c r="S276" s="18">
        <v>0</v>
      </c>
      <c r="T276" s="18">
        <v>0</v>
      </c>
      <c r="U276" s="3">
        <v>0</v>
      </c>
      <c r="V276" s="3">
        <v>1</v>
      </c>
      <c r="W276" s="3">
        <v>0</v>
      </c>
      <c r="X276" s="3">
        <v>1</v>
      </c>
      <c r="Y276" s="3">
        <v>1</v>
      </c>
      <c r="Z276" s="3">
        <v>0</v>
      </c>
    </row>
    <row r="277" spans="1:26" ht="26">
      <c r="A277" s="16">
        <v>17697397</v>
      </c>
      <c r="B277" s="16" t="s">
        <v>374</v>
      </c>
      <c r="C277" s="16" t="s">
        <v>35</v>
      </c>
      <c r="D277" s="16" t="s">
        <v>442</v>
      </c>
      <c r="E277" s="16" t="s">
        <v>26</v>
      </c>
      <c r="F277" s="16" t="s">
        <v>85</v>
      </c>
      <c r="G277" s="21" t="s">
        <v>441</v>
      </c>
      <c r="H277" s="7">
        <v>5.1966768396066563</v>
      </c>
      <c r="I277" s="1">
        <v>3</v>
      </c>
      <c r="J277" s="4">
        <f t="shared" si="20"/>
        <v>1</v>
      </c>
      <c r="K277" s="5">
        <f t="shared" si="21"/>
        <v>0.57729200652528434</v>
      </c>
      <c r="L277" s="2">
        <v>1233517.793070439</v>
      </c>
      <c r="M277" s="2">
        <v>1350000</v>
      </c>
      <c r="N277" s="6">
        <f t="shared" si="22"/>
        <v>1</v>
      </c>
      <c r="O277" s="17">
        <f t="shared" si="23"/>
        <v>1.0944309093747375</v>
      </c>
      <c r="P277" s="18">
        <v>5</v>
      </c>
      <c r="Q277" s="1">
        <f t="shared" si="24"/>
        <v>1</v>
      </c>
      <c r="R277" s="18">
        <v>8</v>
      </c>
      <c r="S277" s="18">
        <v>5</v>
      </c>
      <c r="T277" s="18">
        <v>0</v>
      </c>
      <c r="U277" s="3">
        <v>0</v>
      </c>
      <c r="V277" s="3">
        <v>0</v>
      </c>
      <c r="W277" s="3">
        <v>1</v>
      </c>
      <c r="X277" s="3">
        <v>0</v>
      </c>
      <c r="Y277" s="3">
        <v>0</v>
      </c>
      <c r="Z277" s="3">
        <v>0</v>
      </c>
    </row>
    <row r="278" spans="1:26" ht="26">
      <c r="A278" s="16">
        <v>17750185</v>
      </c>
      <c r="B278" s="16" t="s">
        <v>377</v>
      </c>
      <c r="C278" s="16" t="s">
        <v>35</v>
      </c>
      <c r="D278" s="16" t="s">
        <v>442</v>
      </c>
      <c r="E278" s="16" t="s">
        <v>26</v>
      </c>
      <c r="F278" s="16" t="s">
        <v>126</v>
      </c>
      <c r="G278" s="21" t="s">
        <v>441</v>
      </c>
      <c r="H278" s="7">
        <v>5</v>
      </c>
      <c r="I278" s="1">
        <v>0</v>
      </c>
      <c r="J278" s="1">
        <f t="shared" si="20"/>
        <v>0</v>
      </c>
      <c r="K278" s="5">
        <f t="shared" si="21"/>
        <v>0</v>
      </c>
      <c r="L278" s="2">
        <v>1233517.793070439</v>
      </c>
      <c r="M278" s="2">
        <v>0</v>
      </c>
      <c r="N278" s="6">
        <f t="shared" si="22"/>
        <v>0</v>
      </c>
      <c r="O278" s="17">
        <f t="shared" si="23"/>
        <v>0</v>
      </c>
      <c r="P278" s="18">
        <v>0</v>
      </c>
      <c r="Q278" s="1">
        <f t="shared" si="24"/>
        <v>0</v>
      </c>
      <c r="R278" s="18">
        <v>7</v>
      </c>
      <c r="S278" s="18">
        <v>0</v>
      </c>
      <c r="T278" s="18">
        <v>0</v>
      </c>
      <c r="U278" s="3">
        <v>0</v>
      </c>
      <c r="V278" s="3">
        <v>0</v>
      </c>
      <c r="W278" s="3">
        <v>0</v>
      </c>
      <c r="X278" s="3">
        <v>0</v>
      </c>
      <c r="Y278" s="3">
        <v>1</v>
      </c>
      <c r="Z278" s="3">
        <v>0</v>
      </c>
    </row>
    <row r="279" spans="1:26" ht="26">
      <c r="A279" s="16">
        <v>17690510</v>
      </c>
      <c r="B279" s="16" t="s">
        <v>30</v>
      </c>
      <c r="C279" s="16" t="s">
        <v>31</v>
      </c>
      <c r="D279" s="16" t="s">
        <v>442</v>
      </c>
      <c r="E279" s="16" t="s">
        <v>26</v>
      </c>
      <c r="F279" s="16" t="s">
        <v>32</v>
      </c>
      <c r="G279" s="21" t="s">
        <v>441</v>
      </c>
      <c r="H279" s="7">
        <v>8</v>
      </c>
      <c r="I279" s="1">
        <v>0</v>
      </c>
      <c r="J279" s="4">
        <f t="shared" si="20"/>
        <v>0</v>
      </c>
      <c r="K279" s="5">
        <f t="shared" si="21"/>
        <v>0</v>
      </c>
      <c r="L279" s="2">
        <v>1233517.793070439</v>
      </c>
      <c r="M279" s="2">
        <v>618000</v>
      </c>
      <c r="N279" s="6">
        <f t="shared" si="22"/>
        <v>1</v>
      </c>
      <c r="O279" s="17">
        <f t="shared" si="23"/>
        <v>0.50100614962487988</v>
      </c>
      <c r="P279" s="18">
        <v>0</v>
      </c>
      <c r="Q279" s="1">
        <f t="shared" si="24"/>
        <v>0</v>
      </c>
      <c r="R279" s="18">
        <v>10</v>
      </c>
      <c r="S279" s="18">
        <v>0</v>
      </c>
      <c r="T279" s="18">
        <v>0</v>
      </c>
      <c r="U279" s="3">
        <v>0</v>
      </c>
      <c r="V279" s="3">
        <v>0</v>
      </c>
      <c r="W279" s="3">
        <v>0</v>
      </c>
      <c r="X279" s="3">
        <v>1</v>
      </c>
      <c r="Y279" s="3">
        <v>0</v>
      </c>
      <c r="Z279" s="3">
        <v>0</v>
      </c>
    </row>
    <row r="280" spans="1:26" ht="26">
      <c r="A280" s="16">
        <v>17654629</v>
      </c>
      <c r="B280" s="16" t="s">
        <v>51</v>
      </c>
      <c r="C280" s="16" t="s">
        <v>31</v>
      </c>
      <c r="D280" s="16" t="s">
        <v>442</v>
      </c>
      <c r="E280" s="16" t="s">
        <v>26</v>
      </c>
      <c r="F280" s="16" t="s">
        <v>32</v>
      </c>
      <c r="G280" s="21" t="s">
        <v>441</v>
      </c>
      <c r="H280" s="7">
        <v>3</v>
      </c>
      <c r="I280" s="1">
        <v>0</v>
      </c>
      <c r="J280" s="1">
        <f t="shared" si="20"/>
        <v>0</v>
      </c>
      <c r="K280" s="5">
        <f t="shared" si="21"/>
        <v>0</v>
      </c>
      <c r="L280" s="2">
        <v>1233517.793070439</v>
      </c>
      <c r="M280" s="2">
        <v>618000</v>
      </c>
      <c r="N280" s="6">
        <f t="shared" si="22"/>
        <v>1</v>
      </c>
      <c r="O280" s="17">
        <f t="shared" si="23"/>
        <v>0.50100614962487988</v>
      </c>
      <c r="P280" s="18">
        <v>0</v>
      </c>
      <c r="Q280" s="1">
        <f t="shared" si="24"/>
        <v>0</v>
      </c>
      <c r="R280" s="18">
        <v>5</v>
      </c>
      <c r="S280" s="18">
        <v>1</v>
      </c>
      <c r="T280" s="18">
        <v>0</v>
      </c>
      <c r="U280" s="3">
        <v>0</v>
      </c>
      <c r="V280" s="3">
        <v>0</v>
      </c>
      <c r="W280" s="3">
        <v>0</v>
      </c>
      <c r="X280" s="3">
        <v>1</v>
      </c>
      <c r="Y280" s="3">
        <v>0</v>
      </c>
      <c r="Z280" s="3">
        <v>0</v>
      </c>
    </row>
    <row r="281" spans="1:26" ht="26">
      <c r="A281" s="16">
        <v>17679733</v>
      </c>
      <c r="B281" s="16" t="s">
        <v>201</v>
      </c>
      <c r="C281" s="16" t="s">
        <v>31</v>
      </c>
      <c r="D281" s="16" t="s">
        <v>440</v>
      </c>
      <c r="E281" s="16" t="s">
        <v>26</v>
      </c>
      <c r="F281" s="16" t="s">
        <v>32</v>
      </c>
      <c r="G281" s="21" t="s">
        <v>441</v>
      </c>
      <c r="H281" s="7">
        <v>21.202441505595129</v>
      </c>
      <c r="I281" s="1">
        <v>0</v>
      </c>
      <c r="J281" s="4">
        <f t="shared" si="20"/>
        <v>0</v>
      </c>
      <c r="K281" s="5">
        <f t="shared" si="21"/>
        <v>0</v>
      </c>
      <c r="L281" s="2">
        <v>2549477.9785796599</v>
      </c>
      <c r="M281" s="2">
        <v>618000</v>
      </c>
      <c r="N281" s="6">
        <f t="shared" si="22"/>
        <v>1</v>
      </c>
      <c r="O281" s="17">
        <f t="shared" si="23"/>
        <v>0.24240256444352348</v>
      </c>
      <c r="P281" s="18">
        <v>0</v>
      </c>
      <c r="Q281" s="1">
        <f t="shared" si="24"/>
        <v>0</v>
      </c>
      <c r="R281" s="18">
        <v>13</v>
      </c>
      <c r="S281" s="18">
        <v>0</v>
      </c>
      <c r="T281" s="18">
        <v>0</v>
      </c>
      <c r="U281" s="3">
        <v>0</v>
      </c>
      <c r="V281" s="3">
        <v>0</v>
      </c>
      <c r="W281" s="3">
        <v>0</v>
      </c>
      <c r="X281" s="3">
        <v>1</v>
      </c>
      <c r="Y281" s="3">
        <v>0</v>
      </c>
      <c r="Z281" s="3">
        <v>0</v>
      </c>
    </row>
    <row r="282" spans="1:26" ht="26">
      <c r="A282" s="16">
        <v>17689755</v>
      </c>
      <c r="B282" s="16" t="s">
        <v>89</v>
      </c>
      <c r="C282" s="16" t="s">
        <v>31</v>
      </c>
      <c r="D282" s="16" t="s">
        <v>440</v>
      </c>
      <c r="E282" s="16" t="s">
        <v>22</v>
      </c>
      <c r="F282" s="16" t="s">
        <v>90</v>
      </c>
      <c r="G282" s="21" t="s">
        <v>441</v>
      </c>
      <c r="H282" s="7">
        <v>4.5730756188538484</v>
      </c>
      <c r="I282" s="1">
        <v>3</v>
      </c>
      <c r="J282" s="4">
        <f t="shared" si="20"/>
        <v>1</v>
      </c>
      <c r="K282" s="5">
        <f t="shared" si="21"/>
        <v>0.6560136437787335</v>
      </c>
      <c r="L282" s="2">
        <v>19880654</v>
      </c>
      <c r="M282" s="2">
        <v>624400</v>
      </c>
      <c r="N282" s="6">
        <f t="shared" si="22"/>
        <v>1</v>
      </c>
      <c r="O282" s="17">
        <f t="shared" si="23"/>
        <v>3.1407417482342381E-2</v>
      </c>
      <c r="P282" s="18">
        <v>0</v>
      </c>
      <c r="Q282" s="1">
        <f t="shared" si="24"/>
        <v>0</v>
      </c>
      <c r="R282" s="18">
        <v>7</v>
      </c>
      <c r="S282" s="18">
        <v>0</v>
      </c>
      <c r="T282" s="18">
        <v>0</v>
      </c>
      <c r="U282" s="3">
        <v>0</v>
      </c>
      <c r="V282" s="3">
        <v>0</v>
      </c>
      <c r="W282" s="3">
        <v>0</v>
      </c>
      <c r="X282" s="3">
        <v>0</v>
      </c>
      <c r="Y282" s="3">
        <v>1</v>
      </c>
      <c r="Z282" s="3">
        <v>0</v>
      </c>
    </row>
    <row r="283" spans="1:26" ht="26">
      <c r="A283" s="16">
        <v>751422</v>
      </c>
      <c r="B283" s="16" t="s">
        <v>358</v>
      </c>
      <c r="C283" s="16" t="s">
        <v>31</v>
      </c>
      <c r="D283" s="16" t="s">
        <v>442</v>
      </c>
      <c r="E283" s="16" t="s">
        <v>22</v>
      </c>
      <c r="F283" s="16" t="s">
        <v>90</v>
      </c>
      <c r="G283" s="21" t="s">
        <v>441</v>
      </c>
      <c r="H283" s="7">
        <v>6.651746354696491</v>
      </c>
      <c r="I283" s="1">
        <v>3</v>
      </c>
      <c r="J283" s="1">
        <f t="shared" si="20"/>
        <v>1</v>
      </c>
      <c r="K283" s="5">
        <f t="shared" si="21"/>
        <v>0.45100938009788039</v>
      </c>
      <c r="L283" s="2">
        <v>1233517.793070439</v>
      </c>
      <c r="M283" s="2">
        <v>1424400</v>
      </c>
      <c r="N283" s="6">
        <f t="shared" si="22"/>
        <v>1</v>
      </c>
      <c r="O283" s="17">
        <f t="shared" si="23"/>
        <v>1.1547462128247232</v>
      </c>
      <c r="P283" s="18">
        <v>0</v>
      </c>
      <c r="Q283" s="1">
        <f t="shared" si="24"/>
        <v>0</v>
      </c>
      <c r="R283" s="18">
        <v>9</v>
      </c>
      <c r="S283" s="18">
        <v>0</v>
      </c>
      <c r="T283" s="18">
        <v>0</v>
      </c>
      <c r="U283" s="3">
        <v>0</v>
      </c>
      <c r="V283" s="3">
        <v>0</v>
      </c>
      <c r="W283" s="3">
        <v>0</v>
      </c>
      <c r="X283" s="3">
        <v>0</v>
      </c>
      <c r="Y283" s="3">
        <v>1</v>
      </c>
      <c r="Z283" s="3">
        <v>0</v>
      </c>
    </row>
    <row r="284" spans="1:26" ht="26">
      <c r="A284" s="16">
        <v>17689741</v>
      </c>
      <c r="B284" s="16" t="s">
        <v>424</v>
      </c>
      <c r="C284" s="16" t="s">
        <v>31</v>
      </c>
      <c r="D284" s="16" t="s">
        <v>444</v>
      </c>
      <c r="E284" s="16" t="s">
        <v>26</v>
      </c>
      <c r="F284" s="16" t="s">
        <v>90</v>
      </c>
      <c r="G284" s="21" t="s">
        <v>441</v>
      </c>
      <c r="H284" s="7">
        <v>5</v>
      </c>
      <c r="I284" s="1">
        <v>3</v>
      </c>
      <c r="J284" s="4">
        <f t="shared" ref="J284:J315" si="25">IF(I284&gt;=3,1,0)</f>
        <v>1</v>
      </c>
      <c r="K284" s="5">
        <f t="shared" ref="K284:K315" si="26">I284/H284</f>
        <v>0.6</v>
      </c>
      <c r="L284" s="2">
        <v>6018419.3717715694</v>
      </c>
      <c r="M284" s="2">
        <v>524400</v>
      </c>
      <c r="N284" s="6">
        <f t="shared" ref="N284:N315" si="27">IF(M284&gt;=300000,1,0)</f>
        <v>1</v>
      </c>
      <c r="O284" s="17">
        <f t="shared" ref="O284:O315" si="28">M284/L284</f>
        <v>8.7132512310393997E-2</v>
      </c>
      <c r="P284" s="18">
        <v>0</v>
      </c>
      <c r="Q284" s="1">
        <f t="shared" ref="Q284:Q315" si="29">IF(P284&gt;=3,1,0)</f>
        <v>0</v>
      </c>
      <c r="R284" s="18">
        <v>7</v>
      </c>
      <c r="S284" s="18">
        <v>1</v>
      </c>
      <c r="T284" s="18">
        <v>0</v>
      </c>
      <c r="U284" s="3">
        <v>0</v>
      </c>
      <c r="V284" s="3">
        <v>0</v>
      </c>
      <c r="W284" s="3">
        <v>0</v>
      </c>
      <c r="X284" s="3">
        <v>0</v>
      </c>
      <c r="Y284" s="3">
        <v>1</v>
      </c>
      <c r="Z284" s="3">
        <v>0</v>
      </c>
    </row>
    <row r="285" spans="1:26" s="25" customFormat="1" ht="26">
      <c r="A285" s="23">
        <v>17677945</v>
      </c>
      <c r="B285" s="23" t="s">
        <v>472</v>
      </c>
      <c r="C285" s="16" t="s">
        <v>31</v>
      </c>
      <c r="D285" s="16" t="s">
        <v>442</v>
      </c>
      <c r="E285" s="16" t="s">
        <v>26</v>
      </c>
      <c r="F285" s="24" t="s">
        <v>90</v>
      </c>
      <c r="G285" s="23" t="s">
        <v>441</v>
      </c>
      <c r="H285" s="7">
        <v>2.7022719565954572</v>
      </c>
      <c r="I285" s="1">
        <v>3</v>
      </c>
      <c r="J285" s="1">
        <f t="shared" si="25"/>
        <v>1</v>
      </c>
      <c r="K285" s="5">
        <f t="shared" si="26"/>
        <v>1.1101769356255486</v>
      </c>
      <c r="L285" s="2">
        <v>300000</v>
      </c>
      <c r="M285" s="2">
        <v>222000</v>
      </c>
      <c r="N285" s="6">
        <f t="shared" si="27"/>
        <v>0</v>
      </c>
      <c r="O285" s="17">
        <f t="shared" si="28"/>
        <v>0.74</v>
      </c>
      <c r="P285" s="18">
        <v>0</v>
      </c>
      <c r="Q285" s="1">
        <f t="shared" si="29"/>
        <v>0</v>
      </c>
      <c r="R285" s="18">
        <v>5</v>
      </c>
      <c r="S285" s="18">
        <v>0</v>
      </c>
      <c r="T285" s="18">
        <v>0</v>
      </c>
      <c r="U285" s="3">
        <v>0</v>
      </c>
      <c r="V285" s="3">
        <v>0</v>
      </c>
      <c r="W285" s="3">
        <v>0</v>
      </c>
      <c r="X285" s="3">
        <v>0</v>
      </c>
      <c r="Y285" s="3">
        <v>1</v>
      </c>
      <c r="Z285" s="3">
        <v>0</v>
      </c>
    </row>
    <row r="286" spans="1:26" ht="26">
      <c r="A286" s="16">
        <v>17774312</v>
      </c>
      <c r="B286" s="16" t="s">
        <v>341</v>
      </c>
      <c r="C286" s="16" t="s">
        <v>25</v>
      </c>
      <c r="D286" s="16" t="s">
        <v>442</v>
      </c>
      <c r="E286" s="16" t="s">
        <v>26</v>
      </c>
      <c r="F286" s="16" t="s">
        <v>48</v>
      </c>
      <c r="G286" s="21" t="s">
        <v>443</v>
      </c>
      <c r="H286" s="7">
        <v>8.0571928800700618</v>
      </c>
      <c r="I286" s="1">
        <v>3</v>
      </c>
      <c r="J286" s="4">
        <f t="shared" si="25"/>
        <v>1</v>
      </c>
      <c r="K286" s="5">
        <f t="shared" si="26"/>
        <v>0.37233811386353621</v>
      </c>
      <c r="L286" s="2">
        <v>2158596.5258458201</v>
      </c>
      <c r="M286" s="2">
        <v>907500</v>
      </c>
      <c r="N286" s="6">
        <f t="shared" si="27"/>
        <v>1</v>
      </c>
      <c r="O286" s="17">
        <f t="shared" si="28"/>
        <v>0.42041205437612156</v>
      </c>
      <c r="P286" s="18">
        <v>1</v>
      </c>
      <c r="Q286" s="1">
        <f t="shared" si="29"/>
        <v>0</v>
      </c>
      <c r="R286" s="18">
        <v>11</v>
      </c>
      <c r="S286" s="18">
        <v>1</v>
      </c>
      <c r="T286" s="18">
        <v>0</v>
      </c>
      <c r="U286" s="3">
        <v>0</v>
      </c>
      <c r="V286" s="3">
        <v>0</v>
      </c>
      <c r="W286" s="3">
        <v>0</v>
      </c>
      <c r="X286" s="3">
        <v>0</v>
      </c>
      <c r="Y286" s="3">
        <v>0</v>
      </c>
      <c r="Z286" s="3">
        <v>1</v>
      </c>
    </row>
    <row r="287" spans="1:26" ht="26">
      <c r="A287" s="16">
        <v>17774316</v>
      </c>
      <c r="B287" s="16" t="s">
        <v>47</v>
      </c>
      <c r="C287" s="16" t="s">
        <v>25</v>
      </c>
      <c r="D287" s="16" t="s">
        <v>442</v>
      </c>
      <c r="E287" s="16" t="s">
        <v>26</v>
      </c>
      <c r="F287" s="16" t="s">
        <v>48</v>
      </c>
      <c r="G287" s="21" t="s">
        <v>443</v>
      </c>
      <c r="H287" s="7">
        <v>8.0571928800700618</v>
      </c>
      <c r="I287" s="1">
        <v>4</v>
      </c>
      <c r="J287" s="4">
        <f t="shared" si="25"/>
        <v>1</v>
      </c>
      <c r="K287" s="5">
        <f t="shared" si="26"/>
        <v>0.49645081848471495</v>
      </c>
      <c r="L287" s="2">
        <v>2158596.5258458201</v>
      </c>
      <c r="M287" s="2">
        <v>3895000</v>
      </c>
      <c r="N287" s="6">
        <f t="shared" si="27"/>
        <v>1</v>
      </c>
      <c r="O287" s="17">
        <f t="shared" si="28"/>
        <v>1.8044131700220314</v>
      </c>
      <c r="P287" s="18">
        <v>3</v>
      </c>
      <c r="Q287" s="1">
        <f t="shared" si="29"/>
        <v>1</v>
      </c>
      <c r="R287" s="18">
        <v>11</v>
      </c>
      <c r="S287" s="18">
        <v>3</v>
      </c>
      <c r="T287" s="18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1</v>
      </c>
    </row>
    <row r="288" spans="1:26" ht="26">
      <c r="A288" s="16">
        <v>17774332</v>
      </c>
      <c r="B288" s="16" t="s">
        <v>380</v>
      </c>
      <c r="C288" s="16" t="s">
        <v>25</v>
      </c>
      <c r="D288" s="16" t="s">
        <v>442</v>
      </c>
      <c r="E288" s="16" t="s">
        <v>26</v>
      </c>
      <c r="F288" s="16" t="s">
        <v>48</v>
      </c>
      <c r="G288" s="21" t="s">
        <v>443</v>
      </c>
      <c r="H288" s="7">
        <v>8.0571928800700618</v>
      </c>
      <c r="I288" s="1">
        <v>3</v>
      </c>
      <c r="J288" s="4">
        <f t="shared" si="25"/>
        <v>1</v>
      </c>
      <c r="K288" s="5">
        <f t="shared" si="26"/>
        <v>0.37233811386353621</v>
      </c>
      <c r="L288" s="2">
        <v>2158596.5258458201</v>
      </c>
      <c r="M288" s="2">
        <v>3817500</v>
      </c>
      <c r="N288" s="6">
        <f t="shared" si="27"/>
        <v>1</v>
      </c>
      <c r="O288" s="17">
        <f t="shared" si="28"/>
        <v>1.7685102122102965</v>
      </c>
      <c r="P288" s="18">
        <v>0</v>
      </c>
      <c r="Q288" s="1">
        <f t="shared" si="29"/>
        <v>0</v>
      </c>
      <c r="R288" s="18">
        <v>11</v>
      </c>
      <c r="S288" s="18">
        <v>0</v>
      </c>
      <c r="T288" s="18">
        <v>0</v>
      </c>
      <c r="U288" s="3">
        <v>0</v>
      </c>
      <c r="V288" s="3">
        <v>0</v>
      </c>
      <c r="W288" s="3">
        <v>0</v>
      </c>
      <c r="X288" s="3">
        <v>0</v>
      </c>
      <c r="Y288" s="3">
        <v>0</v>
      </c>
      <c r="Z288" s="3">
        <v>1</v>
      </c>
    </row>
    <row r="289" spans="1:26" ht="26">
      <c r="A289" s="16">
        <v>17774309</v>
      </c>
      <c r="B289" s="16" t="s">
        <v>217</v>
      </c>
      <c r="C289" s="16" t="s">
        <v>25</v>
      </c>
      <c r="D289" s="16" t="s">
        <v>442</v>
      </c>
      <c r="E289" s="16" t="s">
        <v>26</v>
      </c>
      <c r="F289" s="16" t="s">
        <v>48</v>
      </c>
      <c r="G289" s="21" t="s">
        <v>443</v>
      </c>
      <c r="H289" s="7">
        <v>7.747300846221199</v>
      </c>
      <c r="I289" s="1">
        <v>3</v>
      </c>
      <c r="J289" s="1">
        <f t="shared" si="25"/>
        <v>1</v>
      </c>
      <c r="K289" s="5">
        <f t="shared" si="26"/>
        <v>0.38723163841807839</v>
      </c>
      <c r="L289" s="2">
        <v>20436102.327871229</v>
      </c>
      <c r="M289" s="2">
        <v>3865000</v>
      </c>
      <c r="N289" s="6">
        <f t="shared" si="27"/>
        <v>1</v>
      </c>
      <c r="O289" s="17">
        <f t="shared" si="28"/>
        <v>0.18912608373118309</v>
      </c>
      <c r="P289" s="18">
        <v>2</v>
      </c>
      <c r="Q289" s="1">
        <f t="shared" si="29"/>
        <v>0</v>
      </c>
      <c r="R289" s="18">
        <v>10</v>
      </c>
      <c r="S289" s="18">
        <v>2</v>
      </c>
      <c r="T289" s="18">
        <v>0</v>
      </c>
      <c r="U289" s="3">
        <v>0</v>
      </c>
      <c r="V289" s="3">
        <v>0</v>
      </c>
      <c r="W289" s="3">
        <v>0</v>
      </c>
      <c r="X289" s="3">
        <v>0</v>
      </c>
      <c r="Y289" s="3">
        <v>0</v>
      </c>
      <c r="Z289" s="3">
        <v>1</v>
      </c>
    </row>
    <row r="290" spans="1:26" ht="26">
      <c r="A290" s="16">
        <v>17764352</v>
      </c>
      <c r="B290" s="16" t="s">
        <v>369</v>
      </c>
      <c r="C290" s="16" t="s">
        <v>25</v>
      </c>
      <c r="D290" s="16" t="s">
        <v>442</v>
      </c>
      <c r="E290" s="16" t="s">
        <v>26</v>
      </c>
      <c r="F290" s="16" t="s">
        <v>207</v>
      </c>
      <c r="G290" s="21" t="s">
        <v>443</v>
      </c>
      <c r="H290" s="7">
        <v>8.0571928800700618</v>
      </c>
      <c r="I290" s="1">
        <v>0</v>
      </c>
      <c r="J290" s="1">
        <f t="shared" si="25"/>
        <v>0</v>
      </c>
      <c r="K290" s="5">
        <f t="shared" si="26"/>
        <v>0</v>
      </c>
      <c r="L290" s="2">
        <v>3217964.3101155241</v>
      </c>
      <c r="M290" s="2">
        <v>0</v>
      </c>
      <c r="N290" s="6">
        <f t="shared" si="27"/>
        <v>0</v>
      </c>
      <c r="O290" s="17">
        <f t="shared" si="28"/>
        <v>0</v>
      </c>
      <c r="P290" s="18">
        <v>6</v>
      </c>
      <c r="Q290" s="1">
        <f t="shared" si="29"/>
        <v>1</v>
      </c>
      <c r="R290" s="18">
        <v>11</v>
      </c>
      <c r="S290" s="18">
        <v>6</v>
      </c>
      <c r="T290" s="18">
        <v>0</v>
      </c>
      <c r="U290" s="3">
        <v>0</v>
      </c>
      <c r="V290" s="3">
        <v>0</v>
      </c>
      <c r="W290" s="3">
        <v>0</v>
      </c>
      <c r="X290" s="3">
        <v>0</v>
      </c>
      <c r="Y290" s="3">
        <v>1</v>
      </c>
      <c r="Z290" s="3">
        <v>0</v>
      </c>
    </row>
    <row r="291" spans="1:26" ht="26">
      <c r="A291" s="16">
        <v>17704140</v>
      </c>
      <c r="B291" s="16" t="s">
        <v>407</v>
      </c>
      <c r="C291" s="16" t="s">
        <v>25</v>
      </c>
      <c r="D291" s="16" t="s">
        <v>442</v>
      </c>
      <c r="E291" s="16" t="s">
        <v>26</v>
      </c>
      <c r="F291" s="16" t="s">
        <v>207</v>
      </c>
      <c r="G291" s="21" t="s">
        <v>443</v>
      </c>
      <c r="H291" s="7">
        <v>6.1978406769769432</v>
      </c>
      <c r="I291" s="1">
        <v>3</v>
      </c>
      <c r="J291" s="1">
        <f t="shared" si="25"/>
        <v>1</v>
      </c>
      <c r="K291" s="5">
        <f t="shared" si="26"/>
        <v>0.48403954802259924</v>
      </c>
      <c r="L291" s="2">
        <v>6826278.7156551722</v>
      </c>
      <c r="M291" s="2">
        <v>1774000</v>
      </c>
      <c r="N291" s="6">
        <f t="shared" si="27"/>
        <v>1</v>
      </c>
      <c r="O291" s="17">
        <f t="shared" si="28"/>
        <v>0.25987804979769791</v>
      </c>
      <c r="P291" s="18">
        <v>3</v>
      </c>
      <c r="Q291" s="1">
        <f t="shared" si="29"/>
        <v>1</v>
      </c>
      <c r="R291" s="18">
        <v>9</v>
      </c>
      <c r="S291" s="18">
        <v>3</v>
      </c>
      <c r="T291" s="18">
        <v>0</v>
      </c>
      <c r="U291" s="3">
        <v>1</v>
      </c>
      <c r="V291" s="3">
        <v>0</v>
      </c>
      <c r="W291" s="3">
        <v>0</v>
      </c>
      <c r="X291" s="3">
        <v>0</v>
      </c>
      <c r="Y291" s="3">
        <v>0</v>
      </c>
      <c r="Z291" s="3">
        <v>0</v>
      </c>
    </row>
    <row r="292" spans="1:26" ht="26">
      <c r="A292" s="16">
        <v>17666078</v>
      </c>
      <c r="B292" s="16" t="s">
        <v>206</v>
      </c>
      <c r="C292" s="16" t="s">
        <v>25</v>
      </c>
      <c r="D292" s="16" t="s">
        <v>440</v>
      </c>
      <c r="E292" s="16" t="s">
        <v>22</v>
      </c>
      <c r="F292" s="16" t="s">
        <v>207</v>
      </c>
      <c r="G292" s="21" t="s">
        <v>443</v>
      </c>
      <c r="H292" s="7">
        <v>5.8879486431280963</v>
      </c>
      <c r="I292" s="1">
        <v>9</v>
      </c>
      <c r="J292" s="1">
        <f t="shared" si="25"/>
        <v>1</v>
      </c>
      <c r="K292" s="5">
        <f t="shared" si="26"/>
        <v>1.5285459411239974</v>
      </c>
      <c r="L292" s="2">
        <v>2151055.2636527219</v>
      </c>
      <c r="M292" s="2">
        <v>4910000</v>
      </c>
      <c r="N292" s="6">
        <f t="shared" si="27"/>
        <v>1</v>
      </c>
      <c r="O292" s="17">
        <f t="shared" si="28"/>
        <v>2.2826005835211758</v>
      </c>
      <c r="P292" s="18">
        <v>1</v>
      </c>
      <c r="Q292" s="1">
        <f t="shared" si="29"/>
        <v>0</v>
      </c>
      <c r="R292" s="18">
        <v>8</v>
      </c>
      <c r="S292" s="18">
        <v>1</v>
      </c>
      <c r="T292" s="18">
        <v>0</v>
      </c>
      <c r="U292" s="3">
        <v>1</v>
      </c>
      <c r="V292" s="3">
        <v>0</v>
      </c>
      <c r="W292" s="3">
        <v>0</v>
      </c>
      <c r="X292" s="3">
        <v>0</v>
      </c>
      <c r="Y292" s="3">
        <v>1</v>
      </c>
      <c r="Z292" s="3">
        <v>0</v>
      </c>
    </row>
    <row r="293" spans="1:26" ht="26">
      <c r="A293" s="16">
        <v>17704148</v>
      </c>
      <c r="B293" s="16" t="s">
        <v>398</v>
      </c>
      <c r="C293" s="16" t="s">
        <v>25</v>
      </c>
      <c r="D293" s="16" t="s">
        <v>442</v>
      </c>
      <c r="E293" s="16" t="s">
        <v>26</v>
      </c>
      <c r="F293" s="16" t="s">
        <v>207</v>
      </c>
      <c r="G293" s="21" t="s">
        <v>443</v>
      </c>
      <c r="H293" s="7">
        <v>4.9582725415815601</v>
      </c>
      <c r="I293" s="1">
        <v>6</v>
      </c>
      <c r="J293" s="4">
        <f t="shared" si="25"/>
        <v>1</v>
      </c>
      <c r="K293" s="5">
        <f t="shared" si="26"/>
        <v>1.2100988700564967</v>
      </c>
      <c r="L293" s="2">
        <v>2101677.9516740479</v>
      </c>
      <c r="M293" s="2">
        <v>5570000</v>
      </c>
      <c r="N293" s="6">
        <f t="shared" si="27"/>
        <v>1</v>
      </c>
      <c r="O293" s="17">
        <f t="shared" si="28"/>
        <v>2.6502633267686577</v>
      </c>
      <c r="P293" s="18">
        <v>2</v>
      </c>
      <c r="Q293" s="1">
        <f t="shared" si="29"/>
        <v>0</v>
      </c>
      <c r="R293" s="18">
        <v>7</v>
      </c>
      <c r="S293" s="18">
        <v>2</v>
      </c>
      <c r="T293" s="18">
        <v>0</v>
      </c>
      <c r="U293" s="3">
        <v>1</v>
      </c>
      <c r="V293" s="3">
        <v>0</v>
      </c>
      <c r="W293" s="3">
        <v>0</v>
      </c>
      <c r="X293" s="3">
        <v>0</v>
      </c>
      <c r="Y293" s="3">
        <v>1</v>
      </c>
      <c r="Z293" s="3">
        <v>0</v>
      </c>
    </row>
    <row r="294" spans="1:26" ht="26">
      <c r="A294" s="16">
        <v>17659124</v>
      </c>
      <c r="B294" s="16" t="s">
        <v>307</v>
      </c>
      <c r="C294" s="16" t="s">
        <v>57</v>
      </c>
      <c r="D294" s="16" t="s">
        <v>442</v>
      </c>
      <c r="E294" s="16" t="s">
        <v>26</v>
      </c>
      <c r="F294" s="16" t="s">
        <v>308</v>
      </c>
      <c r="G294" s="21" t="s">
        <v>443</v>
      </c>
      <c r="H294" s="7">
        <v>9.2967610154654388</v>
      </c>
      <c r="I294" s="1">
        <v>0</v>
      </c>
      <c r="J294" s="1">
        <f t="shared" si="25"/>
        <v>0</v>
      </c>
      <c r="K294" s="5">
        <f t="shared" si="26"/>
        <v>0</v>
      </c>
      <c r="L294" s="2">
        <v>13569244.439462701</v>
      </c>
      <c r="M294" s="2">
        <v>0</v>
      </c>
      <c r="N294" s="6">
        <f t="shared" si="27"/>
        <v>0</v>
      </c>
      <c r="O294" s="17">
        <f t="shared" si="28"/>
        <v>0</v>
      </c>
      <c r="P294" s="18">
        <v>1</v>
      </c>
      <c r="Q294" s="1">
        <f t="shared" si="29"/>
        <v>0</v>
      </c>
      <c r="R294" s="18">
        <v>12</v>
      </c>
      <c r="S294" s="18">
        <v>1</v>
      </c>
      <c r="T294" s="18">
        <v>0</v>
      </c>
      <c r="U294" s="3">
        <v>0</v>
      </c>
      <c r="V294" s="3">
        <v>0</v>
      </c>
      <c r="W294" s="3">
        <v>0</v>
      </c>
      <c r="X294" s="3">
        <v>0</v>
      </c>
      <c r="Y294" s="3">
        <v>1</v>
      </c>
      <c r="Z294" s="3">
        <v>0</v>
      </c>
    </row>
    <row r="295" spans="1:26" ht="26">
      <c r="A295" s="16">
        <v>17773148</v>
      </c>
      <c r="B295" s="16" t="s">
        <v>388</v>
      </c>
      <c r="C295" s="16" t="s">
        <v>57</v>
      </c>
      <c r="D295" s="16" t="s">
        <v>442</v>
      </c>
      <c r="E295" s="16" t="s">
        <v>26</v>
      </c>
      <c r="F295" s="16" t="s">
        <v>308</v>
      </c>
      <c r="G295" s="21" t="s">
        <v>443</v>
      </c>
      <c r="H295" s="7">
        <v>5.2681645754304078</v>
      </c>
      <c r="I295" s="1">
        <v>0</v>
      </c>
      <c r="J295" s="4">
        <f t="shared" si="25"/>
        <v>0</v>
      </c>
      <c r="K295" s="5">
        <f t="shared" si="26"/>
        <v>0</v>
      </c>
      <c r="L295" s="2">
        <v>1194033.180575171</v>
      </c>
      <c r="M295" s="2">
        <v>0</v>
      </c>
      <c r="N295" s="6">
        <f t="shared" si="27"/>
        <v>0</v>
      </c>
      <c r="O295" s="17">
        <f t="shared" si="28"/>
        <v>0</v>
      </c>
      <c r="P295" s="18">
        <v>0</v>
      </c>
      <c r="Q295" s="1">
        <f t="shared" si="29"/>
        <v>0</v>
      </c>
      <c r="R295" s="18">
        <v>8</v>
      </c>
      <c r="S295" s="18">
        <v>0</v>
      </c>
      <c r="T295" s="18">
        <v>0</v>
      </c>
      <c r="U295" s="3">
        <v>0</v>
      </c>
      <c r="V295" s="3">
        <v>0</v>
      </c>
      <c r="W295" s="3">
        <v>0</v>
      </c>
      <c r="X295" s="3">
        <v>0</v>
      </c>
      <c r="Y295" s="3">
        <v>1</v>
      </c>
      <c r="Z295" s="3">
        <v>0</v>
      </c>
    </row>
    <row r="296" spans="1:26" ht="26">
      <c r="A296" s="16">
        <v>17692847</v>
      </c>
      <c r="B296" s="16" t="s">
        <v>389</v>
      </c>
      <c r="C296" s="16" t="s">
        <v>35</v>
      </c>
      <c r="D296" s="16" t="s">
        <v>442</v>
      </c>
      <c r="E296" s="16" t="s">
        <v>26</v>
      </c>
      <c r="F296" s="16" t="s">
        <v>38</v>
      </c>
      <c r="G296" s="21" t="s">
        <v>441</v>
      </c>
      <c r="H296" s="7">
        <v>5.4045439131909321</v>
      </c>
      <c r="I296" s="1">
        <v>0</v>
      </c>
      <c r="J296" s="4">
        <f t="shared" si="25"/>
        <v>0</v>
      </c>
      <c r="K296" s="5">
        <f t="shared" si="26"/>
        <v>0</v>
      </c>
      <c r="L296" s="2">
        <v>1233517.793070439</v>
      </c>
      <c r="M296" s="2">
        <v>5265000</v>
      </c>
      <c r="N296" s="6">
        <f t="shared" si="27"/>
        <v>1</v>
      </c>
      <c r="O296" s="17">
        <f t="shared" si="28"/>
        <v>4.2682805465614768</v>
      </c>
      <c r="P296" s="18">
        <v>4</v>
      </c>
      <c r="Q296" s="1">
        <f t="shared" si="29"/>
        <v>1</v>
      </c>
      <c r="R296" s="18">
        <v>8</v>
      </c>
      <c r="S296" s="18">
        <v>4</v>
      </c>
      <c r="T296" s="18">
        <v>0</v>
      </c>
      <c r="U296" s="3">
        <v>0</v>
      </c>
      <c r="V296" s="3">
        <v>0</v>
      </c>
      <c r="W296" s="3">
        <v>0</v>
      </c>
      <c r="X296" s="3">
        <v>0</v>
      </c>
      <c r="Y296" s="3">
        <v>0</v>
      </c>
      <c r="Z296" s="3">
        <v>0</v>
      </c>
    </row>
    <row r="297" spans="1:26" ht="26">
      <c r="A297" s="16">
        <v>17232381</v>
      </c>
      <c r="B297" s="16" t="s">
        <v>391</v>
      </c>
      <c r="C297" s="16" t="s">
        <v>35</v>
      </c>
      <c r="D297" s="16" t="s">
        <v>442</v>
      </c>
      <c r="E297" s="16" t="s">
        <v>22</v>
      </c>
      <c r="F297" s="16" t="s">
        <v>290</v>
      </c>
      <c r="G297" s="21" t="s">
        <v>441</v>
      </c>
      <c r="H297" s="7">
        <v>5</v>
      </c>
      <c r="I297" s="1">
        <v>3</v>
      </c>
      <c r="J297" s="4">
        <f t="shared" si="25"/>
        <v>1</v>
      </c>
      <c r="K297" s="5">
        <f t="shared" si="26"/>
        <v>0.6</v>
      </c>
      <c r="L297" s="2">
        <v>1233517.793070439</v>
      </c>
      <c r="M297" s="2">
        <v>438000</v>
      </c>
      <c r="N297" s="6">
        <f t="shared" si="27"/>
        <v>1</v>
      </c>
      <c r="O297" s="17">
        <f t="shared" si="28"/>
        <v>0.35508202837491487</v>
      </c>
      <c r="P297" s="18">
        <v>18</v>
      </c>
      <c r="Q297" s="1">
        <f t="shared" si="29"/>
        <v>1</v>
      </c>
      <c r="R297" s="18">
        <v>7</v>
      </c>
      <c r="S297" s="18">
        <v>17</v>
      </c>
      <c r="T297" s="18">
        <v>0</v>
      </c>
      <c r="U297" s="3">
        <v>1</v>
      </c>
      <c r="V297" s="3">
        <v>0</v>
      </c>
      <c r="W297" s="3">
        <v>0</v>
      </c>
      <c r="X297" s="3">
        <v>1</v>
      </c>
      <c r="Y297" s="3">
        <v>0</v>
      </c>
      <c r="Z297" s="3">
        <v>0</v>
      </c>
    </row>
    <row r="298" spans="1:26" ht="26">
      <c r="A298" s="16">
        <v>17572210</v>
      </c>
      <c r="B298" s="16" t="s">
        <v>394</v>
      </c>
      <c r="C298" s="16" t="s">
        <v>35</v>
      </c>
      <c r="D298" s="16" t="s">
        <v>440</v>
      </c>
      <c r="E298" s="16" t="s">
        <v>22</v>
      </c>
      <c r="F298" s="16" t="s">
        <v>36</v>
      </c>
      <c r="G298" s="21" t="s">
        <v>441</v>
      </c>
      <c r="H298" s="7">
        <v>6.0281451339437124</v>
      </c>
      <c r="I298" s="1">
        <v>0</v>
      </c>
      <c r="J298" s="1">
        <f t="shared" si="25"/>
        <v>0</v>
      </c>
      <c r="K298" s="5">
        <f t="shared" si="26"/>
        <v>0</v>
      </c>
      <c r="L298" s="2">
        <v>19880654</v>
      </c>
      <c r="M298" s="2">
        <v>3320000</v>
      </c>
      <c r="N298" s="6">
        <f t="shared" si="27"/>
        <v>1</v>
      </c>
      <c r="O298" s="17">
        <f t="shared" si="28"/>
        <v>0.16699651832379359</v>
      </c>
      <c r="P298" s="18">
        <v>0</v>
      </c>
      <c r="Q298" s="1">
        <f t="shared" si="29"/>
        <v>0</v>
      </c>
      <c r="R298" s="18">
        <v>9</v>
      </c>
      <c r="S298" s="18">
        <v>0</v>
      </c>
      <c r="T298" s="18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</row>
    <row r="299" spans="1:26" ht="26">
      <c r="A299" s="16">
        <v>17703866</v>
      </c>
      <c r="B299" s="16" t="s">
        <v>397</v>
      </c>
      <c r="C299" s="16" t="s">
        <v>25</v>
      </c>
      <c r="D299" s="16" t="s">
        <v>440</v>
      </c>
      <c r="E299" s="16" t="s">
        <v>26</v>
      </c>
      <c r="F299" s="16" t="s">
        <v>113</v>
      </c>
      <c r="G299" s="21" t="s">
        <v>443</v>
      </c>
      <c r="H299" s="7">
        <v>30</v>
      </c>
      <c r="I299" s="1">
        <v>3</v>
      </c>
      <c r="J299" s="4">
        <f t="shared" si="25"/>
        <v>1</v>
      </c>
      <c r="K299" s="5">
        <f t="shared" si="26"/>
        <v>0.1</v>
      </c>
      <c r="L299" s="2">
        <v>15023810.27342353</v>
      </c>
      <c r="M299" s="2">
        <v>1415000</v>
      </c>
      <c r="N299" s="6">
        <f t="shared" si="27"/>
        <v>1</v>
      </c>
      <c r="O299" s="17">
        <f t="shared" si="28"/>
        <v>9.4183830482941711E-2</v>
      </c>
      <c r="P299" s="18">
        <v>0</v>
      </c>
      <c r="Q299" s="1">
        <f t="shared" si="29"/>
        <v>0</v>
      </c>
      <c r="R299" s="18">
        <v>22</v>
      </c>
      <c r="S299" s="18">
        <v>0</v>
      </c>
      <c r="T299" s="18">
        <v>0</v>
      </c>
      <c r="U299" s="3">
        <v>0</v>
      </c>
      <c r="V299" s="3">
        <v>1</v>
      </c>
      <c r="W299" s="3">
        <v>0</v>
      </c>
      <c r="X299" s="3">
        <v>0</v>
      </c>
      <c r="Y299" s="3">
        <v>0</v>
      </c>
      <c r="Z299" s="3">
        <v>0</v>
      </c>
    </row>
    <row r="300" spans="1:26" ht="26">
      <c r="A300" s="16">
        <v>17703872</v>
      </c>
      <c r="B300" s="16" t="s">
        <v>406</v>
      </c>
      <c r="C300" s="16" t="s">
        <v>25</v>
      </c>
      <c r="D300" s="16" t="s">
        <v>440</v>
      </c>
      <c r="E300" s="16" t="s">
        <v>26</v>
      </c>
      <c r="F300" s="16" t="s">
        <v>113</v>
      </c>
      <c r="G300" s="21" t="s">
        <v>443</v>
      </c>
      <c r="H300" s="7">
        <v>21.692442369419279</v>
      </c>
      <c r="I300" s="1">
        <v>3</v>
      </c>
      <c r="J300" s="1">
        <f t="shared" si="25"/>
        <v>1</v>
      </c>
      <c r="K300" s="5">
        <f t="shared" si="26"/>
        <v>0.13829701372074277</v>
      </c>
      <c r="L300" s="2">
        <v>2091802.489278316</v>
      </c>
      <c r="M300" s="2">
        <v>1094000</v>
      </c>
      <c r="N300" s="6">
        <f t="shared" si="27"/>
        <v>1</v>
      </c>
      <c r="O300" s="17">
        <f t="shared" si="28"/>
        <v>0.5229939277763439</v>
      </c>
      <c r="P300" s="18">
        <v>1</v>
      </c>
      <c r="Q300" s="1">
        <f t="shared" si="29"/>
        <v>0</v>
      </c>
      <c r="R300" s="18">
        <v>14</v>
      </c>
      <c r="S300" s="18">
        <v>1</v>
      </c>
      <c r="T300" s="18">
        <v>0</v>
      </c>
      <c r="U300" s="3">
        <v>0</v>
      </c>
      <c r="V300" s="3">
        <v>1</v>
      </c>
      <c r="W300" s="3">
        <v>0</v>
      </c>
      <c r="X300" s="3">
        <v>0</v>
      </c>
      <c r="Y300" s="3">
        <v>0</v>
      </c>
      <c r="Z300" s="3">
        <v>0</v>
      </c>
    </row>
    <row r="301" spans="1:26" ht="26">
      <c r="A301" s="16">
        <v>17703900</v>
      </c>
      <c r="B301" s="16" t="s">
        <v>404</v>
      </c>
      <c r="C301" s="16" t="s">
        <v>25</v>
      </c>
      <c r="D301" s="16" t="s">
        <v>442</v>
      </c>
      <c r="E301" s="16" t="s">
        <v>26</v>
      </c>
      <c r="F301" s="16" t="s">
        <v>113</v>
      </c>
      <c r="G301" s="21" t="s">
        <v>443</v>
      </c>
      <c r="H301" s="7">
        <v>6.8176247446746396</v>
      </c>
      <c r="I301" s="1">
        <v>3</v>
      </c>
      <c r="J301" s="4">
        <f t="shared" si="25"/>
        <v>1</v>
      </c>
      <c r="K301" s="5">
        <f t="shared" si="26"/>
        <v>0.44003595274781732</v>
      </c>
      <c r="L301" s="2">
        <v>8369903.2650393397</v>
      </c>
      <c r="M301" s="2">
        <v>4304000</v>
      </c>
      <c r="N301" s="6">
        <f t="shared" si="27"/>
        <v>1</v>
      </c>
      <c r="O301" s="17">
        <f t="shared" si="28"/>
        <v>0.51422338630574016</v>
      </c>
      <c r="P301" s="18">
        <v>1</v>
      </c>
      <c r="Q301" s="1">
        <f t="shared" si="29"/>
        <v>0</v>
      </c>
      <c r="R301" s="18">
        <v>9</v>
      </c>
      <c r="S301" s="18">
        <v>1</v>
      </c>
      <c r="T301" s="18">
        <v>0</v>
      </c>
      <c r="U301" s="3">
        <v>0</v>
      </c>
      <c r="V301" s="3">
        <v>1</v>
      </c>
      <c r="W301" s="3">
        <v>0</v>
      </c>
      <c r="X301" s="3">
        <v>0</v>
      </c>
      <c r="Y301" s="3">
        <v>0</v>
      </c>
      <c r="Z301" s="3">
        <v>0</v>
      </c>
    </row>
    <row r="302" spans="1:26" ht="26">
      <c r="A302" s="16">
        <v>17703880</v>
      </c>
      <c r="B302" s="16" t="s">
        <v>112</v>
      </c>
      <c r="C302" s="16" t="s">
        <v>25</v>
      </c>
      <c r="D302" s="16" t="s">
        <v>442</v>
      </c>
      <c r="E302" s="16" t="s">
        <v>26</v>
      </c>
      <c r="F302" s="16" t="s">
        <v>113</v>
      </c>
      <c r="G302" s="21" t="s">
        <v>443</v>
      </c>
      <c r="H302" s="7">
        <v>5.5780566092792556</v>
      </c>
      <c r="I302" s="1">
        <v>3</v>
      </c>
      <c r="J302" s="4">
        <f t="shared" si="25"/>
        <v>1</v>
      </c>
      <c r="K302" s="5">
        <f t="shared" si="26"/>
        <v>0.53782172002510964</v>
      </c>
      <c r="L302" s="2">
        <v>6344894.8123285566</v>
      </c>
      <c r="M302" s="2">
        <v>4205000</v>
      </c>
      <c r="N302" s="6">
        <f t="shared" si="27"/>
        <v>1</v>
      </c>
      <c r="O302" s="17">
        <f t="shared" si="28"/>
        <v>0.66273754323387724</v>
      </c>
      <c r="P302" s="18">
        <v>1</v>
      </c>
      <c r="Q302" s="1">
        <f t="shared" si="29"/>
        <v>0</v>
      </c>
      <c r="R302" s="18">
        <v>8</v>
      </c>
      <c r="S302" s="18">
        <v>1</v>
      </c>
      <c r="T302" s="18">
        <v>0</v>
      </c>
      <c r="U302" s="3">
        <v>0</v>
      </c>
      <c r="V302" s="3">
        <v>1</v>
      </c>
      <c r="W302" s="3">
        <v>0</v>
      </c>
      <c r="X302" s="3">
        <v>0</v>
      </c>
      <c r="Y302" s="3">
        <v>0</v>
      </c>
      <c r="Z302" s="3">
        <v>0</v>
      </c>
    </row>
    <row r="303" spans="1:26" ht="26">
      <c r="A303" s="16">
        <v>17703891</v>
      </c>
      <c r="B303" s="16" t="s">
        <v>118</v>
      </c>
      <c r="C303" s="16" t="s">
        <v>25</v>
      </c>
      <c r="D303" s="16" t="s">
        <v>440</v>
      </c>
      <c r="E303" s="16" t="s">
        <v>22</v>
      </c>
      <c r="F303" s="16" t="s">
        <v>113</v>
      </c>
      <c r="G303" s="21" t="s">
        <v>443</v>
      </c>
      <c r="H303" s="7">
        <v>5</v>
      </c>
      <c r="I303" s="1">
        <v>3</v>
      </c>
      <c r="J303" s="1">
        <f t="shared" si="25"/>
        <v>1</v>
      </c>
      <c r="K303" s="5">
        <f t="shared" si="26"/>
        <v>0.6</v>
      </c>
      <c r="L303" s="2">
        <v>1065113.5078454011</v>
      </c>
      <c r="M303" s="2">
        <v>2434000</v>
      </c>
      <c r="N303" s="6">
        <f t="shared" si="27"/>
        <v>1</v>
      </c>
      <c r="O303" s="17">
        <f t="shared" si="28"/>
        <v>2.2852024522003243</v>
      </c>
      <c r="P303" s="18">
        <v>0</v>
      </c>
      <c r="Q303" s="1">
        <f t="shared" si="29"/>
        <v>0</v>
      </c>
      <c r="R303" s="18">
        <v>7</v>
      </c>
      <c r="S303" s="18">
        <v>0</v>
      </c>
      <c r="T303" s="18">
        <v>0</v>
      </c>
      <c r="U303" s="3">
        <v>0</v>
      </c>
      <c r="V303" s="3">
        <v>1</v>
      </c>
      <c r="W303" s="3">
        <v>0</v>
      </c>
      <c r="X303" s="3">
        <v>0</v>
      </c>
      <c r="Y303" s="3">
        <v>0</v>
      </c>
      <c r="Z303" s="3">
        <v>0</v>
      </c>
    </row>
    <row r="304" spans="1:26" ht="26">
      <c r="A304" s="16">
        <v>17703858</v>
      </c>
      <c r="B304" s="16" t="s">
        <v>392</v>
      </c>
      <c r="C304" s="16" t="s">
        <v>25</v>
      </c>
      <c r="D304" s="16" t="s">
        <v>442</v>
      </c>
      <c r="E304" s="16" t="s">
        <v>26</v>
      </c>
      <c r="F304" s="16" t="s">
        <v>113</v>
      </c>
      <c r="G304" s="21" t="s">
        <v>443</v>
      </c>
      <c r="H304" s="7">
        <v>4.9582725415815601</v>
      </c>
      <c r="I304" s="1">
        <v>0</v>
      </c>
      <c r="J304" s="4">
        <f t="shared" si="25"/>
        <v>0</v>
      </c>
      <c r="K304" s="5">
        <f t="shared" si="26"/>
        <v>0</v>
      </c>
      <c r="L304" s="2">
        <v>1814391.7728890399</v>
      </c>
      <c r="M304" s="2">
        <v>420000</v>
      </c>
      <c r="N304" s="6">
        <f t="shared" si="27"/>
        <v>1</v>
      </c>
      <c r="O304" s="17">
        <f t="shared" si="28"/>
        <v>0.2314825311025511</v>
      </c>
      <c r="P304" s="18">
        <v>0</v>
      </c>
      <c r="Q304" s="1">
        <f t="shared" si="29"/>
        <v>0</v>
      </c>
      <c r="R304" s="18">
        <v>7</v>
      </c>
      <c r="S304" s="18">
        <v>0</v>
      </c>
      <c r="T304" s="18">
        <v>0</v>
      </c>
      <c r="U304" s="3">
        <v>0</v>
      </c>
      <c r="V304" s="3">
        <v>1</v>
      </c>
      <c r="W304" s="3">
        <v>0</v>
      </c>
      <c r="X304" s="3">
        <v>0</v>
      </c>
      <c r="Y304" s="3">
        <v>0</v>
      </c>
      <c r="Z304" s="3">
        <v>0</v>
      </c>
    </row>
    <row r="305" spans="1:26" ht="26">
      <c r="A305" s="16">
        <v>17703860</v>
      </c>
      <c r="B305" s="16" t="s">
        <v>385</v>
      </c>
      <c r="C305" s="16" t="s">
        <v>25</v>
      </c>
      <c r="D305" s="16" t="s">
        <v>440</v>
      </c>
      <c r="E305" s="16" t="s">
        <v>26</v>
      </c>
      <c r="F305" s="16" t="s">
        <v>113</v>
      </c>
      <c r="G305" s="21" t="s">
        <v>443</v>
      </c>
      <c r="H305" s="7">
        <v>4</v>
      </c>
      <c r="I305" s="1">
        <v>3</v>
      </c>
      <c r="J305" s="1">
        <f t="shared" si="25"/>
        <v>1</v>
      </c>
      <c r="K305" s="5">
        <f t="shared" si="26"/>
        <v>0.75</v>
      </c>
      <c r="L305" s="2">
        <v>1560682.1662495269</v>
      </c>
      <c r="M305" s="2">
        <v>1934000</v>
      </c>
      <c r="N305" s="6">
        <f t="shared" si="27"/>
        <v>1</v>
      </c>
      <c r="O305" s="17">
        <f t="shared" si="28"/>
        <v>1.239201704116087</v>
      </c>
      <c r="P305" s="18">
        <v>0</v>
      </c>
      <c r="Q305" s="1">
        <f t="shared" si="29"/>
        <v>0</v>
      </c>
      <c r="R305" s="18">
        <v>6</v>
      </c>
      <c r="S305" s="18">
        <v>0</v>
      </c>
      <c r="T305" s="18">
        <v>0</v>
      </c>
      <c r="U305" s="3">
        <v>0</v>
      </c>
      <c r="V305" s="3">
        <v>1</v>
      </c>
      <c r="W305" s="3">
        <v>0</v>
      </c>
      <c r="X305" s="3">
        <v>0</v>
      </c>
      <c r="Y305" s="3">
        <v>0</v>
      </c>
      <c r="Z305" s="3">
        <v>0</v>
      </c>
    </row>
    <row r="306" spans="1:26" ht="26">
      <c r="A306" s="16">
        <v>17742642</v>
      </c>
      <c r="B306" s="16" t="s">
        <v>317</v>
      </c>
      <c r="C306" s="16" t="s">
        <v>57</v>
      </c>
      <c r="D306" s="16" t="s">
        <v>442</v>
      </c>
      <c r="E306" s="16" t="s">
        <v>26</v>
      </c>
      <c r="F306" s="16" t="s">
        <v>276</v>
      </c>
      <c r="G306" s="21" t="s">
        <v>443</v>
      </c>
      <c r="H306" s="7">
        <v>17.04406186168664</v>
      </c>
      <c r="I306" s="1">
        <v>0</v>
      </c>
      <c r="J306" s="1">
        <f t="shared" si="25"/>
        <v>0</v>
      </c>
      <c r="K306" s="5">
        <f t="shared" si="26"/>
        <v>0</v>
      </c>
      <c r="L306" s="2">
        <v>3890932.1839193888</v>
      </c>
      <c r="M306" s="2">
        <v>0</v>
      </c>
      <c r="N306" s="6">
        <f t="shared" si="27"/>
        <v>0</v>
      </c>
      <c r="O306" s="17">
        <f t="shared" si="28"/>
        <v>0</v>
      </c>
      <c r="P306" s="18">
        <v>0</v>
      </c>
      <c r="Q306" s="1">
        <f t="shared" si="29"/>
        <v>0</v>
      </c>
      <c r="R306" s="18">
        <v>9</v>
      </c>
      <c r="S306" s="18">
        <v>0</v>
      </c>
      <c r="T306" s="18">
        <v>0</v>
      </c>
      <c r="U306" s="3">
        <v>0</v>
      </c>
      <c r="V306" s="3">
        <v>0</v>
      </c>
      <c r="W306" s="3">
        <v>0</v>
      </c>
      <c r="X306" s="3">
        <v>1</v>
      </c>
      <c r="Y306" s="3">
        <v>0</v>
      </c>
      <c r="Z306" s="3">
        <v>0</v>
      </c>
    </row>
    <row r="307" spans="1:26" ht="26">
      <c r="A307" s="16">
        <v>17742643</v>
      </c>
      <c r="B307" s="16" t="s">
        <v>275</v>
      </c>
      <c r="C307" s="16" t="s">
        <v>57</v>
      </c>
      <c r="D307" s="16" t="s">
        <v>442</v>
      </c>
      <c r="E307" s="16" t="s">
        <v>26</v>
      </c>
      <c r="F307" s="16" t="s">
        <v>276</v>
      </c>
      <c r="G307" s="21" t="s">
        <v>443</v>
      </c>
      <c r="H307" s="7">
        <v>9.9165450831630899</v>
      </c>
      <c r="I307" s="1">
        <v>0</v>
      </c>
      <c r="J307" s="4">
        <f t="shared" si="25"/>
        <v>0</v>
      </c>
      <c r="K307" s="5">
        <f t="shared" si="26"/>
        <v>0</v>
      </c>
      <c r="L307" s="2">
        <v>13620955.951644</v>
      </c>
      <c r="M307" s="2">
        <v>0</v>
      </c>
      <c r="N307" s="6">
        <f t="shared" si="27"/>
        <v>0</v>
      </c>
      <c r="O307" s="17">
        <f t="shared" si="28"/>
        <v>0</v>
      </c>
      <c r="P307" s="18">
        <v>1</v>
      </c>
      <c r="Q307" s="1">
        <f t="shared" si="29"/>
        <v>0</v>
      </c>
      <c r="R307" s="18">
        <v>12</v>
      </c>
      <c r="S307" s="18">
        <v>1</v>
      </c>
      <c r="T307" s="18">
        <v>0</v>
      </c>
      <c r="U307" s="3">
        <v>0</v>
      </c>
      <c r="V307" s="3">
        <v>0</v>
      </c>
      <c r="W307" s="3">
        <v>0</v>
      </c>
      <c r="X307" s="3">
        <v>1</v>
      </c>
      <c r="Y307" s="3">
        <v>0</v>
      </c>
      <c r="Z307" s="3">
        <v>0</v>
      </c>
    </row>
    <row r="308" spans="1:26" ht="26">
      <c r="A308" s="16">
        <v>17646915</v>
      </c>
      <c r="B308" s="16" t="s">
        <v>403</v>
      </c>
      <c r="C308" s="16" t="s">
        <v>35</v>
      </c>
      <c r="D308" s="16" t="s">
        <v>442</v>
      </c>
      <c r="E308" s="16" t="s">
        <v>26</v>
      </c>
      <c r="F308" s="16" t="s">
        <v>55</v>
      </c>
      <c r="G308" s="21" t="s">
        <v>441</v>
      </c>
      <c r="H308" s="7">
        <v>3</v>
      </c>
      <c r="I308" s="1">
        <v>0</v>
      </c>
      <c r="J308" s="1">
        <f t="shared" si="25"/>
        <v>0</v>
      </c>
      <c r="K308" s="5">
        <f t="shared" si="26"/>
        <v>0</v>
      </c>
      <c r="L308" s="2">
        <v>1233517.793070439</v>
      </c>
      <c r="M308" s="2">
        <v>1260000</v>
      </c>
      <c r="N308" s="6">
        <f t="shared" si="27"/>
        <v>1</v>
      </c>
      <c r="O308" s="17">
        <f t="shared" si="28"/>
        <v>1.0214688487497552</v>
      </c>
      <c r="P308" s="18">
        <v>5</v>
      </c>
      <c r="Q308" s="1">
        <f t="shared" si="29"/>
        <v>1</v>
      </c>
      <c r="R308" s="18">
        <v>5</v>
      </c>
      <c r="S308" s="18">
        <v>5</v>
      </c>
      <c r="T308" s="18">
        <v>0</v>
      </c>
      <c r="U308" s="3">
        <v>0</v>
      </c>
      <c r="V308" s="3">
        <v>0</v>
      </c>
      <c r="W308" s="3">
        <v>0</v>
      </c>
      <c r="X308" s="3">
        <v>0</v>
      </c>
      <c r="Y308" s="3">
        <v>0</v>
      </c>
      <c r="Z308" s="3">
        <v>0</v>
      </c>
    </row>
    <row r="309" spans="1:26" ht="26">
      <c r="A309" s="16">
        <v>17766037</v>
      </c>
      <c r="B309" s="16" t="s">
        <v>198</v>
      </c>
      <c r="C309" s="16" t="s">
        <v>21</v>
      </c>
      <c r="D309" s="16" t="s">
        <v>442</v>
      </c>
      <c r="E309" s="16" t="s">
        <v>22</v>
      </c>
      <c r="F309" s="16" t="s">
        <v>199</v>
      </c>
      <c r="G309" s="21" t="s">
        <v>441</v>
      </c>
      <c r="H309" s="7">
        <v>5.8202780603594357</v>
      </c>
      <c r="I309" s="1">
        <v>3</v>
      </c>
      <c r="J309" s="4">
        <f t="shared" si="25"/>
        <v>1</v>
      </c>
      <c r="K309" s="5">
        <f t="shared" si="26"/>
        <v>0.51543929154043422</v>
      </c>
      <c r="L309" s="2">
        <v>1233517.793070439</v>
      </c>
      <c r="M309" s="2">
        <v>440000</v>
      </c>
      <c r="N309" s="6">
        <f t="shared" si="27"/>
        <v>1</v>
      </c>
      <c r="O309" s="17">
        <f t="shared" si="28"/>
        <v>0.35670340749991447</v>
      </c>
      <c r="P309" s="18">
        <v>0</v>
      </c>
      <c r="Q309" s="1">
        <f t="shared" si="29"/>
        <v>0</v>
      </c>
      <c r="R309" s="18">
        <v>8</v>
      </c>
      <c r="S309" s="18">
        <v>0</v>
      </c>
      <c r="T309" s="18">
        <v>0</v>
      </c>
      <c r="U309" s="3">
        <v>0</v>
      </c>
      <c r="V309" s="3">
        <v>1</v>
      </c>
      <c r="W309" s="3">
        <v>0</v>
      </c>
      <c r="X309" s="3">
        <v>0</v>
      </c>
      <c r="Y309" s="3">
        <v>0</v>
      </c>
      <c r="Z309" s="3">
        <v>0</v>
      </c>
    </row>
    <row r="310" spans="1:26" ht="26">
      <c r="A310" s="16">
        <v>17562513</v>
      </c>
      <c r="B310" s="16" t="s">
        <v>223</v>
      </c>
      <c r="C310" s="16" t="s">
        <v>21</v>
      </c>
      <c r="D310" s="16" t="s">
        <v>440</v>
      </c>
      <c r="E310" s="16" t="s">
        <v>22</v>
      </c>
      <c r="F310" s="16" t="s">
        <v>199</v>
      </c>
      <c r="G310" s="21" t="s">
        <v>441</v>
      </c>
      <c r="H310" s="7">
        <v>5.1966768396066563</v>
      </c>
      <c r="I310" s="1">
        <v>4</v>
      </c>
      <c r="J310" s="4">
        <f t="shared" si="25"/>
        <v>1</v>
      </c>
      <c r="K310" s="5">
        <f t="shared" si="26"/>
        <v>0.76972267536704586</v>
      </c>
      <c r="L310" s="2">
        <v>2549477.9785796599</v>
      </c>
      <c r="M310" s="2">
        <v>1064000</v>
      </c>
      <c r="N310" s="6">
        <f t="shared" si="27"/>
        <v>1</v>
      </c>
      <c r="O310" s="17">
        <f t="shared" si="28"/>
        <v>0.41734033748852589</v>
      </c>
      <c r="P310" s="18">
        <v>2</v>
      </c>
      <c r="Q310" s="1">
        <f t="shared" si="29"/>
        <v>0</v>
      </c>
      <c r="R310" s="18">
        <v>8</v>
      </c>
      <c r="S310" s="18">
        <v>3</v>
      </c>
      <c r="T310" s="18">
        <v>0</v>
      </c>
      <c r="U310" s="3">
        <v>0</v>
      </c>
      <c r="V310" s="3">
        <v>1</v>
      </c>
      <c r="W310" s="3">
        <v>0</v>
      </c>
      <c r="X310" s="3">
        <v>0</v>
      </c>
      <c r="Y310" s="3">
        <v>0</v>
      </c>
      <c r="Z310" s="3">
        <v>0</v>
      </c>
    </row>
    <row r="311" spans="1:26" ht="26">
      <c r="A311" s="16">
        <v>17754071</v>
      </c>
      <c r="B311" s="16" t="s">
        <v>314</v>
      </c>
      <c r="C311" s="16" t="s">
        <v>21</v>
      </c>
      <c r="D311" s="16" t="s">
        <v>442</v>
      </c>
      <c r="E311" s="16" t="s">
        <v>26</v>
      </c>
      <c r="F311" s="16" t="s">
        <v>199</v>
      </c>
      <c r="G311" s="21" t="s">
        <v>441</v>
      </c>
      <c r="H311" s="7">
        <v>5.1966768396066563</v>
      </c>
      <c r="I311" s="1">
        <v>3</v>
      </c>
      <c r="J311" s="1">
        <f t="shared" si="25"/>
        <v>1</v>
      </c>
      <c r="K311" s="5">
        <f t="shared" si="26"/>
        <v>0.57729200652528434</v>
      </c>
      <c r="L311" s="2">
        <v>1233517.793070439</v>
      </c>
      <c r="M311" s="2">
        <v>390000</v>
      </c>
      <c r="N311" s="6">
        <f t="shared" si="27"/>
        <v>1</v>
      </c>
      <c r="O311" s="17">
        <f t="shared" si="28"/>
        <v>0.31616892937492419</v>
      </c>
      <c r="P311" s="18">
        <v>5</v>
      </c>
      <c r="Q311" s="1">
        <f t="shared" si="29"/>
        <v>1</v>
      </c>
      <c r="R311" s="18">
        <v>8</v>
      </c>
      <c r="S311" s="18">
        <v>5</v>
      </c>
      <c r="T311" s="18">
        <v>0</v>
      </c>
      <c r="U311" s="3">
        <v>0</v>
      </c>
      <c r="V311" s="3">
        <v>1</v>
      </c>
      <c r="W311" s="3">
        <v>0</v>
      </c>
      <c r="X311" s="3">
        <v>0</v>
      </c>
      <c r="Y311" s="3">
        <v>0</v>
      </c>
      <c r="Z311" s="3">
        <v>0</v>
      </c>
    </row>
    <row r="312" spans="1:26" ht="26">
      <c r="A312" s="16">
        <v>17708668</v>
      </c>
      <c r="B312" s="16" t="s">
        <v>395</v>
      </c>
      <c r="C312" s="16" t="s">
        <v>21</v>
      </c>
      <c r="D312" s="16" t="s">
        <v>442</v>
      </c>
      <c r="E312" s="16" t="s">
        <v>22</v>
      </c>
      <c r="F312" s="16" t="s">
        <v>199</v>
      </c>
      <c r="G312" s="21" t="s">
        <v>441</v>
      </c>
      <c r="H312" s="7">
        <v>5</v>
      </c>
      <c r="I312" s="1">
        <v>3</v>
      </c>
      <c r="J312" s="4">
        <f t="shared" si="25"/>
        <v>1</v>
      </c>
      <c r="K312" s="5">
        <f t="shared" si="26"/>
        <v>0.6</v>
      </c>
      <c r="L312" s="2">
        <v>1233517.793070439</v>
      </c>
      <c r="M312" s="2">
        <v>390000</v>
      </c>
      <c r="N312" s="6">
        <f t="shared" si="27"/>
        <v>1</v>
      </c>
      <c r="O312" s="17">
        <f t="shared" si="28"/>
        <v>0.31616892937492419</v>
      </c>
      <c r="P312" s="18">
        <v>0</v>
      </c>
      <c r="Q312" s="1">
        <f t="shared" si="29"/>
        <v>0</v>
      </c>
      <c r="R312" s="18">
        <v>7</v>
      </c>
      <c r="S312" s="18">
        <v>0</v>
      </c>
      <c r="T312" s="18">
        <v>0</v>
      </c>
      <c r="U312" s="3">
        <v>0</v>
      </c>
      <c r="V312" s="3">
        <v>1</v>
      </c>
      <c r="W312" s="3">
        <v>0</v>
      </c>
      <c r="X312" s="3">
        <v>0</v>
      </c>
      <c r="Y312" s="3">
        <v>0</v>
      </c>
      <c r="Z312" s="3">
        <v>0</v>
      </c>
    </row>
    <row r="313" spans="1:26" ht="26">
      <c r="A313" s="16">
        <v>17648919</v>
      </c>
      <c r="B313" s="16" t="s">
        <v>413</v>
      </c>
      <c r="C313" s="16" t="s">
        <v>35</v>
      </c>
      <c r="D313" s="16" t="s">
        <v>442</v>
      </c>
      <c r="E313" s="16" t="s">
        <v>26</v>
      </c>
      <c r="F313" s="16" t="s">
        <v>55</v>
      </c>
      <c r="G313" s="21" t="s">
        <v>441</v>
      </c>
      <c r="H313" s="7">
        <v>5</v>
      </c>
      <c r="I313" s="1">
        <v>0</v>
      </c>
      <c r="J313" s="4">
        <f t="shared" si="25"/>
        <v>0</v>
      </c>
      <c r="K313" s="5">
        <f t="shared" si="26"/>
        <v>0</v>
      </c>
      <c r="L313" s="2">
        <v>1233517.793070439</v>
      </c>
      <c r="M313" s="2">
        <v>1680000</v>
      </c>
      <c r="N313" s="6">
        <f t="shared" si="27"/>
        <v>1</v>
      </c>
      <c r="O313" s="17">
        <f t="shared" si="28"/>
        <v>1.3619584649996734</v>
      </c>
      <c r="P313" s="18">
        <v>5</v>
      </c>
      <c r="Q313" s="1">
        <f t="shared" si="29"/>
        <v>1</v>
      </c>
      <c r="R313" s="18">
        <v>7</v>
      </c>
      <c r="S313" s="18">
        <v>5</v>
      </c>
      <c r="T313" s="18">
        <v>0</v>
      </c>
      <c r="U313" s="3">
        <v>0</v>
      </c>
      <c r="V313" s="3">
        <v>0</v>
      </c>
      <c r="W313" s="3">
        <v>0</v>
      </c>
      <c r="X313" s="3">
        <v>0</v>
      </c>
      <c r="Y313" s="3">
        <v>0</v>
      </c>
      <c r="Z313" s="3">
        <v>0</v>
      </c>
    </row>
    <row r="314" spans="1:26" ht="26">
      <c r="A314" s="16">
        <v>17631792</v>
      </c>
      <c r="B314" s="16" t="s">
        <v>422</v>
      </c>
      <c r="C314" s="16" t="s">
        <v>35</v>
      </c>
      <c r="D314" s="16" t="s">
        <v>442</v>
      </c>
      <c r="E314" s="16" t="s">
        <v>26</v>
      </c>
      <c r="F314" s="16" t="s">
        <v>96</v>
      </c>
      <c r="G314" s="21" t="s">
        <v>441</v>
      </c>
      <c r="H314" s="7">
        <v>7.4832146490335951</v>
      </c>
      <c r="I314" s="1">
        <v>3</v>
      </c>
      <c r="J314" s="1">
        <f t="shared" si="25"/>
        <v>1</v>
      </c>
      <c r="K314" s="5">
        <f t="shared" si="26"/>
        <v>0.40089722675366918</v>
      </c>
      <c r="L314" s="2">
        <v>1233517.793070439</v>
      </c>
      <c r="M314" s="2">
        <v>90000</v>
      </c>
      <c r="N314" s="6">
        <f t="shared" si="27"/>
        <v>0</v>
      </c>
      <c r="O314" s="17">
        <f t="shared" si="28"/>
        <v>7.2962060624982505E-2</v>
      </c>
      <c r="P314" s="18">
        <v>0</v>
      </c>
      <c r="Q314" s="1">
        <f t="shared" si="29"/>
        <v>0</v>
      </c>
      <c r="R314" s="18">
        <v>10</v>
      </c>
      <c r="S314" s="18">
        <v>0</v>
      </c>
      <c r="T314" s="18">
        <v>0</v>
      </c>
      <c r="U314" s="3">
        <v>0</v>
      </c>
      <c r="V314" s="3">
        <v>0</v>
      </c>
      <c r="W314" s="3">
        <v>0</v>
      </c>
      <c r="X314" s="3">
        <v>0</v>
      </c>
      <c r="Y314" s="3">
        <v>1</v>
      </c>
      <c r="Z314" s="3">
        <v>0</v>
      </c>
    </row>
    <row r="315" spans="1:26" ht="26">
      <c r="A315" s="16">
        <v>17061867</v>
      </c>
      <c r="B315" s="16" t="s">
        <v>427</v>
      </c>
      <c r="C315" s="16" t="s">
        <v>35</v>
      </c>
      <c r="D315" s="16" t="s">
        <v>440</v>
      </c>
      <c r="E315" s="16" t="s">
        <v>22</v>
      </c>
      <c r="F315" s="16" t="s">
        <v>85</v>
      </c>
      <c r="G315" s="21" t="s">
        <v>441</v>
      </c>
      <c r="H315" s="7">
        <v>3.3258731773482562</v>
      </c>
      <c r="I315" s="1">
        <v>3</v>
      </c>
      <c r="J315" s="1">
        <f t="shared" si="25"/>
        <v>1</v>
      </c>
      <c r="K315" s="5">
        <f t="shared" si="26"/>
        <v>0.90201876019575788</v>
      </c>
      <c r="L315" s="2">
        <v>2864155.9757400951</v>
      </c>
      <c r="M315" s="2">
        <v>3498000</v>
      </c>
      <c r="N315" s="6">
        <f t="shared" si="27"/>
        <v>1</v>
      </c>
      <c r="O315" s="17">
        <f t="shared" si="28"/>
        <v>1.2213022019850439</v>
      </c>
      <c r="P315" s="18">
        <v>0</v>
      </c>
      <c r="Q315" s="1">
        <f t="shared" si="29"/>
        <v>0</v>
      </c>
      <c r="R315" s="18">
        <v>6</v>
      </c>
      <c r="S315" s="18">
        <v>0</v>
      </c>
      <c r="T315" s="18">
        <v>0</v>
      </c>
      <c r="U315" s="3">
        <v>0</v>
      </c>
      <c r="V315" s="3">
        <v>0</v>
      </c>
      <c r="W315" s="3">
        <v>1</v>
      </c>
      <c r="X315" s="3">
        <v>0</v>
      </c>
      <c r="Y315" s="3">
        <v>0</v>
      </c>
      <c r="Z315" s="3">
        <v>1</v>
      </c>
    </row>
    <row r="316" spans="1:26" ht="26">
      <c r="A316" s="16">
        <v>17768623</v>
      </c>
      <c r="B316" s="16" t="s">
        <v>410</v>
      </c>
      <c r="C316" s="16" t="s">
        <v>25</v>
      </c>
      <c r="D316" s="16" t="s">
        <v>442</v>
      </c>
      <c r="E316" s="16" t="s">
        <v>26</v>
      </c>
      <c r="F316" s="16" t="s">
        <v>139</v>
      </c>
      <c r="G316" s="21" t="s">
        <v>443</v>
      </c>
      <c r="H316" s="7">
        <v>19.52319813247739</v>
      </c>
      <c r="I316" s="1">
        <v>3</v>
      </c>
      <c r="J316" s="1">
        <f t="shared" ref="J316:J325" si="30">IF(I316&gt;=3,1,0)</f>
        <v>1</v>
      </c>
      <c r="K316" s="5">
        <f t="shared" ref="K316:K325" si="31">I316/H316</f>
        <v>0.15366334857860278</v>
      </c>
      <c r="L316" s="2">
        <v>3997946.2855168041</v>
      </c>
      <c r="M316" s="2">
        <v>865000</v>
      </c>
      <c r="N316" s="6">
        <f t="shared" ref="N316:N325" si="32">IF(M316&gt;=300000,1,0)</f>
        <v>1</v>
      </c>
      <c r="O316" s="17">
        <f t="shared" ref="O316:O325" si="33">M316/L316</f>
        <v>0.21636108597396619</v>
      </c>
      <c r="P316" s="18">
        <v>1</v>
      </c>
      <c r="Q316" s="1">
        <f t="shared" ref="Q316:Q325" si="34">IF(P316&gt;=3,1,0)</f>
        <v>0</v>
      </c>
      <c r="R316" s="18">
        <v>22</v>
      </c>
      <c r="S316" s="18">
        <v>1</v>
      </c>
      <c r="T316" s="18">
        <v>0</v>
      </c>
      <c r="U316" s="3">
        <v>0</v>
      </c>
      <c r="V316" s="3">
        <v>0</v>
      </c>
      <c r="W316" s="3">
        <v>1</v>
      </c>
      <c r="X316" s="3">
        <v>0</v>
      </c>
      <c r="Y316" s="3">
        <v>0</v>
      </c>
      <c r="Z316" s="3">
        <v>0</v>
      </c>
    </row>
    <row r="317" spans="1:26" ht="26">
      <c r="A317" s="16">
        <v>17779134</v>
      </c>
      <c r="B317" s="16" t="s">
        <v>138</v>
      </c>
      <c r="C317" s="16" t="s">
        <v>25</v>
      </c>
      <c r="D317" s="16" t="s">
        <v>442</v>
      </c>
      <c r="E317" s="16" t="s">
        <v>26</v>
      </c>
      <c r="F317" s="16" t="s">
        <v>139</v>
      </c>
      <c r="G317" s="21" t="s">
        <v>443</v>
      </c>
      <c r="H317" s="7">
        <v>8.0571928800700618</v>
      </c>
      <c r="I317" s="1">
        <v>3</v>
      </c>
      <c r="J317" s="4">
        <f t="shared" si="30"/>
        <v>1</v>
      </c>
      <c r="K317" s="5">
        <f t="shared" si="31"/>
        <v>0.37233811386353621</v>
      </c>
      <c r="L317" s="2">
        <v>2158596.5258458201</v>
      </c>
      <c r="M317" s="2">
        <v>840000</v>
      </c>
      <c r="N317" s="6">
        <f t="shared" si="32"/>
        <v>1</v>
      </c>
      <c r="O317" s="17">
        <f t="shared" si="33"/>
        <v>0.38914173628202986</v>
      </c>
      <c r="P317" s="18">
        <v>0</v>
      </c>
      <c r="Q317" s="1">
        <f t="shared" si="34"/>
        <v>0</v>
      </c>
      <c r="R317" s="18">
        <v>11</v>
      </c>
      <c r="S317" s="18">
        <v>0</v>
      </c>
      <c r="T317" s="18">
        <v>0</v>
      </c>
      <c r="U317" s="3">
        <v>0</v>
      </c>
      <c r="V317" s="3">
        <v>0</v>
      </c>
      <c r="W317" s="3">
        <v>1</v>
      </c>
      <c r="X317" s="3">
        <v>0</v>
      </c>
      <c r="Y317" s="3">
        <v>0</v>
      </c>
      <c r="Z317" s="3">
        <v>0</v>
      </c>
    </row>
    <row r="318" spans="1:26" ht="26">
      <c r="A318" s="16">
        <v>17768830</v>
      </c>
      <c r="B318" s="16" t="s">
        <v>251</v>
      </c>
      <c r="C318" s="16" t="s">
        <v>25</v>
      </c>
      <c r="D318" s="16" t="s">
        <v>444</v>
      </c>
      <c r="E318" s="16" t="s">
        <v>26</v>
      </c>
      <c r="F318" s="16" t="s">
        <v>139</v>
      </c>
      <c r="G318" s="21" t="s">
        <v>443</v>
      </c>
      <c r="H318" s="7">
        <v>5</v>
      </c>
      <c r="I318" s="1">
        <v>3</v>
      </c>
      <c r="J318" s="1">
        <f t="shared" si="30"/>
        <v>1</v>
      </c>
      <c r="K318" s="5">
        <f t="shared" si="31"/>
        <v>0.6</v>
      </c>
      <c r="L318" s="2">
        <v>1687447.19263842</v>
      </c>
      <c r="M318" s="2">
        <v>865000</v>
      </c>
      <c r="N318" s="6">
        <f t="shared" si="32"/>
        <v>1</v>
      </c>
      <c r="O318" s="17">
        <f t="shared" si="33"/>
        <v>0.5126086337833915</v>
      </c>
      <c r="P318" s="18">
        <v>0</v>
      </c>
      <c r="Q318" s="1">
        <f t="shared" si="34"/>
        <v>0</v>
      </c>
      <c r="R318" s="18">
        <v>7</v>
      </c>
      <c r="S318" s="18">
        <v>0</v>
      </c>
      <c r="T318" s="18">
        <v>0</v>
      </c>
      <c r="U318" s="3">
        <v>0</v>
      </c>
      <c r="V318" s="3">
        <v>0</v>
      </c>
      <c r="W318" s="3">
        <v>1</v>
      </c>
      <c r="X318" s="3">
        <v>0</v>
      </c>
      <c r="Y318" s="3">
        <v>0</v>
      </c>
      <c r="Z318" s="3">
        <v>0</v>
      </c>
    </row>
    <row r="319" spans="1:26" ht="26">
      <c r="A319" s="16">
        <v>17774580</v>
      </c>
      <c r="B319" s="16" t="s">
        <v>409</v>
      </c>
      <c r="C319" s="16" t="s">
        <v>25</v>
      </c>
      <c r="D319" s="16" t="s">
        <v>442</v>
      </c>
      <c r="E319" s="16" t="s">
        <v>22</v>
      </c>
      <c r="F319" s="16" t="s">
        <v>338</v>
      </c>
      <c r="G319" s="21" t="s">
        <v>443</v>
      </c>
      <c r="H319" s="7">
        <v>8.0571928800700618</v>
      </c>
      <c r="I319" s="1">
        <v>51</v>
      </c>
      <c r="J319" s="4">
        <f t="shared" si="30"/>
        <v>1</v>
      </c>
      <c r="K319" s="5">
        <f t="shared" si="31"/>
        <v>6.3297479356801158</v>
      </c>
      <c r="L319" s="2">
        <v>2158596.5258458201</v>
      </c>
      <c r="M319" s="2">
        <v>3312500</v>
      </c>
      <c r="N319" s="6">
        <f t="shared" si="32"/>
        <v>1</v>
      </c>
      <c r="O319" s="17">
        <f t="shared" si="33"/>
        <v>1.5345619064693143</v>
      </c>
      <c r="P319" s="18">
        <v>100</v>
      </c>
      <c r="Q319" s="1">
        <f t="shared" si="34"/>
        <v>1</v>
      </c>
      <c r="R319" s="18">
        <v>11</v>
      </c>
      <c r="S319" s="18">
        <v>100</v>
      </c>
      <c r="T319" s="18">
        <v>0</v>
      </c>
      <c r="U319" s="3">
        <v>0</v>
      </c>
      <c r="V319" s="3">
        <v>0</v>
      </c>
      <c r="W319" s="3">
        <v>0</v>
      </c>
      <c r="X319" s="3">
        <v>0</v>
      </c>
      <c r="Y319" s="3">
        <v>0</v>
      </c>
      <c r="Z319" s="3">
        <v>1</v>
      </c>
    </row>
    <row r="320" spans="1:26" ht="26">
      <c r="A320" s="16">
        <v>17774583</v>
      </c>
      <c r="B320" s="16" t="s">
        <v>387</v>
      </c>
      <c r="C320" s="16" t="s">
        <v>25</v>
      </c>
      <c r="D320" s="16" t="s">
        <v>442</v>
      </c>
      <c r="E320" s="16" t="s">
        <v>26</v>
      </c>
      <c r="F320" s="16" t="s">
        <v>338</v>
      </c>
      <c r="G320" s="21" t="s">
        <v>443</v>
      </c>
      <c r="H320" s="7">
        <v>8.0571928800700618</v>
      </c>
      <c r="I320" s="1">
        <v>103</v>
      </c>
      <c r="J320" s="4">
        <f t="shared" si="30"/>
        <v>1</v>
      </c>
      <c r="K320" s="5">
        <f t="shared" si="31"/>
        <v>12.783608575981409</v>
      </c>
      <c r="L320" s="2">
        <v>2158596.5258458201</v>
      </c>
      <c r="M320" s="2">
        <v>3546500</v>
      </c>
      <c r="N320" s="6">
        <f t="shared" si="32"/>
        <v>1</v>
      </c>
      <c r="O320" s="17">
        <f t="shared" si="33"/>
        <v>1.6429656758621654</v>
      </c>
      <c r="P320" s="18">
        <v>100</v>
      </c>
      <c r="Q320" s="1">
        <f t="shared" si="34"/>
        <v>1</v>
      </c>
      <c r="R320" s="18">
        <v>11</v>
      </c>
      <c r="S320" s="18">
        <v>100</v>
      </c>
      <c r="T320" s="18">
        <v>0</v>
      </c>
      <c r="U320" s="3">
        <v>0</v>
      </c>
      <c r="V320" s="3">
        <v>0</v>
      </c>
      <c r="W320" s="3">
        <v>0</v>
      </c>
      <c r="X320" s="3">
        <v>0</v>
      </c>
      <c r="Y320" s="3">
        <v>0</v>
      </c>
      <c r="Z320" s="3">
        <v>1</v>
      </c>
    </row>
    <row r="321" spans="1:26" ht="26">
      <c r="A321" s="16">
        <v>17768735</v>
      </c>
      <c r="B321" s="16" t="s">
        <v>337</v>
      </c>
      <c r="C321" s="16" t="s">
        <v>25</v>
      </c>
      <c r="D321" s="16" t="s">
        <v>440</v>
      </c>
      <c r="E321" s="16" t="s">
        <v>22</v>
      </c>
      <c r="F321" s="16" t="s">
        <v>338</v>
      </c>
      <c r="G321" s="21" t="s">
        <v>443</v>
      </c>
      <c r="H321" s="7">
        <v>6.1978406769769432</v>
      </c>
      <c r="I321" s="1">
        <v>3</v>
      </c>
      <c r="J321" s="4">
        <f t="shared" si="30"/>
        <v>1</v>
      </c>
      <c r="K321" s="5">
        <f t="shared" si="31"/>
        <v>0.48403954802259924</v>
      </c>
      <c r="L321" s="2">
        <v>2607481.1801973949</v>
      </c>
      <c r="M321" s="2">
        <v>402500</v>
      </c>
      <c r="N321" s="6">
        <f t="shared" si="32"/>
        <v>1</v>
      </c>
      <c r="O321" s="17">
        <f t="shared" si="33"/>
        <v>0.15436353023630622</v>
      </c>
      <c r="P321" s="18">
        <v>0</v>
      </c>
      <c r="Q321" s="1">
        <f t="shared" si="34"/>
        <v>0</v>
      </c>
      <c r="R321" s="18">
        <v>9</v>
      </c>
      <c r="S321" s="18">
        <v>0</v>
      </c>
      <c r="T321" s="18">
        <v>0</v>
      </c>
      <c r="U321" s="3">
        <v>0</v>
      </c>
      <c r="V321" s="3">
        <v>0</v>
      </c>
      <c r="W321" s="3">
        <v>0</v>
      </c>
      <c r="X321" s="3">
        <v>0</v>
      </c>
      <c r="Y321" s="3">
        <v>0</v>
      </c>
      <c r="Z321" s="3">
        <v>1</v>
      </c>
    </row>
    <row r="322" spans="1:26" ht="26">
      <c r="A322" s="16">
        <v>17768983</v>
      </c>
      <c r="B322" s="16" t="s">
        <v>336</v>
      </c>
      <c r="C322" s="16" t="s">
        <v>21</v>
      </c>
      <c r="D322" s="16" t="s">
        <v>442</v>
      </c>
      <c r="E322" s="16" t="s">
        <v>26</v>
      </c>
      <c r="F322" s="16" t="s">
        <v>316</v>
      </c>
      <c r="G322" s="21" t="s">
        <v>441</v>
      </c>
      <c r="H322" s="7">
        <v>5</v>
      </c>
      <c r="I322" s="1">
        <v>3</v>
      </c>
      <c r="J322" s="4">
        <f t="shared" si="30"/>
        <v>1</v>
      </c>
      <c r="K322" s="5">
        <f t="shared" si="31"/>
        <v>0.6</v>
      </c>
      <c r="L322" s="2">
        <v>1233517.793070439</v>
      </c>
      <c r="M322" s="2">
        <v>1257000</v>
      </c>
      <c r="N322" s="6">
        <f t="shared" si="32"/>
        <v>1</v>
      </c>
      <c r="O322" s="17">
        <f t="shared" si="33"/>
        <v>1.0190367800622557</v>
      </c>
      <c r="P322" s="18">
        <v>5</v>
      </c>
      <c r="Q322" s="1">
        <f t="shared" si="34"/>
        <v>1</v>
      </c>
      <c r="R322" s="18">
        <v>7</v>
      </c>
      <c r="S322" s="18">
        <v>5</v>
      </c>
      <c r="T322" s="18">
        <v>0</v>
      </c>
      <c r="U322" s="3">
        <v>0</v>
      </c>
      <c r="V322" s="3">
        <v>0</v>
      </c>
      <c r="W322" s="3">
        <v>0</v>
      </c>
      <c r="X322" s="3">
        <v>0</v>
      </c>
      <c r="Y322" s="3">
        <v>0</v>
      </c>
      <c r="Z322" s="3">
        <v>1</v>
      </c>
    </row>
    <row r="323" spans="1:26" ht="26">
      <c r="A323" s="16">
        <v>17763664</v>
      </c>
      <c r="B323" s="16" t="s">
        <v>315</v>
      </c>
      <c r="C323" s="16" t="s">
        <v>21</v>
      </c>
      <c r="D323" s="16" t="s">
        <v>442</v>
      </c>
      <c r="E323" s="16" t="s">
        <v>22</v>
      </c>
      <c r="F323" s="16" t="s">
        <v>316</v>
      </c>
      <c r="G323" s="21" t="s">
        <v>441</v>
      </c>
      <c r="H323" s="7">
        <v>5</v>
      </c>
      <c r="I323" s="1">
        <v>3</v>
      </c>
      <c r="J323" s="4">
        <f t="shared" si="30"/>
        <v>1</v>
      </c>
      <c r="K323" s="5">
        <f t="shared" si="31"/>
        <v>0.6</v>
      </c>
      <c r="L323" s="2">
        <v>1233517.793070439</v>
      </c>
      <c r="M323" s="2">
        <v>438000</v>
      </c>
      <c r="N323" s="6">
        <f t="shared" si="32"/>
        <v>1</v>
      </c>
      <c r="O323" s="17">
        <f t="shared" si="33"/>
        <v>0.35508202837491487</v>
      </c>
      <c r="P323" s="18">
        <v>0</v>
      </c>
      <c r="Q323" s="1">
        <f t="shared" si="34"/>
        <v>0</v>
      </c>
      <c r="R323" s="18">
        <v>7</v>
      </c>
      <c r="S323" s="18">
        <v>0</v>
      </c>
      <c r="T323" s="18">
        <v>0</v>
      </c>
      <c r="U323" s="3">
        <v>0</v>
      </c>
      <c r="V323" s="3">
        <v>0</v>
      </c>
      <c r="W323" s="3">
        <v>0</v>
      </c>
      <c r="X323" s="3">
        <v>0</v>
      </c>
      <c r="Y323" s="3">
        <v>0</v>
      </c>
      <c r="Z323" s="3">
        <v>1</v>
      </c>
    </row>
    <row r="324" spans="1:26" ht="26">
      <c r="A324" s="16">
        <v>17763651</v>
      </c>
      <c r="B324" s="16" t="s">
        <v>393</v>
      </c>
      <c r="C324" s="16" t="s">
        <v>21</v>
      </c>
      <c r="D324" s="16" t="s">
        <v>442</v>
      </c>
      <c r="E324" s="16" t="s">
        <v>22</v>
      </c>
      <c r="F324" s="16" t="s">
        <v>316</v>
      </c>
      <c r="G324" s="21" t="s">
        <v>441</v>
      </c>
      <c r="H324" s="7">
        <v>3</v>
      </c>
      <c r="I324" s="1">
        <v>3</v>
      </c>
      <c r="J324" s="1">
        <f t="shared" si="30"/>
        <v>1</v>
      </c>
      <c r="K324" s="5">
        <f t="shared" si="31"/>
        <v>1</v>
      </c>
      <c r="L324" s="2">
        <v>1233517.793070439</v>
      </c>
      <c r="M324" s="2">
        <v>583000</v>
      </c>
      <c r="N324" s="6">
        <f t="shared" si="32"/>
        <v>1</v>
      </c>
      <c r="O324" s="17">
        <f t="shared" si="33"/>
        <v>0.47263201493738671</v>
      </c>
      <c r="P324" s="18">
        <v>0</v>
      </c>
      <c r="Q324" s="1">
        <f t="shared" si="34"/>
        <v>0</v>
      </c>
      <c r="R324" s="18">
        <v>5</v>
      </c>
      <c r="S324" s="18">
        <v>0</v>
      </c>
      <c r="T324" s="18">
        <v>0</v>
      </c>
      <c r="U324" s="3">
        <v>0</v>
      </c>
      <c r="V324" s="3">
        <v>0</v>
      </c>
      <c r="W324" s="3">
        <v>0</v>
      </c>
      <c r="X324" s="3">
        <v>0</v>
      </c>
      <c r="Y324" s="3">
        <v>0</v>
      </c>
      <c r="Z324" s="3">
        <v>1</v>
      </c>
    </row>
    <row r="325" spans="1:26" ht="26">
      <c r="A325" s="16">
        <v>17763995</v>
      </c>
      <c r="B325" s="16" t="s">
        <v>352</v>
      </c>
      <c r="C325" s="16" t="s">
        <v>57</v>
      </c>
      <c r="D325" s="16" t="s">
        <v>442</v>
      </c>
      <c r="E325" s="16" t="s">
        <v>26</v>
      </c>
      <c r="F325" s="16" t="s">
        <v>353</v>
      </c>
      <c r="G325" s="21" t="s">
        <v>443</v>
      </c>
      <c r="H325" s="7">
        <v>5.2681645754304078</v>
      </c>
      <c r="I325" s="1">
        <v>0</v>
      </c>
      <c r="J325" s="1">
        <f t="shared" si="30"/>
        <v>0</v>
      </c>
      <c r="K325" s="5">
        <f t="shared" si="31"/>
        <v>0</v>
      </c>
      <c r="L325" s="2">
        <v>1409497.814663925</v>
      </c>
      <c r="M325" s="2">
        <v>0</v>
      </c>
      <c r="N325" s="6">
        <f t="shared" si="32"/>
        <v>0</v>
      </c>
      <c r="O325" s="17">
        <f t="shared" si="33"/>
        <v>0</v>
      </c>
      <c r="P325" s="18">
        <v>0</v>
      </c>
      <c r="Q325" s="1">
        <f t="shared" si="34"/>
        <v>0</v>
      </c>
      <c r="R325" s="18">
        <v>8</v>
      </c>
      <c r="S325" s="18">
        <v>0</v>
      </c>
      <c r="T325" s="18">
        <v>0</v>
      </c>
      <c r="U325" s="3">
        <v>0</v>
      </c>
      <c r="V325" s="3">
        <v>0</v>
      </c>
      <c r="W325" s="3">
        <v>0</v>
      </c>
      <c r="X325" s="3">
        <v>0</v>
      </c>
      <c r="Y325" s="3">
        <v>1</v>
      </c>
      <c r="Z325" s="3">
        <v>0</v>
      </c>
    </row>
    <row r="326" spans="1:26" ht="26">
      <c r="A326" s="16">
        <v>17764380</v>
      </c>
      <c r="B326" s="16" t="s">
        <v>124</v>
      </c>
      <c r="C326" s="16" t="s">
        <v>31</v>
      </c>
      <c r="D326" s="16" t="s">
        <v>442</v>
      </c>
      <c r="E326" s="16" t="s">
        <v>26</v>
      </c>
      <c r="F326" s="16" t="s">
        <v>125</v>
      </c>
      <c r="G326" s="21" t="s">
        <v>441</v>
      </c>
      <c r="H326" s="7">
        <v>10.185486605629039</v>
      </c>
      <c r="I326" s="1">
        <v>3</v>
      </c>
      <c r="J326" s="4">
        <f t="shared" ref="J326:J338" si="35">IF(I326&gt;=3,1,0)</f>
        <v>1</v>
      </c>
      <c r="K326" s="5">
        <f t="shared" ref="K326:K338" si="36">I326/H326</f>
        <v>0.29453673802310448</v>
      </c>
      <c r="L326" s="2">
        <v>1233517.793070439</v>
      </c>
      <c r="M326" s="2">
        <v>524400</v>
      </c>
      <c r="N326" s="6">
        <f t="shared" ref="N326:N338" si="37">IF(M326&gt;=300000,1,0)</f>
        <v>1</v>
      </c>
      <c r="O326" s="17">
        <f t="shared" ref="O326:O338" si="38">M326/L326</f>
        <v>0.42512560657489806</v>
      </c>
      <c r="P326" s="18">
        <v>5</v>
      </c>
      <c r="Q326" s="1">
        <f t="shared" ref="Q326:Q338" si="39">IF(P326&gt;=3,1,0)</f>
        <v>1</v>
      </c>
      <c r="R326" s="18">
        <v>13</v>
      </c>
      <c r="S326" s="18">
        <v>5</v>
      </c>
      <c r="T326" s="18">
        <v>0</v>
      </c>
      <c r="U326" s="3">
        <v>0</v>
      </c>
      <c r="V326" s="3">
        <v>0</v>
      </c>
      <c r="W326" s="3">
        <v>0</v>
      </c>
      <c r="X326" s="3">
        <v>0</v>
      </c>
      <c r="Y326" s="3">
        <v>1</v>
      </c>
      <c r="Z326" s="3">
        <v>0</v>
      </c>
    </row>
    <row r="327" spans="1:26" ht="26">
      <c r="A327" s="20">
        <v>17768632</v>
      </c>
      <c r="B327" s="20" t="s">
        <v>476</v>
      </c>
      <c r="C327" s="16" t="s">
        <v>31</v>
      </c>
      <c r="D327" s="16" t="s">
        <v>442</v>
      </c>
      <c r="E327" s="16" t="s">
        <v>26</v>
      </c>
      <c r="F327" s="22" t="s">
        <v>125</v>
      </c>
      <c r="G327" s="20" t="s">
        <v>441</v>
      </c>
      <c r="H327" s="7">
        <v>2.7022719565954572</v>
      </c>
      <c r="I327" s="1">
        <v>0</v>
      </c>
      <c r="J327" s="1">
        <f t="shared" si="35"/>
        <v>0</v>
      </c>
      <c r="K327" s="5">
        <f t="shared" si="36"/>
        <v>0</v>
      </c>
      <c r="L327" s="2">
        <v>300000</v>
      </c>
      <c r="M327" s="2">
        <v>0</v>
      </c>
      <c r="N327" s="6">
        <f t="shared" si="37"/>
        <v>0</v>
      </c>
      <c r="O327" s="17">
        <f t="shared" si="38"/>
        <v>0</v>
      </c>
      <c r="P327" s="18">
        <v>0</v>
      </c>
      <c r="Q327" s="1">
        <f t="shared" si="39"/>
        <v>0</v>
      </c>
      <c r="R327" s="18">
        <v>5</v>
      </c>
      <c r="S327" s="18">
        <v>0</v>
      </c>
      <c r="T327" s="18">
        <v>0</v>
      </c>
      <c r="U327" s="3">
        <v>0</v>
      </c>
      <c r="V327" s="3">
        <v>0</v>
      </c>
      <c r="W327" s="3">
        <v>1</v>
      </c>
      <c r="X327" s="3">
        <v>0</v>
      </c>
      <c r="Y327" s="3">
        <v>0</v>
      </c>
      <c r="Z327" s="3">
        <v>0</v>
      </c>
    </row>
    <row r="328" spans="1:26" ht="26">
      <c r="A328" s="16">
        <v>17762645</v>
      </c>
      <c r="B328" s="16" t="s">
        <v>121</v>
      </c>
      <c r="C328" s="16" t="s">
        <v>21</v>
      </c>
      <c r="D328" s="16" t="s">
        <v>442</v>
      </c>
      <c r="E328" s="16" t="s">
        <v>22</v>
      </c>
      <c r="F328" s="16" t="s">
        <v>122</v>
      </c>
      <c r="G328" s="21" t="s">
        <v>441</v>
      </c>
      <c r="H328" s="7">
        <v>4.7809426924381153</v>
      </c>
      <c r="I328" s="1">
        <v>0</v>
      </c>
      <c r="J328" s="4">
        <f t="shared" si="35"/>
        <v>0</v>
      </c>
      <c r="K328" s="5">
        <f t="shared" si="36"/>
        <v>0</v>
      </c>
      <c r="L328" s="2">
        <v>1233517.793070439</v>
      </c>
      <c r="M328" s="2">
        <v>313000</v>
      </c>
      <c r="N328" s="6">
        <f t="shared" si="37"/>
        <v>1</v>
      </c>
      <c r="O328" s="17">
        <f t="shared" si="38"/>
        <v>0.25374583306243914</v>
      </c>
      <c r="P328" s="18">
        <v>0</v>
      </c>
      <c r="Q328" s="1">
        <f t="shared" si="39"/>
        <v>0</v>
      </c>
      <c r="R328" s="18">
        <v>7</v>
      </c>
      <c r="S328" s="18">
        <v>0</v>
      </c>
      <c r="T328" s="18">
        <v>0</v>
      </c>
      <c r="U328" s="3">
        <v>0</v>
      </c>
      <c r="V328" s="3">
        <v>0</v>
      </c>
      <c r="W328" s="3">
        <v>1</v>
      </c>
      <c r="X328" s="3">
        <v>0</v>
      </c>
      <c r="Y328" s="3">
        <v>0</v>
      </c>
      <c r="Z328" s="3">
        <v>0</v>
      </c>
    </row>
    <row r="329" spans="1:26" ht="26">
      <c r="A329" s="16">
        <v>17764101</v>
      </c>
      <c r="B329" s="16" t="s">
        <v>342</v>
      </c>
      <c r="C329" s="16" t="s">
        <v>21</v>
      </c>
      <c r="D329" s="16" t="s">
        <v>442</v>
      </c>
      <c r="E329" s="16" t="s">
        <v>22</v>
      </c>
      <c r="F329" s="16" t="s">
        <v>122</v>
      </c>
      <c r="G329" s="21" t="s">
        <v>441</v>
      </c>
      <c r="H329" s="7">
        <v>2.7022719565954572</v>
      </c>
      <c r="I329" s="1">
        <v>3</v>
      </c>
      <c r="J329" s="4">
        <f t="shared" si="35"/>
        <v>1</v>
      </c>
      <c r="K329" s="5">
        <f t="shared" si="36"/>
        <v>1.1101769356255486</v>
      </c>
      <c r="L329" s="2">
        <v>300000</v>
      </c>
      <c r="M329" s="2">
        <v>217000</v>
      </c>
      <c r="N329" s="6">
        <f t="shared" si="37"/>
        <v>0</v>
      </c>
      <c r="O329" s="17">
        <f t="shared" si="38"/>
        <v>0.72333333333333338</v>
      </c>
      <c r="P329" s="18">
        <v>0</v>
      </c>
      <c r="Q329" s="1">
        <f t="shared" si="39"/>
        <v>0</v>
      </c>
      <c r="R329" s="18">
        <v>5</v>
      </c>
      <c r="S329" s="18">
        <v>0</v>
      </c>
      <c r="T329" s="18">
        <v>0</v>
      </c>
      <c r="U329" s="3">
        <v>0</v>
      </c>
      <c r="V329" s="3">
        <v>0</v>
      </c>
      <c r="W329" s="3">
        <v>1</v>
      </c>
      <c r="X329" s="3">
        <v>0</v>
      </c>
      <c r="Y329" s="3">
        <v>0</v>
      </c>
      <c r="Z329" s="3">
        <v>0</v>
      </c>
    </row>
    <row r="330" spans="1:26" ht="26">
      <c r="A330" s="16">
        <v>17783930</v>
      </c>
      <c r="B330" s="16" t="s">
        <v>178</v>
      </c>
      <c r="C330" s="16" t="s">
        <v>21</v>
      </c>
      <c r="D330" s="16" t="s">
        <v>440</v>
      </c>
      <c r="E330" s="16" t="s">
        <v>22</v>
      </c>
      <c r="F330" s="16" t="s">
        <v>147</v>
      </c>
      <c r="G330" s="21" t="s">
        <v>441</v>
      </c>
      <c r="H330" s="7">
        <v>5</v>
      </c>
      <c r="I330" s="1">
        <v>1</v>
      </c>
      <c r="J330" s="1">
        <f t="shared" si="35"/>
        <v>0</v>
      </c>
      <c r="K330" s="5">
        <f t="shared" si="36"/>
        <v>0.2</v>
      </c>
      <c r="L330" s="2">
        <v>3486028.5456338399</v>
      </c>
      <c r="M330" s="2">
        <v>800000</v>
      </c>
      <c r="N330" s="6">
        <f t="shared" si="37"/>
        <v>1</v>
      </c>
      <c r="O330" s="17">
        <f t="shared" si="38"/>
        <v>0.22948750692302253</v>
      </c>
      <c r="P330" s="18">
        <v>1</v>
      </c>
      <c r="Q330" s="1">
        <f t="shared" si="39"/>
        <v>0</v>
      </c>
      <c r="R330" s="18">
        <v>7</v>
      </c>
      <c r="S330" s="18">
        <v>1</v>
      </c>
      <c r="T330" s="18">
        <v>0</v>
      </c>
      <c r="U330" s="3">
        <v>0</v>
      </c>
      <c r="V330" s="3">
        <v>0</v>
      </c>
      <c r="W330" s="3">
        <v>1</v>
      </c>
      <c r="X330" s="3">
        <v>0</v>
      </c>
      <c r="Y330" s="3">
        <v>1</v>
      </c>
      <c r="Z330" s="3">
        <v>0</v>
      </c>
    </row>
    <row r="331" spans="1:26" ht="26">
      <c r="A331" s="16">
        <v>17785546</v>
      </c>
      <c r="B331" s="16" t="s">
        <v>401</v>
      </c>
      <c r="C331" s="16" t="s">
        <v>21</v>
      </c>
      <c r="D331" s="16" t="s">
        <v>442</v>
      </c>
      <c r="E331" s="16" t="s">
        <v>22</v>
      </c>
      <c r="F331" s="16" t="s">
        <v>147</v>
      </c>
      <c r="G331" s="21" t="s">
        <v>441</v>
      </c>
      <c r="H331" s="7">
        <v>4.5730756188538484</v>
      </c>
      <c r="I331" s="1">
        <v>0</v>
      </c>
      <c r="J331" s="4">
        <f t="shared" si="35"/>
        <v>0</v>
      </c>
      <c r="K331" s="5">
        <f t="shared" si="36"/>
        <v>0</v>
      </c>
      <c r="L331" s="2">
        <v>1233517.793070439</v>
      </c>
      <c r="M331" s="2">
        <v>0</v>
      </c>
      <c r="N331" s="6">
        <f t="shared" si="37"/>
        <v>0</v>
      </c>
      <c r="O331" s="17">
        <f t="shared" si="38"/>
        <v>0</v>
      </c>
      <c r="P331" s="18">
        <v>0</v>
      </c>
      <c r="Q331" s="1">
        <f t="shared" si="39"/>
        <v>0</v>
      </c>
      <c r="R331" s="18">
        <v>7</v>
      </c>
      <c r="S331" s="18">
        <v>0</v>
      </c>
      <c r="T331" s="18">
        <v>0</v>
      </c>
      <c r="U331" s="3">
        <v>0</v>
      </c>
      <c r="V331" s="3">
        <v>0</v>
      </c>
      <c r="W331" s="3">
        <v>0</v>
      </c>
      <c r="X331" s="3">
        <v>1</v>
      </c>
      <c r="Y331" s="3">
        <v>0</v>
      </c>
      <c r="Z331" s="3">
        <v>0</v>
      </c>
    </row>
    <row r="332" spans="1:26" ht="26">
      <c r="A332" s="16">
        <v>17707977</v>
      </c>
      <c r="B332" s="16" t="s">
        <v>179</v>
      </c>
      <c r="C332" s="16" t="s">
        <v>21</v>
      </c>
      <c r="D332" s="16" t="s">
        <v>440</v>
      </c>
      <c r="E332" s="16" t="s">
        <v>22</v>
      </c>
      <c r="F332" s="16" t="s">
        <v>147</v>
      </c>
      <c r="G332" s="21" t="s">
        <v>441</v>
      </c>
      <c r="H332" s="7">
        <v>3.3258731773482562</v>
      </c>
      <c r="I332" s="1">
        <v>0</v>
      </c>
      <c r="J332" s="4">
        <f t="shared" si="35"/>
        <v>0</v>
      </c>
      <c r="K332" s="5">
        <f t="shared" si="36"/>
        <v>0</v>
      </c>
      <c r="L332" s="2">
        <v>2549477.9785796599</v>
      </c>
      <c r="M332" s="2">
        <v>1672000</v>
      </c>
      <c r="N332" s="6">
        <f t="shared" si="37"/>
        <v>1</v>
      </c>
      <c r="O332" s="17">
        <f t="shared" si="38"/>
        <v>0.65582053033911203</v>
      </c>
      <c r="P332" s="18">
        <v>1</v>
      </c>
      <c r="Q332" s="1">
        <f t="shared" si="39"/>
        <v>0</v>
      </c>
      <c r="R332" s="18">
        <v>6</v>
      </c>
      <c r="S332" s="18">
        <v>2</v>
      </c>
      <c r="T332" s="18">
        <v>0</v>
      </c>
      <c r="U332" s="3">
        <v>0</v>
      </c>
      <c r="V332" s="3">
        <v>0</v>
      </c>
      <c r="W332" s="3">
        <v>1</v>
      </c>
      <c r="X332" s="3">
        <v>0</v>
      </c>
      <c r="Y332" s="3">
        <v>0</v>
      </c>
      <c r="Z332" s="3">
        <v>0</v>
      </c>
    </row>
    <row r="333" spans="1:26" ht="26">
      <c r="A333" s="16">
        <v>17779344</v>
      </c>
      <c r="B333" s="16" t="s">
        <v>331</v>
      </c>
      <c r="C333" s="16" t="s">
        <v>21</v>
      </c>
      <c r="D333" s="16" t="s">
        <v>442</v>
      </c>
      <c r="E333" s="16" t="s">
        <v>26</v>
      </c>
      <c r="F333" s="16" t="s">
        <v>147</v>
      </c>
      <c r="G333" s="21" t="s">
        <v>441</v>
      </c>
      <c r="H333" s="7">
        <v>3.3258731773482562</v>
      </c>
      <c r="I333" s="1">
        <v>0</v>
      </c>
      <c r="J333" s="1">
        <f t="shared" si="35"/>
        <v>0</v>
      </c>
      <c r="K333" s="5">
        <f t="shared" si="36"/>
        <v>0</v>
      </c>
      <c r="L333" s="2">
        <v>1233517.793070439</v>
      </c>
      <c r="M333" s="2">
        <v>481000</v>
      </c>
      <c r="N333" s="6">
        <f t="shared" si="37"/>
        <v>1</v>
      </c>
      <c r="O333" s="17">
        <f t="shared" si="38"/>
        <v>0.3899416795624065</v>
      </c>
      <c r="P333" s="18">
        <v>0</v>
      </c>
      <c r="Q333" s="1">
        <f t="shared" si="39"/>
        <v>0</v>
      </c>
      <c r="R333" s="18">
        <v>6</v>
      </c>
      <c r="S333" s="18">
        <v>0</v>
      </c>
      <c r="T333" s="18">
        <v>0</v>
      </c>
      <c r="U333" s="3">
        <v>0</v>
      </c>
      <c r="V333" s="3">
        <v>0</v>
      </c>
      <c r="W333" s="3">
        <v>1</v>
      </c>
      <c r="X333" s="3">
        <v>0</v>
      </c>
      <c r="Y333" s="3">
        <v>0</v>
      </c>
      <c r="Z333" s="3">
        <v>0</v>
      </c>
    </row>
    <row r="334" spans="1:26" ht="26">
      <c r="A334" s="16">
        <v>17744463</v>
      </c>
      <c r="B334" s="16" t="s">
        <v>332</v>
      </c>
      <c r="C334" s="16" t="s">
        <v>21</v>
      </c>
      <c r="D334" s="16" t="s">
        <v>442</v>
      </c>
      <c r="E334" s="16" t="s">
        <v>26</v>
      </c>
      <c r="F334" s="16" t="s">
        <v>147</v>
      </c>
      <c r="G334" s="21" t="s">
        <v>441</v>
      </c>
      <c r="H334" s="7">
        <v>3</v>
      </c>
      <c r="I334" s="1">
        <v>0</v>
      </c>
      <c r="J334" s="4">
        <f t="shared" si="35"/>
        <v>0</v>
      </c>
      <c r="K334" s="5">
        <f t="shared" si="36"/>
        <v>0</v>
      </c>
      <c r="L334" s="2">
        <v>1233517.793070439</v>
      </c>
      <c r="M334" s="2">
        <v>1094000</v>
      </c>
      <c r="N334" s="6">
        <f t="shared" si="37"/>
        <v>1</v>
      </c>
      <c r="O334" s="17">
        <f t="shared" si="38"/>
        <v>0.88689438137478738</v>
      </c>
      <c r="P334" s="18">
        <v>5</v>
      </c>
      <c r="Q334" s="1">
        <f t="shared" si="39"/>
        <v>1</v>
      </c>
      <c r="R334" s="18">
        <v>5</v>
      </c>
      <c r="S334" s="18">
        <v>5</v>
      </c>
      <c r="T334" s="18">
        <v>0</v>
      </c>
      <c r="U334" s="3">
        <v>0</v>
      </c>
      <c r="V334" s="3">
        <v>0</v>
      </c>
      <c r="W334" s="3">
        <v>1</v>
      </c>
      <c r="X334" s="3">
        <v>0</v>
      </c>
      <c r="Y334" s="3">
        <v>0</v>
      </c>
      <c r="Z334" s="3">
        <v>0</v>
      </c>
    </row>
    <row r="335" spans="1:26" ht="26">
      <c r="A335" s="16">
        <v>17721015</v>
      </c>
      <c r="B335" s="16" t="s">
        <v>361</v>
      </c>
      <c r="C335" s="16" t="s">
        <v>21</v>
      </c>
      <c r="D335" s="16" t="s">
        <v>440</v>
      </c>
      <c r="E335" s="16" t="s">
        <v>22</v>
      </c>
      <c r="F335" s="16" t="s">
        <v>147</v>
      </c>
      <c r="G335" s="21" t="s">
        <v>441</v>
      </c>
      <c r="H335" s="7">
        <v>2.7022719565954572</v>
      </c>
      <c r="I335" s="1">
        <v>3</v>
      </c>
      <c r="J335" s="4">
        <f t="shared" si="35"/>
        <v>1</v>
      </c>
      <c r="K335" s="5">
        <f t="shared" si="36"/>
        <v>1.1101769356255486</v>
      </c>
      <c r="L335" s="2">
        <v>19880654</v>
      </c>
      <c r="M335" s="2">
        <v>2590000</v>
      </c>
      <c r="N335" s="6">
        <f t="shared" si="37"/>
        <v>1</v>
      </c>
      <c r="O335" s="17">
        <f t="shared" si="38"/>
        <v>0.13027740435500765</v>
      </c>
      <c r="P335" s="18">
        <v>1</v>
      </c>
      <c r="Q335" s="1">
        <f t="shared" si="39"/>
        <v>0</v>
      </c>
      <c r="R335" s="18">
        <v>5</v>
      </c>
      <c r="S335" s="18">
        <v>1</v>
      </c>
      <c r="T335" s="18">
        <v>0</v>
      </c>
      <c r="U335" s="3">
        <v>0</v>
      </c>
      <c r="V335" s="3">
        <v>0</v>
      </c>
      <c r="W335" s="3">
        <v>0</v>
      </c>
      <c r="X335" s="3">
        <v>0</v>
      </c>
      <c r="Y335" s="3">
        <v>1</v>
      </c>
      <c r="Z335" s="3">
        <v>0</v>
      </c>
    </row>
    <row r="336" spans="1:26" ht="26">
      <c r="A336" s="16">
        <v>17746504</v>
      </c>
      <c r="B336" s="16" t="s">
        <v>146</v>
      </c>
      <c r="C336" s="16" t="s">
        <v>21</v>
      </c>
      <c r="D336" s="16" t="s">
        <v>440</v>
      </c>
      <c r="E336" s="16" t="s">
        <v>22</v>
      </c>
      <c r="F336" s="16" t="s">
        <v>147</v>
      </c>
      <c r="G336" s="21" t="s">
        <v>441</v>
      </c>
      <c r="H336" s="7">
        <v>2.7022719565954572</v>
      </c>
      <c r="I336" s="1">
        <v>0</v>
      </c>
      <c r="J336" s="1">
        <f t="shared" si="35"/>
        <v>0</v>
      </c>
      <c r="K336" s="5">
        <f t="shared" si="36"/>
        <v>0</v>
      </c>
      <c r="L336" s="2">
        <v>3485404.9269315852</v>
      </c>
      <c r="M336" s="2">
        <v>949000</v>
      </c>
      <c r="N336" s="6">
        <f t="shared" si="37"/>
        <v>1</v>
      </c>
      <c r="O336" s="17">
        <f t="shared" si="38"/>
        <v>0.27227826318460585</v>
      </c>
      <c r="P336" s="18">
        <v>0</v>
      </c>
      <c r="Q336" s="1">
        <f t="shared" si="39"/>
        <v>0</v>
      </c>
      <c r="R336" s="18">
        <v>5</v>
      </c>
      <c r="S336" s="18">
        <v>0</v>
      </c>
      <c r="T336" s="18">
        <v>0</v>
      </c>
      <c r="U336" s="3">
        <v>0</v>
      </c>
      <c r="V336" s="3">
        <v>0</v>
      </c>
      <c r="W336" s="3">
        <v>1</v>
      </c>
      <c r="X336" s="3">
        <v>0</v>
      </c>
      <c r="Y336" s="3">
        <v>1</v>
      </c>
      <c r="Z336" s="3">
        <v>0</v>
      </c>
    </row>
    <row r="337" spans="1:26" ht="26">
      <c r="A337" s="16">
        <v>17210724</v>
      </c>
      <c r="B337" s="16" t="s">
        <v>300</v>
      </c>
      <c r="C337" s="16" t="s">
        <v>25</v>
      </c>
      <c r="D337" s="16" t="s">
        <v>442</v>
      </c>
      <c r="E337" s="16" t="s">
        <v>22</v>
      </c>
      <c r="F337" s="16" t="s">
        <v>94</v>
      </c>
      <c r="G337" s="21" t="s">
        <v>443</v>
      </c>
      <c r="H337" s="7">
        <v>5</v>
      </c>
      <c r="I337" s="1">
        <v>3</v>
      </c>
      <c r="J337" s="4">
        <f t="shared" si="35"/>
        <v>1</v>
      </c>
      <c r="K337" s="5">
        <f t="shared" si="36"/>
        <v>0.6</v>
      </c>
      <c r="L337" s="2">
        <v>10486663.7410996</v>
      </c>
      <c r="M337" s="2">
        <v>1560000</v>
      </c>
      <c r="N337" s="6">
        <f t="shared" si="37"/>
        <v>1</v>
      </c>
      <c r="O337" s="17">
        <f t="shared" si="38"/>
        <v>0.14876037207963561</v>
      </c>
      <c r="P337" s="18">
        <v>0</v>
      </c>
      <c r="Q337" s="1">
        <f t="shared" si="39"/>
        <v>0</v>
      </c>
      <c r="R337" s="18">
        <v>7</v>
      </c>
      <c r="S337" s="18">
        <v>0</v>
      </c>
      <c r="T337" s="18">
        <v>0</v>
      </c>
      <c r="U337" s="3">
        <v>0</v>
      </c>
      <c r="V337" s="3">
        <v>0</v>
      </c>
      <c r="W337" s="3">
        <v>1</v>
      </c>
      <c r="X337" s="3">
        <v>0</v>
      </c>
      <c r="Y337" s="3">
        <v>0</v>
      </c>
      <c r="Z337" s="3">
        <v>0</v>
      </c>
    </row>
    <row r="338" spans="1:26" ht="26">
      <c r="A338" s="16">
        <v>17227713</v>
      </c>
      <c r="B338" s="16" t="s">
        <v>93</v>
      </c>
      <c r="C338" s="16" t="s">
        <v>25</v>
      </c>
      <c r="D338" s="16" t="s">
        <v>442</v>
      </c>
      <c r="E338" s="16" t="s">
        <v>26</v>
      </c>
      <c r="F338" s="16" t="s">
        <v>94</v>
      </c>
      <c r="G338" s="21" t="s">
        <v>443</v>
      </c>
      <c r="H338" s="7">
        <v>4.9582725415815601</v>
      </c>
      <c r="I338" s="1">
        <v>3</v>
      </c>
      <c r="J338" s="1">
        <f t="shared" si="35"/>
        <v>1</v>
      </c>
      <c r="K338" s="5">
        <f t="shared" si="36"/>
        <v>0.60504943502824837</v>
      </c>
      <c r="L338" s="2">
        <v>1065113.5078454011</v>
      </c>
      <c r="M338" s="2">
        <v>1069000</v>
      </c>
      <c r="N338" s="6">
        <f t="shared" si="37"/>
        <v>1</v>
      </c>
      <c r="O338" s="17">
        <f t="shared" si="38"/>
        <v>1.0036488995078663</v>
      </c>
      <c r="P338" s="18">
        <v>0</v>
      </c>
      <c r="Q338" s="1">
        <f t="shared" si="39"/>
        <v>0</v>
      </c>
      <c r="R338" s="18">
        <v>7</v>
      </c>
      <c r="S338" s="18">
        <v>0</v>
      </c>
      <c r="T338" s="18">
        <v>0</v>
      </c>
      <c r="U338" s="3">
        <v>0</v>
      </c>
      <c r="V338" s="3">
        <v>0</v>
      </c>
      <c r="W338" s="3">
        <v>1</v>
      </c>
      <c r="X338" s="3">
        <v>0</v>
      </c>
      <c r="Y338" s="3">
        <v>0</v>
      </c>
      <c r="Z338" s="3">
        <v>0</v>
      </c>
    </row>
  </sheetData>
  <autoFilter ref="A5:Z338">
    <sortState ref="A92:Z315">
      <sortCondition ref="B5:B338"/>
    </sortState>
  </autoFilter>
  <conditionalFormatting sqref="E6:E322">
    <cfRule type="cellIs" dxfId="4" priority="6" operator="equal">
      <formula>"NO"</formula>
    </cfRule>
  </conditionalFormatting>
  <conditionalFormatting sqref="M6:M338">
    <cfRule type="cellIs" dxfId="3" priority="8" operator="lessThan">
      <formula>300000</formula>
    </cfRule>
  </conditionalFormatting>
  <conditionalFormatting sqref="L327:L338 J7:L328 N7:O328 Q7:R328 T7:Z328 I6:Z6 S7:S338 I7:I338 M7:M338 P7:P338">
    <cfRule type="cellIs" dxfId="2" priority="7" operator="lessThan">
      <formula>1</formula>
    </cfRule>
  </conditionalFormatting>
  <conditionalFormatting sqref="E323:E327">
    <cfRule type="cellIs" dxfId="1" priority="5" operator="equal">
      <formula>"NO"</formula>
    </cfRule>
  </conditionalFormatting>
  <conditionalFormatting sqref="J329:L338 N329:O338 Q329:R338 T329:Z338">
    <cfRule type="cellIs" dxfId="0" priority="2" operator="lessThan">
      <formula>1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D1129"/>
  <sheetViews>
    <sheetView workbookViewId="0">
      <selection activeCell="D4" sqref="D4"/>
    </sheetView>
  </sheetViews>
  <sheetFormatPr defaultRowHeight="14.5"/>
  <cols>
    <col min="1" max="1" width="10.6328125" bestFit="1" customWidth="1"/>
    <col min="2" max="2" width="15.81640625" bestFit="1" customWidth="1"/>
    <col min="3" max="3" width="10" bestFit="1" customWidth="1"/>
    <col min="4" max="4" width="18.81640625" bestFit="1" customWidth="1"/>
  </cols>
  <sheetData>
    <row r="3" spans="1:4">
      <c r="A3" t="s">
        <v>462</v>
      </c>
      <c r="B3" t="s">
        <v>467</v>
      </c>
      <c r="C3" t="s">
        <v>465</v>
      </c>
      <c r="D3" t="s">
        <v>466</v>
      </c>
    </row>
    <row r="4" spans="1:4">
      <c r="A4">
        <v>501322</v>
      </c>
      <c r="B4">
        <v>0</v>
      </c>
      <c r="C4">
        <f>IFERROR(VLOOKUP(A:A,[1]Export!$E:$Y,21,0),0)</f>
        <v>0</v>
      </c>
      <c r="D4">
        <v>0</v>
      </c>
    </row>
    <row r="5" spans="1:4">
      <c r="A5">
        <v>504892</v>
      </c>
      <c r="B5">
        <v>0</v>
      </c>
      <c r="C5">
        <f>IFERROR(VLOOKUP(A:A,[1]Export!$E:$Y,21,0),0)</f>
        <v>0</v>
      </c>
      <c r="D5">
        <v>0</v>
      </c>
    </row>
    <row r="6" spans="1:4">
      <c r="A6">
        <v>504933</v>
      </c>
      <c r="B6">
        <v>0</v>
      </c>
      <c r="C6">
        <f>IFERROR(VLOOKUP(A:A,[1]Export!$E:$Y,21,0),0)</f>
        <v>3105600</v>
      </c>
      <c r="D6">
        <v>0</v>
      </c>
    </row>
    <row r="7" spans="1:4">
      <c r="A7">
        <v>507357</v>
      </c>
      <c r="B7">
        <v>0</v>
      </c>
      <c r="C7">
        <f>IFERROR(VLOOKUP(A:A,[1]Export!$E:$Y,21,0),0)</f>
        <v>211200</v>
      </c>
      <c r="D7">
        <v>0</v>
      </c>
    </row>
    <row r="8" spans="1:4">
      <c r="A8">
        <v>507409</v>
      </c>
      <c r="B8">
        <v>0</v>
      </c>
      <c r="C8">
        <f>IFERROR(VLOOKUP(A:A,[1]Export!$E:$Y,21,0),0)</f>
        <v>1668000</v>
      </c>
      <c r="D8">
        <v>0</v>
      </c>
    </row>
    <row r="9" spans="1:4">
      <c r="A9">
        <v>507427</v>
      </c>
      <c r="B9">
        <v>0</v>
      </c>
      <c r="C9">
        <f>IFERROR(VLOOKUP(A:A,[1]Export!$E:$Y,21,0),0)</f>
        <v>120000</v>
      </c>
      <c r="D9">
        <v>0</v>
      </c>
    </row>
    <row r="10" spans="1:4">
      <c r="A10">
        <v>510062</v>
      </c>
      <c r="B10">
        <v>0</v>
      </c>
      <c r="C10">
        <f>IFERROR(VLOOKUP(A:A,[1]Export!$E:$Y,21,0),0)</f>
        <v>0</v>
      </c>
      <c r="D10">
        <v>0</v>
      </c>
    </row>
    <row r="11" spans="1:4">
      <c r="A11">
        <v>513782</v>
      </c>
      <c r="B11">
        <v>0</v>
      </c>
      <c r="C11">
        <f>IFERROR(VLOOKUP(A:A,[1]Export!$E:$Y,21,0),0)</f>
        <v>0</v>
      </c>
      <c r="D11">
        <v>0</v>
      </c>
    </row>
    <row r="12" spans="1:4">
      <c r="A12">
        <v>514486</v>
      </c>
      <c r="B12">
        <v>0</v>
      </c>
      <c r="C12">
        <f>IFERROR(VLOOKUP(A:A,[1]Export!$E:$Y,21,0),0)</f>
        <v>0</v>
      </c>
      <c r="D12">
        <v>0</v>
      </c>
    </row>
    <row r="13" spans="1:4">
      <c r="A13">
        <v>514942</v>
      </c>
      <c r="B13">
        <v>1</v>
      </c>
      <c r="C13">
        <f>IFERROR(VLOOKUP(A:A,[1]Export!$E:$Y,21,0),0)</f>
        <v>0</v>
      </c>
      <c r="D13">
        <v>0</v>
      </c>
    </row>
    <row r="14" spans="1:4">
      <c r="A14">
        <v>515112</v>
      </c>
      <c r="B14">
        <v>0</v>
      </c>
      <c r="C14">
        <f>IFERROR(VLOOKUP(A:A,[1]Export!$E:$Y,21,0),0)</f>
        <v>717600</v>
      </c>
      <c r="D14">
        <v>0</v>
      </c>
    </row>
    <row r="15" spans="1:4">
      <c r="A15">
        <v>523461</v>
      </c>
      <c r="B15">
        <v>1</v>
      </c>
      <c r="C15">
        <f>IFERROR(VLOOKUP(A:A,[1]Export!$E:$Y,21,0),0)</f>
        <v>0</v>
      </c>
      <c r="D15">
        <v>5</v>
      </c>
    </row>
    <row r="16" spans="1:4">
      <c r="A16">
        <v>525148</v>
      </c>
      <c r="B16">
        <v>0</v>
      </c>
      <c r="C16">
        <f>IFERROR(VLOOKUP(A:A,[1]Export!$E:$Y,21,0),0)</f>
        <v>0</v>
      </c>
      <c r="D16">
        <v>0</v>
      </c>
    </row>
    <row r="17" spans="1:4">
      <c r="A17">
        <v>525153</v>
      </c>
      <c r="B17">
        <v>1</v>
      </c>
      <c r="C17">
        <f>IFERROR(VLOOKUP(A:A,[1]Export!$E:$Y,21,0),0)</f>
        <v>0</v>
      </c>
      <c r="D17">
        <v>0</v>
      </c>
    </row>
    <row r="18" spans="1:4">
      <c r="A18">
        <v>566051</v>
      </c>
      <c r="B18">
        <v>0</v>
      </c>
      <c r="C18">
        <f>IFERROR(VLOOKUP(A:A,[1]Export!$E:$Y,21,0),0)</f>
        <v>0</v>
      </c>
      <c r="D18">
        <v>0</v>
      </c>
    </row>
    <row r="19" spans="1:4">
      <c r="A19">
        <v>566171</v>
      </c>
      <c r="B19">
        <v>0</v>
      </c>
      <c r="C19">
        <f>IFERROR(VLOOKUP(A:A,[1]Export!$E:$Y,21,0),0)</f>
        <v>0</v>
      </c>
      <c r="D19">
        <v>0</v>
      </c>
    </row>
    <row r="20" spans="1:4">
      <c r="A20">
        <v>566179</v>
      </c>
      <c r="B20">
        <v>0</v>
      </c>
      <c r="C20">
        <f>IFERROR(VLOOKUP(A:A,[1]Export!$E:$Y,21,0),0)</f>
        <v>0</v>
      </c>
      <c r="D20">
        <v>3</v>
      </c>
    </row>
    <row r="21" spans="1:4">
      <c r="A21">
        <v>566358</v>
      </c>
      <c r="B21">
        <v>0</v>
      </c>
      <c r="C21">
        <f>IFERROR(VLOOKUP(A:A,[1]Export!$E:$Y,21,0),0)</f>
        <v>0</v>
      </c>
      <c r="D21">
        <v>0</v>
      </c>
    </row>
    <row r="22" spans="1:4">
      <c r="A22">
        <v>567178</v>
      </c>
      <c r="B22">
        <v>0</v>
      </c>
      <c r="C22">
        <f>IFERROR(VLOOKUP(A:A,[1]Export!$E:$Y,21,0),0)</f>
        <v>0</v>
      </c>
      <c r="D22">
        <v>0</v>
      </c>
    </row>
    <row r="23" spans="1:4">
      <c r="A23">
        <v>567192</v>
      </c>
      <c r="B23">
        <v>0</v>
      </c>
      <c r="C23">
        <f>IFERROR(VLOOKUP(A:A,[1]Export!$E:$Y,21,0),0)</f>
        <v>0</v>
      </c>
      <c r="D23">
        <v>0</v>
      </c>
    </row>
    <row r="24" spans="1:4">
      <c r="A24">
        <v>567247</v>
      </c>
      <c r="B24">
        <v>0</v>
      </c>
      <c r="C24">
        <f>IFERROR(VLOOKUP(A:A,[1]Export!$E:$Y,21,0),0)</f>
        <v>0</v>
      </c>
      <c r="D24">
        <v>0</v>
      </c>
    </row>
    <row r="25" spans="1:4">
      <c r="A25">
        <v>626884</v>
      </c>
      <c r="B25">
        <v>1</v>
      </c>
      <c r="C25">
        <f>IFERROR(VLOOKUP(A:A,[1]Export!$E:$Y,21,0),0)</f>
        <v>0</v>
      </c>
      <c r="D25">
        <v>1</v>
      </c>
    </row>
    <row r="26" spans="1:4">
      <c r="A26">
        <v>626912</v>
      </c>
      <c r="B26">
        <v>3</v>
      </c>
      <c r="C26">
        <f>IFERROR(VLOOKUP(A:A,[1]Export!$E:$Y,21,0),0)</f>
        <v>0</v>
      </c>
      <c r="D26">
        <v>3</v>
      </c>
    </row>
    <row r="27" spans="1:4">
      <c r="A27">
        <v>626916</v>
      </c>
      <c r="B27">
        <v>1</v>
      </c>
      <c r="C27">
        <f>IFERROR(VLOOKUP(A:A,[1]Export!$E:$Y,21,0),0)</f>
        <v>0</v>
      </c>
      <c r="D27">
        <v>1</v>
      </c>
    </row>
    <row r="28" spans="1:4">
      <c r="A28">
        <v>626960</v>
      </c>
      <c r="B28">
        <v>0</v>
      </c>
      <c r="C28">
        <f>IFERROR(VLOOKUP(A:A,[1]Export!$E:$Y,21,0),0)</f>
        <v>0</v>
      </c>
      <c r="D28">
        <v>0</v>
      </c>
    </row>
    <row r="29" spans="1:4">
      <c r="A29">
        <v>626972</v>
      </c>
      <c r="B29">
        <v>0</v>
      </c>
      <c r="C29">
        <f>IFERROR(VLOOKUP(A:A,[1]Export!$E:$Y,21,0),0)</f>
        <v>0</v>
      </c>
      <c r="D29">
        <v>0</v>
      </c>
    </row>
    <row r="30" spans="1:4">
      <c r="A30">
        <v>626979</v>
      </c>
      <c r="B30">
        <v>0</v>
      </c>
      <c r="C30">
        <f>IFERROR(VLOOKUP(A:A,[1]Export!$E:$Y,21,0),0)</f>
        <v>0</v>
      </c>
      <c r="D30">
        <v>0</v>
      </c>
    </row>
    <row r="31" spans="1:4">
      <c r="A31">
        <v>626998</v>
      </c>
      <c r="B31">
        <v>0</v>
      </c>
      <c r="C31">
        <f>IFERROR(VLOOKUP(A:A,[1]Export!$E:$Y,21,0),0)</f>
        <v>0</v>
      </c>
      <c r="D31">
        <v>0</v>
      </c>
    </row>
    <row r="32" spans="1:4">
      <c r="A32">
        <v>627004</v>
      </c>
      <c r="B32">
        <v>0</v>
      </c>
      <c r="C32">
        <f>IFERROR(VLOOKUP(A:A,[1]Export!$E:$Y,21,0),0)</f>
        <v>0</v>
      </c>
      <c r="D32">
        <v>0</v>
      </c>
    </row>
    <row r="33" spans="1:4">
      <c r="A33">
        <v>627007</v>
      </c>
      <c r="B33">
        <v>1</v>
      </c>
      <c r="C33">
        <f>IFERROR(VLOOKUP(A:A,[1]Export!$E:$Y,21,0),0)</f>
        <v>0</v>
      </c>
      <c r="D33">
        <v>0</v>
      </c>
    </row>
    <row r="34" spans="1:4">
      <c r="A34">
        <v>633694</v>
      </c>
      <c r="B34">
        <v>1</v>
      </c>
      <c r="C34">
        <f>IFERROR(VLOOKUP(A:A,[1]Export!$E:$Y,21,0),0)</f>
        <v>0</v>
      </c>
      <c r="D34">
        <v>3</v>
      </c>
    </row>
    <row r="35" spans="1:4">
      <c r="A35">
        <v>649707</v>
      </c>
      <c r="B35">
        <v>0</v>
      </c>
      <c r="C35">
        <f>IFERROR(VLOOKUP(A:A,[1]Export!$E:$Y,21,0),0)</f>
        <v>0</v>
      </c>
      <c r="D35">
        <v>0</v>
      </c>
    </row>
    <row r="36" spans="1:4">
      <c r="A36">
        <v>649795</v>
      </c>
      <c r="B36">
        <v>4</v>
      </c>
      <c r="C36">
        <f>IFERROR(VLOOKUP(A:A,[1]Export!$E:$Y,21,0),0)</f>
        <v>0</v>
      </c>
      <c r="D36">
        <v>0</v>
      </c>
    </row>
    <row r="37" spans="1:4">
      <c r="A37">
        <v>649881</v>
      </c>
      <c r="B37">
        <v>0</v>
      </c>
      <c r="C37">
        <f>IFERROR(VLOOKUP(A:A,[1]Export!$E:$Y,21,0),0)</f>
        <v>0</v>
      </c>
      <c r="D37">
        <v>0</v>
      </c>
    </row>
    <row r="38" spans="1:4">
      <c r="A38">
        <v>653443</v>
      </c>
      <c r="B38">
        <v>0</v>
      </c>
      <c r="C38">
        <f>IFERROR(VLOOKUP(A:A,[1]Export!$E:$Y,21,0),0)</f>
        <v>0</v>
      </c>
      <c r="D38">
        <v>0</v>
      </c>
    </row>
    <row r="39" spans="1:4">
      <c r="A39">
        <v>653905</v>
      </c>
      <c r="B39">
        <v>0</v>
      </c>
      <c r="C39">
        <f>IFERROR(VLOOKUP(A:A,[1]Export!$E:$Y,21,0),0)</f>
        <v>0</v>
      </c>
      <c r="D39">
        <v>0</v>
      </c>
    </row>
    <row r="40" spans="1:4">
      <c r="A40">
        <v>658571</v>
      </c>
      <c r="B40">
        <v>0</v>
      </c>
      <c r="C40">
        <f>IFERROR(VLOOKUP(A:A,[1]Export!$E:$Y,21,0),0)</f>
        <v>306000</v>
      </c>
      <c r="D40">
        <v>0</v>
      </c>
    </row>
    <row r="41" spans="1:4">
      <c r="A41">
        <v>658632</v>
      </c>
      <c r="B41">
        <v>0</v>
      </c>
      <c r="C41">
        <f>IFERROR(VLOOKUP(A:A,[1]Export!$E:$Y,21,0),0)</f>
        <v>211200</v>
      </c>
      <c r="D41">
        <v>0</v>
      </c>
    </row>
    <row r="42" spans="1:4">
      <c r="A42">
        <v>658678</v>
      </c>
      <c r="B42">
        <v>0</v>
      </c>
      <c r="C42">
        <f>IFERROR(VLOOKUP(A:A,[1]Export!$E:$Y,21,0),0)</f>
        <v>2520000</v>
      </c>
      <c r="D42">
        <v>0</v>
      </c>
    </row>
    <row r="43" spans="1:4">
      <c r="A43">
        <v>659110</v>
      </c>
      <c r="B43">
        <v>0</v>
      </c>
      <c r="C43">
        <f>IFERROR(VLOOKUP(A:A,[1]Export!$E:$Y,21,0),0)</f>
        <v>3720000</v>
      </c>
      <c r="D43">
        <v>36</v>
      </c>
    </row>
    <row r="44" spans="1:4">
      <c r="A44">
        <v>662958</v>
      </c>
      <c r="B44">
        <v>2</v>
      </c>
      <c r="C44">
        <f>IFERROR(VLOOKUP(A:A,[1]Export!$E:$Y,21,0),0)</f>
        <v>0</v>
      </c>
      <c r="D44">
        <v>0</v>
      </c>
    </row>
    <row r="45" spans="1:4">
      <c r="A45">
        <v>663137</v>
      </c>
      <c r="B45">
        <v>0</v>
      </c>
      <c r="C45">
        <f>IFERROR(VLOOKUP(A:A,[1]Export!$E:$Y,21,0),0)</f>
        <v>0</v>
      </c>
      <c r="D45">
        <v>1</v>
      </c>
    </row>
    <row r="46" spans="1:4">
      <c r="A46">
        <v>663188</v>
      </c>
      <c r="B46">
        <v>0</v>
      </c>
      <c r="C46">
        <f>IFERROR(VLOOKUP(A:A,[1]Export!$E:$Y,21,0),0)</f>
        <v>0</v>
      </c>
      <c r="D46">
        <v>0</v>
      </c>
    </row>
    <row r="47" spans="1:4">
      <c r="A47">
        <v>663270</v>
      </c>
      <c r="B47">
        <v>2</v>
      </c>
      <c r="C47">
        <f>IFERROR(VLOOKUP(A:A,[1]Export!$E:$Y,21,0),0)</f>
        <v>0</v>
      </c>
      <c r="D47">
        <v>0</v>
      </c>
    </row>
    <row r="48" spans="1:4">
      <c r="A48">
        <v>664096</v>
      </c>
      <c r="B48">
        <v>0</v>
      </c>
      <c r="C48">
        <f>IFERROR(VLOOKUP(A:A,[1]Export!$E:$Y,21,0),0)</f>
        <v>580800</v>
      </c>
      <c r="D48">
        <v>0</v>
      </c>
    </row>
    <row r="49" spans="1:4">
      <c r="A49">
        <v>692850</v>
      </c>
      <c r="B49">
        <v>1</v>
      </c>
      <c r="C49">
        <f>IFERROR(VLOOKUP(A:A,[1]Export!$E:$Y,21,0),0)</f>
        <v>0</v>
      </c>
      <c r="D49">
        <v>0</v>
      </c>
    </row>
    <row r="50" spans="1:4">
      <c r="A50">
        <v>694383</v>
      </c>
      <c r="B50">
        <v>0</v>
      </c>
      <c r="C50">
        <f>IFERROR(VLOOKUP(A:A,[1]Export!$E:$Y,21,0),0)</f>
        <v>0</v>
      </c>
      <c r="D50">
        <v>0</v>
      </c>
    </row>
    <row r="51" spans="1:4">
      <c r="A51">
        <v>695125</v>
      </c>
      <c r="B51">
        <v>0</v>
      </c>
      <c r="C51">
        <f>IFERROR(VLOOKUP(A:A,[1]Export!$E:$Y,21,0),0)</f>
        <v>0</v>
      </c>
      <c r="D51">
        <v>0</v>
      </c>
    </row>
    <row r="52" spans="1:4">
      <c r="A52">
        <v>696138</v>
      </c>
      <c r="B52">
        <v>0</v>
      </c>
      <c r="C52">
        <f>IFERROR(VLOOKUP(A:A,[1]Export!$E:$Y,21,0),0)</f>
        <v>0</v>
      </c>
      <c r="D52">
        <v>0</v>
      </c>
    </row>
    <row r="53" spans="1:4">
      <c r="A53">
        <v>696140</v>
      </c>
      <c r="B53">
        <v>0</v>
      </c>
      <c r="C53">
        <f>IFERROR(VLOOKUP(A:A,[1]Export!$E:$Y,21,0),0)</f>
        <v>0</v>
      </c>
      <c r="D53">
        <v>0</v>
      </c>
    </row>
    <row r="54" spans="1:4">
      <c r="A54">
        <v>697740</v>
      </c>
      <c r="B54">
        <v>0</v>
      </c>
      <c r="C54">
        <f>IFERROR(VLOOKUP(A:A,[1]Export!$E:$Y,21,0),0)</f>
        <v>2335000</v>
      </c>
      <c r="D54">
        <v>0</v>
      </c>
    </row>
    <row r="55" spans="1:4">
      <c r="A55">
        <v>698921</v>
      </c>
      <c r="B55">
        <v>0</v>
      </c>
      <c r="C55">
        <f>IFERROR(VLOOKUP(A:A,[1]Export!$E:$Y,21,0),0)</f>
        <v>0</v>
      </c>
      <c r="D55">
        <v>0</v>
      </c>
    </row>
    <row r="56" spans="1:4">
      <c r="A56">
        <v>698993</v>
      </c>
      <c r="B56">
        <v>0</v>
      </c>
      <c r="C56">
        <f>IFERROR(VLOOKUP(A:A,[1]Export!$E:$Y,21,0),0)</f>
        <v>500000</v>
      </c>
      <c r="D56">
        <v>0</v>
      </c>
    </row>
    <row r="57" spans="1:4">
      <c r="A57">
        <v>733484</v>
      </c>
      <c r="B57">
        <v>1</v>
      </c>
      <c r="C57">
        <f>IFERROR(VLOOKUP(A:A,[1]Export!$E:$Y,21,0),0)</f>
        <v>0</v>
      </c>
      <c r="D57">
        <v>0</v>
      </c>
    </row>
    <row r="58" spans="1:4">
      <c r="A58">
        <v>733495</v>
      </c>
      <c r="B58">
        <v>0</v>
      </c>
      <c r="C58">
        <f>IFERROR(VLOOKUP(A:A,[1]Export!$E:$Y,21,0),0)</f>
        <v>0</v>
      </c>
      <c r="D58">
        <v>0</v>
      </c>
    </row>
    <row r="59" spans="1:4">
      <c r="A59">
        <v>733506</v>
      </c>
      <c r="B59">
        <v>0</v>
      </c>
      <c r="C59">
        <f>IFERROR(VLOOKUP(A:A,[1]Export!$E:$Y,21,0),0)</f>
        <v>0</v>
      </c>
      <c r="D59">
        <v>0</v>
      </c>
    </row>
    <row r="60" spans="1:4">
      <c r="A60">
        <v>733516</v>
      </c>
      <c r="B60">
        <v>0</v>
      </c>
      <c r="C60">
        <f>IFERROR(VLOOKUP(A:A,[1]Export!$E:$Y,21,0),0)</f>
        <v>0</v>
      </c>
      <c r="D60">
        <v>0</v>
      </c>
    </row>
    <row r="61" spans="1:4">
      <c r="A61">
        <v>734052</v>
      </c>
      <c r="B61">
        <v>0</v>
      </c>
      <c r="C61">
        <f>IFERROR(VLOOKUP(A:A,[1]Export!$E:$Y,21,0),0)</f>
        <v>0</v>
      </c>
      <c r="D61">
        <v>0</v>
      </c>
    </row>
    <row r="62" spans="1:4">
      <c r="A62">
        <v>740632</v>
      </c>
      <c r="B62">
        <v>0</v>
      </c>
      <c r="C62">
        <f>IFERROR(VLOOKUP(A:A,[1]Export!$E:$Y,21,0),0)</f>
        <v>0</v>
      </c>
      <c r="D62">
        <v>0</v>
      </c>
    </row>
    <row r="63" spans="1:4">
      <c r="A63">
        <v>741997</v>
      </c>
      <c r="B63">
        <v>0</v>
      </c>
      <c r="C63">
        <f>IFERROR(VLOOKUP(A:A,[1]Export!$E:$Y,21,0),0)</f>
        <v>0</v>
      </c>
      <c r="D63">
        <v>0</v>
      </c>
    </row>
    <row r="64" spans="1:4">
      <c r="A64">
        <v>750142</v>
      </c>
      <c r="B64">
        <v>0</v>
      </c>
      <c r="C64">
        <f>IFERROR(VLOOKUP(A:A,[1]Export!$E:$Y,21,0),0)</f>
        <v>0</v>
      </c>
      <c r="D64">
        <v>0</v>
      </c>
    </row>
    <row r="65" spans="1:4">
      <c r="A65">
        <v>751379</v>
      </c>
      <c r="B65">
        <v>0</v>
      </c>
      <c r="C65">
        <f>IFERROR(VLOOKUP(A:A,[1]Export!$E:$Y,21,0),0)</f>
        <v>0</v>
      </c>
      <c r="D65">
        <v>0</v>
      </c>
    </row>
    <row r="66" spans="1:4">
      <c r="A66">
        <v>751422</v>
      </c>
      <c r="B66">
        <v>0</v>
      </c>
      <c r="C66">
        <f>IFERROR(VLOOKUP(A:A,[1]Export!$E:$Y,21,0),0)</f>
        <v>300000</v>
      </c>
      <c r="D66">
        <v>0</v>
      </c>
    </row>
    <row r="67" spans="1:4">
      <c r="A67">
        <v>766491</v>
      </c>
      <c r="B67">
        <v>8</v>
      </c>
      <c r="C67">
        <f>IFERROR(VLOOKUP(A:A,[1]Export!$E:$Y,21,0),0)</f>
        <v>4010000</v>
      </c>
      <c r="D67">
        <v>0</v>
      </c>
    </row>
    <row r="68" spans="1:4">
      <c r="A68">
        <v>784233</v>
      </c>
      <c r="B68">
        <v>0</v>
      </c>
      <c r="C68">
        <f>IFERROR(VLOOKUP(A:A,[1]Export!$E:$Y,21,0),0)</f>
        <v>0</v>
      </c>
      <c r="D68">
        <v>0</v>
      </c>
    </row>
    <row r="69" spans="1:4">
      <c r="A69">
        <v>792390</v>
      </c>
      <c r="B69">
        <v>0</v>
      </c>
      <c r="C69">
        <f>IFERROR(VLOOKUP(A:A,[1]Export!$E:$Y,21,0),0)</f>
        <v>0</v>
      </c>
      <c r="D69">
        <v>0</v>
      </c>
    </row>
    <row r="70" spans="1:4">
      <c r="A70">
        <v>811034</v>
      </c>
      <c r="B70">
        <v>0</v>
      </c>
      <c r="C70">
        <f>IFERROR(VLOOKUP(A:A,[1]Export!$E:$Y,21,0),0)</f>
        <v>0</v>
      </c>
      <c r="D70">
        <v>1</v>
      </c>
    </row>
    <row r="71" spans="1:4">
      <c r="A71">
        <v>811037</v>
      </c>
      <c r="B71">
        <v>0</v>
      </c>
      <c r="C71">
        <f>IFERROR(VLOOKUP(A:A,[1]Export!$E:$Y,21,0),0)</f>
        <v>0</v>
      </c>
      <c r="D71">
        <v>0</v>
      </c>
    </row>
    <row r="72" spans="1:4">
      <c r="A72">
        <v>817347</v>
      </c>
      <c r="B72">
        <v>0</v>
      </c>
      <c r="C72">
        <f>IFERROR(VLOOKUP(A:A,[1]Export!$E:$Y,21,0),0)</f>
        <v>0</v>
      </c>
      <c r="D72">
        <v>0</v>
      </c>
    </row>
    <row r="73" spans="1:4">
      <c r="A73">
        <v>818388</v>
      </c>
      <c r="B73">
        <v>0</v>
      </c>
      <c r="C73">
        <f>IFERROR(VLOOKUP(A:A,[1]Export!$E:$Y,21,0),0)</f>
        <v>0</v>
      </c>
      <c r="D73">
        <v>0</v>
      </c>
    </row>
    <row r="74" spans="1:4">
      <c r="A74">
        <v>823442</v>
      </c>
      <c r="B74">
        <v>0</v>
      </c>
      <c r="C74">
        <f>IFERROR(VLOOKUP(A:A,[1]Export!$E:$Y,21,0),0)</f>
        <v>0</v>
      </c>
      <c r="D74">
        <v>0</v>
      </c>
    </row>
    <row r="75" spans="1:4">
      <c r="A75">
        <v>824198</v>
      </c>
      <c r="B75">
        <v>16</v>
      </c>
      <c r="C75">
        <f>IFERROR(VLOOKUP(A:A,[1]Export!$E:$Y,21,0),0)</f>
        <v>0</v>
      </c>
      <c r="D75">
        <v>0</v>
      </c>
    </row>
    <row r="76" spans="1:4">
      <c r="A76">
        <v>828223</v>
      </c>
      <c r="B76">
        <v>0</v>
      </c>
      <c r="C76">
        <f>IFERROR(VLOOKUP(A:A,[1]Export!$E:$Y,21,0),0)</f>
        <v>0</v>
      </c>
      <c r="D76">
        <v>0</v>
      </c>
    </row>
    <row r="77" spans="1:4">
      <c r="A77">
        <v>828786</v>
      </c>
      <c r="B77">
        <v>1</v>
      </c>
      <c r="C77">
        <f>IFERROR(VLOOKUP(A:A,[1]Export!$E:$Y,21,0),0)</f>
        <v>0</v>
      </c>
      <c r="D77">
        <v>1</v>
      </c>
    </row>
    <row r="78" spans="1:4">
      <c r="A78">
        <v>830655</v>
      </c>
      <c r="B78">
        <v>0</v>
      </c>
      <c r="C78">
        <f>IFERROR(VLOOKUP(A:A,[1]Export!$E:$Y,21,0),0)</f>
        <v>0</v>
      </c>
      <c r="D78">
        <v>0</v>
      </c>
    </row>
    <row r="79" spans="1:4">
      <c r="A79">
        <v>860392</v>
      </c>
      <c r="B79">
        <v>0</v>
      </c>
      <c r="C79">
        <f>IFERROR(VLOOKUP(A:A,[1]Export!$E:$Y,21,0),0)</f>
        <v>0</v>
      </c>
      <c r="D79">
        <v>0</v>
      </c>
    </row>
    <row r="80" spans="1:4">
      <c r="A80">
        <v>864101</v>
      </c>
      <c r="B80">
        <v>0</v>
      </c>
      <c r="C80">
        <f>IFERROR(VLOOKUP(A:A,[1]Export!$E:$Y,21,0),0)</f>
        <v>0</v>
      </c>
      <c r="D80">
        <v>0</v>
      </c>
    </row>
    <row r="81" spans="1:4">
      <c r="A81">
        <v>880930</v>
      </c>
      <c r="B81">
        <v>0</v>
      </c>
      <c r="C81">
        <f>IFERROR(VLOOKUP(A:A,[1]Export!$E:$Y,21,0),0)</f>
        <v>0</v>
      </c>
      <c r="D81">
        <v>0</v>
      </c>
    </row>
    <row r="82" spans="1:4">
      <c r="A82">
        <v>889276</v>
      </c>
      <c r="B82">
        <v>1</v>
      </c>
      <c r="C82">
        <f>IFERROR(VLOOKUP(A:A,[1]Export!$E:$Y,21,0),0)</f>
        <v>0</v>
      </c>
      <c r="D82">
        <v>0</v>
      </c>
    </row>
    <row r="83" spans="1:4">
      <c r="A83">
        <v>889298</v>
      </c>
      <c r="B83">
        <v>4</v>
      </c>
      <c r="C83">
        <f>IFERROR(VLOOKUP(A:A,[1]Export!$E:$Y,21,0),0)</f>
        <v>0</v>
      </c>
      <c r="D83">
        <v>1</v>
      </c>
    </row>
    <row r="84" spans="1:4">
      <c r="A84">
        <v>904931</v>
      </c>
      <c r="B84">
        <v>0</v>
      </c>
      <c r="C84">
        <f>IFERROR(VLOOKUP(A:A,[1]Export!$E:$Y,21,0),0)</f>
        <v>0</v>
      </c>
      <c r="D84">
        <v>0</v>
      </c>
    </row>
    <row r="85" spans="1:4">
      <c r="A85">
        <v>924533</v>
      </c>
      <c r="B85">
        <v>0</v>
      </c>
      <c r="C85">
        <f>IFERROR(VLOOKUP(A:A,[1]Export!$E:$Y,21,0),0)</f>
        <v>0</v>
      </c>
      <c r="D85">
        <v>0</v>
      </c>
    </row>
    <row r="86" spans="1:4">
      <c r="A86">
        <v>926163</v>
      </c>
      <c r="B86">
        <v>3</v>
      </c>
      <c r="C86">
        <f>IFERROR(VLOOKUP(A:A,[1]Export!$E:$Y,21,0),0)</f>
        <v>0</v>
      </c>
      <c r="D86">
        <v>3</v>
      </c>
    </row>
    <row r="87" spans="1:4">
      <c r="A87">
        <v>930882</v>
      </c>
      <c r="B87">
        <v>1</v>
      </c>
      <c r="C87">
        <f>IFERROR(VLOOKUP(A:A,[1]Export!$E:$Y,21,0),0)</f>
        <v>0</v>
      </c>
      <c r="D87">
        <v>0</v>
      </c>
    </row>
    <row r="88" spans="1:4">
      <c r="A88">
        <v>930961</v>
      </c>
      <c r="B88">
        <v>0</v>
      </c>
      <c r="C88">
        <f>IFERROR(VLOOKUP(A:A,[1]Export!$E:$Y,21,0),0)</f>
        <v>0</v>
      </c>
      <c r="D88">
        <v>0</v>
      </c>
    </row>
    <row r="89" spans="1:4">
      <c r="A89">
        <v>944625</v>
      </c>
      <c r="B89">
        <v>1</v>
      </c>
      <c r="C89">
        <f>IFERROR(VLOOKUP(A:A,[1]Export!$E:$Y,21,0),0)</f>
        <v>0</v>
      </c>
      <c r="D89">
        <v>0</v>
      </c>
    </row>
    <row r="90" spans="1:4">
      <c r="A90">
        <v>963293</v>
      </c>
      <c r="B90">
        <v>0</v>
      </c>
      <c r="C90">
        <f>IFERROR(VLOOKUP(A:A,[1]Export!$E:$Y,21,0),0)</f>
        <v>0</v>
      </c>
      <c r="D90">
        <v>0</v>
      </c>
    </row>
    <row r="91" spans="1:4">
      <c r="A91">
        <v>966775</v>
      </c>
      <c r="B91">
        <v>0</v>
      </c>
      <c r="C91">
        <f>IFERROR(VLOOKUP(A:A,[1]Export!$E:$Y,21,0),0)</f>
        <v>52800</v>
      </c>
      <c r="D91">
        <v>0</v>
      </c>
    </row>
    <row r="92" spans="1:4">
      <c r="A92">
        <v>969324</v>
      </c>
      <c r="B92">
        <v>1</v>
      </c>
      <c r="C92">
        <f>IFERROR(VLOOKUP(A:A,[1]Export!$E:$Y,21,0),0)</f>
        <v>0</v>
      </c>
      <c r="D92">
        <v>0</v>
      </c>
    </row>
    <row r="93" spans="1:4">
      <c r="A93">
        <v>969335</v>
      </c>
      <c r="B93">
        <v>0</v>
      </c>
      <c r="C93">
        <f>IFERROR(VLOOKUP(A:A,[1]Export!$E:$Y,21,0),0)</f>
        <v>0</v>
      </c>
      <c r="D93">
        <v>0</v>
      </c>
    </row>
    <row r="94" spans="1:4">
      <c r="A94">
        <v>971296</v>
      </c>
      <c r="B94">
        <v>1</v>
      </c>
      <c r="C94">
        <f>IFERROR(VLOOKUP(A:A,[1]Export!$E:$Y,21,0),0)</f>
        <v>168000</v>
      </c>
      <c r="D94">
        <v>0</v>
      </c>
    </row>
    <row r="95" spans="1:4">
      <c r="A95">
        <v>981570</v>
      </c>
      <c r="B95">
        <v>0</v>
      </c>
      <c r="C95">
        <f>IFERROR(VLOOKUP(A:A,[1]Export!$E:$Y,21,0),0)</f>
        <v>0</v>
      </c>
      <c r="D95">
        <v>0</v>
      </c>
    </row>
    <row r="96" spans="1:4">
      <c r="A96">
        <v>1066964</v>
      </c>
      <c r="B96">
        <v>0</v>
      </c>
      <c r="C96">
        <f>IFERROR(VLOOKUP(A:A,[1]Export!$E:$Y,21,0),0)</f>
        <v>0</v>
      </c>
      <c r="D96">
        <v>0</v>
      </c>
    </row>
    <row r="97" spans="1:4">
      <c r="A97">
        <v>1067080</v>
      </c>
      <c r="B97">
        <v>0</v>
      </c>
      <c r="C97">
        <f>IFERROR(VLOOKUP(A:A,[1]Export!$E:$Y,21,0),0)</f>
        <v>0</v>
      </c>
      <c r="D97">
        <v>0</v>
      </c>
    </row>
    <row r="98" spans="1:4">
      <c r="A98">
        <v>1067234</v>
      </c>
      <c r="B98">
        <v>0</v>
      </c>
      <c r="C98">
        <f>IFERROR(VLOOKUP(A:A,[1]Export!$E:$Y,21,0),0)</f>
        <v>0</v>
      </c>
      <c r="D98">
        <v>0</v>
      </c>
    </row>
    <row r="99" spans="1:4">
      <c r="A99">
        <v>1067667</v>
      </c>
      <c r="B99">
        <v>0</v>
      </c>
      <c r="C99">
        <f>IFERROR(VLOOKUP(A:A,[1]Export!$E:$Y,21,0),0)</f>
        <v>0</v>
      </c>
      <c r="D99">
        <v>0</v>
      </c>
    </row>
    <row r="100" spans="1:4">
      <c r="A100">
        <v>1068954</v>
      </c>
      <c r="B100">
        <v>0</v>
      </c>
      <c r="C100">
        <f>IFERROR(VLOOKUP(A:A,[1]Export!$E:$Y,21,0),0)</f>
        <v>0</v>
      </c>
      <c r="D100">
        <v>0</v>
      </c>
    </row>
    <row r="101" spans="1:4">
      <c r="A101">
        <v>1069261</v>
      </c>
      <c r="B101">
        <v>1</v>
      </c>
      <c r="C101">
        <f>IFERROR(VLOOKUP(A:A,[1]Export!$E:$Y,21,0),0)</f>
        <v>0</v>
      </c>
      <c r="D101">
        <v>5</v>
      </c>
    </row>
    <row r="102" spans="1:4">
      <c r="A102">
        <v>1069262</v>
      </c>
      <c r="B102">
        <v>0</v>
      </c>
      <c r="C102">
        <f>IFERROR(VLOOKUP(A:A,[1]Export!$E:$Y,21,0),0)</f>
        <v>0</v>
      </c>
      <c r="D102">
        <v>0</v>
      </c>
    </row>
    <row r="103" spans="1:4">
      <c r="A103">
        <v>1069320</v>
      </c>
      <c r="B103">
        <v>1</v>
      </c>
      <c r="C103">
        <f>IFERROR(VLOOKUP(A:A,[1]Export!$E:$Y,21,0),0)</f>
        <v>840000</v>
      </c>
      <c r="D103">
        <v>1</v>
      </c>
    </row>
    <row r="104" spans="1:4">
      <c r="A104">
        <v>1070317</v>
      </c>
      <c r="B104">
        <v>0</v>
      </c>
      <c r="C104">
        <f>IFERROR(VLOOKUP(A:A,[1]Export!$E:$Y,21,0),0)</f>
        <v>0</v>
      </c>
      <c r="D104">
        <v>0</v>
      </c>
    </row>
    <row r="105" spans="1:4">
      <c r="A105">
        <v>1070922</v>
      </c>
      <c r="B105">
        <v>0</v>
      </c>
      <c r="C105">
        <f>IFERROR(VLOOKUP(A:A,[1]Export!$E:$Y,21,0),0)</f>
        <v>15000000</v>
      </c>
      <c r="D105">
        <v>0</v>
      </c>
    </row>
    <row r="106" spans="1:4">
      <c r="A106">
        <v>1073854</v>
      </c>
      <c r="B106">
        <v>0</v>
      </c>
      <c r="C106">
        <f>IFERROR(VLOOKUP(A:A,[1]Export!$E:$Y,21,0),0)</f>
        <v>420000</v>
      </c>
      <c r="D106">
        <v>0</v>
      </c>
    </row>
    <row r="107" spans="1:4">
      <c r="A107">
        <v>1076959</v>
      </c>
      <c r="B107">
        <v>0</v>
      </c>
      <c r="C107">
        <f>IFERROR(VLOOKUP(A:A,[1]Export!$E:$Y,21,0),0)</f>
        <v>0</v>
      </c>
      <c r="D107">
        <v>0</v>
      </c>
    </row>
    <row r="108" spans="1:4">
      <c r="A108">
        <v>1077160</v>
      </c>
      <c r="B108">
        <v>0</v>
      </c>
      <c r="C108">
        <f>IFERROR(VLOOKUP(A:A,[1]Export!$E:$Y,21,0),0)</f>
        <v>0</v>
      </c>
      <c r="D108">
        <v>0</v>
      </c>
    </row>
    <row r="109" spans="1:4">
      <c r="A109">
        <v>1078285</v>
      </c>
      <c r="B109">
        <v>0</v>
      </c>
      <c r="C109">
        <f>IFERROR(VLOOKUP(A:A,[1]Export!$E:$Y,21,0),0)</f>
        <v>729600</v>
      </c>
      <c r="D109">
        <v>0</v>
      </c>
    </row>
    <row r="110" spans="1:4">
      <c r="A110">
        <v>1079290</v>
      </c>
      <c r="B110">
        <v>0</v>
      </c>
      <c r="C110">
        <f>IFERROR(VLOOKUP(A:A,[1]Export!$E:$Y,21,0),0)</f>
        <v>0</v>
      </c>
      <c r="D110">
        <v>0</v>
      </c>
    </row>
    <row r="111" spans="1:4">
      <c r="A111">
        <v>1080485</v>
      </c>
      <c r="B111">
        <v>0</v>
      </c>
      <c r="C111">
        <f>IFERROR(VLOOKUP(A:A,[1]Export!$E:$Y,21,0),0)</f>
        <v>0</v>
      </c>
      <c r="D111">
        <v>0</v>
      </c>
    </row>
    <row r="112" spans="1:4">
      <c r="A112">
        <v>1086630</v>
      </c>
      <c r="B112">
        <v>0</v>
      </c>
      <c r="C112">
        <f>IFERROR(VLOOKUP(A:A,[1]Export!$E:$Y,21,0),0)</f>
        <v>0</v>
      </c>
      <c r="D112">
        <v>0</v>
      </c>
    </row>
    <row r="113" spans="1:4">
      <c r="A113">
        <v>1289524</v>
      </c>
      <c r="B113">
        <v>1</v>
      </c>
      <c r="C113">
        <f>IFERROR(VLOOKUP(A:A,[1]Export!$E:$Y,21,0),0)</f>
        <v>0</v>
      </c>
      <c r="D113">
        <v>0</v>
      </c>
    </row>
    <row r="114" spans="1:4">
      <c r="A114">
        <v>1291605</v>
      </c>
      <c r="B114">
        <v>0</v>
      </c>
      <c r="C114">
        <f>IFERROR(VLOOKUP(A:A,[1]Export!$E:$Y,21,0),0)</f>
        <v>0</v>
      </c>
      <c r="D114">
        <v>0</v>
      </c>
    </row>
    <row r="115" spans="1:4">
      <c r="A115">
        <v>1291615</v>
      </c>
      <c r="B115">
        <v>0</v>
      </c>
      <c r="C115">
        <f>IFERROR(VLOOKUP(A:A,[1]Export!$E:$Y,21,0),0)</f>
        <v>312000</v>
      </c>
      <c r="D115">
        <v>0</v>
      </c>
    </row>
    <row r="116" spans="1:4">
      <c r="A116">
        <v>1295144</v>
      </c>
      <c r="B116">
        <v>0</v>
      </c>
      <c r="C116">
        <f>IFERROR(VLOOKUP(A:A,[1]Export!$E:$Y,21,0),0)</f>
        <v>0</v>
      </c>
      <c r="D116">
        <v>0</v>
      </c>
    </row>
    <row r="117" spans="1:4">
      <c r="A117">
        <v>1296234</v>
      </c>
      <c r="B117">
        <v>2</v>
      </c>
      <c r="C117">
        <f>IFERROR(VLOOKUP(A:A,[1]Export!$E:$Y,21,0),0)</f>
        <v>600000</v>
      </c>
      <c r="D117">
        <v>0</v>
      </c>
    </row>
    <row r="118" spans="1:4">
      <c r="A118">
        <v>1300531</v>
      </c>
      <c r="B118">
        <v>0</v>
      </c>
      <c r="C118">
        <f>IFERROR(VLOOKUP(A:A,[1]Export!$E:$Y,21,0),0)</f>
        <v>0</v>
      </c>
      <c r="D118">
        <v>0</v>
      </c>
    </row>
    <row r="119" spans="1:4">
      <c r="A119">
        <v>1300534</v>
      </c>
      <c r="B119">
        <v>0</v>
      </c>
      <c r="C119">
        <f>IFERROR(VLOOKUP(A:A,[1]Export!$E:$Y,21,0),0)</f>
        <v>0</v>
      </c>
      <c r="D119">
        <v>0</v>
      </c>
    </row>
    <row r="120" spans="1:4">
      <c r="A120">
        <v>1305565</v>
      </c>
      <c r="B120">
        <v>0</v>
      </c>
      <c r="C120">
        <f>IFERROR(VLOOKUP(A:A,[1]Export!$E:$Y,21,0),0)</f>
        <v>0</v>
      </c>
      <c r="D120">
        <v>0</v>
      </c>
    </row>
    <row r="121" spans="1:4">
      <c r="A121">
        <v>1318548</v>
      </c>
      <c r="B121">
        <v>0</v>
      </c>
      <c r="C121">
        <f>IFERROR(VLOOKUP(A:A,[1]Export!$E:$Y,21,0),0)</f>
        <v>0</v>
      </c>
      <c r="D121">
        <v>0</v>
      </c>
    </row>
    <row r="122" spans="1:4">
      <c r="A122">
        <v>1326426</v>
      </c>
      <c r="B122">
        <v>0</v>
      </c>
      <c r="C122">
        <f>IFERROR(VLOOKUP(A:A,[1]Export!$E:$Y,21,0),0)</f>
        <v>0</v>
      </c>
      <c r="D122">
        <v>0</v>
      </c>
    </row>
    <row r="123" spans="1:4">
      <c r="A123">
        <v>1329385</v>
      </c>
      <c r="B123">
        <v>0</v>
      </c>
      <c r="C123">
        <f>IFERROR(VLOOKUP(A:A,[1]Export!$E:$Y,21,0),0)</f>
        <v>1365600</v>
      </c>
      <c r="D123">
        <v>0</v>
      </c>
    </row>
    <row r="124" spans="1:4">
      <c r="A124">
        <v>1335665</v>
      </c>
      <c r="B124">
        <v>0</v>
      </c>
      <c r="C124">
        <f>IFERROR(VLOOKUP(A:A,[1]Export!$E:$Y,21,0),0)</f>
        <v>1500000</v>
      </c>
      <c r="D124">
        <v>0</v>
      </c>
    </row>
    <row r="125" spans="1:4">
      <c r="A125">
        <v>1344259</v>
      </c>
      <c r="B125">
        <v>0</v>
      </c>
      <c r="C125">
        <f>IFERROR(VLOOKUP(A:A,[1]Export!$E:$Y,21,0),0)</f>
        <v>0</v>
      </c>
      <c r="D125">
        <v>0</v>
      </c>
    </row>
    <row r="126" spans="1:4">
      <c r="A126">
        <v>1370953</v>
      </c>
      <c r="B126">
        <v>0</v>
      </c>
      <c r="C126">
        <f>IFERROR(VLOOKUP(A:A,[1]Export!$E:$Y,21,0),0)</f>
        <v>753600</v>
      </c>
      <c r="D126">
        <v>0</v>
      </c>
    </row>
    <row r="127" spans="1:4">
      <c r="A127">
        <v>1373492</v>
      </c>
      <c r="B127">
        <v>5</v>
      </c>
      <c r="C127">
        <f>IFERROR(VLOOKUP(A:A,[1]Export!$E:$Y,21,0),0)</f>
        <v>0</v>
      </c>
      <c r="D127">
        <v>0</v>
      </c>
    </row>
    <row r="128" spans="1:4">
      <c r="A128">
        <v>1375110</v>
      </c>
      <c r="B128">
        <v>0</v>
      </c>
      <c r="C128">
        <f>IFERROR(VLOOKUP(A:A,[1]Export!$E:$Y,21,0),0)</f>
        <v>312000</v>
      </c>
      <c r="D128">
        <v>0</v>
      </c>
    </row>
    <row r="129" spans="1:4">
      <c r="A129">
        <v>1375440</v>
      </c>
      <c r="B129">
        <v>0</v>
      </c>
      <c r="C129">
        <f>IFERROR(VLOOKUP(A:A,[1]Export!$E:$Y,21,0),0)</f>
        <v>252800</v>
      </c>
      <c r="D129">
        <v>0</v>
      </c>
    </row>
    <row r="130" spans="1:4">
      <c r="A130">
        <v>1376091</v>
      </c>
      <c r="B130">
        <v>0</v>
      </c>
      <c r="C130">
        <f>IFERROR(VLOOKUP(A:A,[1]Export!$E:$Y,21,0),0)</f>
        <v>0</v>
      </c>
      <c r="D130">
        <v>0</v>
      </c>
    </row>
    <row r="131" spans="1:4">
      <c r="A131">
        <v>1376915</v>
      </c>
      <c r="B131">
        <v>0</v>
      </c>
      <c r="C131">
        <f>IFERROR(VLOOKUP(A:A,[1]Export!$E:$Y,21,0),0)</f>
        <v>0</v>
      </c>
      <c r="D131">
        <v>0</v>
      </c>
    </row>
    <row r="132" spans="1:4">
      <c r="A132">
        <v>1378272</v>
      </c>
      <c r="B132">
        <v>0</v>
      </c>
      <c r="C132">
        <f>IFERROR(VLOOKUP(A:A,[1]Export!$E:$Y,21,0),0)</f>
        <v>0</v>
      </c>
      <c r="D132">
        <v>0</v>
      </c>
    </row>
    <row r="133" spans="1:4">
      <c r="A133">
        <v>1382959</v>
      </c>
      <c r="B133">
        <v>0</v>
      </c>
      <c r="C133">
        <f>IFERROR(VLOOKUP(A:A,[1]Export!$E:$Y,21,0),0)</f>
        <v>0</v>
      </c>
      <c r="D133">
        <v>3</v>
      </c>
    </row>
    <row r="134" spans="1:4">
      <c r="A134">
        <v>1425047</v>
      </c>
      <c r="B134">
        <v>0</v>
      </c>
      <c r="C134">
        <f>IFERROR(VLOOKUP(A:A,[1]Export!$E:$Y,21,0),0)</f>
        <v>0</v>
      </c>
      <c r="D134">
        <v>0</v>
      </c>
    </row>
    <row r="135" spans="1:4">
      <c r="A135">
        <v>1425366</v>
      </c>
      <c r="B135">
        <v>0</v>
      </c>
      <c r="C135">
        <f>IFERROR(VLOOKUP(A:A,[1]Export!$E:$Y,21,0),0)</f>
        <v>0</v>
      </c>
      <c r="D135">
        <v>0</v>
      </c>
    </row>
    <row r="136" spans="1:4">
      <c r="A136">
        <v>1436326</v>
      </c>
      <c r="B136">
        <v>1</v>
      </c>
      <c r="C136">
        <f>IFERROR(VLOOKUP(A:A,[1]Export!$E:$Y,21,0),0)</f>
        <v>0</v>
      </c>
      <c r="D136">
        <v>0</v>
      </c>
    </row>
    <row r="137" spans="1:4">
      <c r="A137">
        <v>1443311</v>
      </c>
      <c r="B137">
        <v>0</v>
      </c>
      <c r="C137">
        <f>IFERROR(VLOOKUP(A:A,[1]Export!$E:$Y,21,0),0)</f>
        <v>0</v>
      </c>
      <c r="D137">
        <v>0</v>
      </c>
    </row>
    <row r="138" spans="1:4">
      <c r="A138">
        <v>1448552</v>
      </c>
      <c r="B138">
        <v>0</v>
      </c>
      <c r="C138">
        <f>IFERROR(VLOOKUP(A:A,[1]Export!$E:$Y,21,0),0)</f>
        <v>0</v>
      </c>
      <c r="D138">
        <v>0</v>
      </c>
    </row>
    <row r="139" spans="1:4">
      <c r="A139">
        <v>1448725</v>
      </c>
      <c r="B139">
        <v>8</v>
      </c>
      <c r="C139">
        <f>IFERROR(VLOOKUP(A:A,[1]Export!$E:$Y,21,0),0)</f>
        <v>0</v>
      </c>
      <c r="D139">
        <v>0</v>
      </c>
    </row>
    <row r="140" spans="1:4">
      <c r="A140">
        <v>1457153</v>
      </c>
      <c r="B140">
        <v>0</v>
      </c>
      <c r="C140">
        <f>IFERROR(VLOOKUP(A:A,[1]Export!$E:$Y,21,0),0)</f>
        <v>0</v>
      </c>
      <c r="D140">
        <v>0</v>
      </c>
    </row>
    <row r="141" spans="1:4">
      <c r="A141">
        <v>1457413</v>
      </c>
      <c r="B141">
        <v>0</v>
      </c>
      <c r="C141">
        <f>IFERROR(VLOOKUP(A:A,[1]Export!$E:$Y,21,0),0)</f>
        <v>0</v>
      </c>
      <c r="D141">
        <v>0</v>
      </c>
    </row>
    <row r="142" spans="1:4">
      <c r="A142">
        <v>1459413</v>
      </c>
      <c r="B142">
        <v>0</v>
      </c>
      <c r="C142">
        <f>IFERROR(VLOOKUP(A:A,[1]Export!$E:$Y,21,0),0)</f>
        <v>0</v>
      </c>
      <c r="D142">
        <v>0</v>
      </c>
    </row>
    <row r="143" spans="1:4">
      <c r="A143">
        <v>1476075</v>
      </c>
      <c r="B143">
        <v>3</v>
      </c>
      <c r="C143">
        <f>IFERROR(VLOOKUP(A:A,[1]Export!$E:$Y,21,0),0)</f>
        <v>0</v>
      </c>
      <c r="D143">
        <v>0</v>
      </c>
    </row>
    <row r="144" spans="1:4">
      <c r="A144">
        <v>1477085</v>
      </c>
      <c r="B144">
        <v>0</v>
      </c>
      <c r="C144">
        <f>IFERROR(VLOOKUP(A:A,[1]Export!$E:$Y,21,0),0)</f>
        <v>0</v>
      </c>
      <c r="D144">
        <v>0</v>
      </c>
    </row>
    <row r="145" spans="1:4">
      <c r="A145">
        <v>1483993</v>
      </c>
      <c r="B145">
        <v>9</v>
      </c>
      <c r="C145">
        <f>IFERROR(VLOOKUP(A:A,[1]Export!$E:$Y,21,0),0)</f>
        <v>3720000</v>
      </c>
      <c r="D145">
        <v>0</v>
      </c>
    </row>
    <row r="146" spans="1:4">
      <c r="A146">
        <v>1486638</v>
      </c>
      <c r="B146">
        <v>0</v>
      </c>
      <c r="C146">
        <f>IFERROR(VLOOKUP(A:A,[1]Export!$E:$Y,21,0),0)</f>
        <v>0</v>
      </c>
      <c r="D146">
        <v>0</v>
      </c>
    </row>
    <row r="147" spans="1:4">
      <c r="A147">
        <v>1487457</v>
      </c>
      <c r="B147">
        <v>0</v>
      </c>
      <c r="C147">
        <f>IFERROR(VLOOKUP(A:A,[1]Export!$E:$Y,21,0),0)</f>
        <v>0</v>
      </c>
      <c r="D147">
        <v>0</v>
      </c>
    </row>
    <row r="148" spans="1:4">
      <c r="A148">
        <v>1487460</v>
      </c>
      <c r="B148">
        <v>0</v>
      </c>
      <c r="C148">
        <f>IFERROR(VLOOKUP(A:A,[1]Export!$E:$Y,21,0),0)</f>
        <v>0</v>
      </c>
      <c r="D148">
        <v>0</v>
      </c>
    </row>
    <row r="149" spans="1:4">
      <c r="A149">
        <v>1493110</v>
      </c>
      <c r="B149">
        <v>0</v>
      </c>
      <c r="C149">
        <f>IFERROR(VLOOKUP(A:A,[1]Export!$E:$Y,21,0),0)</f>
        <v>0</v>
      </c>
      <c r="D149">
        <v>0</v>
      </c>
    </row>
    <row r="150" spans="1:4">
      <c r="A150">
        <v>1496057</v>
      </c>
      <c r="B150">
        <v>0</v>
      </c>
      <c r="C150">
        <f>IFERROR(VLOOKUP(A:A,[1]Export!$E:$Y,21,0),0)</f>
        <v>5712000</v>
      </c>
      <c r="D150">
        <v>0</v>
      </c>
    </row>
    <row r="151" spans="1:4">
      <c r="A151">
        <v>1507952</v>
      </c>
      <c r="B151">
        <v>1</v>
      </c>
      <c r="C151">
        <f>IFERROR(VLOOKUP(A:A,[1]Export!$E:$Y,21,0),0)</f>
        <v>0</v>
      </c>
      <c r="D151">
        <v>0</v>
      </c>
    </row>
    <row r="152" spans="1:4">
      <c r="A152">
        <v>1508397</v>
      </c>
      <c r="B152">
        <v>0</v>
      </c>
      <c r="C152">
        <f>IFERROR(VLOOKUP(A:A,[1]Export!$E:$Y,21,0),0)</f>
        <v>0</v>
      </c>
      <c r="D152">
        <v>0</v>
      </c>
    </row>
    <row r="153" spans="1:4">
      <c r="A153">
        <v>1509400</v>
      </c>
      <c r="B153">
        <v>0</v>
      </c>
      <c r="C153">
        <f>IFERROR(VLOOKUP(A:A,[1]Export!$E:$Y,21,0),0)</f>
        <v>0</v>
      </c>
      <c r="D153">
        <v>3</v>
      </c>
    </row>
    <row r="154" spans="1:4">
      <c r="A154">
        <v>1514988</v>
      </c>
      <c r="B154">
        <v>0</v>
      </c>
      <c r="C154">
        <f>IFERROR(VLOOKUP(A:A,[1]Export!$E:$Y,21,0),0)</f>
        <v>0</v>
      </c>
      <c r="D154">
        <v>0</v>
      </c>
    </row>
    <row r="155" spans="1:4">
      <c r="A155">
        <v>1518845</v>
      </c>
      <c r="B155">
        <v>0</v>
      </c>
      <c r="C155">
        <f>IFERROR(VLOOKUP(A:A,[1]Export!$E:$Y,21,0),0)</f>
        <v>0</v>
      </c>
      <c r="D155">
        <v>0</v>
      </c>
    </row>
    <row r="156" spans="1:4">
      <c r="A156">
        <v>1519234</v>
      </c>
      <c r="B156">
        <v>1</v>
      </c>
      <c r="C156">
        <f>IFERROR(VLOOKUP(A:A,[1]Export!$E:$Y,21,0),0)</f>
        <v>0</v>
      </c>
      <c r="D156">
        <v>2</v>
      </c>
    </row>
    <row r="157" spans="1:4">
      <c r="A157">
        <v>1529317</v>
      </c>
      <c r="B157">
        <v>0</v>
      </c>
      <c r="C157">
        <f>IFERROR(VLOOKUP(A:A,[1]Export!$E:$Y,21,0),0)</f>
        <v>840000</v>
      </c>
      <c r="D157">
        <v>0</v>
      </c>
    </row>
    <row r="158" spans="1:4">
      <c r="A158">
        <v>1532544</v>
      </c>
      <c r="B158">
        <v>0</v>
      </c>
      <c r="C158">
        <f>IFERROR(VLOOKUP(A:A,[1]Export!$E:$Y,21,0),0)</f>
        <v>0</v>
      </c>
      <c r="D158">
        <v>0</v>
      </c>
    </row>
    <row r="159" spans="1:4">
      <c r="A159">
        <v>1538977</v>
      </c>
      <c r="B159">
        <v>0</v>
      </c>
      <c r="C159">
        <f>IFERROR(VLOOKUP(A:A,[1]Export!$E:$Y,21,0),0)</f>
        <v>0</v>
      </c>
      <c r="D159">
        <v>0</v>
      </c>
    </row>
    <row r="160" spans="1:4">
      <c r="A160">
        <v>1541579</v>
      </c>
      <c r="B160">
        <v>0</v>
      </c>
      <c r="C160">
        <f>IFERROR(VLOOKUP(A:A,[1]Export!$E:$Y,21,0),0)</f>
        <v>420000</v>
      </c>
      <c r="D160">
        <v>0</v>
      </c>
    </row>
    <row r="161" spans="1:4">
      <c r="A161">
        <v>1545922</v>
      </c>
      <c r="B161">
        <v>0</v>
      </c>
      <c r="C161">
        <f>IFERROR(VLOOKUP(A:A,[1]Export!$E:$Y,21,0),0)</f>
        <v>2000000</v>
      </c>
      <c r="D161">
        <v>0</v>
      </c>
    </row>
    <row r="162" spans="1:4">
      <c r="A162">
        <v>1546472</v>
      </c>
      <c r="B162">
        <v>0</v>
      </c>
      <c r="C162">
        <f>IFERROR(VLOOKUP(A:A,[1]Export!$E:$Y,21,0),0)</f>
        <v>240000</v>
      </c>
      <c r="D162">
        <v>4</v>
      </c>
    </row>
    <row r="163" spans="1:4">
      <c r="A163">
        <v>1548897</v>
      </c>
      <c r="B163">
        <v>1</v>
      </c>
      <c r="C163">
        <f>IFERROR(VLOOKUP(A:A,[1]Export!$E:$Y,21,0),0)</f>
        <v>0</v>
      </c>
      <c r="D163">
        <v>0</v>
      </c>
    </row>
    <row r="164" spans="1:4">
      <c r="A164">
        <v>1549350</v>
      </c>
      <c r="B164">
        <v>0</v>
      </c>
      <c r="C164">
        <f>IFERROR(VLOOKUP(A:A,[1]Export!$E:$Y,21,0),0)</f>
        <v>0</v>
      </c>
      <c r="D164">
        <v>0</v>
      </c>
    </row>
    <row r="165" spans="1:4">
      <c r="A165">
        <v>1553778</v>
      </c>
      <c r="B165">
        <v>0</v>
      </c>
      <c r="C165">
        <f>IFERROR(VLOOKUP(A:A,[1]Export!$E:$Y,21,0),0)</f>
        <v>0</v>
      </c>
      <c r="D165">
        <v>0</v>
      </c>
    </row>
    <row r="166" spans="1:4">
      <c r="A166">
        <v>1563980</v>
      </c>
      <c r="B166">
        <v>0</v>
      </c>
      <c r="C166">
        <f>IFERROR(VLOOKUP(A:A,[1]Export!$E:$Y,21,0),0)</f>
        <v>0</v>
      </c>
      <c r="D166">
        <v>0</v>
      </c>
    </row>
    <row r="167" spans="1:4">
      <c r="A167">
        <v>1569815</v>
      </c>
      <c r="B167">
        <v>0</v>
      </c>
      <c r="C167">
        <f>IFERROR(VLOOKUP(A:A,[1]Export!$E:$Y,21,0),0)</f>
        <v>0</v>
      </c>
      <c r="D167">
        <v>0</v>
      </c>
    </row>
    <row r="168" spans="1:4">
      <c r="A168">
        <v>1570103</v>
      </c>
      <c r="B168">
        <v>0</v>
      </c>
      <c r="C168">
        <f>IFERROR(VLOOKUP(A:A,[1]Export!$E:$Y,21,0),0)</f>
        <v>52800</v>
      </c>
      <c r="D168">
        <v>0</v>
      </c>
    </row>
    <row r="169" spans="1:4">
      <c r="A169">
        <v>17006852</v>
      </c>
      <c r="B169">
        <v>0</v>
      </c>
      <c r="C169">
        <f>IFERROR(VLOOKUP(A:A,[1]Export!$E:$Y,21,0),0)</f>
        <v>8400000</v>
      </c>
      <c r="D169">
        <v>0</v>
      </c>
    </row>
    <row r="170" spans="1:4">
      <c r="A170">
        <v>17023995</v>
      </c>
      <c r="B170">
        <v>1</v>
      </c>
      <c r="C170">
        <f>IFERROR(VLOOKUP(A:A,[1]Export!$E:$Y,21,0),0)</f>
        <v>0</v>
      </c>
      <c r="D170">
        <v>0</v>
      </c>
    </row>
    <row r="171" spans="1:4">
      <c r="A171">
        <v>17028175</v>
      </c>
      <c r="B171">
        <v>0</v>
      </c>
      <c r="C171">
        <f>IFERROR(VLOOKUP(A:A,[1]Export!$E:$Y,21,0),0)</f>
        <v>0</v>
      </c>
      <c r="D171">
        <v>0</v>
      </c>
    </row>
    <row r="172" spans="1:4">
      <c r="A172">
        <v>17033536</v>
      </c>
      <c r="B172">
        <v>0</v>
      </c>
      <c r="C172">
        <f>IFERROR(VLOOKUP(A:A,[1]Export!$E:$Y,21,0),0)</f>
        <v>240000</v>
      </c>
      <c r="D172">
        <v>0</v>
      </c>
    </row>
    <row r="173" spans="1:4">
      <c r="A173">
        <v>17034831</v>
      </c>
      <c r="B173">
        <v>0</v>
      </c>
      <c r="C173">
        <f>IFERROR(VLOOKUP(A:A,[1]Export!$E:$Y,21,0),0)</f>
        <v>0</v>
      </c>
      <c r="D173">
        <v>0</v>
      </c>
    </row>
    <row r="174" spans="1:4">
      <c r="A174">
        <v>17039723</v>
      </c>
      <c r="B174">
        <v>2</v>
      </c>
      <c r="C174">
        <f>IFERROR(VLOOKUP(A:A,[1]Export!$E:$Y,21,0),0)</f>
        <v>0</v>
      </c>
      <c r="D174">
        <v>0</v>
      </c>
    </row>
    <row r="175" spans="1:4">
      <c r="A175">
        <v>17043255</v>
      </c>
      <c r="B175">
        <v>0</v>
      </c>
      <c r="C175">
        <f>IFERROR(VLOOKUP(A:A,[1]Export!$E:$Y,21,0),0)</f>
        <v>0</v>
      </c>
      <c r="D175">
        <v>0</v>
      </c>
    </row>
    <row r="176" spans="1:4">
      <c r="A176">
        <v>17045261</v>
      </c>
      <c r="B176">
        <v>0</v>
      </c>
      <c r="C176">
        <f>IFERROR(VLOOKUP(A:A,[1]Export!$E:$Y,21,0),0)</f>
        <v>0</v>
      </c>
      <c r="D176">
        <v>0</v>
      </c>
    </row>
    <row r="177" spans="1:4">
      <c r="A177">
        <v>17046400</v>
      </c>
      <c r="B177">
        <v>0</v>
      </c>
      <c r="C177">
        <f>IFERROR(VLOOKUP(A:A,[1]Export!$E:$Y,21,0),0)</f>
        <v>0</v>
      </c>
      <c r="D177">
        <v>0</v>
      </c>
    </row>
    <row r="178" spans="1:4">
      <c r="A178">
        <v>17053268</v>
      </c>
      <c r="B178">
        <v>0</v>
      </c>
      <c r="C178">
        <f>IFERROR(VLOOKUP(A:A,[1]Export!$E:$Y,21,0),0)</f>
        <v>0</v>
      </c>
      <c r="D178">
        <v>0</v>
      </c>
    </row>
    <row r="179" spans="1:4">
      <c r="A179">
        <v>17054037</v>
      </c>
      <c r="B179">
        <v>0</v>
      </c>
      <c r="C179">
        <f>IFERROR(VLOOKUP(A:A,[1]Export!$E:$Y,21,0),0)</f>
        <v>0</v>
      </c>
      <c r="D179">
        <v>0</v>
      </c>
    </row>
    <row r="180" spans="1:4">
      <c r="A180">
        <v>17055599</v>
      </c>
      <c r="B180">
        <v>2</v>
      </c>
      <c r="C180">
        <f>IFERROR(VLOOKUP(A:A,[1]Export!$E:$Y,21,0),0)</f>
        <v>0</v>
      </c>
      <c r="D180">
        <v>2</v>
      </c>
    </row>
    <row r="181" spans="1:4">
      <c r="A181">
        <v>17061867</v>
      </c>
      <c r="B181">
        <v>0</v>
      </c>
      <c r="C181">
        <f>IFERROR(VLOOKUP(A:A,[1]Export!$E:$Y,21,0),0)</f>
        <v>3336000</v>
      </c>
      <c r="D181">
        <v>0</v>
      </c>
    </row>
    <row r="182" spans="1:4">
      <c r="A182">
        <v>17074819</v>
      </c>
      <c r="B182">
        <v>0</v>
      </c>
      <c r="C182">
        <f>IFERROR(VLOOKUP(A:A,[1]Export!$E:$Y,21,0),0)</f>
        <v>0</v>
      </c>
      <c r="D182">
        <v>0</v>
      </c>
    </row>
    <row r="183" spans="1:4">
      <c r="A183">
        <v>17120321</v>
      </c>
      <c r="B183">
        <v>0</v>
      </c>
      <c r="C183">
        <f>IFERROR(VLOOKUP(A:A,[1]Export!$E:$Y,21,0),0)</f>
        <v>3680000</v>
      </c>
      <c r="D183">
        <v>0</v>
      </c>
    </row>
    <row r="184" spans="1:4">
      <c r="A184">
        <v>17127648</v>
      </c>
      <c r="B184">
        <v>0</v>
      </c>
      <c r="C184">
        <f>IFERROR(VLOOKUP(A:A,[1]Export!$E:$Y,21,0),0)</f>
        <v>0</v>
      </c>
      <c r="D184">
        <v>10</v>
      </c>
    </row>
    <row r="185" spans="1:4">
      <c r="A185">
        <v>17127703</v>
      </c>
      <c r="B185">
        <v>3</v>
      </c>
      <c r="C185">
        <f>IFERROR(VLOOKUP(A:A,[1]Export!$E:$Y,21,0),0)</f>
        <v>0</v>
      </c>
      <c r="D185">
        <v>0</v>
      </c>
    </row>
    <row r="186" spans="1:4">
      <c r="A186">
        <v>17129568</v>
      </c>
      <c r="B186">
        <v>0</v>
      </c>
      <c r="C186">
        <f>IFERROR(VLOOKUP(A:A,[1]Export!$E:$Y,21,0),0)</f>
        <v>0</v>
      </c>
      <c r="D186">
        <v>3</v>
      </c>
    </row>
    <row r="187" spans="1:4">
      <c r="A187">
        <v>17129811</v>
      </c>
      <c r="B187">
        <v>0</v>
      </c>
      <c r="C187">
        <f>IFERROR(VLOOKUP(A:A,[1]Export!$E:$Y,21,0),0)</f>
        <v>0</v>
      </c>
      <c r="D187">
        <v>0</v>
      </c>
    </row>
    <row r="188" spans="1:4">
      <c r="A188">
        <v>17133724</v>
      </c>
      <c r="B188">
        <v>0</v>
      </c>
      <c r="C188">
        <f>IFERROR(VLOOKUP(A:A,[1]Export!$E:$Y,21,0),0)</f>
        <v>0</v>
      </c>
      <c r="D188">
        <v>0</v>
      </c>
    </row>
    <row r="189" spans="1:4">
      <c r="A189">
        <v>17155705</v>
      </c>
      <c r="B189">
        <v>0</v>
      </c>
      <c r="C189">
        <f>IFERROR(VLOOKUP(A:A,[1]Export!$E:$Y,21,0),0)</f>
        <v>0</v>
      </c>
      <c r="D189">
        <v>0</v>
      </c>
    </row>
    <row r="190" spans="1:4">
      <c r="A190">
        <v>17156235</v>
      </c>
      <c r="B190">
        <v>1</v>
      </c>
      <c r="C190">
        <f>IFERROR(VLOOKUP(A:A,[1]Export!$E:$Y,21,0),0)</f>
        <v>0</v>
      </c>
      <c r="D190">
        <v>0</v>
      </c>
    </row>
    <row r="191" spans="1:4">
      <c r="A191">
        <v>17159315</v>
      </c>
      <c r="B191">
        <v>3</v>
      </c>
      <c r="C191">
        <f>IFERROR(VLOOKUP(A:A,[1]Export!$E:$Y,21,0),0)</f>
        <v>0</v>
      </c>
      <c r="D191">
        <v>0</v>
      </c>
    </row>
    <row r="192" spans="1:4">
      <c r="A192">
        <v>17160957</v>
      </c>
      <c r="B192">
        <v>0</v>
      </c>
      <c r="C192">
        <f>IFERROR(VLOOKUP(A:A,[1]Export!$E:$Y,21,0),0)</f>
        <v>0</v>
      </c>
      <c r="D192">
        <v>0</v>
      </c>
    </row>
    <row r="193" spans="1:4">
      <c r="A193">
        <v>17172728</v>
      </c>
      <c r="B193">
        <v>0</v>
      </c>
      <c r="C193">
        <f>IFERROR(VLOOKUP(A:A,[1]Export!$E:$Y,21,0),0)</f>
        <v>0</v>
      </c>
      <c r="D193">
        <v>0</v>
      </c>
    </row>
    <row r="194" spans="1:4">
      <c r="A194">
        <v>17172996</v>
      </c>
      <c r="B194">
        <v>0</v>
      </c>
      <c r="C194">
        <f>IFERROR(VLOOKUP(A:A,[1]Export!$E:$Y,21,0),0)</f>
        <v>0</v>
      </c>
      <c r="D194">
        <v>0</v>
      </c>
    </row>
    <row r="195" spans="1:4">
      <c r="A195">
        <v>17173190</v>
      </c>
      <c r="B195">
        <v>0</v>
      </c>
      <c r="C195">
        <f>IFERROR(VLOOKUP(A:A,[1]Export!$E:$Y,21,0),0)</f>
        <v>0</v>
      </c>
      <c r="D195">
        <v>0</v>
      </c>
    </row>
    <row r="196" spans="1:4">
      <c r="A196">
        <v>17178207</v>
      </c>
      <c r="B196">
        <v>0</v>
      </c>
      <c r="C196">
        <f>IFERROR(VLOOKUP(A:A,[1]Export!$E:$Y,21,0),0)</f>
        <v>0</v>
      </c>
      <c r="D196">
        <v>0</v>
      </c>
    </row>
    <row r="197" spans="1:4">
      <c r="A197">
        <v>17192152</v>
      </c>
      <c r="B197">
        <v>0</v>
      </c>
      <c r="C197">
        <f>IFERROR(VLOOKUP(A:A,[1]Export!$E:$Y,21,0),0)</f>
        <v>0</v>
      </c>
      <c r="D197">
        <v>0</v>
      </c>
    </row>
    <row r="198" spans="1:4">
      <c r="A198">
        <v>17207460</v>
      </c>
      <c r="B198">
        <v>0</v>
      </c>
      <c r="C198">
        <f>IFERROR(VLOOKUP(A:A,[1]Export!$E:$Y,21,0),0)</f>
        <v>0</v>
      </c>
      <c r="D198">
        <v>0</v>
      </c>
    </row>
    <row r="199" spans="1:4">
      <c r="A199">
        <v>17209723</v>
      </c>
      <c r="B199">
        <v>0</v>
      </c>
      <c r="C199">
        <f>IFERROR(VLOOKUP(A:A,[1]Export!$E:$Y,21,0),0)</f>
        <v>0</v>
      </c>
      <c r="D199">
        <v>0</v>
      </c>
    </row>
    <row r="200" spans="1:4">
      <c r="A200">
        <v>17209980</v>
      </c>
      <c r="B200">
        <v>0</v>
      </c>
      <c r="C200">
        <f>IFERROR(VLOOKUP(A:A,[1]Export!$E:$Y,21,0),0)</f>
        <v>0</v>
      </c>
      <c r="D200">
        <v>0</v>
      </c>
    </row>
    <row r="201" spans="1:4">
      <c r="A201">
        <v>17210552</v>
      </c>
      <c r="B201">
        <v>0</v>
      </c>
      <c r="C201">
        <f>IFERROR(VLOOKUP(A:A,[1]Export!$E:$Y,21,0),0)</f>
        <v>0</v>
      </c>
      <c r="D201">
        <v>0</v>
      </c>
    </row>
    <row r="202" spans="1:4">
      <c r="A202">
        <v>17210640</v>
      </c>
      <c r="B202">
        <v>0</v>
      </c>
      <c r="C202">
        <f>IFERROR(VLOOKUP(A:A,[1]Export!$E:$Y,21,0),0)</f>
        <v>0</v>
      </c>
      <c r="D202">
        <v>0</v>
      </c>
    </row>
    <row r="203" spans="1:4">
      <c r="A203">
        <v>17210724</v>
      </c>
      <c r="B203">
        <v>0</v>
      </c>
      <c r="C203">
        <f>IFERROR(VLOOKUP(A:A,[1]Export!$E:$Y,21,0),0)</f>
        <v>300000</v>
      </c>
      <c r="D203">
        <v>0</v>
      </c>
    </row>
    <row r="204" spans="1:4">
      <c r="A204">
        <v>17211795</v>
      </c>
      <c r="B204">
        <v>1</v>
      </c>
      <c r="C204">
        <f>IFERROR(VLOOKUP(A:A,[1]Export!$E:$Y,21,0),0)</f>
        <v>0</v>
      </c>
      <c r="D204">
        <v>1</v>
      </c>
    </row>
    <row r="205" spans="1:4">
      <c r="A205">
        <v>17211864</v>
      </c>
      <c r="B205">
        <v>0</v>
      </c>
      <c r="C205">
        <f>IFERROR(VLOOKUP(A:A,[1]Export!$E:$Y,21,0),0)</f>
        <v>211200</v>
      </c>
      <c r="D205">
        <v>0</v>
      </c>
    </row>
    <row r="206" spans="1:4">
      <c r="A206">
        <v>17212785</v>
      </c>
      <c r="B206">
        <v>0</v>
      </c>
      <c r="C206">
        <f>IFERROR(VLOOKUP(A:A,[1]Export!$E:$Y,21,0),0)</f>
        <v>0</v>
      </c>
      <c r="D206">
        <v>0</v>
      </c>
    </row>
    <row r="207" spans="1:4">
      <c r="A207">
        <v>17213138</v>
      </c>
      <c r="B207">
        <v>1</v>
      </c>
      <c r="C207">
        <f>IFERROR(VLOOKUP(A:A,[1]Export!$E:$Y,21,0),0)</f>
        <v>0</v>
      </c>
      <c r="D207">
        <v>12</v>
      </c>
    </row>
    <row r="208" spans="1:4">
      <c r="A208">
        <v>17214573</v>
      </c>
      <c r="B208">
        <v>0</v>
      </c>
      <c r="C208">
        <f>IFERROR(VLOOKUP(A:A,[1]Export!$E:$Y,21,0),0)</f>
        <v>0</v>
      </c>
      <c r="D208">
        <v>0</v>
      </c>
    </row>
    <row r="209" spans="1:4">
      <c r="A209">
        <v>17217194</v>
      </c>
      <c r="B209">
        <v>0</v>
      </c>
      <c r="C209">
        <f>IFERROR(VLOOKUP(A:A,[1]Export!$E:$Y,21,0),0)</f>
        <v>0</v>
      </c>
      <c r="D209">
        <v>0</v>
      </c>
    </row>
    <row r="210" spans="1:4">
      <c r="A210">
        <v>17218599</v>
      </c>
      <c r="B210">
        <v>4</v>
      </c>
      <c r="C210">
        <f>IFERROR(VLOOKUP(A:A,[1]Export!$E:$Y,21,0),0)</f>
        <v>0</v>
      </c>
      <c r="D210">
        <v>1</v>
      </c>
    </row>
    <row r="211" spans="1:4">
      <c r="A211">
        <v>17219625</v>
      </c>
      <c r="B211">
        <v>1</v>
      </c>
      <c r="C211">
        <f>IFERROR(VLOOKUP(A:A,[1]Export!$E:$Y,21,0),0)</f>
        <v>0</v>
      </c>
      <c r="D211">
        <v>1</v>
      </c>
    </row>
    <row r="212" spans="1:4">
      <c r="A212">
        <v>17221170</v>
      </c>
      <c r="B212">
        <v>0</v>
      </c>
      <c r="C212">
        <f>IFERROR(VLOOKUP(A:A,[1]Export!$E:$Y,21,0),0)</f>
        <v>904000</v>
      </c>
      <c r="D212">
        <v>0</v>
      </c>
    </row>
    <row r="213" spans="1:4">
      <c r="A213">
        <v>17221860</v>
      </c>
      <c r="B213">
        <v>0</v>
      </c>
      <c r="C213">
        <f>IFERROR(VLOOKUP(A:A,[1]Export!$E:$Y,21,0),0)</f>
        <v>0</v>
      </c>
      <c r="D213">
        <v>0</v>
      </c>
    </row>
    <row r="214" spans="1:4">
      <c r="A214">
        <v>17222435</v>
      </c>
      <c r="B214">
        <v>2</v>
      </c>
      <c r="C214">
        <f>IFERROR(VLOOKUP(A:A,[1]Export!$E:$Y,21,0),0)</f>
        <v>840000</v>
      </c>
      <c r="D214">
        <v>0</v>
      </c>
    </row>
    <row r="215" spans="1:4">
      <c r="A215">
        <v>17223145</v>
      </c>
      <c r="B215">
        <v>0</v>
      </c>
      <c r="C215">
        <f>IFERROR(VLOOKUP(A:A,[1]Export!$E:$Y,21,0),0)</f>
        <v>505000</v>
      </c>
      <c r="D215">
        <v>0</v>
      </c>
    </row>
    <row r="216" spans="1:4">
      <c r="A216">
        <v>17223680</v>
      </c>
      <c r="B216">
        <v>0</v>
      </c>
      <c r="C216">
        <f>IFERROR(VLOOKUP(A:A,[1]Export!$E:$Y,21,0),0)</f>
        <v>0</v>
      </c>
      <c r="D216">
        <v>0</v>
      </c>
    </row>
    <row r="217" spans="1:4">
      <c r="A217">
        <v>17224859</v>
      </c>
      <c r="B217">
        <v>0</v>
      </c>
      <c r="C217">
        <f>IFERROR(VLOOKUP(A:A,[1]Export!$E:$Y,21,0),0)</f>
        <v>0</v>
      </c>
      <c r="D217">
        <v>0</v>
      </c>
    </row>
    <row r="218" spans="1:4">
      <c r="A218">
        <v>17227194</v>
      </c>
      <c r="B218">
        <v>0</v>
      </c>
      <c r="C218">
        <f>IFERROR(VLOOKUP(A:A,[1]Export!$E:$Y,21,0),0)</f>
        <v>785000</v>
      </c>
      <c r="D218">
        <v>0</v>
      </c>
    </row>
    <row r="219" spans="1:4">
      <c r="A219">
        <v>17227713</v>
      </c>
      <c r="B219">
        <v>0</v>
      </c>
      <c r="C219">
        <f>IFERROR(VLOOKUP(A:A,[1]Export!$E:$Y,21,0),0)</f>
        <v>420000</v>
      </c>
      <c r="D219">
        <v>0</v>
      </c>
    </row>
    <row r="220" spans="1:4">
      <c r="A220">
        <v>17227761</v>
      </c>
      <c r="B220">
        <v>0</v>
      </c>
      <c r="C220">
        <f>IFERROR(VLOOKUP(A:A,[1]Export!$E:$Y,21,0),0)</f>
        <v>0</v>
      </c>
      <c r="D220">
        <v>5</v>
      </c>
    </row>
    <row r="221" spans="1:4">
      <c r="A221">
        <v>17228035</v>
      </c>
      <c r="B221">
        <v>0</v>
      </c>
      <c r="C221">
        <f>IFERROR(VLOOKUP(A:A,[1]Export!$E:$Y,21,0),0)</f>
        <v>0</v>
      </c>
      <c r="D221">
        <v>0</v>
      </c>
    </row>
    <row r="222" spans="1:4">
      <c r="A222">
        <v>17228621</v>
      </c>
      <c r="B222">
        <v>0</v>
      </c>
      <c r="C222">
        <f>IFERROR(VLOOKUP(A:A,[1]Export!$E:$Y,21,0),0)</f>
        <v>0</v>
      </c>
      <c r="D222">
        <v>0</v>
      </c>
    </row>
    <row r="223" spans="1:4">
      <c r="A223">
        <v>17228835</v>
      </c>
      <c r="B223">
        <v>0</v>
      </c>
      <c r="C223">
        <f>IFERROR(VLOOKUP(A:A,[1]Export!$E:$Y,21,0),0)</f>
        <v>418000</v>
      </c>
      <c r="D223">
        <v>0</v>
      </c>
    </row>
    <row r="224" spans="1:4">
      <c r="A224">
        <v>17232076</v>
      </c>
      <c r="B224">
        <v>0</v>
      </c>
      <c r="C224">
        <f>IFERROR(VLOOKUP(A:A,[1]Export!$E:$Y,21,0),0)</f>
        <v>3147600</v>
      </c>
      <c r="D224">
        <v>0</v>
      </c>
    </row>
    <row r="225" spans="1:4">
      <c r="A225">
        <v>17232124</v>
      </c>
      <c r="B225">
        <v>1</v>
      </c>
      <c r="C225">
        <f>IFERROR(VLOOKUP(A:A,[1]Export!$E:$Y,21,0),0)</f>
        <v>0</v>
      </c>
      <c r="D225">
        <v>0</v>
      </c>
    </row>
    <row r="226" spans="1:4">
      <c r="A226">
        <v>17232381</v>
      </c>
      <c r="B226">
        <v>20</v>
      </c>
      <c r="C226">
        <f>IFERROR(VLOOKUP(A:A,[1]Export!$E:$Y,21,0),0)</f>
        <v>360000</v>
      </c>
      <c r="D226">
        <v>0</v>
      </c>
    </row>
    <row r="227" spans="1:4">
      <c r="A227">
        <v>17232683</v>
      </c>
      <c r="B227">
        <v>0</v>
      </c>
      <c r="C227">
        <f>IFERROR(VLOOKUP(A:A,[1]Export!$E:$Y,21,0),0)</f>
        <v>0</v>
      </c>
      <c r="D227">
        <v>0</v>
      </c>
    </row>
    <row r="228" spans="1:4">
      <c r="A228">
        <v>17232911</v>
      </c>
      <c r="B228">
        <v>0</v>
      </c>
      <c r="C228">
        <f>IFERROR(VLOOKUP(A:A,[1]Export!$E:$Y,21,0),0)</f>
        <v>0</v>
      </c>
      <c r="D228">
        <v>0</v>
      </c>
    </row>
    <row r="229" spans="1:4">
      <c r="A229">
        <v>17232965</v>
      </c>
      <c r="B229">
        <v>0</v>
      </c>
      <c r="C229">
        <f>IFERROR(VLOOKUP(A:A,[1]Export!$E:$Y,21,0),0)</f>
        <v>100000</v>
      </c>
      <c r="D229">
        <v>0</v>
      </c>
    </row>
    <row r="230" spans="1:4">
      <c r="A230">
        <v>17232998</v>
      </c>
      <c r="B230">
        <v>0</v>
      </c>
      <c r="C230">
        <f>IFERROR(VLOOKUP(A:A,[1]Export!$E:$Y,21,0),0)</f>
        <v>792000</v>
      </c>
      <c r="D230">
        <v>0</v>
      </c>
    </row>
    <row r="231" spans="1:4">
      <c r="A231">
        <v>17233937</v>
      </c>
      <c r="B231">
        <v>2</v>
      </c>
      <c r="C231">
        <f>IFERROR(VLOOKUP(A:A,[1]Export!$E:$Y,21,0),0)</f>
        <v>0</v>
      </c>
      <c r="D231">
        <v>2</v>
      </c>
    </row>
    <row r="232" spans="1:4">
      <c r="A232">
        <v>17234944</v>
      </c>
      <c r="B232">
        <v>0</v>
      </c>
      <c r="C232">
        <f>IFERROR(VLOOKUP(A:A,[1]Export!$E:$Y,21,0),0)</f>
        <v>0</v>
      </c>
      <c r="D232">
        <v>0</v>
      </c>
    </row>
    <row r="233" spans="1:4">
      <c r="A233">
        <v>17236428</v>
      </c>
      <c r="B233">
        <v>0</v>
      </c>
      <c r="C233">
        <f>IFERROR(VLOOKUP(A:A,[1]Export!$E:$Y,21,0),0)</f>
        <v>0</v>
      </c>
      <c r="D233">
        <v>0</v>
      </c>
    </row>
    <row r="234" spans="1:4">
      <c r="A234">
        <v>17236492</v>
      </c>
      <c r="B234">
        <v>0</v>
      </c>
      <c r="C234">
        <f>IFERROR(VLOOKUP(A:A,[1]Export!$E:$Y,21,0),0)</f>
        <v>0</v>
      </c>
      <c r="D234">
        <v>0</v>
      </c>
    </row>
    <row r="235" spans="1:4">
      <c r="A235">
        <v>17236778</v>
      </c>
      <c r="B235">
        <v>0</v>
      </c>
      <c r="C235">
        <f>IFERROR(VLOOKUP(A:A,[1]Export!$E:$Y,21,0),0)</f>
        <v>1000000</v>
      </c>
      <c r="D235">
        <v>0</v>
      </c>
    </row>
    <row r="236" spans="1:4">
      <c r="A236">
        <v>17236843</v>
      </c>
      <c r="B236">
        <v>0</v>
      </c>
      <c r="C236">
        <f>IFERROR(VLOOKUP(A:A,[1]Export!$E:$Y,21,0),0)</f>
        <v>0</v>
      </c>
      <c r="D236">
        <v>0</v>
      </c>
    </row>
    <row r="237" spans="1:4">
      <c r="A237">
        <v>17239050</v>
      </c>
      <c r="B237">
        <v>0</v>
      </c>
      <c r="C237">
        <f>IFERROR(VLOOKUP(A:A,[1]Export!$E:$Y,21,0),0)</f>
        <v>0</v>
      </c>
      <c r="D237">
        <v>0</v>
      </c>
    </row>
    <row r="238" spans="1:4">
      <c r="A238">
        <v>17239270</v>
      </c>
      <c r="B238">
        <v>0</v>
      </c>
      <c r="C238">
        <f>IFERROR(VLOOKUP(A:A,[1]Export!$E:$Y,21,0),0)</f>
        <v>0</v>
      </c>
      <c r="D238">
        <v>0</v>
      </c>
    </row>
    <row r="239" spans="1:4">
      <c r="A239">
        <v>17239588</v>
      </c>
      <c r="B239">
        <v>0</v>
      </c>
      <c r="C239">
        <f>IFERROR(VLOOKUP(A:A,[1]Export!$E:$Y,21,0),0)</f>
        <v>132000</v>
      </c>
      <c r="D239">
        <v>0</v>
      </c>
    </row>
    <row r="240" spans="1:4">
      <c r="A240">
        <v>17240345</v>
      </c>
      <c r="B240">
        <v>2</v>
      </c>
      <c r="C240">
        <f>IFERROR(VLOOKUP(A:A,[1]Export!$E:$Y,21,0),0)</f>
        <v>0</v>
      </c>
      <c r="D240">
        <v>3</v>
      </c>
    </row>
    <row r="241" spans="1:4">
      <c r="A241">
        <v>17241419</v>
      </c>
      <c r="B241">
        <v>0</v>
      </c>
      <c r="C241">
        <f>IFERROR(VLOOKUP(A:A,[1]Export!$E:$Y,21,0),0)</f>
        <v>0</v>
      </c>
      <c r="D241">
        <v>0</v>
      </c>
    </row>
    <row r="242" spans="1:4">
      <c r="A242">
        <v>17242177</v>
      </c>
      <c r="B242">
        <v>0</v>
      </c>
      <c r="C242">
        <f>IFERROR(VLOOKUP(A:A,[1]Export!$E:$Y,21,0),0)</f>
        <v>0</v>
      </c>
      <c r="D242">
        <v>0</v>
      </c>
    </row>
    <row r="243" spans="1:4">
      <c r="A243">
        <v>17242326</v>
      </c>
      <c r="B243">
        <v>3</v>
      </c>
      <c r="C243">
        <f>IFERROR(VLOOKUP(A:A,[1]Export!$E:$Y,21,0),0)</f>
        <v>0</v>
      </c>
      <c r="D243">
        <v>0</v>
      </c>
    </row>
    <row r="244" spans="1:4">
      <c r="A244">
        <v>17242821</v>
      </c>
      <c r="B244">
        <v>0</v>
      </c>
      <c r="C244">
        <f>IFERROR(VLOOKUP(A:A,[1]Export!$E:$Y,21,0),0)</f>
        <v>52800</v>
      </c>
      <c r="D244">
        <v>0</v>
      </c>
    </row>
    <row r="245" spans="1:4">
      <c r="A245">
        <v>17243419</v>
      </c>
      <c r="B245">
        <v>0</v>
      </c>
      <c r="C245">
        <f>IFERROR(VLOOKUP(A:A,[1]Export!$E:$Y,21,0),0)</f>
        <v>0</v>
      </c>
      <c r="D245">
        <v>0</v>
      </c>
    </row>
    <row r="246" spans="1:4">
      <c r="A246">
        <v>17244951</v>
      </c>
      <c r="B246">
        <v>1</v>
      </c>
      <c r="C246">
        <f>IFERROR(VLOOKUP(A:A,[1]Export!$E:$Y,21,0),0)</f>
        <v>0</v>
      </c>
      <c r="D246">
        <v>0</v>
      </c>
    </row>
    <row r="247" spans="1:4">
      <c r="A247">
        <v>17245041</v>
      </c>
      <c r="B247">
        <v>2</v>
      </c>
      <c r="C247">
        <f>IFERROR(VLOOKUP(A:A,[1]Export!$E:$Y,21,0),0)</f>
        <v>0</v>
      </c>
      <c r="D247">
        <v>0</v>
      </c>
    </row>
    <row r="248" spans="1:4">
      <c r="A248">
        <v>17245065</v>
      </c>
      <c r="B248">
        <v>0</v>
      </c>
      <c r="C248">
        <f>IFERROR(VLOOKUP(A:A,[1]Export!$E:$Y,21,0),0)</f>
        <v>0</v>
      </c>
      <c r="D248">
        <v>0</v>
      </c>
    </row>
    <row r="249" spans="1:4">
      <c r="A249">
        <v>17245341</v>
      </c>
      <c r="B249">
        <v>0</v>
      </c>
      <c r="C249">
        <f>IFERROR(VLOOKUP(A:A,[1]Export!$E:$Y,21,0),0)</f>
        <v>0</v>
      </c>
      <c r="D249">
        <v>0</v>
      </c>
    </row>
    <row r="250" spans="1:4">
      <c r="A250">
        <v>17245632</v>
      </c>
      <c r="B250">
        <v>0</v>
      </c>
      <c r="C250">
        <f>IFERROR(VLOOKUP(A:A,[1]Export!$E:$Y,21,0),0)</f>
        <v>0</v>
      </c>
      <c r="D250">
        <v>0</v>
      </c>
    </row>
    <row r="251" spans="1:4">
      <c r="A251">
        <v>17246958</v>
      </c>
      <c r="B251">
        <v>0</v>
      </c>
      <c r="C251">
        <f>IFERROR(VLOOKUP(A:A,[1]Export!$E:$Y,21,0),0)</f>
        <v>0</v>
      </c>
      <c r="D251">
        <v>0</v>
      </c>
    </row>
    <row r="252" spans="1:4">
      <c r="A252">
        <v>17247351</v>
      </c>
      <c r="B252">
        <v>2</v>
      </c>
      <c r="C252">
        <f>IFERROR(VLOOKUP(A:A,[1]Export!$E:$Y,21,0),0)</f>
        <v>0</v>
      </c>
      <c r="D252">
        <v>2</v>
      </c>
    </row>
    <row r="253" spans="1:4">
      <c r="A253">
        <v>17252494</v>
      </c>
      <c r="B253">
        <v>0</v>
      </c>
      <c r="C253">
        <f>IFERROR(VLOOKUP(A:A,[1]Export!$E:$Y,21,0),0)</f>
        <v>0</v>
      </c>
      <c r="D253">
        <v>0</v>
      </c>
    </row>
    <row r="254" spans="1:4">
      <c r="A254">
        <v>17252662</v>
      </c>
      <c r="B254">
        <v>0</v>
      </c>
      <c r="C254">
        <f>IFERROR(VLOOKUP(A:A,[1]Export!$E:$Y,21,0),0)</f>
        <v>0</v>
      </c>
      <c r="D254">
        <v>0</v>
      </c>
    </row>
    <row r="255" spans="1:4">
      <c r="A255">
        <v>17252848</v>
      </c>
      <c r="B255">
        <v>0</v>
      </c>
      <c r="C255">
        <f>IFERROR(VLOOKUP(A:A,[1]Export!$E:$Y,21,0),0)</f>
        <v>0</v>
      </c>
      <c r="D255">
        <v>0</v>
      </c>
    </row>
    <row r="256" spans="1:4">
      <c r="A256">
        <v>17252879</v>
      </c>
      <c r="B256">
        <v>0</v>
      </c>
      <c r="C256">
        <f>IFERROR(VLOOKUP(A:A,[1]Export!$E:$Y,21,0),0)</f>
        <v>0</v>
      </c>
      <c r="D256">
        <v>0</v>
      </c>
    </row>
    <row r="257" spans="1:4">
      <c r="A257">
        <v>17252986</v>
      </c>
      <c r="B257">
        <v>0</v>
      </c>
      <c r="C257">
        <f>IFERROR(VLOOKUP(A:A,[1]Export!$E:$Y,21,0),0)</f>
        <v>0</v>
      </c>
      <c r="D257">
        <v>0</v>
      </c>
    </row>
    <row r="258" spans="1:4">
      <c r="A258">
        <v>17254935</v>
      </c>
      <c r="B258">
        <v>0</v>
      </c>
      <c r="C258">
        <f>IFERROR(VLOOKUP(A:A,[1]Export!$E:$Y,21,0),0)</f>
        <v>0</v>
      </c>
      <c r="D258">
        <v>0</v>
      </c>
    </row>
    <row r="259" spans="1:4">
      <c r="A259">
        <v>17255244</v>
      </c>
      <c r="B259">
        <v>0</v>
      </c>
      <c r="C259">
        <f>IFERROR(VLOOKUP(A:A,[1]Export!$E:$Y,21,0),0)</f>
        <v>0</v>
      </c>
      <c r="D259">
        <v>0</v>
      </c>
    </row>
    <row r="260" spans="1:4">
      <c r="A260">
        <v>17255305</v>
      </c>
      <c r="B260">
        <v>0</v>
      </c>
      <c r="C260">
        <f>IFERROR(VLOOKUP(A:A,[1]Export!$E:$Y,21,0),0)</f>
        <v>1000000</v>
      </c>
      <c r="D260">
        <v>0</v>
      </c>
    </row>
    <row r="261" spans="1:4">
      <c r="A261">
        <v>17256231</v>
      </c>
      <c r="B261">
        <v>3</v>
      </c>
      <c r="C261">
        <f>IFERROR(VLOOKUP(A:A,[1]Export!$E:$Y,21,0),0)</f>
        <v>0</v>
      </c>
      <c r="D261">
        <v>0</v>
      </c>
    </row>
    <row r="262" spans="1:4">
      <c r="A262">
        <v>17256272</v>
      </c>
      <c r="B262">
        <v>0</v>
      </c>
      <c r="C262">
        <f>IFERROR(VLOOKUP(A:A,[1]Export!$E:$Y,21,0),0)</f>
        <v>0</v>
      </c>
      <c r="D262">
        <v>0</v>
      </c>
    </row>
    <row r="263" spans="1:4">
      <c r="A263">
        <v>17258360</v>
      </c>
      <c r="B263">
        <v>0</v>
      </c>
      <c r="C263">
        <f>IFERROR(VLOOKUP(A:A,[1]Export!$E:$Y,21,0),0)</f>
        <v>0</v>
      </c>
      <c r="D263">
        <v>0</v>
      </c>
    </row>
    <row r="264" spans="1:4">
      <c r="A264">
        <v>17259190</v>
      </c>
      <c r="B264">
        <v>1</v>
      </c>
      <c r="C264">
        <f>IFERROR(VLOOKUP(A:A,[1]Export!$E:$Y,21,0),0)</f>
        <v>0</v>
      </c>
      <c r="D264">
        <v>0</v>
      </c>
    </row>
    <row r="265" spans="1:4">
      <c r="A265">
        <v>17259641</v>
      </c>
      <c r="B265">
        <v>0</v>
      </c>
      <c r="C265">
        <f>IFERROR(VLOOKUP(A:A,[1]Export!$E:$Y,21,0),0)</f>
        <v>2335000</v>
      </c>
      <c r="D265">
        <v>0</v>
      </c>
    </row>
    <row r="266" spans="1:4">
      <c r="A266">
        <v>17259848</v>
      </c>
      <c r="B266">
        <v>0</v>
      </c>
      <c r="C266">
        <f>IFERROR(VLOOKUP(A:A,[1]Export!$E:$Y,21,0),0)</f>
        <v>0</v>
      </c>
      <c r="D266">
        <v>3</v>
      </c>
    </row>
    <row r="267" spans="1:4">
      <c r="A267">
        <v>17266705</v>
      </c>
      <c r="B267">
        <v>0</v>
      </c>
      <c r="C267">
        <f>IFERROR(VLOOKUP(A:A,[1]Export!$E:$Y,21,0),0)</f>
        <v>0</v>
      </c>
      <c r="D267">
        <v>10</v>
      </c>
    </row>
    <row r="268" spans="1:4">
      <c r="A268">
        <v>17267756</v>
      </c>
      <c r="B268">
        <v>0</v>
      </c>
      <c r="C268">
        <f>IFERROR(VLOOKUP(A:A,[1]Export!$E:$Y,21,0),0)</f>
        <v>0</v>
      </c>
      <c r="D268">
        <v>0</v>
      </c>
    </row>
    <row r="269" spans="1:4">
      <c r="A269">
        <v>17268616</v>
      </c>
      <c r="B269">
        <v>2</v>
      </c>
      <c r="C269">
        <f>IFERROR(VLOOKUP(A:A,[1]Export!$E:$Y,21,0),0)</f>
        <v>0</v>
      </c>
      <c r="D269">
        <v>0</v>
      </c>
    </row>
    <row r="270" spans="1:4">
      <c r="A270">
        <v>17269327</v>
      </c>
      <c r="B270">
        <v>1</v>
      </c>
      <c r="C270">
        <f>IFERROR(VLOOKUP(A:A,[1]Export!$E:$Y,21,0),0)</f>
        <v>400000</v>
      </c>
      <c r="D270">
        <v>1</v>
      </c>
    </row>
    <row r="271" spans="1:4">
      <c r="A271">
        <v>17271794</v>
      </c>
      <c r="B271">
        <v>0</v>
      </c>
      <c r="C271">
        <f>IFERROR(VLOOKUP(A:A,[1]Export!$E:$Y,21,0),0)</f>
        <v>0</v>
      </c>
      <c r="D271">
        <v>0</v>
      </c>
    </row>
    <row r="272" spans="1:4">
      <c r="A272">
        <v>17272041</v>
      </c>
      <c r="B272">
        <v>1</v>
      </c>
      <c r="C272">
        <f>IFERROR(VLOOKUP(A:A,[1]Export!$E:$Y,21,0),0)</f>
        <v>0</v>
      </c>
      <c r="D272">
        <v>0</v>
      </c>
    </row>
    <row r="273" spans="1:4">
      <c r="A273">
        <v>17272708</v>
      </c>
      <c r="B273">
        <v>0</v>
      </c>
      <c r="C273">
        <f>IFERROR(VLOOKUP(A:A,[1]Export!$E:$Y,21,0),0)</f>
        <v>0</v>
      </c>
      <c r="D273">
        <v>0</v>
      </c>
    </row>
    <row r="274" spans="1:4">
      <c r="A274">
        <v>17273894</v>
      </c>
      <c r="B274">
        <v>0</v>
      </c>
      <c r="C274">
        <f>IFERROR(VLOOKUP(A:A,[1]Export!$E:$Y,21,0),0)</f>
        <v>0</v>
      </c>
      <c r="D274">
        <v>0</v>
      </c>
    </row>
    <row r="275" spans="1:4">
      <c r="A275">
        <v>17277391</v>
      </c>
      <c r="B275">
        <v>1</v>
      </c>
      <c r="C275">
        <f>IFERROR(VLOOKUP(A:A,[1]Export!$E:$Y,21,0),0)</f>
        <v>0</v>
      </c>
      <c r="D275">
        <v>0</v>
      </c>
    </row>
    <row r="276" spans="1:4">
      <c r="A276">
        <v>17280690</v>
      </c>
      <c r="B276">
        <v>0</v>
      </c>
      <c r="C276">
        <f>IFERROR(VLOOKUP(A:A,[1]Export!$E:$Y,21,0),0)</f>
        <v>0</v>
      </c>
      <c r="D276">
        <v>0</v>
      </c>
    </row>
    <row r="277" spans="1:4">
      <c r="A277">
        <v>17281174</v>
      </c>
      <c r="B277">
        <v>0</v>
      </c>
      <c r="C277">
        <f>IFERROR(VLOOKUP(A:A,[1]Export!$E:$Y,21,0),0)</f>
        <v>0</v>
      </c>
      <c r="D277">
        <v>0</v>
      </c>
    </row>
    <row r="278" spans="1:4">
      <c r="A278">
        <v>17281655</v>
      </c>
      <c r="B278">
        <v>0</v>
      </c>
      <c r="C278">
        <f>IFERROR(VLOOKUP(A:A,[1]Export!$E:$Y,21,0),0)</f>
        <v>0</v>
      </c>
      <c r="D278">
        <v>0</v>
      </c>
    </row>
    <row r="279" spans="1:4">
      <c r="A279">
        <v>17281696</v>
      </c>
      <c r="B279">
        <v>2</v>
      </c>
      <c r="C279">
        <f>IFERROR(VLOOKUP(A:A,[1]Export!$E:$Y,21,0),0)</f>
        <v>0</v>
      </c>
      <c r="D279">
        <v>0</v>
      </c>
    </row>
    <row r="280" spans="1:4">
      <c r="A280">
        <v>17282971</v>
      </c>
      <c r="B280">
        <v>0</v>
      </c>
      <c r="C280">
        <f>IFERROR(VLOOKUP(A:A,[1]Export!$E:$Y,21,0),0)</f>
        <v>0</v>
      </c>
      <c r="D280">
        <v>0</v>
      </c>
    </row>
    <row r="281" spans="1:4">
      <c r="A281">
        <v>17286652</v>
      </c>
      <c r="B281">
        <v>0</v>
      </c>
      <c r="C281">
        <f>IFERROR(VLOOKUP(A:A,[1]Export!$E:$Y,21,0),0)</f>
        <v>0</v>
      </c>
      <c r="D281">
        <v>0</v>
      </c>
    </row>
    <row r="282" spans="1:4">
      <c r="A282">
        <v>17290638</v>
      </c>
      <c r="B282">
        <v>0</v>
      </c>
      <c r="C282">
        <f>IFERROR(VLOOKUP(A:A,[1]Export!$E:$Y,21,0),0)</f>
        <v>0</v>
      </c>
      <c r="D282">
        <v>0</v>
      </c>
    </row>
    <row r="283" spans="1:4">
      <c r="A283">
        <v>17292438</v>
      </c>
      <c r="B283">
        <v>7</v>
      </c>
      <c r="C283">
        <f>IFERROR(VLOOKUP(A:A,[1]Export!$E:$Y,21,0),0)</f>
        <v>0</v>
      </c>
      <c r="D283">
        <v>0</v>
      </c>
    </row>
    <row r="284" spans="1:4">
      <c r="A284">
        <v>17292696</v>
      </c>
      <c r="B284">
        <v>0</v>
      </c>
      <c r="C284">
        <f>IFERROR(VLOOKUP(A:A,[1]Export!$E:$Y,21,0),0)</f>
        <v>0</v>
      </c>
      <c r="D284">
        <v>0</v>
      </c>
    </row>
    <row r="285" spans="1:4">
      <c r="A285">
        <v>17293440</v>
      </c>
      <c r="B285">
        <v>0</v>
      </c>
      <c r="C285">
        <f>IFERROR(VLOOKUP(A:A,[1]Export!$E:$Y,21,0),0)</f>
        <v>0</v>
      </c>
      <c r="D285">
        <v>0</v>
      </c>
    </row>
    <row r="286" spans="1:4">
      <c r="A286">
        <v>17308382</v>
      </c>
      <c r="B286">
        <v>0</v>
      </c>
      <c r="C286">
        <f>IFERROR(VLOOKUP(A:A,[1]Export!$E:$Y,21,0),0)</f>
        <v>666000</v>
      </c>
      <c r="D286">
        <v>0</v>
      </c>
    </row>
    <row r="287" spans="1:4">
      <c r="A287">
        <v>17315178</v>
      </c>
      <c r="B287">
        <v>1</v>
      </c>
      <c r="C287">
        <f>IFERROR(VLOOKUP(A:A,[1]Export!$E:$Y,21,0),0)</f>
        <v>0</v>
      </c>
      <c r="D287">
        <v>0</v>
      </c>
    </row>
    <row r="288" spans="1:4">
      <c r="A288">
        <v>17315689</v>
      </c>
      <c r="B288">
        <v>5</v>
      </c>
      <c r="C288">
        <f>IFERROR(VLOOKUP(A:A,[1]Export!$E:$Y,21,0),0)</f>
        <v>0</v>
      </c>
      <c r="D288">
        <v>0</v>
      </c>
    </row>
    <row r="289" spans="1:4">
      <c r="A289">
        <v>17341090</v>
      </c>
      <c r="B289">
        <v>0</v>
      </c>
      <c r="C289">
        <f>IFERROR(VLOOKUP(A:A,[1]Export!$E:$Y,21,0),0)</f>
        <v>0</v>
      </c>
      <c r="D289">
        <v>0</v>
      </c>
    </row>
    <row r="290" spans="1:4">
      <c r="A290">
        <v>17341564</v>
      </c>
      <c r="B290">
        <v>0</v>
      </c>
      <c r="C290">
        <f>IFERROR(VLOOKUP(A:A,[1]Export!$E:$Y,21,0),0)</f>
        <v>0</v>
      </c>
      <c r="D290">
        <v>0</v>
      </c>
    </row>
    <row r="291" spans="1:4">
      <c r="A291">
        <v>17342969</v>
      </c>
      <c r="B291">
        <v>0</v>
      </c>
      <c r="C291">
        <f>IFERROR(VLOOKUP(A:A,[1]Export!$E:$Y,21,0),0)</f>
        <v>105600</v>
      </c>
      <c r="D291">
        <v>0</v>
      </c>
    </row>
    <row r="292" spans="1:4">
      <c r="A292">
        <v>17343113</v>
      </c>
      <c r="B292">
        <v>0</v>
      </c>
      <c r="C292">
        <f>IFERROR(VLOOKUP(A:A,[1]Export!$E:$Y,21,0),0)</f>
        <v>0</v>
      </c>
      <c r="D292">
        <v>0</v>
      </c>
    </row>
    <row r="293" spans="1:4">
      <c r="A293">
        <v>17347639</v>
      </c>
      <c r="B293">
        <v>0</v>
      </c>
      <c r="C293">
        <f>IFERROR(VLOOKUP(A:A,[1]Export!$E:$Y,21,0),0)</f>
        <v>540000</v>
      </c>
      <c r="D293">
        <v>0</v>
      </c>
    </row>
    <row r="294" spans="1:4">
      <c r="A294">
        <v>17349140</v>
      </c>
      <c r="B294">
        <v>0</v>
      </c>
      <c r="C294">
        <f>IFERROR(VLOOKUP(A:A,[1]Export!$E:$Y,21,0),0)</f>
        <v>0</v>
      </c>
      <c r="D294">
        <v>0</v>
      </c>
    </row>
    <row r="295" spans="1:4">
      <c r="A295">
        <v>17349374</v>
      </c>
      <c r="B295">
        <v>0</v>
      </c>
      <c r="C295">
        <f>IFERROR(VLOOKUP(A:A,[1]Export!$E:$Y,21,0),0)</f>
        <v>0</v>
      </c>
      <c r="D295">
        <v>0</v>
      </c>
    </row>
    <row r="296" spans="1:4">
      <c r="A296">
        <v>17355626</v>
      </c>
      <c r="B296">
        <v>0</v>
      </c>
      <c r="C296">
        <f>IFERROR(VLOOKUP(A:A,[1]Export!$E:$Y,21,0),0)</f>
        <v>0</v>
      </c>
      <c r="D296">
        <v>0</v>
      </c>
    </row>
    <row r="297" spans="1:4">
      <c r="A297">
        <v>17357733</v>
      </c>
      <c r="B297">
        <v>0</v>
      </c>
      <c r="C297">
        <f>IFERROR(VLOOKUP(A:A,[1]Export!$E:$Y,21,0),0)</f>
        <v>0</v>
      </c>
      <c r="D297">
        <v>0</v>
      </c>
    </row>
    <row r="298" spans="1:4">
      <c r="A298">
        <v>17358845</v>
      </c>
      <c r="B298">
        <v>0</v>
      </c>
      <c r="C298">
        <f>IFERROR(VLOOKUP(A:A,[1]Export!$E:$Y,21,0),0)</f>
        <v>0</v>
      </c>
      <c r="D298">
        <v>0</v>
      </c>
    </row>
    <row r="299" spans="1:4">
      <c r="A299">
        <v>17362939</v>
      </c>
      <c r="B299">
        <v>0</v>
      </c>
      <c r="C299">
        <f>IFERROR(VLOOKUP(A:A,[1]Export!$E:$Y,21,0),0)</f>
        <v>0</v>
      </c>
      <c r="D299">
        <v>0</v>
      </c>
    </row>
    <row r="300" spans="1:4">
      <c r="A300">
        <v>17367244</v>
      </c>
      <c r="B300">
        <v>0</v>
      </c>
      <c r="C300">
        <f>IFERROR(VLOOKUP(A:A,[1]Export!$E:$Y,21,0),0)</f>
        <v>0</v>
      </c>
      <c r="D300">
        <v>0</v>
      </c>
    </row>
    <row r="301" spans="1:4">
      <c r="A301">
        <v>17368321</v>
      </c>
      <c r="B301">
        <v>1</v>
      </c>
      <c r="C301">
        <f>IFERROR(VLOOKUP(A:A,[1]Export!$E:$Y,21,0),0)</f>
        <v>0</v>
      </c>
      <c r="D301">
        <v>0</v>
      </c>
    </row>
    <row r="302" spans="1:4">
      <c r="A302">
        <v>17373486</v>
      </c>
      <c r="B302">
        <v>0</v>
      </c>
      <c r="C302">
        <f>IFERROR(VLOOKUP(A:A,[1]Export!$E:$Y,21,0),0)</f>
        <v>0</v>
      </c>
      <c r="D302">
        <v>0</v>
      </c>
    </row>
    <row r="303" spans="1:4">
      <c r="A303">
        <v>17375888</v>
      </c>
      <c r="B303">
        <v>0</v>
      </c>
      <c r="C303">
        <f>IFERROR(VLOOKUP(A:A,[1]Export!$E:$Y,21,0),0)</f>
        <v>0</v>
      </c>
      <c r="D303">
        <v>0</v>
      </c>
    </row>
    <row r="304" spans="1:4">
      <c r="A304">
        <v>17377232</v>
      </c>
      <c r="B304">
        <v>0</v>
      </c>
      <c r="C304">
        <f>IFERROR(VLOOKUP(A:A,[1]Export!$E:$Y,21,0),0)</f>
        <v>0</v>
      </c>
      <c r="D304">
        <v>0</v>
      </c>
    </row>
    <row r="305" spans="1:4">
      <c r="A305">
        <v>17379579</v>
      </c>
      <c r="B305">
        <v>0</v>
      </c>
      <c r="C305">
        <f>IFERROR(VLOOKUP(A:A,[1]Export!$E:$Y,21,0),0)</f>
        <v>0</v>
      </c>
      <c r="D305">
        <v>0</v>
      </c>
    </row>
    <row r="306" spans="1:4">
      <c r="A306">
        <v>17381077</v>
      </c>
      <c r="B306">
        <v>0</v>
      </c>
      <c r="C306">
        <f>IFERROR(VLOOKUP(A:A,[1]Export!$E:$Y,21,0),0)</f>
        <v>0</v>
      </c>
      <c r="D306">
        <v>0</v>
      </c>
    </row>
    <row r="307" spans="1:4">
      <c r="A307">
        <v>17395733</v>
      </c>
      <c r="B307">
        <v>0</v>
      </c>
      <c r="C307">
        <f>IFERROR(VLOOKUP(A:A,[1]Export!$E:$Y,21,0),0)</f>
        <v>0</v>
      </c>
      <c r="D307">
        <v>0</v>
      </c>
    </row>
    <row r="308" spans="1:4">
      <c r="A308">
        <v>17400773</v>
      </c>
      <c r="B308">
        <v>0</v>
      </c>
      <c r="C308">
        <f>IFERROR(VLOOKUP(A:A,[1]Export!$E:$Y,21,0),0)</f>
        <v>0</v>
      </c>
      <c r="D308">
        <v>0</v>
      </c>
    </row>
    <row r="309" spans="1:4">
      <c r="A309">
        <v>17403517</v>
      </c>
      <c r="B309">
        <v>0</v>
      </c>
      <c r="C309">
        <f>IFERROR(VLOOKUP(A:A,[1]Export!$E:$Y,21,0),0)</f>
        <v>0</v>
      </c>
      <c r="D309">
        <v>0</v>
      </c>
    </row>
    <row r="310" spans="1:4">
      <c r="A310">
        <v>17404048</v>
      </c>
      <c r="B310">
        <v>0</v>
      </c>
      <c r="C310">
        <f>IFERROR(VLOOKUP(A:A,[1]Export!$E:$Y,21,0),0)</f>
        <v>0</v>
      </c>
      <c r="D310">
        <v>0</v>
      </c>
    </row>
    <row r="311" spans="1:4">
      <c r="A311">
        <v>17405676</v>
      </c>
      <c r="B311">
        <v>0</v>
      </c>
      <c r="C311">
        <f>IFERROR(VLOOKUP(A:A,[1]Export!$E:$Y,21,0),0)</f>
        <v>0</v>
      </c>
      <c r="D311">
        <v>10</v>
      </c>
    </row>
    <row r="312" spans="1:4">
      <c r="A312">
        <v>17407927</v>
      </c>
      <c r="B312">
        <v>0</v>
      </c>
      <c r="C312">
        <f>IFERROR(VLOOKUP(A:A,[1]Export!$E:$Y,21,0),0)</f>
        <v>1000000</v>
      </c>
      <c r="D312">
        <v>0</v>
      </c>
    </row>
    <row r="313" spans="1:4">
      <c r="A313">
        <v>17422989</v>
      </c>
      <c r="B313">
        <v>0</v>
      </c>
      <c r="C313">
        <f>IFERROR(VLOOKUP(A:A,[1]Export!$E:$Y,21,0),0)</f>
        <v>2000000</v>
      </c>
      <c r="D313">
        <v>0</v>
      </c>
    </row>
    <row r="314" spans="1:4">
      <c r="A314">
        <v>17434658</v>
      </c>
      <c r="B314">
        <v>0</v>
      </c>
      <c r="C314">
        <f>IFERROR(VLOOKUP(A:A,[1]Export!$E:$Y,21,0),0)</f>
        <v>0</v>
      </c>
      <c r="D314">
        <v>0</v>
      </c>
    </row>
    <row r="315" spans="1:4">
      <c r="A315">
        <v>17434670</v>
      </c>
      <c r="B315">
        <v>2</v>
      </c>
      <c r="C315">
        <f>IFERROR(VLOOKUP(A:A,[1]Export!$E:$Y,21,0),0)</f>
        <v>0</v>
      </c>
      <c r="D315">
        <v>0</v>
      </c>
    </row>
    <row r="316" spans="1:4">
      <c r="A316">
        <v>17436911</v>
      </c>
      <c r="B316">
        <v>0</v>
      </c>
      <c r="C316">
        <f>IFERROR(VLOOKUP(A:A,[1]Export!$E:$Y,21,0),0)</f>
        <v>0</v>
      </c>
      <c r="D316">
        <v>0</v>
      </c>
    </row>
    <row r="317" spans="1:4">
      <c r="A317">
        <v>17437492</v>
      </c>
      <c r="B317">
        <v>0</v>
      </c>
      <c r="C317">
        <f>IFERROR(VLOOKUP(A:A,[1]Export!$E:$Y,21,0),0)</f>
        <v>0</v>
      </c>
      <c r="D317">
        <v>0</v>
      </c>
    </row>
    <row r="318" spans="1:4">
      <c r="A318">
        <v>17438158</v>
      </c>
      <c r="B318">
        <v>0</v>
      </c>
      <c r="C318">
        <f>IFERROR(VLOOKUP(A:A,[1]Export!$E:$Y,21,0),0)</f>
        <v>0</v>
      </c>
      <c r="D318">
        <v>0</v>
      </c>
    </row>
    <row r="319" spans="1:4">
      <c r="A319">
        <v>17438392</v>
      </c>
      <c r="B319">
        <v>0</v>
      </c>
      <c r="C319">
        <f>IFERROR(VLOOKUP(A:A,[1]Export!$E:$Y,21,0),0)</f>
        <v>0</v>
      </c>
      <c r="D319">
        <v>0</v>
      </c>
    </row>
    <row r="320" spans="1:4">
      <c r="A320">
        <v>17438394</v>
      </c>
      <c r="B320">
        <v>0</v>
      </c>
      <c r="C320">
        <f>IFERROR(VLOOKUP(A:A,[1]Export!$E:$Y,21,0),0)</f>
        <v>0</v>
      </c>
      <c r="D320">
        <v>0</v>
      </c>
    </row>
    <row r="321" spans="1:4">
      <c r="A321">
        <v>17440314</v>
      </c>
      <c r="B321">
        <v>3</v>
      </c>
      <c r="C321">
        <f>IFERROR(VLOOKUP(A:A,[1]Export!$E:$Y,21,0),0)</f>
        <v>0</v>
      </c>
      <c r="D321">
        <v>0</v>
      </c>
    </row>
    <row r="322" spans="1:4">
      <c r="A322">
        <v>17440382</v>
      </c>
      <c r="B322">
        <v>0</v>
      </c>
      <c r="C322">
        <f>IFERROR(VLOOKUP(A:A,[1]Export!$E:$Y,21,0),0)</f>
        <v>132000</v>
      </c>
      <c r="D322">
        <v>0</v>
      </c>
    </row>
    <row r="323" spans="1:4">
      <c r="A323">
        <v>17440469</v>
      </c>
      <c r="B323">
        <v>0</v>
      </c>
      <c r="C323">
        <f>IFERROR(VLOOKUP(A:A,[1]Export!$E:$Y,21,0),0)</f>
        <v>0</v>
      </c>
      <c r="D323">
        <v>0</v>
      </c>
    </row>
    <row r="324" spans="1:4">
      <c r="A324">
        <v>17441271</v>
      </c>
      <c r="B324">
        <v>0</v>
      </c>
      <c r="C324">
        <f>IFERROR(VLOOKUP(A:A,[1]Export!$E:$Y,21,0),0)</f>
        <v>0</v>
      </c>
      <c r="D324">
        <v>0</v>
      </c>
    </row>
    <row r="325" spans="1:4">
      <c r="A325">
        <v>17441655</v>
      </c>
      <c r="B325">
        <v>3</v>
      </c>
      <c r="C325">
        <f>IFERROR(VLOOKUP(A:A,[1]Export!$E:$Y,21,0),0)</f>
        <v>0</v>
      </c>
      <c r="D325">
        <v>0</v>
      </c>
    </row>
    <row r="326" spans="1:4">
      <c r="A326">
        <v>17444152</v>
      </c>
      <c r="B326">
        <v>0</v>
      </c>
      <c r="C326">
        <f>IFERROR(VLOOKUP(A:A,[1]Export!$E:$Y,21,0),0)</f>
        <v>0</v>
      </c>
      <c r="D326">
        <v>0</v>
      </c>
    </row>
    <row r="327" spans="1:4">
      <c r="A327">
        <v>17445557</v>
      </c>
      <c r="B327">
        <v>15</v>
      </c>
      <c r="C327">
        <f>IFERROR(VLOOKUP(A:A,[1]Export!$E:$Y,21,0),0)</f>
        <v>0</v>
      </c>
      <c r="D327">
        <v>0</v>
      </c>
    </row>
    <row r="328" spans="1:4">
      <c r="A328">
        <v>17446355</v>
      </c>
      <c r="B328">
        <v>0</v>
      </c>
      <c r="C328">
        <f>IFERROR(VLOOKUP(A:A,[1]Export!$E:$Y,21,0),0)</f>
        <v>0</v>
      </c>
      <c r="D328">
        <v>0</v>
      </c>
    </row>
    <row r="329" spans="1:4">
      <c r="A329">
        <v>17446543</v>
      </c>
      <c r="B329">
        <v>0</v>
      </c>
      <c r="C329">
        <f>IFERROR(VLOOKUP(A:A,[1]Export!$E:$Y,21,0),0)</f>
        <v>0</v>
      </c>
      <c r="D329">
        <v>0</v>
      </c>
    </row>
    <row r="330" spans="1:4">
      <c r="A330">
        <v>17449128</v>
      </c>
      <c r="B330">
        <v>0</v>
      </c>
      <c r="C330">
        <f>IFERROR(VLOOKUP(A:A,[1]Export!$E:$Y,21,0),0)</f>
        <v>0</v>
      </c>
      <c r="D330">
        <v>0</v>
      </c>
    </row>
    <row r="331" spans="1:4">
      <c r="A331">
        <v>17454122</v>
      </c>
      <c r="B331">
        <v>0</v>
      </c>
      <c r="C331">
        <f>IFERROR(VLOOKUP(A:A,[1]Export!$E:$Y,21,0),0)</f>
        <v>0</v>
      </c>
      <c r="D331">
        <v>0</v>
      </c>
    </row>
    <row r="332" spans="1:4">
      <c r="A332">
        <v>17456765</v>
      </c>
      <c r="B332">
        <v>0</v>
      </c>
      <c r="C332">
        <f>IFERROR(VLOOKUP(A:A,[1]Export!$E:$Y,21,0),0)</f>
        <v>0</v>
      </c>
      <c r="D332">
        <v>0</v>
      </c>
    </row>
    <row r="333" spans="1:4">
      <c r="A333">
        <v>17458236</v>
      </c>
      <c r="B333">
        <v>0</v>
      </c>
      <c r="C333">
        <f>IFERROR(VLOOKUP(A:A,[1]Export!$E:$Y,21,0),0)</f>
        <v>0</v>
      </c>
      <c r="D333">
        <v>0</v>
      </c>
    </row>
    <row r="334" spans="1:4">
      <c r="A334">
        <v>17459755</v>
      </c>
      <c r="B334">
        <v>1</v>
      </c>
      <c r="C334">
        <f>IFERROR(VLOOKUP(A:A,[1]Export!$E:$Y,21,0),0)</f>
        <v>0</v>
      </c>
      <c r="D334">
        <v>0</v>
      </c>
    </row>
    <row r="335" spans="1:4">
      <c r="A335">
        <v>17465505</v>
      </c>
      <c r="B335">
        <v>0</v>
      </c>
      <c r="C335">
        <f>IFERROR(VLOOKUP(A:A,[1]Export!$E:$Y,21,0),0)</f>
        <v>0</v>
      </c>
      <c r="D335">
        <v>1</v>
      </c>
    </row>
    <row r="336" spans="1:4">
      <c r="A336">
        <v>17474008</v>
      </c>
      <c r="B336">
        <v>0</v>
      </c>
      <c r="C336">
        <f>IFERROR(VLOOKUP(A:A,[1]Export!$E:$Y,21,0),0)</f>
        <v>0</v>
      </c>
      <c r="D336">
        <v>0</v>
      </c>
    </row>
    <row r="337" spans="1:4">
      <c r="A337">
        <v>17475565</v>
      </c>
      <c r="B337">
        <v>2</v>
      </c>
      <c r="C337">
        <f>IFERROR(VLOOKUP(A:A,[1]Export!$E:$Y,21,0),0)</f>
        <v>0</v>
      </c>
      <c r="D337">
        <v>0</v>
      </c>
    </row>
    <row r="338" spans="1:4">
      <c r="A338">
        <v>17478838</v>
      </c>
      <c r="B338">
        <v>0</v>
      </c>
      <c r="C338">
        <f>IFERROR(VLOOKUP(A:A,[1]Export!$E:$Y,21,0),0)</f>
        <v>0</v>
      </c>
      <c r="D338">
        <v>0</v>
      </c>
    </row>
    <row r="339" spans="1:4">
      <c r="A339">
        <v>17480434</v>
      </c>
      <c r="B339">
        <v>0</v>
      </c>
      <c r="C339">
        <f>IFERROR(VLOOKUP(A:A,[1]Export!$E:$Y,21,0),0)</f>
        <v>0</v>
      </c>
      <c r="D339">
        <v>0</v>
      </c>
    </row>
    <row r="340" spans="1:4">
      <c r="A340">
        <v>17483035</v>
      </c>
      <c r="B340">
        <v>0</v>
      </c>
      <c r="C340">
        <f>IFERROR(VLOOKUP(A:A,[1]Export!$E:$Y,21,0),0)</f>
        <v>0</v>
      </c>
      <c r="D340">
        <v>0</v>
      </c>
    </row>
    <row r="341" spans="1:4">
      <c r="A341">
        <v>17483867</v>
      </c>
      <c r="B341">
        <v>0</v>
      </c>
      <c r="C341">
        <f>IFERROR(VLOOKUP(A:A,[1]Export!$E:$Y,21,0),0)</f>
        <v>0</v>
      </c>
      <c r="D341">
        <v>0</v>
      </c>
    </row>
    <row r="342" spans="1:4">
      <c r="A342">
        <v>17489361</v>
      </c>
      <c r="B342">
        <v>0</v>
      </c>
      <c r="C342">
        <f>IFERROR(VLOOKUP(A:A,[1]Export!$E:$Y,21,0),0)</f>
        <v>0</v>
      </c>
      <c r="D342">
        <v>0</v>
      </c>
    </row>
    <row r="343" spans="1:4">
      <c r="A343">
        <v>17496217</v>
      </c>
      <c r="B343">
        <v>0</v>
      </c>
      <c r="C343">
        <f>IFERROR(VLOOKUP(A:A,[1]Export!$E:$Y,21,0),0)</f>
        <v>0</v>
      </c>
      <c r="D343">
        <v>0</v>
      </c>
    </row>
    <row r="344" spans="1:4">
      <c r="A344">
        <v>17496376</v>
      </c>
      <c r="B344">
        <v>1</v>
      </c>
      <c r="C344">
        <f>IFERROR(VLOOKUP(A:A,[1]Export!$E:$Y,21,0),0)</f>
        <v>0</v>
      </c>
      <c r="D344">
        <v>0</v>
      </c>
    </row>
    <row r="345" spans="1:4">
      <c r="A345">
        <v>17497275</v>
      </c>
      <c r="B345">
        <v>0</v>
      </c>
      <c r="C345">
        <f>IFERROR(VLOOKUP(A:A,[1]Export!$E:$Y,21,0),0)</f>
        <v>0</v>
      </c>
      <c r="D345">
        <v>0</v>
      </c>
    </row>
    <row r="346" spans="1:4">
      <c r="A346">
        <v>17499033</v>
      </c>
      <c r="B346">
        <v>0</v>
      </c>
      <c r="C346">
        <f>IFERROR(VLOOKUP(A:A,[1]Export!$E:$Y,21,0),0)</f>
        <v>0</v>
      </c>
      <c r="D346">
        <v>0</v>
      </c>
    </row>
    <row r="347" spans="1:4">
      <c r="A347">
        <v>17501867</v>
      </c>
      <c r="B347">
        <v>0</v>
      </c>
      <c r="C347">
        <f>IFERROR(VLOOKUP(A:A,[1]Export!$E:$Y,21,0),0)</f>
        <v>0</v>
      </c>
      <c r="D347">
        <v>0</v>
      </c>
    </row>
    <row r="348" spans="1:4">
      <c r="A348">
        <v>17502629</v>
      </c>
      <c r="B348">
        <v>0</v>
      </c>
      <c r="C348">
        <f>IFERROR(VLOOKUP(A:A,[1]Export!$E:$Y,21,0),0)</f>
        <v>0</v>
      </c>
      <c r="D348">
        <v>0</v>
      </c>
    </row>
    <row r="349" spans="1:4">
      <c r="A349">
        <v>17517345</v>
      </c>
      <c r="B349">
        <v>0</v>
      </c>
      <c r="C349">
        <f>IFERROR(VLOOKUP(A:A,[1]Export!$E:$Y,21,0),0)</f>
        <v>0</v>
      </c>
      <c r="D349">
        <v>0</v>
      </c>
    </row>
    <row r="350" spans="1:4">
      <c r="A350">
        <v>17517401</v>
      </c>
      <c r="B350">
        <v>0</v>
      </c>
      <c r="C350">
        <f>IFERROR(VLOOKUP(A:A,[1]Export!$E:$Y,21,0),0)</f>
        <v>0</v>
      </c>
      <c r="D350">
        <v>0</v>
      </c>
    </row>
    <row r="351" spans="1:4">
      <c r="A351">
        <v>17517659</v>
      </c>
      <c r="B351">
        <v>0</v>
      </c>
      <c r="C351">
        <f>IFERROR(VLOOKUP(A:A,[1]Export!$E:$Y,21,0),0)</f>
        <v>0</v>
      </c>
      <c r="D351">
        <v>0</v>
      </c>
    </row>
    <row r="352" spans="1:4">
      <c r="A352">
        <v>17518440</v>
      </c>
      <c r="B352">
        <v>0</v>
      </c>
      <c r="C352">
        <f>IFERROR(VLOOKUP(A:A,[1]Export!$E:$Y,21,0),0)</f>
        <v>0</v>
      </c>
      <c r="D352">
        <v>0</v>
      </c>
    </row>
    <row r="353" spans="1:4">
      <c r="A353">
        <v>17519344</v>
      </c>
      <c r="B353">
        <v>0</v>
      </c>
      <c r="C353">
        <f>IFERROR(VLOOKUP(A:A,[1]Export!$E:$Y,21,0),0)</f>
        <v>1801500</v>
      </c>
      <c r="D353">
        <v>0</v>
      </c>
    </row>
    <row r="354" spans="1:4">
      <c r="A354">
        <v>17520431</v>
      </c>
      <c r="B354">
        <v>1</v>
      </c>
      <c r="C354">
        <f>IFERROR(VLOOKUP(A:A,[1]Export!$E:$Y,21,0),0)</f>
        <v>0</v>
      </c>
      <c r="D354">
        <v>0</v>
      </c>
    </row>
    <row r="355" spans="1:4">
      <c r="A355">
        <v>17522468</v>
      </c>
      <c r="B355">
        <v>1</v>
      </c>
      <c r="C355">
        <f>IFERROR(VLOOKUP(A:A,[1]Export!$E:$Y,21,0),0)</f>
        <v>0</v>
      </c>
      <c r="D355">
        <v>0</v>
      </c>
    </row>
    <row r="356" spans="1:4">
      <c r="A356">
        <v>17524586</v>
      </c>
      <c r="B356">
        <v>0</v>
      </c>
      <c r="C356">
        <f>IFERROR(VLOOKUP(A:A,[1]Export!$E:$Y,21,0),0)</f>
        <v>1152000</v>
      </c>
      <c r="D356">
        <v>0</v>
      </c>
    </row>
    <row r="357" spans="1:4">
      <c r="A357">
        <v>17524705</v>
      </c>
      <c r="B357">
        <v>1</v>
      </c>
      <c r="C357">
        <f>IFERROR(VLOOKUP(A:A,[1]Export!$E:$Y,21,0),0)</f>
        <v>0</v>
      </c>
      <c r="D357">
        <v>0</v>
      </c>
    </row>
    <row r="358" spans="1:4">
      <c r="A358">
        <v>17524755</v>
      </c>
      <c r="B358">
        <v>2</v>
      </c>
      <c r="C358">
        <f>IFERROR(VLOOKUP(A:A,[1]Export!$E:$Y,21,0),0)</f>
        <v>0</v>
      </c>
      <c r="D358">
        <v>3</v>
      </c>
    </row>
    <row r="359" spans="1:4">
      <c r="A359">
        <v>17527143</v>
      </c>
      <c r="B359">
        <v>0</v>
      </c>
      <c r="C359">
        <f>IFERROR(VLOOKUP(A:A,[1]Export!$E:$Y,21,0),0)</f>
        <v>0</v>
      </c>
      <c r="D359">
        <v>0</v>
      </c>
    </row>
    <row r="360" spans="1:4">
      <c r="A360">
        <v>17530557</v>
      </c>
      <c r="B360">
        <v>0</v>
      </c>
      <c r="C360">
        <f>IFERROR(VLOOKUP(A:A,[1]Export!$E:$Y,21,0),0)</f>
        <v>0</v>
      </c>
      <c r="D360">
        <v>0</v>
      </c>
    </row>
    <row r="361" spans="1:4">
      <c r="A361">
        <v>17531915</v>
      </c>
      <c r="B361">
        <v>0</v>
      </c>
      <c r="C361">
        <f>IFERROR(VLOOKUP(A:A,[1]Export!$E:$Y,21,0),0)</f>
        <v>0</v>
      </c>
      <c r="D361">
        <v>0</v>
      </c>
    </row>
    <row r="362" spans="1:4">
      <c r="A362">
        <v>17532360</v>
      </c>
      <c r="B362">
        <v>1</v>
      </c>
      <c r="C362">
        <f>IFERROR(VLOOKUP(A:A,[1]Export!$E:$Y,21,0),0)</f>
        <v>0</v>
      </c>
      <c r="D362">
        <v>0</v>
      </c>
    </row>
    <row r="363" spans="1:4">
      <c r="A363">
        <v>17532588</v>
      </c>
      <c r="B363">
        <v>0</v>
      </c>
      <c r="C363">
        <f>IFERROR(VLOOKUP(A:A,[1]Export!$E:$Y,21,0),0)</f>
        <v>0</v>
      </c>
      <c r="D363">
        <v>0</v>
      </c>
    </row>
    <row r="364" spans="1:4">
      <c r="A364">
        <v>17532612</v>
      </c>
      <c r="B364">
        <v>3</v>
      </c>
      <c r="C364">
        <f>IFERROR(VLOOKUP(A:A,[1]Export!$E:$Y,21,0),0)</f>
        <v>0</v>
      </c>
      <c r="D364">
        <v>0</v>
      </c>
    </row>
    <row r="365" spans="1:4">
      <c r="A365">
        <v>17532966</v>
      </c>
      <c r="B365">
        <v>0</v>
      </c>
      <c r="C365">
        <f>IFERROR(VLOOKUP(A:A,[1]Export!$E:$Y,21,0),0)</f>
        <v>0</v>
      </c>
      <c r="D365">
        <v>0</v>
      </c>
    </row>
    <row r="366" spans="1:4">
      <c r="A366">
        <v>17533954</v>
      </c>
      <c r="B366">
        <v>0</v>
      </c>
      <c r="C366">
        <f>IFERROR(VLOOKUP(A:A,[1]Export!$E:$Y,21,0),0)</f>
        <v>0</v>
      </c>
      <c r="D366">
        <v>10</v>
      </c>
    </row>
    <row r="367" spans="1:4">
      <c r="A367">
        <v>17542952</v>
      </c>
      <c r="B367">
        <v>0</v>
      </c>
      <c r="C367">
        <f>IFERROR(VLOOKUP(A:A,[1]Export!$E:$Y,21,0),0)</f>
        <v>0</v>
      </c>
      <c r="D367">
        <v>0</v>
      </c>
    </row>
    <row r="368" spans="1:4">
      <c r="A368">
        <v>17543141</v>
      </c>
      <c r="B368">
        <v>3</v>
      </c>
      <c r="C368">
        <f>IFERROR(VLOOKUP(A:A,[1]Export!$E:$Y,21,0),0)</f>
        <v>0</v>
      </c>
      <c r="D368">
        <v>0</v>
      </c>
    </row>
    <row r="369" spans="1:4">
      <c r="A369">
        <v>17543892</v>
      </c>
      <c r="B369">
        <v>0</v>
      </c>
      <c r="C369">
        <f>IFERROR(VLOOKUP(A:A,[1]Export!$E:$Y,21,0),0)</f>
        <v>0</v>
      </c>
      <c r="D369">
        <v>0</v>
      </c>
    </row>
    <row r="370" spans="1:4">
      <c r="A370">
        <v>17544678</v>
      </c>
      <c r="B370">
        <v>0</v>
      </c>
      <c r="C370">
        <f>IFERROR(VLOOKUP(A:A,[1]Export!$E:$Y,21,0),0)</f>
        <v>0</v>
      </c>
      <c r="D370">
        <v>2</v>
      </c>
    </row>
    <row r="371" spans="1:4">
      <c r="A371">
        <v>17544880</v>
      </c>
      <c r="B371">
        <v>1</v>
      </c>
      <c r="C371">
        <f>IFERROR(VLOOKUP(A:A,[1]Export!$E:$Y,21,0),0)</f>
        <v>0</v>
      </c>
      <c r="D371">
        <v>0</v>
      </c>
    </row>
    <row r="372" spans="1:4">
      <c r="A372">
        <v>17545500</v>
      </c>
      <c r="B372">
        <v>0</v>
      </c>
      <c r="C372">
        <f>IFERROR(VLOOKUP(A:A,[1]Export!$E:$Y,21,0),0)</f>
        <v>0</v>
      </c>
      <c r="D372">
        <v>0</v>
      </c>
    </row>
    <row r="373" spans="1:4">
      <c r="A373">
        <v>17545766</v>
      </c>
      <c r="B373">
        <v>1</v>
      </c>
      <c r="C373">
        <f>IFERROR(VLOOKUP(A:A,[1]Export!$E:$Y,21,0),0)</f>
        <v>0</v>
      </c>
      <c r="D373">
        <v>0</v>
      </c>
    </row>
    <row r="374" spans="1:4">
      <c r="A374">
        <v>17545786</v>
      </c>
      <c r="B374">
        <v>1</v>
      </c>
      <c r="C374">
        <f>IFERROR(VLOOKUP(A:A,[1]Export!$E:$Y,21,0),0)</f>
        <v>0</v>
      </c>
      <c r="D374">
        <v>0</v>
      </c>
    </row>
    <row r="375" spans="1:4">
      <c r="A375">
        <v>17545966</v>
      </c>
      <c r="B375">
        <v>0</v>
      </c>
      <c r="C375">
        <f>IFERROR(VLOOKUP(A:A,[1]Export!$E:$Y,21,0),0)</f>
        <v>0</v>
      </c>
      <c r="D375">
        <v>0</v>
      </c>
    </row>
    <row r="376" spans="1:4">
      <c r="A376">
        <v>17546196</v>
      </c>
      <c r="B376">
        <v>0</v>
      </c>
      <c r="C376">
        <f>IFERROR(VLOOKUP(A:A,[1]Export!$E:$Y,21,0),0)</f>
        <v>0</v>
      </c>
      <c r="D376">
        <v>0</v>
      </c>
    </row>
    <row r="377" spans="1:4">
      <c r="A377">
        <v>17546320</v>
      </c>
      <c r="B377">
        <v>0</v>
      </c>
      <c r="C377">
        <f>IFERROR(VLOOKUP(A:A,[1]Export!$E:$Y,21,0),0)</f>
        <v>0</v>
      </c>
      <c r="D377">
        <v>0</v>
      </c>
    </row>
    <row r="378" spans="1:4">
      <c r="A378">
        <v>17546493</v>
      </c>
      <c r="B378">
        <v>0</v>
      </c>
      <c r="C378">
        <f>IFERROR(VLOOKUP(A:A,[1]Export!$E:$Y,21,0),0)</f>
        <v>3000000</v>
      </c>
      <c r="D378">
        <v>0</v>
      </c>
    </row>
    <row r="379" spans="1:4">
      <c r="A379">
        <v>17546521</v>
      </c>
      <c r="B379">
        <v>0</v>
      </c>
      <c r="C379">
        <f>IFERROR(VLOOKUP(A:A,[1]Export!$E:$Y,21,0),0)</f>
        <v>500000</v>
      </c>
      <c r="D379">
        <v>0</v>
      </c>
    </row>
    <row r="380" spans="1:4">
      <c r="A380">
        <v>17546556</v>
      </c>
      <c r="B380">
        <v>0</v>
      </c>
      <c r="C380">
        <f>IFERROR(VLOOKUP(A:A,[1]Export!$E:$Y,21,0),0)</f>
        <v>0</v>
      </c>
      <c r="D380">
        <v>0</v>
      </c>
    </row>
    <row r="381" spans="1:4">
      <c r="A381">
        <v>17546769</v>
      </c>
      <c r="B381">
        <v>1</v>
      </c>
      <c r="C381">
        <f>IFERROR(VLOOKUP(A:A,[1]Export!$E:$Y,21,0),0)</f>
        <v>0</v>
      </c>
      <c r="D381">
        <v>1</v>
      </c>
    </row>
    <row r="382" spans="1:4">
      <c r="A382">
        <v>17546799</v>
      </c>
      <c r="B382">
        <v>0</v>
      </c>
      <c r="C382">
        <f>IFERROR(VLOOKUP(A:A,[1]Export!$E:$Y,21,0),0)</f>
        <v>0</v>
      </c>
      <c r="D382">
        <v>0</v>
      </c>
    </row>
    <row r="383" spans="1:4">
      <c r="A383">
        <v>17546843</v>
      </c>
      <c r="B383">
        <v>0</v>
      </c>
      <c r="C383">
        <f>IFERROR(VLOOKUP(A:A,[1]Export!$E:$Y,21,0),0)</f>
        <v>0</v>
      </c>
      <c r="D383">
        <v>0</v>
      </c>
    </row>
    <row r="384" spans="1:4">
      <c r="A384">
        <v>17548056</v>
      </c>
      <c r="B384">
        <v>0</v>
      </c>
      <c r="C384">
        <f>IFERROR(VLOOKUP(A:A,[1]Export!$E:$Y,21,0),0)</f>
        <v>0</v>
      </c>
      <c r="D384">
        <v>0</v>
      </c>
    </row>
    <row r="385" spans="1:4">
      <c r="A385">
        <v>17551033</v>
      </c>
      <c r="B385">
        <v>0</v>
      </c>
      <c r="C385">
        <f>IFERROR(VLOOKUP(A:A,[1]Export!$E:$Y,21,0),0)</f>
        <v>0</v>
      </c>
      <c r="D385">
        <v>0</v>
      </c>
    </row>
    <row r="386" spans="1:4">
      <c r="A386">
        <v>17551486</v>
      </c>
      <c r="B386">
        <v>3</v>
      </c>
      <c r="C386">
        <f>IFERROR(VLOOKUP(A:A,[1]Export!$E:$Y,21,0),0)</f>
        <v>0</v>
      </c>
      <c r="D386">
        <v>0</v>
      </c>
    </row>
    <row r="387" spans="1:4">
      <c r="A387">
        <v>17552020</v>
      </c>
      <c r="B387">
        <v>0</v>
      </c>
      <c r="C387">
        <f>IFERROR(VLOOKUP(A:A,[1]Export!$E:$Y,21,0),0)</f>
        <v>0</v>
      </c>
      <c r="D387">
        <v>0</v>
      </c>
    </row>
    <row r="388" spans="1:4">
      <c r="A388">
        <v>17552372</v>
      </c>
      <c r="B388">
        <v>0</v>
      </c>
      <c r="C388">
        <f>IFERROR(VLOOKUP(A:A,[1]Export!$E:$Y,21,0),0)</f>
        <v>3000000</v>
      </c>
      <c r="D388">
        <v>0</v>
      </c>
    </row>
    <row r="389" spans="1:4">
      <c r="A389">
        <v>17555364</v>
      </c>
      <c r="B389">
        <v>0</v>
      </c>
      <c r="C389">
        <f>IFERROR(VLOOKUP(A:A,[1]Export!$E:$Y,21,0),0)</f>
        <v>0</v>
      </c>
      <c r="D389">
        <v>0</v>
      </c>
    </row>
    <row r="390" spans="1:4">
      <c r="A390">
        <v>17555452</v>
      </c>
      <c r="B390">
        <v>4</v>
      </c>
      <c r="C390">
        <f>IFERROR(VLOOKUP(A:A,[1]Export!$E:$Y,21,0),0)</f>
        <v>0</v>
      </c>
      <c r="D390">
        <v>0</v>
      </c>
    </row>
    <row r="391" spans="1:4">
      <c r="A391">
        <v>17556199</v>
      </c>
      <c r="B391">
        <v>0</v>
      </c>
      <c r="C391">
        <f>IFERROR(VLOOKUP(A:A,[1]Export!$E:$Y,21,0),0)</f>
        <v>0</v>
      </c>
      <c r="D391">
        <v>0</v>
      </c>
    </row>
    <row r="392" spans="1:4">
      <c r="A392">
        <v>17557807</v>
      </c>
      <c r="B392">
        <v>0</v>
      </c>
      <c r="C392">
        <f>IFERROR(VLOOKUP(A:A,[1]Export!$E:$Y,21,0),0)</f>
        <v>0</v>
      </c>
      <c r="D392">
        <v>0</v>
      </c>
    </row>
    <row r="393" spans="1:4">
      <c r="A393">
        <v>17557809</v>
      </c>
      <c r="B393">
        <v>0</v>
      </c>
      <c r="C393">
        <f>IFERROR(VLOOKUP(A:A,[1]Export!$E:$Y,21,0),0)</f>
        <v>0</v>
      </c>
      <c r="D393">
        <v>0</v>
      </c>
    </row>
    <row r="394" spans="1:4">
      <c r="A394">
        <v>17561728</v>
      </c>
      <c r="B394">
        <v>0</v>
      </c>
      <c r="C394">
        <f>IFERROR(VLOOKUP(A:A,[1]Export!$E:$Y,21,0),0)</f>
        <v>0</v>
      </c>
      <c r="D394">
        <v>0</v>
      </c>
    </row>
    <row r="395" spans="1:4">
      <c r="A395">
        <v>17562101</v>
      </c>
      <c r="B395">
        <v>0</v>
      </c>
      <c r="C395">
        <f>IFERROR(VLOOKUP(A:A,[1]Export!$E:$Y,21,0),0)</f>
        <v>662500</v>
      </c>
      <c r="D395">
        <v>0</v>
      </c>
    </row>
    <row r="396" spans="1:4">
      <c r="A396">
        <v>17562228</v>
      </c>
      <c r="B396">
        <v>0</v>
      </c>
      <c r="C396">
        <f>IFERROR(VLOOKUP(A:A,[1]Export!$E:$Y,21,0),0)</f>
        <v>0</v>
      </c>
      <c r="D396">
        <v>0</v>
      </c>
    </row>
    <row r="397" spans="1:4">
      <c r="A397">
        <v>17562513</v>
      </c>
      <c r="B397">
        <v>1</v>
      </c>
      <c r="C397">
        <f>IFERROR(VLOOKUP(A:A,[1]Export!$E:$Y,21,0),0)</f>
        <v>468000</v>
      </c>
      <c r="D397">
        <v>0</v>
      </c>
    </row>
    <row r="398" spans="1:4">
      <c r="A398">
        <v>17562552</v>
      </c>
      <c r="B398">
        <v>3</v>
      </c>
      <c r="C398">
        <f>IFERROR(VLOOKUP(A:A,[1]Export!$E:$Y,21,0),0)</f>
        <v>0</v>
      </c>
      <c r="D398">
        <v>3</v>
      </c>
    </row>
    <row r="399" spans="1:4">
      <c r="A399">
        <v>17562640</v>
      </c>
      <c r="B399">
        <v>0</v>
      </c>
      <c r="C399">
        <f>IFERROR(VLOOKUP(A:A,[1]Export!$E:$Y,21,0),0)</f>
        <v>0</v>
      </c>
      <c r="D399">
        <v>0</v>
      </c>
    </row>
    <row r="400" spans="1:4">
      <c r="A400">
        <v>17562688</v>
      </c>
      <c r="B400">
        <v>1</v>
      </c>
      <c r="C400">
        <f>IFERROR(VLOOKUP(A:A,[1]Export!$E:$Y,21,0),0)</f>
        <v>0</v>
      </c>
      <c r="D400">
        <v>0</v>
      </c>
    </row>
    <row r="401" spans="1:4">
      <c r="A401">
        <v>17563225</v>
      </c>
      <c r="B401">
        <v>1</v>
      </c>
      <c r="C401">
        <f>IFERROR(VLOOKUP(A:A,[1]Export!$E:$Y,21,0),0)</f>
        <v>0</v>
      </c>
      <c r="D401">
        <v>0</v>
      </c>
    </row>
    <row r="402" spans="1:4">
      <c r="A402">
        <v>17563421</v>
      </c>
      <c r="B402">
        <v>0</v>
      </c>
      <c r="C402">
        <f>IFERROR(VLOOKUP(A:A,[1]Export!$E:$Y,21,0),0)</f>
        <v>0</v>
      </c>
      <c r="D402">
        <v>0</v>
      </c>
    </row>
    <row r="403" spans="1:4">
      <c r="A403">
        <v>17563607</v>
      </c>
      <c r="B403">
        <v>1</v>
      </c>
      <c r="C403">
        <f>IFERROR(VLOOKUP(A:A,[1]Export!$E:$Y,21,0),0)</f>
        <v>0</v>
      </c>
      <c r="D403">
        <v>1</v>
      </c>
    </row>
    <row r="404" spans="1:4">
      <c r="A404">
        <v>17563623</v>
      </c>
      <c r="B404">
        <v>0</v>
      </c>
      <c r="C404">
        <f>IFERROR(VLOOKUP(A:A,[1]Export!$E:$Y,21,0),0)</f>
        <v>0</v>
      </c>
      <c r="D404">
        <v>0</v>
      </c>
    </row>
    <row r="405" spans="1:4">
      <c r="A405">
        <v>17563639</v>
      </c>
      <c r="B405">
        <v>0</v>
      </c>
      <c r="C405">
        <f>IFERROR(VLOOKUP(A:A,[1]Export!$E:$Y,21,0),0)</f>
        <v>0</v>
      </c>
      <c r="D405">
        <v>0</v>
      </c>
    </row>
    <row r="406" spans="1:4">
      <c r="A406">
        <v>17563818</v>
      </c>
      <c r="B406">
        <v>1</v>
      </c>
      <c r="C406">
        <f>IFERROR(VLOOKUP(A:A,[1]Export!$E:$Y,21,0),0)</f>
        <v>0</v>
      </c>
      <c r="D406">
        <v>5</v>
      </c>
    </row>
    <row r="407" spans="1:4">
      <c r="A407">
        <v>17563836</v>
      </c>
      <c r="B407">
        <v>0</v>
      </c>
      <c r="C407">
        <f>IFERROR(VLOOKUP(A:A,[1]Export!$E:$Y,21,0),0)</f>
        <v>0</v>
      </c>
      <c r="D407">
        <v>0</v>
      </c>
    </row>
    <row r="408" spans="1:4">
      <c r="A408">
        <v>17563849</v>
      </c>
      <c r="B408">
        <v>1</v>
      </c>
      <c r="C408">
        <f>IFERROR(VLOOKUP(A:A,[1]Export!$E:$Y,21,0),0)</f>
        <v>0</v>
      </c>
      <c r="D408">
        <v>0</v>
      </c>
    </row>
    <row r="409" spans="1:4">
      <c r="A409">
        <v>17564305</v>
      </c>
      <c r="B409">
        <v>0</v>
      </c>
      <c r="C409">
        <f>IFERROR(VLOOKUP(A:A,[1]Export!$E:$Y,21,0),0)</f>
        <v>900000</v>
      </c>
      <c r="D409">
        <v>0</v>
      </c>
    </row>
    <row r="410" spans="1:4">
      <c r="A410">
        <v>17564330</v>
      </c>
      <c r="B410">
        <v>0</v>
      </c>
      <c r="C410">
        <f>IFERROR(VLOOKUP(A:A,[1]Export!$E:$Y,21,0),0)</f>
        <v>528000</v>
      </c>
      <c r="D410">
        <v>0</v>
      </c>
    </row>
    <row r="411" spans="1:4">
      <c r="A411">
        <v>17564418</v>
      </c>
      <c r="B411">
        <v>1</v>
      </c>
      <c r="C411">
        <f>IFERROR(VLOOKUP(A:A,[1]Export!$E:$Y,21,0),0)</f>
        <v>0</v>
      </c>
      <c r="D411">
        <v>0</v>
      </c>
    </row>
    <row r="412" spans="1:4">
      <c r="A412">
        <v>17564421</v>
      </c>
      <c r="B412">
        <v>0</v>
      </c>
      <c r="C412">
        <f>IFERROR(VLOOKUP(A:A,[1]Export!$E:$Y,21,0),0)</f>
        <v>0</v>
      </c>
      <c r="D412">
        <v>0</v>
      </c>
    </row>
    <row r="413" spans="1:4">
      <c r="A413">
        <v>17564430</v>
      </c>
      <c r="B413">
        <v>0</v>
      </c>
      <c r="C413">
        <f>IFERROR(VLOOKUP(A:A,[1]Export!$E:$Y,21,0),0)</f>
        <v>0</v>
      </c>
      <c r="D413">
        <v>0</v>
      </c>
    </row>
    <row r="414" spans="1:4">
      <c r="A414">
        <v>17564469</v>
      </c>
      <c r="B414">
        <v>0</v>
      </c>
      <c r="C414">
        <f>IFERROR(VLOOKUP(A:A,[1]Export!$E:$Y,21,0),0)</f>
        <v>0</v>
      </c>
      <c r="D414">
        <v>0</v>
      </c>
    </row>
    <row r="415" spans="1:4">
      <c r="A415">
        <v>17564479</v>
      </c>
      <c r="B415">
        <v>0</v>
      </c>
      <c r="C415">
        <f>IFERROR(VLOOKUP(A:A,[1]Export!$E:$Y,21,0),0)</f>
        <v>0</v>
      </c>
      <c r="D415">
        <v>0</v>
      </c>
    </row>
    <row r="416" spans="1:4">
      <c r="A416">
        <v>17564519</v>
      </c>
      <c r="B416">
        <v>0</v>
      </c>
      <c r="C416">
        <f>IFERROR(VLOOKUP(A:A,[1]Export!$E:$Y,21,0),0)</f>
        <v>0</v>
      </c>
      <c r="D416">
        <v>0</v>
      </c>
    </row>
    <row r="417" spans="1:4">
      <c r="A417">
        <v>17564722</v>
      </c>
      <c r="B417">
        <v>0</v>
      </c>
      <c r="C417">
        <f>IFERROR(VLOOKUP(A:A,[1]Export!$E:$Y,21,0),0)</f>
        <v>0</v>
      </c>
      <c r="D417">
        <v>0</v>
      </c>
    </row>
    <row r="418" spans="1:4">
      <c r="A418">
        <v>17564814</v>
      </c>
      <c r="B418">
        <v>0</v>
      </c>
      <c r="C418">
        <f>IFERROR(VLOOKUP(A:A,[1]Export!$E:$Y,21,0),0)</f>
        <v>0</v>
      </c>
      <c r="D418">
        <v>0</v>
      </c>
    </row>
    <row r="419" spans="1:4">
      <c r="A419">
        <v>17564841</v>
      </c>
      <c r="B419">
        <v>0</v>
      </c>
      <c r="C419">
        <f>IFERROR(VLOOKUP(A:A,[1]Export!$E:$Y,21,0),0)</f>
        <v>0</v>
      </c>
      <c r="D419">
        <v>0</v>
      </c>
    </row>
    <row r="420" spans="1:4">
      <c r="A420">
        <v>17565261</v>
      </c>
      <c r="B420">
        <v>0</v>
      </c>
      <c r="C420">
        <f>IFERROR(VLOOKUP(A:A,[1]Export!$E:$Y,21,0),0)</f>
        <v>0</v>
      </c>
      <c r="D420">
        <v>0</v>
      </c>
    </row>
    <row r="421" spans="1:4">
      <c r="A421">
        <v>17565276</v>
      </c>
      <c r="B421">
        <v>1</v>
      </c>
      <c r="C421">
        <f>IFERROR(VLOOKUP(A:A,[1]Export!$E:$Y,21,0),0)</f>
        <v>180000</v>
      </c>
      <c r="D421">
        <v>0</v>
      </c>
    </row>
    <row r="422" spans="1:4">
      <c r="A422">
        <v>17565351</v>
      </c>
      <c r="B422">
        <v>0</v>
      </c>
      <c r="C422">
        <f>IFERROR(VLOOKUP(A:A,[1]Export!$E:$Y,21,0),0)</f>
        <v>0</v>
      </c>
      <c r="D422">
        <v>0</v>
      </c>
    </row>
    <row r="423" spans="1:4">
      <c r="A423">
        <v>17565415</v>
      </c>
      <c r="B423">
        <v>0</v>
      </c>
      <c r="C423">
        <f>IFERROR(VLOOKUP(A:A,[1]Export!$E:$Y,21,0),0)</f>
        <v>168000</v>
      </c>
      <c r="D423">
        <v>0</v>
      </c>
    </row>
    <row r="424" spans="1:4">
      <c r="A424">
        <v>17566073</v>
      </c>
      <c r="B424">
        <v>0</v>
      </c>
      <c r="C424">
        <f>IFERROR(VLOOKUP(A:A,[1]Export!$E:$Y,21,0),0)</f>
        <v>0</v>
      </c>
      <c r="D424">
        <v>0</v>
      </c>
    </row>
    <row r="425" spans="1:4">
      <c r="A425">
        <v>17568770</v>
      </c>
      <c r="B425">
        <v>0</v>
      </c>
      <c r="C425">
        <f>IFERROR(VLOOKUP(A:A,[1]Export!$E:$Y,21,0),0)</f>
        <v>0</v>
      </c>
      <c r="D425">
        <v>10</v>
      </c>
    </row>
    <row r="426" spans="1:4">
      <c r="A426">
        <v>17568793</v>
      </c>
      <c r="B426">
        <v>0</v>
      </c>
      <c r="C426">
        <f>IFERROR(VLOOKUP(A:A,[1]Export!$E:$Y,21,0),0)</f>
        <v>0</v>
      </c>
      <c r="D426">
        <v>0</v>
      </c>
    </row>
    <row r="427" spans="1:4">
      <c r="A427">
        <v>17568809</v>
      </c>
      <c r="B427">
        <v>3</v>
      </c>
      <c r="C427">
        <f>IFERROR(VLOOKUP(A:A,[1]Export!$E:$Y,21,0),0)</f>
        <v>0</v>
      </c>
      <c r="D427">
        <v>0</v>
      </c>
    </row>
    <row r="428" spans="1:4">
      <c r="A428">
        <v>17568824</v>
      </c>
      <c r="B428">
        <v>1</v>
      </c>
      <c r="C428">
        <f>IFERROR(VLOOKUP(A:A,[1]Export!$E:$Y,21,0),0)</f>
        <v>0</v>
      </c>
      <c r="D428">
        <v>0</v>
      </c>
    </row>
    <row r="429" spans="1:4">
      <c r="A429">
        <v>17568917</v>
      </c>
      <c r="B429">
        <v>1</v>
      </c>
      <c r="C429">
        <f>IFERROR(VLOOKUP(A:A,[1]Export!$E:$Y,21,0),0)</f>
        <v>0</v>
      </c>
      <c r="D429">
        <v>0</v>
      </c>
    </row>
    <row r="430" spans="1:4">
      <c r="A430">
        <v>17569028</v>
      </c>
      <c r="B430">
        <v>0</v>
      </c>
      <c r="C430">
        <f>IFERROR(VLOOKUP(A:A,[1]Export!$E:$Y,21,0),0)</f>
        <v>0</v>
      </c>
      <c r="D430">
        <v>0</v>
      </c>
    </row>
    <row r="431" spans="1:4">
      <c r="A431">
        <v>17569071</v>
      </c>
      <c r="B431">
        <v>0</v>
      </c>
      <c r="C431">
        <f>IFERROR(VLOOKUP(A:A,[1]Export!$E:$Y,21,0),0)</f>
        <v>132000</v>
      </c>
      <c r="D431">
        <v>0</v>
      </c>
    </row>
    <row r="432" spans="1:4">
      <c r="A432">
        <v>17569102</v>
      </c>
      <c r="B432">
        <v>0</v>
      </c>
      <c r="C432">
        <f>IFERROR(VLOOKUP(A:A,[1]Export!$E:$Y,21,0),0)</f>
        <v>0</v>
      </c>
      <c r="D432">
        <v>0</v>
      </c>
    </row>
    <row r="433" spans="1:4">
      <c r="A433">
        <v>17569107</v>
      </c>
      <c r="B433">
        <v>0</v>
      </c>
      <c r="C433">
        <f>IFERROR(VLOOKUP(A:A,[1]Export!$E:$Y,21,0),0)</f>
        <v>0</v>
      </c>
      <c r="D433">
        <v>0</v>
      </c>
    </row>
    <row r="434" spans="1:4">
      <c r="A434">
        <v>17569366</v>
      </c>
      <c r="B434">
        <v>0</v>
      </c>
      <c r="C434">
        <f>IFERROR(VLOOKUP(A:A,[1]Export!$E:$Y,21,0),0)</f>
        <v>52800</v>
      </c>
      <c r="D434">
        <v>0</v>
      </c>
    </row>
    <row r="435" spans="1:4">
      <c r="A435">
        <v>17569399</v>
      </c>
      <c r="B435">
        <v>0</v>
      </c>
      <c r="C435">
        <f>IFERROR(VLOOKUP(A:A,[1]Export!$E:$Y,21,0),0)</f>
        <v>0</v>
      </c>
      <c r="D435">
        <v>0</v>
      </c>
    </row>
    <row r="436" spans="1:4">
      <c r="A436">
        <v>17569672</v>
      </c>
      <c r="B436">
        <v>0</v>
      </c>
      <c r="C436">
        <f>IFERROR(VLOOKUP(A:A,[1]Export!$E:$Y,21,0),0)</f>
        <v>0</v>
      </c>
      <c r="D436">
        <v>0</v>
      </c>
    </row>
    <row r="437" spans="1:4">
      <c r="A437">
        <v>17570272</v>
      </c>
      <c r="B437">
        <v>0</v>
      </c>
      <c r="C437">
        <f>IFERROR(VLOOKUP(A:A,[1]Export!$E:$Y,21,0),0)</f>
        <v>0</v>
      </c>
      <c r="D437">
        <v>0</v>
      </c>
    </row>
    <row r="438" spans="1:4">
      <c r="A438">
        <v>17570713</v>
      </c>
      <c r="B438">
        <v>0</v>
      </c>
      <c r="C438">
        <f>IFERROR(VLOOKUP(A:A,[1]Export!$E:$Y,21,0),0)</f>
        <v>0</v>
      </c>
      <c r="D438">
        <v>0</v>
      </c>
    </row>
    <row r="439" spans="1:4">
      <c r="A439">
        <v>17570839</v>
      </c>
      <c r="B439">
        <v>0</v>
      </c>
      <c r="C439">
        <f>IFERROR(VLOOKUP(A:A,[1]Export!$E:$Y,21,0),0)</f>
        <v>0</v>
      </c>
      <c r="D439">
        <v>0</v>
      </c>
    </row>
    <row r="440" spans="1:4">
      <c r="A440">
        <v>17571196</v>
      </c>
      <c r="B440">
        <v>0</v>
      </c>
      <c r="C440">
        <f>IFERROR(VLOOKUP(A:A,[1]Export!$E:$Y,21,0),0)</f>
        <v>0</v>
      </c>
      <c r="D440">
        <v>0</v>
      </c>
    </row>
    <row r="441" spans="1:4">
      <c r="A441">
        <v>17571864</v>
      </c>
      <c r="B441">
        <v>0</v>
      </c>
      <c r="C441">
        <f>IFERROR(VLOOKUP(A:A,[1]Export!$E:$Y,21,0),0)</f>
        <v>0</v>
      </c>
      <c r="D441">
        <v>0</v>
      </c>
    </row>
    <row r="442" spans="1:4">
      <c r="A442">
        <v>17572188</v>
      </c>
      <c r="B442">
        <v>0</v>
      </c>
      <c r="C442">
        <f>IFERROR(VLOOKUP(A:A,[1]Export!$E:$Y,21,0),0)</f>
        <v>0</v>
      </c>
      <c r="D442">
        <v>10</v>
      </c>
    </row>
    <row r="443" spans="1:4">
      <c r="A443">
        <v>17572210</v>
      </c>
      <c r="B443">
        <v>0</v>
      </c>
      <c r="C443">
        <f>IFERROR(VLOOKUP(A:A,[1]Export!$E:$Y,21,0),0)</f>
        <v>0</v>
      </c>
      <c r="D443">
        <v>0</v>
      </c>
    </row>
    <row r="444" spans="1:4">
      <c r="A444">
        <v>17572269</v>
      </c>
      <c r="B444">
        <v>1</v>
      </c>
      <c r="C444">
        <f>IFERROR(VLOOKUP(A:A,[1]Export!$E:$Y,21,0),0)</f>
        <v>0</v>
      </c>
      <c r="D444">
        <v>1</v>
      </c>
    </row>
    <row r="445" spans="1:4">
      <c r="A445">
        <v>17575257</v>
      </c>
      <c r="B445">
        <v>0</v>
      </c>
      <c r="C445">
        <f>IFERROR(VLOOKUP(A:A,[1]Export!$E:$Y,21,0),0)</f>
        <v>0</v>
      </c>
      <c r="D445">
        <v>0</v>
      </c>
    </row>
    <row r="446" spans="1:4">
      <c r="A446">
        <v>17576913</v>
      </c>
      <c r="B446">
        <v>2</v>
      </c>
      <c r="C446">
        <f>IFERROR(VLOOKUP(A:A,[1]Export!$E:$Y,21,0),0)</f>
        <v>0</v>
      </c>
      <c r="D446">
        <v>0</v>
      </c>
    </row>
    <row r="447" spans="1:4">
      <c r="A447">
        <v>17577035</v>
      </c>
      <c r="B447">
        <v>0</v>
      </c>
      <c r="C447">
        <f>IFERROR(VLOOKUP(A:A,[1]Export!$E:$Y,21,0),0)</f>
        <v>0</v>
      </c>
      <c r="D447">
        <v>0</v>
      </c>
    </row>
    <row r="448" spans="1:4">
      <c r="A448">
        <v>17577795</v>
      </c>
      <c r="B448">
        <v>4</v>
      </c>
      <c r="C448">
        <f>IFERROR(VLOOKUP(A:A,[1]Export!$E:$Y,21,0),0)</f>
        <v>0</v>
      </c>
      <c r="D448">
        <v>0</v>
      </c>
    </row>
    <row r="449" spans="1:4">
      <c r="A449">
        <v>17577971</v>
      </c>
      <c r="B449">
        <v>2</v>
      </c>
      <c r="C449">
        <f>IFERROR(VLOOKUP(A:A,[1]Export!$E:$Y,21,0),0)</f>
        <v>0</v>
      </c>
      <c r="D449">
        <v>0</v>
      </c>
    </row>
    <row r="450" spans="1:4">
      <c r="A450">
        <v>17579363</v>
      </c>
      <c r="B450">
        <v>0</v>
      </c>
      <c r="C450">
        <f>IFERROR(VLOOKUP(A:A,[1]Export!$E:$Y,21,0),0)</f>
        <v>0</v>
      </c>
      <c r="D450">
        <v>0</v>
      </c>
    </row>
    <row r="451" spans="1:4">
      <c r="A451">
        <v>17582760</v>
      </c>
      <c r="B451">
        <v>0</v>
      </c>
      <c r="C451">
        <f>IFERROR(VLOOKUP(A:A,[1]Export!$E:$Y,21,0),0)</f>
        <v>1680000</v>
      </c>
      <c r="D451">
        <v>0</v>
      </c>
    </row>
    <row r="452" spans="1:4">
      <c r="A452">
        <v>17588246</v>
      </c>
      <c r="B452">
        <v>1</v>
      </c>
      <c r="C452">
        <f>IFERROR(VLOOKUP(A:A,[1]Export!$E:$Y,21,0),0)</f>
        <v>0</v>
      </c>
      <c r="D452">
        <v>0</v>
      </c>
    </row>
    <row r="453" spans="1:4">
      <c r="A453">
        <v>17588664</v>
      </c>
      <c r="B453">
        <v>0</v>
      </c>
      <c r="C453">
        <f>IFERROR(VLOOKUP(A:A,[1]Export!$E:$Y,21,0),0)</f>
        <v>0</v>
      </c>
      <c r="D453">
        <v>0</v>
      </c>
    </row>
    <row r="454" spans="1:4">
      <c r="A454">
        <v>17588674</v>
      </c>
      <c r="B454">
        <v>0</v>
      </c>
      <c r="C454">
        <f>IFERROR(VLOOKUP(A:A,[1]Export!$E:$Y,21,0),0)</f>
        <v>0</v>
      </c>
      <c r="D454">
        <v>0</v>
      </c>
    </row>
    <row r="455" spans="1:4">
      <c r="A455">
        <v>17588676</v>
      </c>
      <c r="B455">
        <v>0</v>
      </c>
      <c r="C455">
        <f>IFERROR(VLOOKUP(A:A,[1]Export!$E:$Y,21,0),0)</f>
        <v>0</v>
      </c>
      <c r="D455">
        <v>0</v>
      </c>
    </row>
    <row r="456" spans="1:4">
      <c r="A456">
        <v>17588905</v>
      </c>
      <c r="B456">
        <v>0</v>
      </c>
      <c r="C456">
        <f>IFERROR(VLOOKUP(A:A,[1]Export!$E:$Y,21,0),0)</f>
        <v>0</v>
      </c>
      <c r="D456">
        <v>0</v>
      </c>
    </row>
    <row r="457" spans="1:4">
      <c r="A457">
        <v>17588929</v>
      </c>
      <c r="B457">
        <v>0</v>
      </c>
      <c r="C457">
        <f>IFERROR(VLOOKUP(A:A,[1]Export!$E:$Y,21,0),0)</f>
        <v>0</v>
      </c>
      <c r="D457">
        <v>0</v>
      </c>
    </row>
    <row r="458" spans="1:4">
      <c r="A458">
        <v>17588948</v>
      </c>
      <c r="B458">
        <v>0</v>
      </c>
      <c r="C458">
        <f>IFERROR(VLOOKUP(A:A,[1]Export!$E:$Y,21,0),0)</f>
        <v>0</v>
      </c>
      <c r="D458">
        <v>0</v>
      </c>
    </row>
    <row r="459" spans="1:4">
      <c r="A459">
        <v>17589272</v>
      </c>
      <c r="B459">
        <v>0</v>
      </c>
      <c r="C459">
        <f>IFERROR(VLOOKUP(A:A,[1]Export!$E:$Y,21,0),0)</f>
        <v>0</v>
      </c>
      <c r="D459">
        <v>0</v>
      </c>
    </row>
    <row r="460" spans="1:4">
      <c r="A460">
        <v>17589302</v>
      </c>
      <c r="B460">
        <v>0</v>
      </c>
      <c r="C460">
        <f>IFERROR(VLOOKUP(A:A,[1]Export!$E:$Y,21,0),0)</f>
        <v>0</v>
      </c>
      <c r="D460">
        <v>0</v>
      </c>
    </row>
    <row r="461" spans="1:4">
      <c r="A461">
        <v>17589390</v>
      </c>
      <c r="B461">
        <v>9</v>
      </c>
      <c r="C461">
        <f>IFERROR(VLOOKUP(A:A,[1]Export!$E:$Y,21,0),0)</f>
        <v>0</v>
      </c>
      <c r="D461">
        <v>0</v>
      </c>
    </row>
    <row r="462" spans="1:4">
      <c r="A462">
        <v>17590110</v>
      </c>
      <c r="B462">
        <v>0</v>
      </c>
      <c r="C462">
        <f>IFERROR(VLOOKUP(A:A,[1]Export!$E:$Y,21,0),0)</f>
        <v>0</v>
      </c>
      <c r="D462">
        <v>0</v>
      </c>
    </row>
    <row r="463" spans="1:4">
      <c r="A463">
        <v>17592478</v>
      </c>
      <c r="B463">
        <v>0</v>
      </c>
      <c r="C463">
        <f>IFERROR(VLOOKUP(A:A,[1]Export!$E:$Y,21,0),0)</f>
        <v>0</v>
      </c>
      <c r="D463">
        <v>0</v>
      </c>
    </row>
    <row r="464" spans="1:4">
      <c r="A464">
        <v>17592968</v>
      </c>
      <c r="B464">
        <v>0</v>
      </c>
      <c r="C464">
        <f>IFERROR(VLOOKUP(A:A,[1]Export!$E:$Y,21,0),0)</f>
        <v>0</v>
      </c>
      <c r="D464">
        <v>0</v>
      </c>
    </row>
    <row r="465" spans="1:4">
      <c r="A465">
        <v>17593516</v>
      </c>
      <c r="B465">
        <v>0</v>
      </c>
      <c r="C465">
        <f>IFERROR(VLOOKUP(A:A,[1]Export!$E:$Y,21,0),0)</f>
        <v>0</v>
      </c>
      <c r="D465">
        <v>0</v>
      </c>
    </row>
    <row r="466" spans="1:4">
      <c r="A466">
        <v>17593628</v>
      </c>
      <c r="B466">
        <v>0</v>
      </c>
      <c r="C466">
        <f>IFERROR(VLOOKUP(A:A,[1]Export!$E:$Y,21,0),0)</f>
        <v>0</v>
      </c>
      <c r="D466">
        <v>0</v>
      </c>
    </row>
    <row r="467" spans="1:4">
      <c r="A467">
        <v>17594144</v>
      </c>
      <c r="B467">
        <v>0</v>
      </c>
      <c r="C467">
        <f>IFERROR(VLOOKUP(A:A,[1]Export!$E:$Y,21,0),0)</f>
        <v>0</v>
      </c>
      <c r="D467">
        <v>0</v>
      </c>
    </row>
    <row r="468" spans="1:4">
      <c r="A468">
        <v>17594766</v>
      </c>
      <c r="B468">
        <v>3</v>
      </c>
      <c r="C468">
        <f>IFERROR(VLOOKUP(A:A,[1]Export!$E:$Y,21,0),0)</f>
        <v>0</v>
      </c>
      <c r="D468">
        <v>3</v>
      </c>
    </row>
    <row r="469" spans="1:4">
      <c r="A469">
        <v>17595029</v>
      </c>
      <c r="B469">
        <v>0</v>
      </c>
      <c r="C469">
        <f>IFERROR(VLOOKUP(A:A,[1]Export!$E:$Y,21,0),0)</f>
        <v>300000</v>
      </c>
      <c r="D469">
        <v>0</v>
      </c>
    </row>
    <row r="470" spans="1:4">
      <c r="A470">
        <v>17597717</v>
      </c>
      <c r="B470">
        <v>0</v>
      </c>
      <c r="C470">
        <f>IFERROR(VLOOKUP(A:A,[1]Export!$E:$Y,21,0),0)</f>
        <v>0</v>
      </c>
      <c r="D470">
        <v>0</v>
      </c>
    </row>
    <row r="471" spans="1:4">
      <c r="A471">
        <v>17598277</v>
      </c>
      <c r="B471">
        <v>1</v>
      </c>
      <c r="C471">
        <f>IFERROR(VLOOKUP(A:A,[1]Export!$E:$Y,21,0),0)</f>
        <v>0</v>
      </c>
      <c r="D471">
        <v>0</v>
      </c>
    </row>
    <row r="472" spans="1:4">
      <c r="A472">
        <v>17602077</v>
      </c>
      <c r="B472">
        <v>3</v>
      </c>
      <c r="C472">
        <f>IFERROR(VLOOKUP(A:A,[1]Export!$E:$Y,21,0),0)</f>
        <v>820000</v>
      </c>
      <c r="D472">
        <v>0</v>
      </c>
    </row>
    <row r="473" spans="1:4">
      <c r="A473">
        <v>17602778</v>
      </c>
      <c r="B473">
        <v>4</v>
      </c>
      <c r="C473">
        <f>IFERROR(VLOOKUP(A:A,[1]Export!$E:$Y,21,0),0)</f>
        <v>0</v>
      </c>
      <c r="D473">
        <v>0</v>
      </c>
    </row>
    <row r="474" spans="1:4">
      <c r="A474">
        <v>17602974</v>
      </c>
      <c r="B474">
        <v>1</v>
      </c>
      <c r="C474">
        <f>IFERROR(VLOOKUP(A:A,[1]Export!$E:$Y,21,0),0)</f>
        <v>0</v>
      </c>
      <c r="D474">
        <v>0</v>
      </c>
    </row>
    <row r="475" spans="1:4">
      <c r="A475">
        <v>17603370</v>
      </c>
      <c r="B475">
        <v>1</v>
      </c>
      <c r="C475">
        <f>IFERROR(VLOOKUP(A:A,[1]Export!$E:$Y,21,0),0)</f>
        <v>0</v>
      </c>
      <c r="D475">
        <v>0</v>
      </c>
    </row>
    <row r="476" spans="1:4">
      <c r="A476">
        <v>17603666</v>
      </c>
      <c r="B476">
        <v>0</v>
      </c>
      <c r="C476">
        <f>IFERROR(VLOOKUP(A:A,[1]Export!$E:$Y,21,0),0)</f>
        <v>0</v>
      </c>
      <c r="D476">
        <v>0</v>
      </c>
    </row>
    <row r="477" spans="1:4">
      <c r="A477">
        <v>17603721</v>
      </c>
      <c r="B477">
        <v>0</v>
      </c>
      <c r="C477">
        <f>IFERROR(VLOOKUP(A:A,[1]Export!$E:$Y,21,0),0)</f>
        <v>0</v>
      </c>
      <c r="D477">
        <v>0</v>
      </c>
    </row>
    <row r="478" spans="1:4">
      <c r="A478">
        <v>17604557</v>
      </c>
      <c r="B478">
        <v>0</v>
      </c>
      <c r="C478">
        <f>IFERROR(VLOOKUP(A:A,[1]Export!$E:$Y,21,0),0)</f>
        <v>0</v>
      </c>
      <c r="D478">
        <v>0</v>
      </c>
    </row>
    <row r="479" spans="1:4">
      <c r="A479">
        <v>17605456</v>
      </c>
      <c r="B479">
        <v>0</v>
      </c>
      <c r="C479">
        <f>IFERROR(VLOOKUP(A:A,[1]Export!$E:$Y,21,0),0)</f>
        <v>0</v>
      </c>
      <c r="D479">
        <v>0</v>
      </c>
    </row>
    <row r="480" spans="1:4">
      <c r="A480">
        <v>17605559</v>
      </c>
      <c r="B480">
        <v>0</v>
      </c>
      <c r="C480">
        <f>IFERROR(VLOOKUP(A:A,[1]Export!$E:$Y,21,0),0)</f>
        <v>0</v>
      </c>
      <c r="D480">
        <v>0</v>
      </c>
    </row>
    <row r="481" spans="1:4">
      <c r="A481">
        <v>17607319</v>
      </c>
      <c r="B481">
        <v>0</v>
      </c>
      <c r="C481">
        <f>IFERROR(VLOOKUP(A:A,[1]Export!$E:$Y,21,0),0)</f>
        <v>52800</v>
      </c>
      <c r="D481">
        <v>0</v>
      </c>
    </row>
    <row r="482" spans="1:4">
      <c r="A482">
        <v>17608164</v>
      </c>
      <c r="B482">
        <v>0</v>
      </c>
      <c r="C482">
        <f>IFERROR(VLOOKUP(A:A,[1]Export!$E:$Y,21,0),0)</f>
        <v>0</v>
      </c>
      <c r="D482">
        <v>0</v>
      </c>
    </row>
    <row r="483" spans="1:4">
      <c r="A483">
        <v>17608447</v>
      </c>
      <c r="B483">
        <v>0</v>
      </c>
      <c r="C483">
        <f>IFERROR(VLOOKUP(A:A,[1]Export!$E:$Y,21,0),0)</f>
        <v>182000</v>
      </c>
      <c r="D483">
        <v>0</v>
      </c>
    </row>
    <row r="484" spans="1:4">
      <c r="A484">
        <v>17609200</v>
      </c>
      <c r="B484">
        <v>0</v>
      </c>
      <c r="C484">
        <f>IFERROR(VLOOKUP(A:A,[1]Export!$E:$Y,21,0),0)</f>
        <v>0</v>
      </c>
      <c r="D484">
        <v>0</v>
      </c>
    </row>
    <row r="485" spans="1:4">
      <c r="A485">
        <v>17609573</v>
      </c>
      <c r="B485">
        <v>0</v>
      </c>
      <c r="C485">
        <f>IFERROR(VLOOKUP(A:A,[1]Export!$E:$Y,21,0),0)</f>
        <v>0</v>
      </c>
      <c r="D485">
        <v>0</v>
      </c>
    </row>
    <row r="486" spans="1:4">
      <c r="A486">
        <v>17609597</v>
      </c>
      <c r="B486">
        <v>0</v>
      </c>
      <c r="C486">
        <f>IFERROR(VLOOKUP(A:A,[1]Export!$E:$Y,21,0),0)</f>
        <v>2641200</v>
      </c>
      <c r="D486">
        <v>0</v>
      </c>
    </row>
    <row r="487" spans="1:4">
      <c r="A487">
        <v>17610235</v>
      </c>
      <c r="B487">
        <v>0</v>
      </c>
      <c r="C487">
        <f>IFERROR(VLOOKUP(A:A,[1]Export!$E:$Y,21,0),0)</f>
        <v>0</v>
      </c>
      <c r="D487">
        <v>0</v>
      </c>
    </row>
    <row r="488" spans="1:4">
      <c r="A488">
        <v>17611687</v>
      </c>
      <c r="B488">
        <v>0</v>
      </c>
      <c r="C488">
        <f>IFERROR(VLOOKUP(A:A,[1]Export!$E:$Y,21,0),0)</f>
        <v>0</v>
      </c>
      <c r="D488">
        <v>0</v>
      </c>
    </row>
    <row r="489" spans="1:4">
      <c r="A489">
        <v>17611702</v>
      </c>
      <c r="B489">
        <v>1</v>
      </c>
      <c r="C489">
        <f>IFERROR(VLOOKUP(A:A,[1]Export!$E:$Y,21,0),0)</f>
        <v>150000</v>
      </c>
      <c r="D489">
        <v>0</v>
      </c>
    </row>
    <row r="490" spans="1:4">
      <c r="A490">
        <v>17611750</v>
      </c>
      <c r="B490">
        <v>0</v>
      </c>
      <c r="C490">
        <f>IFERROR(VLOOKUP(A:A,[1]Export!$E:$Y,21,0),0)</f>
        <v>0</v>
      </c>
      <c r="D490">
        <v>0</v>
      </c>
    </row>
    <row r="491" spans="1:4">
      <c r="A491">
        <v>17611798</v>
      </c>
      <c r="B491">
        <v>0</v>
      </c>
      <c r="C491">
        <f>IFERROR(VLOOKUP(A:A,[1]Export!$E:$Y,21,0),0)</f>
        <v>85000</v>
      </c>
      <c r="D491">
        <v>0</v>
      </c>
    </row>
    <row r="492" spans="1:4">
      <c r="A492">
        <v>17611817</v>
      </c>
      <c r="B492">
        <v>1</v>
      </c>
      <c r="C492">
        <f>IFERROR(VLOOKUP(A:A,[1]Export!$E:$Y,21,0),0)</f>
        <v>0</v>
      </c>
      <c r="D492">
        <v>0</v>
      </c>
    </row>
    <row r="493" spans="1:4">
      <c r="A493">
        <v>17611830</v>
      </c>
      <c r="B493">
        <v>0</v>
      </c>
      <c r="C493">
        <f>IFERROR(VLOOKUP(A:A,[1]Export!$E:$Y,21,0),0)</f>
        <v>504000</v>
      </c>
      <c r="D493">
        <v>0</v>
      </c>
    </row>
    <row r="494" spans="1:4">
      <c r="A494">
        <v>17611841</v>
      </c>
      <c r="B494">
        <v>0</v>
      </c>
      <c r="C494">
        <f>IFERROR(VLOOKUP(A:A,[1]Export!$E:$Y,21,0),0)</f>
        <v>0</v>
      </c>
      <c r="D494">
        <v>0</v>
      </c>
    </row>
    <row r="495" spans="1:4">
      <c r="A495">
        <v>17611859</v>
      </c>
      <c r="B495">
        <v>0</v>
      </c>
      <c r="C495">
        <f>IFERROR(VLOOKUP(A:A,[1]Export!$E:$Y,21,0),0)</f>
        <v>0</v>
      </c>
      <c r="D495">
        <v>0</v>
      </c>
    </row>
    <row r="496" spans="1:4">
      <c r="A496">
        <v>17611881</v>
      </c>
      <c r="B496">
        <v>0</v>
      </c>
      <c r="C496">
        <f>IFERROR(VLOOKUP(A:A,[1]Export!$E:$Y,21,0),0)</f>
        <v>0</v>
      </c>
      <c r="D496">
        <v>0</v>
      </c>
    </row>
    <row r="497" spans="1:4">
      <c r="A497">
        <v>17612068</v>
      </c>
      <c r="B497">
        <v>0</v>
      </c>
      <c r="C497">
        <f>IFERROR(VLOOKUP(A:A,[1]Export!$E:$Y,21,0),0)</f>
        <v>0</v>
      </c>
      <c r="D497">
        <v>0</v>
      </c>
    </row>
    <row r="498" spans="1:4">
      <c r="A498">
        <v>17612084</v>
      </c>
      <c r="B498">
        <v>1</v>
      </c>
      <c r="C498">
        <f>IFERROR(VLOOKUP(A:A,[1]Export!$E:$Y,21,0),0)</f>
        <v>0</v>
      </c>
      <c r="D498">
        <v>0</v>
      </c>
    </row>
    <row r="499" spans="1:4">
      <c r="A499">
        <v>17612090</v>
      </c>
      <c r="B499">
        <v>0</v>
      </c>
      <c r="C499">
        <f>IFERROR(VLOOKUP(A:A,[1]Export!$E:$Y,21,0),0)</f>
        <v>0</v>
      </c>
      <c r="D499">
        <v>0</v>
      </c>
    </row>
    <row r="500" spans="1:4">
      <c r="A500">
        <v>17612118</v>
      </c>
      <c r="B500">
        <v>0</v>
      </c>
      <c r="C500">
        <f>IFERROR(VLOOKUP(A:A,[1]Export!$E:$Y,21,0),0)</f>
        <v>0</v>
      </c>
      <c r="D500">
        <v>0</v>
      </c>
    </row>
    <row r="501" spans="1:4">
      <c r="A501">
        <v>17612149</v>
      </c>
      <c r="B501">
        <v>0</v>
      </c>
      <c r="C501">
        <f>IFERROR(VLOOKUP(A:A,[1]Export!$E:$Y,21,0),0)</f>
        <v>0</v>
      </c>
      <c r="D501">
        <v>0</v>
      </c>
    </row>
    <row r="502" spans="1:4">
      <c r="A502">
        <v>17612187</v>
      </c>
      <c r="B502">
        <v>0</v>
      </c>
      <c r="C502">
        <f>IFERROR(VLOOKUP(A:A,[1]Export!$E:$Y,21,0),0)</f>
        <v>0</v>
      </c>
      <c r="D502">
        <v>0</v>
      </c>
    </row>
    <row r="503" spans="1:4">
      <c r="A503">
        <v>17612193</v>
      </c>
      <c r="B503">
        <v>1</v>
      </c>
      <c r="C503">
        <f>IFERROR(VLOOKUP(A:A,[1]Export!$E:$Y,21,0),0)</f>
        <v>0</v>
      </c>
      <c r="D503">
        <v>0</v>
      </c>
    </row>
    <row r="504" spans="1:4">
      <c r="A504">
        <v>17612209</v>
      </c>
      <c r="B504">
        <v>0</v>
      </c>
      <c r="C504">
        <f>IFERROR(VLOOKUP(A:A,[1]Export!$E:$Y,21,0),0)</f>
        <v>0</v>
      </c>
      <c r="D504">
        <v>0</v>
      </c>
    </row>
    <row r="505" spans="1:4">
      <c r="A505">
        <v>17612210</v>
      </c>
      <c r="B505">
        <v>0</v>
      </c>
      <c r="C505">
        <f>IFERROR(VLOOKUP(A:A,[1]Export!$E:$Y,21,0),0)</f>
        <v>0</v>
      </c>
      <c r="D505">
        <v>0</v>
      </c>
    </row>
    <row r="506" spans="1:4">
      <c r="A506">
        <v>17612215</v>
      </c>
      <c r="B506">
        <v>0</v>
      </c>
      <c r="C506">
        <f>IFERROR(VLOOKUP(A:A,[1]Export!$E:$Y,21,0),0)</f>
        <v>552000</v>
      </c>
      <c r="D506">
        <v>0</v>
      </c>
    </row>
    <row r="507" spans="1:4">
      <c r="A507">
        <v>17612231</v>
      </c>
      <c r="B507">
        <v>0</v>
      </c>
      <c r="C507">
        <f>IFERROR(VLOOKUP(A:A,[1]Export!$E:$Y,21,0),0)</f>
        <v>0</v>
      </c>
      <c r="D507">
        <v>1</v>
      </c>
    </row>
    <row r="508" spans="1:4">
      <c r="A508">
        <v>17613077</v>
      </c>
      <c r="B508">
        <v>0</v>
      </c>
      <c r="C508">
        <f>IFERROR(VLOOKUP(A:A,[1]Export!$E:$Y,21,0),0)</f>
        <v>0</v>
      </c>
      <c r="D508">
        <v>0</v>
      </c>
    </row>
    <row r="509" spans="1:4">
      <c r="A509">
        <v>17613115</v>
      </c>
      <c r="B509">
        <v>1</v>
      </c>
      <c r="C509">
        <f>IFERROR(VLOOKUP(A:A,[1]Export!$E:$Y,21,0),0)</f>
        <v>0</v>
      </c>
      <c r="D509">
        <v>0</v>
      </c>
    </row>
    <row r="510" spans="1:4">
      <c r="A510">
        <v>17613310</v>
      </c>
      <c r="B510">
        <v>0</v>
      </c>
      <c r="C510">
        <f>IFERROR(VLOOKUP(A:A,[1]Export!$E:$Y,21,0),0)</f>
        <v>0</v>
      </c>
      <c r="D510">
        <v>0</v>
      </c>
    </row>
    <row r="511" spans="1:4">
      <c r="A511">
        <v>17613748</v>
      </c>
      <c r="B511">
        <v>0</v>
      </c>
      <c r="C511">
        <f>IFERROR(VLOOKUP(A:A,[1]Export!$E:$Y,21,0),0)</f>
        <v>0</v>
      </c>
      <c r="D511">
        <v>0</v>
      </c>
    </row>
    <row r="512" spans="1:4">
      <c r="A512">
        <v>17613779</v>
      </c>
      <c r="B512">
        <v>0</v>
      </c>
      <c r="C512">
        <f>IFERROR(VLOOKUP(A:A,[1]Export!$E:$Y,21,0),0)</f>
        <v>0</v>
      </c>
      <c r="D512">
        <v>0</v>
      </c>
    </row>
    <row r="513" spans="1:4">
      <c r="A513">
        <v>17613976</v>
      </c>
      <c r="B513">
        <v>0</v>
      </c>
      <c r="C513">
        <f>IFERROR(VLOOKUP(A:A,[1]Export!$E:$Y,21,0),0)</f>
        <v>0</v>
      </c>
      <c r="D513">
        <v>0</v>
      </c>
    </row>
    <row r="514" spans="1:4">
      <c r="A514">
        <v>17614034</v>
      </c>
      <c r="B514">
        <v>0</v>
      </c>
      <c r="C514">
        <f>IFERROR(VLOOKUP(A:A,[1]Export!$E:$Y,21,0),0)</f>
        <v>0</v>
      </c>
      <c r="D514">
        <v>0</v>
      </c>
    </row>
    <row r="515" spans="1:4">
      <c r="A515">
        <v>17614624</v>
      </c>
      <c r="B515">
        <v>0</v>
      </c>
      <c r="C515">
        <f>IFERROR(VLOOKUP(A:A,[1]Export!$E:$Y,21,0),0)</f>
        <v>0</v>
      </c>
      <c r="D515">
        <v>0</v>
      </c>
    </row>
    <row r="516" spans="1:4">
      <c r="A516">
        <v>17614628</v>
      </c>
      <c r="B516">
        <v>1</v>
      </c>
      <c r="C516">
        <f>IFERROR(VLOOKUP(A:A,[1]Export!$E:$Y,21,0),0)</f>
        <v>0</v>
      </c>
      <c r="D516">
        <v>0</v>
      </c>
    </row>
    <row r="517" spans="1:4">
      <c r="A517">
        <v>17616162</v>
      </c>
      <c r="B517">
        <v>0</v>
      </c>
      <c r="C517">
        <f>IFERROR(VLOOKUP(A:A,[1]Export!$E:$Y,21,0),0)</f>
        <v>0</v>
      </c>
      <c r="D517">
        <v>0</v>
      </c>
    </row>
    <row r="518" spans="1:4">
      <c r="A518">
        <v>17616747</v>
      </c>
      <c r="B518">
        <v>0</v>
      </c>
      <c r="C518">
        <f>IFERROR(VLOOKUP(A:A,[1]Export!$E:$Y,21,0),0)</f>
        <v>0</v>
      </c>
      <c r="D518">
        <v>5</v>
      </c>
    </row>
    <row r="519" spans="1:4">
      <c r="A519">
        <v>17618916</v>
      </c>
      <c r="B519">
        <v>3</v>
      </c>
      <c r="C519">
        <f>IFERROR(VLOOKUP(A:A,[1]Export!$E:$Y,21,0),0)</f>
        <v>0</v>
      </c>
      <c r="D519">
        <v>0</v>
      </c>
    </row>
    <row r="520" spans="1:4">
      <c r="A520">
        <v>17620027</v>
      </c>
      <c r="B520">
        <v>0</v>
      </c>
      <c r="C520">
        <f>IFERROR(VLOOKUP(A:A,[1]Export!$E:$Y,21,0),0)</f>
        <v>0</v>
      </c>
      <c r="D520">
        <v>0</v>
      </c>
    </row>
    <row r="521" spans="1:4">
      <c r="A521">
        <v>17620875</v>
      </c>
      <c r="B521">
        <v>1</v>
      </c>
      <c r="C521">
        <f>IFERROR(VLOOKUP(A:A,[1]Export!$E:$Y,21,0),0)</f>
        <v>0</v>
      </c>
      <c r="D521">
        <v>0</v>
      </c>
    </row>
    <row r="522" spans="1:4">
      <c r="A522">
        <v>17621375</v>
      </c>
      <c r="B522">
        <v>0</v>
      </c>
      <c r="C522">
        <f>IFERROR(VLOOKUP(A:A,[1]Export!$E:$Y,21,0),0)</f>
        <v>0</v>
      </c>
      <c r="D522">
        <v>0</v>
      </c>
    </row>
    <row r="523" spans="1:4">
      <c r="A523">
        <v>17621503</v>
      </c>
      <c r="B523">
        <v>2</v>
      </c>
      <c r="C523">
        <f>IFERROR(VLOOKUP(A:A,[1]Export!$E:$Y,21,0),0)</f>
        <v>0</v>
      </c>
      <c r="D523">
        <v>0</v>
      </c>
    </row>
    <row r="524" spans="1:4">
      <c r="A524">
        <v>17621518</v>
      </c>
      <c r="B524">
        <v>0</v>
      </c>
      <c r="C524">
        <f>IFERROR(VLOOKUP(A:A,[1]Export!$E:$Y,21,0),0)</f>
        <v>0</v>
      </c>
      <c r="D524">
        <v>3</v>
      </c>
    </row>
    <row r="525" spans="1:4">
      <c r="A525">
        <v>17621597</v>
      </c>
      <c r="B525">
        <v>0</v>
      </c>
      <c r="C525">
        <f>IFERROR(VLOOKUP(A:A,[1]Export!$E:$Y,21,0),0)</f>
        <v>0</v>
      </c>
      <c r="D525">
        <v>0</v>
      </c>
    </row>
    <row r="526" spans="1:4">
      <c r="A526">
        <v>17621848</v>
      </c>
      <c r="B526">
        <v>0</v>
      </c>
      <c r="C526">
        <f>IFERROR(VLOOKUP(A:A,[1]Export!$E:$Y,21,0),0)</f>
        <v>0</v>
      </c>
      <c r="D526">
        <v>0</v>
      </c>
    </row>
    <row r="527" spans="1:4">
      <c r="A527">
        <v>17622240</v>
      </c>
      <c r="B527">
        <v>0</v>
      </c>
      <c r="C527">
        <f>IFERROR(VLOOKUP(A:A,[1]Export!$E:$Y,21,0),0)</f>
        <v>717600</v>
      </c>
      <c r="D527">
        <v>0</v>
      </c>
    </row>
    <row r="528" spans="1:4">
      <c r="A528">
        <v>17622421</v>
      </c>
      <c r="B528">
        <v>2</v>
      </c>
      <c r="C528">
        <f>IFERROR(VLOOKUP(A:A,[1]Export!$E:$Y,21,0),0)</f>
        <v>0</v>
      </c>
      <c r="D528">
        <v>1</v>
      </c>
    </row>
    <row r="529" spans="1:4">
      <c r="A529">
        <v>17622706</v>
      </c>
      <c r="B529">
        <v>0</v>
      </c>
      <c r="C529">
        <f>IFERROR(VLOOKUP(A:A,[1]Export!$E:$Y,21,0),0)</f>
        <v>0</v>
      </c>
      <c r="D529">
        <v>0</v>
      </c>
    </row>
    <row r="530" spans="1:4">
      <c r="A530">
        <v>17625989</v>
      </c>
      <c r="B530">
        <v>0</v>
      </c>
      <c r="C530">
        <f>IFERROR(VLOOKUP(A:A,[1]Export!$E:$Y,21,0),0)</f>
        <v>0</v>
      </c>
      <c r="D530">
        <v>0</v>
      </c>
    </row>
    <row r="531" spans="1:4">
      <c r="A531">
        <v>17626269</v>
      </c>
      <c r="B531">
        <v>0</v>
      </c>
      <c r="C531">
        <f>IFERROR(VLOOKUP(A:A,[1]Export!$E:$Y,21,0),0)</f>
        <v>0</v>
      </c>
      <c r="D531">
        <v>0</v>
      </c>
    </row>
    <row r="532" spans="1:4">
      <c r="A532">
        <v>17626277</v>
      </c>
      <c r="B532">
        <v>0</v>
      </c>
      <c r="C532">
        <f>IFERROR(VLOOKUP(A:A,[1]Export!$E:$Y,21,0),0)</f>
        <v>336000</v>
      </c>
      <c r="D532">
        <v>0</v>
      </c>
    </row>
    <row r="533" spans="1:4">
      <c r="A533">
        <v>17628338</v>
      </c>
      <c r="B533">
        <v>0</v>
      </c>
      <c r="C533">
        <f>IFERROR(VLOOKUP(A:A,[1]Export!$E:$Y,21,0),0)</f>
        <v>4265000</v>
      </c>
      <c r="D533">
        <v>0</v>
      </c>
    </row>
    <row r="534" spans="1:4">
      <c r="A534">
        <v>17628543</v>
      </c>
      <c r="B534">
        <v>0</v>
      </c>
      <c r="C534">
        <f>IFERROR(VLOOKUP(A:A,[1]Export!$E:$Y,21,0),0)</f>
        <v>0</v>
      </c>
      <c r="D534">
        <v>0</v>
      </c>
    </row>
    <row r="535" spans="1:4">
      <c r="A535">
        <v>17628858</v>
      </c>
      <c r="B535">
        <v>0</v>
      </c>
      <c r="C535">
        <f>IFERROR(VLOOKUP(A:A,[1]Export!$E:$Y,21,0),0)</f>
        <v>0</v>
      </c>
      <c r="D535">
        <v>0</v>
      </c>
    </row>
    <row r="536" spans="1:4">
      <c r="A536">
        <v>17628885</v>
      </c>
      <c r="B536">
        <v>0</v>
      </c>
      <c r="C536">
        <f>IFERROR(VLOOKUP(A:A,[1]Export!$E:$Y,21,0),0)</f>
        <v>0</v>
      </c>
      <c r="D536">
        <v>10</v>
      </c>
    </row>
    <row r="537" spans="1:4">
      <c r="A537">
        <v>17628917</v>
      </c>
      <c r="B537">
        <v>0</v>
      </c>
      <c r="C537">
        <f>IFERROR(VLOOKUP(A:A,[1]Export!$E:$Y,21,0),0)</f>
        <v>0</v>
      </c>
      <c r="D537">
        <v>0</v>
      </c>
    </row>
    <row r="538" spans="1:4">
      <c r="A538">
        <v>17629046</v>
      </c>
      <c r="B538">
        <v>0</v>
      </c>
      <c r="C538">
        <f>IFERROR(VLOOKUP(A:A,[1]Export!$E:$Y,21,0),0)</f>
        <v>0</v>
      </c>
      <c r="D538">
        <v>0</v>
      </c>
    </row>
    <row r="539" spans="1:4">
      <c r="A539">
        <v>17629091</v>
      </c>
      <c r="B539">
        <v>0</v>
      </c>
      <c r="C539">
        <f>IFERROR(VLOOKUP(A:A,[1]Export!$E:$Y,21,0),0)</f>
        <v>0</v>
      </c>
      <c r="D539">
        <v>0</v>
      </c>
    </row>
    <row r="540" spans="1:4">
      <c r="A540">
        <v>17629157</v>
      </c>
      <c r="B540">
        <v>1</v>
      </c>
      <c r="C540">
        <f>IFERROR(VLOOKUP(A:A,[1]Export!$E:$Y,21,0),0)</f>
        <v>0</v>
      </c>
      <c r="D540">
        <v>18</v>
      </c>
    </row>
    <row r="541" spans="1:4">
      <c r="A541">
        <v>17629208</v>
      </c>
      <c r="B541">
        <v>1</v>
      </c>
      <c r="C541">
        <f>IFERROR(VLOOKUP(A:A,[1]Export!$E:$Y,21,0),0)</f>
        <v>0</v>
      </c>
      <c r="D541">
        <v>0</v>
      </c>
    </row>
    <row r="542" spans="1:4">
      <c r="A542">
        <v>17629706</v>
      </c>
      <c r="B542">
        <v>0</v>
      </c>
      <c r="C542">
        <f>IFERROR(VLOOKUP(A:A,[1]Export!$E:$Y,21,0),0)</f>
        <v>0</v>
      </c>
      <c r="D542">
        <v>0</v>
      </c>
    </row>
    <row r="543" spans="1:4">
      <c r="A543">
        <v>17630021</v>
      </c>
      <c r="B543">
        <v>1</v>
      </c>
      <c r="C543">
        <f>IFERROR(VLOOKUP(A:A,[1]Export!$E:$Y,21,0),0)</f>
        <v>0</v>
      </c>
      <c r="D543">
        <v>0</v>
      </c>
    </row>
    <row r="544" spans="1:4">
      <c r="A544">
        <v>17630043</v>
      </c>
      <c r="B544">
        <v>0</v>
      </c>
      <c r="C544">
        <f>IFERROR(VLOOKUP(A:A,[1]Export!$E:$Y,21,0),0)</f>
        <v>0</v>
      </c>
      <c r="D544">
        <v>0</v>
      </c>
    </row>
    <row r="545" spans="1:4">
      <c r="A545">
        <v>17630059</v>
      </c>
      <c r="B545">
        <v>0</v>
      </c>
      <c r="C545">
        <f>IFERROR(VLOOKUP(A:A,[1]Export!$E:$Y,21,0),0)</f>
        <v>0</v>
      </c>
      <c r="D545">
        <v>0</v>
      </c>
    </row>
    <row r="546" spans="1:4">
      <c r="A546">
        <v>17630100</v>
      </c>
      <c r="B546">
        <v>0</v>
      </c>
      <c r="C546">
        <f>IFERROR(VLOOKUP(A:A,[1]Export!$E:$Y,21,0),0)</f>
        <v>0</v>
      </c>
      <c r="D546">
        <v>0</v>
      </c>
    </row>
    <row r="547" spans="1:4">
      <c r="A547">
        <v>17630563</v>
      </c>
      <c r="B547">
        <v>1</v>
      </c>
      <c r="C547">
        <f>IFERROR(VLOOKUP(A:A,[1]Export!$E:$Y,21,0),0)</f>
        <v>0</v>
      </c>
      <c r="D547">
        <v>0</v>
      </c>
    </row>
    <row r="548" spans="1:4">
      <c r="A548">
        <v>17630592</v>
      </c>
      <c r="B548">
        <v>0</v>
      </c>
      <c r="C548">
        <f>IFERROR(VLOOKUP(A:A,[1]Export!$E:$Y,21,0),0)</f>
        <v>0</v>
      </c>
      <c r="D548">
        <v>0</v>
      </c>
    </row>
    <row r="549" spans="1:4">
      <c r="A549">
        <v>17630595</v>
      </c>
      <c r="B549">
        <v>0</v>
      </c>
      <c r="C549">
        <f>IFERROR(VLOOKUP(A:A,[1]Export!$E:$Y,21,0),0)</f>
        <v>0</v>
      </c>
      <c r="D549">
        <v>0</v>
      </c>
    </row>
    <row r="550" spans="1:4">
      <c r="A550">
        <v>17630673</v>
      </c>
      <c r="B550">
        <v>0</v>
      </c>
      <c r="C550">
        <f>IFERROR(VLOOKUP(A:A,[1]Export!$E:$Y,21,0),0)</f>
        <v>0</v>
      </c>
      <c r="D550">
        <v>0</v>
      </c>
    </row>
    <row r="551" spans="1:4">
      <c r="A551">
        <v>17630682</v>
      </c>
      <c r="B551">
        <v>0</v>
      </c>
      <c r="C551">
        <f>IFERROR(VLOOKUP(A:A,[1]Export!$E:$Y,21,0),0)</f>
        <v>0</v>
      </c>
      <c r="D551">
        <v>0</v>
      </c>
    </row>
    <row r="552" spans="1:4">
      <c r="A552">
        <v>17630694</v>
      </c>
      <c r="B552">
        <v>0</v>
      </c>
      <c r="C552">
        <f>IFERROR(VLOOKUP(A:A,[1]Export!$E:$Y,21,0),0)</f>
        <v>0</v>
      </c>
      <c r="D552">
        <v>0</v>
      </c>
    </row>
    <row r="553" spans="1:4">
      <c r="A553">
        <v>17630813</v>
      </c>
      <c r="B553">
        <v>0</v>
      </c>
      <c r="C553">
        <f>IFERROR(VLOOKUP(A:A,[1]Export!$E:$Y,21,0),0)</f>
        <v>0</v>
      </c>
      <c r="D553">
        <v>0</v>
      </c>
    </row>
    <row r="554" spans="1:4">
      <c r="A554">
        <v>17631199</v>
      </c>
      <c r="B554">
        <v>0</v>
      </c>
      <c r="C554">
        <f>IFERROR(VLOOKUP(A:A,[1]Export!$E:$Y,21,0),0)</f>
        <v>0</v>
      </c>
      <c r="D554">
        <v>0</v>
      </c>
    </row>
    <row r="555" spans="1:4">
      <c r="A555">
        <v>17631242</v>
      </c>
      <c r="B555">
        <v>0</v>
      </c>
      <c r="C555">
        <f>IFERROR(VLOOKUP(A:A,[1]Export!$E:$Y,21,0),0)</f>
        <v>0</v>
      </c>
      <c r="D555">
        <v>0</v>
      </c>
    </row>
    <row r="556" spans="1:4">
      <c r="A556">
        <v>17631669</v>
      </c>
      <c r="B556">
        <v>2</v>
      </c>
      <c r="C556">
        <f>IFERROR(VLOOKUP(A:A,[1]Export!$E:$Y,21,0),0)</f>
        <v>0</v>
      </c>
      <c r="D556">
        <v>0</v>
      </c>
    </row>
    <row r="557" spans="1:4">
      <c r="A557">
        <v>17631777</v>
      </c>
      <c r="B557">
        <v>0</v>
      </c>
      <c r="C557">
        <f>IFERROR(VLOOKUP(A:A,[1]Export!$E:$Y,21,0),0)</f>
        <v>0</v>
      </c>
      <c r="D557">
        <v>0</v>
      </c>
    </row>
    <row r="558" spans="1:4">
      <c r="A558">
        <v>17631792</v>
      </c>
      <c r="B558">
        <v>0</v>
      </c>
      <c r="C558">
        <f>IFERROR(VLOOKUP(A:A,[1]Export!$E:$Y,21,0),0)</f>
        <v>0</v>
      </c>
      <c r="D558">
        <v>0</v>
      </c>
    </row>
    <row r="559" spans="1:4">
      <c r="A559">
        <v>17632197</v>
      </c>
      <c r="B559">
        <v>1</v>
      </c>
      <c r="C559">
        <f>IFERROR(VLOOKUP(A:A,[1]Export!$E:$Y,21,0),0)</f>
        <v>0</v>
      </c>
      <c r="D559">
        <v>0</v>
      </c>
    </row>
    <row r="560" spans="1:4">
      <c r="A560">
        <v>17632427</v>
      </c>
      <c r="B560">
        <v>0</v>
      </c>
      <c r="C560">
        <f>IFERROR(VLOOKUP(A:A,[1]Export!$E:$Y,21,0),0)</f>
        <v>0</v>
      </c>
      <c r="D560">
        <v>0</v>
      </c>
    </row>
    <row r="561" spans="1:4">
      <c r="A561">
        <v>17632570</v>
      </c>
      <c r="B561">
        <v>0</v>
      </c>
      <c r="C561">
        <f>IFERROR(VLOOKUP(A:A,[1]Export!$E:$Y,21,0),0)</f>
        <v>0</v>
      </c>
      <c r="D561">
        <v>0</v>
      </c>
    </row>
    <row r="562" spans="1:4">
      <c r="A562">
        <v>17634230</v>
      </c>
      <c r="B562">
        <v>0</v>
      </c>
      <c r="C562">
        <f>IFERROR(VLOOKUP(A:A,[1]Export!$E:$Y,21,0),0)</f>
        <v>5058000</v>
      </c>
      <c r="D562">
        <v>0</v>
      </c>
    </row>
    <row r="563" spans="1:4">
      <c r="A563">
        <v>17634234</v>
      </c>
      <c r="B563">
        <v>7</v>
      </c>
      <c r="C563">
        <f>IFERROR(VLOOKUP(A:A,[1]Export!$E:$Y,21,0),0)</f>
        <v>0</v>
      </c>
      <c r="D563">
        <v>0</v>
      </c>
    </row>
    <row r="564" spans="1:4">
      <c r="A564">
        <v>17634238</v>
      </c>
      <c r="B564">
        <v>0</v>
      </c>
      <c r="C564">
        <f>IFERROR(VLOOKUP(A:A,[1]Export!$E:$Y,21,0),0)</f>
        <v>0</v>
      </c>
      <c r="D564">
        <v>0</v>
      </c>
    </row>
    <row r="565" spans="1:4">
      <c r="A565">
        <v>17634254</v>
      </c>
      <c r="B565">
        <v>0</v>
      </c>
      <c r="C565">
        <f>IFERROR(VLOOKUP(A:A,[1]Export!$E:$Y,21,0),0)</f>
        <v>0</v>
      </c>
      <c r="D565">
        <v>0</v>
      </c>
    </row>
    <row r="566" spans="1:4">
      <c r="A566">
        <v>17634262</v>
      </c>
      <c r="B566">
        <v>0</v>
      </c>
      <c r="C566">
        <f>IFERROR(VLOOKUP(A:A,[1]Export!$E:$Y,21,0),0)</f>
        <v>336000</v>
      </c>
      <c r="D566">
        <v>0</v>
      </c>
    </row>
    <row r="567" spans="1:4">
      <c r="A567">
        <v>17635117</v>
      </c>
      <c r="B567">
        <v>0</v>
      </c>
      <c r="C567">
        <f>IFERROR(VLOOKUP(A:A,[1]Export!$E:$Y,21,0),0)</f>
        <v>0</v>
      </c>
      <c r="D567">
        <v>10</v>
      </c>
    </row>
    <row r="568" spans="1:4">
      <c r="A568">
        <v>17635149</v>
      </c>
      <c r="B568">
        <v>1</v>
      </c>
      <c r="C568">
        <f>IFERROR(VLOOKUP(A:A,[1]Export!$E:$Y,21,0),0)</f>
        <v>0</v>
      </c>
      <c r="D568">
        <v>3</v>
      </c>
    </row>
    <row r="569" spans="1:4">
      <c r="A569">
        <v>17635487</v>
      </c>
      <c r="B569">
        <v>0</v>
      </c>
      <c r="C569">
        <f>IFERROR(VLOOKUP(A:A,[1]Export!$E:$Y,21,0),0)</f>
        <v>0</v>
      </c>
      <c r="D569">
        <v>0</v>
      </c>
    </row>
    <row r="570" spans="1:4">
      <c r="A570">
        <v>17635527</v>
      </c>
      <c r="B570">
        <v>0</v>
      </c>
      <c r="C570">
        <f>IFERROR(VLOOKUP(A:A,[1]Export!$E:$Y,21,0),0)</f>
        <v>0</v>
      </c>
      <c r="D570">
        <v>0</v>
      </c>
    </row>
    <row r="571" spans="1:4">
      <c r="A571">
        <v>17635958</v>
      </c>
      <c r="B571">
        <v>2</v>
      </c>
      <c r="C571">
        <f>IFERROR(VLOOKUP(A:A,[1]Export!$E:$Y,21,0),0)</f>
        <v>0</v>
      </c>
      <c r="D571">
        <v>5</v>
      </c>
    </row>
    <row r="572" spans="1:4">
      <c r="A572">
        <v>17636261</v>
      </c>
      <c r="B572">
        <v>0</v>
      </c>
      <c r="C572">
        <f>IFERROR(VLOOKUP(A:A,[1]Export!$E:$Y,21,0),0)</f>
        <v>0</v>
      </c>
      <c r="D572">
        <v>0</v>
      </c>
    </row>
    <row r="573" spans="1:4">
      <c r="A573">
        <v>17636461</v>
      </c>
      <c r="B573">
        <v>0</v>
      </c>
      <c r="C573">
        <f>IFERROR(VLOOKUP(A:A,[1]Export!$E:$Y,21,0),0)</f>
        <v>0</v>
      </c>
      <c r="D573">
        <v>0</v>
      </c>
    </row>
    <row r="574" spans="1:4">
      <c r="A574">
        <v>17637067</v>
      </c>
      <c r="B574">
        <v>0</v>
      </c>
      <c r="C574">
        <f>IFERROR(VLOOKUP(A:A,[1]Export!$E:$Y,21,0),0)</f>
        <v>0</v>
      </c>
      <c r="D574">
        <v>0</v>
      </c>
    </row>
    <row r="575" spans="1:4">
      <c r="A575">
        <v>17637542</v>
      </c>
      <c r="B575">
        <v>1</v>
      </c>
      <c r="C575">
        <f>IFERROR(VLOOKUP(A:A,[1]Export!$E:$Y,21,0),0)</f>
        <v>0</v>
      </c>
      <c r="D575">
        <v>0</v>
      </c>
    </row>
    <row r="576" spans="1:4">
      <c r="A576">
        <v>17638913</v>
      </c>
      <c r="B576">
        <v>0</v>
      </c>
      <c r="C576">
        <f>IFERROR(VLOOKUP(A:A,[1]Export!$E:$Y,21,0),0)</f>
        <v>0</v>
      </c>
      <c r="D576">
        <v>0</v>
      </c>
    </row>
    <row r="577" spans="1:4">
      <c r="A577">
        <v>17639127</v>
      </c>
      <c r="B577">
        <v>0</v>
      </c>
      <c r="C577">
        <f>IFERROR(VLOOKUP(A:A,[1]Export!$E:$Y,21,0),0)</f>
        <v>0</v>
      </c>
      <c r="D577">
        <v>0</v>
      </c>
    </row>
    <row r="578" spans="1:4">
      <c r="A578">
        <v>17640992</v>
      </c>
      <c r="B578">
        <v>0</v>
      </c>
      <c r="C578">
        <f>IFERROR(VLOOKUP(A:A,[1]Export!$E:$Y,21,0),0)</f>
        <v>0</v>
      </c>
      <c r="D578">
        <v>0</v>
      </c>
    </row>
    <row r="579" spans="1:4">
      <c r="A579">
        <v>17641259</v>
      </c>
      <c r="B579">
        <v>1</v>
      </c>
      <c r="C579">
        <f>IFERROR(VLOOKUP(A:A,[1]Export!$E:$Y,21,0),0)</f>
        <v>0</v>
      </c>
      <c r="D579">
        <v>3</v>
      </c>
    </row>
    <row r="580" spans="1:4">
      <c r="A580">
        <v>17642891</v>
      </c>
      <c r="B580">
        <v>1</v>
      </c>
      <c r="C580">
        <f>IFERROR(VLOOKUP(A:A,[1]Export!$E:$Y,21,0),0)</f>
        <v>0</v>
      </c>
      <c r="D580">
        <v>0</v>
      </c>
    </row>
    <row r="581" spans="1:4">
      <c r="A581">
        <v>17645697</v>
      </c>
      <c r="B581">
        <v>0</v>
      </c>
      <c r="C581">
        <f>IFERROR(VLOOKUP(A:A,[1]Export!$E:$Y,21,0),0)</f>
        <v>0</v>
      </c>
      <c r="D581">
        <v>0</v>
      </c>
    </row>
    <row r="582" spans="1:4">
      <c r="A582">
        <v>17646638</v>
      </c>
      <c r="B582">
        <v>0</v>
      </c>
      <c r="C582">
        <f>IFERROR(VLOOKUP(A:A,[1]Export!$E:$Y,21,0),0)</f>
        <v>240000</v>
      </c>
      <c r="D582">
        <v>0</v>
      </c>
    </row>
    <row r="583" spans="1:4">
      <c r="A583">
        <v>17646915</v>
      </c>
      <c r="B583">
        <v>0</v>
      </c>
      <c r="C583">
        <f>IFERROR(VLOOKUP(A:A,[1]Export!$E:$Y,21,0),0)</f>
        <v>0</v>
      </c>
      <c r="D583">
        <v>0</v>
      </c>
    </row>
    <row r="584" spans="1:4">
      <c r="A584">
        <v>17647227</v>
      </c>
      <c r="B584">
        <v>0</v>
      </c>
      <c r="C584">
        <f>IFERROR(VLOOKUP(A:A,[1]Export!$E:$Y,21,0),0)</f>
        <v>85000</v>
      </c>
      <c r="D584">
        <v>0</v>
      </c>
    </row>
    <row r="585" spans="1:4">
      <c r="A585">
        <v>17648526</v>
      </c>
      <c r="B585">
        <v>0</v>
      </c>
      <c r="C585">
        <f>IFERROR(VLOOKUP(A:A,[1]Export!$E:$Y,21,0),0)</f>
        <v>0</v>
      </c>
      <c r="D585">
        <v>0</v>
      </c>
    </row>
    <row r="586" spans="1:4">
      <c r="A586">
        <v>17648919</v>
      </c>
      <c r="B586">
        <v>0</v>
      </c>
      <c r="C586">
        <f>IFERROR(VLOOKUP(A:A,[1]Export!$E:$Y,21,0),0)</f>
        <v>0</v>
      </c>
      <c r="D586">
        <v>0</v>
      </c>
    </row>
    <row r="587" spans="1:4">
      <c r="A587">
        <v>17651452</v>
      </c>
      <c r="B587">
        <v>0</v>
      </c>
      <c r="C587">
        <f>IFERROR(VLOOKUP(A:A,[1]Export!$E:$Y,21,0),0)</f>
        <v>200000</v>
      </c>
      <c r="D587">
        <v>0</v>
      </c>
    </row>
    <row r="588" spans="1:4">
      <c r="A588">
        <v>17651722</v>
      </c>
      <c r="B588">
        <v>0</v>
      </c>
      <c r="C588">
        <f>IFERROR(VLOOKUP(A:A,[1]Export!$E:$Y,21,0),0)</f>
        <v>0</v>
      </c>
      <c r="D588">
        <v>0</v>
      </c>
    </row>
    <row r="589" spans="1:4">
      <c r="A589">
        <v>17651921</v>
      </c>
      <c r="B589">
        <v>0</v>
      </c>
      <c r="C589">
        <f>IFERROR(VLOOKUP(A:A,[1]Export!$E:$Y,21,0),0)</f>
        <v>0</v>
      </c>
      <c r="D589">
        <v>0</v>
      </c>
    </row>
    <row r="590" spans="1:4">
      <c r="A590">
        <v>17652051</v>
      </c>
      <c r="B590">
        <v>0</v>
      </c>
      <c r="C590">
        <f>IFERROR(VLOOKUP(A:A,[1]Export!$E:$Y,21,0),0)</f>
        <v>0</v>
      </c>
      <c r="D590">
        <v>0</v>
      </c>
    </row>
    <row r="591" spans="1:4">
      <c r="A591">
        <v>17652061</v>
      </c>
      <c r="B591">
        <v>0</v>
      </c>
      <c r="C591">
        <f>IFERROR(VLOOKUP(A:A,[1]Export!$E:$Y,21,0),0)</f>
        <v>0</v>
      </c>
      <c r="D591">
        <v>0</v>
      </c>
    </row>
    <row r="592" spans="1:4">
      <c r="A592">
        <v>17652284</v>
      </c>
      <c r="B592">
        <v>1</v>
      </c>
      <c r="C592">
        <f>IFERROR(VLOOKUP(A:A,[1]Export!$E:$Y,21,0),0)</f>
        <v>0</v>
      </c>
      <c r="D592">
        <v>0</v>
      </c>
    </row>
    <row r="593" spans="1:4">
      <c r="A593">
        <v>17652422</v>
      </c>
      <c r="B593">
        <v>0</v>
      </c>
      <c r="C593">
        <f>IFERROR(VLOOKUP(A:A,[1]Export!$E:$Y,21,0),0)</f>
        <v>0</v>
      </c>
      <c r="D593">
        <v>10</v>
      </c>
    </row>
    <row r="594" spans="1:4">
      <c r="A594">
        <v>17652539</v>
      </c>
      <c r="B594">
        <v>0</v>
      </c>
      <c r="C594">
        <f>IFERROR(VLOOKUP(A:A,[1]Export!$E:$Y,21,0),0)</f>
        <v>0</v>
      </c>
      <c r="D594">
        <v>10</v>
      </c>
    </row>
    <row r="595" spans="1:4">
      <c r="A595">
        <v>17652828</v>
      </c>
      <c r="B595">
        <v>0</v>
      </c>
      <c r="C595">
        <f>IFERROR(VLOOKUP(A:A,[1]Export!$E:$Y,21,0),0)</f>
        <v>0</v>
      </c>
      <c r="D595">
        <v>0</v>
      </c>
    </row>
    <row r="596" spans="1:4">
      <c r="A596">
        <v>17653795</v>
      </c>
      <c r="B596">
        <v>0</v>
      </c>
      <c r="C596">
        <f>IFERROR(VLOOKUP(A:A,[1]Export!$E:$Y,21,0),0)</f>
        <v>0</v>
      </c>
      <c r="D596">
        <v>0</v>
      </c>
    </row>
    <row r="597" spans="1:4">
      <c r="A597">
        <v>17653995</v>
      </c>
      <c r="B597">
        <v>0</v>
      </c>
      <c r="C597">
        <f>IFERROR(VLOOKUP(A:A,[1]Export!$E:$Y,21,0),0)</f>
        <v>0</v>
      </c>
      <c r="D597">
        <v>0</v>
      </c>
    </row>
    <row r="598" spans="1:4">
      <c r="A598">
        <v>17654485</v>
      </c>
      <c r="B598">
        <v>2</v>
      </c>
      <c r="C598">
        <f>IFERROR(VLOOKUP(A:A,[1]Export!$E:$Y,21,0),0)</f>
        <v>0</v>
      </c>
      <c r="D598">
        <v>0</v>
      </c>
    </row>
    <row r="599" spans="1:4">
      <c r="A599">
        <v>17654495</v>
      </c>
      <c r="B599">
        <v>0</v>
      </c>
      <c r="C599">
        <f>IFERROR(VLOOKUP(A:A,[1]Export!$E:$Y,21,0),0)</f>
        <v>0</v>
      </c>
      <c r="D599">
        <v>0</v>
      </c>
    </row>
    <row r="600" spans="1:4">
      <c r="A600">
        <v>17654507</v>
      </c>
      <c r="B600">
        <v>0</v>
      </c>
      <c r="C600">
        <f>IFERROR(VLOOKUP(A:A,[1]Export!$E:$Y,21,0),0)</f>
        <v>2520000</v>
      </c>
      <c r="D600">
        <v>0</v>
      </c>
    </row>
    <row r="601" spans="1:4">
      <c r="A601">
        <v>17654629</v>
      </c>
      <c r="B601">
        <v>0</v>
      </c>
      <c r="C601">
        <f>IFERROR(VLOOKUP(A:A,[1]Export!$E:$Y,21,0),0)</f>
        <v>0</v>
      </c>
      <c r="D601">
        <v>0</v>
      </c>
    </row>
    <row r="602" spans="1:4">
      <c r="A602">
        <v>17654647</v>
      </c>
      <c r="B602">
        <v>0</v>
      </c>
      <c r="C602">
        <f>IFERROR(VLOOKUP(A:A,[1]Export!$E:$Y,21,0),0)</f>
        <v>0</v>
      </c>
      <c r="D602">
        <v>0</v>
      </c>
    </row>
    <row r="603" spans="1:4">
      <c r="A603">
        <v>17654787</v>
      </c>
      <c r="B603">
        <v>0</v>
      </c>
      <c r="C603">
        <f>IFERROR(VLOOKUP(A:A,[1]Export!$E:$Y,21,0),0)</f>
        <v>0</v>
      </c>
      <c r="D603">
        <v>0</v>
      </c>
    </row>
    <row r="604" spans="1:4">
      <c r="A604">
        <v>17655221</v>
      </c>
      <c r="B604">
        <v>0</v>
      </c>
      <c r="C604">
        <f>IFERROR(VLOOKUP(A:A,[1]Export!$E:$Y,21,0),0)</f>
        <v>0</v>
      </c>
      <c r="D604">
        <v>0</v>
      </c>
    </row>
    <row r="605" spans="1:4">
      <c r="A605">
        <v>17655485</v>
      </c>
      <c r="B605">
        <v>0</v>
      </c>
      <c r="C605">
        <f>IFERROR(VLOOKUP(A:A,[1]Export!$E:$Y,21,0),0)</f>
        <v>0</v>
      </c>
      <c r="D605">
        <v>0</v>
      </c>
    </row>
    <row r="606" spans="1:4">
      <c r="A606">
        <v>17657677</v>
      </c>
      <c r="B606">
        <v>1</v>
      </c>
      <c r="C606">
        <f>IFERROR(VLOOKUP(A:A,[1]Export!$E:$Y,21,0),0)</f>
        <v>0</v>
      </c>
      <c r="D606">
        <v>0</v>
      </c>
    </row>
    <row r="607" spans="1:4">
      <c r="A607">
        <v>17658883</v>
      </c>
      <c r="B607">
        <v>2</v>
      </c>
      <c r="C607">
        <f>IFERROR(VLOOKUP(A:A,[1]Export!$E:$Y,21,0),0)</f>
        <v>0</v>
      </c>
      <c r="D607">
        <v>0</v>
      </c>
    </row>
    <row r="608" spans="1:4">
      <c r="A608">
        <v>17659124</v>
      </c>
      <c r="B608">
        <v>0</v>
      </c>
      <c r="C608">
        <f>IFERROR(VLOOKUP(A:A,[1]Export!$E:$Y,21,0),0)</f>
        <v>0</v>
      </c>
      <c r="D608">
        <v>0</v>
      </c>
    </row>
    <row r="609" spans="1:4">
      <c r="A609">
        <v>17663066</v>
      </c>
      <c r="B609">
        <v>2</v>
      </c>
      <c r="C609">
        <f>IFERROR(VLOOKUP(A:A,[1]Export!$E:$Y,21,0),0)</f>
        <v>1320000</v>
      </c>
      <c r="D609">
        <v>14</v>
      </c>
    </row>
    <row r="610" spans="1:4">
      <c r="A610">
        <v>17663886</v>
      </c>
      <c r="B610">
        <v>0</v>
      </c>
      <c r="C610">
        <f>IFERROR(VLOOKUP(A:A,[1]Export!$E:$Y,21,0),0)</f>
        <v>0</v>
      </c>
      <c r="D610">
        <v>0</v>
      </c>
    </row>
    <row r="611" spans="1:4">
      <c r="A611">
        <v>17664125</v>
      </c>
      <c r="B611">
        <v>0</v>
      </c>
      <c r="C611">
        <f>IFERROR(VLOOKUP(A:A,[1]Export!$E:$Y,21,0),0)</f>
        <v>0</v>
      </c>
      <c r="D611">
        <v>0</v>
      </c>
    </row>
    <row r="612" spans="1:4">
      <c r="A612">
        <v>17664158</v>
      </c>
      <c r="B612">
        <v>0</v>
      </c>
      <c r="C612">
        <f>IFERROR(VLOOKUP(A:A,[1]Export!$E:$Y,21,0),0)</f>
        <v>312000</v>
      </c>
      <c r="D612">
        <v>0</v>
      </c>
    </row>
    <row r="613" spans="1:4">
      <c r="A613">
        <v>17664308</v>
      </c>
      <c r="B613">
        <v>2</v>
      </c>
      <c r="C613">
        <f>IFERROR(VLOOKUP(A:A,[1]Export!$E:$Y,21,0),0)</f>
        <v>0</v>
      </c>
      <c r="D613">
        <v>0</v>
      </c>
    </row>
    <row r="614" spans="1:4">
      <c r="A614">
        <v>17664400</v>
      </c>
      <c r="B614">
        <v>0</v>
      </c>
      <c r="C614">
        <f>IFERROR(VLOOKUP(A:A,[1]Export!$E:$Y,21,0),0)</f>
        <v>0</v>
      </c>
      <c r="D614">
        <v>0</v>
      </c>
    </row>
    <row r="615" spans="1:4">
      <c r="A615">
        <v>17664494</v>
      </c>
      <c r="B615">
        <v>0</v>
      </c>
      <c r="C615">
        <f>IFERROR(VLOOKUP(A:A,[1]Export!$E:$Y,21,0),0)</f>
        <v>0</v>
      </c>
      <c r="D615">
        <v>0</v>
      </c>
    </row>
    <row r="616" spans="1:4">
      <c r="A616">
        <v>17664540</v>
      </c>
      <c r="B616">
        <v>1</v>
      </c>
      <c r="C616">
        <f>IFERROR(VLOOKUP(A:A,[1]Export!$E:$Y,21,0),0)</f>
        <v>0</v>
      </c>
      <c r="D616">
        <v>0</v>
      </c>
    </row>
    <row r="617" spans="1:4">
      <c r="A617">
        <v>17664687</v>
      </c>
      <c r="B617">
        <v>0</v>
      </c>
      <c r="C617">
        <f>IFERROR(VLOOKUP(A:A,[1]Export!$E:$Y,21,0),0)</f>
        <v>132000</v>
      </c>
      <c r="D617">
        <v>0</v>
      </c>
    </row>
    <row r="618" spans="1:4">
      <c r="A618">
        <v>17666078</v>
      </c>
      <c r="B618">
        <v>0</v>
      </c>
      <c r="C618">
        <f>IFERROR(VLOOKUP(A:A,[1]Export!$E:$Y,21,0),0)</f>
        <v>2140000</v>
      </c>
      <c r="D618">
        <v>0</v>
      </c>
    </row>
    <row r="619" spans="1:4">
      <c r="A619">
        <v>17666253</v>
      </c>
      <c r="B619">
        <v>2</v>
      </c>
      <c r="C619">
        <f>IFERROR(VLOOKUP(A:A,[1]Export!$E:$Y,21,0),0)</f>
        <v>1275000</v>
      </c>
      <c r="D619">
        <v>0</v>
      </c>
    </row>
    <row r="620" spans="1:4">
      <c r="A620">
        <v>17666570</v>
      </c>
      <c r="B620">
        <v>0</v>
      </c>
      <c r="C620">
        <f>IFERROR(VLOOKUP(A:A,[1]Export!$E:$Y,21,0),0)</f>
        <v>0</v>
      </c>
      <c r="D620">
        <v>10</v>
      </c>
    </row>
    <row r="621" spans="1:4">
      <c r="A621">
        <v>17667161</v>
      </c>
      <c r="B621">
        <v>1</v>
      </c>
      <c r="C621">
        <f>IFERROR(VLOOKUP(A:A,[1]Export!$E:$Y,21,0),0)</f>
        <v>312000</v>
      </c>
      <c r="D621">
        <v>0</v>
      </c>
    </row>
    <row r="622" spans="1:4">
      <c r="A622">
        <v>17667163</v>
      </c>
      <c r="B622">
        <v>0</v>
      </c>
      <c r="C622">
        <f>IFERROR(VLOOKUP(A:A,[1]Export!$E:$Y,21,0),0)</f>
        <v>168000</v>
      </c>
      <c r="D622">
        <v>0</v>
      </c>
    </row>
    <row r="623" spans="1:4">
      <c r="A623">
        <v>17667981</v>
      </c>
      <c r="B623">
        <v>1</v>
      </c>
      <c r="C623">
        <f>IFERROR(VLOOKUP(A:A,[1]Export!$E:$Y,21,0),0)</f>
        <v>0</v>
      </c>
      <c r="D623">
        <v>0</v>
      </c>
    </row>
    <row r="624" spans="1:4">
      <c r="A624">
        <v>17668458</v>
      </c>
      <c r="B624">
        <v>0</v>
      </c>
      <c r="C624">
        <f>IFERROR(VLOOKUP(A:A,[1]Export!$E:$Y,21,0),0)</f>
        <v>1260000</v>
      </c>
      <c r="D624">
        <v>0</v>
      </c>
    </row>
    <row r="625" spans="1:4">
      <c r="A625">
        <v>17672753</v>
      </c>
      <c r="B625">
        <v>0</v>
      </c>
      <c r="C625">
        <f>IFERROR(VLOOKUP(A:A,[1]Export!$E:$Y,21,0),0)</f>
        <v>0</v>
      </c>
      <c r="D625">
        <v>0</v>
      </c>
    </row>
    <row r="626" spans="1:4">
      <c r="A626">
        <v>17672799</v>
      </c>
      <c r="B626">
        <v>1</v>
      </c>
      <c r="C626">
        <f>IFERROR(VLOOKUP(A:A,[1]Export!$E:$Y,21,0),0)</f>
        <v>0</v>
      </c>
      <c r="D626">
        <v>0</v>
      </c>
    </row>
    <row r="627" spans="1:4">
      <c r="A627">
        <v>17673534</v>
      </c>
      <c r="B627">
        <v>0</v>
      </c>
      <c r="C627">
        <f>IFERROR(VLOOKUP(A:A,[1]Export!$E:$Y,21,0),0)</f>
        <v>0</v>
      </c>
      <c r="D627">
        <v>0</v>
      </c>
    </row>
    <row r="628" spans="1:4">
      <c r="A628">
        <v>17673837</v>
      </c>
      <c r="B628">
        <v>0</v>
      </c>
      <c r="C628">
        <f>IFERROR(VLOOKUP(A:A,[1]Export!$E:$Y,21,0),0)</f>
        <v>725000</v>
      </c>
      <c r="D628">
        <v>0</v>
      </c>
    </row>
    <row r="629" spans="1:4">
      <c r="A629">
        <v>17674041</v>
      </c>
      <c r="B629">
        <v>0</v>
      </c>
      <c r="C629">
        <f>IFERROR(VLOOKUP(A:A,[1]Export!$E:$Y,21,0),0)</f>
        <v>0</v>
      </c>
      <c r="D629">
        <v>0</v>
      </c>
    </row>
    <row r="630" spans="1:4">
      <c r="A630">
        <v>17674081</v>
      </c>
      <c r="B630">
        <v>1</v>
      </c>
      <c r="C630">
        <f>IFERROR(VLOOKUP(A:A,[1]Export!$E:$Y,21,0),0)</f>
        <v>3375000</v>
      </c>
      <c r="D630">
        <v>0</v>
      </c>
    </row>
    <row r="631" spans="1:4">
      <c r="A631">
        <v>17674447</v>
      </c>
      <c r="B631">
        <v>0</v>
      </c>
      <c r="C631">
        <f>IFERROR(VLOOKUP(A:A,[1]Export!$E:$Y,21,0),0)</f>
        <v>0</v>
      </c>
      <c r="D631">
        <v>0</v>
      </c>
    </row>
    <row r="632" spans="1:4">
      <c r="A632">
        <v>17674578</v>
      </c>
      <c r="B632">
        <v>1</v>
      </c>
      <c r="C632">
        <f>IFERROR(VLOOKUP(A:A,[1]Export!$E:$Y,21,0),0)</f>
        <v>0</v>
      </c>
      <c r="D632">
        <v>0</v>
      </c>
    </row>
    <row r="633" spans="1:4">
      <c r="A633">
        <v>17674665</v>
      </c>
      <c r="B633">
        <v>0</v>
      </c>
      <c r="C633">
        <f>IFERROR(VLOOKUP(A:A,[1]Export!$E:$Y,21,0),0)</f>
        <v>132000</v>
      </c>
      <c r="D633">
        <v>0</v>
      </c>
    </row>
    <row r="634" spans="1:4">
      <c r="A634">
        <v>17674857</v>
      </c>
      <c r="B634">
        <v>0</v>
      </c>
      <c r="C634">
        <f>IFERROR(VLOOKUP(A:A,[1]Export!$E:$Y,21,0),0)</f>
        <v>0</v>
      </c>
      <c r="D634">
        <v>0</v>
      </c>
    </row>
    <row r="635" spans="1:4">
      <c r="A635">
        <v>17674878</v>
      </c>
      <c r="B635">
        <v>0</v>
      </c>
      <c r="C635">
        <f>IFERROR(VLOOKUP(A:A,[1]Export!$E:$Y,21,0),0)</f>
        <v>0</v>
      </c>
      <c r="D635">
        <v>0</v>
      </c>
    </row>
    <row r="636" spans="1:4">
      <c r="A636">
        <v>17675191</v>
      </c>
      <c r="B636">
        <v>0</v>
      </c>
      <c r="C636">
        <f>IFERROR(VLOOKUP(A:A,[1]Export!$E:$Y,21,0),0)</f>
        <v>0</v>
      </c>
      <c r="D636">
        <v>0</v>
      </c>
    </row>
    <row r="637" spans="1:4">
      <c r="A637">
        <v>17675844</v>
      </c>
      <c r="B637">
        <v>0</v>
      </c>
      <c r="C637">
        <f>IFERROR(VLOOKUP(A:A,[1]Export!$E:$Y,21,0),0)</f>
        <v>0</v>
      </c>
      <c r="D637">
        <v>0</v>
      </c>
    </row>
    <row r="638" spans="1:4">
      <c r="A638">
        <v>17677945</v>
      </c>
      <c r="B638">
        <v>0</v>
      </c>
      <c r="C638">
        <f>IFERROR(VLOOKUP(A:A,[1]Export!$E:$Y,21,0),0)</f>
        <v>0</v>
      </c>
      <c r="D638">
        <v>0</v>
      </c>
    </row>
    <row r="639" spans="1:4">
      <c r="A639">
        <v>17678503</v>
      </c>
      <c r="B639">
        <v>1</v>
      </c>
      <c r="C639">
        <f>IFERROR(VLOOKUP(A:A,[1]Export!$E:$Y,21,0),0)</f>
        <v>0</v>
      </c>
      <c r="D639">
        <v>4</v>
      </c>
    </row>
    <row r="640" spans="1:4">
      <c r="A640">
        <v>17678657</v>
      </c>
      <c r="B640">
        <v>0</v>
      </c>
      <c r="C640">
        <f>IFERROR(VLOOKUP(A:A,[1]Export!$E:$Y,21,0),0)</f>
        <v>0</v>
      </c>
      <c r="D640">
        <v>1</v>
      </c>
    </row>
    <row r="641" spans="1:4">
      <c r="A641">
        <v>17678771</v>
      </c>
      <c r="B641">
        <v>1</v>
      </c>
      <c r="C641">
        <f>IFERROR(VLOOKUP(A:A,[1]Export!$E:$Y,21,0),0)</f>
        <v>0</v>
      </c>
      <c r="D641">
        <v>0</v>
      </c>
    </row>
    <row r="642" spans="1:4">
      <c r="A642">
        <v>17678795</v>
      </c>
      <c r="B642">
        <v>0</v>
      </c>
      <c r="C642">
        <f>IFERROR(VLOOKUP(A:A,[1]Export!$E:$Y,21,0),0)</f>
        <v>1620000</v>
      </c>
      <c r="D642">
        <v>0</v>
      </c>
    </row>
    <row r="643" spans="1:4">
      <c r="A643">
        <v>17678924</v>
      </c>
      <c r="B643">
        <v>5</v>
      </c>
      <c r="C643">
        <f>IFERROR(VLOOKUP(A:A,[1]Export!$E:$Y,21,0),0)</f>
        <v>0</v>
      </c>
      <c r="D643">
        <v>0</v>
      </c>
    </row>
    <row r="644" spans="1:4">
      <c r="A644">
        <v>17679733</v>
      </c>
      <c r="B644">
        <v>0</v>
      </c>
      <c r="C644">
        <f>IFERROR(VLOOKUP(A:A,[1]Export!$E:$Y,21,0),0)</f>
        <v>0</v>
      </c>
      <c r="D644">
        <v>0</v>
      </c>
    </row>
    <row r="645" spans="1:4">
      <c r="A645">
        <v>17680377</v>
      </c>
      <c r="B645">
        <v>0</v>
      </c>
      <c r="C645">
        <f>IFERROR(VLOOKUP(A:A,[1]Export!$E:$Y,21,0),0)</f>
        <v>0</v>
      </c>
      <c r="D645">
        <v>0</v>
      </c>
    </row>
    <row r="646" spans="1:4">
      <c r="A646">
        <v>17680832</v>
      </c>
      <c r="B646">
        <v>0</v>
      </c>
      <c r="C646">
        <f>IFERROR(VLOOKUP(A:A,[1]Export!$E:$Y,21,0),0)</f>
        <v>0</v>
      </c>
      <c r="D646">
        <v>0</v>
      </c>
    </row>
    <row r="647" spans="1:4">
      <c r="A647">
        <v>17680842</v>
      </c>
      <c r="B647">
        <v>1</v>
      </c>
      <c r="C647">
        <f>IFERROR(VLOOKUP(A:A,[1]Export!$E:$Y,21,0),0)</f>
        <v>0</v>
      </c>
      <c r="D647">
        <v>0</v>
      </c>
    </row>
    <row r="648" spans="1:4">
      <c r="A648">
        <v>17681290</v>
      </c>
      <c r="B648">
        <v>0</v>
      </c>
      <c r="C648">
        <f>IFERROR(VLOOKUP(A:A,[1]Export!$E:$Y,21,0),0)</f>
        <v>1800000</v>
      </c>
      <c r="D648">
        <v>0</v>
      </c>
    </row>
    <row r="649" spans="1:4">
      <c r="A649">
        <v>17681325</v>
      </c>
      <c r="B649">
        <v>0</v>
      </c>
      <c r="C649">
        <f>IFERROR(VLOOKUP(A:A,[1]Export!$E:$Y,21,0),0)</f>
        <v>600000</v>
      </c>
      <c r="D649">
        <v>0</v>
      </c>
    </row>
    <row r="650" spans="1:4">
      <c r="A650">
        <v>17681335</v>
      </c>
      <c r="B650">
        <v>0</v>
      </c>
      <c r="C650">
        <f>IFERROR(VLOOKUP(A:A,[1]Export!$E:$Y,21,0),0)</f>
        <v>900000</v>
      </c>
      <c r="D650">
        <v>0</v>
      </c>
    </row>
    <row r="651" spans="1:4">
      <c r="A651">
        <v>17681735</v>
      </c>
      <c r="B651">
        <v>0</v>
      </c>
      <c r="C651">
        <f>IFERROR(VLOOKUP(A:A,[1]Export!$E:$Y,21,0),0)</f>
        <v>475000</v>
      </c>
      <c r="D651">
        <v>0</v>
      </c>
    </row>
    <row r="652" spans="1:4">
      <c r="A652">
        <v>17682498</v>
      </c>
      <c r="B652">
        <v>0</v>
      </c>
      <c r="C652">
        <f>IFERROR(VLOOKUP(A:A,[1]Export!$E:$Y,21,0),0)</f>
        <v>0</v>
      </c>
      <c r="D652">
        <v>0</v>
      </c>
    </row>
    <row r="653" spans="1:4">
      <c r="A653">
        <v>17682783</v>
      </c>
      <c r="B653">
        <v>1</v>
      </c>
      <c r="C653">
        <f>IFERROR(VLOOKUP(A:A,[1]Export!$E:$Y,21,0),0)</f>
        <v>0</v>
      </c>
      <c r="D653">
        <v>0</v>
      </c>
    </row>
    <row r="654" spans="1:4">
      <c r="A654">
        <v>17683080</v>
      </c>
      <c r="B654">
        <v>2</v>
      </c>
      <c r="C654">
        <f>IFERROR(VLOOKUP(A:A,[1]Export!$E:$Y,21,0),0)</f>
        <v>0</v>
      </c>
      <c r="D654">
        <v>5</v>
      </c>
    </row>
    <row r="655" spans="1:4">
      <c r="A655">
        <v>17684131</v>
      </c>
      <c r="B655">
        <v>0</v>
      </c>
      <c r="C655">
        <f>IFERROR(VLOOKUP(A:A,[1]Export!$E:$Y,21,0),0)</f>
        <v>0</v>
      </c>
      <c r="D655">
        <v>0</v>
      </c>
    </row>
    <row r="656" spans="1:4">
      <c r="A656">
        <v>17684969</v>
      </c>
      <c r="B656">
        <v>0</v>
      </c>
      <c r="C656">
        <f>IFERROR(VLOOKUP(A:A,[1]Export!$E:$Y,21,0),0)</f>
        <v>0</v>
      </c>
      <c r="D656">
        <v>0</v>
      </c>
    </row>
    <row r="657" spans="1:4">
      <c r="A657">
        <v>17685056</v>
      </c>
      <c r="B657">
        <v>0</v>
      </c>
      <c r="C657">
        <f>IFERROR(VLOOKUP(A:A,[1]Export!$E:$Y,21,0),0)</f>
        <v>0</v>
      </c>
      <c r="D657">
        <v>0</v>
      </c>
    </row>
    <row r="658" spans="1:4">
      <c r="A658">
        <v>17685509</v>
      </c>
      <c r="B658">
        <v>0</v>
      </c>
      <c r="C658">
        <f>IFERROR(VLOOKUP(A:A,[1]Export!$E:$Y,21,0),0)</f>
        <v>0</v>
      </c>
      <c r="D658">
        <v>0</v>
      </c>
    </row>
    <row r="659" spans="1:4">
      <c r="A659">
        <v>17685937</v>
      </c>
      <c r="B659">
        <v>0</v>
      </c>
      <c r="C659">
        <f>IFERROR(VLOOKUP(A:A,[1]Export!$E:$Y,21,0),0)</f>
        <v>0</v>
      </c>
      <c r="D659">
        <v>0</v>
      </c>
    </row>
    <row r="660" spans="1:4">
      <c r="A660">
        <v>17685942</v>
      </c>
      <c r="B660">
        <v>12</v>
      </c>
      <c r="C660">
        <f>IFERROR(VLOOKUP(A:A,[1]Export!$E:$Y,21,0),0)</f>
        <v>0</v>
      </c>
      <c r="D660">
        <v>0</v>
      </c>
    </row>
    <row r="661" spans="1:4">
      <c r="A661">
        <v>17685979</v>
      </c>
      <c r="B661">
        <v>0</v>
      </c>
      <c r="C661">
        <f>IFERROR(VLOOKUP(A:A,[1]Export!$E:$Y,21,0),0)</f>
        <v>0</v>
      </c>
      <c r="D661">
        <v>0</v>
      </c>
    </row>
    <row r="662" spans="1:4">
      <c r="A662">
        <v>17686104</v>
      </c>
      <c r="B662">
        <v>0</v>
      </c>
      <c r="C662">
        <f>IFERROR(VLOOKUP(A:A,[1]Export!$E:$Y,21,0),0)</f>
        <v>0</v>
      </c>
      <c r="D662">
        <v>0</v>
      </c>
    </row>
    <row r="663" spans="1:4">
      <c r="A663">
        <v>17686189</v>
      </c>
      <c r="B663">
        <v>0</v>
      </c>
      <c r="C663">
        <f>IFERROR(VLOOKUP(A:A,[1]Export!$E:$Y,21,0),0)</f>
        <v>0</v>
      </c>
      <c r="D663">
        <v>0</v>
      </c>
    </row>
    <row r="664" spans="1:4">
      <c r="A664">
        <v>17686207</v>
      </c>
      <c r="B664">
        <v>0</v>
      </c>
      <c r="C664">
        <f>IFERROR(VLOOKUP(A:A,[1]Export!$E:$Y,21,0),0)</f>
        <v>0</v>
      </c>
      <c r="D664">
        <v>3</v>
      </c>
    </row>
    <row r="665" spans="1:4">
      <c r="A665">
        <v>17686366</v>
      </c>
      <c r="B665">
        <v>0</v>
      </c>
      <c r="C665">
        <f>IFERROR(VLOOKUP(A:A,[1]Export!$E:$Y,21,0),0)</f>
        <v>0</v>
      </c>
      <c r="D665">
        <v>0</v>
      </c>
    </row>
    <row r="666" spans="1:4">
      <c r="A666">
        <v>17686626</v>
      </c>
      <c r="B666">
        <v>0</v>
      </c>
      <c r="C666">
        <f>IFERROR(VLOOKUP(A:A,[1]Export!$E:$Y,21,0),0)</f>
        <v>0</v>
      </c>
      <c r="D666">
        <v>0</v>
      </c>
    </row>
    <row r="667" spans="1:4">
      <c r="A667">
        <v>17686759</v>
      </c>
      <c r="B667">
        <v>0</v>
      </c>
      <c r="C667">
        <f>IFERROR(VLOOKUP(A:A,[1]Export!$E:$Y,21,0),0)</f>
        <v>0</v>
      </c>
      <c r="D667">
        <v>0</v>
      </c>
    </row>
    <row r="668" spans="1:4">
      <c r="A668">
        <v>17686940</v>
      </c>
      <c r="B668">
        <v>0</v>
      </c>
      <c r="C668">
        <f>IFERROR(VLOOKUP(A:A,[1]Export!$E:$Y,21,0),0)</f>
        <v>0</v>
      </c>
      <c r="D668">
        <v>0</v>
      </c>
    </row>
    <row r="669" spans="1:4">
      <c r="A669">
        <v>17689411</v>
      </c>
      <c r="B669">
        <v>0</v>
      </c>
      <c r="C669">
        <f>IFERROR(VLOOKUP(A:A,[1]Export!$E:$Y,21,0),0)</f>
        <v>420000</v>
      </c>
      <c r="D669">
        <v>0</v>
      </c>
    </row>
    <row r="670" spans="1:4">
      <c r="A670">
        <v>17689734</v>
      </c>
      <c r="B670">
        <v>0</v>
      </c>
      <c r="C670">
        <f>IFERROR(VLOOKUP(A:A,[1]Export!$E:$Y,21,0),0)</f>
        <v>0</v>
      </c>
      <c r="D670">
        <v>0</v>
      </c>
    </row>
    <row r="671" spans="1:4">
      <c r="A671">
        <v>17689741</v>
      </c>
      <c r="B671">
        <v>0</v>
      </c>
      <c r="C671">
        <f>IFERROR(VLOOKUP(A:A,[1]Export!$E:$Y,21,0),0)</f>
        <v>0</v>
      </c>
      <c r="D671">
        <v>0</v>
      </c>
    </row>
    <row r="672" spans="1:4">
      <c r="A672">
        <v>17689754</v>
      </c>
      <c r="B672">
        <v>0</v>
      </c>
      <c r="C672">
        <f>IFERROR(VLOOKUP(A:A,[1]Export!$E:$Y,21,0),0)</f>
        <v>0</v>
      </c>
      <c r="D672">
        <v>0</v>
      </c>
    </row>
    <row r="673" spans="1:4">
      <c r="A673">
        <v>17689755</v>
      </c>
      <c r="B673">
        <v>0</v>
      </c>
      <c r="C673">
        <f>IFERROR(VLOOKUP(A:A,[1]Export!$E:$Y,21,0),0)</f>
        <v>0</v>
      </c>
      <c r="D673">
        <v>0</v>
      </c>
    </row>
    <row r="674" spans="1:4">
      <c r="A674">
        <v>17690318</v>
      </c>
      <c r="B674">
        <v>1</v>
      </c>
      <c r="C674">
        <f>IFERROR(VLOOKUP(A:A,[1]Export!$E:$Y,21,0),0)</f>
        <v>0</v>
      </c>
      <c r="D674">
        <v>0</v>
      </c>
    </row>
    <row r="675" spans="1:4">
      <c r="A675">
        <v>17690322</v>
      </c>
      <c r="B675">
        <v>1</v>
      </c>
      <c r="C675">
        <f>IFERROR(VLOOKUP(A:A,[1]Export!$E:$Y,21,0),0)</f>
        <v>0</v>
      </c>
      <c r="D675">
        <v>0</v>
      </c>
    </row>
    <row r="676" spans="1:4">
      <c r="A676">
        <v>17690510</v>
      </c>
      <c r="B676">
        <v>0</v>
      </c>
      <c r="C676">
        <f>IFERROR(VLOOKUP(A:A,[1]Export!$E:$Y,21,0),0)</f>
        <v>0</v>
      </c>
      <c r="D676">
        <v>0</v>
      </c>
    </row>
    <row r="677" spans="1:4">
      <c r="A677">
        <v>17691033</v>
      </c>
      <c r="B677">
        <v>0</v>
      </c>
      <c r="C677">
        <f>IFERROR(VLOOKUP(A:A,[1]Export!$E:$Y,21,0),0)</f>
        <v>300000</v>
      </c>
      <c r="D677">
        <v>0</v>
      </c>
    </row>
    <row r="678" spans="1:4">
      <c r="A678">
        <v>17691044</v>
      </c>
      <c r="B678">
        <v>0</v>
      </c>
      <c r="C678">
        <f>IFERROR(VLOOKUP(A:A,[1]Export!$E:$Y,21,0),0)</f>
        <v>0</v>
      </c>
      <c r="D678">
        <v>0</v>
      </c>
    </row>
    <row r="679" spans="1:4">
      <c r="A679">
        <v>17691110</v>
      </c>
      <c r="B679">
        <v>1</v>
      </c>
      <c r="C679">
        <f>IFERROR(VLOOKUP(A:A,[1]Export!$E:$Y,21,0),0)</f>
        <v>0</v>
      </c>
      <c r="D679">
        <v>10</v>
      </c>
    </row>
    <row r="680" spans="1:4">
      <c r="A680">
        <v>17691381</v>
      </c>
      <c r="B680">
        <v>0</v>
      </c>
      <c r="C680">
        <f>IFERROR(VLOOKUP(A:A,[1]Export!$E:$Y,21,0),0)</f>
        <v>0</v>
      </c>
      <c r="D680">
        <v>0</v>
      </c>
    </row>
    <row r="681" spans="1:4">
      <c r="A681">
        <v>17691387</v>
      </c>
      <c r="B681">
        <v>0</v>
      </c>
      <c r="C681">
        <f>IFERROR(VLOOKUP(A:A,[1]Export!$E:$Y,21,0),0)</f>
        <v>0</v>
      </c>
      <c r="D681">
        <v>0</v>
      </c>
    </row>
    <row r="682" spans="1:4">
      <c r="A682">
        <v>17691426</v>
      </c>
      <c r="B682">
        <v>0</v>
      </c>
      <c r="C682">
        <f>IFERROR(VLOOKUP(A:A,[1]Export!$E:$Y,21,0),0)</f>
        <v>0</v>
      </c>
      <c r="D682">
        <v>0</v>
      </c>
    </row>
    <row r="683" spans="1:4">
      <c r="A683">
        <v>17691441</v>
      </c>
      <c r="B683">
        <v>0</v>
      </c>
      <c r="C683">
        <f>IFERROR(VLOOKUP(A:A,[1]Export!$E:$Y,21,0),0)</f>
        <v>0</v>
      </c>
      <c r="D683">
        <v>0</v>
      </c>
    </row>
    <row r="684" spans="1:4">
      <c r="A684">
        <v>17691478</v>
      </c>
      <c r="B684">
        <v>0</v>
      </c>
      <c r="C684">
        <f>IFERROR(VLOOKUP(A:A,[1]Export!$E:$Y,21,0),0)</f>
        <v>0</v>
      </c>
      <c r="D684">
        <v>10</v>
      </c>
    </row>
    <row r="685" spans="1:4">
      <c r="A685">
        <v>17691558</v>
      </c>
      <c r="B685">
        <v>0</v>
      </c>
      <c r="C685">
        <f>IFERROR(VLOOKUP(A:A,[1]Export!$E:$Y,21,0),0)</f>
        <v>0</v>
      </c>
      <c r="D685">
        <v>0</v>
      </c>
    </row>
    <row r="686" spans="1:4">
      <c r="A686">
        <v>17691670</v>
      </c>
      <c r="B686">
        <v>0</v>
      </c>
      <c r="C686">
        <f>IFERROR(VLOOKUP(A:A,[1]Export!$E:$Y,21,0),0)</f>
        <v>0</v>
      </c>
      <c r="D686">
        <v>3</v>
      </c>
    </row>
    <row r="687" spans="1:4">
      <c r="A687">
        <v>17691692</v>
      </c>
      <c r="B687">
        <v>0</v>
      </c>
      <c r="C687">
        <f>IFERROR(VLOOKUP(A:A,[1]Export!$E:$Y,21,0),0)</f>
        <v>0</v>
      </c>
      <c r="D687">
        <v>0</v>
      </c>
    </row>
    <row r="688" spans="1:4">
      <c r="A688">
        <v>17691756</v>
      </c>
      <c r="B688">
        <v>0</v>
      </c>
      <c r="C688">
        <f>IFERROR(VLOOKUP(A:A,[1]Export!$E:$Y,21,0),0)</f>
        <v>2520000</v>
      </c>
      <c r="D688">
        <v>0</v>
      </c>
    </row>
    <row r="689" spans="1:4">
      <c r="A689">
        <v>17691942</v>
      </c>
      <c r="B689">
        <v>2</v>
      </c>
      <c r="C689">
        <f>IFERROR(VLOOKUP(A:A,[1]Export!$E:$Y,21,0),0)</f>
        <v>0</v>
      </c>
      <c r="D689">
        <v>0</v>
      </c>
    </row>
    <row r="690" spans="1:4">
      <c r="A690">
        <v>17691971</v>
      </c>
      <c r="B690">
        <v>0</v>
      </c>
      <c r="C690">
        <f>IFERROR(VLOOKUP(A:A,[1]Export!$E:$Y,21,0),0)</f>
        <v>0</v>
      </c>
      <c r="D690">
        <v>0</v>
      </c>
    </row>
    <row r="691" spans="1:4">
      <c r="A691">
        <v>17692041</v>
      </c>
      <c r="B691">
        <v>0</v>
      </c>
      <c r="C691">
        <f>IFERROR(VLOOKUP(A:A,[1]Export!$E:$Y,21,0),0)</f>
        <v>0</v>
      </c>
      <c r="D691">
        <v>0</v>
      </c>
    </row>
    <row r="692" spans="1:4">
      <c r="A692">
        <v>17692178</v>
      </c>
      <c r="B692">
        <v>1</v>
      </c>
      <c r="C692">
        <f>IFERROR(VLOOKUP(A:A,[1]Export!$E:$Y,21,0),0)</f>
        <v>0</v>
      </c>
      <c r="D692">
        <v>0</v>
      </c>
    </row>
    <row r="693" spans="1:4">
      <c r="A693">
        <v>17692185</v>
      </c>
      <c r="B693">
        <v>0</v>
      </c>
      <c r="C693">
        <f>IFERROR(VLOOKUP(A:A,[1]Export!$E:$Y,21,0),0)</f>
        <v>0</v>
      </c>
      <c r="D693">
        <v>0</v>
      </c>
    </row>
    <row r="694" spans="1:4">
      <c r="A694">
        <v>17692227</v>
      </c>
      <c r="B694">
        <v>0</v>
      </c>
      <c r="C694">
        <f>IFERROR(VLOOKUP(A:A,[1]Export!$E:$Y,21,0),0)</f>
        <v>0</v>
      </c>
      <c r="D694">
        <v>0</v>
      </c>
    </row>
    <row r="695" spans="1:4">
      <c r="A695">
        <v>17692266</v>
      </c>
      <c r="B695">
        <v>0</v>
      </c>
      <c r="C695">
        <f>IFERROR(VLOOKUP(A:A,[1]Export!$E:$Y,21,0),0)</f>
        <v>0</v>
      </c>
      <c r="D695">
        <v>0</v>
      </c>
    </row>
    <row r="696" spans="1:4">
      <c r="A696">
        <v>17692275</v>
      </c>
      <c r="B696">
        <v>1</v>
      </c>
      <c r="C696">
        <f>IFERROR(VLOOKUP(A:A,[1]Export!$E:$Y,21,0),0)</f>
        <v>0</v>
      </c>
      <c r="D696">
        <v>0</v>
      </c>
    </row>
    <row r="697" spans="1:4">
      <c r="A697">
        <v>17692277</v>
      </c>
      <c r="B697">
        <v>0</v>
      </c>
      <c r="C697">
        <f>IFERROR(VLOOKUP(A:A,[1]Export!$E:$Y,21,0),0)</f>
        <v>0</v>
      </c>
      <c r="D697">
        <v>0</v>
      </c>
    </row>
    <row r="698" spans="1:4">
      <c r="A698">
        <v>17692287</v>
      </c>
      <c r="B698">
        <v>0</v>
      </c>
      <c r="C698">
        <f>IFERROR(VLOOKUP(A:A,[1]Export!$E:$Y,21,0),0)</f>
        <v>0</v>
      </c>
      <c r="D698">
        <v>0</v>
      </c>
    </row>
    <row r="699" spans="1:4">
      <c r="A699">
        <v>17692312</v>
      </c>
      <c r="B699">
        <v>0</v>
      </c>
      <c r="C699">
        <f>IFERROR(VLOOKUP(A:A,[1]Export!$E:$Y,21,0),0)</f>
        <v>0</v>
      </c>
      <c r="D699">
        <v>0</v>
      </c>
    </row>
    <row r="700" spans="1:4">
      <c r="A700">
        <v>17692522</v>
      </c>
      <c r="B700">
        <v>8</v>
      </c>
      <c r="C700">
        <f>IFERROR(VLOOKUP(A:A,[1]Export!$E:$Y,21,0),0)</f>
        <v>0</v>
      </c>
      <c r="D700">
        <v>0</v>
      </c>
    </row>
    <row r="701" spans="1:4">
      <c r="A701">
        <v>17692616</v>
      </c>
      <c r="B701">
        <v>0</v>
      </c>
      <c r="C701">
        <f>IFERROR(VLOOKUP(A:A,[1]Export!$E:$Y,21,0),0)</f>
        <v>0</v>
      </c>
      <c r="D701">
        <v>0</v>
      </c>
    </row>
    <row r="702" spans="1:4">
      <c r="A702">
        <v>17692691</v>
      </c>
      <c r="B702">
        <v>0</v>
      </c>
      <c r="C702">
        <f>IFERROR(VLOOKUP(A:A,[1]Export!$E:$Y,21,0),0)</f>
        <v>0</v>
      </c>
      <c r="D702">
        <v>0</v>
      </c>
    </row>
    <row r="703" spans="1:4">
      <c r="A703">
        <v>17692760</v>
      </c>
      <c r="B703">
        <v>0</v>
      </c>
      <c r="C703">
        <f>IFERROR(VLOOKUP(A:A,[1]Export!$E:$Y,21,0),0)</f>
        <v>0</v>
      </c>
      <c r="D703">
        <v>0</v>
      </c>
    </row>
    <row r="704" spans="1:4">
      <c r="A704">
        <v>17692826</v>
      </c>
      <c r="B704">
        <v>0</v>
      </c>
      <c r="C704">
        <f>IFERROR(VLOOKUP(A:A,[1]Export!$E:$Y,21,0),0)</f>
        <v>200000</v>
      </c>
      <c r="D704">
        <v>0</v>
      </c>
    </row>
    <row r="705" spans="1:4">
      <c r="A705">
        <v>17692847</v>
      </c>
      <c r="B705">
        <v>0</v>
      </c>
      <c r="C705">
        <f>IFERROR(VLOOKUP(A:A,[1]Export!$E:$Y,21,0),0)</f>
        <v>4005000</v>
      </c>
      <c r="D705">
        <v>0</v>
      </c>
    </row>
    <row r="706" spans="1:4">
      <c r="A706">
        <v>17692911</v>
      </c>
      <c r="B706">
        <v>0</v>
      </c>
      <c r="C706">
        <f>IFERROR(VLOOKUP(A:A,[1]Export!$E:$Y,21,0),0)</f>
        <v>0</v>
      </c>
      <c r="D706">
        <v>0</v>
      </c>
    </row>
    <row r="707" spans="1:4">
      <c r="A707">
        <v>17692924</v>
      </c>
      <c r="B707">
        <v>0</v>
      </c>
      <c r="C707">
        <f>IFERROR(VLOOKUP(A:A,[1]Export!$E:$Y,21,0),0)</f>
        <v>0</v>
      </c>
      <c r="D707">
        <v>0</v>
      </c>
    </row>
    <row r="708" spans="1:4">
      <c r="A708">
        <v>17692930</v>
      </c>
      <c r="B708">
        <v>0</v>
      </c>
      <c r="C708">
        <f>IFERROR(VLOOKUP(A:A,[1]Export!$E:$Y,21,0),0)</f>
        <v>0</v>
      </c>
      <c r="D708">
        <v>0</v>
      </c>
    </row>
    <row r="709" spans="1:4">
      <c r="A709">
        <v>17692979</v>
      </c>
      <c r="B709">
        <v>0</v>
      </c>
      <c r="C709">
        <f>IFERROR(VLOOKUP(A:A,[1]Export!$E:$Y,21,0),0)</f>
        <v>0</v>
      </c>
      <c r="D709">
        <v>0</v>
      </c>
    </row>
    <row r="710" spans="1:4">
      <c r="A710">
        <v>17693068</v>
      </c>
      <c r="B710">
        <v>0</v>
      </c>
      <c r="C710">
        <f>IFERROR(VLOOKUP(A:A,[1]Export!$E:$Y,21,0),0)</f>
        <v>0</v>
      </c>
      <c r="D710">
        <v>0</v>
      </c>
    </row>
    <row r="711" spans="1:4">
      <c r="A711">
        <v>17693109</v>
      </c>
      <c r="B711">
        <v>0</v>
      </c>
      <c r="C711">
        <f>IFERROR(VLOOKUP(A:A,[1]Export!$E:$Y,21,0),0)</f>
        <v>0</v>
      </c>
      <c r="D711">
        <v>0</v>
      </c>
    </row>
    <row r="712" spans="1:4">
      <c r="A712">
        <v>17693142</v>
      </c>
      <c r="B712">
        <v>0</v>
      </c>
      <c r="C712">
        <f>IFERROR(VLOOKUP(A:A,[1]Export!$E:$Y,21,0),0)</f>
        <v>0</v>
      </c>
      <c r="D712">
        <v>0</v>
      </c>
    </row>
    <row r="713" spans="1:4">
      <c r="A713">
        <v>17693220</v>
      </c>
      <c r="B713">
        <v>0</v>
      </c>
      <c r="C713">
        <f>IFERROR(VLOOKUP(A:A,[1]Export!$E:$Y,21,0),0)</f>
        <v>130000</v>
      </c>
      <c r="D713">
        <v>0</v>
      </c>
    </row>
    <row r="714" spans="1:4">
      <c r="A714">
        <v>17693411</v>
      </c>
      <c r="B714">
        <v>2</v>
      </c>
      <c r="C714">
        <f>IFERROR(VLOOKUP(A:A,[1]Export!$E:$Y,21,0),0)</f>
        <v>0</v>
      </c>
      <c r="D714">
        <v>5</v>
      </c>
    </row>
    <row r="715" spans="1:4">
      <c r="A715">
        <v>17693499</v>
      </c>
      <c r="B715">
        <v>0</v>
      </c>
      <c r="C715">
        <f>IFERROR(VLOOKUP(A:A,[1]Export!$E:$Y,21,0),0)</f>
        <v>0</v>
      </c>
      <c r="D715">
        <v>0</v>
      </c>
    </row>
    <row r="716" spans="1:4">
      <c r="A716">
        <v>17693520</v>
      </c>
      <c r="B716">
        <v>0</v>
      </c>
      <c r="C716">
        <f>IFERROR(VLOOKUP(A:A,[1]Export!$E:$Y,21,0),0)</f>
        <v>0</v>
      </c>
      <c r="D716">
        <v>0</v>
      </c>
    </row>
    <row r="717" spans="1:4">
      <c r="A717">
        <v>17693584</v>
      </c>
      <c r="B717">
        <v>0</v>
      </c>
      <c r="C717">
        <f>IFERROR(VLOOKUP(A:A,[1]Export!$E:$Y,21,0),0)</f>
        <v>0</v>
      </c>
      <c r="D717">
        <v>0</v>
      </c>
    </row>
    <row r="718" spans="1:4">
      <c r="A718">
        <v>17693589</v>
      </c>
      <c r="B718">
        <v>0</v>
      </c>
      <c r="C718">
        <f>IFERROR(VLOOKUP(A:A,[1]Export!$E:$Y,21,0),0)</f>
        <v>0</v>
      </c>
      <c r="D718">
        <v>0</v>
      </c>
    </row>
    <row r="719" spans="1:4">
      <c r="A719">
        <v>17693598</v>
      </c>
      <c r="B719">
        <v>0</v>
      </c>
      <c r="C719">
        <f>IFERROR(VLOOKUP(A:A,[1]Export!$E:$Y,21,0),0)</f>
        <v>0</v>
      </c>
      <c r="D719">
        <v>0</v>
      </c>
    </row>
    <row r="720" spans="1:4">
      <c r="A720">
        <v>17693620</v>
      </c>
      <c r="B720">
        <v>0</v>
      </c>
      <c r="C720">
        <f>IFERROR(VLOOKUP(A:A,[1]Export!$E:$Y,21,0),0)</f>
        <v>0</v>
      </c>
      <c r="D720">
        <v>0</v>
      </c>
    </row>
    <row r="721" spans="1:4">
      <c r="A721">
        <v>17693648</v>
      </c>
      <c r="B721">
        <v>1</v>
      </c>
      <c r="C721">
        <f>IFERROR(VLOOKUP(A:A,[1]Export!$E:$Y,21,0),0)</f>
        <v>0</v>
      </c>
      <c r="D721">
        <v>1</v>
      </c>
    </row>
    <row r="722" spans="1:4">
      <c r="A722">
        <v>17693806</v>
      </c>
      <c r="B722">
        <v>0</v>
      </c>
      <c r="C722">
        <f>IFERROR(VLOOKUP(A:A,[1]Export!$E:$Y,21,0),0)</f>
        <v>0</v>
      </c>
      <c r="D722">
        <v>0</v>
      </c>
    </row>
    <row r="723" spans="1:4">
      <c r="A723">
        <v>17694054</v>
      </c>
      <c r="B723">
        <v>0</v>
      </c>
      <c r="C723">
        <f>IFERROR(VLOOKUP(A:A,[1]Export!$E:$Y,21,0),0)</f>
        <v>0</v>
      </c>
      <c r="D723">
        <v>0</v>
      </c>
    </row>
    <row r="724" spans="1:4">
      <c r="A724">
        <v>17694192</v>
      </c>
      <c r="B724">
        <v>0</v>
      </c>
      <c r="C724">
        <f>IFERROR(VLOOKUP(A:A,[1]Export!$E:$Y,21,0),0)</f>
        <v>1168000</v>
      </c>
      <c r="D724">
        <v>0</v>
      </c>
    </row>
    <row r="725" spans="1:4">
      <c r="A725">
        <v>17694204</v>
      </c>
      <c r="B725">
        <v>0</v>
      </c>
      <c r="C725">
        <f>IFERROR(VLOOKUP(A:A,[1]Export!$E:$Y,21,0),0)</f>
        <v>360000</v>
      </c>
      <c r="D725">
        <v>0</v>
      </c>
    </row>
    <row r="726" spans="1:4">
      <c r="A726">
        <v>17694207</v>
      </c>
      <c r="B726">
        <v>0</v>
      </c>
      <c r="C726">
        <f>IFERROR(VLOOKUP(A:A,[1]Export!$E:$Y,21,0),0)</f>
        <v>0</v>
      </c>
      <c r="D726">
        <v>0</v>
      </c>
    </row>
    <row r="727" spans="1:4">
      <c r="A727">
        <v>17694536</v>
      </c>
      <c r="B727">
        <v>0</v>
      </c>
      <c r="C727">
        <f>IFERROR(VLOOKUP(A:A,[1]Export!$E:$Y,21,0),0)</f>
        <v>0</v>
      </c>
      <c r="D727">
        <v>0</v>
      </c>
    </row>
    <row r="728" spans="1:4">
      <c r="A728">
        <v>17694554</v>
      </c>
      <c r="B728">
        <v>0</v>
      </c>
      <c r="C728">
        <f>IFERROR(VLOOKUP(A:A,[1]Export!$E:$Y,21,0),0)</f>
        <v>0</v>
      </c>
      <c r="D728">
        <v>0</v>
      </c>
    </row>
    <row r="729" spans="1:4">
      <c r="A729">
        <v>17694556</v>
      </c>
      <c r="B729">
        <v>0</v>
      </c>
      <c r="C729">
        <f>IFERROR(VLOOKUP(A:A,[1]Export!$E:$Y,21,0),0)</f>
        <v>0</v>
      </c>
      <c r="D729">
        <v>0</v>
      </c>
    </row>
    <row r="730" spans="1:4">
      <c r="A730">
        <v>17694577</v>
      </c>
      <c r="B730">
        <v>3</v>
      </c>
      <c r="C730">
        <f>IFERROR(VLOOKUP(A:A,[1]Export!$E:$Y,21,0),0)</f>
        <v>0</v>
      </c>
      <c r="D730">
        <v>4</v>
      </c>
    </row>
    <row r="731" spans="1:4">
      <c r="A731">
        <v>17694615</v>
      </c>
      <c r="B731">
        <v>0</v>
      </c>
      <c r="C731">
        <f>IFERROR(VLOOKUP(A:A,[1]Export!$E:$Y,21,0),0)</f>
        <v>0</v>
      </c>
      <c r="D731">
        <v>0</v>
      </c>
    </row>
    <row r="732" spans="1:4">
      <c r="A732">
        <v>17694633</v>
      </c>
      <c r="B732">
        <v>0</v>
      </c>
      <c r="C732">
        <f>IFERROR(VLOOKUP(A:A,[1]Export!$E:$Y,21,0),0)</f>
        <v>0</v>
      </c>
      <c r="D732">
        <v>0</v>
      </c>
    </row>
    <row r="733" spans="1:4">
      <c r="A733">
        <v>17694986</v>
      </c>
      <c r="B733">
        <v>0</v>
      </c>
      <c r="C733">
        <f>IFERROR(VLOOKUP(A:A,[1]Export!$E:$Y,21,0),0)</f>
        <v>0</v>
      </c>
      <c r="D733">
        <v>0</v>
      </c>
    </row>
    <row r="734" spans="1:4">
      <c r="A734">
        <v>17695055</v>
      </c>
      <c r="B734">
        <v>0</v>
      </c>
      <c r="C734">
        <f>IFERROR(VLOOKUP(A:A,[1]Export!$E:$Y,21,0),0)</f>
        <v>0</v>
      </c>
      <c r="D734">
        <v>0</v>
      </c>
    </row>
    <row r="735" spans="1:4">
      <c r="A735">
        <v>17695071</v>
      </c>
      <c r="B735">
        <v>0</v>
      </c>
      <c r="C735">
        <f>IFERROR(VLOOKUP(A:A,[1]Export!$E:$Y,21,0),0)</f>
        <v>0</v>
      </c>
      <c r="D735">
        <v>0</v>
      </c>
    </row>
    <row r="736" spans="1:4">
      <c r="A736">
        <v>17695155</v>
      </c>
      <c r="B736">
        <v>0</v>
      </c>
      <c r="C736">
        <f>IFERROR(VLOOKUP(A:A,[1]Export!$E:$Y,21,0),0)</f>
        <v>0</v>
      </c>
      <c r="D736">
        <v>0</v>
      </c>
    </row>
    <row r="737" spans="1:4">
      <c r="A737">
        <v>17695421</v>
      </c>
      <c r="B737">
        <v>0</v>
      </c>
      <c r="C737">
        <f>IFERROR(VLOOKUP(A:A,[1]Export!$E:$Y,21,0),0)</f>
        <v>0</v>
      </c>
      <c r="D737">
        <v>0</v>
      </c>
    </row>
    <row r="738" spans="1:4">
      <c r="A738">
        <v>17695888</v>
      </c>
      <c r="B738">
        <v>0</v>
      </c>
      <c r="C738">
        <f>IFERROR(VLOOKUP(A:A,[1]Export!$E:$Y,21,0),0)</f>
        <v>0</v>
      </c>
      <c r="D738">
        <v>0</v>
      </c>
    </row>
    <row r="739" spans="1:4">
      <c r="A739">
        <v>17696319</v>
      </c>
      <c r="B739">
        <v>0</v>
      </c>
      <c r="C739">
        <f>IFERROR(VLOOKUP(A:A,[1]Export!$E:$Y,21,0),0)</f>
        <v>0</v>
      </c>
      <c r="D739">
        <v>0</v>
      </c>
    </row>
    <row r="740" spans="1:4">
      <c r="A740">
        <v>17696373</v>
      </c>
      <c r="B740">
        <v>0</v>
      </c>
      <c r="C740">
        <f>IFERROR(VLOOKUP(A:A,[1]Export!$E:$Y,21,0),0)</f>
        <v>0</v>
      </c>
      <c r="D740">
        <v>0</v>
      </c>
    </row>
    <row r="741" spans="1:4">
      <c r="A741">
        <v>17696820</v>
      </c>
      <c r="B741">
        <v>0</v>
      </c>
      <c r="C741">
        <f>IFERROR(VLOOKUP(A:A,[1]Export!$E:$Y,21,0),0)</f>
        <v>0</v>
      </c>
      <c r="D741">
        <v>10</v>
      </c>
    </row>
    <row r="742" spans="1:4">
      <c r="A742">
        <v>17696872</v>
      </c>
      <c r="B742">
        <v>0</v>
      </c>
      <c r="C742">
        <f>IFERROR(VLOOKUP(A:A,[1]Export!$E:$Y,21,0),0)</f>
        <v>0</v>
      </c>
      <c r="D742">
        <v>0</v>
      </c>
    </row>
    <row r="743" spans="1:4">
      <c r="A743">
        <v>17697357</v>
      </c>
      <c r="B743">
        <v>0</v>
      </c>
      <c r="C743">
        <f>IFERROR(VLOOKUP(A:A,[1]Export!$E:$Y,21,0),0)</f>
        <v>0</v>
      </c>
      <c r="D743">
        <v>0</v>
      </c>
    </row>
    <row r="744" spans="1:4">
      <c r="A744">
        <v>17697397</v>
      </c>
      <c r="B744">
        <v>0</v>
      </c>
      <c r="C744">
        <f>IFERROR(VLOOKUP(A:A,[1]Export!$E:$Y,21,0),0)</f>
        <v>1260000</v>
      </c>
      <c r="D744">
        <v>0</v>
      </c>
    </row>
    <row r="745" spans="1:4">
      <c r="A745">
        <v>17697877</v>
      </c>
      <c r="B745">
        <v>0</v>
      </c>
      <c r="C745">
        <f>IFERROR(VLOOKUP(A:A,[1]Export!$E:$Y,21,0),0)</f>
        <v>0</v>
      </c>
      <c r="D745">
        <v>2</v>
      </c>
    </row>
    <row r="746" spans="1:4">
      <c r="A746">
        <v>17698994</v>
      </c>
      <c r="B746">
        <v>0</v>
      </c>
      <c r="C746">
        <f>IFERROR(VLOOKUP(A:A,[1]Export!$E:$Y,21,0),0)</f>
        <v>217000</v>
      </c>
      <c r="D746">
        <v>0</v>
      </c>
    </row>
    <row r="747" spans="1:4">
      <c r="A747">
        <v>17699495</v>
      </c>
      <c r="B747">
        <v>0</v>
      </c>
      <c r="C747">
        <f>IFERROR(VLOOKUP(A:A,[1]Export!$E:$Y,21,0),0)</f>
        <v>1680000</v>
      </c>
      <c r="D747">
        <v>0</v>
      </c>
    </row>
    <row r="748" spans="1:4">
      <c r="A748">
        <v>17699574</v>
      </c>
      <c r="B748">
        <v>0</v>
      </c>
      <c r="C748">
        <f>IFERROR(VLOOKUP(A:A,[1]Export!$E:$Y,21,0),0)</f>
        <v>0</v>
      </c>
      <c r="D748">
        <v>0</v>
      </c>
    </row>
    <row r="749" spans="1:4">
      <c r="A749">
        <v>17699722</v>
      </c>
      <c r="B749">
        <v>0</v>
      </c>
      <c r="C749">
        <f>IFERROR(VLOOKUP(A:A,[1]Export!$E:$Y,21,0),0)</f>
        <v>85000</v>
      </c>
      <c r="D749">
        <v>0</v>
      </c>
    </row>
    <row r="750" spans="1:4">
      <c r="A750">
        <v>17702245</v>
      </c>
      <c r="B750">
        <v>1</v>
      </c>
      <c r="C750">
        <f>IFERROR(VLOOKUP(A:A,[1]Export!$E:$Y,21,0),0)</f>
        <v>0</v>
      </c>
      <c r="D750">
        <v>0</v>
      </c>
    </row>
    <row r="751" spans="1:4">
      <c r="A751">
        <v>17703640</v>
      </c>
      <c r="B751">
        <v>0</v>
      </c>
      <c r="C751">
        <f>IFERROR(VLOOKUP(A:A,[1]Export!$E:$Y,21,0),0)</f>
        <v>0</v>
      </c>
      <c r="D751">
        <v>0</v>
      </c>
    </row>
    <row r="752" spans="1:4">
      <c r="A752">
        <v>17703664</v>
      </c>
      <c r="B752">
        <v>0</v>
      </c>
      <c r="C752">
        <f>IFERROR(VLOOKUP(A:A,[1]Export!$E:$Y,21,0),0)</f>
        <v>0</v>
      </c>
      <c r="D752">
        <v>0</v>
      </c>
    </row>
    <row r="753" spans="1:4">
      <c r="A753">
        <v>17703681</v>
      </c>
      <c r="B753">
        <v>0</v>
      </c>
      <c r="C753">
        <f>IFERROR(VLOOKUP(A:A,[1]Export!$E:$Y,21,0),0)</f>
        <v>0</v>
      </c>
      <c r="D753">
        <v>0</v>
      </c>
    </row>
    <row r="754" spans="1:4">
      <c r="A754">
        <v>17703858</v>
      </c>
      <c r="B754">
        <v>0</v>
      </c>
      <c r="C754">
        <f>IFERROR(VLOOKUP(A:A,[1]Export!$E:$Y,21,0),0)</f>
        <v>420000</v>
      </c>
      <c r="D754">
        <v>0</v>
      </c>
    </row>
    <row r="755" spans="1:4">
      <c r="A755">
        <v>17703860</v>
      </c>
      <c r="B755">
        <v>0</v>
      </c>
      <c r="C755">
        <f>IFERROR(VLOOKUP(A:A,[1]Export!$E:$Y,21,0),0)</f>
        <v>1200000</v>
      </c>
      <c r="D755">
        <v>0</v>
      </c>
    </row>
    <row r="756" spans="1:4">
      <c r="A756">
        <v>17703866</v>
      </c>
      <c r="B756">
        <v>0</v>
      </c>
      <c r="C756">
        <f>IFERROR(VLOOKUP(A:A,[1]Export!$E:$Y,21,0),0)</f>
        <v>900000</v>
      </c>
      <c r="D756">
        <v>0</v>
      </c>
    </row>
    <row r="757" spans="1:4">
      <c r="A757">
        <v>17703872</v>
      </c>
      <c r="B757">
        <v>0</v>
      </c>
      <c r="C757">
        <f>IFERROR(VLOOKUP(A:A,[1]Export!$E:$Y,21,0),0)</f>
        <v>360000</v>
      </c>
      <c r="D757">
        <v>0</v>
      </c>
    </row>
    <row r="758" spans="1:4">
      <c r="A758">
        <v>17703880</v>
      </c>
      <c r="B758">
        <v>0</v>
      </c>
      <c r="C758">
        <f>IFERROR(VLOOKUP(A:A,[1]Export!$E:$Y,21,0),0)</f>
        <v>480000</v>
      </c>
      <c r="D758">
        <v>0</v>
      </c>
    </row>
    <row r="759" spans="1:4">
      <c r="A759">
        <v>17703891</v>
      </c>
      <c r="B759">
        <v>0</v>
      </c>
      <c r="C759">
        <f>IFERROR(VLOOKUP(A:A,[1]Export!$E:$Y,21,0),0)</f>
        <v>1200000</v>
      </c>
      <c r="D759">
        <v>0</v>
      </c>
    </row>
    <row r="760" spans="1:4">
      <c r="A760">
        <v>17703900</v>
      </c>
      <c r="B760">
        <v>0</v>
      </c>
      <c r="C760">
        <f>IFERROR(VLOOKUP(A:A,[1]Export!$E:$Y,21,0),0)</f>
        <v>660000</v>
      </c>
      <c r="D760">
        <v>0</v>
      </c>
    </row>
    <row r="761" spans="1:4">
      <c r="A761">
        <v>17703938</v>
      </c>
      <c r="B761">
        <v>0</v>
      </c>
      <c r="C761">
        <f>IFERROR(VLOOKUP(A:A,[1]Export!$E:$Y,21,0),0)</f>
        <v>0</v>
      </c>
      <c r="D761">
        <v>0</v>
      </c>
    </row>
    <row r="762" spans="1:4">
      <c r="A762">
        <v>17703945</v>
      </c>
      <c r="B762">
        <v>0</v>
      </c>
      <c r="C762">
        <f>IFERROR(VLOOKUP(A:A,[1]Export!$E:$Y,21,0),0)</f>
        <v>0</v>
      </c>
      <c r="D762">
        <v>0</v>
      </c>
    </row>
    <row r="763" spans="1:4">
      <c r="A763">
        <v>17703957</v>
      </c>
      <c r="B763">
        <v>0</v>
      </c>
      <c r="C763">
        <f>IFERROR(VLOOKUP(A:A,[1]Export!$E:$Y,21,0),0)</f>
        <v>0</v>
      </c>
      <c r="D763">
        <v>0</v>
      </c>
    </row>
    <row r="764" spans="1:4">
      <c r="A764">
        <v>17703961</v>
      </c>
      <c r="B764">
        <v>1</v>
      </c>
      <c r="C764">
        <f>IFERROR(VLOOKUP(A:A,[1]Export!$E:$Y,21,0),0)</f>
        <v>0</v>
      </c>
      <c r="D764">
        <v>0</v>
      </c>
    </row>
    <row r="765" spans="1:4">
      <c r="A765">
        <v>17704140</v>
      </c>
      <c r="B765">
        <v>0</v>
      </c>
      <c r="C765">
        <f>IFERROR(VLOOKUP(A:A,[1]Export!$E:$Y,21,0),0)</f>
        <v>725000</v>
      </c>
      <c r="D765">
        <v>0</v>
      </c>
    </row>
    <row r="766" spans="1:4">
      <c r="A766">
        <v>17704148</v>
      </c>
      <c r="B766">
        <v>0</v>
      </c>
      <c r="C766">
        <f>IFERROR(VLOOKUP(A:A,[1]Export!$E:$Y,21,0),0)</f>
        <v>2300000</v>
      </c>
      <c r="D766">
        <v>0</v>
      </c>
    </row>
    <row r="767" spans="1:4">
      <c r="A767">
        <v>17705193</v>
      </c>
      <c r="B767">
        <v>0</v>
      </c>
      <c r="C767">
        <f>IFERROR(VLOOKUP(A:A,[1]Export!$E:$Y,21,0),0)</f>
        <v>0</v>
      </c>
      <c r="D767">
        <v>0</v>
      </c>
    </row>
    <row r="768" spans="1:4">
      <c r="A768">
        <v>17705229</v>
      </c>
      <c r="B768">
        <v>0</v>
      </c>
      <c r="C768">
        <f>IFERROR(VLOOKUP(A:A,[1]Export!$E:$Y,21,0),0)</f>
        <v>0</v>
      </c>
      <c r="D768">
        <v>0</v>
      </c>
    </row>
    <row r="769" spans="1:4">
      <c r="A769">
        <v>17705470</v>
      </c>
      <c r="B769">
        <v>2</v>
      </c>
      <c r="C769">
        <f>IFERROR(VLOOKUP(A:A,[1]Export!$E:$Y,21,0),0)</f>
        <v>580000</v>
      </c>
      <c r="D769">
        <v>0</v>
      </c>
    </row>
    <row r="770" spans="1:4">
      <c r="A770">
        <v>17705764</v>
      </c>
      <c r="B770">
        <v>0</v>
      </c>
      <c r="C770">
        <f>IFERROR(VLOOKUP(A:A,[1]Export!$E:$Y,21,0),0)</f>
        <v>0</v>
      </c>
      <c r="D770">
        <v>0</v>
      </c>
    </row>
    <row r="771" spans="1:4">
      <c r="A771">
        <v>17705774</v>
      </c>
      <c r="B771">
        <v>0</v>
      </c>
      <c r="C771">
        <f>IFERROR(VLOOKUP(A:A,[1]Export!$E:$Y,21,0),0)</f>
        <v>0</v>
      </c>
      <c r="D771">
        <v>0</v>
      </c>
    </row>
    <row r="772" spans="1:4">
      <c r="A772">
        <v>17706099</v>
      </c>
      <c r="B772">
        <v>0</v>
      </c>
      <c r="C772">
        <f>IFERROR(VLOOKUP(A:A,[1]Export!$E:$Y,21,0),0)</f>
        <v>0</v>
      </c>
      <c r="D772">
        <v>0</v>
      </c>
    </row>
    <row r="773" spans="1:4">
      <c r="A773">
        <v>17706331</v>
      </c>
      <c r="B773">
        <v>0</v>
      </c>
      <c r="C773">
        <f>IFERROR(VLOOKUP(A:A,[1]Export!$E:$Y,21,0),0)</f>
        <v>840000</v>
      </c>
      <c r="D773">
        <v>0</v>
      </c>
    </row>
    <row r="774" spans="1:4">
      <c r="A774">
        <v>17706862</v>
      </c>
      <c r="B774">
        <v>1</v>
      </c>
      <c r="C774">
        <f>IFERROR(VLOOKUP(A:A,[1]Export!$E:$Y,21,0),0)</f>
        <v>0</v>
      </c>
      <c r="D774">
        <v>0</v>
      </c>
    </row>
    <row r="775" spans="1:4">
      <c r="A775">
        <v>17707156</v>
      </c>
      <c r="B775">
        <v>0</v>
      </c>
      <c r="C775">
        <f>IFERROR(VLOOKUP(A:A,[1]Export!$E:$Y,21,0),0)</f>
        <v>0</v>
      </c>
      <c r="D775">
        <v>0</v>
      </c>
    </row>
    <row r="776" spans="1:4">
      <c r="A776">
        <v>17707547</v>
      </c>
      <c r="B776">
        <v>0</v>
      </c>
      <c r="C776">
        <f>IFERROR(VLOOKUP(A:A,[1]Export!$E:$Y,21,0),0)</f>
        <v>132000</v>
      </c>
      <c r="D776">
        <v>0</v>
      </c>
    </row>
    <row r="777" spans="1:4">
      <c r="A777">
        <v>17707600</v>
      </c>
      <c r="B777">
        <v>0</v>
      </c>
      <c r="C777">
        <f>IFERROR(VLOOKUP(A:A,[1]Export!$E:$Y,21,0),0)</f>
        <v>264000</v>
      </c>
      <c r="D777">
        <v>0</v>
      </c>
    </row>
    <row r="778" spans="1:4">
      <c r="A778">
        <v>17707702</v>
      </c>
      <c r="B778">
        <v>0</v>
      </c>
      <c r="C778">
        <f>IFERROR(VLOOKUP(A:A,[1]Export!$E:$Y,21,0),0)</f>
        <v>0</v>
      </c>
      <c r="D778">
        <v>0</v>
      </c>
    </row>
    <row r="779" spans="1:4">
      <c r="A779">
        <v>17707977</v>
      </c>
      <c r="B779">
        <v>0</v>
      </c>
      <c r="C779">
        <f>IFERROR(VLOOKUP(A:A,[1]Export!$E:$Y,21,0),0)</f>
        <v>336000</v>
      </c>
      <c r="D779">
        <v>0</v>
      </c>
    </row>
    <row r="780" spans="1:4">
      <c r="A780">
        <v>17708455</v>
      </c>
      <c r="B780">
        <v>0</v>
      </c>
      <c r="C780">
        <f>IFERROR(VLOOKUP(A:A,[1]Export!$E:$Y,21,0),0)</f>
        <v>0</v>
      </c>
      <c r="D780">
        <v>0</v>
      </c>
    </row>
    <row r="781" spans="1:4">
      <c r="A781">
        <v>17708464</v>
      </c>
      <c r="B781">
        <v>0</v>
      </c>
      <c r="C781">
        <f>IFERROR(VLOOKUP(A:A,[1]Export!$E:$Y,21,0),0)</f>
        <v>217000</v>
      </c>
      <c r="D781">
        <v>0</v>
      </c>
    </row>
    <row r="782" spans="1:4">
      <c r="A782">
        <v>17708568</v>
      </c>
      <c r="B782">
        <v>0</v>
      </c>
      <c r="C782">
        <f>IFERROR(VLOOKUP(A:A,[1]Export!$E:$Y,21,0),0)</f>
        <v>0</v>
      </c>
      <c r="D782">
        <v>0</v>
      </c>
    </row>
    <row r="783" spans="1:4">
      <c r="A783">
        <v>17708668</v>
      </c>
      <c r="B783">
        <v>0</v>
      </c>
      <c r="C783">
        <f>IFERROR(VLOOKUP(A:A,[1]Export!$E:$Y,21,0),0)</f>
        <v>132000</v>
      </c>
      <c r="D783">
        <v>0</v>
      </c>
    </row>
    <row r="784" spans="1:4">
      <c r="A784">
        <v>17710390</v>
      </c>
      <c r="B784">
        <v>0</v>
      </c>
      <c r="C784">
        <f>IFERROR(VLOOKUP(A:A,[1]Export!$E:$Y,21,0),0)</f>
        <v>0</v>
      </c>
      <c r="D784">
        <v>0</v>
      </c>
    </row>
    <row r="785" spans="1:4">
      <c r="A785">
        <v>17710411</v>
      </c>
      <c r="B785">
        <v>0</v>
      </c>
      <c r="C785">
        <f>IFERROR(VLOOKUP(A:A,[1]Export!$E:$Y,21,0),0)</f>
        <v>0</v>
      </c>
      <c r="D785">
        <v>0</v>
      </c>
    </row>
    <row r="786" spans="1:4">
      <c r="A786">
        <v>17710432</v>
      </c>
      <c r="B786">
        <v>0</v>
      </c>
      <c r="C786">
        <f>IFERROR(VLOOKUP(A:A,[1]Export!$E:$Y,21,0),0)</f>
        <v>0</v>
      </c>
      <c r="D786">
        <v>0</v>
      </c>
    </row>
    <row r="787" spans="1:4">
      <c r="A787">
        <v>17710769</v>
      </c>
      <c r="B787">
        <v>0</v>
      </c>
      <c r="C787">
        <f>IFERROR(VLOOKUP(A:A,[1]Export!$E:$Y,21,0),0)</f>
        <v>0</v>
      </c>
      <c r="D787">
        <v>0</v>
      </c>
    </row>
    <row r="788" spans="1:4">
      <c r="A788">
        <v>17710786</v>
      </c>
      <c r="B788">
        <v>0</v>
      </c>
      <c r="C788">
        <f>IFERROR(VLOOKUP(A:A,[1]Export!$E:$Y,21,0),0)</f>
        <v>0</v>
      </c>
      <c r="D788">
        <v>0</v>
      </c>
    </row>
    <row r="789" spans="1:4">
      <c r="A789">
        <v>17710803</v>
      </c>
      <c r="B789">
        <v>0</v>
      </c>
      <c r="C789">
        <f>IFERROR(VLOOKUP(A:A,[1]Export!$E:$Y,21,0),0)</f>
        <v>0</v>
      </c>
      <c r="D789">
        <v>0</v>
      </c>
    </row>
    <row r="790" spans="1:4">
      <c r="A790">
        <v>17710929</v>
      </c>
      <c r="B790">
        <v>0</v>
      </c>
      <c r="C790">
        <f>IFERROR(VLOOKUP(A:A,[1]Export!$E:$Y,21,0),0)</f>
        <v>0</v>
      </c>
      <c r="D790">
        <v>0</v>
      </c>
    </row>
    <row r="791" spans="1:4">
      <c r="A791">
        <v>17711167</v>
      </c>
      <c r="B791">
        <v>0</v>
      </c>
      <c r="C791">
        <f>IFERROR(VLOOKUP(A:A,[1]Export!$E:$Y,21,0),0)</f>
        <v>0</v>
      </c>
      <c r="D791">
        <v>0</v>
      </c>
    </row>
    <row r="792" spans="1:4">
      <c r="A792">
        <v>17711225</v>
      </c>
      <c r="B792">
        <v>0</v>
      </c>
      <c r="C792">
        <f>IFERROR(VLOOKUP(A:A,[1]Export!$E:$Y,21,0),0)</f>
        <v>0</v>
      </c>
      <c r="D792">
        <v>0</v>
      </c>
    </row>
    <row r="793" spans="1:4">
      <c r="A793">
        <v>17711371</v>
      </c>
      <c r="B793">
        <v>0</v>
      </c>
      <c r="C793">
        <f>IFERROR(VLOOKUP(A:A,[1]Export!$E:$Y,21,0),0)</f>
        <v>0</v>
      </c>
      <c r="D793">
        <v>3</v>
      </c>
    </row>
    <row r="794" spans="1:4">
      <c r="A794">
        <v>17712252</v>
      </c>
      <c r="B794">
        <v>0</v>
      </c>
      <c r="C794">
        <f>IFERROR(VLOOKUP(A:A,[1]Export!$E:$Y,21,0),0)</f>
        <v>300000</v>
      </c>
      <c r="D794">
        <v>0</v>
      </c>
    </row>
    <row r="795" spans="1:4">
      <c r="A795">
        <v>17712567</v>
      </c>
      <c r="B795">
        <v>0</v>
      </c>
      <c r="C795">
        <f>IFERROR(VLOOKUP(A:A,[1]Export!$E:$Y,21,0),0)</f>
        <v>0</v>
      </c>
      <c r="D795">
        <v>0</v>
      </c>
    </row>
    <row r="796" spans="1:4">
      <c r="A796">
        <v>17712578</v>
      </c>
      <c r="B796">
        <v>0</v>
      </c>
      <c r="C796">
        <f>IFERROR(VLOOKUP(A:A,[1]Export!$E:$Y,21,0),0)</f>
        <v>0</v>
      </c>
      <c r="D796">
        <v>0</v>
      </c>
    </row>
    <row r="797" spans="1:4">
      <c r="A797">
        <v>17712620</v>
      </c>
      <c r="B797">
        <v>0</v>
      </c>
      <c r="C797">
        <f>IFERROR(VLOOKUP(A:A,[1]Export!$E:$Y,21,0),0)</f>
        <v>0</v>
      </c>
      <c r="D797">
        <v>0</v>
      </c>
    </row>
    <row r="798" spans="1:4">
      <c r="A798">
        <v>17712628</v>
      </c>
      <c r="B798">
        <v>1</v>
      </c>
      <c r="C798">
        <f>IFERROR(VLOOKUP(A:A,[1]Export!$E:$Y,21,0),0)</f>
        <v>0</v>
      </c>
      <c r="D798">
        <v>0</v>
      </c>
    </row>
    <row r="799" spans="1:4">
      <c r="A799">
        <v>17712962</v>
      </c>
      <c r="B799">
        <v>2</v>
      </c>
      <c r="C799">
        <f>IFERROR(VLOOKUP(A:A,[1]Export!$E:$Y,21,0),0)</f>
        <v>0</v>
      </c>
      <c r="D799">
        <v>0</v>
      </c>
    </row>
    <row r="800" spans="1:4">
      <c r="A800">
        <v>17712989</v>
      </c>
      <c r="B800">
        <v>0</v>
      </c>
      <c r="C800">
        <f>IFERROR(VLOOKUP(A:A,[1]Export!$E:$Y,21,0),0)</f>
        <v>0</v>
      </c>
      <c r="D800">
        <v>0</v>
      </c>
    </row>
    <row r="801" spans="1:4">
      <c r="A801">
        <v>17714371</v>
      </c>
      <c r="B801">
        <v>0</v>
      </c>
      <c r="C801">
        <f>IFERROR(VLOOKUP(A:A,[1]Export!$E:$Y,21,0),0)</f>
        <v>0</v>
      </c>
      <c r="D801">
        <v>0</v>
      </c>
    </row>
    <row r="802" spans="1:4">
      <c r="A802">
        <v>17714814</v>
      </c>
      <c r="B802">
        <v>0</v>
      </c>
      <c r="C802">
        <f>IFERROR(VLOOKUP(A:A,[1]Export!$E:$Y,21,0),0)</f>
        <v>0</v>
      </c>
      <c r="D802">
        <v>0</v>
      </c>
    </row>
    <row r="803" spans="1:4">
      <c r="A803">
        <v>17717259</v>
      </c>
      <c r="B803">
        <v>16</v>
      </c>
      <c r="C803">
        <f>IFERROR(VLOOKUP(A:A,[1]Export!$E:$Y,21,0),0)</f>
        <v>2000000</v>
      </c>
      <c r="D803">
        <v>0</v>
      </c>
    </row>
    <row r="804" spans="1:4">
      <c r="A804">
        <v>17717812</v>
      </c>
      <c r="B804">
        <v>0</v>
      </c>
      <c r="C804">
        <f>IFERROR(VLOOKUP(A:A,[1]Export!$E:$Y,21,0),0)</f>
        <v>52800</v>
      </c>
      <c r="D804">
        <v>0</v>
      </c>
    </row>
    <row r="805" spans="1:4">
      <c r="A805">
        <v>17718533</v>
      </c>
      <c r="B805">
        <v>1</v>
      </c>
      <c r="C805">
        <f>IFERROR(VLOOKUP(A:A,[1]Export!$E:$Y,21,0),0)</f>
        <v>0</v>
      </c>
      <c r="D805">
        <v>1</v>
      </c>
    </row>
    <row r="806" spans="1:4">
      <c r="A806">
        <v>17719832</v>
      </c>
      <c r="B806">
        <v>0</v>
      </c>
      <c r="C806">
        <f>IFERROR(VLOOKUP(A:A,[1]Export!$E:$Y,21,0),0)</f>
        <v>0</v>
      </c>
      <c r="D806">
        <v>0</v>
      </c>
    </row>
    <row r="807" spans="1:4">
      <c r="A807">
        <v>17719840</v>
      </c>
      <c r="B807">
        <v>0</v>
      </c>
      <c r="C807">
        <f>IFERROR(VLOOKUP(A:A,[1]Export!$E:$Y,21,0),0)</f>
        <v>0</v>
      </c>
      <c r="D807">
        <v>0</v>
      </c>
    </row>
    <row r="808" spans="1:4">
      <c r="A808">
        <v>17721015</v>
      </c>
      <c r="B808">
        <v>0</v>
      </c>
      <c r="C808">
        <f>IFERROR(VLOOKUP(A:A,[1]Export!$E:$Y,21,0),0)</f>
        <v>0</v>
      </c>
      <c r="D808">
        <v>0</v>
      </c>
    </row>
    <row r="809" spans="1:4">
      <c r="A809">
        <v>17721665</v>
      </c>
      <c r="B809">
        <v>0</v>
      </c>
      <c r="C809">
        <f>IFERROR(VLOOKUP(A:A,[1]Export!$E:$Y,21,0),0)</f>
        <v>0</v>
      </c>
      <c r="D809">
        <v>0</v>
      </c>
    </row>
    <row r="810" spans="1:4">
      <c r="A810">
        <v>17723382</v>
      </c>
      <c r="B810">
        <v>0</v>
      </c>
      <c r="C810">
        <f>IFERROR(VLOOKUP(A:A,[1]Export!$E:$Y,21,0),0)</f>
        <v>132000</v>
      </c>
      <c r="D810">
        <v>0</v>
      </c>
    </row>
    <row r="811" spans="1:4">
      <c r="A811">
        <v>17724158</v>
      </c>
      <c r="B811">
        <v>0</v>
      </c>
      <c r="C811">
        <f>IFERROR(VLOOKUP(A:A,[1]Export!$E:$Y,21,0),0)</f>
        <v>0</v>
      </c>
      <c r="D811">
        <v>0</v>
      </c>
    </row>
    <row r="812" spans="1:4">
      <c r="A812">
        <v>17724506</v>
      </c>
      <c r="B812">
        <v>0</v>
      </c>
      <c r="C812">
        <f>IFERROR(VLOOKUP(A:A,[1]Export!$E:$Y,21,0),0)</f>
        <v>0</v>
      </c>
      <c r="D812">
        <v>0</v>
      </c>
    </row>
    <row r="813" spans="1:4">
      <c r="A813">
        <v>17726832</v>
      </c>
      <c r="B813">
        <v>0</v>
      </c>
      <c r="C813">
        <f>IFERROR(VLOOKUP(A:A,[1]Export!$E:$Y,21,0),0)</f>
        <v>0</v>
      </c>
      <c r="D813">
        <v>0</v>
      </c>
    </row>
    <row r="814" spans="1:4">
      <c r="A814">
        <v>17727929</v>
      </c>
      <c r="B814">
        <v>0</v>
      </c>
      <c r="C814">
        <f>IFERROR(VLOOKUP(A:A,[1]Export!$E:$Y,21,0),0)</f>
        <v>0</v>
      </c>
      <c r="D814">
        <v>0</v>
      </c>
    </row>
    <row r="815" spans="1:4">
      <c r="A815">
        <v>17727949</v>
      </c>
      <c r="B815">
        <v>0</v>
      </c>
      <c r="C815">
        <f>IFERROR(VLOOKUP(A:A,[1]Export!$E:$Y,21,0),0)</f>
        <v>0</v>
      </c>
      <c r="D815">
        <v>0</v>
      </c>
    </row>
    <row r="816" spans="1:4">
      <c r="A816">
        <v>17730159</v>
      </c>
      <c r="B816">
        <v>0</v>
      </c>
      <c r="C816">
        <f>IFERROR(VLOOKUP(A:A,[1]Export!$E:$Y,21,0),0)</f>
        <v>0</v>
      </c>
      <c r="D816">
        <v>0</v>
      </c>
    </row>
    <row r="817" spans="1:4">
      <c r="A817">
        <v>17730179</v>
      </c>
      <c r="B817">
        <v>0</v>
      </c>
      <c r="C817">
        <f>IFERROR(VLOOKUP(A:A,[1]Export!$E:$Y,21,0),0)</f>
        <v>0</v>
      </c>
      <c r="D817">
        <v>0</v>
      </c>
    </row>
    <row r="818" spans="1:4">
      <c r="A818">
        <v>17730222</v>
      </c>
      <c r="B818">
        <v>0</v>
      </c>
      <c r="C818">
        <f>IFERROR(VLOOKUP(A:A,[1]Export!$E:$Y,21,0),0)</f>
        <v>0</v>
      </c>
      <c r="D818">
        <v>0</v>
      </c>
    </row>
    <row r="819" spans="1:4">
      <c r="A819">
        <v>17730497</v>
      </c>
      <c r="B819">
        <v>0</v>
      </c>
      <c r="C819">
        <f>IFERROR(VLOOKUP(A:A,[1]Export!$E:$Y,21,0),0)</f>
        <v>0</v>
      </c>
      <c r="D819">
        <v>0</v>
      </c>
    </row>
    <row r="820" spans="1:4">
      <c r="A820">
        <v>17734367</v>
      </c>
      <c r="B820">
        <v>0</v>
      </c>
      <c r="C820">
        <f>IFERROR(VLOOKUP(A:A,[1]Export!$E:$Y,21,0),0)</f>
        <v>0</v>
      </c>
      <c r="D820">
        <v>0</v>
      </c>
    </row>
    <row r="821" spans="1:4">
      <c r="A821">
        <v>17735675</v>
      </c>
      <c r="B821">
        <v>0</v>
      </c>
      <c r="C821">
        <f>IFERROR(VLOOKUP(A:A,[1]Export!$E:$Y,21,0),0)</f>
        <v>0</v>
      </c>
      <c r="D821">
        <v>0</v>
      </c>
    </row>
    <row r="822" spans="1:4">
      <c r="A822">
        <v>17736330</v>
      </c>
      <c r="B822">
        <v>0</v>
      </c>
      <c r="C822">
        <f>IFERROR(VLOOKUP(A:A,[1]Export!$E:$Y,21,0),0)</f>
        <v>0</v>
      </c>
      <c r="D822">
        <v>0</v>
      </c>
    </row>
    <row r="823" spans="1:4">
      <c r="A823">
        <v>17736369</v>
      </c>
      <c r="B823">
        <v>1</v>
      </c>
      <c r="C823">
        <f>IFERROR(VLOOKUP(A:A,[1]Export!$E:$Y,21,0),0)</f>
        <v>507000</v>
      </c>
      <c r="D823">
        <v>0</v>
      </c>
    </row>
    <row r="824" spans="1:4">
      <c r="A824">
        <v>17736468</v>
      </c>
      <c r="B824">
        <v>0</v>
      </c>
      <c r="C824">
        <f>IFERROR(VLOOKUP(A:A,[1]Export!$E:$Y,21,0),0)</f>
        <v>0</v>
      </c>
      <c r="D824">
        <v>0</v>
      </c>
    </row>
    <row r="825" spans="1:4">
      <c r="A825">
        <v>17736472</v>
      </c>
      <c r="B825">
        <v>3</v>
      </c>
      <c r="C825">
        <f>IFERROR(VLOOKUP(A:A,[1]Export!$E:$Y,21,0),0)</f>
        <v>0</v>
      </c>
      <c r="D825">
        <v>0</v>
      </c>
    </row>
    <row r="826" spans="1:4">
      <c r="A826">
        <v>17737248</v>
      </c>
      <c r="B826">
        <v>0</v>
      </c>
      <c r="C826">
        <f>IFERROR(VLOOKUP(A:A,[1]Export!$E:$Y,21,0),0)</f>
        <v>0</v>
      </c>
      <c r="D826">
        <v>0</v>
      </c>
    </row>
    <row r="827" spans="1:4">
      <c r="A827">
        <v>17741150</v>
      </c>
      <c r="B827">
        <v>0</v>
      </c>
      <c r="C827">
        <f>IFERROR(VLOOKUP(A:A,[1]Export!$E:$Y,21,0),0)</f>
        <v>0</v>
      </c>
      <c r="D827">
        <v>0</v>
      </c>
    </row>
    <row r="828" spans="1:4">
      <c r="A828">
        <v>17741215</v>
      </c>
      <c r="B828">
        <v>0</v>
      </c>
      <c r="C828">
        <f>IFERROR(VLOOKUP(A:A,[1]Export!$E:$Y,21,0),0)</f>
        <v>0</v>
      </c>
      <c r="D828">
        <v>10</v>
      </c>
    </row>
    <row r="829" spans="1:4">
      <c r="A829">
        <v>17741642</v>
      </c>
      <c r="B829">
        <v>0</v>
      </c>
      <c r="C829">
        <f>IFERROR(VLOOKUP(A:A,[1]Export!$E:$Y,21,0),0)</f>
        <v>1267800</v>
      </c>
      <c r="D829">
        <v>0</v>
      </c>
    </row>
    <row r="830" spans="1:4">
      <c r="A830">
        <v>17741675</v>
      </c>
      <c r="B830">
        <v>0</v>
      </c>
      <c r="C830">
        <f>IFERROR(VLOOKUP(A:A,[1]Export!$E:$Y,21,0),0)</f>
        <v>132000</v>
      </c>
      <c r="D830">
        <v>0</v>
      </c>
    </row>
    <row r="831" spans="1:4">
      <c r="A831">
        <v>17741887</v>
      </c>
      <c r="B831">
        <v>0</v>
      </c>
      <c r="C831">
        <f>IFERROR(VLOOKUP(A:A,[1]Export!$E:$Y,21,0),0)</f>
        <v>0</v>
      </c>
      <c r="D831">
        <v>0</v>
      </c>
    </row>
    <row r="832" spans="1:4">
      <c r="A832">
        <v>17741893</v>
      </c>
      <c r="B832">
        <v>0</v>
      </c>
      <c r="C832">
        <f>IFERROR(VLOOKUP(A:A,[1]Export!$E:$Y,21,0),0)</f>
        <v>0</v>
      </c>
      <c r="D832">
        <v>0</v>
      </c>
    </row>
    <row r="833" spans="1:4">
      <c r="A833">
        <v>17741916</v>
      </c>
      <c r="B833">
        <v>0</v>
      </c>
      <c r="C833">
        <f>IFERROR(VLOOKUP(A:A,[1]Export!$E:$Y,21,0),0)</f>
        <v>0</v>
      </c>
      <c r="D833">
        <v>0</v>
      </c>
    </row>
    <row r="834" spans="1:4">
      <c r="A834">
        <v>17742351</v>
      </c>
      <c r="B834">
        <v>0</v>
      </c>
      <c r="C834">
        <f>IFERROR(VLOOKUP(A:A,[1]Export!$E:$Y,21,0),0)</f>
        <v>0</v>
      </c>
      <c r="D834">
        <v>0</v>
      </c>
    </row>
    <row r="835" spans="1:4">
      <c r="A835">
        <v>17742371</v>
      </c>
      <c r="B835">
        <v>0</v>
      </c>
      <c r="C835">
        <f>IFERROR(VLOOKUP(A:A,[1]Export!$E:$Y,21,0),0)</f>
        <v>0</v>
      </c>
      <c r="D835">
        <v>10</v>
      </c>
    </row>
    <row r="836" spans="1:4">
      <c r="A836">
        <v>17742642</v>
      </c>
      <c r="B836">
        <v>0</v>
      </c>
      <c r="C836">
        <f>IFERROR(VLOOKUP(A:A,[1]Export!$E:$Y,21,0),0)</f>
        <v>0</v>
      </c>
      <c r="D836">
        <v>0</v>
      </c>
    </row>
    <row r="837" spans="1:4">
      <c r="A837">
        <v>17742643</v>
      </c>
      <c r="B837">
        <v>0</v>
      </c>
      <c r="C837">
        <f>IFERROR(VLOOKUP(A:A,[1]Export!$E:$Y,21,0),0)</f>
        <v>0</v>
      </c>
      <c r="D837">
        <v>0</v>
      </c>
    </row>
    <row r="838" spans="1:4">
      <c r="A838">
        <v>17742802</v>
      </c>
      <c r="B838">
        <v>0</v>
      </c>
      <c r="C838">
        <f>IFERROR(VLOOKUP(A:A,[1]Export!$E:$Y,21,0),0)</f>
        <v>0</v>
      </c>
      <c r="D838">
        <v>0</v>
      </c>
    </row>
    <row r="839" spans="1:4">
      <c r="A839">
        <v>17742816</v>
      </c>
      <c r="B839">
        <v>0</v>
      </c>
      <c r="C839">
        <f>IFERROR(VLOOKUP(A:A,[1]Export!$E:$Y,21,0),0)</f>
        <v>0</v>
      </c>
      <c r="D839">
        <v>0</v>
      </c>
    </row>
    <row r="840" spans="1:4">
      <c r="A840">
        <v>17742945</v>
      </c>
      <c r="B840">
        <v>0</v>
      </c>
      <c r="C840">
        <f>IFERROR(VLOOKUP(A:A,[1]Export!$E:$Y,21,0),0)</f>
        <v>0</v>
      </c>
      <c r="D840">
        <v>0</v>
      </c>
    </row>
    <row r="841" spans="1:4">
      <c r="A841">
        <v>17743220</v>
      </c>
      <c r="B841">
        <v>1</v>
      </c>
      <c r="C841">
        <f>IFERROR(VLOOKUP(A:A,[1]Export!$E:$Y,21,0),0)</f>
        <v>0</v>
      </c>
      <c r="D841">
        <v>0</v>
      </c>
    </row>
    <row r="842" spans="1:4">
      <c r="A842">
        <v>17744463</v>
      </c>
      <c r="B842">
        <v>0</v>
      </c>
      <c r="C842">
        <f>IFERROR(VLOOKUP(A:A,[1]Export!$E:$Y,21,0),0)</f>
        <v>336000</v>
      </c>
      <c r="D842">
        <v>0</v>
      </c>
    </row>
    <row r="843" spans="1:4">
      <c r="A843">
        <v>17744570</v>
      </c>
      <c r="B843">
        <v>0</v>
      </c>
      <c r="C843">
        <f>IFERROR(VLOOKUP(A:A,[1]Export!$E:$Y,21,0),0)</f>
        <v>0</v>
      </c>
      <c r="D843">
        <v>10</v>
      </c>
    </row>
    <row r="844" spans="1:4">
      <c r="A844">
        <v>17744587</v>
      </c>
      <c r="B844">
        <v>0</v>
      </c>
      <c r="C844">
        <f>IFERROR(VLOOKUP(A:A,[1]Export!$E:$Y,21,0),0)</f>
        <v>0</v>
      </c>
      <c r="D844">
        <v>0</v>
      </c>
    </row>
    <row r="845" spans="1:4">
      <c r="A845">
        <v>17745379</v>
      </c>
      <c r="B845">
        <v>0</v>
      </c>
      <c r="C845">
        <f>IFERROR(VLOOKUP(A:A,[1]Export!$E:$Y,21,0),0)</f>
        <v>1200000</v>
      </c>
      <c r="D845">
        <v>0</v>
      </c>
    </row>
    <row r="846" spans="1:4">
      <c r="A846">
        <v>17745417</v>
      </c>
      <c r="B846">
        <v>0</v>
      </c>
      <c r="C846">
        <f>IFERROR(VLOOKUP(A:A,[1]Export!$E:$Y,21,0),0)</f>
        <v>0</v>
      </c>
      <c r="D846">
        <v>0</v>
      </c>
    </row>
    <row r="847" spans="1:4">
      <c r="A847">
        <v>17745424</v>
      </c>
      <c r="B847">
        <v>0</v>
      </c>
      <c r="C847">
        <f>IFERROR(VLOOKUP(A:A,[1]Export!$E:$Y,21,0),0)</f>
        <v>0</v>
      </c>
      <c r="D847">
        <v>0</v>
      </c>
    </row>
    <row r="848" spans="1:4">
      <c r="A848">
        <v>17746291</v>
      </c>
      <c r="B848">
        <v>0</v>
      </c>
      <c r="C848">
        <f>IFERROR(VLOOKUP(A:A,[1]Export!$E:$Y,21,0),0)</f>
        <v>0</v>
      </c>
      <c r="D848">
        <v>0</v>
      </c>
    </row>
    <row r="849" spans="1:4">
      <c r="A849">
        <v>17746504</v>
      </c>
      <c r="B849">
        <v>0</v>
      </c>
      <c r="C849">
        <f>IFERROR(VLOOKUP(A:A,[1]Export!$E:$Y,21,0),0)</f>
        <v>600000</v>
      </c>
      <c r="D849">
        <v>0</v>
      </c>
    </row>
    <row r="850" spans="1:4">
      <c r="A850">
        <v>17746582</v>
      </c>
      <c r="B850">
        <v>0</v>
      </c>
      <c r="C850">
        <f>IFERROR(VLOOKUP(A:A,[1]Export!$E:$Y,21,0),0)</f>
        <v>168000</v>
      </c>
      <c r="D850">
        <v>0</v>
      </c>
    </row>
    <row r="851" spans="1:4">
      <c r="A851">
        <v>17746764</v>
      </c>
      <c r="B851">
        <v>0</v>
      </c>
      <c r="C851">
        <f>IFERROR(VLOOKUP(A:A,[1]Export!$E:$Y,21,0),0)</f>
        <v>0</v>
      </c>
      <c r="D851">
        <v>0</v>
      </c>
    </row>
    <row r="852" spans="1:4">
      <c r="A852">
        <v>17746899</v>
      </c>
      <c r="B852">
        <v>0</v>
      </c>
      <c r="C852">
        <f>IFERROR(VLOOKUP(A:A,[1]Export!$E:$Y,21,0),0)</f>
        <v>0</v>
      </c>
      <c r="D852">
        <v>0</v>
      </c>
    </row>
    <row r="853" spans="1:4">
      <c r="A853">
        <v>17746911</v>
      </c>
      <c r="B853">
        <v>0</v>
      </c>
      <c r="C853">
        <f>IFERROR(VLOOKUP(A:A,[1]Export!$E:$Y,21,0),0)</f>
        <v>0</v>
      </c>
      <c r="D853">
        <v>0</v>
      </c>
    </row>
    <row r="854" spans="1:4">
      <c r="A854">
        <v>17747228</v>
      </c>
      <c r="B854">
        <v>3</v>
      </c>
      <c r="C854">
        <f>IFERROR(VLOOKUP(A:A,[1]Export!$E:$Y,21,0),0)</f>
        <v>0</v>
      </c>
      <c r="D854">
        <v>0</v>
      </c>
    </row>
    <row r="855" spans="1:4">
      <c r="A855">
        <v>17747615</v>
      </c>
      <c r="B855">
        <v>0</v>
      </c>
      <c r="C855">
        <f>IFERROR(VLOOKUP(A:A,[1]Export!$E:$Y,21,0),0)</f>
        <v>0</v>
      </c>
      <c r="D855">
        <v>0</v>
      </c>
    </row>
    <row r="856" spans="1:4">
      <c r="A856">
        <v>17747669</v>
      </c>
      <c r="B856">
        <v>0</v>
      </c>
      <c r="C856">
        <f>IFERROR(VLOOKUP(A:A,[1]Export!$E:$Y,21,0),0)</f>
        <v>0</v>
      </c>
      <c r="D856">
        <v>0</v>
      </c>
    </row>
    <row r="857" spans="1:4">
      <c r="A857">
        <v>17747746</v>
      </c>
      <c r="B857">
        <v>0</v>
      </c>
      <c r="C857">
        <f>IFERROR(VLOOKUP(A:A,[1]Export!$E:$Y,21,0),0)</f>
        <v>168000</v>
      </c>
      <c r="D857">
        <v>0</v>
      </c>
    </row>
    <row r="858" spans="1:4">
      <c r="A858">
        <v>17750165</v>
      </c>
      <c r="B858">
        <v>0</v>
      </c>
      <c r="C858">
        <f>IFERROR(VLOOKUP(A:A,[1]Export!$E:$Y,21,0),0)</f>
        <v>170000</v>
      </c>
      <c r="D858">
        <v>0</v>
      </c>
    </row>
    <row r="859" spans="1:4">
      <c r="A859">
        <v>17750171</v>
      </c>
      <c r="B859">
        <v>0</v>
      </c>
      <c r="C859">
        <f>IFERROR(VLOOKUP(A:A,[1]Export!$E:$Y,21,0),0)</f>
        <v>0</v>
      </c>
      <c r="D859">
        <v>0</v>
      </c>
    </row>
    <row r="860" spans="1:4">
      <c r="A860">
        <v>17750177</v>
      </c>
      <c r="B860">
        <v>0</v>
      </c>
      <c r="C860">
        <f>IFERROR(VLOOKUP(A:A,[1]Export!$E:$Y,21,0),0)</f>
        <v>0</v>
      </c>
      <c r="D860">
        <v>0</v>
      </c>
    </row>
    <row r="861" spans="1:4">
      <c r="A861">
        <v>17750185</v>
      </c>
      <c r="B861">
        <v>0</v>
      </c>
      <c r="C861">
        <f>IFERROR(VLOOKUP(A:A,[1]Export!$E:$Y,21,0),0)</f>
        <v>0</v>
      </c>
      <c r="D861">
        <v>0</v>
      </c>
    </row>
    <row r="862" spans="1:4">
      <c r="A862">
        <v>17750508</v>
      </c>
      <c r="B862">
        <v>0</v>
      </c>
      <c r="C862">
        <f>IFERROR(VLOOKUP(A:A,[1]Export!$E:$Y,21,0),0)</f>
        <v>0</v>
      </c>
      <c r="D862">
        <v>0</v>
      </c>
    </row>
    <row r="863" spans="1:4">
      <c r="A863">
        <v>17752966</v>
      </c>
      <c r="B863">
        <v>0</v>
      </c>
      <c r="C863">
        <f>IFERROR(VLOOKUP(A:A,[1]Export!$E:$Y,21,0),0)</f>
        <v>0</v>
      </c>
      <c r="D863">
        <v>0</v>
      </c>
    </row>
    <row r="864" spans="1:4">
      <c r="A864">
        <v>17752971</v>
      </c>
      <c r="B864">
        <v>0</v>
      </c>
      <c r="C864">
        <f>IFERROR(VLOOKUP(A:A,[1]Export!$E:$Y,21,0),0)</f>
        <v>0</v>
      </c>
      <c r="D864">
        <v>0</v>
      </c>
    </row>
    <row r="865" spans="1:4">
      <c r="A865">
        <v>17752999</v>
      </c>
      <c r="B865">
        <v>0</v>
      </c>
      <c r="C865">
        <f>IFERROR(VLOOKUP(A:A,[1]Export!$E:$Y,21,0),0)</f>
        <v>0</v>
      </c>
      <c r="D865">
        <v>0</v>
      </c>
    </row>
    <row r="866" spans="1:4">
      <c r="A866">
        <v>17753024</v>
      </c>
      <c r="B866">
        <v>0</v>
      </c>
      <c r="C866">
        <f>IFERROR(VLOOKUP(A:A,[1]Export!$E:$Y,21,0),0)</f>
        <v>0</v>
      </c>
      <c r="D866">
        <v>0</v>
      </c>
    </row>
    <row r="867" spans="1:4">
      <c r="A867">
        <v>17753236</v>
      </c>
      <c r="B867">
        <v>0</v>
      </c>
      <c r="C867">
        <f>IFERROR(VLOOKUP(A:A,[1]Export!$E:$Y,21,0),0)</f>
        <v>0</v>
      </c>
      <c r="D867">
        <v>0</v>
      </c>
    </row>
    <row r="868" spans="1:4">
      <c r="A868">
        <v>17753641</v>
      </c>
      <c r="B868">
        <v>0</v>
      </c>
      <c r="C868">
        <f>IFERROR(VLOOKUP(A:A,[1]Export!$E:$Y,21,0),0)</f>
        <v>253000</v>
      </c>
      <c r="D868">
        <v>0</v>
      </c>
    </row>
    <row r="869" spans="1:4">
      <c r="A869">
        <v>17753876</v>
      </c>
      <c r="B869">
        <v>0</v>
      </c>
      <c r="C869">
        <f>IFERROR(VLOOKUP(A:A,[1]Export!$E:$Y,21,0),0)</f>
        <v>0</v>
      </c>
      <c r="D869">
        <v>0</v>
      </c>
    </row>
    <row r="870" spans="1:4">
      <c r="A870">
        <v>17754071</v>
      </c>
      <c r="B870">
        <v>0</v>
      </c>
      <c r="C870">
        <f>IFERROR(VLOOKUP(A:A,[1]Export!$E:$Y,21,0),0)</f>
        <v>132000</v>
      </c>
      <c r="D870">
        <v>0</v>
      </c>
    </row>
    <row r="871" spans="1:4">
      <c r="A871">
        <v>17754185</v>
      </c>
      <c r="B871">
        <v>0</v>
      </c>
      <c r="C871">
        <f>IFERROR(VLOOKUP(A:A,[1]Export!$E:$Y,21,0),0)</f>
        <v>0</v>
      </c>
      <c r="D871">
        <v>0</v>
      </c>
    </row>
    <row r="872" spans="1:4">
      <c r="A872">
        <v>17754595</v>
      </c>
      <c r="B872">
        <v>0</v>
      </c>
      <c r="C872">
        <f>IFERROR(VLOOKUP(A:A,[1]Export!$E:$Y,21,0),0)</f>
        <v>0</v>
      </c>
      <c r="D872">
        <v>0</v>
      </c>
    </row>
    <row r="873" spans="1:4">
      <c r="A873">
        <v>17754764</v>
      </c>
      <c r="B873">
        <v>1</v>
      </c>
      <c r="C873">
        <f>IFERROR(VLOOKUP(A:A,[1]Export!$E:$Y,21,0),0)</f>
        <v>0</v>
      </c>
      <c r="D873">
        <v>0</v>
      </c>
    </row>
    <row r="874" spans="1:4">
      <c r="A874">
        <v>17756287</v>
      </c>
      <c r="B874">
        <v>0</v>
      </c>
      <c r="C874">
        <f>IFERROR(VLOOKUP(A:A,[1]Export!$E:$Y,21,0),0)</f>
        <v>0</v>
      </c>
      <c r="D874">
        <v>0</v>
      </c>
    </row>
    <row r="875" spans="1:4">
      <c r="A875">
        <v>17756293</v>
      </c>
      <c r="B875">
        <v>0</v>
      </c>
      <c r="C875">
        <f>IFERROR(VLOOKUP(A:A,[1]Export!$E:$Y,21,0),0)</f>
        <v>0</v>
      </c>
      <c r="D875">
        <v>0</v>
      </c>
    </row>
    <row r="876" spans="1:4">
      <c r="A876">
        <v>17756297</v>
      </c>
      <c r="B876">
        <v>0</v>
      </c>
      <c r="C876">
        <f>IFERROR(VLOOKUP(A:A,[1]Export!$E:$Y,21,0),0)</f>
        <v>0</v>
      </c>
      <c r="D876">
        <v>0</v>
      </c>
    </row>
    <row r="877" spans="1:4">
      <c r="A877">
        <v>17757018</v>
      </c>
      <c r="B877">
        <v>0</v>
      </c>
      <c r="C877">
        <f>IFERROR(VLOOKUP(A:A,[1]Export!$E:$Y,21,0),0)</f>
        <v>0</v>
      </c>
      <c r="D877">
        <v>0</v>
      </c>
    </row>
    <row r="878" spans="1:4">
      <c r="A878">
        <v>17757611</v>
      </c>
      <c r="B878">
        <v>2</v>
      </c>
      <c r="C878">
        <f>IFERROR(VLOOKUP(A:A,[1]Export!$E:$Y,21,0),0)</f>
        <v>0</v>
      </c>
      <c r="D878">
        <v>1</v>
      </c>
    </row>
    <row r="879" spans="1:4">
      <c r="A879">
        <v>17757991</v>
      </c>
      <c r="B879">
        <v>0</v>
      </c>
      <c r="C879">
        <f>IFERROR(VLOOKUP(A:A,[1]Export!$E:$Y,21,0),0)</f>
        <v>0</v>
      </c>
      <c r="D879">
        <v>0</v>
      </c>
    </row>
    <row r="880" spans="1:4">
      <c r="A880">
        <v>17760766</v>
      </c>
      <c r="B880">
        <v>0</v>
      </c>
      <c r="C880">
        <f>IFERROR(VLOOKUP(A:A,[1]Export!$E:$Y,21,0),0)</f>
        <v>0</v>
      </c>
      <c r="D880">
        <v>0</v>
      </c>
    </row>
    <row r="881" spans="1:4">
      <c r="A881">
        <v>17760973</v>
      </c>
      <c r="B881">
        <v>0</v>
      </c>
      <c r="C881">
        <f>IFERROR(VLOOKUP(A:A,[1]Export!$E:$Y,21,0),0)</f>
        <v>0</v>
      </c>
      <c r="D881">
        <v>0</v>
      </c>
    </row>
    <row r="882" spans="1:4">
      <c r="A882">
        <v>17761103</v>
      </c>
      <c r="B882">
        <v>0</v>
      </c>
      <c r="C882">
        <f>IFERROR(VLOOKUP(A:A,[1]Export!$E:$Y,21,0),0)</f>
        <v>0</v>
      </c>
      <c r="D882">
        <v>0</v>
      </c>
    </row>
    <row r="883" spans="1:4">
      <c r="A883">
        <v>17761454</v>
      </c>
      <c r="B883">
        <v>0</v>
      </c>
      <c r="C883">
        <f>IFERROR(VLOOKUP(A:A,[1]Export!$E:$Y,21,0),0)</f>
        <v>0</v>
      </c>
      <c r="D883">
        <v>0</v>
      </c>
    </row>
    <row r="884" spans="1:4">
      <c r="A884">
        <v>17762071</v>
      </c>
      <c r="B884">
        <v>0</v>
      </c>
      <c r="C884">
        <f>IFERROR(VLOOKUP(A:A,[1]Export!$E:$Y,21,0),0)</f>
        <v>0</v>
      </c>
      <c r="D884">
        <v>0</v>
      </c>
    </row>
    <row r="885" spans="1:4">
      <c r="A885">
        <v>17762645</v>
      </c>
      <c r="B885">
        <v>0</v>
      </c>
      <c r="C885">
        <f>IFERROR(VLOOKUP(A:A,[1]Export!$E:$Y,21,0),0)</f>
        <v>168000</v>
      </c>
      <c r="D885">
        <v>0</v>
      </c>
    </row>
    <row r="886" spans="1:4">
      <c r="A886">
        <v>17763032</v>
      </c>
      <c r="B886">
        <v>0</v>
      </c>
      <c r="C886">
        <f>IFERROR(VLOOKUP(A:A,[1]Export!$E:$Y,21,0),0)</f>
        <v>0</v>
      </c>
      <c r="D886">
        <v>0</v>
      </c>
    </row>
    <row r="887" spans="1:4">
      <c r="A887">
        <v>17763450</v>
      </c>
      <c r="B887">
        <v>0</v>
      </c>
      <c r="C887">
        <f>IFERROR(VLOOKUP(A:A,[1]Export!$E:$Y,21,0),0)</f>
        <v>0</v>
      </c>
      <c r="D887">
        <v>0</v>
      </c>
    </row>
    <row r="888" spans="1:4">
      <c r="A888">
        <v>17763651</v>
      </c>
      <c r="B888">
        <v>0</v>
      </c>
      <c r="C888">
        <f>IFERROR(VLOOKUP(A:A,[1]Export!$E:$Y,21,0),0)</f>
        <v>325000</v>
      </c>
      <c r="D888">
        <v>0</v>
      </c>
    </row>
    <row r="889" spans="1:4">
      <c r="A889">
        <v>17763664</v>
      </c>
      <c r="B889">
        <v>0</v>
      </c>
      <c r="C889">
        <f>IFERROR(VLOOKUP(A:A,[1]Export!$E:$Y,21,0),0)</f>
        <v>180000</v>
      </c>
      <c r="D889">
        <v>0</v>
      </c>
    </row>
    <row r="890" spans="1:4">
      <c r="A890">
        <v>17763874</v>
      </c>
      <c r="B890">
        <v>0</v>
      </c>
      <c r="C890">
        <f>IFERROR(VLOOKUP(A:A,[1]Export!$E:$Y,21,0),0)</f>
        <v>132000</v>
      </c>
      <c r="D890">
        <v>0</v>
      </c>
    </row>
    <row r="891" spans="1:4">
      <c r="A891">
        <v>17763995</v>
      </c>
      <c r="B891">
        <v>0</v>
      </c>
      <c r="C891">
        <f>IFERROR(VLOOKUP(A:A,[1]Export!$E:$Y,21,0),0)</f>
        <v>0</v>
      </c>
      <c r="D891">
        <v>0</v>
      </c>
    </row>
    <row r="892" spans="1:4">
      <c r="A892">
        <v>17764101</v>
      </c>
      <c r="B892">
        <v>0</v>
      </c>
      <c r="C892">
        <f>IFERROR(VLOOKUP(A:A,[1]Export!$E:$Y,21,0),0)</f>
        <v>132000</v>
      </c>
      <c r="D892">
        <v>0</v>
      </c>
    </row>
    <row r="893" spans="1:4">
      <c r="A893">
        <v>17764294</v>
      </c>
      <c r="B893">
        <v>1</v>
      </c>
      <c r="C893">
        <f>IFERROR(VLOOKUP(A:A,[1]Export!$E:$Y,21,0),0)</f>
        <v>900000</v>
      </c>
      <c r="D893">
        <v>0</v>
      </c>
    </row>
    <row r="894" spans="1:4">
      <c r="A894">
        <v>17764352</v>
      </c>
      <c r="B894">
        <v>1</v>
      </c>
      <c r="C894">
        <f>IFERROR(VLOOKUP(A:A,[1]Export!$E:$Y,21,0),0)</f>
        <v>0</v>
      </c>
      <c r="D894">
        <v>0</v>
      </c>
    </row>
    <row r="895" spans="1:4">
      <c r="A895">
        <v>17764364</v>
      </c>
      <c r="B895">
        <v>0</v>
      </c>
      <c r="C895">
        <f>IFERROR(VLOOKUP(A:A,[1]Export!$E:$Y,21,0),0)</f>
        <v>420000</v>
      </c>
      <c r="D895">
        <v>0</v>
      </c>
    </row>
    <row r="896" spans="1:4">
      <c r="A896">
        <v>17764372</v>
      </c>
      <c r="B896">
        <v>1</v>
      </c>
      <c r="C896">
        <f>IFERROR(VLOOKUP(A:A,[1]Export!$E:$Y,21,0),0)</f>
        <v>0</v>
      </c>
      <c r="D896">
        <v>1</v>
      </c>
    </row>
    <row r="897" spans="1:4">
      <c r="A897">
        <v>17764380</v>
      </c>
      <c r="B897">
        <v>0</v>
      </c>
      <c r="C897">
        <f>IFERROR(VLOOKUP(A:A,[1]Export!$E:$Y,21,0),0)</f>
        <v>0</v>
      </c>
      <c r="D897">
        <v>0</v>
      </c>
    </row>
    <row r="898" spans="1:4">
      <c r="A898">
        <v>17764704</v>
      </c>
      <c r="B898">
        <v>0</v>
      </c>
      <c r="C898">
        <f>IFERROR(VLOOKUP(A:A,[1]Export!$E:$Y,21,0),0)</f>
        <v>0</v>
      </c>
      <c r="D898">
        <v>0</v>
      </c>
    </row>
    <row r="899" spans="1:4">
      <c r="A899">
        <v>17764992</v>
      </c>
      <c r="B899">
        <v>0</v>
      </c>
      <c r="C899">
        <f>IFERROR(VLOOKUP(A:A,[1]Export!$E:$Y,21,0),0)</f>
        <v>0</v>
      </c>
      <c r="D899">
        <v>0</v>
      </c>
    </row>
    <row r="900" spans="1:4">
      <c r="A900">
        <v>17765205</v>
      </c>
      <c r="B900">
        <v>0</v>
      </c>
      <c r="C900">
        <f>IFERROR(VLOOKUP(A:A,[1]Export!$E:$Y,21,0),0)</f>
        <v>0</v>
      </c>
      <c r="D900">
        <v>0</v>
      </c>
    </row>
    <row r="901" spans="1:4">
      <c r="A901">
        <v>17766037</v>
      </c>
      <c r="B901">
        <v>0</v>
      </c>
      <c r="C901">
        <f>IFERROR(VLOOKUP(A:A,[1]Export!$E:$Y,21,0),0)</f>
        <v>182000</v>
      </c>
      <c r="D901">
        <v>0</v>
      </c>
    </row>
    <row r="902" spans="1:4">
      <c r="A902">
        <v>17766225</v>
      </c>
      <c r="B902">
        <v>0</v>
      </c>
      <c r="C902">
        <f>IFERROR(VLOOKUP(A:A,[1]Export!$E:$Y,21,0),0)</f>
        <v>0</v>
      </c>
      <c r="D902">
        <v>0</v>
      </c>
    </row>
    <row r="903" spans="1:4">
      <c r="A903">
        <v>17768137</v>
      </c>
      <c r="B903">
        <v>0</v>
      </c>
      <c r="C903">
        <f>IFERROR(VLOOKUP(A:A,[1]Export!$E:$Y,21,0),0)</f>
        <v>0</v>
      </c>
      <c r="D903">
        <v>5</v>
      </c>
    </row>
    <row r="904" spans="1:4">
      <c r="A904">
        <v>17768141</v>
      </c>
      <c r="B904">
        <v>1</v>
      </c>
      <c r="C904">
        <f>IFERROR(VLOOKUP(A:A,[1]Export!$E:$Y,21,0),0)</f>
        <v>0</v>
      </c>
      <c r="D904">
        <v>0</v>
      </c>
    </row>
    <row r="905" spans="1:4">
      <c r="A905">
        <v>17768145</v>
      </c>
      <c r="B905">
        <v>2</v>
      </c>
      <c r="C905">
        <f>IFERROR(VLOOKUP(A:A,[1]Export!$E:$Y,21,0),0)</f>
        <v>0</v>
      </c>
      <c r="D905">
        <v>1</v>
      </c>
    </row>
    <row r="906" spans="1:4">
      <c r="A906">
        <v>17768147</v>
      </c>
      <c r="B906">
        <v>1</v>
      </c>
      <c r="C906">
        <f>IFERROR(VLOOKUP(A:A,[1]Export!$E:$Y,21,0),0)</f>
        <v>0</v>
      </c>
      <c r="D906">
        <v>0</v>
      </c>
    </row>
    <row r="907" spans="1:4">
      <c r="A907">
        <v>17768447</v>
      </c>
      <c r="B907">
        <v>0</v>
      </c>
      <c r="C907">
        <f>IFERROR(VLOOKUP(A:A,[1]Export!$E:$Y,21,0),0)</f>
        <v>0</v>
      </c>
      <c r="D907">
        <v>0</v>
      </c>
    </row>
    <row r="908" spans="1:4">
      <c r="A908">
        <v>17768599</v>
      </c>
      <c r="B908">
        <v>1</v>
      </c>
      <c r="C908">
        <f>IFERROR(VLOOKUP(A:A,[1]Export!$E:$Y,21,0),0)</f>
        <v>0</v>
      </c>
      <c r="D908">
        <v>0</v>
      </c>
    </row>
    <row r="909" spans="1:4">
      <c r="A909">
        <v>17768623</v>
      </c>
      <c r="B909">
        <v>0</v>
      </c>
      <c r="C909">
        <f>IFERROR(VLOOKUP(A:A,[1]Export!$E:$Y,21,0),0)</f>
        <v>425000</v>
      </c>
      <c r="D909">
        <v>0</v>
      </c>
    </row>
    <row r="910" spans="1:4">
      <c r="A910">
        <v>17768632</v>
      </c>
      <c r="B910">
        <v>0</v>
      </c>
      <c r="C910">
        <f>IFERROR(VLOOKUP(A:A,[1]Export!$E:$Y,21,0),0)</f>
        <v>0</v>
      </c>
      <c r="D910">
        <v>0</v>
      </c>
    </row>
    <row r="911" spans="1:4">
      <c r="A911">
        <v>17768735</v>
      </c>
      <c r="B911">
        <v>0</v>
      </c>
      <c r="C911">
        <f>IFERROR(VLOOKUP(A:A,[1]Export!$E:$Y,21,0),0)</f>
        <v>0</v>
      </c>
      <c r="D911">
        <v>0</v>
      </c>
    </row>
    <row r="912" spans="1:4">
      <c r="A912">
        <v>17768830</v>
      </c>
      <c r="B912">
        <v>0</v>
      </c>
      <c r="C912">
        <f>IFERROR(VLOOKUP(A:A,[1]Export!$E:$Y,21,0),0)</f>
        <v>425000</v>
      </c>
      <c r="D912">
        <v>0</v>
      </c>
    </row>
    <row r="913" spans="1:4">
      <c r="A913">
        <v>17768983</v>
      </c>
      <c r="B913">
        <v>0</v>
      </c>
      <c r="C913">
        <f>IFERROR(VLOOKUP(A:A,[1]Export!$E:$Y,21,0),0)</f>
        <v>397000</v>
      </c>
      <c r="D913">
        <v>0</v>
      </c>
    </row>
    <row r="914" spans="1:4">
      <c r="A914">
        <v>17769459</v>
      </c>
      <c r="B914">
        <v>0</v>
      </c>
      <c r="C914">
        <f>IFERROR(VLOOKUP(A:A,[1]Export!$E:$Y,21,0),0)</f>
        <v>0</v>
      </c>
      <c r="D914">
        <v>0</v>
      </c>
    </row>
    <row r="915" spans="1:4">
      <c r="A915">
        <v>17769650</v>
      </c>
      <c r="B915">
        <v>0</v>
      </c>
      <c r="C915">
        <f>IFERROR(VLOOKUP(A:A,[1]Export!$E:$Y,21,0),0)</f>
        <v>0</v>
      </c>
      <c r="D915">
        <v>0</v>
      </c>
    </row>
    <row r="916" spans="1:4">
      <c r="A916">
        <v>17770687</v>
      </c>
      <c r="B916">
        <v>0</v>
      </c>
      <c r="C916">
        <f>IFERROR(VLOOKUP(A:A,[1]Export!$E:$Y,21,0),0)</f>
        <v>0</v>
      </c>
      <c r="D916">
        <v>0</v>
      </c>
    </row>
    <row r="917" spans="1:4">
      <c r="A917">
        <v>17770701</v>
      </c>
      <c r="B917">
        <v>0</v>
      </c>
      <c r="C917">
        <f>IFERROR(VLOOKUP(A:A,[1]Export!$E:$Y,21,0),0)</f>
        <v>0</v>
      </c>
      <c r="D917">
        <v>0</v>
      </c>
    </row>
    <row r="918" spans="1:4">
      <c r="A918">
        <v>17770711</v>
      </c>
      <c r="B918">
        <v>0</v>
      </c>
      <c r="C918">
        <f>IFERROR(VLOOKUP(A:A,[1]Export!$E:$Y,21,0),0)</f>
        <v>0</v>
      </c>
      <c r="D918">
        <v>10</v>
      </c>
    </row>
    <row r="919" spans="1:4">
      <c r="A919">
        <v>17771119</v>
      </c>
      <c r="B919">
        <v>0</v>
      </c>
      <c r="C919">
        <f>IFERROR(VLOOKUP(A:A,[1]Export!$E:$Y,21,0),0)</f>
        <v>420000</v>
      </c>
      <c r="D919">
        <v>0</v>
      </c>
    </row>
    <row r="920" spans="1:4">
      <c r="A920">
        <v>17771261</v>
      </c>
      <c r="B920">
        <v>0</v>
      </c>
      <c r="C920">
        <f>IFERROR(VLOOKUP(A:A,[1]Export!$E:$Y,21,0),0)</f>
        <v>0</v>
      </c>
      <c r="D920">
        <v>0</v>
      </c>
    </row>
    <row r="921" spans="1:4">
      <c r="A921">
        <v>17773148</v>
      </c>
      <c r="B921">
        <v>0</v>
      </c>
      <c r="C921">
        <f>IFERROR(VLOOKUP(A:A,[1]Export!$E:$Y,21,0),0)</f>
        <v>0</v>
      </c>
      <c r="D921">
        <v>0</v>
      </c>
    </row>
    <row r="922" spans="1:4">
      <c r="A922">
        <v>17774147</v>
      </c>
      <c r="B922">
        <v>0</v>
      </c>
      <c r="C922">
        <f>IFERROR(VLOOKUP(A:A,[1]Export!$E:$Y,21,0),0)</f>
        <v>0</v>
      </c>
      <c r="D922">
        <v>0</v>
      </c>
    </row>
    <row r="923" spans="1:4">
      <c r="A923">
        <v>17774309</v>
      </c>
      <c r="B923">
        <v>0</v>
      </c>
      <c r="C923">
        <f>IFERROR(VLOOKUP(A:A,[1]Export!$E:$Y,21,0),0)</f>
        <v>505000</v>
      </c>
      <c r="D923">
        <v>0</v>
      </c>
    </row>
    <row r="924" spans="1:4">
      <c r="A924">
        <v>17774312</v>
      </c>
      <c r="B924">
        <v>0</v>
      </c>
      <c r="C924">
        <f>IFERROR(VLOOKUP(A:A,[1]Export!$E:$Y,21,0),0)</f>
        <v>505000</v>
      </c>
      <c r="D924">
        <v>0</v>
      </c>
    </row>
    <row r="925" spans="1:4">
      <c r="A925">
        <v>17774316</v>
      </c>
      <c r="B925">
        <v>1</v>
      </c>
      <c r="C925">
        <f>IFERROR(VLOOKUP(A:A,[1]Export!$E:$Y,21,0),0)</f>
        <v>505000</v>
      </c>
      <c r="D925">
        <v>0</v>
      </c>
    </row>
    <row r="926" spans="1:4">
      <c r="A926">
        <v>17774332</v>
      </c>
      <c r="B926">
        <v>0</v>
      </c>
      <c r="C926">
        <f>IFERROR(VLOOKUP(A:A,[1]Export!$E:$Y,21,0),0)</f>
        <v>505000</v>
      </c>
      <c r="D926">
        <v>0</v>
      </c>
    </row>
    <row r="927" spans="1:4">
      <c r="A927">
        <v>17774368</v>
      </c>
      <c r="B927">
        <v>0</v>
      </c>
      <c r="C927">
        <f>IFERROR(VLOOKUP(A:A,[1]Export!$E:$Y,21,0),0)</f>
        <v>0</v>
      </c>
      <c r="D927">
        <v>0</v>
      </c>
    </row>
    <row r="928" spans="1:4">
      <c r="A928">
        <v>17774580</v>
      </c>
      <c r="B928">
        <v>0</v>
      </c>
      <c r="C928">
        <f>IFERROR(VLOOKUP(A:A,[1]Export!$E:$Y,21,0),0)</f>
        <v>0</v>
      </c>
      <c r="D928">
        <v>50</v>
      </c>
    </row>
    <row r="929" spans="1:4">
      <c r="A929">
        <v>17774583</v>
      </c>
      <c r="B929">
        <v>0</v>
      </c>
      <c r="C929">
        <f>IFERROR(VLOOKUP(A:A,[1]Export!$E:$Y,21,0),0)</f>
        <v>0</v>
      </c>
      <c r="D929">
        <v>100</v>
      </c>
    </row>
    <row r="930" spans="1:4">
      <c r="A930">
        <v>17775710</v>
      </c>
      <c r="B930">
        <v>0</v>
      </c>
      <c r="C930">
        <f>IFERROR(VLOOKUP(A:A,[1]Export!$E:$Y,21,0),0)</f>
        <v>1260000</v>
      </c>
      <c r="D930">
        <v>0</v>
      </c>
    </row>
    <row r="931" spans="1:4">
      <c r="A931">
        <v>17776600</v>
      </c>
      <c r="B931">
        <v>2</v>
      </c>
      <c r="C931">
        <f>IFERROR(VLOOKUP(A:A,[1]Export!$E:$Y,21,0),0)</f>
        <v>0</v>
      </c>
      <c r="D931">
        <v>0</v>
      </c>
    </row>
    <row r="932" spans="1:4">
      <c r="A932">
        <v>17778998</v>
      </c>
      <c r="B932">
        <v>0</v>
      </c>
      <c r="C932">
        <f>IFERROR(VLOOKUP(A:A,[1]Export!$E:$Y,21,0),0)</f>
        <v>0</v>
      </c>
      <c r="D932">
        <v>0</v>
      </c>
    </row>
    <row r="933" spans="1:4">
      <c r="A933">
        <v>17779134</v>
      </c>
      <c r="B933">
        <v>0</v>
      </c>
      <c r="C933">
        <f>IFERROR(VLOOKUP(A:A,[1]Export!$E:$Y,21,0),0)</f>
        <v>425000</v>
      </c>
      <c r="D933">
        <v>0</v>
      </c>
    </row>
    <row r="934" spans="1:4">
      <c r="A934">
        <v>17779344</v>
      </c>
      <c r="B934">
        <v>0</v>
      </c>
      <c r="C934">
        <f>IFERROR(VLOOKUP(A:A,[1]Export!$E:$Y,21,0),0)</f>
        <v>168000</v>
      </c>
      <c r="D934">
        <v>0</v>
      </c>
    </row>
    <row r="935" spans="1:4">
      <c r="A935">
        <v>17780485</v>
      </c>
      <c r="B935">
        <v>0</v>
      </c>
      <c r="C935">
        <f>IFERROR(VLOOKUP(A:A,[1]Export!$E:$Y,21,0),0)</f>
        <v>0</v>
      </c>
      <c r="D935">
        <v>0</v>
      </c>
    </row>
    <row r="936" spans="1:4">
      <c r="A936">
        <v>17782679</v>
      </c>
      <c r="B936">
        <v>0</v>
      </c>
      <c r="C936">
        <f>IFERROR(VLOOKUP(A:A,[1]Export!$E:$Y,21,0),0)</f>
        <v>0</v>
      </c>
      <c r="D936">
        <v>10</v>
      </c>
    </row>
    <row r="937" spans="1:4">
      <c r="A937">
        <v>17782692</v>
      </c>
      <c r="B937">
        <v>0</v>
      </c>
      <c r="C937">
        <f>IFERROR(VLOOKUP(A:A,[1]Export!$E:$Y,21,0),0)</f>
        <v>0</v>
      </c>
      <c r="D937">
        <v>0</v>
      </c>
    </row>
    <row r="938" spans="1:4">
      <c r="A938">
        <v>17783359</v>
      </c>
      <c r="B938">
        <v>0</v>
      </c>
      <c r="C938">
        <f>IFERROR(VLOOKUP(A:A,[1]Export!$E:$Y,21,0),0)</f>
        <v>132000</v>
      </c>
      <c r="D938">
        <v>0</v>
      </c>
    </row>
    <row r="939" spans="1:4">
      <c r="A939">
        <v>17783423</v>
      </c>
      <c r="B939">
        <v>0</v>
      </c>
      <c r="C939">
        <f>IFERROR(VLOOKUP(A:A,[1]Export!$E:$Y,21,0),0)</f>
        <v>0</v>
      </c>
      <c r="D939">
        <v>0</v>
      </c>
    </row>
    <row r="940" spans="1:4">
      <c r="A940">
        <v>17783455</v>
      </c>
      <c r="B940">
        <v>0</v>
      </c>
      <c r="C940">
        <f>IFERROR(VLOOKUP(A:A,[1]Export!$E:$Y,21,0),0)</f>
        <v>0</v>
      </c>
      <c r="D940">
        <v>0</v>
      </c>
    </row>
    <row r="941" spans="1:4">
      <c r="A941">
        <v>17783845</v>
      </c>
      <c r="B941">
        <v>0</v>
      </c>
      <c r="C941">
        <f>IFERROR(VLOOKUP(A:A,[1]Export!$E:$Y,21,0),0)</f>
        <v>1500000</v>
      </c>
      <c r="D941">
        <v>0</v>
      </c>
    </row>
    <row r="942" spans="1:4">
      <c r="A942">
        <v>17783930</v>
      </c>
      <c r="B942">
        <v>4</v>
      </c>
      <c r="C942">
        <f>IFERROR(VLOOKUP(A:A,[1]Export!$E:$Y,21,0),0)</f>
        <v>800000</v>
      </c>
      <c r="D942">
        <v>0</v>
      </c>
    </row>
    <row r="943" spans="1:4">
      <c r="A943">
        <v>17784999</v>
      </c>
      <c r="B943">
        <v>1</v>
      </c>
      <c r="C943">
        <f>IFERROR(VLOOKUP(A:A,[1]Export!$E:$Y,21,0),0)</f>
        <v>0</v>
      </c>
      <c r="D943">
        <v>0</v>
      </c>
    </row>
    <row r="944" spans="1:4">
      <c r="A944">
        <v>17785103</v>
      </c>
      <c r="B944">
        <v>0</v>
      </c>
      <c r="C944">
        <f>IFERROR(VLOOKUP(A:A,[1]Export!$E:$Y,21,0),0)</f>
        <v>0</v>
      </c>
      <c r="D944">
        <v>0</v>
      </c>
    </row>
    <row r="945" spans="1:4">
      <c r="A945">
        <v>17785546</v>
      </c>
      <c r="B945">
        <v>0</v>
      </c>
      <c r="C945">
        <f>IFERROR(VLOOKUP(A:A,[1]Export!$E:$Y,21,0),0)</f>
        <v>0</v>
      </c>
      <c r="D945">
        <v>0</v>
      </c>
    </row>
    <row r="946" spans="1:4">
      <c r="A946">
        <v>17790525</v>
      </c>
      <c r="B946">
        <v>0</v>
      </c>
      <c r="C946">
        <f>IFERROR(VLOOKUP(A:A,[1]Export!$E:$Y,21,0),0)</f>
        <v>500000</v>
      </c>
      <c r="D946">
        <v>0</v>
      </c>
    </row>
    <row r="947" spans="1:4">
      <c r="A947">
        <v>17790837</v>
      </c>
      <c r="B947">
        <v>0</v>
      </c>
      <c r="C947">
        <f>IFERROR(VLOOKUP(A:A,[1]Export!$E:$Y,21,0),0)</f>
        <v>0</v>
      </c>
      <c r="D947">
        <v>0</v>
      </c>
    </row>
    <row r="948" spans="1:4">
      <c r="A948">
        <v>17794309</v>
      </c>
      <c r="B948">
        <v>1</v>
      </c>
      <c r="C948">
        <f>IFERROR(VLOOKUP(A:A,[1]Export!$E:$Y,21,0),0)</f>
        <v>0</v>
      </c>
      <c r="D948">
        <v>0</v>
      </c>
    </row>
    <row r="949" spans="1:4">
      <c r="A949">
        <v>17794344</v>
      </c>
      <c r="B949">
        <v>1</v>
      </c>
      <c r="C949">
        <f>IFERROR(VLOOKUP(A:A,[1]Export!$E:$Y,21,0),0)</f>
        <v>0</v>
      </c>
      <c r="D949">
        <v>0</v>
      </c>
    </row>
    <row r="950" spans="1:4">
      <c r="A950">
        <v>17794671</v>
      </c>
      <c r="B950">
        <v>0</v>
      </c>
      <c r="C950">
        <f>IFERROR(VLOOKUP(A:A,[1]Export!$E:$Y,21,0),0)</f>
        <v>0</v>
      </c>
      <c r="D950">
        <v>0</v>
      </c>
    </row>
    <row r="951" spans="1:4">
      <c r="A951">
        <v>17794687</v>
      </c>
      <c r="B951">
        <v>0</v>
      </c>
      <c r="C951">
        <f>IFERROR(VLOOKUP(A:A,[1]Export!$E:$Y,21,0),0)</f>
        <v>0</v>
      </c>
      <c r="D951">
        <v>0</v>
      </c>
    </row>
    <row r="952" spans="1:4">
      <c r="A952">
        <v>17795051</v>
      </c>
      <c r="B952">
        <v>0</v>
      </c>
      <c r="C952">
        <f>IFERROR(VLOOKUP(A:A,[1]Export!$E:$Y,21,0),0)</f>
        <v>0</v>
      </c>
      <c r="D952">
        <v>0</v>
      </c>
    </row>
    <row r="953" spans="1:4">
      <c r="A953">
        <v>17796939</v>
      </c>
      <c r="B953">
        <v>0</v>
      </c>
      <c r="C953">
        <f>IFERROR(VLOOKUP(A:A,[1]Export!$E:$Y,21,0),0)</f>
        <v>0</v>
      </c>
      <c r="D953">
        <v>0</v>
      </c>
    </row>
    <row r="954" spans="1:4">
      <c r="A954">
        <v>17798541</v>
      </c>
      <c r="B954">
        <v>1</v>
      </c>
      <c r="C954">
        <f>IFERROR(VLOOKUP(A:A,[1]Export!$E:$Y,21,0),0)</f>
        <v>0</v>
      </c>
      <c r="D954">
        <v>0</v>
      </c>
    </row>
    <row r="955" spans="1:4">
      <c r="A955">
        <v>17798555</v>
      </c>
      <c r="B955">
        <v>0</v>
      </c>
      <c r="C955">
        <f>IFERROR(VLOOKUP(A:A,[1]Export!$E:$Y,21,0),0)</f>
        <v>0</v>
      </c>
      <c r="D955">
        <v>0</v>
      </c>
    </row>
    <row r="956" spans="1:4">
      <c r="A956">
        <v>17798580</v>
      </c>
      <c r="B956">
        <v>0</v>
      </c>
      <c r="C956">
        <f>IFERROR(VLOOKUP(A:A,[1]Export!$E:$Y,21,0),0)</f>
        <v>0</v>
      </c>
      <c r="D956">
        <v>0</v>
      </c>
    </row>
    <row r="957" spans="1:4">
      <c r="A957">
        <v>17799029</v>
      </c>
      <c r="B957">
        <v>0</v>
      </c>
      <c r="C957">
        <f>IFERROR(VLOOKUP(A:A,[1]Export!$E:$Y,21,0),0)</f>
        <v>0</v>
      </c>
      <c r="D957">
        <v>0</v>
      </c>
    </row>
    <row r="958" spans="1:4">
      <c r="A958">
        <v>17799118</v>
      </c>
      <c r="B958">
        <v>1</v>
      </c>
      <c r="C958">
        <f>IFERROR(VLOOKUP(A:A,[1]Export!$E:$Y,21,0),0)</f>
        <v>0</v>
      </c>
      <c r="D958">
        <v>0</v>
      </c>
    </row>
    <row r="959" spans="1:4">
      <c r="A959">
        <v>17799369</v>
      </c>
      <c r="B959">
        <v>1</v>
      </c>
      <c r="C959">
        <f>IFERROR(VLOOKUP(A:A,[1]Export!$E:$Y,21,0),0)</f>
        <v>0</v>
      </c>
      <c r="D959">
        <v>0</v>
      </c>
    </row>
    <row r="960" spans="1:4">
      <c r="A960">
        <v>17799381</v>
      </c>
      <c r="B960">
        <v>0</v>
      </c>
      <c r="C960">
        <f>IFERROR(VLOOKUP(A:A,[1]Export!$E:$Y,21,0),0)</f>
        <v>5600000</v>
      </c>
      <c r="D960">
        <v>0</v>
      </c>
    </row>
    <row r="961" spans="1:4">
      <c r="A961">
        <v>17799632</v>
      </c>
      <c r="B961">
        <v>0</v>
      </c>
      <c r="C961">
        <f>IFERROR(VLOOKUP(A:A,[1]Export!$E:$Y,21,0),0)</f>
        <v>0</v>
      </c>
      <c r="D961">
        <v>0</v>
      </c>
    </row>
    <row r="962" spans="1:4">
      <c r="A962">
        <v>17799664</v>
      </c>
      <c r="B962">
        <v>3</v>
      </c>
      <c r="C962">
        <f>IFERROR(VLOOKUP(A:A,[1]Export!$E:$Y,21,0),0)</f>
        <v>0</v>
      </c>
      <c r="D962">
        <v>0</v>
      </c>
    </row>
    <row r="963" spans="1:4">
      <c r="A963">
        <v>17799751</v>
      </c>
      <c r="B963">
        <v>0</v>
      </c>
      <c r="C963">
        <f>IFERROR(VLOOKUP(A:A,[1]Export!$E:$Y,21,0),0)</f>
        <v>0</v>
      </c>
      <c r="D963">
        <v>5</v>
      </c>
    </row>
    <row r="964" spans="1:4">
      <c r="A964">
        <v>17799760</v>
      </c>
      <c r="B964">
        <v>0</v>
      </c>
      <c r="C964">
        <f>IFERROR(VLOOKUP(A:A,[1]Export!$E:$Y,21,0),0)</f>
        <v>0</v>
      </c>
      <c r="D964">
        <v>0</v>
      </c>
    </row>
    <row r="965" spans="1:4">
      <c r="A965">
        <v>17799839</v>
      </c>
      <c r="B965">
        <v>2</v>
      </c>
      <c r="C965">
        <f>IFERROR(VLOOKUP(A:A,[1]Export!$E:$Y,21,0),0)</f>
        <v>0</v>
      </c>
      <c r="D965">
        <v>0</v>
      </c>
    </row>
    <row r="966" spans="1:4">
      <c r="A966">
        <v>17799854</v>
      </c>
      <c r="B966">
        <v>0</v>
      </c>
      <c r="C966">
        <f>IFERROR(VLOOKUP(A:A,[1]Export!$E:$Y,21,0),0)</f>
        <v>0</v>
      </c>
      <c r="D966">
        <v>0</v>
      </c>
    </row>
    <row r="967" spans="1:4">
      <c r="A967">
        <v>17799948</v>
      </c>
      <c r="B967">
        <v>0</v>
      </c>
      <c r="C967">
        <f>IFERROR(VLOOKUP(A:A,[1]Export!$E:$Y,21,0),0)</f>
        <v>0</v>
      </c>
      <c r="D967">
        <v>0</v>
      </c>
    </row>
    <row r="968" spans="1:4">
      <c r="A968">
        <v>17799978</v>
      </c>
      <c r="B968">
        <v>0</v>
      </c>
      <c r="C968">
        <f>IFERROR(VLOOKUP(A:A,[1]Export!$E:$Y,21,0),0)</f>
        <v>0</v>
      </c>
      <c r="D968">
        <v>0</v>
      </c>
    </row>
    <row r="969" spans="1:4">
      <c r="A969">
        <v>17800072</v>
      </c>
      <c r="B969">
        <v>0</v>
      </c>
      <c r="C969">
        <f>IFERROR(VLOOKUP(A:A,[1]Export!$E:$Y,21,0),0)</f>
        <v>0</v>
      </c>
      <c r="D969">
        <v>0</v>
      </c>
    </row>
    <row r="970" spans="1:4">
      <c r="A970">
        <v>17800277</v>
      </c>
      <c r="B970">
        <v>0</v>
      </c>
      <c r="C970">
        <f>IFERROR(VLOOKUP(A:A,[1]Export!$E:$Y,21,0),0)</f>
        <v>0</v>
      </c>
      <c r="D970">
        <v>0</v>
      </c>
    </row>
    <row r="971" spans="1:4">
      <c r="A971">
        <v>17800508</v>
      </c>
      <c r="B971">
        <v>0</v>
      </c>
      <c r="C971">
        <f>IFERROR(VLOOKUP(A:A,[1]Export!$E:$Y,21,0),0)</f>
        <v>0</v>
      </c>
      <c r="D971">
        <v>0</v>
      </c>
    </row>
    <row r="972" spans="1:4">
      <c r="A972">
        <v>17800914</v>
      </c>
      <c r="B972">
        <v>0</v>
      </c>
      <c r="C972">
        <f>IFERROR(VLOOKUP(A:A,[1]Export!$E:$Y,21,0),0)</f>
        <v>0</v>
      </c>
      <c r="D972">
        <v>0</v>
      </c>
    </row>
    <row r="973" spans="1:4">
      <c r="A973">
        <v>17801440</v>
      </c>
      <c r="B973">
        <v>0</v>
      </c>
      <c r="C973">
        <f>IFERROR(VLOOKUP(A:A,[1]Export!$E:$Y,21,0),0)</f>
        <v>0</v>
      </c>
      <c r="D973">
        <v>0</v>
      </c>
    </row>
    <row r="974" spans="1:4">
      <c r="A974">
        <v>17801441</v>
      </c>
      <c r="B974">
        <v>0</v>
      </c>
      <c r="C974">
        <f>IFERROR(VLOOKUP(A:A,[1]Export!$E:$Y,21,0),0)</f>
        <v>0</v>
      </c>
      <c r="D974">
        <v>0</v>
      </c>
    </row>
    <row r="975" spans="1:4">
      <c r="A975">
        <v>17801863</v>
      </c>
      <c r="B975">
        <v>1</v>
      </c>
      <c r="C975">
        <f>IFERROR(VLOOKUP(A:A,[1]Export!$E:$Y,21,0),0)</f>
        <v>0</v>
      </c>
      <c r="D975">
        <v>0</v>
      </c>
    </row>
    <row r="976" spans="1:4">
      <c r="A976">
        <v>17802367</v>
      </c>
      <c r="B976">
        <v>1</v>
      </c>
      <c r="C976">
        <f>IFERROR(VLOOKUP(A:A,[1]Export!$E:$Y,21,0),0)</f>
        <v>0</v>
      </c>
      <c r="D976">
        <v>0</v>
      </c>
    </row>
    <row r="977" spans="1:4">
      <c r="A977">
        <v>17802373</v>
      </c>
      <c r="B977">
        <v>0</v>
      </c>
      <c r="C977">
        <f>IFERROR(VLOOKUP(A:A,[1]Export!$E:$Y,21,0),0)</f>
        <v>0</v>
      </c>
      <c r="D977">
        <v>0</v>
      </c>
    </row>
    <row r="978" spans="1:4">
      <c r="A978">
        <v>17802660</v>
      </c>
      <c r="B978">
        <v>0</v>
      </c>
      <c r="C978">
        <f>IFERROR(VLOOKUP(A:A,[1]Export!$E:$Y,21,0),0)</f>
        <v>0</v>
      </c>
      <c r="D978">
        <v>0</v>
      </c>
    </row>
    <row r="979" spans="1:4">
      <c r="A979">
        <v>17802682</v>
      </c>
      <c r="B979">
        <v>0</v>
      </c>
      <c r="C979">
        <f>IFERROR(VLOOKUP(A:A,[1]Export!$E:$Y,21,0),0)</f>
        <v>0</v>
      </c>
      <c r="D979">
        <v>0</v>
      </c>
    </row>
    <row r="980" spans="1:4">
      <c r="A980">
        <v>17803202</v>
      </c>
      <c r="B980">
        <v>0</v>
      </c>
      <c r="C980">
        <f>IFERROR(VLOOKUP(A:A,[1]Export!$E:$Y,21,0),0)</f>
        <v>0</v>
      </c>
      <c r="D980">
        <v>0</v>
      </c>
    </row>
    <row r="981" spans="1:4">
      <c r="A981">
        <v>17803339</v>
      </c>
      <c r="B981">
        <v>0</v>
      </c>
      <c r="C981">
        <f>IFERROR(VLOOKUP(A:A,[1]Export!$E:$Y,21,0),0)</f>
        <v>0</v>
      </c>
      <c r="D981">
        <v>40</v>
      </c>
    </row>
    <row r="982" spans="1:4">
      <c r="A982">
        <v>17803375</v>
      </c>
      <c r="B982">
        <v>2</v>
      </c>
      <c r="C982">
        <f>IFERROR(VLOOKUP(A:A,[1]Export!$E:$Y,21,0),0)</f>
        <v>0</v>
      </c>
      <c r="D982">
        <v>0</v>
      </c>
    </row>
    <row r="983" spans="1:4">
      <c r="A983">
        <v>17803417</v>
      </c>
      <c r="B983">
        <v>0</v>
      </c>
      <c r="C983">
        <f>IFERROR(VLOOKUP(A:A,[1]Export!$E:$Y,21,0),0)</f>
        <v>0</v>
      </c>
      <c r="D983">
        <v>0</v>
      </c>
    </row>
    <row r="984" spans="1:4">
      <c r="A984">
        <v>17803490</v>
      </c>
      <c r="B984">
        <v>0</v>
      </c>
      <c r="C984">
        <f>IFERROR(VLOOKUP(A:A,[1]Export!$E:$Y,21,0),0)</f>
        <v>0</v>
      </c>
      <c r="D984">
        <v>0</v>
      </c>
    </row>
    <row r="985" spans="1:4">
      <c r="A985">
        <v>17803492</v>
      </c>
      <c r="B985">
        <v>0</v>
      </c>
      <c r="C985">
        <f>IFERROR(VLOOKUP(A:A,[1]Export!$E:$Y,21,0),0)</f>
        <v>0</v>
      </c>
      <c r="D985">
        <v>0</v>
      </c>
    </row>
    <row r="986" spans="1:4">
      <c r="A986">
        <v>17803504</v>
      </c>
      <c r="B986">
        <v>0</v>
      </c>
      <c r="C986">
        <f>IFERROR(VLOOKUP(A:A,[1]Export!$E:$Y,21,0),0)</f>
        <v>0</v>
      </c>
      <c r="D986">
        <v>0</v>
      </c>
    </row>
    <row r="987" spans="1:4">
      <c r="A987">
        <v>17803540</v>
      </c>
      <c r="B987">
        <v>0</v>
      </c>
      <c r="C987">
        <f>IFERROR(VLOOKUP(A:A,[1]Export!$E:$Y,21,0),0)</f>
        <v>0</v>
      </c>
      <c r="D987">
        <v>0</v>
      </c>
    </row>
    <row r="988" spans="1:4">
      <c r="A988">
        <v>17803546</v>
      </c>
      <c r="B988">
        <v>0</v>
      </c>
      <c r="C988">
        <f>IFERROR(VLOOKUP(A:A,[1]Export!$E:$Y,21,0),0)</f>
        <v>0</v>
      </c>
      <c r="D988">
        <v>0</v>
      </c>
    </row>
    <row r="989" spans="1:4">
      <c r="A989">
        <v>17803547</v>
      </c>
      <c r="B989">
        <v>0</v>
      </c>
      <c r="C989">
        <f>IFERROR(VLOOKUP(A:A,[1]Export!$E:$Y,21,0),0)</f>
        <v>0</v>
      </c>
      <c r="D989">
        <v>0</v>
      </c>
    </row>
    <row r="990" spans="1:4">
      <c r="A990">
        <v>17803550</v>
      </c>
      <c r="B990">
        <v>0</v>
      </c>
      <c r="C990">
        <f>IFERROR(VLOOKUP(A:A,[1]Export!$E:$Y,21,0),0)</f>
        <v>0</v>
      </c>
      <c r="D990">
        <v>0</v>
      </c>
    </row>
    <row r="991" spans="1:4">
      <c r="A991">
        <v>17803551</v>
      </c>
      <c r="B991">
        <v>0</v>
      </c>
      <c r="C991">
        <f>IFERROR(VLOOKUP(A:A,[1]Export!$E:$Y,21,0),0)</f>
        <v>0</v>
      </c>
      <c r="D991">
        <v>0</v>
      </c>
    </row>
    <row r="992" spans="1:4">
      <c r="A992">
        <v>17803562</v>
      </c>
      <c r="B992">
        <v>0</v>
      </c>
      <c r="C992">
        <f>IFERROR(VLOOKUP(A:A,[1]Export!$E:$Y,21,0),0)</f>
        <v>0</v>
      </c>
      <c r="D992">
        <v>0</v>
      </c>
    </row>
    <row r="993" spans="1:4">
      <c r="A993">
        <v>17803618</v>
      </c>
      <c r="B993">
        <v>0</v>
      </c>
      <c r="C993">
        <f>IFERROR(VLOOKUP(A:A,[1]Export!$E:$Y,21,0),0)</f>
        <v>0</v>
      </c>
      <c r="D993">
        <v>0</v>
      </c>
    </row>
    <row r="994" spans="1:4">
      <c r="A994">
        <v>17803670</v>
      </c>
      <c r="B994">
        <v>0</v>
      </c>
      <c r="C994">
        <f>IFERROR(VLOOKUP(A:A,[1]Export!$E:$Y,21,0),0)</f>
        <v>0</v>
      </c>
      <c r="D994">
        <v>0</v>
      </c>
    </row>
    <row r="995" spans="1:4">
      <c r="A995">
        <v>17803686</v>
      </c>
      <c r="B995">
        <v>0</v>
      </c>
      <c r="C995">
        <f>IFERROR(VLOOKUP(A:A,[1]Export!$E:$Y,21,0),0)</f>
        <v>0</v>
      </c>
      <c r="D995">
        <v>0</v>
      </c>
    </row>
    <row r="996" spans="1:4">
      <c r="A996">
        <v>17803696</v>
      </c>
      <c r="B996">
        <v>0</v>
      </c>
      <c r="C996">
        <f>IFERROR(VLOOKUP(A:A,[1]Export!$E:$Y,21,0),0)</f>
        <v>0</v>
      </c>
      <c r="D996">
        <v>0</v>
      </c>
    </row>
    <row r="997" spans="1:4">
      <c r="A997">
        <v>17803700</v>
      </c>
      <c r="B997">
        <v>0</v>
      </c>
      <c r="C997">
        <f>IFERROR(VLOOKUP(A:A,[1]Export!$E:$Y,21,0),0)</f>
        <v>0</v>
      </c>
      <c r="D997">
        <v>0</v>
      </c>
    </row>
    <row r="998" spans="1:4">
      <c r="A998">
        <v>17803703</v>
      </c>
      <c r="B998">
        <v>0</v>
      </c>
      <c r="C998">
        <f>IFERROR(VLOOKUP(A:A,[1]Export!$E:$Y,21,0),0)</f>
        <v>0</v>
      </c>
      <c r="D998">
        <v>0</v>
      </c>
    </row>
    <row r="999" spans="1:4">
      <c r="A999">
        <v>17803748</v>
      </c>
      <c r="B999">
        <v>0</v>
      </c>
      <c r="C999">
        <f>IFERROR(VLOOKUP(A:A,[1]Export!$E:$Y,21,0),0)</f>
        <v>0</v>
      </c>
      <c r="D999">
        <v>0</v>
      </c>
    </row>
    <row r="1000" spans="1:4">
      <c r="A1000">
        <v>17803764</v>
      </c>
      <c r="B1000">
        <v>2</v>
      </c>
      <c r="C1000">
        <f>IFERROR(VLOOKUP(A:A,[1]Export!$E:$Y,21,0),0)</f>
        <v>0</v>
      </c>
      <c r="D1000">
        <v>0</v>
      </c>
    </row>
    <row r="1001" spans="1:4">
      <c r="A1001">
        <v>17803772</v>
      </c>
      <c r="B1001">
        <v>0</v>
      </c>
      <c r="C1001">
        <f>IFERROR(VLOOKUP(A:A,[1]Export!$E:$Y,21,0),0)</f>
        <v>0</v>
      </c>
      <c r="D1001">
        <v>0</v>
      </c>
    </row>
    <row r="1002" spans="1:4">
      <c r="A1002">
        <v>17803788</v>
      </c>
      <c r="B1002">
        <v>0</v>
      </c>
      <c r="C1002">
        <f>IFERROR(VLOOKUP(A:A,[1]Export!$E:$Y,21,0),0)</f>
        <v>0</v>
      </c>
      <c r="D1002">
        <v>0</v>
      </c>
    </row>
    <row r="1003" spans="1:4">
      <c r="A1003">
        <v>17803874</v>
      </c>
      <c r="B1003">
        <v>0</v>
      </c>
      <c r="C1003">
        <f>IFERROR(VLOOKUP(A:A,[1]Export!$E:$Y,21,0),0)</f>
        <v>0</v>
      </c>
      <c r="D1003">
        <v>0</v>
      </c>
    </row>
    <row r="1004" spans="1:4">
      <c r="A1004">
        <v>17803884</v>
      </c>
      <c r="B1004">
        <v>1</v>
      </c>
      <c r="C1004">
        <f>IFERROR(VLOOKUP(A:A,[1]Export!$E:$Y,21,0),0)</f>
        <v>0</v>
      </c>
      <c r="D1004">
        <v>0</v>
      </c>
    </row>
    <row r="1005" spans="1:4">
      <c r="A1005">
        <v>17803948</v>
      </c>
      <c r="B1005">
        <v>0</v>
      </c>
      <c r="C1005">
        <f>IFERROR(VLOOKUP(A:A,[1]Export!$E:$Y,21,0),0)</f>
        <v>0</v>
      </c>
      <c r="D1005">
        <v>0</v>
      </c>
    </row>
    <row r="1006" spans="1:4">
      <c r="A1006">
        <v>17804099</v>
      </c>
      <c r="B1006">
        <v>0</v>
      </c>
      <c r="C1006">
        <f>IFERROR(VLOOKUP(A:A,[1]Export!$E:$Y,21,0),0)</f>
        <v>0</v>
      </c>
      <c r="D1006">
        <v>0</v>
      </c>
    </row>
    <row r="1007" spans="1:4">
      <c r="A1007">
        <v>17804110</v>
      </c>
      <c r="B1007">
        <v>0</v>
      </c>
      <c r="C1007">
        <f>IFERROR(VLOOKUP(A:A,[1]Export!$E:$Y,21,0),0)</f>
        <v>0</v>
      </c>
      <c r="D1007">
        <v>0</v>
      </c>
    </row>
    <row r="1008" spans="1:4">
      <c r="A1008">
        <v>17804113</v>
      </c>
      <c r="B1008">
        <v>1</v>
      </c>
      <c r="C1008">
        <f>IFERROR(VLOOKUP(A:A,[1]Export!$E:$Y,21,0),0)</f>
        <v>0</v>
      </c>
      <c r="D1008">
        <v>0</v>
      </c>
    </row>
    <row r="1009" spans="1:4">
      <c r="A1009">
        <v>17804116</v>
      </c>
      <c r="B1009">
        <v>0</v>
      </c>
      <c r="C1009">
        <f>IFERROR(VLOOKUP(A:A,[1]Export!$E:$Y,21,0),0)</f>
        <v>0</v>
      </c>
      <c r="D1009">
        <v>0</v>
      </c>
    </row>
    <row r="1010" spans="1:4">
      <c r="A1010">
        <v>17804290</v>
      </c>
      <c r="B1010">
        <v>0</v>
      </c>
      <c r="C1010">
        <f>IFERROR(VLOOKUP(A:A,[1]Export!$E:$Y,21,0),0)</f>
        <v>0</v>
      </c>
      <c r="D1010">
        <v>0</v>
      </c>
    </row>
    <row r="1011" spans="1:4">
      <c r="A1011">
        <v>17804328</v>
      </c>
      <c r="B1011">
        <v>0</v>
      </c>
      <c r="C1011">
        <f>IFERROR(VLOOKUP(A:A,[1]Export!$E:$Y,21,0),0)</f>
        <v>0</v>
      </c>
      <c r="D1011">
        <v>0</v>
      </c>
    </row>
    <row r="1012" spans="1:4">
      <c r="A1012">
        <v>17804388</v>
      </c>
      <c r="B1012">
        <v>0</v>
      </c>
      <c r="C1012">
        <f>IFERROR(VLOOKUP(A:A,[1]Export!$E:$Y,21,0),0)</f>
        <v>0</v>
      </c>
      <c r="D1012">
        <v>0</v>
      </c>
    </row>
    <row r="1013" spans="1:4">
      <c r="A1013">
        <v>17804561</v>
      </c>
      <c r="B1013">
        <v>0</v>
      </c>
      <c r="C1013">
        <f>IFERROR(VLOOKUP(A:A,[1]Export!$E:$Y,21,0),0)</f>
        <v>0</v>
      </c>
      <c r="D1013">
        <v>0</v>
      </c>
    </row>
    <row r="1014" spans="1:4">
      <c r="A1014">
        <v>17804592</v>
      </c>
      <c r="B1014">
        <v>0</v>
      </c>
      <c r="C1014">
        <f>IFERROR(VLOOKUP(A:A,[1]Export!$E:$Y,21,0),0)</f>
        <v>0</v>
      </c>
      <c r="D1014">
        <v>0</v>
      </c>
    </row>
    <row r="1015" spans="1:4">
      <c r="A1015">
        <v>17804601</v>
      </c>
      <c r="B1015">
        <v>0</v>
      </c>
      <c r="C1015">
        <f>IFERROR(VLOOKUP(A:A,[1]Export!$E:$Y,21,0),0)</f>
        <v>0</v>
      </c>
      <c r="D1015">
        <v>0</v>
      </c>
    </row>
    <row r="1016" spans="1:4">
      <c r="A1016">
        <v>17804751</v>
      </c>
      <c r="B1016">
        <v>0</v>
      </c>
      <c r="C1016">
        <f>IFERROR(VLOOKUP(A:A,[1]Export!$E:$Y,21,0),0)</f>
        <v>0</v>
      </c>
      <c r="D1016">
        <v>0</v>
      </c>
    </row>
    <row r="1017" spans="1:4">
      <c r="A1017">
        <v>17804816</v>
      </c>
      <c r="B1017">
        <v>0</v>
      </c>
      <c r="C1017">
        <f>IFERROR(VLOOKUP(A:A,[1]Export!$E:$Y,21,0),0)</f>
        <v>0</v>
      </c>
      <c r="D1017">
        <v>0</v>
      </c>
    </row>
    <row r="1018" spans="1:4">
      <c r="A1018">
        <v>17804899</v>
      </c>
      <c r="B1018">
        <v>0</v>
      </c>
      <c r="C1018">
        <f>IFERROR(VLOOKUP(A:A,[1]Export!$E:$Y,21,0),0)</f>
        <v>168000</v>
      </c>
      <c r="D1018">
        <v>0</v>
      </c>
    </row>
    <row r="1019" spans="1:4">
      <c r="A1019">
        <v>17804967</v>
      </c>
      <c r="B1019">
        <v>0</v>
      </c>
      <c r="C1019">
        <f>IFERROR(VLOOKUP(A:A,[1]Export!$E:$Y,21,0),0)</f>
        <v>0</v>
      </c>
      <c r="D1019">
        <v>0</v>
      </c>
    </row>
    <row r="1020" spans="1:4">
      <c r="A1020">
        <v>17805002</v>
      </c>
      <c r="B1020">
        <v>0</v>
      </c>
      <c r="C1020">
        <f>IFERROR(VLOOKUP(A:A,[1]Export!$E:$Y,21,0),0)</f>
        <v>0</v>
      </c>
      <c r="D1020">
        <v>0</v>
      </c>
    </row>
    <row r="1021" spans="1:4">
      <c r="A1021">
        <v>17805023</v>
      </c>
      <c r="B1021">
        <v>0</v>
      </c>
      <c r="C1021">
        <f>IFERROR(VLOOKUP(A:A,[1]Export!$E:$Y,21,0),0)</f>
        <v>0</v>
      </c>
      <c r="D1021">
        <v>0</v>
      </c>
    </row>
    <row r="1022" spans="1:4">
      <c r="A1022">
        <v>17805081</v>
      </c>
      <c r="B1022">
        <v>0</v>
      </c>
      <c r="C1022">
        <f>IFERROR(VLOOKUP(A:A,[1]Export!$E:$Y,21,0),0)</f>
        <v>0</v>
      </c>
      <c r="D1022">
        <v>0</v>
      </c>
    </row>
    <row r="1023" spans="1:4">
      <c r="A1023">
        <v>17805105</v>
      </c>
      <c r="B1023">
        <v>0</v>
      </c>
      <c r="C1023">
        <f>IFERROR(VLOOKUP(A:A,[1]Export!$E:$Y,21,0),0)</f>
        <v>0</v>
      </c>
      <c r="D1023">
        <v>0</v>
      </c>
    </row>
    <row r="1024" spans="1:4">
      <c r="A1024">
        <v>17805199</v>
      </c>
      <c r="B1024">
        <v>0</v>
      </c>
      <c r="C1024">
        <f>IFERROR(VLOOKUP(A:A,[1]Export!$E:$Y,21,0),0)</f>
        <v>0</v>
      </c>
      <c r="D1024">
        <v>0</v>
      </c>
    </row>
    <row r="1025" spans="1:4">
      <c r="A1025">
        <v>17805240</v>
      </c>
      <c r="B1025">
        <v>0</v>
      </c>
      <c r="C1025">
        <f>IFERROR(VLOOKUP(A:A,[1]Export!$E:$Y,21,0),0)</f>
        <v>0</v>
      </c>
      <c r="D1025">
        <v>0</v>
      </c>
    </row>
    <row r="1026" spans="1:4">
      <c r="A1026">
        <v>17805277</v>
      </c>
      <c r="B1026">
        <v>0</v>
      </c>
      <c r="C1026">
        <f>IFERROR(VLOOKUP(A:A,[1]Export!$E:$Y,21,0),0)</f>
        <v>0</v>
      </c>
      <c r="D1026">
        <v>0</v>
      </c>
    </row>
    <row r="1027" spans="1:4">
      <c r="A1027">
        <v>17805356</v>
      </c>
      <c r="B1027">
        <v>0</v>
      </c>
      <c r="C1027">
        <f>IFERROR(VLOOKUP(A:A,[1]Export!$E:$Y,21,0),0)</f>
        <v>0</v>
      </c>
      <c r="D1027">
        <v>0</v>
      </c>
    </row>
    <row r="1028" spans="1:4">
      <c r="A1028">
        <v>17805364</v>
      </c>
      <c r="B1028">
        <v>0</v>
      </c>
      <c r="C1028">
        <f>IFERROR(VLOOKUP(A:A,[1]Export!$E:$Y,21,0),0)</f>
        <v>0</v>
      </c>
      <c r="D1028">
        <v>0</v>
      </c>
    </row>
    <row r="1029" spans="1:4">
      <c r="A1029">
        <v>17805396</v>
      </c>
      <c r="B1029">
        <v>0</v>
      </c>
      <c r="C1029">
        <f>IFERROR(VLOOKUP(A:A,[1]Export!$E:$Y,21,0),0)</f>
        <v>0</v>
      </c>
      <c r="D1029">
        <v>0</v>
      </c>
    </row>
    <row r="1030" spans="1:4">
      <c r="A1030">
        <v>17805486</v>
      </c>
      <c r="B1030">
        <v>0</v>
      </c>
      <c r="C1030">
        <f>IFERROR(VLOOKUP(A:A,[1]Export!$E:$Y,21,0),0)</f>
        <v>0</v>
      </c>
      <c r="D1030">
        <v>0</v>
      </c>
    </row>
    <row r="1031" spans="1:4">
      <c r="A1031">
        <v>17805520</v>
      </c>
      <c r="B1031">
        <v>0</v>
      </c>
      <c r="C1031">
        <f>IFERROR(VLOOKUP(A:A,[1]Export!$E:$Y,21,0),0)</f>
        <v>0</v>
      </c>
      <c r="D1031">
        <v>0</v>
      </c>
    </row>
    <row r="1032" spans="1:4">
      <c r="A1032">
        <v>17805523</v>
      </c>
      <c r="B1032">
        <v>0</v>
      </c>
      <c r="C1032">
        <f>IFERROR(VLOOKUP(A:A,[1]Export!$E:$Y,21,0),0)</f>
        <v>0</v>
      </c>
      <c r="D1032">
        <v>0</v>
      </c>
    </row>
    <row r="1033" spans="1:4">
      <c r="A1033">
        <v>17805524</v>
      </c>
      <c r="B1033">
        <v>0</v>
      </c>
      <c r="C1033">
        <f>IFERROR(VLOOKUP(A:A,[1]Export!$E:$Y,21,0),0)</f>
        <v>0</v>
      </c>
      <c r="D1033">
        <v>0</v>
      </c>
    </row>
    <row r="1034" spans="1:4">
      <c r="A1034">
        <v>17805539</v>
      </c>
      <c r="B1034">
        <v>0</v>
      </c>
      <c r="C1034">
        <f>IFERROR(VLOOKUP(A:A,[1]Export!$E:$Y,21,0),0)</f>
        <v>0</v>
      </c>
      <c r="D1034">
        <v>10</v>
      </c>
    </row>
    <row r="1035" spans="1:4">
      <c r="A1035">
        <v>17805551</v>
      </c>
      <c r="B1035">
        <v>0</v>
      </c>
      <c r="C1035">
        <f>IFERROR(VLOOKUP(A:A,[1]Export!$E:$Y,21,0),0)</f>
        <v>0</v>
      </c>
      <c r="D1035">
        <v>10</v>
      </c>
    </row>
    <row r="1036" spans="1:4">
      <c r="A1036">
        <v>17805609</v>
      </c>
      <c r="B1036">
        <v>1</v>
      </c>
      <c r="C1036">
        <f>IFERROR(VLOOKUP(A:A,[1]Export!$E:$Y,21,0),0)</f>
        <v>0</v>
      </c>
      <c r="D1036">
        <v>0</v>
      </c>
    </row>
    <row r="1037" spans="1:4">
      <c r="A1037">
        <v>17805652</v>
      </c>
      <c r="B1037">
        <v>0</v>
      </c>
      <c r="C1037">
        <f>IFERROR(VLOOKUP(A:A,[1]Export!$E:$Y,21,0),0)</f>
        <v>0</v>
      </c>
      <c r="D1037">
        <v>0</v>
      </c>
    </row>
    <row r="1038" spans="1:4">
      <c r="A1038">
        <v>17805653</v>
      </c>
      <c r="B1038">
        <v>0</v>
      </c>
      <c r="C1038">
        <f>IFERROR(VLOOKUP(A:A,[1]Export!$E:$Y,21,0),0)</f>
        <v>0</v>
      </c>
      <c r="D1038">
        <v>0</v>
      </c>
    </row>
    <row r="1039" spans="1:4">
      <c r="A1039">
        <v>17805656</v>
      </c>
      <c r="B1039">
        <v>0</v>
      </c>
      <c r="C1039">
        <f>IFERROR(VLOOKUP(A:A,[1]Export!$E:$Y,21,0),0)</f>
        <v>0</v>
      </c>
      <c r="D1039">
        <v>0</v>
      </c>
    </row>
    <row r="1040" spans="1:4">
      <c r="A1040">
        <v>17805754</v>
      </c>
      <c r="B1040">
        <v>0</v>
      </c>
      <c r="C1040">
        <f>IFERROR(VLOOKUP(A:A,[1]Export!$E:$Y,21,0),0)</f>
        <v>0</v>
      </c>
      <c r="D1040">
        <v>0</v>
      </c>
    </row>
    <row r="1041" spans="1:4">
      <c r="A1041">
        <v>17805761</v>
      </c>
      <c r="B1041">
        <v>0</v>
      </c>
      <c r="C1041">
        <f>IFERROR(VLOOKUP(A:A,[1]Export!$E:$Y,21,0),0)</f>
        <v>0</v>
      </c>
      <c r="D1041">
        <v>0</v>
      </c>
    </row>
    <row r="1042" spans="1:4">
      <c r="A1042">
        <v>17805765</v>
      </c>
      <c r="B1042">
        <v>0</v>
      </c>
      <c r="C1042">
        <f>IFERROR(VLOOKUP(A:A,[1]Export!$E:$Y,21,0),0)</f>
        <v>0</v>
      </c>
      <c r="D1042">
        <v>0</v>
      </c>
    </row>
    <row r="1043" spans="1:4">
      <c r="A1043">
        <v>17805789</v>
      </c>
      <c r="B1043">
        <v>0</v>
      </c>
      <c r="C1043">
        <f>IFERROR(VLOOKUP(A:A,[1]Export!$E:$Y,21,0),0)</f>
        <v>0</v>
      </c>
      <c r="D1043">
        <v>0</v>
      </c>
    </row>
    <row r="1044" spans="1:4">
      <c r="A1044">
        <v>17805797</v>
      </c>
      <c r="B1044">
        <v>0</v>
      </c>
      <c r="C1044">
        <f>IFERROR(VLOOKUP(A:A,[1]Export!$E:$Y,21,0),0)</f>
        <v>0</v>
      </c>
      <c r="D1044">
        <v>0</v>
      </c>
    </row>
    <row r="1045" spans="1:4">
      <c r="A1045">
        <v>17805808</v>
      </c>
      <c r="B1045">
        <v>0</v>
      </c>
      <c r="C1045">
        <f>IFERROR(VLOOKUP(A:A,[1]Export!$E:$Y,21,0),0)</f>
        <v>0</v>
      </c>
      <c r="D1045">
        <v>0</v>
      </c>
    </row>
    <row r="1046" spans="1:4">
      <c r="A1046">
        <v>17805815</v>
      </c>
      <c r="B1046">
        <v>0</v>
      </c>
      <c r="C1046">
        <f>IFERROR(VLOOKUP(A:A,[1]Export!$E:$Y,21,0),0)</f>
        <v>0</v>
      </c>
      <c r="D1046">
        <v>0</v>
      </c>
    </row>
    <row r="1047" spans="1:4">
      <c r="A1047">
        <v>17805819</v>
      </c>
      <c r="B1047">
        <v>0</v>
      </c>
      <c r="C1047">
        <f>IFERROR(VLOOKUP(A:A,[1]Export!$E:$Y,21,0),0)</f>
        <v>0</v>
      </c>
      <c r="D1047">
        <v>0</v>
      </c>
    </row>
    <row r="1048" spans="1:4">
      <c r="A1048">
        <v>17805821</v>
      </c>
      <c r="B1048">
        <v>0</v>
      </c>
      <c r="C1048">
        <f>IFERROR(VLOOKUP(A:A,[1]Export!$E:$Y,21,0),0)</f>
        <v>0</v>
      </c>
      <c r="D1048">
        <v>0</v>
      </c>
    </row>
    <row r="1049" spans="1:4">
      <c r="A1049">
        <v>17805835</v>
      </c>
      <c r="B1049">
        <v>0</v>
      </c>
      <c r="C1049">
        <f>IFERROR(VLOOKUP(A:A,[1]Export!$E:$Y,21,0),0)</f>
        <v>0</v>
      </c>
      <c r="D1049">
        <v>0</v>
      </c>
    </row>
    <row r="1050" spans="1:4">
      <c r="A1050">
        <v>17805948</v>
      </c>
      <c r="B1050">
        <v>0</v>
      </c>
      <c r="C1050">
        <f>IFERROR(VLOOKUP(A:A,[1]Export!$E:$Y,21,0),0)</f>
        <v>0</v>
      </c>
      <c r="D1050">
        <v>0</v>
      </c>
    </row>
    <row r="1051" spans="1:4">
      <c r="A1051">
        <v>17805955</v>
      </c>
      <c r="B1051">
        <v>0</v>
      </c>
      <c r="C1051">
        <f>IFERROR(VLOOKUP(A:A,[1]Export!$E:$Y,21,0),0)</f>
        <v>0</v>
      </c>
      <c r="D1051">
        <v>0</v>
      </c>
    </row>
    <row r="1052" spans="1:4">
      <c r="A1052">
        <v>17805956</v>
      </c>
      <c r="B1052">
        <v>0</v>
      </c>
      <c r="C1052">
        <f>IFERROR(VLOOKUP(A:A,[1]Export!$E:$Y,21,0),0)</f>
        <v>0</v>
      </c>
      <c r="D1052">
        <v>10</v>
      </c>
    </row>
    <row r="1053" spans="1:4">
      <c r="A1053">
        <v>17805960</v>
      </c>
      <c r="B1053">
        <v>0</v>
      </c>
      <c r="C1053">
        <f>IFERROR(VLOOKUP(A:A,[1]Export!$E:$Y,21,0),0)</f>
        <v>0</v>
      </c>
      <c r="D1053">
        <v>0</v>
      </c>
    </row>
    <row r="1054" spans="1:4">
      <c r="A1054">
        <v>17805969</v>
      </c>
      <c r="B1054">
        <v>0</v>
      </c>
      <c r="C1054">
        <f>IFERROR(VLOOKUP(A:A,[1]Export!$E:$Y,21,0),0)</f>
        <v>0</v>
      </c>
      <c r="D1054">
        <v>10</v>
      </c>
    </row>
    <row r="1055" spans="1:4">
      <c r="A1055">
        <v>17805975</v>
      </c>
      <c r="B1055">
        <v>0</v>
      </c>
      <c r="C1055">
        <f>IFERROR(VLOOKUP(A:A,[1]Export!$E:$Y,21,0),0)</f>
        <v>0</v>
      </c>
      <c r="D1055">
        <v>0</v>
      </c>
    </row>
    <row r="1056" spans="1:4">
      <c r="A1056">
        <v>17805983</v>
      </c>
      <c r="B1056">
        <v>0</v>
      </c>
      <c r="C1056">
        <f>IFERROR(VLOOKUP(A:A,[1]Export!$E:$Y,21,0),0)</f>
        <v>0</v>
      </c>
      <c r="D1056">
        <v>0</v>
      </c>
    </row>
    <row r="1057" spans="1:4">
      <c r="A1057">
        <v>17806068</v>
      </c>
      <c r="B1057">
        <v>0</v>
      </c>
      <c r="C1057">
        <f>IFERROR(VLOOKUP(A:A,[1]Export!$E:$Y,21,0),0)</f>
        <v>0</v>
      </c>
      <c r="D1057">
        <v>0</v>
      </c>
    </row>
    <row r="1058" spans="1:4">
      <c r="A1058">
        <v>17806097</v>
      </c>
      <c r="B1058">
        <v>0</v>
      </c>
      <c r="C1058">
        <f>IFERROR(VLOOKUP(A:A,[1]Export!$E:$Y,21,0),0)</f>
        <v>0</v>
      </c>
      <c r="D1058">
        <v>0</v>
      </c>
    </row>
    <row r="1059" spans="1:4">
      <c r="A1059">
        <v>17806136</v>
      </c>
      <c r="B1059">
        <v>0</v>
      </c>
      <c r="C1059">
        <f>IFERROR(VLOOKUP(A:A,[1]Export!$E:$Y,21,0),0)</f>
        <v>0</v>
      </c>
      <c r="D1059">
        <v>0</v>
      </c>
    </row>
    <row r="1060" spans="1:4">
      <c r="A1060">
        <v>17806199</v>
      </c>
      <c r="B1060">
        <v>0</v>
      </c>
      <c r="C1060">
        <f>IFERROR(VLOOKUP(A:A,[1]Export!$E:$Y,21,0),0)</f>
        <v>0</v>
      </c>
      <c r="D1060">
        <v>0</v>
      </c>
    </row>
    <row r="1061" spans="1:4">
      <c r="A1061">
        <v>17806211</v>
      </c>
      <c r="B1061">
        <v>0</v>
      </c>
      <c r="C1061">
        <f>IFERROR(VLOOKUP(A:A,[1]Export!$E:$Y,21,0),0)</f>
        <v>0</v>
      </c>
      <c r="D1061">
        <v>0</v>
      </c>
    </row>
    <row r="1062" spans="1:4">
      <c r="A1062">
        <v>17806220</v>
      </c>
      <c r="B1062">
        <v>0</v>
      </c>
      <c r="C1062">
        <f>IFERROR(VLOOKUP(A:A,[1]Export!$E:$Y,21,0),0)</f>
        <v>0</v>
      </c>
      <c r="D1062">
        <v>0</v>
      </c>
    </row>
    <row r="1063" spans="1:4">
      <c r="A1063">
        <v>17806271</v>
      </c>
      <c r="B1063">
        <v>0</v>
      </c>
      <c r="C1063">
        <f>IFERROR(VLOOKUP(A:A,[1]Export!$E:$Y,21,0),0)</f>
        <v>0</v>
      </c>
      <c r="D1063">
        <v>3</v>
      </c>
    </row>
    <row r="1064" spans="1:4">
      <c r="A1064">
        <v>17806282</v>
      </c>
      <c r="B1064">
        <v>0</v>
      </c>
      <c r="C1064">
        <f>IFERROR(VLOOKUP(A:A,[1]Export!$E:$Y,21,0),0)</f>
        <v>0</v>
      </c>
      <c r="D1064">
        <v>0</v>
      </c>
    </row>
    <row r="1065" spans="1:4">
      <c r="A1065">
        <v>17806382</v>
      </c>
      <c r="B1065">
        <v>1</v>
      </c>
      <c r="C1065">
        <f>IFERROR(VLOOKUP(A:A,[1]Export!$E:$Y,21,0),0)</f>
        <v>0</v>
      </c>
      <c r="D1065">
        <v>0</v>
      </c>
    </row>
    <row r="1066" spans="1:4">
      <c r="A1066">
        <v>17806385</v>
      </c>
      <c r="B1066">
        <v>0</v>
      </c>
      <c r="C1066">
        <f>IFERROR(VLOOKUP(A:A,[1]Export!$E:$Y,21,0),0)</f>
        <v>0</v>
      </c>
      <c r="D1066">
        <v>0</v>
      </c>
    </row>
    <row r="1067" spans="1:4">
      <c r="A1067">
        <v>17806448</v>
      </c>
      <c r="B1067">
        <v>0</v>
      </c>
      <c r="C1067">
        <f>IFERROR(VLOOKUP(A:A,[1]Export!$E:$Y,21,0),0)</f>
        <v>0</v>
      </c>
      <c r="D1067">
        <v>0</v>
      </c>
    </row>
    <row r="1068" spans="1:4">
      <c r="A1068">
        <v>17806460</v>
      </c>
      <c r="B1068">
        <v>0</v>
      </c>
      <c r="C1068">
        <f>IFERROR(VLOOKUP(A:A,[1]Export!$E:$Y,21,0),0)</f>
        <v>0</v>
      </c>
      <c r="D1068">
        <v>0</v>
      </c>
    </row>
    <row r="1069" spans="1:4">
      <c r="A1069">
        <v>17806467</v>
      </c>
      <c r="B1069">
        <v>0</v>
      </c>
      <c r="C1069">
        <f>IFERROR(VLOOKUP(A:A,[1]Export!$E:$Y,21,0),0)</f>
        <v>0</v>
      </c>
      <c r="D1069">
        <v>0</v>
      </c>
    </row>
    <row r="1070" spans="1:4">
      <c r="A1070">
        <v>17806470</v>
      </c>
      <c r="B1070">
        <v>0</v>
      </c>
      <c r="C1070">
        <f>IFERROR(VLOOKUP(A:A,[1]Export!$E:$Y,21,0),0)</f>
        <v>0</v>
      </c>
      <c r="D1070">
        <v>0</v>
      </c>
    </row>
    <row r="1071" spans="1:4">
      <c r="A1071">
        <v>17806473</v>
      </c>
      <c r="B1071">
        <v>0</v>
      </c>
      <c r="C1071">
        <f>IFERROR(VLOOKUP(A:A,[1]Export!$E:$Y,21,0),0)</f>
        <v>0</v>
      </c>
      <c r="D1071">
        <v>0</v>
      </c>
    </row>
    <row r="1072" spans="1:4">
      <c r="A1072">
        <v>17806532</v>
      </c>
      <c r="B1072">
        <v>0</v>
      </c>
      <c r="C1072">
        <f>IFERROR(VLOOKUP(A:A,[1]Export!$E:$Y,21,0),0)</f>
        <v>0</v>
      </c>
      <c r="D1072">
        <v>0</v>
      </c>
    </row>
    <row r="1073" spans="1:4">
      <c r="A1073">
        <v>17806537</v>
      </c>
      <c r="B1073">
        <v>0</v>
      </c>
      <c r="C1073">
        <f>IFERROR(VLOOKUP(A:A,[1]Export!$E:$Y,21,0),0)</f>
        <v>0</v>
      </c>
      <c r="D1073">
        <v>0</v>
      </c>
    </row>
    <row r="1074" spans="1:4">
      <c r="A1074">
        <v>17806597</v>
      </c>
      <c r="B1074">
        <v>0</v>
      </c>
      <c r="C1074">
        <f>IFERROR(VLOOKUP(A:A,[1]Export!$E:$Y,21,0),0)</f>
        <v>0</v>
      </c>
      <c r="D1074">
        <v>10</v>
      </c>
    </row>
    <row r="1075" spans="1:4">
      <c r="A1075">
        <v>17806606</v>
      </c>
      <c r="B1075">
        <v>0</v>
      </c>
      <c r="C1075">
        <f>IFERROR(VLOOKUP(A:A,[1]Export!$E:$Y,21,0),0)</f>
        <v>0</v>
      </c>
      <c r="D1075">
        <v>0</v>
      </c>
    </row>
    <row r="1076" spans="1:4">
      <c r="A1076">
        <v>17807636</v>
      </c>
      <c r="B1076">
        <v>0</v>
      </c>
      <c r="C1076">
        <f>IFERROR(VLOOKUP(A:A,[1]Export!$E:$Y,21,0),0)</f>
        <v>0</v>
      </c>
      <c r="D1076">
        <v>0</v>
      </c>
    </row>
    <row r="1077" spans="1:4">
      <c r="A1077">
        <v>17807644</v>
      </c>
      <c r="B1077">
        <v>0</v>
      </c>
      <c r="C1077">
        <f>IFERROR(VLOOKUP(A:A,[1]Export!$E:$Y,21,0),0)</f>
        <v>0</v>
      </c>
      <c r="D1077">
        <v>0</v>
      </c>
    </row>
    <row r="1078" spans="1:4">
      <c r="A1078">
        <v>17807663</v>
      </c>
      <c r="B1078">
        <v>1</v>
      </c>
      <c r="C1078">
        <f>IFERROR(VLOOKUP(A:A,[1]Export!$E:$Y,21,0),0)</f>
        <v>0</v>
      </c>
      <c r="D1078">
        <v>0</v>
      </c>
    </row>
    <row r="1079" spans="1:4">
      <c r="A1079">
        <v>17807676</v>
      </c>
      <c r="B1079">
        <v>0</v>
      </c>
      <c r="C1079">
        <f>IFERROR(VLOOKUP(A:A,[1]Export!$E:$Y,21,0),0)</f>
        <v>0</v>
      </c>
      <c r="D1079">
        <v>0</v>
      </c>
    </row>
    <row r="1080" spans="1:4">
      <c r="A1080">
        <v>17807681</v>
      </c>
      <c r="B1080">
        <v>1</v>
      </c>
      <c r="C1080">
        <f>IFERROR(VLOOKUP(A:A,[1]Export!$E:$Y,21,0),0)</f>
        <v>0</v>
      </c>
      <c r="D1080">
        <v>0</v>
      </c>
    </row>
    <row r="1081" spans="1:4">
      <c r="A1081">
        <v>17807756</v>
      </c>
      <c r="B1081">
        <v>0</v>
      </c>
      <c r="C1081">
        <f>IFERROR(VLOOKUP(A:A,[1]Export!$E:$Y,21,0),0)</f>
        <v>0</v>
      </c>
      <c r="D1081">
        <v>0</v>
      </c>
    </row>
    <row r="1082" spans="1:4">
      <c r="A1082">
        <v>17808322</v>
      </c>
      <c r="B1082">
        <v>0</v>
      </c>
      <c r="C1082">
        <f>IFERROR(VLOOKUP(A:A,[1]Export!$E:$Y,21,0),0)</f>
        <v>0</v>
      </c>
      <c r="D1082">
        <v>0</v>
      </c>
    </row>
    <row r="1083" spans="1:4">
      <c r="A1083">
        <v>17808822</v>
      </c>
      <c r="B1083">
        <v>0</v>
      </c>
      <c r="C1083">
        <f>IFERROR(VLOOKUP(A:A,[1]Export!$E:$Y,21,0),0)</f>
        <v>0</v>
      </c>
      <c r="D1083">
        <v>0</v>
      </c>
    </row>
    <row r="1084" spans="1:4">
      <c r="A1084">
        <v>17808828</v>
      </c>
      <c r="B1084">
        <v>0</v>
      </c>
      <c r="C1084">
        <f>IFERROR(VLOOKUP(A:A,[1]Export!$E:$Y,21,0),0)</f>
        <v>0</v>
      </c>
      <c r="D1084">
        <v>0</v>
      </c>
    </row>
    <row r="1085" spans="1:4">
      <c r="A1085">
        <v>17808929</v>
      </c>
      <c r="B1085">
        <v>0</v>
      </c>
      <c r="C1085">
        <f>IFERROR(VLOOKUP(A:A,[1]Export!$E:$Y,21,0),0)</f>
        <v>0</v>
      </c>
      <c r="D1085">
        <v>0</v>
      </c>
    </row>
    <row r="1086" spans="1:4">
      <c r="A1086">
        <v>17808987</v>
      </c>
      <c r="B1086">
        <v>0</v>
      </c>
      <c r="C1086">
        <f>IFERROR(VLOOKUP(A:A,[1]Export!$E:$Y,21,0),0)</f>
        <v>0</v>
      </c>
      <c r="D1086">
        <v>0</v>
      </c>
    </row>
    <row r="1087" spans="1:4">
      <c r="A1087">
        <v>17809093</v>
      </c>
      <c r="B1087">
        <v>0</v>
      </c>
      <c r="C1087">
        <f>IFERROR(VLOOKUP(A:A,[1]Export!$E:$Y,21,0),0)</f>
        <v>0</v>
      </c>
      <c r="D1087">
        <v>0</v>
      </c>
    </row>
    <row r="1088" spans="1:4">
      <c r="A1088">
        <v>17809755</v>
      </c>
      <c r="B1088">
        <v>0</v>
      </c>
      <c r="C1088">
        <f>IFERROR(VLOOKUP(A:A,[1]Export!$E:$Y,21,0),0)</f>
        <v>0</v>
      </c>
      <c r="D1088">
        <v>0</v>
      </c>
    </row>
    <row r="1089" spans="1:4">
      <c r="A1089">
        <v>17810552</v>
      </c>
      <c r="B1089">
        <v>0</v>
      </c>
      <c r="C1089">
        <f>IFERROR(VLOOKUP(A:A,[1]Export!$E:$Y,21,0),0)</f>
        <v>0</v>
      </c>
      <c r="D1089">
        <v>0</v>
      </c>
    </row>
    <row r="1090" spans="1:4">
      <c r="A1090">
        <v>17811480</v>
      </c>
      <c r="B1090">
        <v>0</v>
      </c>
      <c r="C1090">
        <f>IFERROR(VLOOKUP(A:A,[1]Export!$E:$Y,21,0),0)</f>
        <v>0</v>
      </c>
      <c r="D1090">
        <v>0</v>
      </c>
    </row>
    <row r="1091" spans="1:4">
      <c r="A1091">
        <v>17812460</v>
      </c>
      <c r="B1091">
        <v>0</v>
      </c>
      <c r="C1091">
        <f>IFERROR(VLOOKUP(A:A,[1]Export!$E:$Y,21,0),0)</f>
        <v>0</v>
      </c>
      <c r="D1091">
        <v>0</v>
      </c>
    </row>
    <row r="1092" spans="1:4">
      <c r="A1092">
        <v>17812601</v>
      </c>
      <c r="B1092">
        <v>0</v>
      </c>
      <c r="C1092">
        <f>IFERROR(VLOOKUP(A:A,[1]Export!$E:$Y,21,0),0)</f>
        <v>0</v>
      </c>
      <c r="D1092">
        <v>0</v>
      </c>
    </row>
    <row r="1093" spans="1:4">
      <c r="A1093">
        <v>17812765</v>
      </c>
      <c r="B1093">
        <v>0</v>
      </c>
      <c r="C1093">
        <f>IFERROR(VLOOKUP(A:A,[1]Export!$E:$Y,21,0),0)</f>
        <v>0</v>
      </c>
      <c r="D1093">
        <v>0</v>
      </c>
    </row>
    <row r="1094" spans="1:4">
      <c r="A1094">
        <v>17815135</v>
      </c>
      <c r="B1094">
        <v>0</v>
      </c>
      <c r="C1094">
        <f>IFERROR(VLOOKUP(A:A,[1]Export!$E:$Y,21,0),0)</f>
        <v>0</v>
      </c>
      <c r="D1094">
        <v>0</v>
      </c>
    </row>
    <row r="1095" spans="1:4">
      <c r="A1095">
        <v>17817960</v>
      </c>
      <c r="B1095">
        <v>0</v>
      </c>
      <c r="C1095">
        <f>IFERROR(VLOOKUP(A:A,[1]Export!$E:$Y,21,0),0)</f>
        <v>0</v>
      </c>
      <c r="D1095">
        <v>0</v>
      </c>
    </row>
    <row r="1096" spans="1:4">
      <c r="A1096">
        <v>17818083</v>
      </c>
      <c r="B1096">
        <v>7</v>
      </c>
      <c r="C1096">
        <f>IFERROR(VLOOKUP(A:A,[1]Export!$E:$Y,21,0),0)</f>
        <v>0</v>
      </c>
      <c r="D1096">
        <v>7</v>
      </c>
    </row>
    <row r="1097" spans="1:4">
      <c r="A1097">
        <v>17818096</v>
      </c>
      <c r="B1097">
        <v>0</v>
      </c>
      <c r="C1097">
        <f>IFERROR(VLOOKUP(A:A,[1]Export!$E:$Y,21,0),0)</f>
        <v>0</v>
      </c>
      <c r="D1097">
        <v>0</v>
      </c>
    </row>
    <row r="1098" spans="1:4">
      <c r="A1098">
        <v>17818553</v>
      </c>
      <c r="B1098">
        <v>0</v>
      </c>
      <c r="C1098">
        <f>IFERROR(VLOOKUP(A:A,[1]Export!$E:$Y,21,0),0)</f>
        <v>0</v>
      </c>
      <c r="D1098">
        <v>0</v>
      </c>
    </row>
    <row r="1099" spans="1:4">
      <c r="A1099">
        <v>17823556</v>
      </c>
      <c r="B1099">
        <v>0</v>
      </c>
      <c r="C1099">
        <f>IFERROR(VLOOKUP(A:A,[1]Export!$E:$Y,21,0),0)</f>
        <v>0</v>
      </c>
      <c r="D1099">
        <v>0</v>
      </c>
    </row>
    <row r="1100" spans="1:4">
      <c r="A1100">
        <v>17823572</v>
      </c>
      <c r="B1100">
        <v>0</v>
      </c>
      <c r="C1100">
        <f>IFERROR(VLOOKUP(A:A,[1]Export!$E:$Y,21,0),0)</f>
        <v>0</v>
      </c>
      <c r="D1100">
        <v>0</v>
      </c>
    </row>
    <row r="1101" spans="1:4">
      <c r="A1101">
        <v>17823592</v>
      </c>
      <c r="B1101">
        <v>0</v>
      </c>
      <c r="C1101">
        <f>IFERROR(VLOOKUP(A:A,[1]Export!$E:$Y,21,0),0)</f>
        <v>0</v>
      </c>
      <c r="D1101">
        <v>0</v>
      </c>
    </row>
    <row r="1102" spans="1:4">
      <c r="A1102">
        <v>17823605</v>
      </c>
      <c r="B1102">
        <v>0</v>
      </c>
      <c r="C1102">
        <f>IFERROR(VLOOKUP(A:A,[1]Export!$E:$Y,21,0),0)</f>
        <v>0</v>
      </c>
      <c r="D1102">
        <v>0</v>
      </c>
    </row>
    <row r="1103" spans="1:4">
      <c r="A1103">
        <v>17823618</v>
      </c>
      <c r="B1103">
        <v>0</v>
      </c>
      <c r="C1103">
        <f>IFERROR(VLOOKUP(A:A,[1]Export!$E:$Y,21,0),0)</f>
        <v>0</v>
      </c>
      <c r="D1103">
        <v>0</v>
      </c>
    </row>
    <row r="1104" spans="1:4">
      <c r="A1104">
        <v>17833398</v>
      </c>
      <c r="B1104">
        <v>0</v>
      </c>
      <c r="C1104">
        <f>IFERROR(VLOOKUP(A:A,[1]Export!$E:$Y,21,0),0)</f>
        <v>0</v>
      </c>
      <c r="D1104">
        <v>0</v>
      </c>
    </row>
    <row r="1105" spans="1:4">
      <c r="A1105">
        <v>17833550</v>
      </c>
      <c r="B1105">
        <v>1</v>
      </c>
      <c r="C1105">
        <f>IFERROR(VLOOKUP(A:A,[1]Export!$E:$Y,21,0),0)</f>
        <v>0</v>
      </c>
      <c r="D1105">
        <v>0</v>
      </c>
    </row>
    <row r="1106" spans="1:4">
      <c r="A1106">
        <v>17833565</v>
      </c>
      <c r="B1106">
        <v>0</v>
      </c>
      <c r="C1106">
        <f>IFERROR(VLOOKUP(A:A,[1]Export!$E:$Y,21,0),0)</f>
        <v>0</v>
      </c>
      <c r="D1106">
        <v>3</v>
      </c>
    </row>
    <row r="1107" spans="1:4">
      <c r="A1107">
        <v>17833792</v>
      </c>
      <c r="B1107">
        <v>0</v>
      </c>
      <c r="C1107">
        <f>IFERROR(VLOOKUP(A:A,[1]Export!$E:$Y,21,0),0)</f>
        <v>0</v>
      </c>
      <c r="D1107">
        <v>0</v>
      </c>
    </row>
    <row r="1108" spans="1:4">
      <c r="A1108">
        <v>17833929</v>
      </c>
      <c r="B1108">
        <v>0</v>
      </c>
      <c r="C1108">
        <f>IFERROR(VLOOKUP(A:A,[1]Export!$E:$Y,21,0),0)</f>
        <v>0</v>
      </c>
      <c r="D1108">
        <v>0</v>
      </c>
    </row>
    <row r="1109" spans="1:4">
      <c r="A1109">
        <v>17834030</v>
      </c>
      <c r="B1109">
        <v>0</v>
      </c>
      <c r="C1109">
        <f>IFERROR(VLOOKUP(A:A,[1]Export!$E:$Y,21,0),0)</f>
        <v>0</v>
      </c>
      <c r="D1109">
        <v>0</v>
      </c>
    </row>
    <row r="1110" spans="1:4">
      <c r="A1110">
        <v>17834487</v>
      </c>
      <c r="B1110">
        <v>0</v>
      </c>
      <c r="C1110">
        <f>IFERROR(VLOOKUP(A:A,[1]Export!$E:$Y,21,0),0)</f>
        <v>0</v>
      </c>
      <c r="D1110">
        <v>0</v>
      </c>
    </row>
    <row r="1111" spans="1:4">
      <c r="A1111" t="s">
        <v>454</v>
      </c>
      <c r="B1111">
        <v>0</v>
      </c>
      <c r="C1111">
        <f>IFERROR(VLOOKUP(A:A,[1]Export!$E:$Y,21,0),0)</f>
        <v>0</v>
      </c>
      <c r="D1111">
        <v>0</v>
      </c>
    </row>
    <row r="1112" spans="1:4">
      <c r="A1112" t="s">
        <v>455</v>
      </c>
      <c r="B1112">
        <v>0</v>
      </c>
      <c r="C1112">
        <f>IFERROR(VLOOKUP(A:A,[1]Export!$E:$Y,21,0),0)</f>
        <v>0</v>
      </c>
      <c r="D1112">
        <v>0</v>
      </c>
    </row>
    <row r="1113" spans="1:4">
      <c r="A1113" t="s">
        <v>456</v>
      </c>
      <c r="B1113">
        <v>0</v>
      </c>
      <c r="C1113">
        <f>IFERROR(VLOOKUP(A:A,[1]Export!$E:$Y,21,0),0)</f>
        <v>0</v>
      </c>
      <c r="D1113">
        <v>0</v>
      </c>
    </row>
    <row r="1114" spans="1:4">
      <c r="A1114" t="s">
        <v>453</v>
      </c>
      <c r="B1114">
        <v>0</v>
      </c>
      <c r="C1114">
        <f>IFERROR(VLOOKUP(A:A,[1]Export!$E:$Y,21,0),0)</f>
        <v>0</v>
      </c>
      <c r="D1114">
        <v>0</v>
      </c>
    </row>
    <row r="1115" spans="1:4">
      <c r="A1115" t="s">
        <v>192</v>
      </c>
      <c r="B1115">
        <v>0</v>
      </c>
      <c r="C1115">
        <f>IFERROR(VLOOKUP(A:A,[1]Export!$E:$Y,21,0),0)</f>
        <v>0</v>
      </c>
      <c r="D1115">
        <v>0</v>
      </c>
    </row>
    <row r="1116" spans="1:4">
      <c r="A1116" t="s">
        <v>167</v>
      </c>
      <c r="B1116">
        <v>0</v>
      </c>
      <c r="C1116">
        <f>IFERROR(VLOOKUP(A:A,[1]Export!$E:$Y,21,0),0)</f>
        <v>0</v>
      </c>
      <c r="D1116">
        <v>0</v>
      </c>
    </row>
    <row r="1117" spans="1:4">
      <c r="A1117" t="s">
        <v>155</v>
      </c>
      <c r="B1117">
        <v>0</v>
      </c>
      <c r="C1117">
        <f>IFERROR(VLOOKUP(A:A,[1]Export!$E:$Y,21,0),0)</f>
        <v>0</v>
      </c>
      <c r="D1117">
        <v>0</v>
      </c>
    </row>
    <row r="1118" spans="1:4">
      <c r="A1118" t="s">
        <v>171</v>
      </c>
      <c r="B1118">
        <v>0</v>
      </c>
      <c r="C1118">
        <f>IFERROR(VLOOKUP(A:A,[1]Export!$E:$Y,21,0),0)</f>
        <v>0</v>
      </c>
      <c r="D1118">
        <v>0</v>
      </c>
    </row>
    <row r="1119" spans="1:4">
      <c r="A1119" t="s">
        <v>431</v>
      </c>
      <c r="B1119">
        <v>0</v>
      </c>
      <c r="C1119">
        <f>IFERROR(VLOOKUP(A:A,[1]Export!$E:$Y,21,0),0)</f>
        <v>0</v>
      </c>
      <c r="D1119">
        <v>0</v>
      </c>
    </row>
    <row r="1120" spans="1:4">
      <c r="A1120" t="s">
        <v>457</v>
      </c>
      <c r="B1120">
        <v>0</v>
      </c>
      <c r="C1120">
        <f>IFERROR(VLOOKUP(A:A,[1]Export!$E:$Y,21,0),0)</f>
        <v>0</v>
      </c>
      <c r="D1120">
        <v>0</v>
      </c>
    </row>
    <row r="1121" spans="1:4">
      <c r="A1121" t="s">
        <v>432</v>
      </c>
      <c r="B1121">
        <v>0</v>
      </c>
      <c r="C1121">
        <f>IFERROR(VLOOKUP(A:A,[1]Export!$E:$Y,21,0),0)</f>
        <v>0</v>
      </c>
      <c r="D1121">
        <v>0</v>
      </c>
    </row>
    <row r="1122" spans="1:4">
      <c r="A1122" t="s">
        <v>461</v>
      </c>
      <c r="B1122">
        <v>0</v>
      </c>
      <c r="C1122">
        <f>IFERROR(VLOOKUP(A:A,[1]Export!$E:$Y,21,0),0)</f>
        <v>0</v>
      </c>
      <c r="D1122">
        <v>0</v>
      </c>
    </row>
    <row r="1123" spans="1:4">
      <c r="A1123" t="s">
        <v>458</v>
      </c>
      <c r="B1123">
        <v>0</v>
      </c>
      <c r="C1123">
        <f>IFERROR(VLOOKUP(A:A,[1]Export!$E:$Y,21,0),0)</f>
        <v>0</v>
      </c>
      <c r="D1123">
        <v>0</v>
      </c>
    </row>
    <row r="1124" spans="1:4">
      <c r="A1124" t="s">
        <v>459</v>
      </c>
      <c r="B1124">
        <v>0</v>
      </c>
      <c r="C1124">
        <f>IFERROR(VLOOKUP(A:A,[1]Export!$E:$Y,21,0),0)</f>
        <v>0</v>
      </c>
      <c r="D1124">
        <v>0</v>
      </c>
    </row>
    <row r="1125" spans="1:4">
      <c r="A1125" t="s">
        <v>460</v>
      </c>
      <c r="B1125">
        <v>0</v>
      </c>
      <c r="C1125">
        <f>IFERROR(VLOOKUP(A:A,[1]Export!$E:$Y,21,0),0)</f>
        <v>0</v>
      </c>
      <c r="D1125">
        <v>0</v>
      </c>
    </row>
    <row r="1126" spans="1:4">
      <c r="A1126" t="s">
        <v>430</v>
      </c>
      <c r="B1126">
        <v>0</v>
      </c>
      <c r="C1126">
        <f>IFERROR(VLOOKUP(A:A,[1]Export!$E:$Y,21,0),0)</f>
        <v>0</v>
      </c>
      <c r="D1126">
        <v>0</v>
      </c>
    </row>
    <row r="1127" spans="1:4">
      <c r="A1127" t="s">
        <v>429</v>
      </c>
      <c r="B1127">
        <v>0</v>
      </c>
      <c r="C1127">
        <f>IFERROR(VLOOKUP(A:A,[1]Export!$E:$Y,21,0),0)</f>
        <v>0</v>
      </c>
      <c r="D1127">
        <v>0</v>
      </c>
    </row>
    <row r="1128" spans="1:4">
      <c r="A1128" t="s">
        <v>463</v>
      </c>
    </row>
    <row r="1129" spans="1:4">
      <c r="A1129" t="s">
        <v>464</v>
      </c>
      <c r="B1129">
        <v>446</v>
      </c>
      <c r="C1129">
        <v>458948950</v>
      </c>
      <c r="D1129">
        <v>674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2026-08-02T04:29:02Z</dcterms:created>
  <dcterms:modified xsi:type="dcterms:W3CDTF">2026-08-18T09:05:06Z</dcterms:modified>
</cp:coreProperties>
</file>