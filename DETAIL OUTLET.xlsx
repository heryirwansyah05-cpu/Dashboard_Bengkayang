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<sst xmlns="http://schemas.openxmlformats.org/spreadsheetml/2006/main" count="2058" uniqueCount="480">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</sst>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N6" activePane="bottomRight" state="frozen"/>
      <selection pane="topRight" activeCell="D1" sqref="D1"/>
      <selection pane="bottomLeft" activeCell="A6" sqref="A6"/>
      <selection pane="bottomRight" activeCell="P6" sqref="P6:P338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bestFit="1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436</v>
      </c>
      <c r="H5" s="19" t="s">
        <v>452</v>
      </c>
      <c r="I5" s="20" t="s">
        <v>6</v>
      </c>
      <c r="J5" s="20" t="s">
        <v>7</v>
      </c>
      <c r="K5" s="20" t="s">
        <v>8</v>
      </c>
      <c r="L5" s="20" t="s">
        <v>437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438</v>
      </c>
      <c r="S5" s="22" t="s">
        <v>439</v>
      </c>
      <c r="T5" s="22" t="s">
        <v>468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17692760</v>
      </c>
      <c r="B6" s="8" t="s">
        <v>272</v>
      </c>
      <c r="C6" s="8" t="s">
        <v>57</v>
      </c>
      <c r="D6" s="8" t="s">
        <v>440</v>
      </c>
      <c r="E6" s="8" t="s">
        <v>22</v>
      </c>
      <c r="F6" s="8" t="s">
        <v>175</v>
      </c>
      <c r="G6" s="12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9">
        <f t="shared" ref="O6:O69" si="3">M6/L6</f>
        <v>0</v>
      </c>
      <c r="P6" s="10">
        <v>0</v>
      </c>
      <c r="Q6" s="1">
        <f t="shared" ref="Q6:Q69" si="4">IF(P6&gt;=3,1,0)</f>
        <v>0</v>
      </c>
      <c r="R6" s="10">
        <v>12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17224859</v>
      </c>
      <c r="B7" s="8" t="s">
        <v>174</v>
      </c>
      <c r="C7" s="8" t="s">
        <v>57</v>
      </c>
      <c r="D7" s="8" t="s">
        <v>440</v>
      </c>
      <c r="E7" s="8" t="s">
        <v>22</v>
      </c>
      <c r="F7" s="8" t="s">
        <v>175</v>
      </c>
      <c r="G7" s="12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9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381</v>
      </c>
      <c r="C8" s="8" t="s">
        <v>57</v>
      </c>
      <c r="D8" s="8" t="s">
        <v>442</v>
      </c>
      <c r="E8" s="8" t="s">
        <v>26</v>
      </c>
      <c r="F8" s="8" t="s">
        <v>175</v>
      </c>
      <c r="G8" s="12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2350000</v>
      </c>
      <c r="N8" s="6">
        <f t="shared" si="2"/>
        <v>1</v>
      </c>
      <c r="O8" s="9">
        <f t="shared" si="3"/>
        <v>1.5102694150812468</v>
      </c>
      <c r="P8" s="10">
        <v>1</v>
      </c>
      <c r="Q8" s="1">
        <f t="shared" si="4"/>
        <v>0</v>
      </c>
      <c r="R8" s="10">
        <v>6</v>
      </c>
      <c r="S8" s="10">
        <v>1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283</v>
      </c>
      <c r="C9" s="8" t="s">
        <v>57</v>
      </c>
      <c r="D9" s="8" t="s">
        <v>442</v>
      </c>
      <c r="E9" s="8" t="s">
        <v>26</v>
      </c>
      <c r="F9" s="8" t="s">
        <v>284</v>
      </c>
      <c r="G9" s="12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11</v>
      </c>
      <c r="S9" s="10">
        <v>0</v>
      </c>
      <c r="T9" s="10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8">
        <v>17612118</v>
      </c>
      <c r="B10" s="8" t="s">
        <v>328</v>
      </c>
      <c r="C10" s="8" t="s">
        <v>57</v>
      </c>
      <c r="D10" s="8" t="s">
        <v>442</v>
      </c>
      <c r="E10" s="8" t="s">
        <v>26</v>
      </c>
      <c r="F10" s="8" t="s">
        <v>284</v>
      </c>
      <c r="G10" s="12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10</v>
      </c>
      <c r="S10" s="10">
        <v>0</v>
      </c>
      <c r="T10" s="10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8">
        <v>17588929</v>
      </c>
      <c r="B11" s="8" t="s">
        <v>186</v>
      </c>
      <c r="C11" s="8" t="s">
        <v>57</v>
      </c>
      <c r="D11" s="8" t="s">
        <v>444</v>
      </c>
      <c r="E11" s="8" t="s">
        <v>26</v>
      </c>
      <c r="F11" s="8" t="s">
        <v>159</v>
      </c>
      <c r="G11" s="12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2350000</v>
      </c>
      <c r="N11" s="6">
        <f t="shared" si="2"/>
        <v>1</v>
      </c>
      <c r="O11" s="9">
        <f t="shared" si="3"/>
        <v>0.20487766117363357</v>
      </c>
      <c r="P11" s="10">
        <v>1</v>
      </c>
      <c r="Q11" s="1">
        <f t="shared" si="4"/>
        <v>0</v>
      </c>
      <c r="R11" s="10">
        <v>9</v>
      </c>
      <c r="S11" s="10">
        <v>1</v>
      </c>
      <c r="T11" s="10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8">
        <v>17400773</v>
      </c>
      <c r="B12" s="8" t="s">
        <v>425</v>
      </c>
      <c r="C12" s="8" t="s">
        <v>57</v>
      </c>
      <c r="D12" s="8" t="s">
        <v>444</v>
      </c>
      <c r="E12" s="8" t="s">
        <v>26</v>
      </c>
      <c r="F12" s="8" t="s">
        <v>159</v>
      </c>
      <c r="G12" s="12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9">
        <f t="shared" si="3"/>
        <v>0</v>
      </c>
      <c r="P12" s="10">
        <v>1</v>
      </c>
      <c r="Q12" s="1">
        <f t="shared" si="4"/>
        <v>0</v>
      </c>
      <c r="R12" s="10">
        <v>10</v>
      </c>
      <c r="S12" s="10">
        <v>1</v>
      </c>
      <c r="T12" s="10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8">
        <v>17614624</v>
      </c>
      <c r="B13" s="8" t="s">
        <v>158</v>
      </c>
      <c r="C13" s="8" t="s">
        <v>57</v>
      </c>
      <c r="D13" s="8" t="s">
        <v>444</v>
      </c>
      <c r="E13" s="8" t="s">
        <v>26</v>
      </c>
      <c r="F13" s="8" t="s">
        <v>159</v>
      </c>
      <c r="G13" s="12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2350000</v>
      </c>
      <c r="N13" s="6">
        <f t="shared" si="2"/>
        <v>1</v>
      </c>
      <c r="O13" s="9">
        <f t="shared" si="3"/>
        <v>0.24432943325357143</v>
      </c>
      <c r="P13" s="10">
        <v>1</v>
      </c>
      <c r="Q13" s="1">
        <f t="shared" si="4"/>
        <v>0</v>
      </c>
      <c r="R13" s="10">
        <v>9</v>
      </c>
      <c r="S13" s="10">
        <v>1</v>
      </c>
      <c r="T13" s="10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8">
        <v>17588948</v>
      </c>
      <c r="B14" s="8" t="s">
        <v>220</v>
      </c>
      <c r="C14" s="8" t="s">
        <v>57</v>
      </c>
      <c r="D14" s="8" t="s">
        <v>444</v>
      </c>
      <c r="E14" s="8" t="s">
        <v>26</v>
      </c>
      <c r="F14" s="8" t="s">
        <v>159</v>
      </c>
      <c r="G14" s="12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2350000</v>
      </c>
      <c r="N14" s="6">
        <f t="shared" si="2"/>
        <v>1</v>
      </c>
      <c r="O14" s="9">
        <f t="shared" si="3"/>
        <v>1.1050316405854492</v>
      </c>
      <c r="P14" s="10">
        <v>2</v>
      </c>
      <c r="Q14" s="1">
        <f t="shared" si="4"/>
        <v>0</v>
      </c>
      <c r="R14" s="10">
        <v>8</v>
      </c>
      <c r="S14" s="10">
        <v>2</v>
      </c>
      <c r="T14" s="10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8">
        <v>1318548</v>
      </c>
      <c r="B15" s="8" t="s">
        <v>428</v>
      </c>
      <c r="C15" s="8" t="s">
        <v>57</v>
      </c>
      <c r="D15" s="8" t="s">
        <v>442</v>
      </c>
      <c r="E15" s="8" t="s">
        <v>26</v>
      </c>
      <c r="F15" s="8" t="s">
        <v>117</v>
      </c>
      <c r="G15" s="12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9">
        <f t="shared" si="3"/>
        <v>0</v>
      </c>
      <c r="P15" s="10">
        <v>0</v>
      </c>
      <c r="Q15" s="1">
        <f t="shared" si="4"/>
        <v>0</v>
      </c>
      <c r="R15" s="10">
        <v>14</v>
      </c>
      <c r="S15" s="10">
        <v>0</v>
      </c>
      <c r="T15" s="10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8">
        <v>698993</v>
      </c>
      <c r="B16" s="8" t="s">
        <v>367</v>
      </c>
      <c r="C16" s="8" t="s">
        <v>57</v>
      </c>
      <c r="D16" s="8" t="s">
        <v>442</v>
      </c>
      <c r="E16" s="8" t="s">
        <v>22</v>
      </c>
      <c r="F16" s="8" t="s">
        <v>117</v>
      </c>
      <c r="G16" s="12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9">
        <f t="shared" si="3"/>
        <v>2.4223874650086404E-2</v>
      </c>
      <c r="P16" s="10">
        <v>0</v>
      </c>
      <c r="Q16" s="1">
        <f t="shared" si="4"/>
        <v>0</v>
      </c>
      <c r="R16" s="10">
        <v>13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17546556</v>
      </c>
      <c r="B17" s="8" t="s">
        <v>116</v>
      </c>
      <c r="C17" s="8" t="s">
        <v>57</v>
      </c>
      <c r="D17" s="8" t="s">
        <v>442</v>
      </c>
      <c r="E17" s="8" t="s">
        <v>26</v>
      </c>
      <c r="F17" s="8" t="s">
        <v>117</v>
      </c>
      <c r="G17" s="12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6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>
        <v>17546521</v>
      </c>
      <c r="B18" s="8" t="s">
        <v>82</v>
      </c>
      <c r="C18" s="8" t="s">
        <v>57</v>
      </c>
      <c r="D18" s="8" t="s">
        <v>440</v>
      </c>
      <c r="E18" s="8" t="s">
        <v>22</v>
      </c>
      <c r="F18" s="8" t="s">
        <v>83</v>
      </c>
      <c r="G18" s="12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1200000</v>
      </c>
      <c r="N18" s="6">
        <f t="shared" si="2"/>
        <v>1</v>
      </c>
      <c r="O18" s="9">
        <f t="shared" si="3"/>
        <v>0.27167607163661822</v>
      </c>
      <c r="P18" s="10">
        <v>0</v>
      </c>
      <c r="Q18" s="1">
        <f t="shared" si="4"/>
        <v>0</v>
      </c>
      <c r="R18" s="10">
        <v>22</v>
      </c>
      <c r="S18" s="10">
        <v>0</v>
      </c>
      <c r="T18" s="10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8">
        <v>17796939</v>
      </c>
      <c r="B19" s="8" t="s">
        <v>325</v>
      </c>
      <c r="C19" s="8" t="s">
        <v>57</v>
      </c>
      <c r="D19" s="8" t="s">
        <v>442</v>
      </c>
      <c r="E19" s="8" t="s">
        <v>26</v>
      </c>
      <c r="F19" s="8" t="s">
        <v>83</v>
      </c>
      <c r="G19" s="12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9">
        <f t="shared" si="3"/>
        <v>0</v>
      </c>
      <c r="P19" s="10">
        <v>0</v>
      </c>
      <c r="Q19" s="1">
        <f t="shared" si="4"/>
        <v>0</v>
      </c>
      <c r="R19" s="10">
        <v>21</v>
      </c>
      <c r="S19" s="10">
        <v>0</v>
      </c>
      <c r="T19" s="10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8" t="s">
        <v>445</v>
      </c>
      <c r="B20" s="8" t="s">
        <v>446</v>
      </c>
      <c r="C20" s="8" t="s">
        <v>57</v>
      </c>
      <c r="D20" s="8" t="s">
        <v>442</v>
      </c>
      <c r="E20" s="8" t="s">
        <v>26</v>
      </c>
      <c r="F20" s="8" t="s">
        <v>83</v>
      </c>
      <c r="G20" s="12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11</v>
      </c>
      <c r="S20" s="10">
        <v>0</v>
      </c>
      <c r="T20" s="10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8">
        <v>17407927</v>
      </c>
      <c r="B21" s="8" t="s">
        <v>210</v>
      </c>
      <c r="C21" s="8" t="s">
        <v>57</v>
      </c>
      <c r="D21" s="8" t="s">
        <v>440</v>
      </c>
      <c r="E21" s="8" t="s">
        <v>22</v>
      </c>
      <c r="F21" s="8" t="s">
        <v>211</v>
      </c>
      <c r="G21" s="12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2000000</v>
      </c>
      <c r="N21" s="6">
        <f t="shared" si="2"/>
        <v>1</v>
      </c>
      <c r="O21" s="9">
        <f t="shared" si="3"/>
        <v>0.57398324936109069</v>
      </c>
      <c r="P21" s="10">
        <v>0</v>
      </c>
      <c r="Q21" s="1">
        <f t="shared" si="4"/>
        <v>0</v>
      </c>
      <c r="R21" s="10">
        <v>8</v>
      </c>
      <c r="S21" s="10">
        <v>0</v>
      </c>
      <c r="T21" s="10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8">
        <v>17694556</v>
      </c>
      <c r="B22" s="8" t="s">
        <v>400</v>
      </c>
      <c r="C22" s="8" t="s">
        <v>57</v>
      </c>
      <c r="D22" s="8" t="s">
        <v>442</v>
      </c>
      <c r="E22" s="8" t="s">
        <v>26</v>
      </c>
      <c r="F22" s="8" t="s">
        <v>211</v>
      </c>
      <c r="G22" s="12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9">
        <f t="shared" si="3"/>
        <v>0</v>
      </c>
      <c r="P22" s="10">
        <v>0</v>
      </c>
      <c r="Q22" s="1">
        <f t="shared" si="4"/>
        <v>0</v>
      </c>
      <c r="R22" s="10">
        <v>6</v>
      </c>
      <c r="S22" s="10">
        <v>0</v>
      </c>
      <c r="T22" s="10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8">
        <v>17799029</v>
      </c>
      <c r="B23" s="8" t="s">
        <v>188</v>
      </c>
      <c r="C23" s="8" t="s">
        <v>57</v>
      </c>
      <c r="D23" s="8" t="s">
        <v>440</v>
      </c>
      <c r="E23" s="8" t="s">
        <v>22</v>
      </c>
      <c r="F23" s="8" t="s">
        <v>77</v>
      </c>
      <c r="G23" s="12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20</v>
      </c>
      <c r="S23" s="10">
        <v>0</v>
      </c>
      <c r="T23" s="10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8">
        <v>1077160</v>
      </c>
      <c r="B24" s="8" t="s">
        <v>299</v>
      </c>
      <c r="C24" s="8" t="s">
        <v>57</v>
      </c>
      <c r="D24" s="8" t="s">
        <v>440</v>
      </c>
      <c r="E24" s="8" t="s">
        <v>22</v>
      </c>
      <c r="F24" s="8" t="s">
        <v>77</v>
      </c>
      <c r="G24" s="12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13</v>
      </c>
      <c r="S24" s="10">
        <v>0</v>
      </c>
      <c r="T24" s="10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8">
        <v>698921</v>
      </c>
      <c r="B25" s="8" t="s">
        <v>221</v>
      </c>
      <c r="C25" s="8" t="s">
        <v>57</v>
      </c>
      <c r="D25" s="8" t="s">
        <v>440</v>
      </c>
      <c r="E25" s="8" t="s">
        <v>22</v>
      </c>
      <c r="F25" s="8" t="s">
        <v>77</v>
      </c>
      <c r="G25" s="12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9">
        <f t="shared" si="3"/>
        <v>0</v>
      </c>
      <c r="P25" s="10">
        <v>0</v>
      </c>
      <c r="Q25" s="1">
        <f t="shared" si="4"/>
        <v>0</v>
      </c>
      <c r="R25" s="10">
        <v>12</v>
      </c>
      <c r="S25" s="10">
        <v>0</v>
      </c>
      <c r="T25" s="10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8">
        <v>17272708</v>
      </c>
      <c r="B26" s="8" t="s">
        <v>99</v>
      </c>
      <c r="C26" s="8" t="s">
        <v>57</v>
      </c>
      <c r="D26" s="8" t="s">
        <v>440</v>
      </c>
      <c r="E26" s="8" t="s">
        <v>22</v>
      </c>
      <c r="F26" s="8" t="s">
        <v>77</v>
      </c>
      <c r="G26" s="12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9">
        <f t="shared" si="3"/>
        <v>0</v>
      </c>
      <c r="P26" s="10">
        <v>0</v>
      </c>
      <c r="Q26" s="1">
        <f t="shared" si="4"/>
        <v>0</v>
      </c>
      <c r="R26" s="10">
        <v>9</v>
      </c>
      <c r="S26" s="10">
        <v>0</v>
      </c>
      <c r="T26" s="10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8">
        <v>17053268</v>
      </c>
      <c r="B27" s="8" t="s">
        <v>141</v>
      </c>
      <c r="C27" s="8" t="s">
        <v>57</v>
      </c>
      <c r="D27" s="8" t="s">
        <v>440</v>
      </c>
      <c r="E27" s="8" t="s">
        <v>22</v>
      </c>
      <c r="F27" s="8" t="s">
        <v>77</v>
      </c>
      <c r="G27" s="12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9</v>
      </c>
      <c r="S27" s="10">
        <v>0</v>
      </c>
      <c r="T27" s="10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8">
        <v>17256272</v>
      </c>
      <c r="B28" s="8" t="s">
        <v>244</v>
      </c>
      <c r="C28" s="8" t="s">
        <v>57</v>
      </c>
      <c r="D28" s="8" t="s">
        <v>440</v>
      </c>
      <c r="E28" s="8" t="s">
        <v>22</v>
      </c>
      <c r="F28" s="8" t="s">
        <v>77</v>
      </c>
      <c r="G28" s="12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9">
        <f t="shared" si="3"/>
        <v>0</v>
      </c>
      <c r="P28" s="10">
        <v>0</v>
      </c>
      <c r="Q28" s="1">
        <f t="shared" si="4"/>
        <v>0</v>
      </c>
      <c r="R28" s="10">
        <v>8</v>
      </c>
      <c r="S28" s="10">
        <v>0</v>
      </c>
      <c r="T28" s="10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8">
        <v>1448552</v>
      </c>
      <c r="B29" s="8" t="s">
        <v>214</v>
      </c>
      <c r="C29" s="8" t="s">
        <v>57</v>
      </c>
      <c r="D29" s="8" t="s">
        <v>440</v>
      </c>
      <c r="E29" s="8" t="s">
        <v>22</v>
      </c>
      <c r="F29" s="8" t="s">
        <v>77</v>
      </c>
      <c r="G29" s="12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9">
        <f t="shared" si="3"/>
        <v>0.13078525898343682</v>
      </c>
      <c r="P29" s="10">
        <v>0</v>
      </c>
      <c r="Q29" s="1">
        <f t="shared" si="4"/>
        <v>0</v>
      </c>
      <c r="R29" s="10">
        <v>8</v>
      </c>
      <c r="S29" s="10">
        <v>0</v>
      </c>
      <c r="T29" s="10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8">
        <v>17570839</v>
      </c>
      <c r="B30" s="8" t="s">
        <v>76</v>
      </c>
      <c r="C30" s="8" t="s">
        <v>57</v>
      </c>
      <c r="D30" s="8" t="s">
        <v>444</v>
      </c>
      <c r="E30" s="8" t="s">
        <v>26</v>
      </c>
      <c r="F30" s="8" t="s">
        <v>77</v>
      </c>
      <c r="G30" s="12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9">
        <f t="shared" si="3"/>
        <v>0</v>
      </c>
      <c r="P30" s="10">
        <v>0</v>
      </c>
      <c r="Q30" s="1">
        <f t="shared" si="4"/>
        <v>0</v>
      </c>
      <c r="R30" s="10">
        <v>7</v>
      </c>
      <c r="S30" s="10">
        <v>0</v>
      </c>
      <c r="T30" s="10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8">
        <v>17589390</v>
      </c>
      <c r="B31" s="8" t="s">
        <v>102</v>
      </c>
      <c r="C31" s="8" t="s">
        <v>57</v>
      </c>
      <c r="D31" s="8" t="s">
        <v>440</v>
      </c>
      <c r="E31" s="8" t="s">
        <v>22</v>
      </c>
      <c r="F31" s="8" t="s">
        <v>77</v>
      </c>
      <c r="G31" s="12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9">
        <f t="shared" si="3"/>
        <v>0.56349122814245722</v>
      </c>
      <c r="P31" s="10">
        <v>6</v>
      </c>
      <c r="Q31" s="1">
        <f t="shared" si="4"/>
        <v>1</v>
      </c>
      <c r="R31" s="10">
        <v>6</v>
      </c>
      <c r="S31" s="10">
        <v>6</v>
      </c>
      <c r="T31" s="10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8">
        <v>17771261</v>
      </c>
      <c r="B32" s="8" t="s">
        <v>310</v>
      </c>
      <c r="C32" s="8" t="s">
        <v>57</v>
      </c>
      <c r="D32" s="8" t="s">
        <v>442</v>
      </c>
      <c r="E32" s="8" t="s">
        <v>26</v>
      </c>
      <c r="F32" s="8" t="s">
        <v>311</v>
      </c>
      <c r="G32" s="12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2350000</v>
      </c>
      <c r="N32" s="6">
        <f t="shared" si="2"/>
        <v>1</v>
      </c>
      <c r="O32" s="9">
        <f t="shared" si="3"/>
        <v>0.18111362159711694</v>
      </c>
      <c r="P32" s="10">
        <v>1</v>
      </c>
      <c r="Q32" s="1">
        <f t="shared" si="4"/>
        <v>0</v>
      </c>
      <c r="R32" s="10">
        <v>13</v>
      </c>
      <c r="S32" s="10">
        <v>1</v>
      </c>
      <c r="T32" s="10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8">
        <v>17639127</v>
      </c>
      <c r="B33" s="8" t="s">
        <v>383</v>
      </c>
      <c r="C33" s="8" t="s">
        <v>57</v>
      </c>
      <c r="D33" s="8" t="s">
        <v>442</v>
      </c>
      <c r="E33" s="8" t="s">
        <v>26</v>
      </c>
      <c r="F33" s="8" t="s">
        <v>384</v>
      </c>
      <c r="G33" s="12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7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8">
        <v>17635487</v>
      </c>
      <c r="B34" s="8" t="s">
        <v>213</v>
      </c>
      <c r="C34" s="8" t="s">
        <v>57</v>
      </c>
      <c r="D34" s="8" t="s">
        <v>442</v>
      </c>
      <c r="E34" s="8" t="s">
        <v>26</v>
      </c>
      <c r="F34" s="8" t="s">
        <v>58</v>
      </c>
      <c r="G34" s="12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9">
        <f t="shared" si="3"/>
        <v>0</v>
      </c>
      <c r="P34" s="10">
        <v>0</v>
      </c>
      <c r="Q34" s="1">
        <f t="shared" si="4"/>
        <v>0</v>
      </c>
      <c r="R34" s="10">
        <v>8</v>
      </c>
      <c r="S34" s="10">
        <v>0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8">
        <v>17692185</v>
      </c>
      <c r="B35" s="8" t="s">
        <v>56</v>
      </c>
      <c r="C35" s="8" t="s">
        <v>57</v>
      </c>
      <c r="D35" s="8" t="s">
        <v>442</v>
      </c>
      <c r="E35" s="8" t="s">
        <v>26</v>
      </c>
      <c r="F35" s="8" t="s">
        <v>58</v>
      </c>
      <c r="G35" s="12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2350000</v>
      </c>
      <c r="N35" s="6">
        <f t="shared" si="2"/>
        <v>1</v>
      </c>
      <c r="O35" s="9">
        <f t="shared" si="3"/>
        <v>0.43906185216189997</v>
      </c>
      <c r="P35" s="10">
        <v>101</v>
      </c>
      <c r="Q35" s="1">
        <f t="shared" si="4"/>
        <v>1</v>
      </c>
      <c r="R35" s="10">
        <v>7</v>
      </c>
      <c r="S35" s="10">
        <v>101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8">
        <v>17579363</v>
      </c>
      <c r="B36" s="8" t="s">
        <v>181</v>
      </c>
      <c r="C36" s="8" t="s">
        <v>57</v>
      </c>
      <c r="D36" s="8" t="s">
        <v>444</v>
      </c>
      <c r="E36" s="8" t="s">
        <v>26</v>
      </c>
      <c r="F36" s="8" t="s">
        <v>58</v>
      </c>
      <c r="G36" s="12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9">
        <f t="shared" si="3"/>
        <v>0</v>
      </c>
      <c r="P36" s="10">
        <v>0</v>
      </c>
      <c r="Q36" s="1">
        <f t="shared" si="4"/>
        <v>0</v>
      </c>
      <c r="R36" s="10">
        <v>7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8">
        <v>17575257</v>
      </c>
      <c r="B37" s="8" t="s">
        <v>372</v>
      </c>
      <c r="C37" s="8" t="s">
        <v>57</v>
      </c>
      <c r="D37" s="8" t="s">
        <v>440</v>
      </c>
      <c r="E37" s="8" t="s">
        <v>22</v>
      </c>
      <c r="F37" s="8" t="s">
        <v>58</v>
      </c>
      <c r="G37" s="12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9">
        <f t="shared" si="3"/>
        <v>0</v>
      </c>
      <c r="P37" s="10">
        <v>0</v>
      </c>
      <c r="Q37" s="1">
        <f t="shared" si="4"/>
        <v>0</v>
      </c>
      <c r="R37" s="10">
        <v>7</v>
      </c>
      <c r="S37" s="10">
        <v>0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8">
        <v>17564430</v>
      </c>
      <c r="B38" s="8" t="s">
        <v>161</v>
      </c>
      <c r="C38" s="8" t="s">
        <v>57</v>
      </c>
      <c r="D38" s="8" t="s">
        <v>444</v>
      </c>
      <c r="E38" s="8" t="s">
        <v>26</v>
      </c>
      <c r="F38" s="8" t="s">
        <v>162</v>
      </c>
      <c r="G38" s="12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2350000</v>
      </c>
      <c r="N38" s="6">
        <f t="shared" si="2"/>
        <v>1</v>
      </c>
      <c r="O38" s="9">
        <f t="shared" si="3"/>
        <v>2.2063376181884808</v>
      </c>
      <c r="P38" s="10">
        <v>1</v>
      </c>
      <c r="Q38" s="1">
        <f t="shared" si="4"/>
        <v>0</v>
      </c>
      <c r="R38" s="10">
        <v>12</v>
      </c>
      <c r="S38" s="10">
        <v>1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8">
        <v>17613077</v>
      </c>
      <c r="B39" s="8" t="s">
        <v>288</v>
      </c>
      <c r="C39" s="8" t="s">
        <v>57</v>
      </c>
      <c r="D39" s="8" t="s">
        <v>442</v>
      </c>
      <c r="E39" s="8" t="s">
        <v>26</v>
      </c>
      <c r="F39" s="8" t="s">
        <v>162</v>
      </c>
      <c r="G39" s="12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9">
        <f t="shared" si="3"/>
        <v>0</v>
      </c>
      <c r="P39" s="10">
        <v>100</v>
      </c>
      <c r="Q39" s="1">
        <f t="shared" si="4"/>
        <v>1</v>
      </c>
      <c r="R39" s="10">
        <v>11</v>
      </c>
      <c r="S39" s="10">
        <v>101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8">
        <v>17636261</v>
      </c>
      <c r="B40" s="8" t="s">
        <v>306</v>
      </c>
      <c r="C40" s="8" t="s">
        <v>57</v>
      </c>
      <c r="D40" s="8" t="s">
        <v>442</v>
      </c>
      <c r="E40" s="8" t="s">
        <v>26</v>
      </c>
      <c r="F40" s="8" t="s">
        <v>162</v>
      </c>
      <c r="G40" s="12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9">
        <f t="shared" si="3"/>
        <v>0</v>
      </c>
      <c r="P40" s="10">
        <v>0</v>
      </c>
      <c r="Q40" s="1">
        <f t="shared" si="4"/>
        <v>0</v>
      </c>
      <c r="R40" s="10">
        <v>10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8">
        <v>17834487</v>
      </c>
      <c r="B41" s="8" t="s">
        <v>226</v>
      </c>
      <c r="C41" s="8" t="s">
        <v>57</v>
      </c>
      <c r="D41" s="8" t="s">
        <v>442</v>
      </c>
      <c r="E41" s="8" t="s">
        <v>22</v>
      </c>
      <c r="F41" s="8" t="s">
        <v>79</v>
      </c>
      <c r="G41" s="12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9">
        <f t="shared" si="3"/>
        <v>0</v>
      </c>
      <c r="P41" s="10">
        <v>0</v>
      </c>
      <c r="Q41" s="1">
        <f t="shared" si="4"/>
        <v>0</v>
      </c>
      <c r="R41" s="10">
        <v>13</v>
      </c>
      <c r="S41" s="10">
        <v>0</v>
      </c>
      <c r="T41" s="10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8">
        <v>17434670</v>
      </c>
      <c r="B42" s="8" t="s">
        <v>255</v>
      </c>
      <c r="C42" s="8" t="s">
        <v>57</v>
      </c>
      <c r="D42" s="8" t="s">
        <v>440</v>
      </c>
      <c r="E42" s="8" t="s">
        <v>22</v>
      </c>
      <c r="F42" s="8" t="s">
        <v>79</v>
      </c>
      <c r="G42" s="12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1500000</v>
      </c>
      <c r="N42" s="6">
        <f t="shared" si="2"/>
        <v>1</v>
      </c>
      <c r="O42" s="9">
        <f t="shared" si="3"/>
        <v>9.0712089851955183E-2</v>
      </c>
      <c r="P42" s="10">
        <v>2</v>
      </c>
      <c r="Q42" s="1">
        <f t="shared" si="4"/>
        <v>0</v>
      </c>
      <c r="R42" s="10">
        <v>12</v>
      </c>
      <c r="S42" s="10">
        <v>2</v>
      </c>
      <c r="T42" s="10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8">
        <v>17434658</v>
      </c>
      <c r="B43" s="8" t="s">
        <v>78</v>
      </c>
      <c r="C43" s="8" t="s">
        <v>57</v>
      </c>
      <c r="D43" s="8" t="s">
        <v>440</v>
      </c>
      <c r="E43" s="8" t="s">
        <v>22</v>
      </c>
      <c r="F43" s="8" t="s">
        <v>79</v>
      </c>
      <c r="G43" s="12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9">
        <f t="shared" si="3"/>
        <v>0</v>
      </c>
      <c r="P43" s="10">
        <v>0</v>
      </c>
      <c r="Q43" s="1">
        <f t="shared" si="4"/>
        <v>0</v>
      </c>
      <c r="R43" s="10">
        <v>9</v>
      </c>
      <c r="S43" s="10">
        <v>0</v>
      </c>
      <c r="T43" s="10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8">
        <v>17693806</v>
      </c>
      <c r="B44" s="8" t="s">
        <v>182</v>
      </c>
      <c r="C44" s="8" t="s">
        <v>57</v>
      </c>
      <c r="D44" s="8" t="s">
        <v>444</v>
      </c>
      <c r="E44" s="8" t="s">
        <v>22</v>
      </c>
      <c r="F44" s="8" t="s">
        <v>79</v>
      </c>
      <c r="G44" s="12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2350000</v>
      </c>
      <c r="N44" s="6">
        <f t="shared" si="2"/>
        <v>1</v>
      </c>
      <c r="O44" s="9">
        <f t="shared" si="3"/>
        <v>0.8211817512293923</v>
      </c>
      <c r="P44" s="10">
        <v>101</v>
      </c>
      <c r="Q44" s="1">
        <f t="shared" si="4"/>
        <v>1</v>
      </c>
      <c r="R44" s="10">
        <v>9</v>
      </c>
      <c r="S44" s="10">
        <v>101</v>
      </c>
      <c r="T44" s="10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8">
        <v>17692277</v>
      </c>
      <c r="B45" s="8" t="s">
        <v>183</v>
      </c>
      <c r="C45" s="8" t="s">
        <v>57</v>
      </c>
      <c r="D45" s="8" t="s">
        <v>440</v>
      </c>
      <c r="E45" s="8" t="s">
        <v>22</v>
      </c>
      <c r="F45" s="8" t="s">
        <v>79</v>
      </c>
      <c r="G45" s="12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9">
        <f t="shared" si="3"/>
        <v>0</v>
      </c>
      <c r="P45" s="10">
        <v>0</v>
      </c>
      <c r="Q45" s="1">
        <f t="shared" si="4"/>
        <v>0</v>
      </c>
      <c r="R45" s="10">
        <v>7</v>
      </c>
      <c r="S45" s="10">
        <v>0</v>
      </c>
      <c r="T45" s="10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8">
        <v>17236843</v>
      </c>
      <c r="B46" s="8" t="s">
        <v>70</v>
      </c>
      <c r="C46" s="8" t="s">
        <v>57</v>
      </c>
      <c r="D46" s="8" t="s">
        <v>442</v>
      </c>
      <c r="E46" s="8" t="s">
        <v>26</v>
      </c>
      <c r="F46" s="8" t="s">
        <v>71</v>
      </c>
      <c r="G46" s="12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2350000</v>
      </c>
      <c r="N46" s="6">
        <f t="shared" si="2"/>
        <v>1</v>
      </c>
      <c r="O46" s="9">
        <f t="shared" si="3"/>
        <v>0.29761676257717962</v>
      </c>
      <c r="P46" s="10">
        <v>1</v>
      </c>
      <c r="Q46" s="1">
        <f t="shared" si="4"/>
        <v>0</v>
      </c>
      <c r="R46" s="10">
        <v>8</v>
      </c>
      <c r="S46" s="10">
        <v>1</v>
      </c>
      <c r="T46" s="10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8">
        <v>17628858</v>
      </c>
      <c r="B47" s="8" t="s">
        <v>405</v>
      </c>
      <c r="C47" s="8" t="s">
        <v>57</v>
      </c>
      <c r="D47" s="8" t="s">
        <v>442</v>
      </c>
      <c r="E47" s="8" t="s">
        <v>26</v>
      </c>
      <c r="F47" s="8" t="s">
        <v>71</v>
      </c>
      <c r="G47" s="12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2350000</v>
      </c>
      <c r="N47" s="6">
        <f t="shared" si="2"/>
        <v>1</v>
      </c>
      <c r="O47" s="9">
        <f t="shared" si="3"/>
        <v>1.9681195114427177</v>
      </c>
      <c r="P47" s="10">
        <v>1</v>
      </c>
      <c r="Q47" s="1">
        <f t="shared" si="4"/>
        <v>0</v>
      </c>
      <c r="R47" s="10">
        <v>8</v>
      </c>
      <c r="S47" s="10">
        <v>1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5">
        <v>17691426</v>
      </c>
      <c r="B48" s="25" t="s">
        <v>473</v>
      </c>
      <c r="C48" s="8" t="s">
        <v>57</v>
      </c>
      <c r="D48" s="8" t="s">
        <v>442</v>
      </c>
      <c r="E48" s="8" t="s">
        <v>26</v>
      </c>
      <c r="F48" s="26" t="s">
        <v>71</v>
      </c>
      <c r="G48" s="25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2350000</v>
      </c>
      <c r="N48" s="6">
        <f t="shared" si="2"/>
        <v>1</v>
      </c>
      <c r="O48" s="9">
        <f t="shared" si="3"/>
        <v>7.833333333333333</v>
      </c>
      <c r="P48" s="10">
        <v>1</v>
      </c>
      <c r="Q48" s="1">
        <f t="shared" si="4"/>
        <v>0</v>
      </c>
      <c r="R48" s="10">
        <v>5</v>
      </c>
      <c r="S48" s="10">
        <v>1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8">
        <v>17570713</v>
      </c>
      <c r="B49" s="8" t="s">
        <v>81</v>
      </c>
      <c r="C49" s="8" t="s">
        <v>25</v>
      </c>
      <c r="D49" s="8" t="s">
        <v>442</v>
      </c>
      <c r="E49" s="8" t="s">
        <v>26</v>
      </c>
      <c r="F49" s="8" t="s">
        <v>27</v>
      </c>
      <c r="G49" s="12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9">
        <f t="shared" si="3"/>
        <v>0</v>
      </c>
      <c r="P49" s="10">
        <v>5</v>
      </c>
      <c r="Q49" s="1">
        <f t="shared" si="4"/>
        <v>1</v>
      </c>
      <c r="R49" s="10">
        <v>22</v>
      </c>
      <c r="S49" s="10">
        <v>5</v>
      </c>
      <c r="T49" s="10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8">
        <v>17681325</v>
      </c>
      <c r="B50" s="8" t="s">
        <v>166</v>
      </c>
      <c r="C50" s="8" t="s">
        <v>25</v>
      </c>
      <c r="D50" s="8" t="s">
        <v>442</v>
      </c>
      <c r="E50" s="8" t="s">
        <v>26</v>
      </c>
      <c r="F50" s="8" t="s">
        <v>27</v>
      </c>
      <c r="G50" s="12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1164000</v>
      </c>
      <c r="N50" s="6">
        <f t="shared" si="2"/>
        <v>1</v>
      </c>
      <c r="O50" s="9">
        <f t="shared" si="3"/>
        <v>9.9033523088801909E-2</v>
      </c>
      <c r="P50" s="10">
        <v>1</v>
      </c>
      <c r="Q50" s="1">
        <f t="shared" si="4"/>
        <v>0</v>
      </c>
      <c r="R50" s="10">
        <v>9</v>
      </c>
      <c r="S50" s="10">
        <v>1</v>
      </c>
      <c r="T50" s="10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8">
        <v>17681335</v>
      </c>
      <c r="B51" s="8" t="s">
        <v>379</v>
      </c>
      <c r="C51" s="8" t="s">
        <v>25</v>
      </c>
      <c r="D51" s="8" t="s">
        <v>442</v>
      </c>
      <c r="E51" s="8" t="s">
        <v>26</v>
      </c>
      <c r="F51" s="8" t="s">
        <v>27</v>
      </c>
      <c r="G51" s="12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1549000</v>
      </c>
      <c r="N51" s="6">
        <f t="shared" si="2"/>
        <v>1</v>
      </c>
      <c r="O51" s="9">
        <f t="shared" si="3"/>
        <v>0.30293341585732791</v>
      </c>
      <c r="P51" s="10">
        <v>0</v>
      </c>
      <c r="Q51" s="1">
        <f t="shared" si="4"/>
        <v>0</v>
      </c>
      <c r="R51" s="10">
        <v>8</v>
      </c>
      <c r="S51" s="10">
        <v>0</v>
      </c>
      <c r="T51" s="10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8">
        <v>17564305</v>
      </c>
      <c r="B52" s="8" t="s">
        <v>24</v>
      </c>
      <c r="C52" s="8" t="s">
        <v>25</v>
      </c>
      <c r="D52" s="8" t="s">
        <v>444</v>
      </c>
      <c r="E52" s="8" t="s">
        <v>26</v>
      </c>
      <c r="F52" s="8" t="s">
        <v>27</v>
      </c>
      <c r="G52" s="12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2364000</v>
      </c>
      <c r="N52" s="6">
        <f t="shared" si="2"/>
        <v>1</v>
      </c>
      <c r="O52" s="9">
        <f t="shared" si="3"/>
        <v>2.0931583121866115</v>
      </c>
      <c r="P52" s="10">
        <v>5</v>
      </c>
      <c r="Q52" s="1">
        <f t="shared" si="4"/>
        <v>1</v>
      </c>
      <c r="R52" s="10">
        <v>7</v>
      </c>
      <c r="S52" s="10">
        <v>5</v>
      </c>
      <c r="T52" s="10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8">
        <v>17497275</v>
      </c>
      <c r="B53" s="8" t="s">
        <v>301</v>
      </c>
      <c r="C53" s="8" t="s">
        <v>25</v>
      </c>
      <c r="D53" s="8" t="s">
        <v>440</v>
      </c>
      <c r="E53" s="8" t="s">
        <v>22</v>
      </c>
      <c r="F53" s="8" t="s">
        <v>73</v>
      </c>
      <c r="G53" s="12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9">
        <f t="shared" si="3"/>
        <v>0.16160675363612739</v>
      </c>
      <c r="P53" s="10">
        <v>0</v>
      </c>
      <c r="Q53" s="1">
        <f t="shared" si="4"/>
        <v>0</v>
      </c>
      <c r="R53" s="10">
        <v>9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8">
        <v>17754764</v>
      </c>
      <c r="B54" s="8" t="s">
        <v>197</v>
      </c>
      <c r="C54" s="8" t="s">
        <v>25</v>
      </c>
      <c r="D54" s="8" t="s">
        <v>442</v>
      </c>
      <c r="E54" s="8" t="s">
        <v>26</v>
      </c>
      <c r="F54" s="8" t="s">
        <v>73</v>
      </c>
      <c r="G54" s="12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7999000</v>
      </c>
      <c r="N54" s="6">
        <f t="shared" si="2"/>
        <v>1</v>
      </c>
      <c r="O54" s="9">
        <f t="shared" si="3"/>
        <v>0.89004268253524754</v>
      </c>
      <c r="P54" s="10">
        <v>1</v>
      </c>
      <c r="Q54" s="1">
        <f t="shared" si="4"/>
        <v>0</v>
      </c>
      <c r="R54" s="10">
        <v>7</v>
      </c>
      <c r="S54" s="10">
        <v>2</v>
      </c>
      <c r="T54" s="10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17133724</v>
      </c>
      <c r="B55" s="8" t="s">
        <v>195</v>
      </c>
      <c r="C55" s="8" t="s">
        <v>25</v>
      </c>
      <c r="D55" s="8" t="s">
        <v>440</v>
      </c>
      <c r="E55" s="8" t="s">
        <v>22</v>
      </c>
      <c r="F55" s="8" t="s">
        <v>73</v>
      </c>
      <c r="G55" s="12" t="s">
        <v>443</v>
      </c>
      <c r="H55" s="7">
        <v>4.6483805077327114</v>
      </c>
      <c r="I55" s="1">
        <v>6</v>
      </c>
      <c r="J55" s="1">
        <f t="shared" si="0"/>
        <v>1</v>
      </c>
      <c r="K55" s="5">
        <f t="shared" si="1"/>
        <v>1.2907721280602635</v>
      </c>
      <c r="L55" s="2">
        <v>3846582.3800694668</v>
      </c>
      <c r="M55" s="2">
        <v>2279500</v>
      </c>
      <c r="N55" s="6">
        <f t="shared" si="2"/>
        <v>1</v>
      </c>
      <c r="O55" s="9">
        <f t="shared" si="3"/>
        <v>0.59260397276577592</v>
      </c>
      <c r="P55" s="10">
        <v>3</v>
      </c>
      <c r="Q55" s="1">
        <f t="shared" si="4"/>
        <v>1</v>
      </c>
      <c r="R55" s="10">
        <v>7</v>
      </c>
      <c r="S55" s="10">
        <v>4</v>
      </c>
      <c r="T55" s="10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13">
        <v>17613115</v>
      </c>
      <c r="B56" s="13" t="s">
        <v>470</v>
      </c>
      <c r="C56" s="8" t="s">
        <v>25</v>
      </c>
      <c r="D56" s="8" t="s">
        <v>440</v>
      </c>
      <c r="E56" s="8" t="s">
        <v>26</v>
      </c>
      <c r="F56" s="26" t="s">
        <v>73</v>
      </c>
      <c r="G56" s="25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9">
        <f t="shared" si="3"/>
        <v>0</v>
      </c>
      <c r="P56" s="10">
        <v>2</v>
      </c>
      <c r="Q56" s="1">
        <f t="shared" si="4"/>
        <v>0</v>
      </c>
      <c r="R56" s="10">
        <v>5</v>
      </c>
      <c r="S56" s="10">
        <v>2</v>
      </c>
      <c r="T56" s="10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17703938</v>
      </c>
      <c r="B57" s="8" t="s">
        <v>402</v>
      </c>
      <c r="C57" s="8" t="s">
        <v>25</v>
      </c>
      <c r="D57" s="8" t="s">
        <v>442</v>
      </c>
      <c r="E57" s="8" t="s">
        <v>26</v>
      </c>
      <c r="F57" s="8" t="s">
        <v>98</v>
      </c>
      <c r="G57" s="12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2774500</v>
      </c>
      <c r="N57" s="6">
        <f t="shared" si="2"/>
        <v>1</v>
      </c>
      <c r="O57" s="9">
        <f t="shared" si="3"/>
        <v>0.18301340540901365</v>
      </c>
      <c r="P57" s="10">
        <v>2</v>
      </c>
      <c r="Q57" s="1">
        <f t="shared" si="4"/>
        <v>0</v>
      </c>
      <c r="R57" s="10">
        <v>9</v>
      </c>
      <c r="S57" s="10">
        <v>2</v>
      </c>
      <c r="T57" s="10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8">
        <v>17703945</v>
      </c>
      <c r="B58" s="8" t="s">
        <v>382</v>
      </c>
      <c r="C58" s="8" t="s">
        <v>25</v>
      </c>
      <c r="D58" s="8" t="s">
        <v>440</v>
      </c>
      <c r="E58" s="8" t="s">
        <v>26</v>
      </c>
      <c r="F58" s="8" t="s">
        <v>98</v>
      </c>
      <c r="G58" s="12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2037500</v>
      </c>
      <c r="N58" s="6">
        <f t="shared" si="2"/>
        <v>1</v>
      </c>
      <c r="O58" s="9">
        <f t="shared" si="3"/>
        <v>1.0760070090244647</v>
      </c>
      <c r="P58" s="10">
        <v>2</v>
      </c>
      <c r="Q58" s="1">
        <f t="shared" si="4"/>
        <v>0</v>
      </c>
      <c r="R58" s="10">
        <v>11</v>
      </c>
      <c r="S58" s="10">
        <v>3</v>
      </c>
      <c r="T58" s="10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8">
        <v>17703957</v>
      </c>
      <c r="B59" s="8" t="s">
        <v>386</v>
      </c>
      <c r="C59" s="8" t="s">
        <v>25</v>
      </c>
      <c r="D59" s="8" t="s">
        <v>440</v>
      </c>
      <c r="E59" s="8" t="s">
        <v>26</v>
      </c>
      <c r="F59" s="8" t="s">
        <v>98</v>
      </c>
      <c r="G59" s="12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1799000</v>
      </c>
      <c r="N59" s="6">
        <f t="shared" si="2"/>
        <v>1</v>
      </c>
      <c r="O59" s="9">
        <f t="shared" si="3"/>
        <v>0.33782715233402977</v>
      </c>
      <c r="P59" s="10">
        <v>2</v>
      </c>
      <c r="Q59" s="1">
        <f t="shared" si="4"/>
        <v>0</v>
      </c>
      <c r="R59" s="10">
        <v>8</v>
      </c>
      <c r="S59" s="10">
        <v>2</v>
      </c>
      <c r="T59" s="10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8">
        <v>17703961</v>
      </c>
      <c r="B60" s="8" t="s">
        <v>97</v>
      </c>
      <c r="C60" s="8" t="s">
        <v>25</v>
      </c>
      <c r="D60" s="8" t="s">
        <v>442</v>
      </c>
      <c r="E60" s="8" t="s">
        <v>26</v>
      </c>
      <c r="F60" s="8" t="s">
        <v>98</v>
      </c>
      <c r="G60" s="12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2153000</v>
      </c>
      <c r="N60" s="6">
        <f t="shared" si="2"/>
        <v>1</v>
      </c>
      <c r="O60" s="9">
        <f t="shared" si="3"/>
        <v>1.137649993907929</v>
      </c>
      <c r="P60" s="10">
        <v>1</v>
      </c>
      <c r="Q60" s="1">
        <f t="shared" si="4"/>
        <v>0</v>
      </c>
      <c r="R60" s="10">
        <v>7</v>
      </c>
      <c r="S60" s="10">
        <v>1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17680832</v>
      </c>
      <c r="B61" s="8" t="s">
        <v>49</v>
      </c>
      <c r="C61" s="8" t="s">
        <v>25</v>
      </c>
      <c r="D61" s="8" t="s">
        <v>440</v>
      </c>
      <c r="E61" s="8" t="s">
        <v>22</v>
      </c>
      <c r="F61" s="8" t="s">
        <v>50</v>
      </c>
      <c r="G61" s="12" t="s">
        <v>443</v>
      </c>
      <c r="H61" s="7">
        <v>9.9165450831630899</v>
      </c>
      <c r="I61" s="1">
        <v>55</v>
      </c>
      <c r="J61" s="1">
        <f t="shared" si="0"/>
        <v>1</v>
      </c>
      <c r="K61" s="5">
        <f t="shared" si="1"/>
        <v>5.5462864877589606</v>
      </c>
      <c r="L61" s="2">
        <v>1708993.6560472909</v>
      </c>
      <c r="M61" s="2">
        <v>3835000</v>
      </c>
      <c r="N61" s="6">
        <f t="shared" si="2"/>
        <v>1</v>
      </c>
      <c r="O61" s="9">
        <f t="shared" si="3"/>
        <v>2.2440106705076492</v>
      </c>
      <c r="P61" s="10">
        <v>1</v>
      </c>
      <c r="Q61" s="1">
        <f t="shared" si="4"/>
        <v>0</v>
      </c>
      <c r="R61" s="10">
        <v>12</v>
      </c>
      <c r="S61" s="10">
        <v>1</v>
      </c>
      <c r="T61" s="10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8">
        <v>17564519</v>
      </c>
      <c r="B62" s="8" t="s">
        <v>160</v>
      </c>
      <c r="C62" s="8" t="s">
        <v>25</v>
      </c>
      <c r="D62" s="8" t="s">
        <v>442</v>
      </c>
      <c r="E62" s="8" t="s">
        <v>26</v>
      </c>
      <c r="F62" s="8" t="s">
        <v>50</v>
      </c>
      <c r="G62" s="12" t="s">
        <v>443</v>
      </c>
      <c r="H62" s="7">
        <v>6.5077327108257919</v>
      </c>
      <c r="I62" s="1">
        <v>53</v>
      </c>
      <c r="J62" s="1">
        <f t="shared" si="0"/>
        <v>1</v>
      </c>
      <c r="K62" s="5">
        <f t="shared" si="1"/>
        <v>8.1441574746659526</v>
      </c>
      <c r="L62" s="2">
        <v>8778029.1927757934</v>
      </c>
      <c r="M62" s="2">
        <v>3405000</v>
      </c>
      <c r="N62" s="6">
        <f t="shared" si="2"/>
        <v>1</v>
      </c>
      <c r="O62" s="9">
        <f t="shared" si="3"/>
        <v>0.38790028208179939</v>
      </c>
      <c r="P62" s="10">
        <v>1</v>
      </c>
      <c r="Q62" s="1">
        <f t="shared" si="4"/>
        <v>0</v>
      </c>
      <c r="R62" s="10">
        <v>9</v>
      </c>
      <c r="S62" s="10">
        <v>1</v>
      </c>
      <c r="T62" s="10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8">
        <v>17771119</v>
      </c>
      <c r="B63" s="8" t="s">
        <v>249</v>
      </c>
      <c r="C63" s="8" t="s">
        <v>25</v>
      </c>
      <c r="D63" s="8" t="s">
        <v>440</v>
      </c>
      <c r="E63" s="8" t="s">
        <v>22</v>
      </c>
      <c r="F63" s="8" t="s">
        <v>50</v>
      </c>
      <c r="G63" s="12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1069000</v>
      </c>
      <c r="N63" s="6">
        <f t="shared" si="2"/>
        <v>1</v>
      </c>
      <c r="O63" s="9">
        <f t="shared" si="3"/>
        <v>9.3285156715249604E-2</v>
      </c>
      <c r="P63" s="10">
        <v>0</v>
      </c>
      <c r="Q63" s="1">
        <f t="shared" si="4"/>
        <v>0</v>
      </c>
      <c r="R63" s="10">
        <v>8</v>
      </c>
      <c r="S63" s="10">
        <v>0</v>
      </c>
      <c r="T63" s="10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8">
        <v>17680842</v>
      </c>
      <c r="B64" s="8" t="s">
        <v>321</v>
      </c>
      <c r="C64" s="8" t="s">
        <v>25</v>
      </c>
      <c r="D64" s="8" t="s">
        <v>440</v>
      </c>
      <c r="E64" s="8" t="s">
        <v>26</v>
      </c>
      <c r="F64" s="8" t="s">
        <v>50</v>
      </c>
      <c r="G64" s="12" t="s">
        <v>443</v>
      </c>
      <c r="H64" s="7">
        <v>4.9582725415815601</v>
      </c>
      <c r="I64" s="1">
        <v>56</v>
      </c>
      <c r="J64" s="4">
        <f t="shared" si="0"/>
        <v>1</v>
      </c>
      <c r="K64" s="5">
        <f t="shared" si="1"/>
        <v>11.294256120527303</v>
      </c>
      <c r="L64" s="2">
        <v>4394401.2122401176</v>
      </c>
      <c r="M64" s="2">
        <v>11240500</v>
      </c>
      <c r="N64" s="6">
        <f t="shared" si="2"/>
        <v>1</v>
      </c>
      <c r="O64" s="9">
        <f t="shared" si="3"/>
        <v>2.5579139129788224</v>
      </c>
      <c r="P64" s="10">
        <v>3</v>
      </c>
      <c r="Q64" s="1">
        <f t="shared" si="4"/>
        <v>1</v>
      </c>
      <c r="R64" s="10">
        <v>7</v>
      </c>
      <c r="S64" s="10">
        <v>3</v>
      </c>
      <c r="T64" s="10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8">
        <v>17745379</v>
      </c>
      <c r="B65" s="8" t="s">
        <v>253</v>
      </c>
      <c r="C65" s="8" t="s">
        <v>25</v>
      </c>
      <c r="D65" s="8" t="s">
        <v>440</v>
      </c>
      <c r="E65" s="8" t="s">
        <v>22</v>
      </c>
      <c r="F65" s="8" t="s">
        <v>50</v>
      </c>
      <c r="G65" s="12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8625000</v>
      </c>
      <c r="N65" s="6">
        <f t="shared" si="2"/>
        <v>1</v>
      </c>
      <c r="O65" s="9">
        <f t="shared" si="3"/>
        <v>4.1225305025960841</v>
      </c>
      <c r="P65" s="10">
        <v>2</v>
      </c>
      <c r="Q65" s="1">
        <f t="shared" si="4"/>
        <v>0</v>
      </c>
      <c r="R65" s="10">
        <v>6</v>
      </c>
      <c r="S65" s="10">
        <v>3</v>
      </c>
      <c r="T65" s="10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8">
        <v>17681290</v>
      </c>
      <c r="B66" s="8" t="s">
        <v>280</v>
      </c>
      <c r="C66" s="8" t="s">
        <v>25</v>
      </c>
      <c r="D66" s="8" t="s">
        <v>442</v>
      </c>
      <c r="E66" s="8" t="s">
        <v>26</v>
      </c>
      <c r="F66" s="8" t="s">
        <v>281</v>
      </c>
      <c r="G66" s="12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6172000</v>
      </c>
      <c r="N66" s="6">
        <f t="shared" si="2"/>
        <v>1</v>
      </c>
      <c r="O66" s="9">
        <f t="shared" si="3"/>
        <v>1.2991944455323416</v>
      </c>
      <c r="P66" s="10">
        <v>0</v>
      </c>
      <c r="Q66" s="1">
        <f t="shared" si="4"/>
        <v>0</v>
      </c>
      <c r="R66" s="10">
        <v>10</v>
      </c>
      <c r="S66" s="10">
        <v>0</v>
      </c>
      <c r="T66" s="10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17362939</v>
      </c>
      <c r="B67" s="8" t="s">
        <v>41</v>
      </c>
      <c r="C67" s="8" t="s">
        <v>25</v>
      </c>
      <c r="D67" s="8" t="s">
        <v>440</v>
      </c>
      <c r="E67" s="8" t="s">
        <v>22</v>
      </c>
      <c r="F67" s="8" t="s">
        <v>42</v>
      </c>
      <c r="G67" s="12" t="s">
        <v>443</v>
      </c>
      <c r="H67" s="7">
        <v>22</v>
      </c>
      <c r="I67" s="1">
        <v>56</v>
      </c>
      <c r="J67" s="4">
        <f t="shared" si="0"/>
        <v>1</v>
      </c>
      <c r="K67" s="5">
        <f t="shared" si="1"/>
        <v>2.5454545454545454</v>
      </c>
      <c r="L67" s="2">
        <v>12700562.85636154</v>
      </c>
      <c r="M67" s="2">
        <v>3536500</v>
      </c>
      <c r="N67" s="6">
        <f t="shared" si="2"/>
        <v>1</v>
      </c>
      <c r="O67" s="9">
        <f t="shared" si="3"/>
        <v>0.27845222609394943</v>
      </c>
      <c r="P67" s="10">
        <v>0</v>
      </c>
      <c r="Q67" s="1">
        <f t="shared" si="4"/>
        <v>0</v>
      </c>
      <c r="R67" s="10">
        <v>14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8">
        <v>17678771</v>
      </c>
      <c r="B68" s="8" t="s">
        <v>345</v>
      </c>
      <c r="C68" s="8" t="s">
        <v>25</v>
      </c>
      <c r="D68" s="8" t="s">
        <v>444</v>
      </c>
      <c r="E68" s="8" t="s">
        <v>26</v>
      </c>
      <c r="F68" s="8" t="s">
        <v>42</v>
      </c>
      <c r="G68" s="12" t="s">
        <v>443</v>
      </c>
      <c r="H68" s="7">
        <v>8.3670849139188501</v>
      </c>
      <c r="I68" s="1">
        <v>16</v>
      </c>
      <c r="J68" s="1">
        <f t="shared" si="0"/>
        <v>1</v>
      </c>
      <c r="K68" s="5">
        <f t="shared" si="1"/>
        <v>1.9122550045337305</v>
      </c>
      <c r="L68" s="2">
        <v>11418548.28353346</v>
      </c>
      <c r="M68" s="2">
        <v>5310500</v>
      </c>
      <c r="N68" s="6">
        <f t="shared" si="2"/>
        <v>1</v>
      </c>
      <c r="O68" s="9">
        <f t="shared" si="3"/>
        <v>0.46507663392361387</v>
      </c>
      <c r="P68" s="10">
        <v>5</v>
      </c>
      <c r="Q68" s="1">
        <f t="shared" si="4"/>
        <v>1</v>
      </c>
      <c r="R68" s="10">
        <v>11</v>
      </c>
      <c r="S68" s="10">
        <v>5</v>
      </c>
      <c r="T68" s="10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8">
        <v>17483035</v>
      </c>
      <c r="B69" s="8" t="s">
        <v>426</v>
      </c>
      <c r="C69" s="8" t="s">
        <v>25</v>
      </c>
      <c r="D69" s="8" t="s">
        <v>440</v>
      </c>
      <c r="E69" s="8" t="s">
        <v>22</v>
      </c>
      <c r="F69" s="8" t="s">
        <v>42</v>
      </c>
      <c r="G69" s="12" t="s">
        <v>443</v>
      </c>
      <c r="H69" s="7">
        <v>6.8176247446746396</v>
      </c>
      <c r="I69" s="1">
        <v>56</v>
      </c>
      <c r="J69" s="1">
        <f t="shared" si="0"/>
        <v>1</v>
      </c>
      <c r="K69" s="5">
        <f t="shared" si="1"/>
        <v>8.21400445129259</v>
      </c>
      <c r="L69" s="2">
        <v>8134149.0445738966</v>
      </c>
      <c r="M69" s="2">
        <v>4016500</v>
      </c>
      <c r="N69" s="6">
        <f t="shared" si="2"/>
        <v>1</v>
      </c>
      <c r="O69" s="9">
        <f t="shared" si="3"/>
        <v>0.49378244460363246</v>
      </c>
      <c r="P69" s="10">
        <v>0</v>
      </c>
      <c r="Q69" s="1">
        <f t="shared" si="4"/>
        <v>0</v>
      </c>
      <c r="R69" s="10">
        <v>9</v>
      </c>
      <c r="S69" s="10">
        <v>0</v>
      </c>
      <c r="T69" s="10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8">
        <v>17745424</v>
      </c>
      <c r="B70" s="8" t="s">
        <v>115</v>
      </c>
      <c r="C70" s="8" t="s">
        <v>25</v>
      </c>
      <c r="D70" s="8" t="s">
        <v>440</v>
      </c>
      <c r="E70" s="8" t="s">
        <v>22</v>
      </c>
      <c r="F70" s="8" t="s">
        <v>42</v>
      </c>
      <c r="G70" s="12" t="s">
        <v>443</v>
      </c>
      <c r="H70" s="7">
        <v>6.8176247446746396</v>
      </c>
      <c r="I70" s="1">
        <v>26</v>
      </c>
      <c r="J70" s="4">
        <f t="shared" ref="J70:J91" si="5">IF(I70&gt;=3,1,0)</f>
        <v>1</v>
      </c>
      <c r="K70" s="5">
        <f t="shared" ref="K70:K91" si="6">I70/H70</f>
        <v>3.813644923814417</v>
      </c>
      <c r="L70" s="2">
        <v>2473533.999338889</v>
      </c>
      <c r="M70" s="2">
        <v>5600500</v>
      </c>
      <c r="N70" s="6">
        <f t="shared" ref="N70:N91" si="7">IF(M70&gt;=300000,1,0)</f>
        <v>1</v>
      </c>
      <c r="O70" s="9">
        <f t="shared" ref="O70:O91" si="8">M70/L70</f>
        <v>2.2641694035727293</v>
      </c>
      <c r="P70" s="10">
        <v>0</v>
      </c>
      <c r="Q70" s="1">
        <f t="shared" ref="Q70:Q91" si="9">IF(P70&gt;=3,1,0)</f>
        <v>0</v>
      </c>
      <c r="R70" s="10">
        <v>9</v>
      </c>
      <c r="S70" s="10">
        <v>0</v>
      </c>
      <c r="T70" s="10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8">
        <v>17745417</v>
      </c>
      <c r="B71" s="8" t="s">
        <v>43</v>
      </c>
      <c r="C71" s="8" t="s">
        <v>25</v>
      </c>
      <c r="D71" s="8" t="s">
        <v>440</v>
      </c>
      <c r="E71" s="8" t="s">
        <v>22</v>
      </c>
      <c r="F71" s="8" t="s">
        <v>42</v>
      </c>
      <c r="G71" s="12" t="s">
        <v>443</v>
      </c>
      <c r="H71" s="7">
        <v>6.5077327108257919</v>
      </c>
      <c r="I71" s="1">
        <v>26</v>
      </c>
      <c r="J71" s="1">
        <f t="shared" si="5"/>
        <v>1</v>
      </c>
      <c r="K71" s="5">
        <f t="shared" si="6"/>
        <v>3.9952470630436752</v>
      </c>
      <c r="L71" s="2">
        <v>2241909.517693473</v>
      </c>
      <c r="M71" s="2">
        <v>3199500</v>
      </c>
      <c r="N71" s="6">
        <f t="shared" si="7"/>
        <v>1</v>
      </c>
      <c r="O71" s="9">
        <f t="shared" si="8"/>
        <v>1.4271316370036724</v>
      </c>
      <c r="P71" s="10">
        <v>0</v>
      </c>
      <c r="Q71" s="1">
        <f t="shared" si="9"/>
        <v>0</v>
      </c>
      <c r="R71" s="10">
        <v>9</v>
      </c>
      <c r="S71" s="10">
        <v>0</v>
      </c>
      <c r="T71" s="10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8">
        <v>17232911</v>
      </c>
      <c r="B72" s="8" t="s">
        <v>248</v>
      </c>
      <c r="C72" s="8" t="s">
        <v>25</v>
      </c>
      <c r="D72" s="8" t="s">
        <v>440</v>
      </c>
      <c r="E72" s="8" t="s">
        <v>22</v>
      </c>
      <c r="F72" s="8" t="s">
        <v>42</v>
      </c>
      <c r="G72" s="12" t="s">
        <v>443</v>
      </c>
      <c r="H72" s="7">
        <v>4.6483805077327114</v>
      </c>
      <c r="I72" s="1">
        <v>58</v>
      </c>
      <c r="J72" s="1">
        <f t="shared" si="5"/>
        <v>1</v>
      </c>
      <c r="K72" s="5">
        <f t="shared" si="6"/>
        <v>12.477463904582548</v>
      </c>
      <c r="L72" s="2">
        <v>13704268.94349164</v>
      </c>
      <c r="M72" s="2">
        <v>14656500</v>
      </c>
      <c r="N72" s="6">
        <f t="shared" si="7"/>
        <v>1</v>
      </c>
      <c r="O72" s="9">
        <f t="shared" si="8"/>
        <v>1.0694842651173004</v>
      </c>
      <c r="P72" s="10">
        <v>0</v>
      </c>
      <c r="Q72" s="1">
        <f t="shared" si="9"/>
        <v>0</v>
      </c>
      <c r="R72" s="10">
        <v>7</v>
      </c>
      <c r="S72" s="10">
        <v>0</v>
      </c>
      <c r="T72" s="10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8">
        <v>17244951</v>
      </c>
      <c r="B73" s="8" t="s">
        <v>63</v>
      </c>
      <c r="C73" s="8" t="s">
        <v>25</v>
      </c>
      <c r="D73" s="8" t="s">
        <v>444</v>
      </c>
      <c r="E73" s="8" t="s">
        <v>26</v>
      </c>
      <c r="F73" s="8" t="s">
        <v>42</v>
      </c>
      <c r="G73" s="12" t="s">
        <v>443</v>
      </c>
      <c r="H73" s="7">
        <v>4</v>
      </c>
      <c r="I73" s="1">
        <v>26</v>
      </c>
      <c r="J73" s="1">
        <f t="shared" si="5"/>
        <v>1</v>
      </c>
      <c r="K73" s="5">
        <f t="shared" si="6"/>
        <v>6.5</v>
      </c>
      <c r="L73" s="2">
        <v>8662935.1674000528</v>
      </c>
      <c r="M73" s="2">
        <v>2160500</v>
      </c>
      <c r="N73" s="6">
        <f t="shared" si="7"/>
        <v>1</v>
      </c>
      <c r="O73" s="9">
        <f t="shared" si="8"/>
        <v>0.24939584081504976</v>
      </c>
      <c r="P73" s="10">
        <v>3</v>
      </c>
      <c r="Q73" s="1">
        <f t="shared" si="9"/>
        <v>1</v>
      </c>
      <c r="R73" s="10">
        <v>6</v>
      </c>
      <c r="S73" s="10">
        <v>3</v>
      </c>
      <c r="T73" s="10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8">
        <v>17232965</v>
      </c>
      <c r="B74" s="8" t="s">
        <v>169</v>
      </c>
      <c r="C74" s="8" t="s">
        <v>25</v>
      </c>
      <c r="D74" s="8" t="s">
        <v>440</v>
      </c>
      <c r="E74" s="8" t="s">
        <v>22</v>
      </c>
      <c r="F74" s="8" t="s">
        <v>42</v>
      </c>
      <c r="G74" s="12" t="s">
        <v>443</v>
      </c>
      <c r="H74" s="7">
        <v>4</v>
      </c>
      <c r="I74" s="1">
        <v>27</v>
      </c>
      <c r="J74" s="4">
        <f t="shared" si="5"/>
        <v>1</v>
      </c>
      <c r="K74" s="5">
        <f t="shared" si="6"/>
        <v>6.75</v>
      </c>
      <c r="L74" s="2">
        <v>5655946.6448297696</v>
      </c>
      <c r="M74" s="2">
        <v>2260500</v>
      </c>
      <c r="N74" s="6">
        <f t="shared" si="7"/>
        <v>1</v>
      </c>
      <c r="O74" s="9">
        <f t="shared" si="8"/>
        <v>0.39966784376694481</v>
      </c>
      <c r="P74" s="10">
        <v>4</v>
      </c>
      <c r="Q74" s="1">
        <f t="shared" si="9"/>
        <v>1</v>
      </c>
      <c r="R74" s="10">
        <v>6</v>
      </c>
      <c r="S74" s="10">
        <v>4</v>
      </c>
      <c r="T74" s="10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8">
        <v>17764364</v>
      </c>
      <c r="B75" s="8" t="s">
        <v>136</v>
      </c>
      <c r="C75" s="8" t="s">
        <v>25</v>
      </c>
      <c r="D75" s="8" t="s">
        <v>444</v>
      </c>
      <c r="E75" s="8" t="s">
        <v>26</v>
      </c>
      <c r="F75" s="8" t="s">
        <v>137</v>
      </c>
      <c r="G75" s="12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9">
        <f t="shared" si="8"/>
        <v>0.25586167312220837</v>
      </c>
      <c r="P75" s="10">
        <v>0</v>
      </c>
      <c r="Q75" s="1">
        <f t="shared" si="9"/>
        <v>0</v>
      </c>
      <c r="R75" s="10">
        <v>7</v>
      </c>
      <c r="S75" s="10">
        <v>0</v>
      </c>
      <c r="T75" s="10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8">
        <v>17222435</v>
      </c>
      <c r="B76" s="8" t="s">
        <v>366</v>
      </c>
      <c r="C76" s="8" t="s">
        <v>25</v>
      </c>
      <c r="D76" s="8" t="s">
        <v>440</v>
      </c>
      <c r="E76" s="8" t="s">
        <v>22</v>
      </c>
      <c r="F76" s="8" t="s">
        <v>234</v>
      </c>
      <c r="G76" s="12" t="s">
        <v>443</v>
      </c>
      <c r="H76" s="7">
        <v>10.536329150860819</v>
      </c>
      <c r="I76" s="1">
        <v>13</v>
      </c>
      <c r="J76" s="1">
        <f t="shared" si="5"/>
        <v>1</v>
      </c>
      <c r="K76" s="5">
        <f t="shared" si="6"/>
        <v>1.2338262988811335</v>
      </c>
      <c r="L76" s="2">
        <v>3680495.057959374</v>
      </c>
      <c r="M76" s="2">
        <v>2761500</v>
      </c>
      <c r="N76" s="6">
        <f t="shared" si="7"/>
        <v>1</v>
      </c>
      <c r="O76" s="9">
        <f t="shared" si="8"/>
        <v>0.75030667247549443</v>
      </c>
      <c r="P76" s="10">
        <v>9</v>
      </c>
      <c r="Q76" s="1">
        <f t="shared" si="9"/>
        <v>1</v>
      </c>
      <c r="R76" s="10">
        <v>13</v>
      </c>
      <c r="S76" s="10">
        <v>10</v>
      </c>
      <c r="T76" s="10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8">
        <v>1529317</v>
      </c>
      <c r="B77" s="8" t="s">
        <v>240</v>
      </c>
      <c r="C77" s="8" t="s">
        <v>25</v>
      </c>
      <c r="D77" s="8" t="s">
        <v>440</v>
      </c>
      <c r="E77" s="8" t="s">
        <v>22</v>
      </c>
      <c r="F77" s="8" t="s">
        <v>234</v>
      </c>
      <c r="G77" s="12" t="s">
        <v>443</v>
      </c>
      <c r="H77" s="7">
        <v>7.4374088123723361</v>
      </c>
      <c r="I77" s="1">
        <v>13</v>
      </c>
      <c r="J77" s="1">
        <f t="shared" si="5"/>
        <v>1</v>
      </c>
      <c r="K77" s="5">
        <f t="shared" si="6"/>
        <v>1.7479205900816073</v>
      </c>
      <c r="L77" s="2">
        <v>16163438.633891329</v>
      </c>
      <c r="M77" s="2">
        <v>4406500</v>
      </c>
      <c r="N77" s="6">
        <f t="shared" si="7"/>
        <v>1</v>
      </c>
      <c r="O77" s="9">
        <f t="shared" si="8"/>
        <v>0.27262144521404602</v>
      </c>
      <c r="P77" s="10">
        <v>0</v>
      </c>
      <c r="Q77" s="1">
        <f t="shared" si="9"/>
        <v>0</v>
      </c>
      <c r="R77" s="10">
        <v>10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8">
        <v>17602077</v>
      </c>
      <c r="B78" s="8" t="s">
        <v>414</v>
      </c>
      <c r="C78" s="8" t="s">
        <v>25</v>
      </c>
      <c r="D78" s="8" t="s">
        <v>440</v>
      </c>
      <c r="E78" s="8" t="s">
        <v>22</v>
      </c>
      <c r="F78" s="8" t="s">
        <v>234</v>
      </c>
      <c r="G78" s="12" t="s">
        <v>443</v>
      </c>
      <c r="H78" s="7">
        <v>5.8879486431280963</v>
      </c>
      <c r="I78" s="1">
        <v>11</v>
      </c>
      <c r="J78" s="1">
        <f t="shared" si="5"/>
        <v>1</v>
      </c>
      <c r="K78" s="5">
        <f t="shared" si="6"/>
        <v>1.8682228169293302</v>
      </c>
      <c r="L78" s="2">
        <v>5493091.2922310065</v>
      </c>
      <c r="M78" s="2">
        <v>2269000</v>
      </c>
      <c r="N78" s="6">
        <f t="shared" si="7"/>
        <v>1</v>
      </c>
      <c r="O78" s="9">
        <f t="shared" si="8"/>
        <v>0.41306431648225</v>
      </c>
      <c r="P78" s="10">
        <v>13</v>
      </c>
      <c r="Q78" s="1">
        <f t="shared" si="9"/>
        <v>1</v>
      </c>
      <c r="R78" s="10">
        <v>8</v>
      </c>
      <c r="S78" s="10">
        <v>13</v>
      </c>
      <c r="T78" s="10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8">
        <v>17706331</v>
      </c>
      <c r="B79" s="8" t="s">
        <v>241</v>
      </c>
      <c r="C79" s="8" t="s">
        <v>25</v>
      </c>
      <c r="D79" s="8" t="s">
        <v>440</v>
      </c>
      <c r="E79" s="8" t="s">
        <v>22</v>
      </c>
      <c r="F79" s="8" t="s">
        <v>234</v>
      </c>
      <c r="G79" s="12" t="s">
        <v>443</v>
      </c>
      <c r="H79" s="7">
        <v>5.8879486431280963</v>
      </c>
      <c r="I79" s="1">
        <v>13</v>
      </c>
      <c r="J79" s="1">
        <f t="shared" si="5"/>
        <v>1</v>
      </c>
      <c r="K79" s="5">
        <f t="shared" si="6"/>
        <v>2.2078996927346632</v>
      </c>
      <c r="L79" s="2">
        <v>4970050.8929805709</v>
      </c>
      <c r="M79" s="2">
        <v>11906500</v>
      </c>
      <c r="N79" s="6">
        <f t="shared" si="7"/>
        <v>1</v>
      </c>
      <c r="O79" s="9">
        <f t="shared" si="8"/>
        <v>2.3956495127275441</v>
      </c>
      <c r="P79" s="10">
        <v>0</v>
      </c>
      <c r="Q79" s="1">
        <f t="shared" si="9"/>
        <v>0</v>
      </c>
      <c r="R79" s="10">
        <v>8</v>
      </c>
      <c r="S79" s="10">
        <v>0</v>
      </c>
      <c r="T79" s="10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8">
        <v>17694207</v>
      </c>
      <c r="B80" s="8" t="s">
        <v>266</v>
      </c>
      <c r="C80" s="8" t="s">
        <v>25</v>
      </c>
      <c r="D80" s="8" t="s">
        <v>444</v>
      </c>
      <c r="E80" s="8" t="s">
        <v>26</v>
      </c>
      <c r="F80" s="8" t="s">
        <v>234</v>
      </c>
      <c r="G80" s="12" t="s">
        <v>443</v>
      </c>
      <c r="H80" s="7">
        <v>5.2681645754304078</v>
      </c>
      <c r="I80" s="1">
        <v>13</v>
      </c>
      <c r="J80" s="4">
        <f t="shared" si="5"/>
        <v>1</v>
      </c>
      <c r="K80" s="5">
        <f t="shared" si="6"/>
        <v>2.4676525977622679</v>
      </c>
      <c r="L80" s="2">
        <v>24528493.944663569</v>
      </c>
      <c r="M80" s="2">
        <v>1261500</v>
      </c>
      <c r="N80" s="6">
        <f t="shared" si="7"/>
        <v>1</v>
      </c>
      <c r="O80" s="9">
        <f t="shared" si="8"/>
        <v>5.1429981915968898E-2</v>
      </c>
      <c r="P80" s="10">
        <v>0</v>
      </c>
      <c r="Q80" s="1">
        <f t="shared" si="9"/>
        <v>0</v>
      </c>
      <c r="R80" s="10">
        <v>8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8">
        <v>17689411</v>
      </c>
      <c r="B81" s="8" t="s">
        <v>243</v>
      </c>
      <c r="C81" s="8" t="s">
        <v>25</v>
      </c>
      <c r="D81" s="8" t="s">
        <v>444</v>
      </c>
      <c r="E81" s="8" t="s">
        <v>26</v>
      </c>
      <c r="F81" s="8" t="s">
        <v>234</v>
      </c>
      <c r="G81" s="12" t="s">
        <v>443</v>
      </c>
      <c r="H81" s="7">
        <v>5</v>
      </c>
      <c r="I81" s="1">
        <v>13</v>
      </c>
      <c r="J81" s="1">
        <f t="shared" si="5"/>
        <v>1</v>
      </c>
      <c r="K81" s="5">
        <f t="shared" si="6"/>
        <v>2.6</v>
      </c>
      <c r="L81" s="2">
        <v>8652341.4895573519</v>
      </c>
      <c r="M81" s="2">
        <v>2486500</v>
      </c>
      <c r="N81" s="6">
        <f t="shared" si="7"/>
        <v>1</v>
      </c>
      <c r="O81" s="9">
        <f t="shared" si="8"/>
        <v>0.2873788561166935</v>
      </c>
      <c r="P81" s="10">
        <v>0</v>
      </c>
      <c r="Q81" s="1">
        <f t="shared" si="9"/>
        <v>0</v>
      </c>
      <c r="R81" s="10">
        <v>7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8">
        <v>1541579</v>
      </c>
      <c r="B82" s="8" t="s">
        <v>233</v>
      </c>
      <c r="C82" s="8" t="s">
        <v>25</v>
      </c>
      <c r="D82" s="8" t="s">
        <v>442</v>
      </c>
      <c r="E82" s="8" t="s">
        <v>26</v>
      </c>
      <c r="F82" s="8" t="s">
        <v>234</v>
      </c>
      <c r="G82" s="12" t="s">
        <v>443</v>
      </c>
      <c r="H82" s="7">
        <v>4.9582725415815601</v>
      </c>
      <c r="I82" s="1">
        <v>13</v>
      </c>
      <c r="J82" s="1">
        <f t="shared" si="5"/>
        <v>1</v>
      </c>
      <c r="K82" s="5">
        <f t="shared" si="6"/>
        <v>2.6218808851224096</v>
      </c>
      <c r="L82" s="2">
        <v>2520936.2188384128</v>
      </c>
      <c r="M82" s="2">
        <v>1752500</v>
      </c>
      <c r="N82" s="6">
        <f t="shared" si="7"/>
        <v>1</v>
      </c>
      <c r="O82" s="9">
        <f t="shared" si="8"/>
        <v>0.69517823850676796</v>
      </c>
      <c r="P82" s="10">
        <v>0</v>
      </c>
      <c r="Q82" s="1">
        <f t="shared" si="9"/>
        <v>0</v>
      </c>
      <c r="R82" s="10">
        <v>7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8">
        <v>17695888</v>
      </c>
      <c r="B83" s="8" t="s">
        <v>229</v>
      </c>
      <c r="C83" s="8" t="s">
        <v>25</v>
      </c>
      <c r="D83" s="8" t="s">
        <v>442</v>
      </c>
      <c r="E83" s="8" t="s">
        <v>26</v>
      </c>
      <c r="F83" s="8" t="s">
        <v>230</v>
      </c>
      <c r="G83" s="12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9">
        <f t="shared" si="8"/>
        <v>0</v>
      </c>
      <c r="P83" s="10">
        <v>0</v>
      </c>
      <c r="Q83" s="1">
        <f t="shared" si="9"/>
        <v>0</v>
      </c>
      <c r="R83" s="10">
        <v>7</v>
      </c>
      <c r="S83" s="10">
        <v>0</v>
      </c>
      <c r="T83" s="10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8">
        <v>1296234</v>
      </c>
      <c r="B84" s="8" t="s">
        <v>91</v>
      </c>
      <c r="C84" s="8" t="s">
        <v>25</v>
      </c>
      <c r="D84" s="8" t="s">
        <v>440</v>
      </c>
      <c r="E84" s="8" t="s">
        <v>22</v>
      </c>
      <c r="F84" s="8" t="s">
        <v>92</v>
      </c>
      <c r="G84" s="12" t="s">
        <v>443</v>
      </c>
      <c r="H84" s="7">
        <v>10.536329150860819</v>
      </c>
      <c r="I84" s="1">
        <v>27</v>
      </c>
      <c r="J84" s="4">
        <f t="shared" si="5"/>
        <v>1</v>
      </c>
      <c r="K84" s="5">
        <f t="shared" si="6"/>
        <v>2.5625623130608157</v>
      </c>
      <c r="L84" s="2">
        <v>8061250.1767072026</v>
      </c>
      <c r="M84" s="2">
        <v>2071500</v>
      </c>
      <c r="N84" s="6">
        <f t="shared" si="7"/>
        <v>1</v>
      </c>
      <c r="O84" s="9">
        <f t="shared" si="8"/>
        <v>0.25697006724658561</v>
      </c>
      <c r="P84" s="10">
        <v>8</v>
      </c>
      <c r="Q84" s="1">
        <f t="shared" si="9"/>
        <v>1</v>
      </c>
      <c r="R84" s="10">
        <v>13</v>
      </c>
      <c r="S84" s="10">
        <v>9</v>
      </c>
      <c r="T84" s="10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8">
        <v>1073854</v>
      </c>
      <c r="B85" s="8" t="s">
        <v>170</v>
      </c>
      <c r="C85" s="8" t="s">
        <v>25</v>
      </c>
      <c r="D85" s="8" t="s">
        <v>440</v>
      </c>
      <c r="E85" s="8" t="s">
        <v>22</v>
      </c>
      <c r="F85" s="8" t="s">
        <v>92</v>
      </c>
      <c r="G85" s="12" t="s">
        <v>443</v>
      </c>
      <c r="H85" s="7">
        <v>5.5780566092792556</v>
      </c>
      <c r="I85" s="1">
        <v>13</v>
      </c>
      <c r="J85" s="1">
        <f t="shared" si="5"/>
        <v>1</v>
      </c>
      <c r="K85" s="5">
        <f t="shared" si="6"/>
        <v>2.3305607867754747</v>
      </c>
      <c r="L85" s="2">
        <v>7224888.2887193644</v>
      </c>
      <c r="M85" s="2">
        <v>1586500</v>
      </c>
      <c r="N85" s="6">
        <f t="shared" si="7"/>
        <v>1</v>
      </c>
      <c r="O85" s="9">
        <f t="shared" si="8"/>
        <v>0.2195881703080578</v>
      </c>
      <c r="P85" s="10">
        <v>0</v>
      </c>
      <c r="Q85" s="1">
        <f t="shared" si="9"/>
        <v>0</v>
      </c>
      <c r="R85" s="10">
        <v>8</v>
      </c>
      <c r="S85" s="10">
        <v>0</v>
      </c>
      <c r="T85" s="10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8">
        <v>17518440</v>
      </c>
      <c r="B86" s="8" t="s">
        <v>269</v>
      </c>
      <c r="C86" s="8" t="s">
        <v>25</v>
      </c>
      <c r="D86" s="8" t="s">
        <v>442</v>
      </c>
      <c r="E86" s="8" t="s">
        <v>26</v>
      </c>
      <c r="F86" s="8" t="s">
        <v>92</v>
      </c>
      <c r="G86" s="12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300000</v>
      </c>
      <c r="N86" s="6">
        <f t="shared" si="7"/>
        <v>1</v>
      </c>
      <c r="O86" s="9">
        <f t="shared" si="8"/>
        <v>0.17138248441534454</v>
      </c>
      <c r="P86" s="10">
        <v>0</v>
      </c>
      <c r="Q86" s="1">
        <f t="shared" si="9"/>
        <v>0</v>
      </c>
      <c r="R86" s="10">
        <v>7</v>
      </c>
      <c r="S86" s="10">
        <v>0</v>
      </c>
      <c r="T86" s="10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8">
        <v>1538977</v>
      </c>
      <c r="B87" s="8" t="s">
        <v>303</v>
      </c>
      <c r="C87" s="8" t="s">
        <v>25</v>
      </c>
      <c r="D87" s="8" t="s">
        <v>442</v>
      </c>
      <c r="E87" s="8" t="s">
        <v>26</v>
      </c>
      <c r="F87" s="8" t="s">
        <v>304</v>
      </c>
      <c r="G87" s="12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9">
        <f t="shared" si="8"/>
        <v>0</v>
      </c>
      <c r="P87" s="10">
        <v>0</v>
      </c>
      <c r="Q87" s="1">
        <f t="shared" si="9"/>
        <v>0</v>
      </c>
      <c r="R87" s="10">
        <v>10</v>
      </c>
      <c r="S87" s="10">
        <v>0</v>
      </c>
      <c r="T87" s="10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8">
        <v>1376915</v>
      </c>
      <c r="B88" s="8" t="s">
        <v>415</v>
      </c>
      <c r="C88" s="8" t="s">
        <v>25</v>
      </c>
      <c r="D88" s="8" t="s">
        <v>442</v>
      </c>
      <c r="E88" s="8" t="s">
        <v>26</v>
      </c>
      <c r="F88" s="8" t="s">
        <v>416</v>
      </c>
      <c r="G88" s="12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9">
        <f t="shared" si="8"/>
        <v>0</v>
      </c>
      <c r="P88" s="10">
        <v>0</v>
      </c>
      <c r="Q88" s="1">
        <f t="shared" si="9"/>
        <v>0</v>
      </c>
      <c r="R88" s="10">
        <v>12</v>
      </c>
      <c r="S88" s="10">
        <v>0</v>
      </c>
      <c r="T88" s="10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8">
        <v>17228035</v>
      </c>
      <c r="B89" s="8" t="s">
        <v>64</v>
      </c>
      <c r="C89" s="8" t="s">
        <v>25</v>
      </c>
      <c r="D89" s="8" t="s">
        <v>442</v>
      </c>
      <c r="E89" s="8" t="s">
        <v>26</v>
      </c>
      <c r="F89" s="8" t="s">
        <v>65</v>
      </c>
      <c r="G89" s="12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9">
        <f t="shared" si="8"/>
        <v>0</v>
      </c>
      <c r="P89" s="10">
        <v>0</v>
      </c>
      <c r="Q89" s="1">
        <f t="shared" si="9"/>
        <v>0</v>
      </c>
      <c r="R89" s="10">
        <v>10</v>
      </c>
      <c r="S89" s="10">
        <v>0</v>
      </c>
      <c r="T89" s="10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3">
        <v>17631777</v>
      </c>
      <c r="B90" s="13" t="s">
        <v>471</v>
      </c>
      <c r="C90" s="8" t="s">
        <v>25</v>
      </c>
      <c r="D90" s="8" t="s">
        <v>440</v>
      </c>
      <c r="E90" s="8" t="s">
        <v>26</v>
      </c>
      <c r="F90" s="26" t="s">
        <v>479</v>
      </c>
      <c r="G90" s="25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9">
        <f t="shared" si="8"/>
        <v>0</v>
      </c>
      <c r="P90" s="10">
        <v>2</v>
      </c>
      <c r="Q90" s="1">
        <f t="shared" si="9"/>
        <v>0</v>
      </c>
      <c r="R90" s="10">
        <v>5</v>
      </c>
      <c r="S90" s="10">
        <v>2</v>
      </c>
      <c r="T90" s="10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8">
        <v>17254935</v>
      </c>
      <c r="B91" s="8" t="s">
        <v>363</v>
      </c>
      <c r="C91" s="8" t="s">
        <v>25</v>
      </c>
      <c r="D91" s="8" t="s">
        <v>442</v>
      </c>
      <c r="E91" s="8" t="s">
        <v>26</v>
      </c>
      <c r="F91" s="8" t="s">
        <v>364</v>
      </c>
      <c r="G91" s="12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9">
        <f t="shared" si="8"/>
        <v>0</v>
      </c>
      <c r="P91" s="10">
        <v>0</v>
      </c>
      <c r="Q91" s="1">
        <f t="shared" si="9"/>
        <v>0</v>
      </c>
      <c r="R91" s="10">
        <v>8</v>
      </c>
      <c r="S91" s="10">
        <v>0</v>
      </c>
      <c r="T91" s="10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17611702</v>
      </c>
      <c r="B92" s="8" t="s">
        <v>34</v>
      </c>
      <c r="C92" s="8" t="s">
        <v>35</v>
      </c>
      <c r="D92" s="8" t="s">
        <v>442</v>
      </c>
      <c r="E92" s="8" t="s">
        <v>26</v>
      </c>
      <c r="F92" s="8" t="s">
        <v>36</v>
      </c>
      <c r="G92" s="12" t="s">
        <v>441</v>
      </c>
      <c r="H92" s="7">
        <v>7.2753475754493193</v>
      </c>
      <c r="I92" s="1">
        <v>2</v>
      </c>
      <c r="J92" s="4">
        <f t="shared" ref="J92:J155" si="10">IF(I92&gt;=3,1,0)</f>
        <v>0</v>
      </c>
      <c r="K92" s="5">
        <f t="shared" ref="K92:K155" si="11">I92/H92</f>
        <v>0.27490095548823062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9">
        <f t="shared" ref="O92:O155" si="13">M92/L92</f>
        <v>1.143072283124726</v>
      </c>
      <c r="P92" s="10">
        <v>4</v>
      </c>
      <c r="Q92" s="1">
        <f t="shared" ref="Q92:Q155" si="14">IF(P92&gt;=3,1,0)</f>
        <v>1</v>
      </c>
      <c r="R92" s="10">
        <v>10</v>
      </c>
      <c r="S92" s="10">
        <v>4</v>
      </c>
      <c r="T92" s="10">
        <v>0</v>
      </c>
      <c r="U92" s="3">
        <v>0</v>
      </c>
      <c r="V92" s="3">
        <v>0</v>
      </c>
      <c r="W92" s="3">
        <v>0</v>
      </c>
      <c r="X92" s="3">
        <v>1</v>
      </c>
      <c r="Y92" s="3">
        <v>0</v>
      </c>
      <c r="Z92" s="3">
        <v>0</v>
      </c>
    </row>
    <row r="93" spans="1:26" ht="26">
      <c r="A93" s="8">
        <v>17667161</v>
      </c>
      <c r="B93" s="8" t="s">
        <v>297</v>
      </c>
      <c r="C93" s="8" t="s">
        <v>31</v>
      </c>
      <c r="D93" s="8" t="s">
        <v>442</v>
      </c>
      <c r="E93" s="8" t="s">
        <v>22</v>
      </c>
      <c r="F93" s="8" t="s">
        <v>296</v>
      </c>
      <c r="G93" s="12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2809100</v>
      </c>
      <c r="N93" s="6">
        <f t="shared" si="12"/>
        <v>1</v>
      </c>
      <c r="O93" s="9">
        <f t="shared" si="13"/>
        <v>2.2773080500182039</v>
      </c>
      <c r="P93" s="10">
        <v>1</v>
      </c>
      <c r="Q93" s="1">
        <f t="shared" si="14"/>
        <v>0</v>
      </c>
      <c r="R93" s="10">
        <v>9</v>
      </c>
      <c r="S93" s="10">
        <v>1</v>
      </c>
      <c r="T93" s="10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8">
        <v>17664158</v>
      </c>
      <c r="B94" s="8" t="s">
        <v>420</v>
      </c>
      <c r="C94" s="8" t="s">
        <v>31</v>
      </c>
      <c r="D94" s="8" t="s">
        <v>442</v>
      </c>
      <c r="E94" s="8" t="s">
        <v>26</v>
      </c>
      <c r="F94" s="8" t="s">
        <v>296</v>
      </c>
      <c r="G94" s="12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775500</v>
      </c>
      <c r="N94" s="6">
        <f t="shared" si="12"/>
        <v>1</v>
      </c>
      <c r="O94" s="9">
        <f t="shared" si="13"/>
        <v>0.62868975571859931</v>
      </c>
      <c r="P94" s="10">
        <v>0</v>
      </c>
      <c r="Q94" s="1">
        <f t="shared" si="14"/>
        <v>0</v>
      </c>
      <c r="R94" s="10">
        <v>15</v>
      </c>
      <c r="S94" s="10">
        <v>0</v>
      </c>
      <c r="T94" s="10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8">
        <v>17612215</v>
      </c>
      <c r="B95" s="8" t="s">
        <v>421</v>
      </c>
      <c r="C95" s="8" t="s">
        <v>31</v>
      </c>
      <c r="D95" s="8" t="s">
        <v>442</v>
      </c>
      <c r="E95" s="8" t="s">
        <v>26</v>
      </c>
      <c r="F95" s="8" t="s">
        <v>296</v>
      </c>
      <c r="G95" s="12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3747600</v>
      </c>
      <c r="N95" s="6">
        <f t="shared" si="12"/>
        <v>1</v>
      </c>
      <c r="O95" s="9">
        <f t="shared" si="13"/>
        <v>3.0381402044242716</v>
      </c>
      <c r="P95" s="10">
        <v>0</v>
      </c>
      <c r="Q95" s="1">
        <f t="shared" si="14"/>
        <v>0</v>
      </c>
      <c r="R95" s="10">
        <v>7</v>
      </c>
      <c r="S95" s="10">
        <v>0</v>
      </c>
      <c r="T95" s="10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8">
        <v>17622240</v>
      </c>
      <c r="B96" s="8" t="s">
        <v>103</v>
      </c>
      <c r="C96" s="8" t="s">
        <v>31</v>
      </c>
      <c r="D96" s="8" t="s">
        <v>440</v>
      </c>
      <c r="E96" s="8" t="s">
        <v>22</v>
      </c>
      <c r="F96" s="8" t="s">
        <v>104</v>
      </c>
      <c r="G96" s="12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986400</v>
      </c>
      <c r="N96" s="6">
        <f t="shared" si="12"/>
        <v>1</v>
      </c>
      <c r="O96" s="9">
        <f t="shared" si="13"/>
        <v>0.3869027339273326</v>
      </c>
      <c r="P96" s="10">
        <v>1</v>
      </c>
      <c r="Q96" s="1">
        <f t="shared" si="14"/>
        <v>0</v>
      </c>
      <c r="R96" s="10">
        <v>6</v>
      </c>
      <c r="S96" s="10">
        <v>1</v>
      </c>
      <c r="T96" s="10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8">
        <v>17232076</v>
      </c>
      <c r="B97" s="8" t="s">
        <v>123</v>
      </c>
      <c r="C97" s="8" t="s">
        <v>31</v>
      </c>
      <c r="D97" s="8" t="s">
        <v>442</v>
      </c>
      <c r="E97" s="8" t="s">
        <v>22</v>
      </c>
      <c r="F97" s="8" t="s">
        <v>104</v>
      </c>
      <c r="G97" s="12" t="s">
        <v>441</v>
      </c>
      <c r="H97" s="7">
        <v>5</v>
      </c>
      <c r="I97" s="1">
        <v>36</v>
      </c>
      <c r="J97" s="1">
        <f t="shared" si="10"/>
        <v>1</v>
      </c>
      <c r="K97" s="5">
        <f t="shared" si="11"/>
        <v>7.2</v>
      </c>
      <c r="L97" s="2">
        <v>1233517.793070439</v>
      </c>
      <c r="M97" s="2">
        <v>3173400</v>
      </c>
      <c r="N97" s="6">
        <f t="shared" si="12"/>
        <v>1</v>
      </c>
      <c r="O97" s="9">
        <f t="shared" si="13"/>
        <v>2.572642257636883</v>
      </c>
      <c r="P97" s="10">
        <v>4</v>
      </c>
      <c r="Q97" s="1">
        <f t="shared" si="14"/>
        <v>1</v>
      </c>
      <c r="R97" s="10">
        <v>7</v>
      </c>
      <c r="S97" s="10">
        <v>7</v>
      </c>
      <c r="T97" s="10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8">
        <v>17741642</v>
      </c>
      <c r="B98" s="8" t="s">
        <v>423</v>
      </c>
      <c r="C98" s="8" t="s">
        <v>31</v>
      </c>
      <c r="D98" s="8" t="s">
        <v>442</v>
      </c>
      <c r="E98" s="8" t="s">
        <v>26</v>
      </c>
      <c r="F98" s="8" t="s">
        <v>104</v>
      </c>
      <c r="G98" s="12" t="s">
        <v>441</v>
      </c>
      <c r="H98" s="7">
        <v>5.8202780603594357</v>
      </c>
      <c r="I98" s="1">
        <v>36</v>
      </c>
      <c r="J98" s="1">
        <f t="shared" si="10"/>
        <v>1</v>
      </c>
      <c r="K98" s="5">
        <f t="shared" si="11"/>
        <v>6.1852714984852106</v>
      </c>
      <c r="L98" s="2">
        <v>1233517.793070439</v>
      </c>
      <c r="M98" s="2">
        <v>2667000</v>
      </c>
      <c r="N98" s="6">
        <f t="shared" si="12"/>
        <v>1</v>
      </c>
      <c r="O98" s="9">
        <f t="shared" si="13"/>
        <v>2.1621090631869815</v>
      </c>
      <c r="P98" s="10">
        <v>5</v>
      </c>
      <c r="Q98" s="1">
        <f t="shared" si="14"/>
        <v>1</v>
      </c>
      <c r="R98" s="10">
        <v>8</v>
      </c>
      <c r="S98" s="10">
        <v>5</v>
      </c>
      <c r="T98" s="10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8">
        <v>17754185</v>
      </c>
      <c r="B99" s="8" t="s">
        <v>37</v>
      </c>
      <c r="C99" s="8" t="s">
        <v>35</v>
      </c>
      <c r="D99" s="8" t="s">
        <v>440</v>
      </c>
      <c r="E99" s="8" t="s">
        <v>22</v>
      </c>
      <c r="F99" s="8" t="s">
        <v>38</v>
      </c>
      <c r="G99" s="12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9">
        <f t="shared" si="13"/>
        <v>9.7607999765740805E-2</v>
      </c>
      <c r="P99" s="10">
        <v>1</v>
      </c>
      <c r="Q99" s="1">
        <f t="shared" si="14"/>
        <v>0</v>
      </c>
      <c r="R99" s="10">
        <v>5</v>
      </c>
      <c r="S99" s="10">
        <v>9</v>
      </c>
      <c r="T99" s="10">
        <v>0</v>
      </c>
      <c r="U99" s="3">
        <v>0</v>
      </c>
      <c r="V99" s="3">
        <v>0</v>
      </c>
      <c r="W99" s="3">
        <v>0</v>
      </c>
      <c r="X99" s="3">
        <v>1</v>
      </c>
      <c r="Y99" s="3">
        <v>0</v>
      </c>
      <c r="Z99" s="3">
        <v>0</v>
      </c>
    </row>
    <row r="100" spans="1:26" ht="26">
      <c r="A100" s="8">
        <v>17693220</v>
      </c>
      <c r="B100" s="8" t="s">
        <v>54</v>
      </c>
      <c r="C100" s="8" t="s">
        <v>35</v>
      </c>
      <c r="D100" s="8" t="s">
        <v>442</v>
      </c>
      <c r="E100" s="8" t="s">
        <v>26</v>
      </c>
      <c r="F100" s="8" t="s">
        <v>55</v>
      </c>
      <c r="G100" s="12" t="s">
        <v>441</v>
      </c>
      <c r="H100" s="7">
        <v>5</v>
      </c>
      <c r="I100" s="1">
        <v>4</v>
      </c>
      <c r="J100" s="1">
        <f t="shared" si="10"/>
        <v>1</v>
      </c>
      <c r="K100" s="5">
        <f t="shared" si="11"/>
        <v>0.8</v>
      </c>
      <c r="L100" s="2">
        <v>1233517.793070439</v>
      </c>
      <c r="M100" s="2">
        <v>634000</v>
      </c>
      <c r="N100" s="6">
        <f t="shared" si="12"/>
        <v>1</v>
      </c>
      <c r="O100" s="9">
        <f t="shared" si="13"/>
        <v>0.51397718262487679</v>
      </c>
      <c r="P100" s="10">
        <v>0</v>
      </c>
      <c r="Q100" s="1">
        <f t="shared" si="14"/>
        <v>0</v>
      </c>
      <c r="R100" s="10">
        <v>7</v>
      </c>
      <c r="S100" s="10">
        <v>1</v>
      </c>
      <c r="T100" s="10">
        <v>2</v>
      </c>
      <c r="U100" s="3">
        <v>0</v>
      </c>
      <c r="V100" s="3">
        <v>0</v>
      </c>
      <c r="W100" s="3">
        <v>0</v>
      </c>
      <c r="X100" s="3">
        <v>1</v>
      </c>
      <c r="Y100" s="3">
        <v>0</v>
      </c>
      <c r="Z100" s="3">
        <v>0</v>
      </c>
    </row>
    <row r="101" spans="1:26" ht="26">
      <c r="A101" s="8">
        <v>17651452</v>
      </c>
      <c r="B101" s="8" t="s">
        <v>61</v>
      </c>
      <c r="C101" s="8" t="s">
        <v>35</v>
      </c>
      <c r="D101" s="8" t="s">
        <v>442</v>
      </c>
      <c r="E101" s="8" t="s">
        <v>22</v>
      </c>
      <c r="F101" s="8" t="s">
        <v>62</v>
      </c>
      <c r="G101" s="12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9">
        <f t="shared" si="13"/>
        <v>0.23509997312494363</v>
      </c>
      <c r="P101" s="10">
        <v>1</v>
      </c>
      <c r="Q101" s="1">
        <f t="shared" si="14"/>
        <v>0</v>
      </c>
      <c r="R101" s="10">
        <v>5</v>
      </c>
      <c r="S101" s="10">
        <v>1</v>
      </c>
      <c r="T101" s="10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8" t="s">
        <v>431</v>
      </c>
      <c r="B102" s="8" t="s">
        <v>447</v>
      </c>
      <c r="C102" s="8" t="s">
        <v>35</v>
      </c>
      <c r="D102" s="8" t="s">
        <v>440</v>
      </c>
      <c r="E102" s="8" t="s">
        <v>22</v>
      </c>
      <c r="F102" s="8" t="s">
        <v>105</v>
      </c>
      <c r="G102" s="12" t="s">
        <v>441</v>
      </c>
      <c r="H102" s="7">
        <v>5</v>
      </c>
      <c r="I102" s="1">
        <v>3</v>
      </c>
      <c r="J102" s="1">
        <f t="shared" si="10"/>
        <v>1</v>
      </c>
      <c r="K102" s="5">
        <f t="shared" si="11"/>
        <v>0.6</v>
      </c>
      <c r="L102" s="2">
        <v>29626053.564346101</v>
      </c>
      <c r="M102" s="2">
        <v>1350000</v>
      </c>
      <c r="N102" s="6">
        <f t="shared" si="12"/>
        <v>1</v>
      </c>
      <c r="O102" s="9">
        <f t="shared" si="13"/>
        <v>4.5567999702284916E-2</v>
      </c>
      <c r="P102" s="10">
        <v>0</v>
      </c>
      <c r="Q102" s="1">
        <f t="shared" si="14"/>
        <v>0</v>
      </c>
      <c r="R102" s="10">
        <v>7</v>
      </c>
      <c r="S102" s="10">
        <v>0</v>
      </c>
      <c r="T102" s="10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8">
        <v>17120321</v>
      </c>
      <c r="B103" s="8" t="s">
        <v>84</v>
      </c>
      <c r="C103" s="8" t="s">
        <v>35</v>
      </c>
      <c r="D103" s="8" t="s">
        <v>440</v>
      </c>
      <c r="E103" s="8" t="s">
        <v>22</v>
      </c>
      <c r="F103" s="8" t="s">
        <v>85</v>
      </c>
      <c r="G103" s="12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5315000</v>
      </c>
      <c r="N103" s="6">
        <f t="shared" si="12"/>
        <v>1</v>
      </c>
      <c r="O103" s="9">
        <f t="shared" si="13"/>
        <v>0.17940290253158839</v>
      </c>
      <c r="P103" s="10">
        <v>2</v>
      </c>
      <c r="Q103" s="1">
        <f t="shared" si="14"/>
        <v>0</v>
      </c>
      <c r="R103" s="10">
        <v>7</v>
      </c>
      <c r="S103" s="10">
        <v>2</v>
      </c>
      <c r="T103" s="10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8">
        <v>966775</v>
      </c>
      <c r="B104" s="8" t="s">
        <v>184</v>
      </c>
      <c r="C104" s="8" t="s">
        <v>31</v>
      </c>
      <c r="D104" s="8" t="s">
        <v>442</v>
      </c>
      <c r="E104" s="8" t="s">
        <v>22</v>
      </c>
      <c r="F104" s="8" t="s">
        <v>185</v>
      </c>
      <c r="G104" s="12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522000</v>
      </c>
      <c r="N104" s="6">
        <f t="shared" si="12"/>
        <v>1</v>
      </c>
      <c r="O104" s="9">
        <f t="shared" si="13"/>
        <v>0.42317995162489852</v>
      </c>
      <c r="P104" s="10">
        <v>1</v>
      </c>
      <c r="Q104" s="1">
        <f t="shared" si="14"/>
        <v>0</v>
      </c>
      <c r="R104" s="10">
        <v>7</v>
      </c>
      <c r="S104" s="10">
        <v>1</v>
      </c>
      <c r="T104" s="10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8">
        <v>17242821</v>
      </c>
      <c r="B105" s="8" t="s">
        <v>256</v>
      </c>
      <c r="C105" s="8" t="s">
        <v>31</v>
      </c>
      <c r="D105" s="8" t="s">
        <v>442</v>
      </c>
      <c r="E105" s="8" t="s">
        <v>22</v>
      </c>
      <c r="F105" s="8" t="s">
        <v>185</v>
      </c>
      <c r="G105" s="12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643600</v>
      </c>
      <c r="N105" s="6">
        <f t="shared" si="12"/>
        <v>1</v>
      </c>
      <c r="O105" s="9">
        <f t="shared" si="13"/>
        <v>0.52175980242487496</v>
      </c>
      <c r="P105" s="10">
        <v>1</v>
      </c>
      <c r="Q105" s="1">
        <f t="shared" si="14"/>
        <v>0</v>
      </c>
      <c r="R105" s="10">
        <v>10</v>
      </c>
      <c r="S105" s="10">
        <v>1</v>
      </c>
      <c r="T105" s="10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8">
        <v>17569366</v>
      </c>
      <c r="B106" s="8" t="s">
        <v>291</v>
      </c>
      <c r="C106" s="8" t="s">
        <v>31</v>
      </c>
      <c r="D106" s="8" t="s">
        <v>440</v>
      </c>
      <c r="E106" s="8" t="s">
        <v>22</v>
      </c>
      <c r="F106" s="8" t="s">
        <v>185</v>
      </c>
      <c r="G106" s="12" t="s">
        <v>441</v>
      </c>
      <c r="H106" s="7">
        <v>5</v>
      </c>
      <c r="I106" s="1">
        <v>8</v>
      </c>
      <c r="J106" s="1">
        <f t="shared" si="10"/>
        <v>1</v>
      </c>
      <c r="K106" s="5">
        <f t="shared" si="11"/>
        <v>1.6</v>
      </c>
      <c r="L106" s="2">
        <v>22463880</v>
      </c>
      <c r="M106" s="2">
        <v>462000</v>
      </c>
      <c r="N106" s="6">
        <f t="shared" si="12"/>
        <v>1</v>
      </c>
      <c r="O106" s="9">
        <f t="shared" si="13"/>
        <v>2.0566349179215702E-2</v>
      </c>
      <c r="P106" s="10">
        <v>22</v>
      </c>
      <c r="Q106" s="1">
        <f t="shared" si="14"/>
        <v>1</v>
      </c>
      <c r="R106" s="10">
        <v>7</v>
      </c>
      <c r="S106" s="10">
        <v>22</v>
      </c>
      <c r="T106" s="10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8">
        <v>1375440</v>
      </c>
      <c r="B107" s="8" t="s">
        <v>66</v>
      </c>
      <c r="C107" s="8" t="s">
        <v>31</v>
      </c>
      <c r="D107" s="8" t="s">
        <v>442</v>
      </c>
      <c r="E107" s="8" t="s">
        <v>22</v>
      </c>
      <c r="F107" s="8" t="s">
        <v>67</v>
      </c>
      <c r="G107" s="12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1131600</v>
      </c>
      <c r="N107" s="6">
        <f t="shared" si="12"/>
        <v>1</v>
      </c>
      <c r="O107" s="9">
        <f t="shared" si="13"/>
        <v>0.91737630892478006</v>
      </c>
      <c r="P107" s="10">
        <v>1</v>
      </c>
      <c r="Q107" s="1">
        <f t="shared" si="14"/>
        <v>0</v>
      </c>
      <c r="R107" s="10">
        <v>8</v>
      </c>
      <c r="S107" s="10">
        <v>1</v>
      </c>
      <c r="T107" s="10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8">
        <v>17211864</v>
      </c>
      <c r="B108" s="8" t="s">
        <v>143</v>
      </c>
      <c r="C108" s="8" t="s">
        <v>31</v>
      </c>
      <c r="D108" s="8" t="s">
        <v>442</v>
      </c>
      <c r="E108" s="8" t="s">
        <v>22</v>
      </c>
      <c r="F108" s="8" t="s">
        <v>67</v>
      </c>
      <c r="G108" s="12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783600</v>
      </c>
      <c r="N108" s="6">
        <f t="shared" si="12"/>
        <v>1</v>
      </c>
      <c r="O108" s="9">
        <f t="shared" si="13"/>
        <v>0.63525634117484775</v>
      </c>
      <c r="P108" s="10">
        <v>1</v>
      </c>
      <c r="Q108" s="1">
        <f t="shared" si="14"/>
        <v>0</v>
      </c>
      <c r="R108" s="10">
        <v>14</v>
      </c>
      <c r="S108" s="10">
        <v>1</v>
      </c>
      <c r="T108" s="10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8">
        <v>507357</v>
      </c>
      <c r="B109" s="8" t="s">
        <v>212</v>
      </c>
      <c r="C109" s="8" t="s">
        <v>31</v>
      </c>
      <c r="D109" s="8" t="s">
        <v>442</v>
      </c>
      <c r="E109" s="8" t="s">
        <v>26</v>
      </c>
      <c r="F109" s="8" t="s">
        <v>67</v>
      </c>
      <c r="G109" s="12" t="s">
        <v>441</v>
      </c>
      <c r="H109" s="7">
        <v>5.8202780603594357</v>
      </c>
      <c r="I109" s="1">
        <v>23</v>
      </c>
      <c r="J109" s="1">
        <f t="shared" si="10"/>
        <v>1</v>
      </c>
      <c r="K109" s="5">
        <f t="shared" si="11"/>
        <v>3.9517012351433287</v>
      </c>
      <c r="L109" s="2">
        <v>1233517.793070439</v>
      </c>
      <c r="M109" s="2">
        <v>800400</v>
      </c>
      <c r="N109" s="6">
        <f t="shared" si="12"/>
        <v>1</v>
      </c>
      <c r="O109" s="9">
        <f t="shared" si="13"/>
        <v>0.64887592582484444</v>
      </c>
      <c r="P109" s="10">
        <v>20</v>
      </c>
      <c r="Q109" s="1">
        <f t="shared" si="14"/>
        <v>1</v>
      </c>
      <c r="R109" s="10">
        <v>8</v>
      </c>
      <c r="S109" s="10">
        <v>20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8">
        <v>17609597</v>
      </c>
      <c r="B110" s="8" t="s">
        <v>365</v>
      </c>
      <c r="C110" s="8" t="s">
        <v>31</v>
      </c>
      <c r="D110" s="8" t="s">
        <v>442</v>
      </c>
      <c r="E110" s="8" t="s">
        <v>26</v>
      </c>
      <c r="F110" s="8" t="s">
        <v>67</v>
      </c>
      <c r="G110" s="12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1998600</v>
      </c>
      <c r="N110" s="6">
        <f t="shared" si="12"/>
        <v>1</v>
      </c>
      <c r="O110" s="9">
        <f t="shared" si="13"/>
        <v>1.6202441596121115</v>
      </c>
      <c r="P110" s="10">
        <v>3</v>
      </c>
      <c r="Q110" s="1">
        <f t="shared" si="14"/>
        <v>1</v>
      </c>
      <c r="R110" s="10">
        <v>7</v>
      </c>
      <c r="S110" s="10">
        <v>5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8">
        <v>17228835</v>
      </c>
      <c r="B111" s="8" t="s">
        <v>87</v>
      </c>
      <c r="C111" s="8" t="s">
        <v>35</v>
      </c>
      <c r="D111" s="8" t="s">
        <v>442</v>
      </c>
      <c r="E111" s="8" t="s">
        <v>22</v>
      </c>
      <c r="F111" s="8" t="s">
        <v>88</v>
      </c>
      <c r="G111" s="12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2488000</v>
      </c>
      <c r="N111" s="6">
        <f t="shared" si="12"/>
        <v>1</v>
      </c>
      <c r="O111" s="9">
        <f t="shared" si="13"/>
        <v>2.0169956314995163</v>
      </c>
      <c r="P111" s="10">
        <v>0</v>
      </c>
      <c r="Q111" s="1">
        <f t="shared" si="14"/>
        <v>0</v>
      </c>
      <c r="R111" s="10">
        <v>5</v>
      </c>
      <c r="S111" s="10">
        <v>0</v>
      </c>
      <c r="T111" s="10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17308382</v>
      </c>
      <c r="B112" s="8" t="s">
        <v>103</v>
      </c>
      <c r="C112" s="8" t="s">
        <v>31</v>
      </c>
      <c r="D112" s="8" t="s">
        <v>440</v>
      </c>
      <c r="E112" s="8" t="s">
        <v>22</v>
      </c>
      <c r="F112" s="8" t="s">
        <v>105</v>
      </c>
      <c r="G112" s="12" t="s">
        <v>441</v>
      </c>
      <c r="H112" s="7">
        <v>4.7809426924381153</v>
      </c>
      <c r="I112" s="1">
        <v>23</v>
      </c>
      <c r="J112" s="4">
        <f t="shared" si="10"/>
        <v>1</v>
      </c>
      <c r="K112" s="5">
        <f t="shared" si="11"/>
        <v>4.810766721044045</v>
      </c>
      <c r="L112" s="2">
        <v>2825491.6161999619</v>
      </c>
      <c r="M112" s="2">
        <v>1024800</v>
      </c>
      <c r="N112" s="6">
        <f t="shared" si="12"/>
        <v>1</v>
      </c>
      <c r="O112" s="9">
        <f t="shared" si="13"/>
        <v>0.36269794400532179</v>
      </c>
      <c r="P112" s="10">
        <v>20</v>
      </c>
      <c r="Q112" s="1">
        <f t="shared" si="14"/>
        <v>1</v>
      </c>
      <c r="R112" s="10">
        <v>7</v>
      </c>
      <c r="S112" s="10">
        <v>20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8">
        <v>1496057</v>
      </c>
      <c r="B113" s="8" t="s">
        <v>157</v>
      </c>
      <c r="C113" s="8" t="s">
        <v>31</v>
      </c>
      <c r="D113" s="8" t="s">
        <v>440</v>
      </c>
      <c r="E113" s="8" t="s">
        <v>22</v>
      </c>
      <c r="F113" s="8" t="s">
        <v>105</v>
      </c>
      <c r="G113" s="12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5076400</v>
      </c>
      <c r="N113" s="6">
        <f t="shared" si="12"/>
        <v>1</v>
      </c>
      <c r="O113" s="9">
        <f t="shared" si="13"/>
        <v>1.5500477057004378</v>
      </c>
      <c r="P113" s="10">
        <v>1</v>
      </c>
      <c r="Q113" s="1">
        <f t="shared" si="14"/>
        <v>0</v>
      </c>
      <c r="R113" s="10">
        <v>6</v>
      </c>
      <c r="S113" s="10">
        <v>1</v>
      </c>
      <c r="T113" s="10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8">
        <v>504933</v>
      </c>
      <c r="B114" s="8" t="s">
        <v>215</v>
      </c>
      <c r="C114" s="8" t="s">
        <v>31</v>
      </c>
      <c r="D114" s="8" t="s">
        <v>440</v>
      </c>
      <c r="E114" s="8" t="s">
        <v>22</v>
      </c>
      <c r="F114" s="8" t="s">
        <v>105</v>
      </c>
      <c r="G114" s="12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2335600</v>
      </c>
      <c r="N114" s="6">
        <f t="shared" si="12"/>
        <v>1</v>
      </c>
      <c r="O114" s="9">
        <f t="shared" si="13"/>
        <v>0.10397135312332509</v>
      </c>
      <c r="P114" s="10">
        <v>1</v>
      </c>
      <c r="Q114" s="1">
        <f t="shared" si="14"/>
        <v>0</v>
      </c>
      <c r="R114" s="10">
        <v>7</v>
      </c>
      <c r="S114" s="10">
        <v>1</v>
      </c>
      <c r="T114" s="10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8">
        <v>17006852</v>
      </c>
      <c r="B115" s="8" t="s">
        <v>95</v>
      </c>
      <c r="C115" s="8" t="s">
        <v>35</v>
      </c>
      <c r="D115" s="8" t="s">
        <v>440</v>
      </c>
      <c r="E115" s="8" t="s">
        <v>22</v>
      </c>
      <c r="F115" s="8" t="s">
        <v>96</v>
      </c>
      <c r="G115" s="12" t="s">
        <v>441</v>
      </c>
      <c r="H115" s="7">
        <v>7.2753475754493193</v>
      </c>
      <c r="I115" s="1">
        <v>14</v>
      </c>
      <c r="J115" s="4">
        <f t="shared" si="10"/>
        <v>1</v>
      </c>
      <c r="K115" s="5">
        <f t="shared" si="11"/>
        <v>1.9243066884176145</v>
      </c>
      <c r="L115" s="2">
        <v>19880654</v>
      </c>
      <c r="M115" s="2">
        <v>4756000</v>
      </c>
      <c r="N115" s="6">
        <f t="shared" si="12"/>
        <v>1</v>
      </c>
      <c r="O115" s="9">
        <f t="shared" si="13"/>
        <v>0.23922754251444645</v>
      </c>
      <c r="P115" s="10">
        <v>2</v>
      </c>
      <c r="Q115" s="1">
        <f t="shared" si="14"/>
        <v>0</v>
      </c>
      <c r="R115" s="10">
        <v>10</v>
      </c>
      <c r="S115" s="10">
        <v>2</v>
      </c>
      <c r="T115" s="10">
        <v>0</v>
      </c>
      <c r="U115" s="3">
        <v>1</v>
      </c>
      <c r="V115" s="3">
        <v>0</v>
      </c>
      <c r="W115" s="3">
        <v>0</v>
      </c>
      <c r="X115" s="3">
        <v>0</v>
      </c>
      <c r="Y115" s="3">
        <v>1</v>
      </c>
      <c r="Z115" s="3">
        <v>0</v>
      </c>
    </row>
    <row r="116" spans="1:26" ht="26">
      <c r="A116" s="8">
        <v>1370953</v>
      </c>
      <c r="B116" s="8" t="s">
        <v>216</v>
      </c>
      <c r="C116" s="8" t="s">
        <v>31</v>
      </c>
      <c r="D116" s="8" t="s">
        <v>442</v>
      </c>
      <c r="E116" s="8" t="s">
        <v>22</v>
      </c>
      <c r="F116" s="8" t="s">
        <v>105</v>
      </c>
      <c r="G116" s="12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3920400</v>
      </c>
      <c r="N116" s="6">
        <f t="shared" si="12"/>
        <v>1</v>
      </c>
      <c r="O116" s="9">
        <f t="shared" si="13"/>
        <v>3.1782273608242382</v>
      </c>
      <c r="P116" s="10">
        <v>1</v>
      </c>
      <c r="Q116" s="1">
        <f t="shared" si="14"/>
        <v>0</v>
      </c>
      <c r="R116" s="10">
        <v>5</v>
      </c>
      <c r="S116" s="10">
        <v>1</v>
      </c>
      <c r="T116" s="10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8">
        <v>17033536</v>
      </c>
      <c r="B117" s="8" t="s">
        <v>228</v>
      </c>
      <c r="C117" s="8" t="s">
        <v>31</v>
      </c>
      <c r="D117" s="8" t="s">
        <v>440</v>
      </c>
      <c r="E117" s="8" t="s">
        <v>22</v>
      </c>
      <c r="F117" s="8" t="s">
        <v>105</v>
      </c>
      <c r="G117" s="12" t="s">
        <v>441</v>
      </c>
      <c r="H117" s="7">
        <v>30</v>
      </c>
      <c r="I117" s="1">
        <v>3</v>
      </c>
      <c r="J117" s="4">
        <f t="shared" si="10"/>
        <v>1</v>
      </c>
      <c r="K117" s="5">
        <f t="shared" si="11"/>
        <v>0.1</v>
      </c>
      <c r="L117" s="2">
        <v>25626053.564346101</v>
      </c>
      <c r="M117" s="2">
        <v>2216400</v>
      </c>
      <c r="N117" s="6">
        <f t="shared" si="12"/>
        <v>1</v>
      </c>
      <c r="O117" s="9">
        <f t="shared" si="13"/>
        <v>8.6490102521431911E-2</v>
      </c>
      <c r="P117" s="10">
        <v>3</v>
      </c>
      <c r="Q117" s="1">
        <f t="shared" si="14"/>
        <v>1</v>
      </c>
      <c r="R117" s="10">
        <v>23</v>
      </c>
      <c r="S117" s="10">
        <v>3</v>
      </c>
      <c r="T117" s="10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8">
        <v>1329385</v>
      </c>
      <c r="B118" s="8" t="s">
        <v>257</v>
      </c>
      <c r="C118" s="8" t="s">
        <v>31</v>
      </c>
      <c r="D118" s="8" t="s">
        <v>449</v>
      </c>
      <c r="E118" s="8" t="s">
        <v>22</v>
      </c>
      <c r="F118" s="8" t="s">
        <v>105</v>
      </c>
      <c r="G118" s="12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1347600</v>
      </c>
      <c r="N118" s="6">
        <f t="shared" si="12"/>
        <v>1</v>
      </c>
      <c r="O118" s="9">
        <f t="shared" si="13"/>
        <v>4.5486989925036407E-2</v>
      </c>
      <c r="P118" s="10">
        <v>1</v>
      </c>
      <c r="Q118" s="1">
        <f t="shared" si="14"/>
        <v>0</v>
      </c>
      <c r="R118" s="10">
        <v>5</v>
      </c>
      <c r="S118" s="10">
        <v>1</v>
      </c>
      <c r="T118" s="10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8">
        <v>658632</v>
      </c>
      <c r="B119" s="8" t="s">
        <v>259</v>
      </c>
      <c r="C119" s="8" t="s">
        <v>31</v>
      </c>
      <c r="D119" s="8" t="s">
        <v>440</v>
      </c>
      <c r="E119" s="8" t="s">
        <v>22</v>
      </c>
      <c r="F119" s="8" t="s">
        <v>105</v>
      </c>
      <c r="G119" s="12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924000</v>
      </c>
      <c r="N119" s="6">
        <f t="shared" si="12"/>
        <v>1</v>
      </c>
      <c r="O119" s="9">
        <f t="shared" si="13"/>
        <v>0.34874420140120183</v>
      </c>
      <c r="P119" s="10">
        <v>0</v>
      </c>
      <c r="Q119" s="1">
        <f t="shared" si="14"/>
        <v>0</v>
      </c>
      <c r="R119" s="10">
        <v>5</v>
      </c>
      <c r="S119" s="10">
        <v>0</v>
      </c>
      <c r="T119" s="10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8">
        <v>17524586</v>
      </c>
      <c r="B120" s="8" t="s">
        <v>262</v>
      </c>
      <c r="C120" s="8" t="s">
        <v>31</v>
      </c>
      <c r="D120" s="8" t="s">
        <v>440</v>
      </c>
      <c r="E120" s="8" t="s">
        <v>22</v>
      </c>
      <c r="F120" s="8" t="s">
        <v>105</v>
      </c>
      <c r="G120" s="12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1585400</v>
      </c>
      <c r="N120" s="6">
        <f t="shared" si="12"/>
        <v>1</v>
      </c>
      <c r="O120" s="9">
        <f t="shared" si="13"/>
        <v>7.9745867515223598E-2</v>
      </c>
      <c r="P120" s="10">
        <v>1</v>
      </c>
      <c r="Q120" s="1">
        <f t="shared" si="14"/>
        <v>0</v>
      </c>
      <c r="R120" s="10">
        <v>7</v>
      </c>
      <c r="S120" s="10">
        <v>1</v>
      </c>
      <c r="T120" s="10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8">
        <v>515112</v>
      </c>
      <c r="B121" s="8" t="s">
        <v>298</v>
      </c>
      <c r="C121" s="8" t="s">
        <v>31</v>
      </c>
      <c r="D121" s="8" t="s">
        <v>440</v>
      </c>
      <c r="E121" s="8" t="s">
        <v>22</v>
      </c>
      <c r="F121" s="8" t="s">
        <v>105</v>
      </c>
      <c r="G121" s="12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2100000</v>
      </c>
      <c r="N121" s="6">
        <f t="shared" si="12"/>
        <v>1</v>
      </c>
      <c r="O121" s="9">
        <f t="shared" si="13"/>
        <v>9.3483405360071367E-2</v>
      </c>
      <c r="P121" s="10">
        <v>0</v>
      </c>
      <c r="Q121" s="1">
        <f t="shared" si="14"/>
        <v>0</v>
      </c>
      <c r="R121" s="10">
        <v>21</v>
      </c>
      <c r="S121" s="10">
        <v>0</v>
      </c>
      <c r="T121" s="10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8">
        <v>17232998</v>
      </c>
      <c r="B122" s="8" t="s">
        <v>302</v>
      </c>
      <c r="C122" s="8" t="s">
        <v>31</v>
      </c>
      <c r="D122" s="8" t="s">
        <v>442</v>
      </c>
      <c r="E122" s="8" t="s">
        <v>22</v>
      </c>
      <c r="F122" s="8" t="s">
        <v>105</v>
      </c>
      <c r="G122" s="12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1150800</v>
      </c>
      <c r="N122" s="6">
        <f t="shared" si="12"/>
        <v>1</v>
      </c>
      <c r="O122" s="9">
        <f t="shared" si="13"/>
        <v>0.93294154852477629</v>
      </c>
      <c r="P122" s="10">
        <v>0</v>
      </c>
      <c r="Q122" s="1">
        <f t="shared" si="14"/>
        <v>0</v>
      </c>
      <c r="R122" s="10">
        <v>5</v>
      </c>
      <c r="S122" s="10">
        <v>0</v>
      </c>
      <c r="T122" s="10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8">
        <v>664096</v>
      </c>
      <c r="B123" s="8" t="s">
        <v>368</v>
      </c>
      <c r="C123" s="8" t="s">
        <v>31</v>
      </c>
      <c r="D123" s="8" t="s">
        <v>440</v>
      </c>
      <c r="E123" s="8" t="s">
        <v>22</v>
      </c>
      <c r="F123" s="8" t="s">
        <v>105</v>
      </c>
      <c r="G123" s="12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800400</v>
      </c>
      <c r="N123" s="6">
        <f t="shared" si="12"/>
        <v>1</v>
      </c>
      <c r="O123" s="9">
        <f t="shared" si="13"/>
        <v>0.1826233041094972</v>
      </c>
      <c r="P123" s="10">
        <v>0</v>
      </c>
      <c r="Q123" s="1">
        <f t="shared" si="14"/>
        <v>0</v>
      </c>
      <c r="R123" s="10">
        <v>5</v>
      </c>
      <c r="S123" s="10">
        <v>0</v>
      </c>
      <c r="T123" s="10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8" t="s">
        <v>450</v>
      </c>
      <c r="B124" s="8" t="s">
        <v>451</v>
      </c>
      <c r="C124" s="8" t="s">
        <v>31</v>
      </c>
      <c r="D124" s="8" t="s">
        <v>440</v>
      </c>
      <c r="E124" s="8" t="s">
        <v>22</v>
      </c>
      <c r="F124" s="11" t="s">
        <v>225</v>
      </c>
      <c r="G124" s="12" t="s">
        <v>441</v>
      </c>
      <c r="H124" s="7">
        <v>3</v>
      </c>
      <c r="I124" s="1">
        <v>36</v>
      </c>
      <c r="J124" s="1">
        <f t="shared" si="10"/>
        <v>1</v>
      </c>
      <c r="K124" s="5">
        <f t="shared" si="11"/>
        <v>12</v>
      </c>
      <c r="L124" s="2">
        <v>2549477.9785796599</v>
      </c>
      <c r="M124" s="2">
        <v>1870900</v>
      </c>
      <c r="N124" s="6">
        <f t="shared" si="12"/>
        <v>1</v>
      </c>
      <c r="O124" s="9">
        <f t="shared" si="13"/>
        <v>0.73383650132263445</v>
      </c>
      <c r="P124" s="10">
        <v>0</v>
      </c>
      <c r="Q124" s="1">
        <f t="shared" si="14"/>
        <v>0</v>
      </c>
      <c r="R124" s="10">
        <v>5</v>
      </c>
      <c r="S124" s="10">
        <v>0</v>
      </c>
      <c r="T124" s="10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8">
        <v>17564330</v>
      </c>
      <c r="B125" s="8" t="s">
        <v>224</v>
      </c>
      <c r="C125" s="8" t="s">
        <v>31</v>
      </c>
      <c r="D125" s="8" t="s">
        <v>442</v>
      </c>
      <c r="E125" s="8" t="s">
        <v>22</v>
      </c>
      <c r="F125" s="8" t="s">
        <v>225</v>
      </c>
      <c r="G125" s="12" t="s">
        <v>441</v>
      </c>
      <c r="H125" s="7">
        <v>5</v>
      </c>
      <c r="I125" s="1">
        <v>6</v>
      </c>
      <c r="J125" s="4">
        <f t="shared" si="10"/>
        <v>1</v>
      </c>
      <c r="K125" s="5">
        <f t="shared" si="11"/>
        <v>1.2</v>
      </c>
      <c r="L125" s="2">
        <v>1233517.793070439</v>
      </c>
      <c r="M125" s="2">
        <v>1398000</v>
      </c>
      <c r="N125" s="6">
        <f t="shared" si="12"/>
        <v>1</v>
      </c>
      <c r="O125" s="9">
        <f t="shared" si="13"/>
        <v>1.1333440083747284</v>
      </c>
      <c r="P125" s="10">
        <v>0</v>
      </c>
      <c r="Q125" s="1">
        <f t="shared" si="14"/>
        <v>0</v>
      </c>
      <c r="R125" s="10">
        <v>7</v>
      </c>
      <c r="S125" s="10">
        <v>0</v>
      </c>
      <c r="T125" s="10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8">
        <v>1070922</v>
      </c>
      <c r="B126" s="8" t="s">
        <v>101</v>
      </c>
      <c r="C126" s="8" t="s">
        <v>35</v>
      </c>
      <c r="D126" s="8" t="s">
        <v>440</v>
      </c>
      <c r="E126" s="8" t="s">
        <v>22</v>
      </c>
      <c r="F126" s="8" t="s">
        <v>96</v>
      </c>
      <c r="G126" s="12" t="s">
        <v>441</v>
      </c>
      <c r="H126" s="7">
        <v>5.4045439131909321</v>
      </c>
      <c r="I126" s="1">
        <v>8</v>
      </c>
      <c r="J126" s="1">
        <f t="shared" si="10"/>
        <v>1</v>
      </c>
      <c r="K126" s="5">
        <f t="shared" si="11"/>
        <v>1.4802359141673933</v>
      </c>
      <c r="L126" s="2">
        <v>19880654</v>
      </c>
      <c r="M126" s="2">
        <v>6186800</v>
      </c>
      <c r="N126" s="6">
        <f t="shared" si="12"/>
        <v>1</v>
      </c>
      <c r="O126" s="9">
        <f t="shared" si="13"/>
        <v>0.31119700589326688</v>
      </c>
      <c r="P126" s="10">
        <v>2</v>
      </c>
      <c r="Q126" s="1">
        <f t="shared" si="14"/>
        <v>0</v>
      </c>
      <c r="R126" s="10">
        <v>8</v>
      </c>
      <c r="S126" s="10">
        <v>2</v>
      </c>
      <c r="T126" s="10">
        <v>0</v>
      </c>
      <c r="U126" s="3">
        <v>1</v>
      </c>
      <c r="V126" s="3">
        <v>0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17221170</v>
      </c>
      <c r="B127" s="8" t="s">
        <v>242</v>
      </c>
      <c r="C127" s="8" t="s">
        <v>31</v>
      </c>
      <c r="D127" s="8" t="s">
        <v>444</v>
      </c>
      <c r="E127" s="8" t="s">
        <v>26</v>
      </c>
      <c r="F127" s="8" t="s">
        <v>225</v>
      </c>
      <c r="G127" s="12" t="s">
        <v>441</v>
      </c>
      <c r="H127" s="7">
        <v>2.7022719565954572</v>
      </c>
      <c r="I127" s="1">
        <v>6</v>
      </c>
      <c r="J127" s="1">
        <f t="shared" si="10"/>
        <v>1</v>
      </c>
      <c r="K127" s="5">
        <f t="shared" si="11"/>
        <v>2.2203538712510973</v>
      </c>
      <c r="L127" s="2">
        <v>6018419.3717715694</v>
      </c>
      <c r="M127" s="2">
        <v>4641200</v>
      </c>
      <c r="N127" s="6">
        <f t="shared" si="12"/>
        <v>1</v>
      </c>
      <c r="O127" s="9">
        <f t="shared" si="13"/>
        <v>0.77116593465865868</v>
      </c>
      <c r="P127" s="10">
        <v>1</v>
      </c>
      <c r="Q127" s="1">
        <f t="shared" si="14"/>
        <v>0</v>
      </c>
      <c r="R127" s="10">
        <v>5</v>
      </c>
      <c r="S127" s="10">
        <v>2</v>
      </c>
      <c r="T127" s="10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8">
        <v>1078285</v>
      </c>
      <c r="B128" s="8" t="s">
        <v>59</v>
      </c>
      <c r="C128" s="8" t="s">
        <v>31</v>
      </c>
      <c r="D128" s="8" t="s">
        <v>440</v>
      </c>
      <c r="E128" s="8" t="s">
        <v>22</v>
      </c>
      <c r="F128" s="8" t="s">
        <v>60</v>
      </c>
      <c r="G128" s="12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1237500</v>
      </c>
      <c r="N128" s="6">
        <f t="shared" si="12"/>
        <v>1</v>
      </c>
      <c r="O128" s="9">
        <f t="shared" si="13"/>
        <v>0.48539348462598758</v>
      </c>
      <c r="P128" s="10">
        <v>1</v>
      </c>
      <c r="Q128" s="1">
        <f t="shared" si="14"/>
        <v>0</v>
      </c>
      <c r="R128" s="10">
        <v>7</v>
      </c>
      <c r="S128" s="10">
        <v>1</v>
      </c>
      <c r="T128" s="10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8">
        <v>1291615</v>
      </c>
      <c r="B129" s="8" t="s">
        <v>80</v>
      </c>
      <c r="C129" s="8" t="s">
        <v>31</v>
      </c>
      <c r="D129" s="8" t="s">
        <v>442</v>
      </c>
      <c r="E129" s="8" t="s">
        <v>22</v>
      </c>
      <c r="F129" s="8" t="s">
        <v>60</v>
      </c>
      <c r="G129" s="12" t="s">
        <v>441</v>
      </c>
      <c r="H129" s="7">
        <v>9.3540183112919824</v>
      </c>
      <c r="I129" s="1">
        <v>3</v>
      </c>
      <c r="J129" s="4">
        <f t="shared" si="10"/>
        <v>1</v>
      </c>
      <c r="K129" s="5">
        <f t="shared" si="11"/>
        <v>0.32071778140293572</v>
      </c>
      <c r="L129" s="2">
        <v>1233517.793070439</v>
      </c>
      <c r="M129" s="2">
        <v>1201000</v>
      </c>
      <c r="N129" s="6">
        <f t="shared" si="12"/>
        <v>1</v>
      </c>
      <c r="O129" s="9">
        <f t="shared" si="13"/>
        <v>0.97363816456226659</v>
      </c>
      <c r="P129" s="10">
        <v>0</v>
      </c>
      <c r="Q129" s="1">
        <f t="shared" si="14"/>
        <v>0</v>
      </c>
      <c r="R129" s="10">
        <v>12</v>
      </c>
      <c r="S129" s="10">
        <v>0</v>
      </c>
      <c r="T129" s="10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8">
        <v>17342969</v>
      </c>
      <c r="B130" s="8" t="s">
        <v>86</v>
      </c>
      <c r="C130" s="8" t="s">
        <v>31</v>
      </c>
      <c r="D130" s="8" t="s">
        <v>440</v>
      </c>
      <c r="E130" s="8" t="s">
        <v>22</v>
      </c>
      <c r="F130" s="8" t="s">
        <v>60</v>
      </c>
      <c r="G130" s="12" t="s">
        <v>441</v>
      </c>
      <c r="H130" s="7">
        <v>3</v>
      </c>
      <c r="I130" s="1">
        <v>3</v>
      </c>
      <c r="J130" s="1">
        <f t="shared" si="10"/>
        <v>1</v>
      </c>
      <c r="K130" s="5">
        <f t="shared" si="11"/>
        <v>1</v>
      </c>
      <c r="L130" s="2">
        <v>12908778</v>
      </c>
      <c r="M130" s="2">
        <v>1514800</v>
      </c>
      <c r="N130" s="6">
        <f t="shared" si="12"/>
        <v>1</v>
      </c>
      <c r="O130" s="9">
        <f t="shared" si="13"/>
        <v>0.11734650638503505</v>
      </c>
      <c r="P130" s="10">
        <v>2</v>
      </c>
      <c r="Q130" s="1">
        <f t="shared" si="14"/>
        <v>0</v>
      </c>
      <c r="R130" s="10">
        <v>5</v>
      </c>
      <c r="S130" s="10">
        <v>2</v>
      </c>
      <c r="T130" s="10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8">
        <v>17607319</v>
      </c>
      <c r="B131" s="8" t="s">
        <v>100</v>
      </c>
      <c r="C131" s="8" t="s">
        <v>31</v>
      </c>
      <c r="D131" s="8" t="s">
        <v>444</v>
      </c>
      <c r="E131" s="8" t="s">
        <v>26</v>
      </c>
      <c r="F131" s="8" t="s">
        <v>60</v>
      </c>
      <c r="G131" s="12" t="s">
        <v>441</v>
      </c>
      <c r="H131" s="7">
        <v>11.432689047134639</v>
      </c>
      <c r="I131" s="1">
        <v>3</v>
      </c>
      <c r="J131" s="1">
        <f t="shared" si="10"/>
        <v>1</v>
      </c>
      <c r="K131" s="5">
        <f t="shared" si="11"/>
        <v>0.26240545751149302</v>
      </c>
      <c r="L131" s="2">
        <v>6018419.3717715694</v>
      </c>
      <c r="M131" s="2">
        <v>680400</v>
      </c>
      <c r="N131" s="6">
        <f t="shared" si="12"/>
        <v>1</v>
      </c>
      <c r="O131" s="9">
        <f t="shared" si="13"/>
        <v>0.11305293931348603</v>
      </c>
      <c r="P131" s="10">
        <v>0</v>
      </c>
      <c r="Q131" s="1">
        <f t="shared" si="14"/>
        <v>0</v>
      </c>
      <c r="R131" s="10">
        <v>14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658571</v>
      </c>
      <c r="B132" s="8" t="s">
        <v>132</v>
      </c>
      <c r="C132" s="8" t="s">
        <v>31</v>
      </c>
      <c r="D132" s="8" t="s">
        <v>442</v>
      </c>
      <c r="E132" s="8" t="s">
        <v>22</v>
      </c>
      <c r="F132" s="8" t="s">
        <v>60</v>
      </c>
      <c r="G132" s="12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914500</v>
      </c>
      <c r="N132" s="6">
        <f t="shared" si="12"/>
        <v>1</v>
      </c>
      <c r="O132" s="9">
        <f t="shared" si="13"/>
        <v>0.74137560490607224</v>
      </c>
      <c r="P132" s="10">
        <v>1</v>
      </c>
      <c r="Q132" s="1">
        <f t="shared" si="14"/>
        <v>0</v>
      </c>
      <c r="R132" s="10">
        <v>8</v>
      </c>
      <c r="S132" s="10">
        <v>1</v>
      </c>
      <c r="T132" s="10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8">
        <v>17717812</v>
      </c>
      <c r="B133" s="8" t="s">
        <v>153</v>
      </c>
      <c r="C133" s="8" t="s">
        <v>31</v>
      </c>
      <c r="D133" s="8" t="s">
        <v>440</v>
      </c>
      <c r="E133" s="8" t="s">
        <v>22</v>
      </c>
      <c r="F133" s="8" t="s">
        <v>60</v>
      </c>
      <c r="G133" s="12" t="s">
        <v>441</v>
      </c>
      <c r="H133" s="7">
        <v>7.0674805018650426</v>
      </c>
      <c r="I133" s="1">
        <v>3</v>
      </c>
      <c r="J133" s="4">
        <f t="shared" si="10"/>
        <v>1</v>
      </c>
      <c r="K133" s="5">
        <f t="shared" si="11"/>
        <v>0.42447941656270971</v>
      </c>
      <c r="L133" s="2">
        <v>2549477.9785796599</v>
      </c>
      <c r="M133" s="2">
        <v>375600</v>
      </c>
      <c r="N133" s="6">
        <f t="shared" si="12"/>
        <v>1</v>
      </c>
      <c r="O133" s="9">
        <f t="shared" si="13"/>
        <v>0.14732427703072398</v>
      </c>
      <c r="P133" s="10">
        <v>10</v>
      </c>
      <c r="Q133" s="1">
        <f t="shared" si="14"/>
        <v>1</v>
      </c>
      <c r="R133" s="10">
        <v>10</v>
      </c>
      <c r="S133" s="10">
        <v>10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 t="s">
        <v>155</v>
      </c>
      <c r="B134" s="8" t="s">
        <v>156</v>
      </c>
      <c r="C134" s="8" t="s">
        <v>31</v>
      </c>
      <c r="D134" s="8" t="s">
        <v>440</v>
      </c>
      <c r="E134" s="8" t="s">
        <v>26</v>
      </c>
      <c r="F134" s="8" t="s">
        <v>60</v>
      </c>
      <c r="G134" s="12" t="s">
        <v>441</v>
      </c>
      <c r="H134" s="7">
        <v>3.3258731773482562</v>
      </c>
      <c r="I134" s="1">
        <v>3</v>
      </c>
      <c r="J134" s="1">
        <f t="shared" si="10"/>
        <v>1</v>
      </c>
      <c r="K134" s="5">
        <f t="shared" si="11"/>
        <v>0.90201876019575788</v>
      </c>
      <c r="L134" s="2">
        <v>29626053.564346101</v>
      </c>
      <c r="M134" s="2">
        <v>1326000</v>
      </c>
      <c r="N134" s="6">
        <f t="shared" si="12"/>
        <v>1</v>
      </c>
      <c r="O134" s="9">
        <f t="shared" si="13"/>
        <v>4.4757901929799844E-2</v>
      </c>
      <c r="P134" s="10">
        <v>6</v>
      </c>
      <c r="Q134" s="1">
        <f t="shared" si="14"/>
        <v>1</v>
      </c>
      <c r="R134" s="10">
        <v>6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8" t="s">
        <v>167</v>
      </c>
      <c r="B135" s="8" t="s">
        <v>168</v>
      </c>
      <c r="C135" s="8" t="s">
        <v>31</v>
      </c>
      <c r="D135" s="8" t="s">
        <v>440</v>
      </c>
      <c r="E135" s="8" t="s">
        <v>26</v>
      </c>
      <c r="F135" s="8" t="s">
        <v>60</v>
      </c>
      <c r="G135" s="12" t="s">
        <v>441</v>
      </c>
      <c r="H135" s="7">
        <v>7.2753475754493193</v>
      </c>
      <c r="I135" s="1">
        <v>3</v>
      </c>
      <c r="J135" s="4">
        <f t="shared" si="10"/>
        <v>1</v>
      </c>
      <c r="K135" s="5">
        <f t="shared" si="11"/>
        <v>0.41235143323234597</v>
      </c>
      <c r="L135" s="2">
        <v>3197916.7051896802</v>
      </c>
      <c r="M135" s="2">
        <v>446400</v>
      </c>
      <c r="N135" s="6">
        <f t="shared" si="12"/>
        <v>1</v>
      </c>
      <c r="O135" s="9">
        <f t="shared" si="13"/>
        <v>0.13959087779727594</v>
      </c>
      <c r="P135" s="10">
        <v>0</v>
      </c>
      <c r="Q135" s="1">
        <f t="shared" si="14"/>
        <v>0</v>
      </c>
      <c r="R135" s="10">
        <v>10</v>
      </c>
      <c r="S135" s="10">
        <v>0</v>
      </c>
      <c r="T135" s="10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8" t="s">
        <v>171</v>
      </c>
      <c r="B136" s="8" t="s">
        <v>172</v>
      </c>
      <c r="C136" s="8" t="s">
        <v>31</v>
      </c>
      <c r="D136" s="8" t="s">
        <v>440</v>
      </c>
      <c r="E136" s="8" t="s">
        <v>22</v>
      </c>
      <c r="F136" s="8" t="s">
        <v>60</v>
      </c>
      <c r="G136" s="12" t="s">
        <v>441</v>
      </c>
      <c r="H136" s="7">
        <v>16.83723296032553</v>
      </c>
      <c r="I136" s="1">
        <v>3</v>
      </c>
      <c r="J136" s="4">
        <f t="shared" si="10"/>
        <v>1</v>
      </c>
      <c r="K136" s="5">
        <f t="shared" si="11"/>
        <v>0.17817654522385359</v>
      </c>
      <c r="L136" s="2">
        <v>22463880</v>
      </c>
      <c r="M136" s="2">
        <v>1445200</v>
      </c>
      <c r="N136" s="6">
        <f t="shared" si="12"/>
        <v>1</v>
      </c>
      <c r="O136" s="9">
        <f t="shared" si="13"/>
        <v>6.4334389250654822E-2</v>
      </c>
      <c r="P136" s="10">
        <v>1</v>
      </c>
      <c r="Q136" s="1">
        <f t="shared" si="14"/>
        <v>0</v>
      </c>
      <c r="R136" s="10">
        <v>9</v>
      </c>
      <c r="S136" s="10">
        <v>0</v>
      </c>
      <c r="T136" s="10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8">
        <v>17236778</v>
      </c>
      <c r="B137" s="8" t="s">
        <v>108</v>
      </c>
      <c r="C137" s="8" t="s">
        <v>35</v>
      </c>
      <c r="D137" s="8" t="s">
        <v>442</v>
      </c>
      <c r="E137" s="8" t="s">
        <v>22</v>
      </c>
      <c r="F137" s="8" t="s">
        <v>109</v>
      </c>
      <c r="G137" s="12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2324000</v>
      </c>
      <c r="N137" s="6">
        <f t="shared" si="12"/>
        <v>1</v>
      </c>
      <c r="O137" s="9">
        <f t="shared" si="13"/>
        <v>1.8840425432495482</v>
      </c>
      <c r="P137" s="10">
        <v>0</v>
      </c>
      <c r="Q137" s="1">
        <f t="shared" si="14"/>
        <v>0</v>
      </c>
      <c r="R137" s="10">
        <v>7</v>
      </c>
      <c r="S137" s="10">
        <v>0</v>
      </c>
      <c r="T137" s="10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13">
        <v>17750171</v>
      </c>
      <c r="B138" s="13" t="s">
        <v>124</v>
      </c>
      <c r="C138" s="8" t="s">
        <v>35</v>
      </c>
      <c r="D138" s="8" t="s">
        <v>442</v>
      </c>
      <c r="E138" s="8" t="s">
        <v>26</v>
      </c>
      <c r="F138" s="26" t="s">
        <v>126</v>
      </c>
      <c r="G138" s="25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9">
        <f t="shared" si="13"/>
        <v>0</v>
      </c>
      <c r="P138" s="10">
        <v>1</v>
      </c>
      <c r="Q138" s="1">
        <f t="shared" si="14"/>
        <v>0</v>
      </c>
      <c r="R138" s="10">
        <v>5</v>
      </c>
      <c r="S138" s="10">
        <v>6</v>
      </c>
      <c r="T138" s="10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8">
        <v>17654507</v>
      </c>
      <c r="B139" s="8" t="s">
        <v>127</v>
      </c>
      <c r="C139" s="8" t="s">
        <v>35</v>
      </c>
      <c r="D139" s="8" t="s">
        <v>442</v>
      </c>
      <c r="E139" s="8" t="s">
        <v>26</v>
      </c>
      <c r="F139" s="8" t="s">
        <v>62</v>
      </c>
      <c r="G139" s="12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9">
        <f t="shared" si="13"/>
        <v>2.1158997581244927</v>
      </c>
      <c r="P139" s="10">
        <v>4</v>
      </c>
      <c r="Q139" s="1">
        <f t="shared" si="14"/>
        <v>1</v>
      </c>
      <c r="R139" s="10">
        <v>5</v>
      </c>
      <c r="S139" s="10">
        <v>5</v>
      </c>
      <c r="T139" s="10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8" t="s">
        <v>192</v>
      </c>
      <c r="B140" s="8" t="s">
        <v>193</v>
      </c>
      <c r="C140" s="8" t="s">
        <v>31</v>
      </c>
      <c r="D140" s="8" t="s">
        <v>440</v>
      </c>
      <c r="E140" s="8" t="s">
        <v>22</v>
      </c>
      <c r="F140" s="8" t="s">
        <v>60</v>
      </c>
      <c r="G140" s="12" t="s">
        <v>441</v>
      </c>
      <c r="H140" s="7">
        <v>6.0281451339437124</v>
      </c>
      <c r="I140" s="1">
        <v>3</v>
      </c>
      <c r="J140" s="1">
        <f t="shared" si="10"/>
        <v>1</v>
      </c>
      <c r="K140" s="5">
        <f t="shared" si="11"/>
        <v>0.49766552286662519</v>
      </c>
      <c r="L140" s="2">
        <v>29626053.564346101</v>
      </c>
      <c r="M140" s="2">
        <v>1615600</v>
      </c>
      <c r="N140" s="6">
        <f t="shared" si="12"/>
        <v>1</v>
      </c>
      <c r="O140" s="9">
        <f t="shared" si="13"/>
        <v>5.45330817177863E-2</v>
      </c>
      <c r="P140" s="10">
        <v>1</v>
      </c>
      <c r="Q140" s="1">
        <f t="shared" si="14"/>
        <v>0</v>
      </c>
      <c r="R140" s="10">
        <v>9</v>
      </c>
      <c r="S140" s="10">
        <v>0</v>
      </c>
      <c r="T140" s="10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8">
        <v>17634238</v>
      </c>
      <c r="B141" s="8" t="s">
        <v>130</v>
      </c>
      <c r="C141" s="8" t="s">
        <v>35</v>
      </c>
      <c r="D141" s="8" t="s">
        <v>442</v>
      </c>
      <c r="E141" s="8" t="s">
        <v>26</v>
      </c>
      <c r="F141" s="8" t="s">
        <v>131</v>
      </c>
      <c r="G141" s="12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9">
        <f t="shared" si="13"/>
        <v>0</v>
      </c>
      <c r="P141" s="10">
        <v>0</v>
      </c>
      <c r="Q141" s="1">
        <f t="shared" si="14"/>
        <v>0</v>
      </c>
      <c r="R141" s="10">
        <v>22</v>
      </c>
      <c r="S141" s="10">
        <v>0</v>
      </c>
      <c r="T141" s="10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8">
        <v>1375110</v>
      </c>
      <c r="B142" s="8" t="s">
        <v>222</v>
      </c>
      <c r="C142" s="8" t="s">
        <v>31</v>
      </c>
      <c r="D142" s="8" t="s">
        <v>442</v>
      </c>
      <c r="E142" s="8" t="s">
        <v>22</v>
      </c>
      <c r="F142" s="8" t="s">
        <v>60</v>
      </c>
      <c r="G142" s="12" t="s">
        <v>441</v>
      </c>
      <c r="H142" s="7">
        <v>7.691081722617823</v>
      </c>
      <c r="I142" s="1">
        <v>3</v>
      </c>
      <c r="J142" s="1">
        <f t="shared" si="10"/>
        <v>1</v>
      </c>
      <c r="K142" s="5">
        <f t="shared" si="11"/>
        <v>0.39006216657113951</v>
      </c>
      <c r="L142" s="2">
        <v>1233517.793070439</v>
      </c>
      <c r="M142" s="2">
        <v>1335900</v>
      </c>
      <c r="N142" s="6">
        <f t="shared" si="12"/>
        <v>1</v>
      </c>
      <c r="O142" s="9">
        <f t="shared" si="13"/>
        <v>1.0830001865434904</v>
      </c>
      <c r="P142" s="10">
        <v>1</v>
      </c>
      <c r="Q142" s="1">
        <f t="shared" si="14"/>
        <v>0</v>
      </c>
      <c r="R142" s="10">
        <v>10</v>
      </c>
      <c r="S142" s="10">
        <v>1</v>
      </c>
      <c r="T142" s="10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8">
        <v>1570103</v>
      </c>
      <c r="B143" s="8" t="s">
        <v>246</v>
      </c>
      <c r="C143" s="8" t="s">
        <v>31</v>
      </c>
      <c r="D143" s="8" t="s">
        <v>440</v>
      </c>
      <c r="E143" s="8" t="s">
        <v>22</v>
      </c>
      <c r="F143" s="8" t="s">
        <v>60</v>
      </c>
      <c r="G143" s="12" t="s">
        <v>441</v>
      </c>
      <c r="H143" s="7">
        <v>3</v>
      </c>
      <c r="I143" s="1">
        <v>4</v>
      </c>
      <c r="J143" s="4">
        <f t="shared" si="10"/>
        <v>1</v>
      </c>
      <c r="K143" s="5">
        <f t="shared" si="11"/>
        <v>1.3333333333333333</v>
      </c>
      <c r="L143" s="2">
        <v>19880654</v>
      </c>
      <c r="M143" s="2">
        <v>3462000</v>
      </c>
      <c r="N143" s="6">
        <f t="shared" si="12"/>
        <v>1</v>
      </c>
      <c r="O143" s="9">
        <f t="shared" si="13"/>
        <v>0.17413914049306425</v>
      </c>
      <c r="P143" s="10">
        <v>2</v>
      </c>
      <c r="Q143" s="1">
        <f t="shared" si="14"/>
        <v>0</v>
      </c>
      <c r="R143" s="10">
        <v>5</v>
      </c>
      <c r="S143" s="10">
        <v>2</v>
      </c>
      <c r="T143" s="10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8">
        <v>971296</v>
      </c>
      <c r="B144" s="8" t="s">
        <v>133</v>
      </c>
      <c r="C144" s="8" t="s">
        <v>35</v>
      </c>
      <c r="D144" s="8" t="s">
        <v>440</v>
      </c>
      <c r="E144" s="8" t="s">
        <v>22</v>
      </c>
      <c r="F144" s="8" t="s">
        <v>88</v>
      </c>
      <c r="G144" s="12" t="s">
        <v>441</v>
      </c>
      <c r="H144" s="7">
        <v>5</v>
      </c>
      <c r="I144" s="1">
        <v>6</v>
      </c>
      <c r="J144" s="1">
        <f t="shared" si="10"/>
        <v>1</v>
      </c>
      <c r="K144" s="5">
        <f t="shared" si="11"/>
        <v>1.2</v>
      </c>
      <c r="L144" s="2">
        <v>3447239.462353264</v>
      </c>
      <c r="M144" s="2">
        <v>1028000</v>
      </c>
      <c r="N144" s="6">
        <f t="shared" si="12"/>
        <v>1</v>
      </c>
      <c r="O144" s="9">
        <f t="shared" si="13"/>
        <v>0.29820962866856776</v>
      </c>
      <c r="P144" s="10">
        <v>5</v>
      </c>
      <c r="Q144" s="1">
        <f t="shared" si="14"/>
        <v>1</v>
      </c>
      <c r="R144" s="10">
        <v>7</v>
      </c>
      <c r="S144" s="10">
        <v>5</v>
      </c>
      <c r="T144" s="10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507409</v>
      </c>
      <c r="B145" s="8" t="s">
        <v>134</v>
      </c>
      <c r="C145" s="8" t="s">
        <v>35</v>
      </c>
      <c r="D145" s="8" t="s">
        <v>442</v>
      </c>
      <c r="E145" s="8" t="s">
        <v>22</v>
      </c>
      <c r="F145" s="8" t="s">
        <v>135</v>
      </c>
      <c r="G145" s="12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5398000</v>
      </c>
      <c r="N145" s="6">
        <f t="shared" si="12"/>
        <v>1</v>
      </c>
      <c r="O145" s="9">
        <f t="shared" si="13"/>
        <v>4.3761022583739511</v>
      </c>
      <c r="P145" s="10">
        <v>2</v>
      </c>
      <c r="Q145" s="1">
        <f t="shared" si="14"/>
        <v>0</v>
      </c>
      <c r="R145" s="10">
        <v>10</v>
      </c>
      <c r="S145" s="10">
        <v>2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17799381</v>
      </c>
      <c r="B146" s="8" t="s">
        <v>142</v>
      </c>
      <c r="C146" s="8" t="s">
        <v>35</v>
      </c>
      <c r="D146" s="8" t="s">
        <v>440</v>
      </c>
      <c r="E146" s="8" t="s">
        <v>22</v>
      </c>
      <c r="F146" s="8" t="s">
        <v>85</v>
      </c>
      <c r="G146" s="12" t="s">
        <v>441</v>
      </c>
      <c r="H146" s="7">
        <v>3</v>
      </c>
      <c r="I146" s="1">
        <v>5</v>
      </c>
      <c r="J146" s="4">
        <f t="shared" si="10"/>
        <v>1</v>
      </c>
      <c r="K146" s="5">
        <f t="shared" si="11"/>
        <v>1.6666666666666667</v>
      </c>
      <c r="L146" s="2">
        <v>3917572.6875978149</v>
      </c>
      <c r="M146" s="2">
        <v>8790000</v>
      </c>
      <c r="N146" s="6">
        <f t="shared" si="12"/>
        <v>1</v>
      </c>
      <c r="O146" s="9">
        <f t="shared" si="13"/>
        <v>2.2437362879895586</v>
      </c>
      <c r="P146" s="10">
        <v>3</v>
      </c>
      <c r="Q146" s="1">
        <f t="shared" si="14"/>
        <v>1</v>
      </c>
      <c r="R146" s="10">
        <v>5</v>
      </c>
      <c r="S146" s="10">
        <v>3</v>
      </c>
      <c r="T146" s="10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8">
        <v>818388</v>
      </c>
      <c r="B147" s="8" t="s">
        <v>235</v>
      </c>
      <c r="C147" s="8" t="s">
        <v>31</v>
      </c>
      <c r="D147" s="8" t="s">
        <v>444</v>
      </c>
      <c r="E147" s="8" t="s">
        <v>26</v>
      </c>
      <c r="F147" s="8" t="s">
        <v>236</v>
      </c>
      <c r="G147" s="12" t="s">
        <v>441</v>
      </c>
      <c r="H147" s="7">
        <v>7.0674805018650426</v>
      </c>
      <c r="I147" s="1">
        <v>3</v>
      </c>
      <c r="J147" s="4">
        <f t="shared" si="10"/>
        <v>1</v>
      </c>
      <c r="K147" s="5">
        <f t="shared" si="11"/>
        <v>0.42447941656270971</v>
      </c>
      <c r="L147" s="2">
        <v>6018419.3717715694</v>
      </c>
      <c r="M147" s="2">
        <v>426000</v>
      </c>
      <c r="N147" s="6">
        <f t="shared" si="12"/>
        <v>1</v>
      </c>
      <c r="O147" s="9">
        <f t="shared" si="13"/>
        <v>7.0782704508443636E-2</v>
      </c>
      <c r="P147" s="10">
        <v>0</v>
      </c>
      <c r="Q147" s="1">
        <f t="shared" si="14"/>
        <v>0</v>
      </c>
      <c r="R147" s="10">
        <v>10</v>
      </c>
      <c r="S147" s="10">
        <v>0</v>
      </c>
      <c r="T147" s="10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8">
        <v>17707702</v>
      </c>
      <c r="B148" s="8" t="s">
        <v>340</v>
      </c>
      <c r="C148" s="8" t="s">
        <v>31</v>
      </c>
      <c r="D148" s="8" t="s">
        <v>442</v>
      </c>
      <c r="E148" s="8" t="s">
        <v>22</v>
      </c>
      <c r="F148" s="8" t="s">
        <v>236</v>
      </c>
      <c r="G148" s="12" t="s">
        <v>441</v>
      </c>
      <c r="H148" s="7">
        <v>13.719226856561541</v>
      </c>
      <c r="I148" s="1">
        <v>3</v>
      </c>
      <c r="J148" s="1">
        <f t="shared" si="10"/>
        <v>1</v>
      </c>
      <c r="K148" s="5">
        <f t="shared" si="11"/>
        <v>0.21867121459291125</v>
      </c>
      <c r="L148" s="2">
        <v>1233517.793070439</v>
      </c>
      <c r="M148" s="2">
        <v>770400</v>
      </c>
      <c r="N148" s="6">
        <f t="shared" si="12"/>
        <v>1</v>
      </c>
      <c r="O148" s="9">
        <f t="shared" si="13"/>
        <v>0.62455523894985032</v>
      </c>
      <c r="P148" s="10">
        <v>0</v>
      </c>
      <c r="Q148" s="1">
        <f t="shared" si="14"/>
        <v>0</v>
      </c>
      <c r="R148" s="10">
        <v>9</v>
      </c>
      <c r="S148" s="10">
        <v>5</v>
      </c>
      <c r="T148" s="10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8">
        <v>17689734</v>
      </c>
      <c r="B149" s="8" t="s">
        <v>417</v>
      </c>
      <c r="C149" s="8" t="s">
        <v>31</v>
      </c>
      <c r="D149" s="8" t="s">
        <v>442</v>
      </c>
      <c r="E149" s="8" t="s">
        <v>26</v>
      </c>
      <c r="F149" s="8" t="s">
        <v>236</v>
      </c>
      <c r="G149" s="12" t="s">
        <v>441</v>
      </c>
      <c r="H149" s="7">
        <v>3.1180061037639888</v>
      </c>
      <c r="I149" s="1">
        <v>3</v>
      </c>
      <c r="J149" s="1">
        <f t="shared" si="10"/>
        <v>1</v>
      </c>
      <c r="K149" s="5">
        <f t="shared" si="11"/>
        <v>0.96215334420880883</v>
      </c>
      <c r="L149" s="2">
        <v>1233517.793070439</v>
      </c>
      <c r="M149" s="2">
        <v>767400</v>
      </c>
      <c r="N149" s="6">
        <f t="shared" si="12"/>
        <v>1</v>
      </c>
      <c r="O149" s="9">
        <f t="shared" si="13"/>
        <v>0.62212317026235087</v>
      </c>
      <c r="P149" s="10">
        <v>6</v>
      </c>
      <c r="Q149" s="1">
        <f t="shared" si="14"/>
        <v>1</v>
      </c>
      <c r="R149" s="10">
        <v>6</v>
      </c>
      <c r="S149" s="10">
        <v>7</v>
      </c>
      <c r="T149" s="10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8">
        <v>17689754</v>
      </c>
      <c r="B150" s="8" t="s">
        <v>418</v>
      </c>
      <c r="C150" s="8" t="s">
        <v>31</v>
      </c>
      <c r="D150" s="8" t="s">
        <v>442</v>
      </c>
      <c r="E150" s="8" t="s">
        <v>26</v>
      </c>
      <c r="F150" s="8" t="s">
        <v>236</v>
      </c>
      <c r="G150" s="12" t="s">
        <v>441</v>
      </c>
      <c r="H150" s="7">
        <v>4.9888097660223796</v>
      </c>
      <c r="I150" s="1">
        <v>3</v>
      </c>
      <c r="J150" s="1">
        <f t="shared" si="10"/>
        <v>1</v>
      </c>
      <c r="K150" s="5">
        <f t="shared" si="11"/>
        <v>0.60134584013050585</v>
      </c>
      <c r="L150" s="2">
        <v>1233517.793070439</v>
      </c>
      <c r="M150" s="2">
        <v>770400</v>
      </c>
      <c r="N150" s="6">
        <f t="shared" si="12"/>
        <v>1</v>
      </c>
      <c r="O150" s="9">
        <f t="shared" si="13"/>
        <v>0.62455523894985032</v>
      </c>
      <c r="P150" s="10">
        <v>0</v>
      </c>
      <c r="Q150" s="1">
        <f t="shared" si="14"/>
        <v>0</v>
      </c>
      <c r="R150" s="10">
        <v>7</v>
      </c>
      <c r="S150" s="10">
        <v>5</v>
      </c>
      <c r="T150" s="10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8">
        <v>17634230</v>
      </c>
      <c r="B151" s="8" t="s">
        <v>148</v>
      </c>
      <c r="C151" s="8" t="s">
        <v>35</v>
      </c>
      <c r="D151" s="8" t="s">
        <v>442</v>
      </c>
      <c r="E151" s="8" t="s">
        <v>26</v>
      </c>
      <c r="F151" s="8" t="s">
        <v>38</v>
      </c>
      <c r="G151" s="12" t="s">
        <v>441</v>
      </c>
      <c r="H151" s="7">
        <v>5.8202780603594357</v>
      </c>
      <c r="I151" s="1">
        <v>3</v>
      </c>
      <c r="J151" s="4">
        <f t="shared" si="10"/>
        <v>1</v>
      </c>
      <c r="K151" s="5">
        <f t="shared" si="11"/>
        <v>0.51543929154043422</v>
      </c>
      <c r="L151" s="2">
        <v>1233517.793070439</v>
      </c>
      <c r="M151" s="2">
        <v>6318000</v>
      </c>
      <c r="N151" s="6">
        <f t="shared" si="12"/>
        <v>1</v>
      </c>
      <c r="O151" s="9">
        <f t="shared" si="13"/>
        <v>5.121936655873772</v>
      </c>
      <c r="P151" s="10">
        <v>6</v>
      </c>
      <c r="Q151" s="1">
        <f t="shared" si="14"/>
        <v>1</v>
      </c>
      <c r="R151" s="10">
        <v>8</v>
      </c>
      <c r="S151" s="10">
        <v>6</v>
      </c>
      <c r="T151" s="10">
        <v>0</v>
      </c>
      <c r="U151" s="3">
        <v>0</v>
      </c>
      <c r="V151" s="3">
        <v>0</v>
      </c>
      <c r="W151" s="3">
        <v>0</v>
      </c>
      <c r="X151" s="3">
        <v>1</v>
      </c>
      <c r="Y151" s="3">
        <v>0</v>
      </c>
      <c r="Z151" s="3">
        <v>0</v>
      </c>
    </row>
    <row r="152" spans="1:26" ht="26">
      <c r="A152" s="8">
        <v>17634254</v>
      </c>
      <c r="B152" s="8" t="s">
        <v>150</v>
      </c>
      <c r="C152" s="8" t="s">
        <v>35</v>
      </c>
      <c r="D152" s="8" t="s">
        <v>442</v>
      </c>
      <c r="E152" s="8" t="s">
        <v>26</v>
      </c>
      <c r="F152" s="8" t="s">
        <v>151</v>
      </c>
      <c r="G152" s="12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9">
        <f t="shared" si="13"/>
        <v>0</v>
      </c>
      <c r="P152" s="10">
        <v>0</v>
      </c>
      <c r="Q152" s="1">
        <f t="shared" si="14"/>
        <v>0</v>
      </c>
      <c r="R152" s="10">
        <v>12</v>
      </c>
      <c r="S152" s="10">
        <v>0</v>
      </c>
      <c r="T152" s="10">
        <v>0</v>
      </c>
      <c r="U152" s="3">
        <v>0</v>
      </c>
      <c r="V152" s="3">
        <v>0</v>
      </c>
      <c r="W152" s="3">
        <v>0</v>
      </c>
      <c r="X152" s="3">
        <v>1</v>
      </c>
      <c r="Y152" s="3">
        <v>0</v>
      </c>
      <c r="Z152" s="3">
        <v>0</v>
      </c>
    </row>
    <row r="153" spans="1:26" ht="26">
      <c r="A153" s="8">
        <v>1486638</v>
      </c>
      <c r="B153" s="8" t="s">
        <v>152</v>
      </c>
      <c r="C153" s="8" t="s">
        <v>35</v>
      </c>
      <c r="D153" s="8" t="s">
        <v>440</v>
      </c>
      <c r="E153" s="8" t="s">
        <v>22</v>
      </c>
      <c r="F153" s="8" t="s">
        <v>96</v>
      </c>
      <c r="G153" s="12" t="s">
        <v>441</v>
      </c>
      <c r="H153" s="7">
        <v>2.7022719565954572</v>
      </c>
      <c r="I153" s="1">
        <v>28</v>
      </c>
      <c r="J153" s="4">
        <f t="shared" si="10"/>
        <v>1</v>
      </c>
      <c r="K153" s="5">
        <f t="shared" si="11"/>
        <v>10.361651399171787</v>
      </c>
      <c r="L153" s="2">
        <v>19880654</v>
      </c>
      <c r="M153" s="2">
        <v>3378000</v>
      </c>
      <c r="N153" s="6">
        <f t="shared" si="12"/>
        <v>1</v>
      </c>
      <c r="O153" s="9">
        <f t="shared" si="13"/>
        <v>0.16991392737884781</v>
      </c>
      <c r="P153" s="10">
        <v>1</v>
      </c>
      <c r="Q153" s="1">
        <f t="shared" si="14"/>
        <v>0</v>
      </c>
      <c r="R153" s="10">
        <v>5</v>
      </c>
      <c r="S153" s="10">
        <v>1</v>
      </c>
      <c r="T153" s="10">
        <v>0</v>
      </c>
      <c r="U153" s="3">
        <v>0</v>
      </c>
      <c r="V153" s="3">
        <v>0</v>
      </c>
      <c r="W153" s="3">
        <v>1</v>
      </c>
      <c r="X153" s="3">
        <v>0</v>
      </c>
      <c r="Y153" s="3">
        <v>0</v>
      </c>
      <c r="Z153" s="3">
        <v>0</v>
      </c>
    </row>
    <row r="154" spans="1:26" ht="26">
      <c r="A154" s="8">
        <v>17690318</v>
      </c>
      <c r="B154" s="8" t="s">
        <v>289</v>
      </c>
      <c r="C154" s="8" t="s">
        <v>31</v>
      </c>
      <c r="D154" s="8" t="s">
        <v>444</v>
      </c>
      <c r="E154" s="8" t="s">
        <v>26</v>
      </c>
      <c r="F154" s="8" t="s">
        <v>290</v>
      </c>
      <c r="G154" s="12" t="s">
        <v>441</v>
      </c>
      <c r="H154" s="7">
        <v>5</v>
      </c>
      <c r="I154" s="1">
        <v>3</v>
      </c>
      <c r="J154" s="1">
        <f t="shared" si="10"/>
        <v>1</v>
      </c>
      <c r="K154" s="5">
        <f t="shared" si="11"/>
        <v>0.6</v>
      </c>
      <c r="L154" s="2">
        <v>6018419.3717715694</v>
      </c>
      <c r="M154" s="2">
        <v>708000</v>
      </c>
      <c r="N154" s="6">
        <f t="shared" si="12"/>
        <v>1</v>
      </c>
      <c r="O154" s="9">
        <f t="shared" si="13"/>
        <v>0.11763886101403309</v>
      </c>
      <c r="P154" s="10">
        <v>2</v>
      </c>
      <c r="Q154" s="1">
        <f t="shared" si="14"/>
        <v>0</v>
      </c>
      <c r="R154" s="10">
        <v>7</v>
      </c>
      <c r="S154" s="10">
        <v>2</v>
      </c>
      <c r="T154" s="10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8">
        <v>1335665</v>
      </c>
      <c r="B155" s="8" t="s">
        <v>163</v>
      </c>
      <c r="C155" s="8" t="s">
        <v>35</v>
      </c>
      <c r="D155" s="8" t="s">
        <v>440</v>
      </c>
      <c r="E155" s="8" t="s">
        <v>22</v>
      </c>
      <c r="F155" s="8" t="s">
        <v>60</v>
      </c>
      <c r="G155" s="12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3731500</v>
      </c>
      <c r="N155" s="6">
        <f t="shared" si="12"/>
        <v>1</v>
      </c>
      <c r="O155" s="9">
        <f t="shared" si="13"/>
        <v>0.16611110814338395</v>
      </c>
      <c r="P155" s="10">
        <v>1</v>
      </c>
      <c r="Q155" s="1">
        <f t="shared" si="14"/>
        <v>0</v>
      </c>
      <c r="R155" s="10">
        <v>14</v>
      </c>
      <c r="S155" s="10">
        <v>1</v>
      </c>
      <c r="T155" s="10">
        <v>0</v>
      </c>
      <c r="U155" s="3">
        <v>1</v>
      </c>
      <c r="V155" s="3">
        <v>0</v>
      </c>
      <c r="W155" s="3">
        <v>0</v>
      </c>
      <c r="X155" s="3">
        <v>0</v>
      </c>
      <c r="Y155" s="3">
        <v>0</v>
      </c>
      <c r="Z155" s="3">
        <v>1</v>
      </c>
    </row>
    <row r="156" spans="1:26" ht="26">
      <c r="A156" s="8">
        <v>17696373</v>
      </c>
      <c r="B156" s="8" t="s">
        <v>349</v>
      </c>
      <c r="C156" s="8" t="s">
        <v>31</v>
      </c>
      <c r="D156" s="8" t="s">
        <v>442</v>
      </c>
      <c r="E156" s="8" t="s">
        <v>26</v>
      </c>
      <c r="F156" s="8" t="s">
        <v>290</v>
      </c>
      <c r="G156" s="12" t="s">
        <v>441</v>
      </c>
      <c r="H156" s="7">
        <v>11.432689047134639</v>
      </c>
      <c r="I156" s="1">
        <v>3</v>
      </c>
      <c r="J156" s="4">
        <f t="shared" ref="J156:J219" si="15">IF(I156&gt;=3,1,0)</f>
        <v>1</v>
      </c>
      <c r="K156" s="5">
        <f t="shared" ref="K156:K219" si="16">I156/H156</f>
        <v>0.26240545751149302</v>
      </c>
      <c r="L156" s="2">
        <v>1233517.793070439</v>
      </c>
      <c r="M156" s="2">
        <v>708000</v>
      </c>
      <c r="N156" s="6">
        <f t="shared" ref="N156:N219" si="17">IF(M156&gt;=300000,1,0)</f>
        <v>1</v>
      </c>
      <c r="O156" s="9">
        <f t="shared" ref="O156:O219" si="18">M156/L156</f>
        <v>0.57396821024986244</v>
      </c>
      <c r="P156" s="10">
        <v>0</v>
      </c>
      <c r="Q156" s="1">
        <f t="shared" ref="Q156:Q219" si="19">IF(P156&gt;=3,1,0)</f>
        <v>0</v>
      </c>
      <c r="R156" s="10">
        <v>14</v>
      </c>
      <c r="S156" s="10">
        <v>5</v>
      </c>
      <c r="T156" s="10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8">
        <v>17245632</v>
      </c>
      <c r="B157" s="8" t="s">
        <v>180</v>
      </c>
      <c r="C157" s="8" t="s">
        <v>35</v>
      </c>
      <c r="D157" s="8" t="s">
        <v>440</v>
      </c>
      <c r="E157" s="8" t="s">
        <v>22</v>
      </c>
      <c r="F157" s="8" t="s">
        <v>38</v>
      </c>
      <c r="G157" s="12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13840000</v>
      </c>
      <c r="N157" s="6">
        <f t="shared" si="17"/>
        <v>1</v>
      </c>
      <c r="O157" s="9">
        <f t="shared" si="18"/>
        <v>5.3803937965488613</v>
      </c>
      <c r="P157" s="10">
        <v>2</v>
      </c>
      <c r="Q157" s="1">
        <f t="shared" si="19"/>
        <v>0</v>
      </c>
      <c r="R157" s="10">
        <v>5</v>
      </c>
      <c r="S157" s="10">
        <v>2</v>
      </c>
      <c r="T157" s="10">
        <v>0</v>
      </c>
      <c r="U157" s="3">
        <v>0</v>
      </c>
      <c r="V157" s="3">
        <v>0</v>
      </c>
      <c r="W157" s="3">
        <v>0</v>
      </c>
      <c r="X157" s="3">
        <v>1</v>
      </c>
      <c r="Y157" s="3">
        <v>0</v>
      </c>
      <c r="Z157" s="3">
        <v>0</v>
      </c>
    </row>
    <row r="158" spans="1:26" ht="26">
      <c r="A158" s="8">
        <v>17519344</v>
      </c>
      <c r="B158" s="8" t="s">
        <v>209</v>
      </c>
      <c r="C158" s="8" t="s">
        <v>35</v>
      </c>
      <c r="D158" s="8" t="s">
        <v>440</v>
      </c>
      <c r="E158" s="8" t="s">
        <v>22</v>
      </c>
      <c r="F158" s="8" t="s">
        <v>60</v>
      </c>
      <c r="G158" s="12" t="s">
        <v>441</v>
      </c>
      <c r="H158" s="7">
        <v>9.5618853848762093</v>
      </c>
      <c r="I158" s="1">
        <v>12</v>
      </c>
      <c r="J158" s="1">
        <f t="shared" si="15"/>
        <v>1</v>
      </c>
      <c r="K158" s="5">
        <f t="shared" si="16"/>
        <v>1.2549826228810581</v>
      </c>
      <c r="L158" s="2">
        <v>22463880</v>
      </c>
      <c r="M158" s="2">
        <v>3036500</v>
      </c>
      <c r="N158" s="6">
        <f t="shared" si="17"/>
        <v>1</v>
      </c>
      <c r="O158" s="9">
        <f t="shared" si="18"/>
        <v>0.13517255255993177</v>
      </c>
      <c r="P158" s="10">
        <v>6</v>
      </c>
      <c r="Q158" s="1">
        <f t="shared" si="19"/>
        <v>1</v>
      </c>
      <c r="R158" s="10">
        <v>12</v>
      </c>
      <c r="S158" s="10">
        <v>6</v>
      </c>
      <c r="T158" s="10">
        <v>0</v>
      </c>
      <c r="U158" s="3">
        <v>1</v>
      </c>
      <c r="V158" s="3">
        <v>0</v>
      </c>
      <c r="W158" s="3">
        <v>0</v>
      </c>
      <c r="X158" s="3">
        <v>0</v>
      </c>
      <c r="Y158" s="3">
        <v>0</v>
      </c>
      <c r="Z158" s="3">
        <v>1</v>
      </c>
    </row>
    <row r="159" spans="1:26" ht="26">
      <c r="A159" s="8">
        <v>17546493</v>
      </c>
      <c r="B159" s="8" t="s">
        <v>219</v>
      </c>
      <c r="C159" s="8" t="s">
        <v>35</v>
      </c>
      <c r="D159" s="8" t="s">
        <v>440</v>
      </c>
      <c r="E159" s="8" t="s">
        <v>22</v>
      </c>
      <c r="F159" s="8" t="s">
        <v>60</v>
      </c>
      <c r="G159" s="12" t="s">
        <v>441</v>
      </c>
      <c r="H159" s="7">
        <v>4.7809426924381153</v>
      </c>
      <c r="I159" s="1">
        <v>4</v>
      </c>
      <c r="J159" s="4">
        <f t="shared" si="15"/>
        <v>1</v>
      </c>
      <c r="K159" s="5">
        <f t="shared" si="16"/>
        <v>0.83665508192070348</v>
      </c>
      <c r="L159" s="2">
        <v>2549477.9785796599</v>
      </c>
      <c r="M159" s="2">
        <v>4220250</v>
      </c>
      <c r="N159" s="6">
        <f t="shared" si="17"/>
        <v>1</v>
      </c>
      <c r="O159" s="9">
        <f t="shared" si="18"/>
        <v>1.6553388715093527</v>
      </c>
      <c r="P159" s="10">
        <v>1</v>
      </c>
      <c r="Q159" s="1">
        <f t="shared" si="19"/>
        <v>0</v>
      </c>
      <c r="R159" s="10">
        <v>7</v>
      </c>
      <c r="S159" s="10">
        <v>1</v>
      </c>
      <c r="T159" s="10">
        <v>0</v>
      </c>
      <c r="U159" s="3">
        <v>1</v>
      </c>
      <c r="V159" s="3">
        <v>0</v>
      </c>
      <c r="W159" s="3">
        <v>0</v>
      </c>
      <c r="X159" s="3">
        <v>0</v>
      </c>
      <c r="Y159" s="3">
        <v>0</v>
      </c>
      <c r="Z159" s="3">
        <v>1</v>
      </c>
    </row>
    <row r="160" spans="1:26" ht="26">
      <c r="A160" s="8">
        <v>17692924</v>
      </c>
      <c r="B160" s="8" t="s">
        <v>144</v>
      </c>
      <c r="C160" s="8" t="s">
        <v>31</v>
      </c>
      <c r="D160" s="8" t="s">
        <v>440</v>
      </c>
      <c r="E160" s="8" t="s">
        <v>22</v>
      </c>
      <c r="F160" s="8" t="s">
        <v>145</v>
      </c>
      <c r="G160" s="12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574800</v>
      </c>
      <c r="N160" s="6">
        <f t="shared" si="17"/>
        <v>1</v>
      </c>
      <c r="O160" s="9">
        <f t="shared" si="18"/>
        <v>1.9401841651017309E-2</v>
      </c>
      <c r="P160" s="10">
        <v>1</v>
      </c>
      <c r="Q160" s="1">
        <f t="shared" si="19"/>
        <v>0</v>
      </c>
      <c r="R160" s="10">
        <v>7</v>
      </c>
      <c r="S160" s="10">
        <v>1</v>
      </c>
      <c r="T160" s="10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8">
        <v>17640992</v>
      </c>
      <c r="B161" s="8" t="s">
        <v>232</v>
      </c>
      <c r="C161" s="8" t="s">
        <v>31</v>
      </c>
      <c r="D161" s="8" t="s">
        <v>442</v>
      </c>
      <c r="E161" s="8" t="s">
        <v>22</v>
      </c>
      <c r="F161" s="8" t="s">
        <v>145</v>
      </c>
      <c r="G161" s="12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495600</v>
      </c>
      <c r="N161" s="6">
        <f t="shared" si="17"/>
        <v>1</v>
      </c>
      <c r="O161" s="9">
        <f t="shared" si="18"/>
        <v>0.40177774717490367</v>
      </c>
      <c r="P161" s="10">
        <v>1</v>
      </c>
      <c r="Q161" s="1">
        <f t="shared" si="19"/>
        <v>0</v>
      </c>
      <c r="R161" s="10">
        <v>8</v>
      </c>
      <c r="S161" s="10">
        <v>1</v>
      </c>
      <c r="T161" s="10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8">
        <v>17373486</v>
      </c>
      <c r="B162" s="8" t="s">
        <v>106</v>
      </c>
      <c r="C162" s="8" t="s">
        <v>31</v>
      </c>
      <c r="D162" s="8" t="s">
        <v>442</v>
      </c>
      <c r="E162" s="8" t="s">
        <v>22</v>
      </c>
      <c r="F162" s="8" t="s">
        <v>107</v>
      </c>
      <c r="G162" s="12" t="s">
        <v>441</v>
      </c>
      <c r="H162" s="7">
        <v>3</v>
      </c>
      <c r="I162" s="1">
        <v>6</v>
      </c>
      <c r="J162" s="4">
        <f t="shared" si="15"/>
        <v>1</v>
      </c>
      <c r="K162" s="5">
        <f t="shared" si="16"/>
        <v>2</v>
      </c>
      <c r="L162" s="2">
        <v>1233517.793070439</v>
      </c>
      <c r="M162" s="2">
        <v>618000</v>
      </c>
      <c r="N162" s="6">
        <f t="shared" si="17"/>
        <v>1</v>
      </c>
      <c r="O162" s="9">
        <f t="shared" si="18"/>
        <v>0.50100614962487988</v>
      </c>
      <c r="P162" s="10">
        <v>2</v>
      </c>
      <c r="Q162" s="1">
        <f t="shared" si="19"/>
        <v>0</v>
      </c>
      <c r="R162" s="10">
        <v>5</v>
      </c>
      <c r="S162" s="10">
        <v>3</v>
      </c>
      <c r="T162" s="10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8">
        <v>17209980</v>
      </c>
      <c r="B163" s="8" t="s">
        <v>196</v>
      </c>
      <c r="C163" s="8" t="s">
        <v>31</v>
      </c>
      <c r="D163" s="8" t="s">
        <v>442</v>
      </c>
      <c r="E163" s="8" t="s">
        <v>22</v>
      </c>
      <c r="F163" s="8" t="s">
        <v>107</v>
      </c>
      <c r="G163" s="12" t="s">
        <v>441</v>
      </c>
      <c r="H163" s="7">
        <v>3</v>
      </c>
      <c r="I163" s="1">
        <v>6</v>
      </c>
      <c r="J163" s="1">
        <f t="shared" si="15"/>
        <v>1</v>
      </c>
      <c r="K163" s="5">
        <f t="shared" si="16"/>
        <v>2</v>
      </c>
      <c r="L163" s="2">
        <v>1233517.793070439</v>
      </c>
      <c r="M163" s="2">
        <v>622800</v>
      </c>
      <c r="N163" s="6">
        <f t="shared" si="17"/>
        <v>1</v>
      </c>
      <c r="O163" s="9">
        <f t="shared" si="18"/>
        <v>0.50489745952487897</v>
      </c>
      <c r="P163" s="10">
        <v>2</v>
      </c>
      <c r="Q163" s="1">
        <f t="shared" si="19"/>
        <v>0</v>
      </c>
      <c r="R163" s="10">
        <v>5</v>
      </c>
      <c r="S163" s="10">
        <v>2</v>
      </c>
      <c r="T163" s="10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8">
        <v>17223680</v>
      </c>
      <c r="B164" s="8" t="s">
        <v>252</v>
      </c>
      <c r="C164" s="8" t="s">
        <v>31</v>
      </c>
      <c r="D164" s="8" t="s">
        <v>442</v>
      </c>
      <c r="E164" s="8" t="s">
        <v>26</v>
      </c>
      <c r="F164" s="8" t="s">
        <v>107</v>
      </c>
      <c r="G164" s="12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9">
        <f t="shared" si="18"/>
        <v>0.46793001547488783</v>
      </c>
      <c r="P164" s="10">
        <v>0</v>
      </c>
      <c r="Q164" s="1">
        <f t="shared" si="19"/>
        <v>0</v>
      </c>
      <c r="R164" s="10">
        <v>6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8">
        <v>17611798</v>
      </c>
      <c r="B165" s="8" t="s">
        <v>45</v>
      </c>
      <c r="C165" s="8" t="s">
        <v>21</v>
      </c>
      <c r="D165" s="8" t="s">
        <v>442</v>
      </c>
      <c r="E165" s="8" t="s">
        <v>22</v>
      </c>
      <c r="F165" s="8" t="s">
        <v>46</v>
      </c>
      <c r="G165" s="12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720000</v>
      </c>
      <c r="N165" s="6">
        <f t="shared" si="17"/>
        <v>1</v>
      </c>
      <c r="O165" s="9">
        <f t="shared" si="18"/>
        <v>0.58369648499986004</v>
      </c>
      <c r="P165" s="10">
        <v>1</v>
      </c>
      <c r="Q165" s="1">
        <f t="shared" si="19"/>
        <v>0</v>
      </c>
      <c r="R165" s="10">
        <v>8</v>
      </c>
      <c r="S165" s="10">
        <v>1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17552372</v>
      </c>
      <c r="B166" s="8" t="s">
        <v>165</v>
      </c>
      <c r="C166" s="8" t="s">
        <v>21</v>
      </c>
      <c r="D166" s="8" t="s">
        <v>440</v>
      </c>
      <c r="E166" s="8" t="s">
        <v>22</v>
      </c>
      <c r="F166" s="8" t="s">
        <v>46</v>
      </c>
      <c r="G166" s="12" t="s">
        <v>441</v>
      </c>
      <c r="H166" s="7">
        <v>5</v>
      </c>
      <c r="I166" s="1">
        <v>4</v>
      </c>
      <c r="J166" s="1">
        <f t="shared" si="15"/>
        <v>1</v>
      </c>
      <c r="K166" s="5">
        <f t="shared" si="16"/>
        <v>0.8</v>
      </c>
      <c r="L166" s="2">
        <v>12908778</v>
      </c>
      <c r="M166" s="2">
        <v>11590000</v>
      </c>
      <c r="N166" s="6">
        <f t="shared" si="17"/>
        <v>1</v>
      </c>
      <c r="O166" s="9">
        <f t="shared" si="18"/>
        <v>0.8978386645118539</v>
      </c>
      <c r="P166" s="10">
        <v>2</v>
      </c>
      <c r="Q166" s="1">
        <f t="shared" si="19"/>
        <v>0</v>
      </c>
      <c r="R166" s="10">
        <v>7</v>
      </c>
      <c r="S166" s="10">
        <v>2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17699722</v>
      </c>
      <c r="B167" s="8" t="s">
        <v>114</v>
      </c>
      <c r="C167" s="8" t="s">
        <v>21</v>
      </c>
      <c r="D167" s="8" t="s">
        <v>442</v>
      </c>
      <c r="E167" s="8" t="s">
        <v>22</v>
      </c>
      <c r="F167" s="8" t="s">
        <v>46</v>
      </c>
      <c r="G167" s="12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854000</v>
      </c>
      <c r="N167" s="6">
        <f t="shared" si="17"/>
        <v>1</v>
      </c>
      <c r="O167" s="9">
        <f t="shared" si="18"/>
        <v>0.69232888637483403</v>
      </c>
      <c r="P167" s="10">
        <v>0</v>
      </c>
      <c r="Q167" s="1">
        <f t="shared" si="19"/>
        <v>0</v>
      </c>
      <c r="R167" s="10">
        <v>7</v>
      </c>
      <c r="S167" s="10">
        <v>0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17705470</v>
      </c>
      <c r="B168" s="8" t="s">
        <v>350</v>
      </c>
      <c r="C168" s="8" t="s">
        <v>21</v>
      </c>
      <c r="D168" s="8" t="s">
        <v>442</v>
      </c>
      <c r="E168" s="8" t="s">
        <v>22</v>
      </c>
      <c r="F168" s="8" t="s">
        <v>46</v>
      </c>
      <c r="G168" s="12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1715000</v>
      </c>
      <c r="N168" s="6">
        <f t="shared" si="17"/>
        <v>1</v>
      </c>
      <c r="O168" s="9">
        <f t="shared" si="18"/>
        <v>1.3903325996871667</v>
      </c>
      <c r="P168" s="10">
        <v>2</v>
      </c>
      <c r="Q168" s="1">
        <f t="shared" si="19"/>
        <v>0</v>
      </c>
      <c r="R168" s="10">
        <v>5</v>
      </c>
      <c r="S168" s="10">
        <v>2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15" customFormat="1" ht="26">
      <c r="A169" s="13">
        <v>17565276</v>
      </c>
      <c r="B169" s="13" t="s">
        <v>469</v>
      </c>
      <c r="C169" s="8" t="s">
        <v>21</v>
      </c>
      <c r="D169" s="8" t="s">
        <v>442</v>
      </c>
      <c r="E169" s="8" t="s">
        <v>26</v>
      </c>
      <c r="F169" s="14" t="s">
        <v>46</v>
      </c>
      <c r="G169" s="1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9">
        <f t="shared" si="18"/>
        <v>0.6</v>
      </c>
      <c r="P169" s="10">
        <v>4</v>
      </c>
      <c r="Q169" s="1">
        <f t="shared" si="19"/>
        <v>1</v>
      </c>
      <c r="R169" s="10">
        <v>5</v>
      </c>
      <c r="S169" s="10">
        <v>4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17347639</v>
      </c>
      <c r="B170" s="8" t="s">
        <v>238</v>
      </c>
      <c r="C170" s="8" t="s">
        <v>35</v>
      </c>
      <c r="D170" s="8" t="s">
        <v>440</v>
      </c>
      <c r="E170" s="8" t="s">
        <v>22</v>
      </c>
      <c r="F170" s="8" t="s">
        <v>60</v>
      </c>
      <c r="G170" s="12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4345500</v>
      </c>
      <c r="N170" s="6">
        <f t="shared" si="17"/>
        <v>1</v>
      </c>
      <c r="O170" s="9">
        <f t="shared" si="18"/>
        <v>0.14667832793057711</v>
      </c>
      <c r="P170" s="10">
        <v>0</v>
      </c>
      <c r="Q170" s="1">
        <f t="shared" si="19"/>
        <v>0</v>
      </c>
      <c r="R170" s="10">
        <v>7</v>
      </c>
      <c r="S170" s="10">
        <v>0</v>
      </c>
      <c r="T170" s="10">
        <v>0</v>
      </c>
      <c r="U170" s="3">
        <v>1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17626277</v>
      </c>
      <c r="B171" s="8" t="s">
        <v>250</v>
      </c>
      <c r="C171" s="8" t="s">
        <v>35</v>
      </c>
      <c r="D171" s="8" t="s">
        <v>444</v>
      </c>
      <c r="E171" s="8" t="s">
        <v>26</v>
      </c>
      <c r="F171" s="8" t="s">
        <v>96</v>
      </c>
      <c r="G171" s="12" t="s">
        <v>441</v>
      </c>
      <c r="H171" s="7">
        <v>3</v>
      </c>
      <c r="I171" s="1">
        <v>3</v>
      </c>
      <c r="J171" s="1">
        <f t="shared" si="15"/>
        <v>1</v>
      </c>
      <c r="K171" s="5">
        <f t="shared" si="16"/>
        <v>1</v>
      </c>
      <c r="L171" s="2">
        <v>6018419.3717715694</v>
      </c>
      <c r="M171" s="2">
        <v>1304000</v>
      </c>
      <c r="N171" s="6">
        <f t="shared" si="17"/>
        <v>1</v>
      </c>
      <c r="O171" s="9">
        <f t="shared" si="18"/>
        <v>0.21666818469251292</v>
      </c>
      <c r="P171" s="10">
        <v>68</v>
      </c>
      <c r="Q171" s="1">
        <f t="shared" si="19"/>
        <v>1</v>
      </c>
      <c r="R171" s="10">
        <v>5</v>
      </c>
      <c r="S171" s="10">
        <v>62</v>
      </c>
      <c r="T171" s="10">
        <v>0</v>
      </c>
      <c r="U171" s="3">
        <v>0</v>
      </c>
      <c r="V171" s="3">
        <v>1</v>
      </c>
      <c r="W171" s="3">
        <v>0</v>
      </c>
      <c r="X171" s="3">
        <v>0</v>
      </c>
      <c r="Y171" s="3">
        <v>1</v>
      </c>
      <c r="Z171" s="3">
        <v>0</v>
      </c>
    </row>
    <row r="172" spans="1:26" ht="26">
      <c r="A172" s="8">
        <v>17628338</v>
      </c>
      <c r="B172" s="8" t="s">
        <v>254</v>
      </c>
      <c r="C172" s="8" t="s">
        <v>35</v>
      </c>
      <c r="D172" s="8" t="s">
        <v>442</v>
      </c>
      <c r="E172" s="8" t="s">
        <v>22</v>
      </c>
      <c r="F172" s="8" t="s">
        <v>109</v>
      </c>
      <c r="G172" s="12" t="s">
        <v>441</v>
      </c>
      <c r="H172" s="7">
        <v>3.3258731773482562</v>
      </c>
      <c r="I172" s="1">
        <v>3</v>
      </c>
      <c r="J172" s="4">
        <f t="shared" si="15"/>
        <v>1</v>
      </c>
      <c r="K172" s="5">
        <f t="shared" si="16"/>
        <v>0.90201876019575788</v>
      </c>
      <c r="L172" s="2">
        <v>1233517.793070439</v>
      </c>
      <c r="M172" s="2">
        <v>11118500</v>
      </c>
      <c r="N172" s="6">
        <f t="shared" si="17"/>
        <v>1</v>
      </c>
      <c r="O172" s="9">
        <f t="shared" si="18"/>
        <v>9.0136519006540894</v>
      </c>
      <c r="P172" s="10">
        <v>7</v>
      </c>
      <c r="Q172" s="1">
        <f t="shared" si="19"/>
        <v>1</v>
      </c>
      <c r="R172" s="10">
        <v>6</v>
      </c>
      <c r="S172" s="10">
        <v>7</v>
      </c>
      <c r="T172" s="10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1483993</v>
      </c>
      <c r="B173" s="8" t="s">
        <v>258</v>
      </c>
      <c r="C173" s="8" t="s">
        <v>35</v>
      </c>
      <c r="D173" s="8" t="s">
        <v>440</v>
      </c>
      <c r="E173" s="8" t="s">
        <v>22</v>
      </c>
      <c r="F173" s="8" t="s">
        <v>105</v>
      </c>
      <c r="G173" s="12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6038000</v>
      </c>
      <c r="N173" s="6">
        <f t="shared" si="17"/>
        <v>1</v>
      </c>
      <c r="O173" s="9">
        <f t="shared" si="18"/>
        <v>1.8396728858110305</v>
      </c>
      <c r="P173" s="10">
        <v>5</v>
      </c>
      <c r="Q173" s="1">
        <f t="shared" si="19"/>
        <v>1</v>
      </c>
      <c r="R173" s="10">
        <v>21</v>
      </c>
      <c r="S173" s="10">
        <v>6</v>
      </c>
      <c r="T173" s="10">
        <v>0</v>
      </c>
      <c r="U173" s="3">
        <v>1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 t="s">
        <v>432</v>
      </c>
      <c r="B174" s="8" t="s">
        <v>435</v>
      </c>
      <c r="C174" s="8" t="s">
        <v>35</v>
      </c>
      <c r="D174" s="8" t="s">
        <v>440</v>
      </c>
      <c r="E174" s="8" t="s">
        <v>22</v>
      </c>
      <c r="F174" s="11" t="s">
        <v>225</v>
      </c>
      <c r="G174" s="12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2828000</v>
      </c>
      <c r="N174" s="6">
        <f t="shared" si="17"/>
        <v>1</v>
      </c>
      <c r="O174" s="9">
        <f t="shared" si="18"/>
        <v>1.1092466864826609</v>
      </c>
      <c r="P174" s="10">
        <v>10</v>
      </c>
      <c r="Q174" s="1">
        <f t="shared" si="19"/>
        <v>1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1</v>
      </c>
      <c r="Z174" s="3">
        <v>0</v>
      </c>
    </row>
    <row r="175" spans="1:26" ht="26">
      <c r="A175" s="8">
        <v>17775710</v>
      </c>
      <c r="B175" s="8" t="s">
        <v>263</v>
      </c>
      <c r="C175" s="8" t="s">
        <v>35</v>
      </c>
      <c r="D175" s="8" t="s">
        <v>442</v>
      </c>
      <c r="E175" s="8" t="s">
        <v>26</v>
      </c>
      <c r="F175" s="8" t="s">
        <v>62</v>
      </c>
      <c r="G175" s="12" t="s">
        <v>441</v>
      </c>
      <c r="H175" s="7">
        <v>4.7809426924381153</v>
      </c>
      <c r="I175" s="1">
        <v>4</v>
      </c>
      <c r="J175" s="1">
        <f t="shared" si="15"/>
        <v>1</v>
      </c>
      <c r="K175" s="5">
        <f t="shared" si="16"/>
        <v>0.83665508192070348</v>
      </c>
      <c r="L175" s="2">
        <v>1233517.793070439</v>
      </c>
      <c r="M175" s="2">
        <v>1350000</v>
      </c>
      <c r="N175" s="6">
        <f t="shared" si="17"/>
        <v>1</v>
      </c>
      <c r="O175" s="9">
        <f t="shared" si="18"/>
        <v>1.0944309093747375</v>
      </c>
      <c r="P175" s="10">
        <v>1</v>
      </c>
      <c r="Q175" s="1">
        <f t="shared" si="19"/>
        <v>0</v>
      </c>
      <c r="R175" s="10">
        <v>7</v>
      </c>
      <c r="S175" s="10">
        <v>6</v>
      </c>
      <c r="T175" s="10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8">
        <v>17674081</v>
      </c>
      <c r="B176" s="8" t="s">
        <v>264</v>
      </c>
      <c r="C176" s="8" t="s">
        <v>35</v>
      </c>
      <c r="D176" s="8" t="s">
        <v>442</v>
      </c>
      <c r="E176" s="8" t="s">
        <v>26</v>
      </c>
      <c r="F176" s="8" t="s">
        <v>85</v>
      </c>
      <c r="G176" s="12" t="s">
        <v>441</v>
      </c>
      <c r="H176" s="7">
        <v>4.9888097660223796</v>
      </c>
      <c r="I176" s="1">
        <v>68</v>
      </c>
      <c r="J176" s="4">
        <f t="shared" si="15"/>
        <v>1</v>
      </c>
      <c r="K176" s="5">
        <f t="shared" si="16"/>
        <v>13.630505709624799</v>
      </c>
      <c r="L176" s="2">
        <v>1233517.793070439</v>
      </c>
      <c r="M176" s="2">
        <v>5170000</v>
      </c>
      <c r="N176" s="6">
        <f t="shared" si="17"/>
        <v>1</v>
      </c>
      <c r="O176" s="9">
        <f t="shared" si="18"/>
        <v>4.1912650381239951</v>
      </c>
      <c r="P176" s="10">
        <v>5</v>
      </c>
      <c r="Q176" s="1">
        <f t="shared" si="19"/>
        <v>1</v>
      </c>
      <c r="R176" s="10">
        <v>7</v>
      </c>
      <c r="S176" s="10">
        <v>5</v>
      </c>
      <c r="T176" s="10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8">
        <v>17446543</v>
      </c>
      <c r="B177" s="8" t="s">
        <v>270</v>
      </c>
      <c r="C177" s="8" t="s">
        <v>35</v>
      </c>
      <c r="D177" s="8" t="s">
        <v>442</v>
      </c>
      <c r="E177" s="8" t="s">
        <v>26</v>
      </c>
      <c r="F177" s="8" t="s">
        <v>271</v>
      </c>
      <c r="G177" s="12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9">
        <f t="shared" si="18"/>
        <v>0</v>
      </c>
      <c r="P177" s="10">
        <v>0</v>
      </c>
      <c r="Q177" s="1">
        <f t="shared" si="19"/>
        <v>0</v>
      </c>
      <c r="R177" s="10">
        <v>7</v>
      </c>
      <c r="S177" s="10">
        <v>5</v>
      </c>
      <c r="T177" s="10">
        <v>0</v>
      </c>
      <c r="U177" s="3">
        <v>0</v>
      </c>
      <c r="V177" s="3">
        <v>0</v>
      </c>
      <c r="W177" s="3">
        <v>0</v>
      </c>
      <c r="X177" s="3">
        <v>1</v>
      </c>
      <c r="Y177" s="3">
        <v>0</v>
      </c>
      <c r="Z177" s="3">
        <v>0</v>
      </c>
    </row>
    <row r="178" spans="1:26" ht="26">
      <c r="A178" s="8">
        <v>17377232</v>
      </c>
      <c r="B178" s="8" t="s">
        <v>277</v>
      </c>
      <c r="C178" s="8" t="s">
        <v>35</v>
      </c>
      <c r="D178" s="8" t="s">
        <v>442</v>
      </c>
      <c r="E178" s="8" t="s">
        <v>26</v>
      </c>
      <c r="F178" s="8" t="s">
        <v>271</v>
      </c>
      <c r="G178" s="12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9">
        <f t="shared" si="18"/>
        <v>0</v>
      </c>
      <c r="P178" s="10">
        <v>1</v>
      </c>
      <c r="Q178" s="1">
        <f t="shared" si="19"/>
        <v>0</v>
      </c>
      <c r="R178" s="10">
        <v>5</v>
      </c>
      <c r="S178" s="10">
        <v>1</v>
      </c>
      <c r="T178" s="10">
        <v>0</v>
      </c>
      <c r="U178" s="3">
        <v>0</v>
      </c>
      <c r="V178" s="3">
        <v>0</v>
      </c>
      <c r="W178" s="3">
        <v>0</v>
      </c>
      <c r="X178" s="3">
        <v>1</v>
      </c>
      <c r="Y178" s="3">
        <v>0</v>
      </c>
      <c r="Z178" s="3">
        <v>0</v>
      </c>
    </row>
    <row r="179" spans="1:26" ht="26">
      <c r="A179" s="8">
        <v>17668458</v>
      </c>
      <c r="B179" s="8" t="s">
        <v>279</v>
      </c>
      <c r="C179" s="8" t="s">
        <v>35</v>
      </c>
      <c r="D179" s="8" t="s">
        <v>442</v>
      </c>
      <c r="E179" s="8" t="s">
        <v>22</v>
      </c>
      <c r="F179" s="8" t="s">
        <v>88</v>
      </c>
      <c r="G179" s="12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2230000</v>
      </c>
      <c r="N179" s="6">
        <f t="shared" si="17"/>
        <v>1</v>
      </c>
      <c r="O179" s="9">
        <f t="shared" si="18"/>
        <v>1.8078377243745667</v>
      </c>
      <c r="P179" s="10">
        <v>0</v>
      </c>
      <c r="Q179" s="1">
        <f t="shared" si="19"/>
        <v>0</v>
      </c>
      <c r="R179" s="10">
        <v>5</v>
      </c>
      <c r="S179" s="10">
        <v>0</v>
      </c>
      <c r="T179" s="10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8">
        <v>17630100</v>
      </c>
      <c r="B180" s="8" t="s">
        <v>411</v>
      </c>
      <c r="C180" s="8" t="s">
        <v>21</v>
      </c>
      <c r="D180" s="8" t="s">
        <v>442</v>
      </c>
      <c r="E180" s="8" t="s">
        <v>26</v>
      </c>
      <c r="F180" s="8" t="s">
        <v>412</v>
      </c>
      <c r="G180" s="12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1230000</v>
      </c>
      <c r="N180" s="6">
        <f t="shared" si="17"/>
        <v>1</v>
      </c>
      <c r="O180" s="9">
        <f t="shared" si="18"/>
        <v>0.99714816187476096</v>
      </c>
      <c r="P180" s="10">
        <v>0</v>
      </c>
      <c r="Q180" s="1">
        <f t="shared" si="19"/>
        <v>0</v>
      </c>
      <c r="R180" s="10">
        <v>9</v>
      </c>
      <c r="S180" s="10">
        <v>0</v>
      </c>
      <c r="T180" s="10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8">
        <v>17692826</v>
      </c>
      <c r="B181" s="8" t="s">
        <v>239</v>
      </c>
      <c r="C181" s="8" t="s">
        <v>21</v>
      </c>
      <c r="D181" s="8" t="s">
        <v>442</v>
      </c>
      <c r="E181" s="8" t="s">
        <v>22</v>
      </c>
      <c r="F181" s="8" t="s">
        <v>177</v>
      </c>
      <c r="G181" s="12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2599000</v>
      </c>
      <c r="N181" s="6">
        <f t="shared" si="17"/>
        <v>1</v>
      </c>
      <c r="O181" s="9">
        <f t="shared" si="18"/>
        <v>2.1069821729369949</v>
      </c>
      <c r="P181" s="10">
        <v>1</v>
      </c>
      <c r="Q181" s="1">
        <f t="shared" si="19"/>
        <v>0</v>
      </c>
      <c r="R181" s="10">
        <v>15</v>
      </c>
      <c r="S181" s="10">
        <v>1</v>
      </c>
      <c r="T181" s="10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8">
        <v>17811480</v>
      </c>
      <c r="B182" s="8" t="s">
        <v>176</v>
      </c>
      <c r="C182" s="8" t="s">
        <v>21</v>
      </c>
      <c r="D182" s="8" t="s">
        <v>442</v>
      </c>
      <c r="E182" s="8" t="s">
        <v>26</v>
      </c>
      <c r="F182" s="8" t="s">
        <v>177</v>
      </c>
      <c r="G182" s="12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1445000</v>
      </c>
      <c r="N182" s="6">
        <f t="shared" si="17"/>
        <v>1</v>
      </c>
      <c r="O182" s="9">
        <f t="shared" si="18"/>
        <v>1.1714464178122193</v>
      </c>
      <c r="P182" s="10">
        <v>1</v>
      </c>
      <c r="Q182" s="1">
        <f t="shared" si="19"/>
        <v>0</v>
      </c>
      <c r="R182" s="10">
        <v>8</v>
      </c>
      <c r="S182" s="10">
        <v>1</v>
      </c>
      <c r="T182" s="10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8">
        <v>17664125</v>
      </c>
      <c r="B183" s="8" t="s">
        <v>194</v>
      </c>
      <c r="C183" s="8" t="s">
        <v>21</v>
      </c>
      <c r="D183" s="8" t="s">
        <v>442</v>
      </c>
      <c r="E183" s="8" t="s">
        <v>22</v>
      </c>
      <c r="F183" s="8" t="s">
        <v>177</v>
      </c>
      <c r="G183" s="12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1384000</v>
      </c>
      <c r="N183" s="6">
        <f t="shared" si="17"/>
        <v>1</v>
      </c>
      <c r="O183" s="9">
        <f t="shared" si="18"/>
        <v>1.1219943544997311</v>
      </c>
      <c r="P183" s="10">
        <v>1</v>
      </c>
      <c r="Q183" s="1">
        <f t="shared" si="19"/>
        <v>0</v>
      </c>
      <c r="R183" s="10">
        <v>7</v>
      </c>
      <c r="S183" s="10">
        <v>1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8">
        <v>17746764</v>
      </c>
      <c r="B184" s="8" t="s">
        <v>335</v>
      </c>
      <c r="C184" s="8" t="s">
        <v>21</v>
      </c>
      <c r="D184" s="8" t="s">
        <v>442</v>
      </c>
      <c r="E184" s="8" t="s">
        <v>22</v>
      </c>
      <c r="F184" s="8" t="s">
        <v>177</v>
      </c>
      <c r="G184" s="12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1709000</v>
      </c>
      <c r="N184" s="6">
        <f t="shared" si="17"/>
        <v>1</v>
      </c>
      <c r="O184" s="9">
        <f t="shared" si="18"/>
        <v>1.3854684623121678</v>
      </c>
      <c r="P184" s="10">
        <v>1</v>
      </c>
      <c r="Q184" s="1">
        <f t="shared" si="19"/>
        <v>0</v>
      </c>
      <c r="R184" s="10">
        <v>6</v>
      </c>
      <c r="S184" s="10">
        <v>1</v>
      </c>
      <c r="T184" s="10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8">
        <v>17724158</v>
      </c>
      <c r="B185" s="8" t="s">
        <v>237</v>
      </c>
      <c r="C185" s="8" t="s">
        <v>21</v>
      </c>
      <c r="D185" s="8" t="s">
        <v>442</v>
      </c>
      <c r="E185" s="8" t="s">
        <v>26</v>
      </c>
      <c r="F185" s="8" t="s">
        <v>177</v>
      </c>
      <c r="G185" s="12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3837000</v>
      </c>
      <c r="N185" s="6">
        <f t="shared" si="17"/>
        <v>1</v>
      </c>
      <c r="O185" s="9">
        <f t="shared" si="18"/>
        <v>3.1106158513117541</v>
      </c>
      <c r="P185" s="10">
        <v>0</v>
      </c>
      <c r="Q185" s="1">
        <f t="shared" si="19"/>
        <v>0</v>
      </c>
      <c r="R185" s="10">
        <v>5</v>
      </c>
      <c r="S185" s="10">
        <v>5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8">
        <v>17612187</v>
      </c>
      <c r="B186" s="8" t="s">
        <v>268</v>
      </c>
      <c r="C186" s="8" t="s">
        <v>21</v>
      </c>
      <c r="D186" s="8" t="s">
        <v>442</v>
      </c>
      <c r="E186" s="8" t="s">
        <v>26</v>
      </c>
      <c r="F186" s="8" t="s">
        <v>75</v>
      </c>
      <c r="G186" s="12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3158000</v>
      </c>
      <c r="N186" s="6">
        <f t="shared" si="17"/>
        <v>1</v>
      </c>
      <c r="O186" s="9">
        <f t="shared" si="18"/>
        <v>2.560157638374386</v>
      </c>
      <c r="P186" s="10">
        <v>15</v>
      </c>
      <c r="Q186" s="1">
        <f t="shared" si="19"/>
        <v>1</v>
      </c>
      <c r="R186" s="10">
        <v>9</v>
      </c>
      <c r="S186" s="10">
        <v>15</v>
      </c>
      <c r="T186" s="10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8">
        <v>17803417</v>
      </c>
      <c r="B187" s="8" t="s">
        <v>354</v>
      </c>
      <c r="C187" s="8" t="s">
        <v>21</v>
      </c>
      <c r="D187" s="8" t="s">
        <v>442</v>
      </c>
      <c r="E187" s="8" t="s">
        <v>26</v>
      </c>
      <c r="F187" s="8" t="s">
        <v>75</v>
      </c>
      <c r="G187" s="12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2337000</v>
      </c>
      <c r="N187" s="6">
        <f t="shared" si="17"/>
        <v>1</v>
      </c>
      <c r="O187" s="9">
        <f t="shared" si="18"/>
        <v>1.8945815075620458</v>
      </c>
      <c r="P187" s="10">
        <v>1</v>
      </c>
      <c r="Q187" s="1">
        <f t="shared" si="19"/>
        <v>0</v>
      </c>
      <c r="R187" s="10">
        <v>8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8">
        <v>17707156</v>
      </c>
      <c r="B188" s="8" t="s">
        <v>356</v>
      </c>
      <c r="C188" s="8" t="s">
        <v>21</v>
      </c>
      <c r="D188" s="8" t="s">
        <v>442</v>
      </c>
      <c r="E188" s="8" t="s">
        <v>22</v>
      </c>
      <c r="F188" s="8" t="s">
        <v>75</v>
      </c>
      <c r="G188" s="12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3494000</v>
      </c>
      <c r="N188" s="6">
        <f t="shared" si="17"/>
        <v>1</v>
      </c>
      <c r="O188" s="9">
        <f t="shared" si="18"/>
        <v>2.8325493313743211</v>
      </c>
      <c r="P188" s="10">
        <v>2</v>
      </c>
      <c r="Q188" s="1">
        <f t="shared" si="19"/>
        <v>0</v>
      </c>
      <c r="R188" s="10">
        <v>7</v>
      </c>
      <c r="S188" s="10">
        <v>7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8">
        <v>17681735</v>
      </c>
      <c r="B189" s="8" t="s">
        <v>74</v>
      </c>
      <c r="C189" s="8" t="s">
        <v>21</v>
      </c>
      <c r="D189" s="8" t="s">
        <v>442</v>
      </c>
      <c r="E189" s="8" t="s">
        <v>22</v>
      </c>
      <c r="F189" s="8" t="s">
        <v>75</v>
      </c>
      <c r="G189" s="12" t="s">
        <v>441</v>
      </c>
      <c r="H189" s="7">
        <v>3</v>
      </c>
      <c r="I189" s="1">
        <v>3</v>
      </c>
      <c r="J189" s="1">
        <f t="shared" si="15"/>
        <v>1</v>
      </c>
      <c r="K189" s="5">
        <f t="shared" si="16"/>
        <v>1</v>
      </c>
      <c r="L189" s="2">
        <v>1233517.793070439</v>
      </c>
      <c r="M189" s="2">
        <v>2790000</v>
      </c>
      <c r="N189" s="6">
        <f t="shared" si="17"/>
        <v>1</v>
      </c>
      <c r="O189" s="9">
        <f t="shared" si="18"/>
        <v>2.2618238793744578</v>
      </c>
      <c r="P189" s="10">
        <v>1</v>
      </c>
      <c r="Q189" s="1">
        <f t="shared" si="19"/>
        <v>0</v>
      </c>
      <c r="R189" s="10">
        <v>5</v>
      </c>
      <c r="S189" s="10">
        <v>1</v>
      </c>
      <c r="T189" s="10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8">
        <v>17449128</v>
      </c>
      <c r="B190" s="8" t="s">
        <v>286</v>
      </c>
      <c r="C190" s="8" t="s">
        <v>35</v>
      </c>
      <c r="D190" s="8" t="s">
        <v>442</v>
      </c>
      <c r="E190" s="8" t="s">
        <v>22</v>
      </c>
      <c r="F190" s="8" t="s">
        <v>151</v>
      </c>
      <c r="G190" s="12" t="s">
        <v>441</v>
      </c>
      <c r="H190" s="7">
        <v>4.9888097660223796</v>
      </c>
      <c r="I190" s="1">
        <v>4</v>
      </c>
      <c r="J190" s="4">
        <f t="shared" si="15"/>
        <v>1</v>
      </c>
      <c r="K190" s="5">
        <f t="shared" si="16"/>
        <v>0.80179445350734113</v>
      </c>
      <c r="L190" s="2">
        <v>1233517.793070439</v>
      </c>
      <c r="M190" s="2">
        <v>2000000</v>
      </c>
      <c r="N190" s="6">
        <f t="shared" si="17"/>
        <v>1</v>
      </c>
      <c r="O190" s="9">
        <f t="shared" si="18"/>
        <v>1.6213791249996112</v>
      </c>
      <c r="P190" s="10">
        <v>1</v>
      </c>
      <c r="Q190" s="1">
        <f t="shared" si="19"/>
        <v>0</v>
      </c>
      <c r="R190" s="10">
        <v>7</v>
      </c>
      <c r="S190" s="10">
        <v>1</v>
      </c>
      <c r="T190" s="10">
        <v>0</v>
      </c>
      <c r="U190" s="3">
        <v>0</v>
      </c>
      <c r="V190" s="3">
        <v>0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8">
        <v>1069320</v>
      </c>
      <c r="B191" s="8" t="s">
        <v>292</v>
      </c>
      <c r="C191" s="8" t="s">
        <v>35</v>
      </c>
      <c r="D191" s="8" t="s">
        <v>440</v>
      </c>
      <c r="E191" s="8" t="s">
        <v>22</v>
      </c>
      <c r="F191" s="8" t="s">
        <v>135</v>
      </c>
      <c r="G191" s="12" t="s">
        <v>441</v>
      </c>
      <c r="H191" s="7">
        <v>5</v>
      </c>
      <c r="I191" s="1">
        <v>3</v>
      </c>
      <c r="J191" s="4">
        <f t="shared" si="15"/>
        <v>1</v>
      </c>
      <c r="K191" s="5">
        <f t="shared" si="16"/>
        <v>0.6</v>
      </c>
      <c r="L191" s="2">
        <v>3959230.4169087922</v>
      </c>
      <c r="M191" s="2">
        <v>2310000</v>
      </c>
      <c r="N191" s="6">
        <f t="shared" si="17"/>
        <v>1</v>
      </c>
      <c r="O191" s="9">
        <f t="shared" si="18"/>
        <v>0.58344671988137409</v>
      </c>
      <c r="P191" s="10">
        <v>2</v>
      </c>
      <c r="Q191" s="1">
        <f t="shared" si="19"/>
        <v>0</v>
      </c>
      <c r="R191" s="10">
        <v>7</v>
      </c>
      <c r="S191" s="10">
        <v>2</v>
      </c>
      <c r="T191" s="10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8">
        <v>17478838</v>
      </c>
      <c r="B192" s="8" t="s">
        <v>293</v>
      </c>
      <c r="C192" s="8" t="s">
        <v>35</v>
      </c>
      <c r="D192" s="8" t="s">
        <v>440</v>
      </c>
      <c r="E192" s="8" t="s">
        <v>22</v>
      </c>
      <c r="F192" s="8" t="s">
        <v>151</v>
      </c>
      <c r="G192" s="12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7000000</v>
      </c>
      <c r="N192" s="6">
        <f t="shared" si="17"/>
        <v>1</v>
      </c>
      <c r="O192" s="9">
        <f t="shared" si="18"/>
        <v>2.2473887162880581</v>
      </c>
      <c r="P192" s="10">
        <v>0</v>
      </c>
      <c r="Q192" s="1">
        <f t="shared" si="19"/>
        <v>0</v>
      </c>
      <c r="R192" s="10">
        <v>9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1</v>
      </c>
      <c r="Y192" s="3">
        <v>0</v>
      </c>
      <c r="Z192" s="3">
        <v>0</v>
      </c>
    </row>
    <row r="193" spans="1:26" ht="26">
      <c r="A193" s="8">
        <v>17694204</v>
      </c>
      <c r="B193" s="8" t="s">
        <v>295</v>
      </c>
      <c r="C193" s="8" t="s">
        <v>35</v>
      </c>
      <c r="D193" s="8" t="s">
        <v>440</v>
      </c>
      <c r="E193" s="8" t="s">
        <v>22</v>
      </c>
      <c r="F193" s="8" t="s">
        <v>296</v>
      </c>
      <c r="G193" s="12" t="s">
        <v>441</v>
      </c>
      <c r="H193" s="7">
        <v>6.443879281112264</v>
      </c>
      <c r="I193" s="1">
        <v>6</v>
      </c>
      <c r="J193" s="1">
        <f t="shared" si="15"/>
        <v>1</v>
      </c>
      <c r="K193" s="5">
        <f t="shared" si="16"/>
        <v>0.93111613955690875</v>
      </c>
      <c r="L193" s="2">
        <v>12908778</v>
      </c>
      <c r="M193" s="2">
        <v>986000</v>
      </c>
      <c r="N193" s="6">
        <f t="shared" si="17"/>
        <v>1</v>
      </c>
      <c r="O193" s="9">
        <f t="shared" si="18"/>
        <v>7.6382133150016213E-2</v>
      </c>
      <c r="P193" s="10">
        <v>0</v>
      </c>
      <c r="Q193" s="1">
        <f t="shared" si="19"/>
        <v>0</v>
      </c>
      <c r="R193" s="10">
        <v>9</v>
      </c>
      <c r="S193" s="10">
        <v>0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17667163</v>
      </c>
      <c r="B194" s="8" t="s">
        <v>305</v>
      </c>
      <c r="C194" s="8" t="s">
        <v>35</v>
      </c>
      <c r="D194" s="8" t="s">
        <v>440</v>
      </c>
      <c r="E194" s="8" t="s">
        <v>22</v>
      </c>
      <c r="F194" s="8" t="s">
        <v>135</v>
      </c>
      <c r="G194" s="12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9">
        <f t="shared" si="18"/>
        <v>5.3576060644023843E-2</v>
      </c>
      <c r="P194" s="10">
        <v>0</v>
      </c>
      <c r="Q194" s="1">
        <f t="shared" si="19"/>
        <v>0</v>
      </c>
      <c r="R194" s="10">
        <v>10</v>
      </c>
      <c r="S194" s="10">
        <v>0</v>
      </c>
      <c r="T194" s="10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8">
        <v>17595029</v>
      </c>
      <c r="B195" s="8" t="s">
        <v>334</v>
      </c>
      <c r="C195" s="8" t="s">
        <v>21</v>
      </c>
      <c r="D195" s="8" t="s">
        <v>442</v>
      </c>
      <c r="E195" s="8" t="s">
        <v>26</v>
      </c>
      <c r="F195" s="8" t="s">
        <v>120</v>
      </c>
      <c r="G195" s="12" t="s">
        <v>441</v>
      </c>
      <c r="H195" s="7">
        <v>7.2753475754493193</v>
      </c>
      <c r="I195" s="1">
        <v>1</v>
      </c>
      <c r="J195" s="1">
        <f t="shared" si="15"/>
        <v>0</v>
      </c>
      <c r="K195" s="5">
        <f t="shared" si="16"/>
        <v>0.13745047774411531</v>
      </c>
      <c r="L195" s="2">
        <v>1233517.793070439</v>
      </c>
      <c r="M195" s="2">
        <v>645000</v>
      </c>
      <c r="N195" s="6">
        <f t="shared" si="17"/>
        <v>1</v>
      </c>
      <c r="O195" s="9">
        <f t="shared" si="18"/>
        <v>0.52289476781237465</v>
      </c>
      <c r="P195" s="10">
        <v>5</v>
      </c>
      <c r="Q195" s="1">
        <f t="shared" si="19"/>
        <v>1</v>
      </c>
      <c r="R195" s="10">
        <v>10</v>
      </c>
      <c r="S195" s="10">
        <v>5</v>
      </c>
      <c r="T195" s="10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8">
        <v>17766225</v>
      </c>
      <c r="B196" s="8" t="s">
        <v>376</v>
      </c>
      <c r="C196" s="8" t="s">
        <v>21</v>
      </c>
      <c r="D196" s="8" t="s">
        <v>442</v>
      </c>
      <c r="E196" s="8" t="s">
        <v>22</v>
      </c>
      <c r="F196" s="8" t="s">
        <v>120</v>
      </c>
      <c r="G196" s="12" t="s">
        <v>441</v>
      </c>
      <c r="H196" s="7">
        <v>6.651746354696491</v>
      </c>
      <c r="I196" s="1">
        <v>1</v>
      </c>
      <c r="J196" s="1">
        <f t="shared" si="15"/>
        <v>0</v>
      </c>
      <c r="K196" s="5">
        <f t="shared" si="16"/>
        <v>0.1503364600326268</v>
      </c>
      <c r="L196" s="2">
        <v>1233517.793070439</v>
      </c>
      <c r="M196" s="2">
        <v>343000</v>
      </c>
      <c r="N196" s="6">
        <f t="shared" si="17"/>
        <v>1</v>
      </c>
      <c r="O196" s="9">
        <f t="shared" si="18"/>
        <v>0.27806651993743331</v>
      </c>
      <c r="P196" s="10">
        <v>0</v>
      </c>
      <c r="Q196" s="1">
        <f t="shared" si="19"/>
        <v>0</v>
      </c>
      <c r="R196" s="10">
        <v>9</v>
      </c>
      <c r="S196" s="10">
        <v>14</v>
      </c>
      <c r="T196" s="10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8">
        <v>17783845</v>
      </c>
      <c r="B197" s="8" t="s">
        <v>140</v>
      </c>
      <c r="C197" s="8" t="s">
        <v>21</v>
      </c>
      <c r="D197" s="8" t="s">
        <v>440</v>
      </c>
      <c r="E197" s="8" t="s">
        <v>22</v>
      </c>
      <c r="F197" s="8" t="s">
        <v>120</v>
      </c>
      <c r="G197" s="12" t="s">
        <v>441</v>
      </c>
      <c r="H197" s="7">
        <v>5.8202780603594357</v>
      </c>
      <c r="I197" s="1">
        <v>1</v>
      </c>
      <c r="J197" s="4">
        <f t="shared" si="15"/>
        <v>0</v>
      </c>
      <c r="K197" s="5">
        <f t="shared" si="16"/>
        <v>0.17181309718014473</v>
      </c>
      <c r="L197" s="2">
        <v>2549477.9785796599</v>
      </c>
      <c r="M197" s="2">
        <v>5120000</v>
      </c>
      <c r="N197" s="6">
        <f t="shared" si="17"/>
        <v>1</v>
      </c>
      <c r="O197" s="9">
        <f t="shared" si="18"/>
        <v>2.0082542555838838</v>
      </c>
      <c r="P197" s="10">
        <v>1</v>
      </c>
      <c r="Q197" s="1">
        <f t="shared" si="19"/>
        <v>0</v>
      </c>
      <c r="R197" s="10">
        <v>8</v>
      </c>
      <c r="S197" s="10">
        <v>1</v>
      </c>
      <c r="T197" s="10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8">
        <v>17699495</v>
      </c>
      <c r="B198" s="8" t="s">
        <v>119</v>
      </c>
      <c r="C198" s="8" t="s">
        <v>21</v>
      </c>
      <c r="D198" s="8" t="s">
        <v>440</v>
      </c>
      <c r="E198" s="8" t="s">
        <v>22</v>
      </c>
      <c r="F198" s="8" t="s">
        <v>120</v>
      </c>
      <c r="G198" s="12" t="s">
        <v>441</v>
      </c>
      <c r="H198" s="7">
        <v>3</v>
      </c>
      <c r="I198" s="1">
        <v>1</v>
      </c>
      <c r="J198" s="4">
        <f t="shared" si="15"/>
        <v>0</v>
      </c>
      <c r="K198" s="5">
        <f t="shared" si="16"/>
        <v>0.33333333333333331</v>
      </c>
      <c r="L198" s="2">
        <v>12908778</v>
      </c>
      <c r="M198" s="2">
        <v>4593000</v>
      </c>
      <c r="N198" s="6">
        <f t="shared" si="17"/>
        <v>1</v>
      </c>
      <c r="O198" s="9">
        <f t="shared" si="18"/>
        <v>0.35580439914606943</v>
      </c>
      <c r="P198" s="10">
        <v>1</v>
      </c>
      <c r="Q198" s="1">
        <f t="shared" si="19"/>
        <v>0</v>
      </c>
      <c r="R198" s="10">
        <v>5</v>
      </c>
      <c r="S198" s="10">
        <v>1</v>
      </c>
      <c r="T198" s="10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8">
        <v>507427</v>
      </c>
      <c r="B199" s="8" t="s">
        <v>110</v>
      </c>
      <c r="C199" s="8" t="s">
        <v>21</v>
      </c>
      <c r="D199" s="8" t="s">
        <v>440</v>
      </c>
      <c r="E199" s="8" t="s">
        <v>22</v>
      </c>
      <c r="F199" s="8" t="s">
        <v>111</v>
      </c>
      <c r="G199" s="12" t="s">
        <v>441</v>
      </c>
      <c r="H199" s="7">
        <v>8.938284164123429</v>
      </c>
      <c r="I199" s="1">
        <v>6</v>
      </c>
      <c r="J199" s="4">
        <f t="shared" si="15"/>
        <v>1</v>
      </c>
      <c r="K199" s="5">
        <f t="shared" si="16"/>
        <v>0.67126977502940188</v>
      </c>
      <c r="L199" s="2">
        <v>22463880</v>
      </c>
      <c r="M199" s="2">
        <v>813000</v>
      </c>
      <c r="N199" s="6">
        <f t="shared" si="17"/>
        <v>1</v>
      </c>
      <c r="O199" s="9">
        <f t="shared" si="18"/>
        <v>3.6191432646541913E-2</v>
      </c>
      <c r="P199" s="10">
        <v>0</v>
      </c>
      <c r="Q199" s="1">
        <f t="shared" si="19"/>
        <v>0</v>
      </c>
      <c r="R199" s="10">
        <v>11</v>
      </c>
      <c r="S199" s="10">
        <v>0</v>
      </c>
      <c r="T199" s="10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8">
        <v>17608447</v>
      </c>
      <c r="B200" s="8" t="s">
        <v>285</v>
      </c>
      <c r="C200" s="8" t="s">
        <v>21</v>
      </c>
      <c r="D200" s="8" t="s">
        <v>442</v>
      </c>
      <c r="E200" s="8" t="s">
        <v>22</v>
      </c>
      <c r="F200" s="8" t="s">
        <v>111</v>
      </c>
      <c r="G200" s="12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843000</v>
      </c>
      <c r="N200" s="6">
        <f t="shared" si="17"/>
        <v>1</v>
      </c>
      <c r="O200" s="9">
        <f t="shared" si="18"/>
        <v>0.68341130118733617</v>
      </c>
      <c r="P200" s="10">
        <v>1</v>
      </c>
      <c r="Q200" s="1">
        <f t="shared" si="19"/>
        <v>0</v>
      </c>
      <c r="R200" s="10">
        <v>10</v>
      </c>
      <c r="S200" s="10">
        <v>1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659110</v>
      </c>
      <c r="B201" s="8" t="s">
        <v>164</v>
      </c>
      <c r="C201" s="8" t="s">
        <v>21</v>
      </c>
      <c r="D201" s="8" t="s">
        <v>440</v>
      </c>
      <c r="E201" s="8" t="s">
        <v>22</v>
      </c>
      <c r="F201" s="8" t="s">
        <v>111</v>
      </c>
      <c r="G201" s="12" t="s">
        <v>441</v>
      </c>
      <c r="H201" s="7">
        <v>5.1966768396066563</v>
      </c>
      <c r="I201" s="1">
        <v>9</v>
      </c>
      <c r="J201" s="4">
        <f t="shared" si="15"/>
        <v>1</v>
      </c>
      <c r="K201" s="5">
        <f t="shared" si="16"/>
        <v>1.7318760195758531</v>
      </c>
      <c r="L201" s="2">
        <v>2574298.0029296018</v>
      </c>
      <c r="M201" s="2">
        <v>7236000</v>
      </c>
      <c r="N201" s="6">
        <f t="shared" si="17"/>
        <v>1</v>
      </c>
      <c r="O201" s="9">
        <f t="shared" si="18"/>
        <v>2.8108633855774623</v>
      </c>
      <c r="P201" s="10">
        <v>11</v>
      </c>
      <c r="Q201" s="1">
        <f t="shared" si="19"/>
        <v>1</v>
      </c>
      <c r="R201" s="10">
        <v>8</v>
      </c>
      <c r="S201" s="10">
        <v>11</v>
      </c>
      <c r="T201" s="10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8">
        <v>1546472</v>
      </c>
      <c r="B202" s="8" t="s">
        <v>205</v>
      </c>
      <c r="C202" s="8" t="s">
        <v>21</v>
      </c>
      <c r="D202" s="8" t="s">
        <v>440</v>
      </c>
      <c r="E202" s="8" t="s">
        <v>22</v>
      </c>
      <c r="F202" s="8" t="s">
        <v>111</v>
      </c>
      <c r="G202" s="12" t="s">
        <v>441</v>
      </c>
      <c r="H202" s="7">
        <v>5</v>
      </c>
      <c r="I202" s="1">
        <v>6</v>
      </c>
      <c r="J202" s="1">
        <f t="shared" si="15"/>
        <v>1</v>
      </c>
      <c r="K202" s="5">
        <f t="shared" si="16"/>
        <v>1.2</v>
      </c>
      <c r="L202" s="2">
        <v>2905564.257570155</v>
      </c>
      <c r="M202" s="2">
        <v>1720000</v>
      </c>
      <c r="N202" s="6">
        <f t="shared" si="17"/>
        <v>1</v>
      </c>
      <c r="O202" s="9">
        <f t="shared" si="18"/>
        <v>0.59196763434803179</v>
      </c>
      <c r="P202" s="10">
        <v>2</v>
      </c>
      <c r="Q202" s="1">
        <f t="shared" si="19"/>
        <v>0</v>
      </c>
      <c r="R202" s="10">
        <v>7</v>
      </c>
      <c r="S202" s="10">
        <v>2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17666253</v>
      </c>
      <c r="B203" s="8" t="s">
        <v>227</v>
      </c>
      <c r="C203" s="8" t="s">
        <v>21</v>
      </c>
      <c r="D203" s="8" t="s">
        <v>449</v>
      </c>
      <c r="E203" s="8" t="s">
        <v>22</v>
      </c>
      <c r="F203" s="8" t="s">
        <v>111</v>
      </c>
      <c r="G203" s="12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21770000</v>
      </c>
      <c r="N203" s="6">
        <f t="shared" si="17"/>
        <v>1</v>
      </c>
      <c r="O203" s="9">
        <f t="shared" si="18"/>
        <v>0.62557976326484144</v>
      </c>
      <c r="P203" s="10">
        <v>4</v>
      </c>
      <c r="Q203" s="1">
        <f t="shared" si="19"/>
        <v>1</v>
      </c>
      <c r="R203" s="10">
        <v>6</v>
      </c>
      <c r="S203" s="10">
        <v>4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17663066</v>
      </c>
      <c r="B204" s="8" t="s">
        <v>231</v>
      </c>
      <c r="C204" s="8" t="s">
        <v>21</v>
      </c>
      <c r="D204" s="8" t="s">
        <v>440</v>
      </c>
      <c r="E204" s="8" t="s">
        <v>22</v>
      </c>
      <c r="F204" s="8" t="s">
        <v>111</v>
      </c>
      <c r="G204" s="12" t="s">
        <v>441</v>
      </c>
      <c r="H204" s="7">
        <v>3.1180061037639888</v>
      </c>
      <c r="I204" s="1">
        <v>6</v>
      </c>
      <c r="J204" s="4">
        <f t="shared" si="15"/>
        <v>1</v>
      </c>
      <c r="K204" s="5">
        <f t="shared" si="16"/>
        <v>1.9243066884176177</v>
      </c>
      <c r="L204" s="2">
        <v>22463880</v>
      </c>
      <c r="M204" s="2">
        <v>20040000</v>
      </c>
      <c r="N204" s="6">
        <f t="shared" si="17"/>
        <v>1</v>
      </c>
      <c r="O204" s="9">
        <f t="shared" si="18"/>
        <v>0.8920987825789668</v>
      </c>
      <c r="P204" s="10">
        <v>7</v>
      </c>
      <c r="Q204" s="1">
        <f t="shared" si="19"/>
        <v>1</v>
      </c>
      <c r="R204" s="10">
        <v>6</v>
      </c>
      <c r="S204" s="10">
        <v>7</v>
      </c>
      <c r="T204" s="10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8">
        <v>17746582</v>
      </c>
      <c r="B205" s="8" t="s">
        <v>218</v>
      </c>
      <c r="C205" s="8" t="s">
        <v>21</v>
      </c>
      <c r="D205" s="8" t="s">
        <v>444</v>
      </c>
      <c r="E205" s="8" t="s">
        <v>26</v>
      </c>
      <c r="F205" s="8" t="s">
        <v>111</v>
      </c>
      <c r="G205" s="12" t="s">
        <v>441</v>
      </c>
      <c r="H205" s="7">
        <v>3</v>
      </c>
      <c r="I205" s="1">
        <v>60</v>
      </c>
      <c r="J205" s="4">
        <f t="shared" si="15"/>
        <v>1</v>
      </c>
      <c r="K205" s="5">
        <f t="shared" si="16"/>
        <v>20</v>
      </c>
      <c r="L205" s="2">
        <v>6018419.3717715694</v>
      </c>
      <c r="M205" s="2">
        <v>2136000</v>
      </c>
      <c r="N205" s="6">
        <f t="shared" si="17"/>
        <v>1</v>
      </c>
      <c r="O205" s="9">
        <f t="shared" si="18"/>
        <v>0.35491046204233712</v>
      </c>
      <c r="P205" s="10">
        <v>2</v>
      </c>
      <c r="Q205" s="1">
        <f t="shared" si="19"/>
        <v>0</v>
      </c>
      <c r="R205" s="10">
        <v>5</v>
      </c>
      <c r="S205" s="10">
        <v>7</v>
      </c>
      <c r="T205" s="10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8">
        <v>17582760</v>
      </c>
      <c r="B206" s="8" t="s">
        <v>265</v>
      </c>
      <c r="C206" s="8" t="s">
        <v>21</v>
      </c>
      <c r="D206" s="8" t="s">
        <v>444</v>
      </c>
      <c r="E206" s="8" t="s">
        <v>26</v>
      </c>
      <c r="F206" s="8" t="s">
        <v>111</v>
      </c>
      <c r="G206" s="12" t="s">
        <v>441</v>
      </c>
      <c r="H206" s="7">
        <v>3</v>
      </c>
      <c r="I206" s="1">
        <v>68</v>
      </c>
      <c r="J206" s="4">
        <f t="shared" si="15"/>
        <v>1</v>
      </c>
      <c r="K206" s="5">
        <f t="shared" si="16"/>
        <v>22.666666666666668</v>
      </c>
      <c r="L206" s="2">
        <v>6018419.3717715694</v>
      </c>
      <c r="M206" s="2">
        <v>10695000</v>
      </c>
      <c r="N206" s="6">
        <f t="shared" si="17"/>
        <v>1</v>
      </c>
      <c r="O206" s="9">
        <f t="shared" si="18"/>
        <v>1.7770446589619828</v>
      </c>
      <c r="P206" s="10">
        <v>0</v>
      </c>
      <c r="Q206" s="1">
        <f t="shared" si="19"/>
        <v>0</v>
      </c>
      <c r="R206" s="10">
        <v>5</v>
      </c>
      <c r="S206" s="10">
        <v>5</v>
      </c>
      <c r="T206" s="10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8">
        <v>17691756</v>
      </c>
      <c r="B207" s="8" t="s">
        <v>309</v>
      </c>
      <c r="C207" s="8" t="s">
        <v>35</v>
      </c>
      <c r="D207" s="8" t="s">
        <v>442</v>
      </c>
      <c r="E207" s="8" t="s">
        <v>26</v>
      </c>
      <c r="F207" s="8" t="s">
        <v>62</v>
      </c>
      <c r="G207" s="12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9">
        <f t="shared" si="18"/>
        <v>2.1158997581244927</v>
      </c>
      <c r="P207" s="10">
        <v>0</v>
      </c>
      <c r="Q207" s="1">
        <f t="shared" si="19"/>
        <v>0</v>
      </c>
      <c r="R207" s="10">
        <v>5</v>
      </c>
      <c r="S207" s="10">
        <v>55</v>
      </c>
      <c r="T207" s="10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8">
        <v>17741916</v>
      </c>
      <c r="B208" s="8" t="s">
        <v>318</v>
      </c>
      <c r="C208" s="8" t="s">
        <v>35</v>
      </c>
      <c r="D208" s="8" t="s">
        <v>442</v>
      </c>
      <c r="E208" s="8" t="s">
        <v>26</v>
      </c>
      <c r="F208" s="8" t="s">
        <v>278</v>
      </c>
      <c r="G208" s="12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9">
        <f t="shared" si="18"/>
        <v>0</v>
      </c>
      <c r="P208" s="10">
        <v>0</v>
      </c>
      <c r="Q208" s="1">
        <f t="shared" si="19"/>
        <v>0</v>
      </c>
      <c r="R208" s="10">
        <v>5</v>
      </c>
      <c r="S208" s="10">
        <v>0</v>
      </c>
      <c r="T208" s="10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8">
        <v>17239588</v>
      </c>
      <c r="B209" s="8" t="s">
        <v>128</v>
      </c>
      <c r="C209" s="8" t="s">
        <v>21</v>
      </c>
      <c r="D209" s="8" t="s">
        <v>442</v>
      </c>
      <c r="E209" s="8" t="s">
        <v>26</v>
      </c>
      <c r="F209" s="8" t="s">
        <v>129</v>
      </c>
      <c r="G209" s="12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3824000</v>
      </c>
      <c r="N209" s="6">
        <f t="shared" si="17"/>
        <v>1</v>
      </c>
      <c r="O209" s="9">
        <f t="shared" si="18"/>
        <v>3.1000768869992568</v>
      </c>
      <c r="P209" s="10">
        <v>13</v>
      </c>
      <c r="Q209" s="1">
        <f t="shared" si="19"/>
        <v>1</v>
      </c>
      <c r="R209" s="10">
        <v>8</v>
      </c>
      <c r="S209" s="10">
        <v>15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>
        <v>17255305</v>
      </c>
      <c r="B210" s="8" t="s">
        <v>202</v>
      </c>
      <c r="C210" s="8" t="s">
        <v>21</v>
      </c>
      <c r="D210" s="8" t="s">
        <v>440</v>
      </c>
      <c r="E210" s="8" t="s">
        <v>22</v>
      </c>
      <c r="F210" s="8" t="s">
        <v>129</v>
      </c>
      <c r="G210" s="12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2590000</v>
      </c>
      <c r="N210" s="6">
        <f t="shared" si="17"/>
        <v>1</v>
      </c>
      <c r="O210" s="9">
        <f t="shared" si="18"/>
        <v>8.7423051280679939E-2</v>
      </c>
      <c r="P210" s="10">
        <v>0</v>
      </c>
      <c r="Q210" s="1">
        <f t="shared" si="19"/>
        <v>0</v>
      </c>
      <c r="R210" s="10">
        <v>7</v>
      </c>
      <c r="S210" s="10">
        <v>0</v>
      </c>
      <c r="T210" s="10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8">
        <v>17723382</v>
      </c>
      <c r="B211" s="8" t="s">
        <v>208</v>
      </c>
      <c r="C211" s="8" t="s">
        <v>21</v>
      </c>
      <c r="D211" s="8" t="s">
        <v>442</v>
      </c>
      <c r="E211" s="8" t="s">
        <v>26</v>
      </c>
      <c r="F211" s="8" t="s">
        <v>129</v>
      </c>
      <c r="G211" s="12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3656000</v>
      </c>
      <c r="N211" s="6">
        <f t="shared" si="17"/>
        <v>1</v>
      </c>
      <c r="O211" s="9">
        <f t="shared" si="18"/>
        <v>2.9638810404992895</v>
      </c>
      <c r="P211" s="10">
        <v>0</v>
      </c>
      <c r="Q211" s="1">
        <f t="shared" si="19"/>
        <v>0</v>
      </c>
      <c r="R211" s="10">
        <v>5</v>
      </c>
      <c r="S211" s="10">
        <v>5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8">
        <v>17750165</v>
      </c>
      <c r="B212" s="8" t="s">
        <v>330</v>
      </c>
      <c r="C212" s="8" t="s">
        <v>21</v>
      </c>
      <c r="D212" s="8" t="s">
        <v>442</v>
      </c>
      <c r="E212" s="8" t="s">
        <v>26</v>
      </c>
      <c r="F212" s="8" t="s">
        <v>129</v>
      </c>
      <c r="G212" s="12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573000</v>
      </c>
      <c r="N212" s="6">
        <f t="shared" si="17"/>
        <v>1</v>
      </c>
      <c r="O212" s="9">
        <f t="shared" si="18"/>
        <v>0.46452511931238866</v>
      </c>
      <c r="P212" s="10">
        <v>0</v>
      </c>
      <c r="Q212" s="1">
        <f t="shared" si="19"/>
        <v>0</v>
      </c>
      <c r="R212" s="10">
        <v>5</v>
      </c>
      <c r="S212" s="10">
        <v>0</v>
      </c>
      <c r="T212" s="10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17707547</v>
      </c>
      <c r="B213" s="8" t="s">
        <v>375</v>
      </c>
      <c r="C213" s="8" t="s">
        <v>21</v>
      </c>
      <c r="D213" s="8" t="s">
        <v>442</v>
      </c>
      <c r="E213" s="8" t="s">
        <v>22</v>
      </c>
      <c r="F213" s="8" t="s">
        <v>129</v>
      </c>
      <c r="G213" s="12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9">
        <f t="shared" si="18"/>
        <v>0.17997308287495686</v>
      </c>
      <c r="P213" s="10">
        <v>0</v>
      </c>
      <c r="Q213" s="1">
        <f t="shared" si="19"/>
        <v>0</v>
      </c>
      <c r="R213" s="10">
        <v>5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17674665</v>
      </c>
      <c r="B214" s="8" t="s">
        <v>173</v>
      </c>
      <c r="C214" s="8" t="s">
        <v>21</v>
      </c>
      <c r="D214" s="8" t="s">
        <v>442</v>
      </c>
      <c r="E214" s="8" t="s">
        <v>26</v>
      </c>
      <c r="F214" s="8" t="s">
        <v>129</v>
      </c>
      <c r="G214" s="12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607000</v>
      </c>
      <c r="N214" s="6">
        <f t="shared" si="17"/>
        <v>1</v>
      </c>
      <c r="O214" s="9">
        <f t="shared" si="18"/>
        <v>2.0233333333333334</v>
      </c>
      <c r="P214" s="10">
        <v>7</v>
      </c>
      <c r="Q214" s="1">
        <f t="shared" si="19"/>
        <v>1</v>
      </c>
      <c r="R214" s="10">
        <v>5</v>
      </c>
      <c r="S214" s="10">
        <v>7</v>
      </c>
      <c r="T214" s="10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15" customFormat="1" ht="26">
      <c r="A215" s="13">
        <v>17741675</v>
      </c>
      <c r="B215" s="13" t="s">
        <v>475</v>
      </c>
      <c r="C215" s="8" t="s">
        <v>21</v>
      </c>
      <c r="D215" s="8" t="s">
        <v>442</v>
      </c>
      <c r="E215" s="8" t="s">
        <v>26</v>
      </c>
      <c r="F215" s="14" t="s">
        <v>129</v>
      </c>
      <c r="G215" s="1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445000</v>
      </c>
      <c r="N215" s="6">
        <f t="shared" si="17"/>
        <v>1</v>
      </c>
      <c r="O215" s="9">
        <f t="shared" si="18"/>
        <v>1.4833333333333334</v>
      </c>
      <c r="P215" s="10">
        <v>0</v>
      </c>
      <c r="Q215" s="1">
        <f t="shared" si="19"/>
        <v>0</v>
      </c>
      <c r="R215" s="10">
        <v>5</v>
      </c>
      <c r="S215" s="10">
        <v>0</v>
      </c>
      <c r="T215" s="10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8">
        <v>17612210</v>
      </c>
      <c r="B216" s="8" t="s">
        <v>319</v>
      </c>
      <c r="C216" s="8" t="s">
        <v>35</v>
      </c>
      <c r="D216" s="8" t="s">
        <v>442</v>
      </c>
      <c r="E216" s="8" t="s">
        <v>26</v>
      </c>
      <c r="F216" s="8" t="s">
        <v>109</v>
      </c>
      <c r="G216" s="12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9">
        <f t="shared" si="18"/>
        <v>7.2962060624982505E-2</v>
      </c>
      <c r="P216" s="10">
        <v>5</v>
      </c>
      <c r="Q216" s="1">
        <f t="shared" si="19"/>
        <v>1</v>
      </c>
      <c r="R216" s="10">
        <v>5</v>
      </c>
      <c r="S216" s="10">
        <v>5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8">
        <v>17563421</v>
      </c>
      <c r="B217" s="8" t="s">
        <v>323</v>
      </c>
      <c r="C217" s="8" t="s">
        <v>35</v>
      </c>
      <c r="D217" s="8" t="s">
        <v>442</v>
      </c>
      <c r="E217" s="8" t="s">
        <v>26</v>
      </c>
      <c r="F217" s="8" t="s">
        <v>131</v>
      </c>
      <c r="G217" s="12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9">
        <f t="shared" si="18"/>
        <v>0</v>
      </c>
      <c r="P217" s="10">
        <v>0</v>
      </c>
      <c r="Q217" s="1">
        <f t="shared" si="19"/>
        <v>0</v>
      </c>
      <c r="R217" s="10">
        <v>5</v>
      </c>
      <c r="S217" s="10">
        <v>0</v>
      </c>
      <c r="T217" s="10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17438394</v>
      </c>
      <c r="B218" s="8" t="s">
        <v>326</v>
      </c>
      <c r="C218" s="8" t="s">
        <v>35</v>
      </c>
      <c r="D218" s="8" t="s">
        <v>442</v>
      </c>
      <c r="E218" s="8" t="s">
        <v>26</v>
      </c>
      <c r="F218" s="8" t="s">
        <v>271</v>
      </c>
      <c r="G218" s="12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9">
        <f t="shared" si="18"/>
        <v>0</v>
      </c>
      <c r="P218" s="10">
        <v>0</v>
      </c>
      <c r="Q218" s="1">
        <f t="shared" si="19"/>
        <v>0</v>
      </c>
      <c r="R218" s="10">
        <v>7</v>
      </c>
      <c r="S218" s="10">
        <v>5</v>
      </c>
      <c r="T218" s="10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8">
        <v>17646638</v>
      </c>
      <c r="B219" s="8" t="s">
        <v>327</v>
      </c>
      <c r="C219" s="8" t="s">
        <v>35</v>
      </c>
      <c r="D219" s="8" t="s">
        <v>442</v>
      </c>
      <c r="E219" s="8" t="s">
        <v>22</v>
      </c>
      <c r="F219" s="8" t="s">
        <v>290</v>
      </c>
      <c r="G219" s="12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9">
        <f t="shared" si="18"/>
        <v>0.26752755562493585</v>
      </c>
      <c r="P219" s="10">
        <v>0</v>
      </c>
      <c r="Q219" s="1">
        <f t="shared" si="19"/>
        <v>0</v>
      </c>
      <c r="R219" s="10">
        <v>7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17694192</v>
      </c>
      <c r="B220" s="8" t="s">
        <v>333</v>
      </c>
      <c r="C220" s="8" t="s">
        <v>35</v>
      </c>
      <c r="D220" s="8" t="s">
        <v>442</v>
      </c>
      <c r="E220" s="8" t="s">
        <v>22</v>
      </c>
      <c r="F220" s="8" t="s">
        <v>135</v>
      </c>
      <c r="G220" s="12" t="s">
        <v>441</v>
      </c>
      <c r="H220" s="7">
        <v>7.0674805018650426</v>
      </c>
      <c r="I220" s="1">
        <v>6</v>
      </c>
      <c r="J220" s="4">
        <f t="shared" ref="J220:J283" si="20">IF(I220&gt;=3,1,0)</f>
        <v>1</v>
      </c>
      <c r="K220" s="5">
        <f t="shared" ref="K220:K283" si="21">I220/H220</f>
        <v>0.84895883312541942</v>
      </c>
      <c r="L220" s="2">
        <v>1233517.793070439</v>
      </c>
      <c r="M220" s="2">
        <v>1878000</v>
      </c>
      <c r="N220" s="6">
        <f t="shared" ref="N220:N283" si="22">IF(M220&gt;=300000,1,0)</f>
        <v>1</v>
      </c>
      <c r="O220" s="9">
        <f t="shared" ref="O220:O283" si="23">M220/L220</f>
        <v>1.5224749983746351</v>
      </c>
      <c r="P220" s="10">
        <v>2</v>
      </c>
      <c r="Q220" s="1">
        <f t="shared" ref="Q220:Q283" si="24">IF(P220&gt;=3,1,0)</f>
        <v>0</v>
      </c>
      <c r="R220" s="10">
        <v>10</v>
      </c>
      <c r="S220" s="10">
        <v>2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17750177</v>
      </c>
      <c r="B221" s="8" t="s">
        <v>344</v>
      </c>
      <c r="C221" s="8" t="s">
        <v>35</v>
      </c>
      <c r="D221" s="8" t="s">
        <v>442</v>
      </c>
      <c r="E221" s="8" t="s">
        <v>26</v>
      </c>
      <c r="F221" s="8" t="s">
        <v>126</v>
      </c>
      <c r="G221" s="12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9">
        <f t="shared" si="23"/>
        <v>0</v>
      </c>
      <c r="P221" s="10">
        <v>0</v>
      </c>
      <c r="Q221" s="1">
        <f t="shared" si="24"/>
        <v>0</v>
      </c>
      <c r="R221" s="10">
        <v>6</v>
      </c>
      <c r="S221" s="10">
        <v>5</v>
      </c>
      <c r="T221" s="10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17712252</v>
      </c>
      <c r="B222" s="8" t="s">
        <v>343</v>
      </c>
      <c r="C222" s="8" t="s">
        <v>21</v>
      </c>
      <c r="D222" s="8" t="s">
        <v>442</v>
      </c>
      <c r="E222" s="8" t="s">
        <v>26</v>
      </c>
      <c r="F222" s="8" t="s">
        <v>261</v>
      </c>
      <c r="G222" s="12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6190000</v>
      </c>
      <c r="N222" s="6">
        <f t="shared" si="22"/>
        <v>1</v>
      </c>
      <c r="O222" s="9">
        <f t="shared" si="23"/>
        <v>5.0181683918737967</v>
      </c>
      <c r="P222" s="10">
        <v>0</v>
      </c>
      <c r="Q222" s="1">
        <f t="shared" si="24"/>
        <v>0</v>
      </c>
      <c r="R222" s="10">
        <v>10</v>
      </c>
      <c r="S222" s="10">
        <v>5</v>
      </c>
      <c r="T222" s="10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8">
        <v>17763874</v>
      </c>
      <c r="B223" s="8" t="s">
        <v>448</v>
      </c>
      <c r="C223" s="8" t="s">
        <v>21</v>
      </c>
      <c r="D223" s="8" t="s">
        <v>442</v>
      </c>
      <c r="E223" s="8" t="s">
        <v>26</v>
      </c>
      <c r="F223" s="8" t="s">
        <v>261</v>
      </c>
      <c r="G223" s="12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390000</v>
      </c>
      <c r="N223" s="6">
        <f t="shared" si="22"/>
        <v>1</v>
      </c>
      <c r="O223" s="9">
        <f t="shared" si="23"/>
        <v>0.31616892937492419</v>
      </c>
      <c r="P223" s="10">
        <v>6</v>
      </c>
      <c r="Q223" s="1">
        <f t="shared" si="24"/>
        <v>1</v>
      </c>
      <c r="R223" s="10">
        <v>7</v>
      </c>
      <c r="S223" s="10">
        <v>6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17647227</v>
      </c>
      <c r="B224" s="8" t="s">
        <v>260</v>
      </c>
      <c r="C224" s="8" t="s">
        <v>21</v>
      </c>
      <c r="D224" s="8" t="s">
        <v>442</v>
      </c>
      <c r="E224" s="8" t="s">
        <v>26</v>
      </c>
      <c r="F224" s="8" t="s">
        <v>261</v>
      </c>
      <c r="G224" s="12" t="s">
        <v>441</v>
      </c>
      <c r="H224" s="7">
        <v>4.7809426924381153</v>
      </c>
      <c r="I224" s="1">
        <v>18</v>
      </c>
      <c r="J224" s="1">
        <f t="shared" si="20"/>
        <v>1</v>
      </c>
      <c r="K224" s="5">
        <f t="shared" si="21"/>
        <v>3.7649478686431657</v>
      </c>
      <c r="L224" s="2">
        <v>1233517.793070439</v>
      </c>
      <c r="M224" s="2">
        <v>175000</v>
      </c>
      <c r="N224" s="6">
        <f t="shared" si="22"/>
        <v>0</v>
      </c>
      <c r="O224" s="9">
        <f t="shared" si="23"/>
        <v>0.14187067343746598</v>
      </c>
      <c r="P224" s="10">
        <v>15</v>
      </c>
      <c r="Q224" s="1">
        <f t="shared" si="24"/>
        <v>1</v>
      </c>
      <c r="R224" s="10">
        <v>7</v>
      </c>
      <c r="S224" s="10">
        <v>15</v>
      </c>
      <c r="T224" s="10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8">
        <v>17691033</v>
      </c>
      <c r="B225" s="8" t="s">
        <v>396</v>
      </c>
      <c r="C225" s="8" t="s">
        <v>21</v>
      </c>
      <c r="D225" s="8" t="s">
        <v>442</v>
      </c>
      <c r="E225" s="8" t="s">
        <v>22</v>
      </c>
      <c r="F225" s="8" t="s">
        <v>261</v>
      </c>
      <c r="G225" s="12" t="s">
        <v>441</v>
      </c>
      <c r="H225" s="7">
        <v>4.5730756188538484</v>
      </c>
      <c r="I225" s="1">
        <v>7</v>
      </c>
      <c r="J225" s="1">
        <f t="shared" si="20"/>
        <v>1</v>
      </c>
      <c r="K225" s="5">
        <f t="shared" si="21"/>
        <v>1.5306985021503783</v>
      </c>
      <c r="L225" s="2">
        <v>1233517.793070439</v>
      </c>
      <c r="M225" s="2">
        <v>792000</v>
      </c>
      <c r="N225" s="6">
        <f t="shared" si="22"/>
        <v>1</v>
      </c>
      <c r="O225" s="9">
        <f t="shared" si="23"/>
        <v>0.64206613349984609</v>
      </c>
      <c r="P225" s="10">
        <v>1</v>
      </c>
      <c r="Q225" s="1">
        <f t="shared" si="24"/>
        <v>0</v>
      </c>
      <c r="R225" s="10">
        <v>7</v>
      </c>
      <c r="S225" s="10">
        <v>1</v>
      </c>
      <c r="T225" s="10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8">
        <v>17664687</v>
      </c>
      <c r="B226" s="8" t="s">
        <v>203</v>
      </c>
      <c r="C226" s="8" t="s">
        <v>21</v>
      </c>
      <c r="D226" s="8" t="s">
        <v>442</v>
      </c>
      <c r="E226" s="8" t="s">
        <v>22</v>
      </c>
      <c r="F226" s="8" t="s">
        <v>204</v>
      </c>
      <c r="G226" s="12" t="s">
        <v>441</v>
      </c>
      <c r="H226" s="7">
        <v>6.0281451339437124</v>
      </c>
      <c r="I226" s="1">
        <v>7</v>
      </c>
      <c r="J226" s="1">
        <f t="shared" si="20"/>
        <v>1</v>
      </c>
      <c r="K226" s="5">
        <f t="shared" si="21"/>
        <v>1.1612195533554588</v>
      </c>
      <c r="L226" s="2">
        <v>1233517.793070439</v>
      </c>
      <c r="M226" s="2">
        <v>654000</v>
      </c>
      <c r="N226" s="6">
        <f t="shared" si="22"/>
        <v>1</v>
      </c>
      <c r="O226" s="9">
        <f t="shared" si="23"/>
        <v>0.53019097387487291</v>
      </c>
      <c r="P226" s="10">
        <v>0</v>
      </c>
      <c r="Q226" s="1">
        <f t="shared" si="24"/>
        <v>0</v>
      </c>
      <c r="R226" s="10">
        <v>9</v>
      </c>
      <c r="S226" s="10">
        <v>0</v>
      </c>
      <c r="T226" s="10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8" t="s">
        <v>430</v>
      </c>
      <c r="B227" s="8" t="s">
        <v>434</v>
      </c>
      <c r="C227" s="8" t="s">
        <v>21</v>
      </c>
      <c r="D227" s="8" t="s">
        <v>442</v>
      </c>
      <c r="E227" s="8" t="s">
        <v>22</v>
      </c>
      <c r="F227" s="8" t="s">
        <v>204</v>
      </c>
      <c r="G227" s="12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558000</v>
      </c>
      <c r="N227" s="6">
        <f t="shared" si="22"/>
        <v>1</v>
      </c>
      <c r="O227" s="9">
        <f t="shared" si="23"/>
        <v>0.45236477587489154</v>
      </c>
      <c r="P227" s="10">
        <v>0</v>
      </c>
      <c r="Q227" s="1">
        <f t="shared" si="24"/>
        <v>0</v>
      </c>
      <c r="R227" s="10">
        <v>7</v>
      </c>
      <c r="S227" s="10">
        <v>0</v>
      </c>
      <c r="T227" s="10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8">
        <v>17783359</v>
      </c>
      <c r="B228" s="8" t="s">
        <v>339</v>
      </c>
      <c r="C228" s="8" t="s">
        <v>21</v>
      </c>
      <c r="D228" s="8" t="s">
        <v>442</v>
      </c>
      <c r="E228" s="8" t="s">
        <v>26</v>
      </c>
      <c r="F228" s="8" t="s">
        <v>204</v>
      </c>
      <c r="G228" s="12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438000</v>
      </c>
      <c r="N228" s="6">
        <f t="shared" si="22"/>
        <v>1</v>
      </c>
      <c r="O228" s="9">
        <f t="shared" si="23"/>
        <v>0.35508202837491487</v>
      </c>
      <c r="P228" s="10">
        <v>0</v>
      </c>
      <c r="Q228" s="1">
        <f t="shared" si="24"/>
        <v>0</v>
      </c>
      <c r="R228" s="10">
        <v>5</v>
      </c>
      <c r="S228" s="10">
        <v>0</v>
      </c>
      <c r="T228" s="10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17708464</v>
      </c>
      <c r="B229" s="8" t="s">
        <v>362</v>
      </c>
      <c r="C229" s="8" t="s">
        <v>21</v>
      </c>
      <c r="D229" s="8" t="s">
        <v>442</v>
      </c>
      <c r="E229" s="8" t="s">
        <v>26</v>
      </c>
      <c r="F229" s="8" t="s">
        <v>53</v>
      </c>
      <c r="G229" s="12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1703000</v>
      </c>
      <c r="N229" s="6">
        <f t="shared" si="22"/>
        <v>1</v>
      </c>
      <c r="O229" s="9">
        <f t="shared" si="23"/>
        <v>1.3806043249371691</v>
      </c>
      <c r="P229" s="10">
        <v>0</v>
      </c>
      <c r="Q229" s="1">
        <f t="shared" si="24"/>
        <v>0</v>
      </c>
      <c r="R229" s="10">
        <v>10</v>
      </c>
      <c r="S229" s="10">
        <v>0</v>
      </c>
      <c r="T229" s="10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17747746</v>
      </c>
      <c r="B230" s="8" t="s">
        <v>322</v>
      </c>
      <c r="C230" s="8" t="s">
        <v>21</v>
      </c>
      <c r="D230" s="8" t="s">
        <v>442</v>
      </c>
      <c r="E230" s="8" t="s">
        <v>26</v>
      </c>
      <c r="F230" s="8" t="s">
        <v>53</v>
      </c>
      <c r="G230" s="12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992000</v>
      </c>
      <c r="N230" s="6">
        <f t="shared" si="22"/>
        <v>1</v>
      </c>
      <c r="O230" s="9">
        <f t="shared" si="23"/>
        <v>0.80420404599980722</v>
      </c>
      <c r="P230" s="10">
        <v>5</v>
      </c>
      <c r="Q230" s="1">
        <f t="shared" si="24"/>
        <v>1</v>
      </c>
      <c r="R230" s="10">
        <v>9</v>
      </c>
      <c r="S230" s="10">
        <v>5</v>
      </c>
      <c r="T230" s="10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8">
        <v>17698994</v>
      </c>
      <c r="B231" s="8" t="s">
        <v>52</v>
      </c>
      <c r="C231" s="8" t="s">
        <v>21</v>
      </c>
      <c r="D231" s="8" t="s">
        <v>442</v>
      </c>
      <c r="E231" s="8" t="s">
        <v>22</v>
      </c>
      <c r="F231" s="8" t="s">
        <v>53</v>
      </c>
      <c r="G231" s="12" t="s">
        <v>441</v>
      </c>
      <c r="H231" s="7">
        <v>5.8202780603594357</v>
      </c>
      <c r="I231" s="1">
        <v>7</v>
      </c>
      <c r="J231" s="1">
        <f t="shared" si="20"/>
        <v>1</v>
      </c>
      <c r="K231" s="5">
        <f t="shared" si="21"/>
        <v>1.202691680261013</v>
      </c>
      <c r="L231" s="2">
        <v>1233517.793070439</v>
      </c>
      <c r="M231" s="2">
        <v>2049000</v>
      </c>
      <c r="N231" s="6">
        <f t="shared" si="22"/>
        <v>1</v>
      </c>
      <c r="O231" s="9">
        <f t="shared" si="23"/>
        <v>1.6611029135621018</v>
      </c>
      <c r="P231" s="10">
        <v>3</v>
      </c>
      <c r="Q231" s="1">
        <f t="shared" si="24"/>
        <v>1</v>
      </c>
      <c r="R231" s="10">
        <v>8</v>
      </c>
      <c r="S231" s="10">
        <v>3</v>
      </c>
      <c r="T231" s="10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8">
        <v>17753641</v>
      </c>
      <c r="B232" s="8" t="s">
        <v>370</v>
      </c>
      <c r="C232" s="8" t="s">
        <v>21</v>
      </c>
      <c r="D232" s="8" t="s">
        <v>442</v>
      </c>
      <c r="E232" s="8" t="s">
        <v>26</v>
      </c>
      <c r="F232" s="8" t="s">
        <v>53</v>
      </c>
      <c r="G232" s="12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890000</v>
      </c>
      <c r="N232" s="6">
        <f t="shared" si="22"/>
        <v>1</v>
      </c>
      <c r="O232" s="9">
        <f t="shared" si="23"/>
        <v>0.72151371062482705</v>
      </c>
      <c r="P232" s="10">
        <v>0</v>
      </c>
      <c r="Q232" s="1">
        <f t="shared" si="24"/>
        <v>0</v>
      </c>
      <c r="R232" s="10">
        <v>7</v>
      </c>
      <c r="S232" s="10">
        <v>50</v>
      </c>
      <c r="T232" s="10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8">
        <v>17440382</v>
      </c>
      <c r="B233" s="8" t="s">
        <v>329</v>
      </c>
      <c r="C233" s="8" t="s">
        <v>21</v>
      </c>
      <c r="D233" s="8" t="s">
        <v>442</v>
      </c>
      <c r="E233" s="8" t="s">
        <v>22</v>
      </c>
      <c r="F233" s="8" t="s">
        <v>53</v>
      </c>
      <c r="G233" s="12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1028000</v>
      </c>
      <c r="N233" s="6">
        <f t="shared" si="22"/>
        <v>1</v>
      </c>
      <c r="O233" s="9">
        <f t="shared" si="23"/>
        <v>0.83338887024980024</v>
      </c>
      <c r="P233" s="10">
        <v>2</v>
      </c>
      <c r="Q233" s="1">
        <f t="shared" si="24"/>
        <v>0</v>
      </c>
      <c r="R233" s="10">
        <v>7</v>
      </c>
      <c r="S233" s="10">
        <v>1</v>
      </c>
      <c r="T233" s="10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8">
        <v>17565415</v>
      </c>
      <c r="B234" s="8" t="s">
        <v>320</v>
      </c>
      <c r="C234" s="8" t="s">
        <v>21</v>
      </c>
      <c r="D234" s="8" t="s">
        <v>442</v>
      </c>
      <c r="E234" s="8" t="s">
        <v>26</v>
      </c>
      <c r="F234" s="8" t="s">
        <v>53</v>
      </c>
      <c r="G234" s="12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481000</v>
      </c>
      <c r="N234" s="6">
        <f t="shared" si="22"/>
        <v>1</v>
      </c>
      <c r="O234" s="9">
        <f t="shared" si="23"/>
        <v>0.3899416795624065</v>
      </c>
      <c r="P234" s="10">
        <v>0</v>
      </c>
      <c r="Q234" s="1">
        <f t="shared" si="24"/>
        <v>0</v>
      </c>
      <c r="R234" s="10">
        <v>7</v>
      </c>
      <c r="S234" s="10">
        <v>0</v>
      </c>
      <c r="T234" s="10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8">
        <v>17675844</v>
      </c>
      <c r="B235" s="8" t="s">
        <v>294</v>
      </c>
      <c r="C235" s="8" t="s">
        <v>21</v>
      </c>
      <c r="D235" s="8" t="s">
        <v>442</v>
      </c>
      <c r="E235" s="8" t="s">
        <v>22</v>
      </c>
      <c r="F235" s="8" t="s">
        <v>53</v>
      </c>
      <c r="G235" s="12" t="s">
        <v>441</v>
      </c>
      <c r="H235" s="7">
        <v>3.3258731773482562</v>
      </c>
      <c r="I235" s="1">
        <v>6</v>
      </c>
      <c r="J235" s="4">
        <f t="shared" si="20"/>
        <v>1</v>
      </c>
      <c r="K235" s="5">
        <f t="shared" si="21"/>
        <v>1.8040375203915158</v>
      </c>
      <c r="L235" s="2">
        <v>1233517.793070439</v>
      </c>
      <c r="M235" s="2">
        <v>6975000</v>
      </c>
      <c r="N235" s="6">
        <f t="shared" si="22"/>
        <v>1</v>
      </c>
      <c r="O235" s="9">
        <f t="shared" si="23"/>
        <v>5.6545596984361444</v>
      </c>
      <c r="P235" s="10">
        <v>2</v>
      </c>
      <c r="Q235" s="1">
        <f t="shared" si="24"/>
        <v>0</v>
      </c>
      <c r="R235" s="10">
        <v>6</v>
      </c>
      <c r="S235" s="10">
        <v>2</v>
      </c>
      <c r="T235" s="10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8">
        <v>17569071</v>
      </c>
      <c r="B236" s="8" t="s">
        <v>348</v>
      </c>
      <c r="C236" s="8" t="s">
        <v>21</v>
      </c>
      <c r="D236" s="8" t="s">
        <v>442</v>
      </c>
      <c r="E236" s="8" t="s">
        <v>26</v>
      </c>
      <c r="F236" s="8" t="s">
        <v>53</v>
      </c>
      <c r="G236" s="12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9">
        <f t="shared" si="23"/>
        <v>0.45236477587489154</v>
      </c>
      <c r="P236" s="10">
        <v>0</v>
      </c>
      <c r="Q236" s="1">
        <f t="shared" si="24"/>
        <v>0</v>
      </c>
      <c r="R236" s="10">
        <v>5</v>
      </c>
      <c r="S236" s="10">
        <v>0</v>
      </c>
      <c r="T236" s="10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15" customFormat="1" ht="26">
      <c r="A237" s="13">
        <v>17707600</v>
      </c>
      <c r="B237" s="13" t="s">
        <v>474</v>
      </c>
      <c r="C237" s="8" t="s">
        <v>21</v>
      </c>
      <c r="D237" s="8" t="s">
        <v>442</v>
      </c>
      <c r="E237" s="8" t="s">
        <v>26</v>
      </c>
      <c r="F237" s="14" t="s">
        <v>53</v>
      </c>
      <c r="G237" s="1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1368000</v>
      </c>
      <c r="N237" s="6">
        <f t="shared" si="22"/>
        <v>1</v>
      </c>
      <c r="O237" s="9">
        <f t="shared" si="23"/>
        <v>4.5599999999999996</v>
      </c>
      <c r="P237" s="10">
        <v>0</v>
      </c>
      <c r="Q237" s="1">
        <f t="shared" si="24"/>
        <v>0</v>
      </c>
      <c r="R237" s="10">
        <v>5</v>
      </c>
      <c r="S237" s="10">
        <v>0</v>
      </c>
      <c r="T237" s="10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15" customFormat="1" ht="26">
      <c r="A238" s="13" t="s">
        <v>477</v>
      </c>
      <c r="B238" s="13" t="s">
        <v>478</v>
      </c>
      <c r="C238" s="8" t="s">
        <v>21</v>
      </c>
      <c r="D238" s="8" t="s">
        <v>442</v>
      </c>
      <c r="E238" s="8" t="s">
        <v>26</v>
      </c>
      <c r="F238" s="14" t="s">
        <v>53</v>
      </c>
      <c r="G238" s="1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571000</v>
      </c>
      <c r="N238" s="6">
        <f t="shared" si="22"/>
        <v>1</v>
      </c>
      <c r="O238" s="9">
        <f t="shared" si="23"/>
        <v>1.9033333333333333</v>
      </c>
      <c r="P238" s="10">
        <v>0</v>
      </c>
      <c r="Q238" s="1">
        <f t="shared" si="24"/>
        <v>0</v>
      </c>
      <c r="R238" s="10">
        <v>5</v>
      </c>
      <c r="S238" s="10">
        <v>0</v>
      </c>
      <c r="T238" s="10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8">
        <v>17741887</v>
      </c>
      <c r="B239" s="8" t="s">
        <v>187</v>
      </c>
      <c r="C239" s="8" t="s">
        <v>21</v>
      </c>
      <c r="D239" s="8" t="s">
        <v>444</v>
      </c>
      <c r="E239" s="8" t="s">
        <v>26</v>
      </c>
      <c r="F239" s="8" t="s">
        <v>23</v>
      </c>
      <c r="G239" s="12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1029000</v>
      </c>
      <c r="N239" s="6">
        <f t="shared" si="22"/>
        <v>1</v>
      </c>
      <c r="O239" s="9">
        <f t="shared" si="23"/>
        <v>0.17097512427039555</v>
      </c>
      <c r="P239" s="10">
        <v>0</v>
      </c>
      <c r="Q239" s="1">
        <f t="shared" si="24"/>
        <v>0</v>
      </c>
      <c r="R239" s="10">
        <v>13</v>
      </c>
      <c r="S239" s="10">
        <v>0</v>
      </c>
      <c r="T239" s="10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8">
        <v>17804899</v>
      </c>
      <c r="B240" s="8" t="s">
        <v>351</v>
      </c>
      <c r="C240" s="8" t="s">
        <v>21</v>
      </c>
      <c r="D240" s="8" t="s">
        <v>442</v>
      </c>
      <c r="E240" s="8" t="s">
        <v>26</v>
      </c>
      <c r="F240" s="8" t="s">
        <v>23</v>
      </c>
      <c r="G240" s="12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805000</v>
      </c>
      <c r="N240" s="6">
        <f t="shared" si="22"/>
        <v>1</v>
      </c>
      <c r="O240" s="9">
        <f t="shared" si="23"/>
        <v>0.65260509781234355</v>
      </c>
      <c r="P240" s="10">
        <v>0</v>
      </c>
      <c r="Q240" s="1">
        <f t="shared" si="24"/>
        <v>0</v>
      </c>
      <c r="R240" s="10">
        <v>13</v>
      </c>
      <c r="S240" s="10">
        <v>0</v>
      </c>
      <c r="T240" s="10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8">
        <v>1545922</v>
      </c>
      <c r="B241" s="8" t="s">
        <v>33</v>
      </c>
      <c r="C241" s="8" t="s">
        <v>21</v>
      </c>
      <c r="D241" s="8" t="s">
        <v>440</v>
      </c>
      <c r="E241" s="8" t="s">
        <v>22</v>
      </c>
      <c r="F241" s="8" t="s">
        <v>23</v>
      </c>
      <c r="G241" s="12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7600000</v>
      </c>
      <c r="N241" s="6">
        <f t="shared" si="22"/>
        <v>1</v>
      </c>
      <c r="O241" s="9">
        <f t="shared" si="23"/>
        <v>0.38228118652434673</v>
      </c>
      <c r="P241" s="10">
        <v>1</v>
      </c>
      <c r="Q241" s="1">
        <f t="shared" si="24"/>
        <v>0</v>
      </c>
      <c r="R241" s="10">
        <v>7</v>
      </c>
      <c r="S241" s="10">
        <v>1</v>
      </c>
      <c r="T241" s="10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8">
        <v>17736369</v>
      </c>
      <c r="B242" s="8" t="s">
        <v>287</v>
      </c>
      <c r="C242" s="8" t="s">
        <v>21</v>
      </c>
      <c r="D242" s="8" t="s">
        <v>442</v>
      </c>
      <c r="E242" s="8" t="s">
        <v>22</v>
      </c>
      <c r="F242" s="8" t="s">
        <v>23</v>
      </c>
      <c r="G242" s="12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2211000</v>
      </c>
      <c r="N242" s="6">
        <f t="shared" si="22"/>
        <v>1</v>
      </c>
      <c r="O242" s="9">
        <f t="shared" si="23"/>
        <v>1.7924346226870702</v>
      </c>
      <c r="P242" s="10">
        <v>3</v>
      </c>
      <c r="Q242" s="1">
        <f t="shared" si="24"/>
        <v>1</v>
      </c>
      <c r="R242" s="10">
        <v>7</v>
      </c>
      <c r="S242" s="10">
        <v>3</v>
      </c>
      <c r="T242" s="10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8">
        <v>17422989</v>
      </c>
      <c r="B243" s="8" t="s">
        <v>371</v>
      </c>
      <c r="C243" s="8" t="s">
        <v>21</v>
      </c>
      <c r="D243" s="8" t="s">
        <v>440</v>
      </c>
      <c r="E243" s="8" t="s">
        <v>22</v>
      </c>
      <c r="F243" s="8" t="s">
        <v>23</v>
      </c>
      <c r="G243" s="12" t="s">
        <v>441</v>
      </c>
      <c r="H243" s="7">
        <v>4.7809426924381153</v>
      </c>
      <c r="I243" s="1">
        <v>0</v>
      </c>
      <c r="J243" s="1">
        <f t="shared" si="20"/>
        <v>0</v>
      </c>
      <c r="K243" s="5">
        <f t="shared" si="21"/>
        <v>0</v>
      </c>
      <c r="L243" s="2">
        <v>2549477.9785796599</v>
      </c>
      <c r="M243" s="2">
        <v>9168000</v>
      </c>
      <c r="N243" s="6">
        <f t="shared" si="22"/>
        <v>1</v>
      </c>
      <c r="O243" s="9">
        <f t="shared" si="23"/>
        <v>3.5960302764048921</v>
      </c>
      <c r="P243" s="10">
        <v>10</v>
      </c>
      <c r="Q243" s="1">
        <f t="shared" si="24"/>
        <v>1</v>
      </c>
      <c r="R243" s="10">
        <v>7</v>
      </c>
      <c r="S243" s="10">
        <v>10</v>
      </c>
      <c r="T243" s="10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8">
        <v>17227194</v>
      </c>
      <c r="B244" s="8" t="s">
        <v>69</v>
      </c>
      <c r="C244" s="8" t="s">
        <v>21</v>
      </c>
      <c r="D244" s="8" t="s">
        <v>440</v>
      </c>
      <c r="E244" s="8" t="s">
        <v>22</v>
      </c>
      <c r="F244" s="8" t="s">
        <v>23</v>
      </c>
      <c r="G244" s="12" t="s">
        <v>441</v>
      </c>
      <c r="H244" s="7">
        <v>3.1180061037639888</v>
      </c>
      <c r="I244" s="1">
        <v>4</v>
      </c>
      <c r="J244" s="1">
        <f t="shared" si="20"/>
        <v>1</v>
      </c>
      <c r="K244" s="5">
        <f t="shared" si="21"/>
        <v>1.2828711256117451</v>
      </c>
      <c r="L244" s="2">
        <v>22463880</v>
      </c>
      <c r="M244" s="2">
        <v>2961000</v>
      </c>
      <c r="N244" s="6">
        <f t="shared" si="22"/>
        <v>1</v>
      </c>
      <c r="O244" s="9">
        <f t="shared" si="23"/>
        <v>0.13181160155770064</v>
      </c>
      <c r="P244" s="10">
        <v>0</v>
      </c>
      <c r="Q244" s="1">
        <f t="shared" si="24"/>
        <v>0</v>
      </c>
      <c r="R244" s="10">
        <v>6</v>
      </c>
      <c r="S244" s="10">
        <v>0</v>
      </c>
      <c r="T244" s="10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8">
        <v>17685979</v>
      </c>
      <c r="B245" s="8" t="s">
        <v>149</v>
      </c>
      <c r="C245" s="8" t="s">
        <v>21</v>
      </c>
      <c r="D245" s="8" t="s">
        <v>442</v>
      </c>
      <c r="E245" s="8" t="s">
        <v>22</v>
      </c>
      <c r="F245" s="8" t="s">
        <v>23</v>
      </c>
      <c r="G245" s="12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3471000</v>
      </c>
      <c r="N245" s="6">
        <f t="shared" si="22"/>
        <v>1</v>
      </c>
      <c r="O245" s="9">
        <f t="shared" si="23"/>
        <v>2.8139034714368254</v>
      </c>
      <c r="P245" s="10">
        <v>9</v>
      </c>
      <c r="Q245" s="1">
        <f t="shared" si="24"/>
        <v>1</v>
      </c>
      <c r="R245" s="10">
        <v>6</v>
      </c>
      <c r="S245" s="10">
        <v>15</v>
      </c>
      <c r="T245" s="10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8">
        <v>17444152</v>
      </c>
      <c r="B246" s="8" t="s">
        <v>72</v>
      </c>
      <c r="C246" s="8" t="s">
        <v>21</v>
      </c>
      <c r="D246" s="8" t="s">
        <v>442</v>
      </c>
      <c r="E246" s="8" t="s">
        <v>22</v>
      </c>
      <c r="F246" s="8" t="s">
        <v>23</v>
      </c>
      <c r="G246" s="12" t="s">
        <v>441</v>
      </c>
      <c r="H246" s="7">
        <v>3</v>
      </c>
      <c r="I246" s="1">
        <v>4</v>
      </c>
      <c r="J246" s="1">
        <f t="shared" si="20"/>
        <v>1</v>
      </c>
      <c r="K246" s="5">
        <f t="shared" si="21"/>
        <v>1.3333333333333333</v>
      </c>
      <c r="L246" s="2">
        <v>1233517.793070439</v>
      </c>
      <c r="M246" s="2">
        <v>792000</v>
      </c>
      <c r="N246" s="6">
        <f t="shared" si="22"/>
        <v>1</v>
      </c>
      <c r="O246" s="9">
        <f t="shared" si="23"/>
        <v>0.64206613349984609</v>
      </c>
      <c r="P246" s="10">
        <v>1</v>
      </c>
      <c r="Q246" s="1">
        <f t="shared" si="24"/>
        <v>0</v>
      </c>
      <c r="R246" s="10">
        <v>5</v>
      </c>
      <c r="S246" s="10">
        <v>1</v>
      </c>
      <c r="T246" s="10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8">
        <v>17790525</v>
      </c>
      <c r="B247" s="8" t="s">
        <v>313</v>
      </c>
      <c r="C247" s="8" t="s">
        <v>21</v>
      </c>
      <c r="D247" s="8" t="s">
        <v>442</v>
      </c>
      <c r="E247" s="8" t="s">
        <v>22</v>
      </c>
      <c r="F247" s="8" t="s">
        <v>23</v>
      </c>
      <c r="G247" s="12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1790000</v>
      </c>
      <c r="N247" s="6">
        <f t="shared" si="22"/>
        <v>1</v>
      </c>
      <c r="O247" s="9">
        <f t="shared" si="23"/>
        <v>1.451134316874652</v>
      </c>
      <c r="P247" s="10">
        <v>0</v>
      </c>
      <c r="Q247" s="1">
        <f t="shared" si="24"/>
        <v>0</v>
      </c>
      <c r="R247" s="10">
        <v>5</v>
      </c>
      <c r="S247" s="10">
        <v>0</v>
      </c>
      <c r="T247" s="10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17717259</v>
      </c>
      <c r="B248" s="8" t="s">
        <v>20</v>
      </c>
      <c r="C248" s="8" t="s">
        <v>21</v>
      </c>
      <c r="D248" s="8" t="s">
        <v>440</v>
      </c>
      <c r="E248" s="8" t="s">
        <v>22</v>
      </c>
      <c r="F248" s="8" t="s">
        <v>23</v>
      </c>
      <c r="G248" s="12" t="s">
        <v>441</v>
      </c>
      <c r="H248" s="7">
        <v>2.9101390301797232</v>
      </c>
      <c r="I248" s="1">
        <v>0</v>
      </c>
      <c r="J248" s="1">
        <f t="shared" si="20"/>
        <v>0</v>
      </c>
      <c r="K248" s="5">
        <f t="shared" si="21"/>
        <v>0</v>
      </c>
      <c r="L248" s="2">
        <v>12908778</v>
      </c>
      <c r="M248" s="2">
        <v>2551000</v>
      </c>
      <c r="N248" s="6">
        <f t="shared" si="22"/>
        <v>1</v>
      </c>
      <c r="O248" s="9">
        <f t="shared" si="23"/>
        <v>0.19761746619238474</v>
      </c>
      <c r="P248" s="10">
        <v>26</v>
      </c>
      <c r="Q248" s="1">
        <f t="shared" si="24"/>
        <v>1</v>
      </c>
      <c r="R248" s="10">
        <v>5</v>
      </c>
      <c r="S248" s="10">
        <v>28</v>
      </c>
      <c r="T248" s="10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8">
        <v>17705774</v>
      </c>
      <c r="B249" s="8" t="s">
        <v>390</v>
      </c>
      <c r="C249" s="8" t="s">
        <v>21</v>
      </c>
      <c r="D249" s="8" t="s">
        <v>442</v>
      </c>
      <c r="E249" s="8" t="s">
        <v>26</v>
      </c>
      <c r="F249" s="8" t="s">
        <v>40</v>
      </c>
      <c r="G249" s="12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452000</v>
      </c>
      <c r="N249" s="6">
        <f t="shared" si="22"/>
        <v>1</v>
      </c>
      <c r="O249" s="9">
        <f t="shared" si="23"/>
        <v>0.36643168224991213</v>
      </c>
      <c r="P249" s="10">
        <v>0</v>
      </c>
      <c r="Q249" s="1">
        <f t="shared" si="24"/>
        <v>0</v>
      </c>
      <c r="R249" s="10">
        <v>9</v>
      </c>
      <c r="S249" s="10">
        <v>50</v>
      </c>
      <c r="T249" s="10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8">
        <v>17569102</v>
      </c>
      <c r="B250" s="8" t="s">
        <v>39</v>
      </c>
      <c r="C250" s="8" t="s">
        <v>21</v>
      </c>
      <c r="D250" s="8" t="s">
        <v>442</v>
      </c>
      <c r="E250" s="8" t="s">
        <v>26</v>
      </c>
      <c r="F250" s="8" t="s">
        <v>40</v>
      </c>
      <c r="G250" s="12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504000</v>
      </c>
      <c r="N250" s="6">
        <f t="shared" si="22"/>
        <v>1</v>
      </c>
      <c r="O250" s="9">
        <f t="shared" si="23"/>
        <v>0.40858753949990206</v>
      </c>
      <c r="P250" s="10">
        <v>0</v>
      </c>
      <c r="Q250" s="1">
        <f t="shared" si="24"/>
        <v>0</v>
      </c>
      <c r="R250" s="10">
        <v>7</v>
      </c>
      <c r="S250" s="10">
        <v>5</v>
      </c>
      <c r="T250" s="10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8">
        <v>17765205</v>
      </c>
      <c r="B251" s="8" t="s">
        <v>347</v>
      </c>
      <c r="C251" s="8" t="s">
        <v>21</v>
      </c>
      <c r="D251" s="8" t="s">
        <v>442</v>
      </c>
      <c r="E251" s="8" t="s">
        <v>26</v>
      </c>
      <c r="F251" s="8" t="s">
        <v>40</v>
      </c>
      <c r="G251" s="12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626000</v>
      </c>
      <c r="N251" s="6">
        <f t="shared" si="22"/>
        <v>1</v>
      </c>
      <c r="O251" s="9">
        <f t="shared" si="23"/>
        <v>0.50749166612487828</v>
      </c>
      <c r="P251" s="10">
        <v>0</v>
      </c>
      <c r="Q251" s="1">
        <f t="shared" si="24"/>
        <v>0</v>
      </c>
      <c r="R251" s="10">
        <v>7</v>
      </c>
      <c r="S251" s="10">
        <v>5</v>
      </c>
      <c r="T251" s="10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8">
        <v>17706862</v>
      </c>
      <c r="B252" s="8" t="s">
        <v>346</v>
      </c>
      <c r="C252" s="8" t="s">
        <v>21</v>
      </c>
      <c r="D252" s="8" t="s">
        <v>440</v>
      </c>
      <c r="E252" s="8" t="s">
        <v>22</v>
      </c>
      <c r="F252" s="8" t="s">
        <v>40</v>
      </c>
      <c r="G252" s="12" t="s">
        <v>441</v>
      </c>
      <c r="H252" s="7">
        <v>4.5730756188538484</v>
      </c>
      <c r="I252" s="1">
        <v>1</v>
      </c>
      <c r="J252" s="1">
        <f t="shared" si="20"/>
        <v>0</v>
      </c>
      <c r="K252" s="5">
        <f t="shared" si="21"/>
        <v>0.2186712145929112</v>
      </c>
      <c r="L252" s="2">
        <v>2781339.4120799541</v>
      </c>
      <c r="M252" s="2">
        <v>4108000</v>
      </c>
      <c r="N252" s="6">
        <f t="shared" si="22"/>
        <v>1</v>
      </c>
      <c r="O252" s="9">
        <f t="shared" si="23"/>
        <v>1.4769862254703883</v>
      </c>
      <c r="P252" s="10">
        <v>2</v>
      </c>
      <c r="Q252" s="1">
        <f t="shared" si="24"/>
        <v>0</v>
      </c>
      <c r="R252" s="10">
        <v>7</v>
      </c>
      <c r="S252" s="10">
        <v>2</v>
      </c>
      <c r="T252" s="10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8">
        <v>17282971</v>
      </c>
      <c r="B253" s="8" t="s">
        <v>247</v>
      </c>
      <c r="C253" s="8" t="s">
        <v>21</v>
      </c>
      <c r="D253" s="8" t="s">
        <v>440</v>
      </c>
      <c r="E253" s="8" t="s">
        <v>22</v>
      </c>
      <c r="F253" s="8" t="s">
        <v>40</v>
      </c>
      <c r="G253" s="12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1500000</v>
      </c>
      <c r="N253" s="6">
        <f t="shared" si="22"/>
        <v>1</v>
      </c>
      <c r="O253" s="9">
        <f t="shared" si="23"/>
        <v>0.58835573894059101</v>
      </c>
      <c r="P253" s="10">
        <v>4</v>
      </c>
      <c r="Q253" s="1">
        <f t="shared" si="24"/>
        <v>1</v>
      </c>
      <c r="R253" s="10">
        <v>6</v>
      </c>
      <c r="S253" s="10">
        <v>4</v>
      </c>
      <c r="T253" s="10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8">
        <v>17705764</v>
      </c>
      <c r="B254" s="8" t="s">
        <v>68</v>
      </c>
      <c r="C254" s="8" t="s">
        <v>21</v>
      </c>
      <c r="D254" s="8" t="s">
        <v>442</v>
      </c>
      <c r="E254" s="8" t="s">
        <v>22</v>
      </c>
      <c r="F254" s="8" t="s">
        <v>40</v>
      </c>
      <c r="G254" s="12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2332000</v>
      </c>
      <c r="N254" s="6">
        <f t="shared" si="22"/>
        <v>1</v>
      </c>
      <c r="O254" s="9">
        <f t="shared" si="23"/>
        <v>1.8905280597495469</v>
      </c>
      <c r="P254" s="10">
        <v>0</v>
      </c>
      <c r="Q254" s="1">
        <f t="shared" si="24"/>
        <v>0</v>
      </c>
      <c r="R254" s="10">
        <v>6</v>
      </c>
      <c r="S254" s="10">
        <v>0</v>
      </c>
      <c r="T254" s="10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8">
        <v>17742351</v>
      </c>
      <c r="B255" s="8" t="s">
        <v>312</v>
      </c>
      <c r="C255" s="8" t="s">
        <v>21</v>
      </c>
      <c r="D255" s="8" t="s">
        <v>442</v>
      </c>
      <c r="E255" s="8" t="s">
        <v>26</v>
      </c>
      <c r="F255" s="8" t="s">
        <v>40</v>
      </c>
      <c r="G255" s="12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3892000</v>
      </c>
      <c r="N255" s="6">
        <f t="shared" si="22"/>
        <v>1</v>
      </c>
      <c r="O255" s="9">
        <f t="shared" si="23"/>
        <v>3.1552037772492434</v>
      </c>
      <c r="P255" s="10">
        <v>5</v>
      </c>
      <c r="Q255" s="1">
        <f t="shared" si="24"/>
        <v>1</v>
      </c>
      <c r="R255" s="10">
        <v>6</v>
      </c>
      <c r="S255" s="10">
        <v>5</v>
      </c>
      <c r="T255" s="10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8">
        <v>17459755</v>
      </c>
      <c r="B256" s="8" t="s">
        <v>154</v>
      </c>
      <c r="C256" s="8" t="s">
        <v>21</v>
      </c>
      <c r="D256" s="8" t="s">
        <v>449</v>
      </c>
      <c r="E256" s="8" t="s">
        <v>22</v>
      </c>
      <c r="F256" s="8" t="s">
        <v>40</v>
      </c>
      <c r="G256" s="12" t="s">
        <v>441</v>
      </c>
      <c r="H256" s="7">
        <v>3</v>
      </c>
      <c r="I256" s="1">
        <v>3</v>
      </c>
      <c r="J256" s="4">
        <f t="shared" si="20"/>
        <v>1</v>
      </c>
      <c r="K256" s="5">
        <f t="shared" si="21"/>
        <v>1</v>
      </c>
      <c r="L256" s="2">
        <v>22463880</v>
      </c>
      <c r="M256" s="2">
        <v>10650000</v>
      </c>
      <c r="N256" s="6">
        <f t="shared" si="22"/>
        <v>1</v>
      </c>
      <c r="O256" s="9">
        <f t="shared" si="23"/>
        <v>0.47409441289750481</v>
      </c>
      <c r="P256" s="10">
        <v>11</v>
      </c>
      <c r="Q256" s="1">
        <f t="shared" si="24"/>
        <v>1</v>
      </c>
      <c r="R256" s="10">
        <v>5</v>
      </c>
      <c r="S256" s="10">
        <v>11</v>
      </c>
      <c r="T256" s="10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8">
        <v>17664400</v>
      </c>
      <c r="B257" s="8" t="s">
        <v>191</v>
      </c>
      <c r="C257" s="8" t="s">
        <v>21</v>
      </c>
      <c r="D257" s="8" t="s">
        <v>442</v>
      </c>
      <c r="E257" s="8" t="s">
        <v>26</v>
      </c>
      <c r="F257" s="8" t="s">
        <v>190</v>
      </c>
      <c r="G257" s="12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1351000</v>
      </c>
      <c r="N257" s="6">
        <f t="shared" si="22"/>
        <v>1</v>
      </c>
      <c r="O257" s="9">
        <f t="shared" si="23"/>
        <v>1.0952415989372375</v>
      </c>
      <c r="P257" s="10">
        <v>9</v>
      </c>
      <c r="Q257" s="1">
        <f t="shared" si="24"/>
        <v>1</v>
      </c>
      <c r="R257" s="10">
        <v>14</v>
      </c>
      <c r="S257" s="10">
        <v>9</v>
      </c>
      <c r="T257" s="10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8">
        <v>17714371</v>
      </c>
      <c r="B258" s="8" t="s">
        <v>324</v>
      </c>
      <c r="C258" s="8" t="s">
        <v>21</v>
      </c>
      <c r="D258" s="8" t="s">
        <v>442</v>
      </c>
      <c r="E258" s="8" t="s">
        <v>26</v>
      </c>
      <c r="F258" s="8" t="s">
        <v>190</v>
      </c>
      <c r="G258" s="12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511000</v>
      </c>
      <c r="N258" s="6">
        <f t="shared" si="22"/>
        <v>1</v>
      </c>
      <c r="O258" s="9">
        <f t="shared" si="23"/>
        <v>0.41426236643740066</v>
      </c>
      <c r="P258" s="10">
        <v>0</v>
      </c>
      <c r="Q258" s="1">
        <f t="shared" si="24"/>
        <v>0</v>
      </c>
      <c r="R258" s="10">
        <v>12</v>
      </c>
      <c r="S258" s="10">
        <v>0</v>
      </c>
      <c r="T258" s="10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8">
        <v>17634234</v>
      </c>
      <c r="B259" s="8" t="s">
        <v>419</v>
      </c>
      <c r="C259" s="8" t="s">
        <v>21</v>
      </c>
      <c r="D259" s="8" t="s">
        <v>442</v>
      </c>
      <c r="E259" s="8" t="s">
        <v>26</v>
      </c>
      <c r="F259" s="8" t="s">
        <v>190</v>
      </c>
      <c r="G259" s="12" t="s">
        <v>441</v>
      </c>
      <c r="H259" s="7">
        <v>8.938284164123429</v>
      </c>
      <c r="I259" s="1">
        <v>35</v>
      </c>
      <c r="J259" s="4">
        <f t="shared" si="20"/>
        <v>1</v>
      </c>
      <c r="K259" s="5">
        <f t="shared" si="21"/>
        <v>3.9157403543381779</v>
      </c>
      <c r="L259" s="2">
        <v>1233517.793070439</v>
      </c>
      <c r="M259" s="2">
        <v>1460000</v>
      </c>
      <c r="N259" s="6">
        <f t="shared" si="22"/>
        <v>1</v>
      </c>
      <c r="O259" s="9">
        <f t="shared" si="23"/>
        <v>1.1836067612497163</v>
      </c>
      <c r="P259" s="10">
        <v>38</v>
      </c>
      <c r="Q259" s="1">
        <f t="shared" si="24"/>
        <v>1</v>
      </c>
      <c r="R259" s="10">
        <v>11</v>
      </c>
      <c r="S259" s="10">
        <v>43</v>
      </c>
      <c r="T259" s="10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8">
        <v>17571864</v>
      </c>
      <c r="B260" s="8" t="s">
        <v>189</v>
      </c>
      <c r="C260" s="8" t="s">
        <v>21</v>
      </c>
      <c r="D260" s="8" t="s">
        <v>442</v>
      </c>
      <c r="E260" s="8" t="s">
        <v>26</v>
      </c>
      <c r="F260" s="8" t="s">
        <v>190</v>
      </c>
      <c r="G260" s="12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1177000</v>
      </c>
      <c r="N260" s="6">
        <f t="shared" si="22"/>
        <v>1</v>
      </c>
      <c r="O260" s="9">
        <f t="shared" si="23"/>
        <v>0.95418161506227128</v>
      </c>
      <c r="P260" s="10">
        <v>0</v>
      </c>
      <c r="Q260" s="1">
        <f t="shared" si="24"/>
        <v>0</v>
      </c>
      <c r="R260" s="10">
        <v>8</v>
      </c>
      <c r="S260" s="10">
        <v>0</v>
      </c>
      <c r="T260" s="10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8">
        <v>17678795</v>
      </c>
      <c r="B261" s="8" t="s">
        <v>28</v>
      </c>
      <c r="C261" s="8" t="s">
        <v>25</v>
      </c>
      <c r="D261" s="8" t="s">
        <v>440</v>
      </c>
      <c r="E261" s="8" t="s">
        <v>26</v>
      </c>
      <c r="F261" s="8" t="s">
        <v>29</v>
      </c>
      <c r="G261" s="12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10045000</v>
      </c>
      <c r="N261" s="6">
        <f t="shared" si="22"/>
        <v>1</v>
      </c>
      <c r="O261" s="9">
        <f t="shared" si="23"/>
        <v>1.5930353625374847</v>
      </c>
      <c r="P261" s="10">
        <v>1</v>
      </c>
      <c r="Q261" s="1">
        <f t="shared" si="24"/>
        <v>0</v>
      </c>
      <c r="R261" s="10">
        <v>14</v>
      </c>
      <c r="S261" s="10">
        <v>1</v>
      </c>
      <c r="T261" s="10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8">
        <v>17764294</v>
      </c>
      <c r="B262" s="8" t="s">
        <v>378</v>
      </c>
      <c r="C262" s="8" t="s">
        <v>25</v>
      </c>
      <c r="D262" s="8" t="s">
        <v>442</v>
      </c>
      <c r="E262" s="8" t="s">
        <v>26</v>
      </c>
      <c r="F262" s="8" t="s">
        <v>29</v>
      </c>
      <c r="G262" s="12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2684000</v>
      </c>
      <c r="N262" s="6">
        <f t="shared" si="22"/>
        <v>1</v>
      </c>
      <c r="O262" s="9">
        <f t="shared" si="23"/>
        <v>1.2206566073485245</v>
      </c>
      <c r="P262" s="10">
        <v>4</v>
      </c>
      <c r="Q262" s="1">
        <f t="shared" si="24"/>
        <v>1</v>
      </c>
      <c r="R262" s="10">
        <v>13</v>
      </c>
      <c r="S262" s="10">
        <v>4</v>
      </c>
      <c r="T262" s="10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8">
        <v>697740</v>
      </c>
      <c r="B263" s="8" t="s">
        <v>282</v>
      </c>
      <c r="C263" s="8" t="s">
        <v>25</v>
      </c>
      <c r="D263" s="8" t="s">
        <v>440</v>
      </c>
      <c r="E263" s="8" t="s">
        <v>22</v>
      </c>
      <c r="F263" s="8" t="s">
        <v>29</v>
      </c>
      <c r="G263" s="12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4041500</v>
      </c>
      <c r="N263" s="6">
        <f t="shared" si="22"/>
        <v>1</v>
      </c>
      <c r="O263" s="9">
        <f t="shared" si="23"/>
        <v>1.3565915074823696</v>
      </c>
      <c r="P263" s="10">
        <v>0</v>
      </c>
      <c r="Q263" s="1">
        <f t="shared" si="24"/>
        <v>0</v>
      </c>
      <c r="R263" s="10">
        <v>9</v>
      </c>
      <c r="S263" s="10">
        <v>0</v>
      </c>
      <c r="T263" s="10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8">
        <v>17259641</v>
      </c>
      <c r="B264" s="8" t="s">
        <v>200</v>
      </c>
      <c r="C264" s="8" t="s">
        <v>25</v>
      </c>
      <c r="D264" s="8" t="s">
        <v>444</v>
      </c>
      <c r="E264" s="8" t="s">
        <v>26</v>
      </c>
      <c r="F264" s="8" t="s">
        <v>29</v>
      </c>
      <c r="G264" s="12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4941500</v>
      </c>
      <c r="N264" s="6">
        <f t="shared" si="22"/>
        <v>1</v>
      </c>
      <c r="O264" s="9">
        <f t="shared" si="23"/>
        <v>0.85193752519326194</v>
      </c>
      <c r="P264" s="10">
        <v>1</v>
      </c>
      <c r="Q264" s="1">
        <f t="shared" si="24"/>
        <v>0</v>
      </c>
      <c r="R264" s="10">
        <v>11</v>
      </c>
      <c r="S264" s="10">
        <v>1</v>
      </c>
      <c r="T264" s="10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8">
        <v>17223145</v>
      </c>
      <c r="B265" s="8" t="s">
        <v>44</v>
      </c>
      <c r="C265" s="8" t="s">
        <v>25</v>
      </c>
      <c r="D265" s="8" t="s">
        <v>442</v>
      </c>
      <c r="E265" s="8" t="s">
        <v>26</v>
      </c>
      <c r="F265" s="8" t="s">
        <v>29</v>
      </c>
      <c r="G265" s="12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9">
        <f t="shared" si="23"/>
        <v>3.6489008415918157E-2</v>
      </c>
      <c r="P265" s="10">
        <v>1</v>
      </c>
      <c r="Q265" s="1">
        <f t="shared" si="24"/>
        <v>0</v>
      </c>
      <c r="R265" s="10">
        <v>10</v>
      </c>
      <c r="S265" s="10">
        <v>1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766491</v>
      </c>
      <c r="B266" s="8" t="s">
        <v>267</v>
      </c>
      <c r="C266" s="8" t="s">
        <v>25</v>
      </c>
      <c r="D266" s="8" t="s">
        <v>440</v>
      </c>
      <c r="E266" s="8" t="s">
        <v>22</v>
      </c>
      <c r="F266" s="8" t="s">
        <v>29</v>
      </c>
      <c r="G266" s="12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5296500</v>
      </c>
      <c r="N266" s="6">
        <f t="shared" si="22"/>
        <v>1</v>
      </c>
      <c r="O266" s="9">
        <f t="shared" si="23"/>
        <v>0.44770083209656708</v>
      </c>
      <c r="P266" s="10">
        <v>17</v>
      </c>
      <c r="Q266" s="1">
        <f t="shared" si="24"/>
        <v>1</v>
      </c>
      <c r="R266" s="10">
        <v>8</v>
      </c>
      <c r="S266" s="10">
        <v>19</v>
      </c>
      <c r="T266" s="10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8" t="s">
        <v>429</v>
      </c>
      <c r="B267" s="8" t="s">
        <v>433</v>
      </c>
      <c r="C267" s="8" t="s">
        <v>25</v>
      </c>
      <c r="D267" s="8" t="s">
        <v>440</v>
      </c>
      <c r="E267" s="8" t="s">
        <v>22</v>
      </c>
      <c r="F267" s="8" t="s">
        <v>29</v>
      </c>
      <c r="G267" s="12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9">
        <f t="shared" si="23"/>
        <v>0</v>
      </c>
      <c r="P267" s="10">
        <v>0</v>
      </c>
      <c r="Q267" s="1">
        <f t="shared" si="24"/>
        <v>0</v>
      </c>
      <c r="R267" s="10">
        <v>8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17562101</v>
      </c>
      <c r="B268" s="8" t="s">
        <v>245</v>
      </c>
      <c r="C268" s="8" t="s">
        <v>25</v>
      </c>
      <c r="D268" s="8" t="s">
        <v>444</v>
      </c>
      <c r="E268" s="8" t="s">
        <v>26</v>
      </c>
      <c r="F268" s="8" t="s">
        <v>29</v>
      </c>
      <c r="G268" s="12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2802500</v>
      </c>
      <c r="N268" s="6">
        <f t="shared" si="22"/>
        <v>1</v>
      </c>
      <c r="O268" s="9">
        <f t="shared" si="23"/>
        <v>0.16833254147465862</v>
      </c>
      <c r="P268" s="10">
        <v>0</v>
      </c>
      <c r="Q268" s="1">
        <f t="shared" si="24"/>
        <v>0</v>
      </c>
      <c r="R268" s="10">
        <v>8</v>
      </c>
      <c r="S268" s="10">
        <v>0</v>
      </c>
      <c r="T268" s="10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17673837</v>
      </c>
      <c r="B269" s="8" t="s">
        <v>359</v>
      </c>
      <c r="C269" s="8" t="s">
        <v>25</v>
      </c>
      <c r="D269" s="8" t="s">
        <v>440</v>
      </c>
      <c r="E269" s="8" t="s">
        <v>22</v>
      </c>
      <c r="F269" s="8" t="s">
        <v>29</v>
      </c>
      <c r="G269" s="12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2865000</v>
      </c>
      <c r="N269" s="6">
        <f t="shared" si="22"/>
        <v>1</v>
      </c>
      <c r="O269" s="9">
        <f t="shared" si="23"/>
        <v>0.47402676323928727</v>
      </c>
      <c r="P269" s="10">
        <v>0</v>
      </c>
      <c r="Q269" s="1">
        <f t="shared" si="24"/>
        <v>0</v>
      </c>
      <c r="R269" s="10">
        <v>7</v>
      </c>
      <c r="S269" s="10">
        <v>0</v>
      </c>
      <c r="T269" s="10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17621375</v>
      </c>
      <c r="B270" s="8" t="s">
        <v>399</v>
      </c>
      <c r="C270" s="8" t="s">
        <v>57</v>
      </c>
      <c r="D270" s="8" t="s">
        <v>442</v>
      </c>
      <c r="E270" s="8" t="s">
        <v>26</v>
      </c>
      <c r="F270" s="8" t="s">
        <v>274</v>
      </c>
      <c r="G270" s="12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9">
        <f t="shared" si="23"/>
        <v>0</v>
      </c>
      <c r="P270" s="10">
        <v>0</v>
      </c>
      <c r="Q270" s="1">
        <f t="shared" si="24"/>
        <v>0</v>
      </c>
      <c r="R270" s="10">
        <v>22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8">
        <v>17622706</v>
      </c>
      <c r="B271" s="8" t="s">
        <v>408</v>
      </c>
      <c r="C271" s="8" t="s">
        <v>57</v>
      </c>
      <c r="D271" s="8" t="s">
        <v>442</v>
      </c>
      <c r="E271" s="8" t="s">
        <v>26</v>
      </c>
      <c r="F271" s="8" t="s">
        <v>274</v>
      </c>
      <c r="G271" s="12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2350000</v>
      </c>
      <c r="N271" s="6">
        <f t="shared" si="22"/>
        <v>1</v>
      </c>
      <c r="O271" s="9">
        <f t="shared" si="23"/>
        <v>0.32588005455639818</v>
      </c>
      <c r="P271" s="10">
        <v>51</v>
      </c>
      <c r="Q271" s="1">
        <f t="shared" si="24"/>
        <v>1</v>
      </c>
      <c r="R271" s="10">
        <v>10</v>
      </c>
      <c r="S271" s="10">
        <v>51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8">
        <v>17764704</v>
      </c>
      <c r="B272" s="8" t="s">
        <v>273</v>
      </c>
      <c r="C272" s="8" t="s">
        <v>57</v>
      </c>
      <c r="D272" s="8" t="s">
        <v>442</v>
      </c>
      <c r="E272" s="8" t="s">
        <v>26</v>
      </c>
      <c r="F272" s="8" t="s">
        <v>274</v>
      </c>
      <c r="G272" s="12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9">
        <f t="shared" si="23"/>
        <v>0</v>
      </c>
      <c r="P272" s="10">
        <v>0</v>
      </c>
      <c r="Q272" s="1">
        <f t="shared" si="24"/>
        <v>0</v>
      </c>
      <c r="R272" s="10">
        <v>9</v>
      </c>
      <c r="S272" s="10">
        <v>0</v>
      </c>
      <c r="T272" s="10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8">
        <v>17634262</v>
      </c>
      <c r="B273" s="8" t="s">
        <v>355</v>
      </c>
      <c r="C273" s="8" t="s">
        <v>35</v>
      </c>
      <c r="D273" s="8" t="s">
        <v>442</v>
      </c>
      <c r="E273" s="8" t="s">
        <v>26</v>
      </c>
      <c r="F273" s="8" t="s">
        <v>135</v>
      </c>
      <c r="G273" s="12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666000</v>
      </c>
      <c r="N273" s="6">
        <f t="shared" si="22"/>
        <v>1</v>
      </c>
      <c r="O273" s="9">
        <f t="shared" si="23"/>
        <v>0.53991924862487051</v>
      </c>
      <c r="P273" s="10">
        <v>0</v>
      </c>
      <c r="Q273" s="1">
        <f t="shared" si="24"/>
        <v>0</v>
      </c>
      <c r="R273" s="10">
        <v>8</v>
      </c>
      <c r="S273" s="10">
        <v>5</v>
      </c>
      <c r="T273" s="10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8">
        <v>17379579</v>
      </c>
      <c r="B274" s="8" t="s">
        <v>357</v>
      </c>
      <c r="C274" s="8" t="s">
        <v>35</v>
      </c>
      <c r="D274" s="8" t="s">
        <v>442</v>
      </c>
      <c r="E274" s="8" t="s">
        <v>22</v>
      </c>
      <c r="F274" s="8" t="s">
        <v>38</v>
      </c>
      <c r="G274" s="12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9">
        <f t="shared" si="23"/>
        <v>0.68097923249983672</v>
      </c>
      <c r="P274" s="10">
        <v>0</v>
      </c>
      <c r="Q274" s="1">
        <f t="shared" si="24"/>
        <v>0</v>
      </c>
      <c r="R274" s="10">
        <v>9</v>
      </c>
      <c r="S274" s="10">
        <v>0</v>
      </c>
      <c r="T274" s="10">
        <v>0</v>
      </c>
      <c r="U274" s="3">
        <v>0</v>
      </c>
      <c r="V274" s="3">
        <v>0</v>
      </c>
      <c r="W274" s="3">
        <v>0</v>
      </c>
      <c r="X274" s="3">
        <v>1</v>
      </c>
      <c r="Y274" s="3">
        <v>0</v>
      </c>
      <c r="Z274" s="3">
        <v>0</v>
      </c>
    </row>
    <row r="275" spans="1:26" ht="26">
      <c r="A275" s="8">
        <v>658678</v>
      </c>
      <c r="B275" s="8" t="s">
        <v>360</v>
      </c>
      <c r="C275" s="8" t="s">
        <v>35</v>
      </c>
      <c r="D275" s="8" t="s">
        <v>440</v>
      </c>
      <c r="E275" s="8" t="s">
        <v>22</v>
      </c>
      <c r="F275" s="8" t="s">
        <v>85</v>
      </c>
      <c r="G275" s="12" t="s">
        <v>441</v>
      </c>
      <c r="H275" s="7">
        <v>50</v>
      </c>
      <c r="I275" s="1">
        <v>6</v>
      </c>
      <c r="J275" s="4">
        <f t="shared" si="20"/>
        <v>1</v>
      </c>
      <c r="K275" s="5">
        <f t="shared" si="21"/>
        <v>0.12</v>
      </c>
      <c r="L275" s="2">
        <v>23626053.564346101</v>
      </c>
      <c r="M275" s="2">
        <v>1914000</v>
      </c>
      <c r="N275" s="6">
        <f t="shared" si="22"/>
        <v>1</v>
      </c>
      <c r="O275" s="9">
        <f t="shared" si="23"/>
        <v>8.1012260248508147E-2</v>
      </c>
      <c r="P275" s="10">
        <v>1</v>
      </c>
      <c r="Q275" s="1">
        <f t="shared" si="24"/>
        <v>0</v>
      </c>
      <c r="R275" s="10">
        <v>38</v>
      </c>
      <c r="S275" s="10">
        <v>1</v>
      </c>
      <c r="T275" s="10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8">
        <v>17611830</v>
      </c>
      <c r="B276" s="8" t="s">
        <v>373</v>
      </c>
      <c r="C276" s="8" t="s">
        <v>35</v>
      </c>
      <c r="D276" s="8" t="s">
        <v>442</v>
      </c>
      <c r="E276" s="8" t="s">
        <v>22</v>
      </c>
      <c r="F276" s="8" t="s">
        <v>96</v>
      </c>
      <c r="G276" s="12" t="s">
        <v>441</v>
      </c>
      <c r="H276" s="7">
        <v>5.8202780603594357</v>
      </c>
      <c r="I276" s="1">
        <v>9</v>
      </c>
      <c r="J276" s="1">
        <f t="shared" si="20"/>
        <v>1</v>
      </c>
      <c r="K276" s="5">
        <f t="shared" si="21"/>
        <v>1.5463178746213027</v>
      </c>
      <c r="L276" s="2">
        <v>1233517.793070439</v>
      </c>
      <c r="M276" s="2">
        <v>1076000</v>
      </c>
      <c r="N276" s="6">
        <f t="shared" si="22"/>
        <v>1</v>
      </c>
      <c r="O276" s="9">
        <f t="shared" si="23"/>
        <v>0.87230196924979087</v>
      </c>
      <c r="P276" s="10">
        <v>0</v>
      </c>
      <c r="Q276" s="1">
        <f t="shared" si="24"/>
        <v>0</v>
      </c>
      <c r="R276" s="10">
        <v>8</v>
      </c>
      <c r="S276" s="10">
        <v>0</v>
      </c>
      <c r="T276" s="10">
        <v>0</v>
      </c>
      <c r="U276" s="3">
        <v>0</v>
      </c>
      <c r="V276" s="3">
        <v>1</v>
      </c>
      <c r="W276" s="3">
        <v>0</v>
      </c>
      <c r="X276" s="3">
        <v>0</v>
      </c>
      <c r="Y276" s="3">
        <v>1</v>
      </c>
      <c r="Z276" s="3">
        <v>0</v>
      </c>
    </row>
    <row r="277" spans="1:26" ht="26">
      <c r="A277" s="8">
        <v>17697397</v>
      </c>
      <c r="B277" s="8" t="s">
        <v>374</v>
      </c>
      <c r="C277" s="8" t="s">
        <v>35</v>
      </c>
      <c r="D277" s="8" t="s">
        <v>442</v>
      </c>
      <c r="E277" s="8" t="s">
        <v>26</v>
      </c>
      <c r="F277" s="8" t="s">
        <v>85</v>
      </c>
      <c r="G277" s="12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1729000</v>
      </c>
      <c r="N277" s="6">
        <f t="shared" si="22"/>
        <v>1</v>
      </c>
      <c r="O277" s="9">
        <f t="shared" si="23"/>
        <v>1.401682253562164</v>
      </c>
      <c r="P277" s="10">
        <v>0</v>
      </c>
      <c r="Q277" s="1">
        <f t="shared" si="24"/>
        <v>0</v>
      </c>
      <c r="R277" s="10">
        <v>8</v>
      </c>
      <c r="S277" s="10">
        <v>5</v>
      </c>
      <c r="T277" s="10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8">
        <v>17750185</v>
      </c>
      <c r="B278" s="8" t="s">
        <v>377</v>
      </c>
      <c r="C278" s="8" t="s">
        <v>35</v>
      </c>
      <c r="D278" s="8" t="s">
        <v>442</v>
      </c>
      <c r="E278" s="8" t="s">
        <v>26</v>
      </c>
      <c r="F278" s="8" t="s">
        <v>126</v>
      </c>
      <c r="G278" s="12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9">
        <f t="shared" si="23"/>
        <v>0</v>
      </c>
      <c r="P278" s="10">
        <v>0</v>
      </c>
      <c r="Q278" s="1">
        <f t="shared" si="24"/>
        <v>0</v>
      </c>
      <c r="R278" s="10">
        <v>7</v>
      </c>
      <c r="S278" s="10">
        <v>0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8">
        <v>17690510</v>
      </c>
      <c r="B279" s="8" t="s">
        <v>30</v>
      </c>
      <c r="C279" s="8" t="s">
        <v>31</v>
      </c>
      <c r="D279" s="8" t="s">
        <v>442</v>
      </c>
      <c r="E279" s="8" t="s">
        <v>26</v>
      </c>
      <c r="F279" s="8" t="s">
        <v>32</v>
      </c>
      <c r="G279" s="12" t="s">
        <v>441</v>
      </c>
      <c r="H279" s="7">
        <v>8</v>
      </c>
      <c r="I279" s="1">
        <v>23</v>
      </c>
      <c r="J279" s="4">
        <f t="shared" si="20"/>
        <v>1</v>
      </c>
      <c r="K279" s="5">
        <f t="shared" si="21"/>
        <v>2.875</v>
      </c>
      <c r="L279" s="2">
        <v>1233517.793070439</v>
      </c>
      <c r="M279" s="2">
        <v>741600</v>
      </c>
      <c r="N279" s="6">
        <f t="shared" si="22"/>
        <v>1</v>
      </c>
      <c r="O279" s="9">
        <f t="shared" si="23"/>
        <v>0.60120737954985581</v>
      </c>
      <c r="P279" s="10">
        <v>20</v>
      </c>
      <c r="Q279" s="1">
        <f t="shared" si="24"/>
        <v>1</v>
      </c>
      <c r="R279" s="10">
        <v>10</v>
      </c>
      <c r="S279" s="10">
        <v>20</v>
      </c>
      <c r="T279" s="10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8">
        <v>17654629</v>
      </c>
      <c r="B280" s="8" t="s">
        <v>51</v>
      </c>
      <c r="C280" s="8" t="s">
        <v>31</v>
      </c>
      <c r="D280" s="8" t="s">
        <v>442</v>
      </c>
      <c r="E280" s="8" t="s">
        <v>26</v>
      </c>
      <c r="F280" s="8" t="s">
        <v>32</v>
      </c>
      <c r="G280" s="12" t="s">
        <v>441</v>
      </c>
      <c r="H280" s="7">
        <v>3</v>
      </c>
      <c r="I280" s="1">
        <v>3</v>
      </c>
      <c r="J280" s="1">
        <f t="shared" si="20"/>
        <v>1</v>
      </c>
      <c r="K280" s="5">
        <f t="shared" si="21"/>
        <v>1</v>
      </c>
      <c r="L280" s="2">
        <v>1233517.793070439</v>
      </c>
      <c r="M280" s="2">
        <v>708000</v>
      </c>
      <c r="N280" s="6">
        <f t="shared" si="22"/>
        <v>1</v>
      </c>
      <c r="O280" s="9">
        <f t="shared" si="23"/>
        <v>0.57396821024986244</v>
      </c>
      <c r="P280" s="10">
        <v>0</v>
      </c>
      <c r="Q280" s="1">
        <f t="shared" si="24"/>
        <v>0</v>
      </c>
      <c r="R280" s="10">
        <v>5</v>
      </c>
      <c r="S280" s="10">
        <v>0</v>
      </c>
      <c r="T280" s="10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8">
        <v>17679733</v>
      </c>
      <c r="B281" s="8" t="s">
        <v>201</v>
      </c>
      <c r="C281" s="8" t="s">
        <v>31</v>
      </c>
      <c r="D281" s="8" t="s">
        <v>440</v>
      </c>
      <c r="E281" s="8" t="s">
        <v>26</v>
      </c>
      <c r="F281" s="8" t="s">
        <v>32</v>
      </c>
      <c r="G281" s="12" t="s">
        <v>441</v>
      </c>
      <c r="H281" s="7">
        <v>21.202441505595129</v>
      </c>
      <c r="I281" s="1">
        <v>3</v>
      </c>
      <c r="J281" s="4">
        <f t="shared" si="20"/>
        <v>1</v>
      </c>
      <c r="K281" s="5">
        <f t="shared" si="21"/>
        <v>0.14149313885423656</v>
      </c>
      <c r="L281" s="2">
        <v>2549477.9785796599</v>
      </c>
      <c r="M281" s="2">
        <v>708000</v>
      </c>
      <c r="N281" s="6">
        <f t="shared" si="22"/>
        <v>1</v>
      </c>
      <c r="O281" s="9">
        <f t="shared" si="23"/>
        <v>0.27770390877995893</v>
      </c>
      <c r="P281" s="10">
        <v>0</v>
      </c>
      <c r="Q281" s="1">
        <f t="shared" si="24"/>
        <v>0</v>
      </c>
      <c r="R281" s="10">
        <v>13</v>
      </c>
      <c r="S281" s="10">
        <v>0</v>
      </c>
      <c r="T281" s="10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8">
        <v>17689755</v>
      </c>
      <c r="B282" s="8" t="s">
        <v>89</v>
      </c>
      <c r="C282" s="8" t="s">
        <v>31</v>
      </c>
      <c r="D282" s="8" t="s">
        <v>440</v>
      </c>
      <c r="E282" s="8" t="s">
        <v>22</v>
      </c>
      <c r="F282" s="8" t="s">
        <v>90</v>
      </c>
      <c r="G282" s="12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674800</v>
      </c>
      <c r="N282" s="6">
        <f t="shared" si="22"/>
        <v>1</v>
      </c>
      <c r="O282" s="9">
        <f t="shared" si="23"/>
        <v>3.3942545350872259E-2</v>
      </c>
      <c r="P282" s="10">
        <v>0</v>
      </c>
      <c r="Q282" s="1">
        <f t="shared" si="24"/>
        <v>0</v>
      </c>
      <c r="R282" s="10">
        <v>7</v>
      </c>
      <c r="S282" s="10">
        <v>0</v>
      </c>
      <c r="T282" s="10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8">
        <v>751422</v>
      </c>
      <c r="B283" s="8" t="s">
        <v>358</v>
      </c>
      <c r="C283" s="8" t="s">
        <v>31</v>
      </c>
      <c r="D283" s="8" t="s">
        <v>442</v>
      </c>
      <c r="E283" s="8" t="s">
        <v>22</v>
      </c>
      <c r="F283" s="8" t="s">
        <v>90</v>
      </c>
      <c r="G283" s="12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2274800</v>
      </c>
      <c r="N283" s="6">
        <f t="shared" si="22"/>
        <v>1</v>
      </c>
      <c r="O283" s="9">
        <f t="shared" si="23"/>
        <v>1.8441566167745578</v>
      </c>
      <c r="P283" s="10">
        <v>1</v>
      </c>
      <c r="Q283" s="1">
        <f t="shared" si="24"/>
        <v>0</v>
      </c>
      <c r="R283" s="10">
        <v>9</v>
      </c>
      <c r="S283" s="10">
        <v>1</v>
      </c>
      <c r="T283" s="10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8">
        <v>17689741</v>
      </c>
      <c r="B284" s="8" t="s">
        <v>424</v>
      </c>
      <c r="C284" s="8" t="s">
        <v>31</v>
      </c>
      <c r="D284" s="8" t="s">
        <v>444</v>
      </c>
      <c r="E284" s="8" t="s">
        <v>26</v>
      </c>
      <c r="F284" s="8" t="s">
        <v>90</v>
      </c>
      <c r="G284" s="12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574800</v>
      </c>
      <c r="N284" s="6">
        <f t="shared" ref="N284:N315" si="27">IF(M284&gt;=300000,1,0)</f>
        <v>1</v>
      </c>
      <c r="O284" s="9">
        <f t="shared" ref="O284:O315" si="28">M284/L284</f>
        <v>9.5506804111392965E-2</v>
      </c>
      <c r="P284" s="10">
        <v>0</v>
      </c>
      <c r="Q284" s="1">
        <f t="shared" ref="Q284:Q315" si="29">IF(P284&gt;=3,1,0)</f>
        <v>0</v>
      </c>
      <c r="R284" s="10">
        <v>7</v>
      </c>
      <c r="S284" s="10">
        <v>0</v>
      </c>
      <c r="T284" s="10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15" customFormat="1" ht="26">
      <c r="A285" s="13">
        <v>17677945</v>
      </c>
      <c r="B285" s="13" t="s">
        <v>472</v>
      </c>
      <c r="C285" s="8" t="s">
        <v>31</v>
      </c>
      <c r="D285" s="8" t="s">
        <v>442</v>
      </c>
      <c r="E285" s="8" t="s">
        <v>26</v>
      </c>
      <c r="F285" s="14" t="s">
        <v>90</v>
      </c>
      <c r="G285" s="13" t="s">
        <v>441</v>
      </c>
      <c r="H285" s="7">
        <v>2.7022719565954572</v>
      </c>
      <c r="I285" s="1">
        <v>23</v>
      </c>
      <c r="J285" s="1">
        <f t="shared" si="25"/>
        <v>1</v>
      </c>
      <c r="K285" s="5">
        <f t="shared" si="26"/>
        <v>8.5113565064625387</v>
      </c>
      <c r="L285" s="2">
        <v>300000</v>
      </c>
      <c r="M285" s="2">
        <v>289200</v>
      </c>
      <c r="N285" s="6">
        <f t="shared" si="27"/>
        <v>0</v>
      </c>
      <c r="O285" s="9">
        <f t="shared" si="28"/>
        <v>0.96399999999999997</v>
      </c>
      <c r="P285" s="10">
        <v>20</v>
      </c>
      <c r="Q285" s="1">
        <f t="shared" si="29"/>
        <v>1</v>
      </c>
      <c r="R285" s="10">
        <v>5</v>
      </c>
      <c r="S285" s="10">
        <v>20</v>
      </c>
      <c r="T285" s="10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8">
        <v>17774312</v>
      </c>
      <c r="B286" s="8" t="s">
        <v>341</v>
      </c>
      <c r="C286" s="8" t="s">
        <v>25</v>
      </c>
      <c r="D286" s="8" t="s">
        <v>442</v>
      </c>
      <c r="E286" s="8" t="s">
        <v>26</v>
      </c>
      <c r="F286" s="8" t="s">
        <v>48</v>
      </c>
      <c r="G286" s="12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4607500</v>
      </c>
      <c r="N286" s="6">
        <f t="shared" si="27"/>
        <v>1</v>
      </c>
      <c r="O286" s="9">
        <f t="shared" si="28"/>
        <v>2.1344887499041101</v>
      </c>
      <c r="P286" s="10">
        <v>1</v>
      </c>
      <c r="Q286" s="1">
        <f t="shared" si="29"/>
        <v>0</v>
      </c>
      <c r="R286" s="10">
        <v>11</v>
      </c>
      <c r="S286" s="10">
        <v>1</v>
      </c>
      <c r="T286" s="10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8">
        <v>17774316</v>
      </c>
      <c r="B287" s="8" t="s">
        <v>47</v>
      </c>
      <c r="C287" s="8" t="s">
        <v>25</v>
      </c>
      <c r="D287" s="8" t="s">
        <v>442</v>
      </c>
      <c r="E287" s="8" t="s">
        <v>26</v>
      </c>
      <c r="F287" s="8" t="s">
        <v>48</v>
      </c>
      <c r="G287" s="12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7595000</v>
      </c>
      <c r="N287" s="6">
        <f t="shared" si="27"/>
        <v>1</v>
      </c>
      <c r="O287" s="9">
        <f t="shared" si="28"/>
        <v>3.5184898655500203</v>
      </c>
      <c r="P287" s="10">
        <v>4</v>
      </c>
      <c r="Q287" s="1">
        <f t="shared" si="29"/>
        <v>1</v>
      </c>
      <c r="R287" s="10">
        <v>11</v>
      </c>
      <c r="S287" s="10">
        <v>4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17774332</v>
      </c>
      <c r="B288" s="8" t="s">
        <v>380</v>
      </c>
      <c r="C288" s="8" t="s">
        <v>25</v>
      </c>
      <c r="D288" s="8" t="s">
        <v>442</v>
      </c>
      <c r="E288" s="8" t="s">
        <v>26</v>
      </c>
      <c r="F288" s="8" t="s">
        <v>48</v>
      </c>
      <c r="G288" s="12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9267500</v>
      </c>
      <c r="N288" s="6">
        <f t="shared" si="27"/>
        <v>1</v>
      </c>
      <c r="O288" s="9">
        <f t="shared" si="28"/>
        <v>4.2932988583258478</v>
      </c>
      <c r="P288" s="10">
        <v>0</v>
      </c>
      <c r="Q288" s="1">
        <f t="shared" si="29"/>
        <v>0</v>
      </c>
      <c r="R288" s="10">
        <v>11</v>
      </c>
      <c r="S288" s="10">
        <v>0</v>
      </c>
      <c r="T288" s="10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8">
        <v>17774309</v>
      </c>
      <c r="B289" s="8" t="s">
        <v>217</v>
      </c>
      <c r="C289" s="8" t="s">
        <v>25</v>
      </c>
      <c r="D289" s="8" t="s">
        <v>442</v>
      </c>
      <c r="E289" s="8" t="s">
        <v>26</v>
      </c>
      <c r="F289" s="8" t="s">
        <v>48</v>
      </c>
      <c r="G289" s="12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9">
        <f t="shared" si="28"/>
        <v>0.18912608373118309</v>
      </c>
      <c r="P289" s="10">
        <v>3</v>
      </c>
      <c r="Q289" s="1">
        <f t="shared" si="29"/>
        <v>1</v>
      </c>
      <c r="R289" s="10">
        <v>10</v>
      </c>
      <c r="S289" s="10">
        <v>3</v>
      </c>
      <c r="T289" s="10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8">
        <v>17764352</v>
      </c>
      <c r="B290" s="8" t="s">
        <v>369</v>
      </c>
      <c r="C290" s="8" t="s">
        <v>25</v>
      </c>
      <c r="D290" s="8" t="s">
        <v>442</v>
      </c>
      <c r="E290" s="8" t="s">
        <v>26</v>
      </c>
      <c r="F290" s="8" t="s">
        <v>207</v>
      </c>
      <c r="G290" s="12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9">
        <f t="shared" si="28"/>
        <v>0</v>
      </c>
      <c r="P290" s="10">
        <v>8</v>
      </c>
      <c r="Q290" s="1">
        <f t="shared" si="29"/>
        <v>1</v>
      </c>
      <c r="R290" s="10">
        <v>11</v>
      </c>
      <c r="S290" s="10">
        <v>8</v>
      </c>
      <c r="T290" s="10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8">
        <v>17704140</v>
      </c>
      <c r="B291" s="8" t="s">
        <v>407</v>
      </c>
      <c r="C291" s="8" t="s">
        <v>25</v>
      </c>
      <c r="D291" s="8" t="s">
        <v>442</v>
      </c>
      <c r="E291" s="8" t="s">
        <v>26</v>
      </c>
      <c r="F291" s="8" t="s">
        <v>207</v>
      </c>
      <c r="G291" s="12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2674000</v>
      </c>
      <c r="N291" s="6">
        <f t="shared" si="27"/>
        <v>1</v>
      </c>
      <c r="O291" s="9">
        <f t="shared" si="28"/>
        <v>0.39172147979652994</v>
      </c>
      <c r="P291" s="10">
        <v>3</v>
      </c>
      <c r="Q291" s="1">
        <f t="shared" si="29"/>
        <v>1</v>
      </c>
      <c r="R291" s="10">
        <v>9</v>
      </c>
      <c r="S291" s="10">
        <v>4</v>
      </c>
      <c r="T291" s="10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8">
        <v>17666078</v>
      </c>
      <c r="B292" s="8" t="s">
        <v>206</v>
      </c>
      <c r="C292" s="8" t="s">
        <v>25</v>
      </c>
      <c r="D292" s="8" t="s">
        <v>440</v>
      </c>
      <c r="E292" s="8" t="s">
        <v>22</v>
      </c>
      <c r="F292" s="8" t="s">
        <v>207</v>
      </c>
      <c r="G292" s="12" t="s">
        <v>443</v>
      </c>
      <c r="H292" s="7">
        <v>5.8879486431280963</v>
      </c>
      <c r="I292" s="1">
        <v>59</v>
      </c>
      <c r="J292" s="1">
        <f t="shared" si="25"/>
        <v>1</v>
      </c>
      <c r="K292" s="5">
        <f t="shared" si="26"/>
        <v>10.020467836257318</v>
      </c>
      <c r="L292" s="2">
        <v>2151055.2636527219</v>
      </c>
      <c r="M292" s="2">
        <v>9445000</v>
      </c>
      <c r="N292" s="6">
        <f t="shared" si="27"/>
        <v>1</v>
      </c>
      <c r="O292" s="9">
        <f t="shared" si="28"/>
        <v>4.3908681285860505</v>
      </c>
      <c r="P292" s="10">
        <v>1</v>
      </c>
      <c r="Q292" s="1">
        <f t="shared" si="29"/>
        <v>0</v>
      </c>
      <c r="R292" s="10">
        <v>8</v>
      </c>
      <c r="S292" s="10">
        <v>1</v>
      </c>
      <c r="T292" s="10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8">
        <v>17704148</v>
      </c>
      <c r="B293" s="8" t="s">
        <v>398</v>
      </c>
      <c r="C293" s="8" t="s">
        <v>25</v>
      </c>
      <c r="D293" s="8" t="s">
        <v>442</v>
      </c>
      <c r="E293" s="8" t="s">
        <v>26</v>
      </c>
      <c r="F293" s="8" t="s">
        <v>207</v>
      </c>
      <c r="G293" s="12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6470000</v>
      </c>
      <c r="N293" s="6">
        <f t="shared" si="27"/>
        <v>1</v>
      </c>
      <c r="O293" s="9">
        <f t="shared" si="28"/>
        <v>3.0784925896217619</v>
      </c>
      <c r="P293" s="10">
        <v>19</v>
      </c>
      <c r="Q293" s="1">
        <f t="shared" si="29"/>
        <v>1</v>
      </c>
      <c r="R293" s="10">
        <v>7</v>
      </c>
      <c r="S293" s="10">
        <v>19</v>
      </c>
      <c r="T293" s="10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8">
        <v>17659124</v>
      </c>
      <c r="B294" s="8" t="s">
        <v>307</v>
      </c>
      <c r="C294" s="8" t="s">
        <v>57</v>
      </c>
      <c r="D294" s="8" t="s">
        <v>442</v>
      </c>
      <c r="E294" s="8" t="s">
        <v>26</v>
      </c>
      <c r="F294" s="8" t="s">
        <v>308</v>
      </c>
      <c r="G294" s="12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2350000</v>
      </c>
      <c r="N294" s="6">
        <f t="shared" si="27"/>
        <v>1</v>
      </c>
      <c r="O294" s="9">
        <f t="shared" si="28"/>
        <v>0.17318576656822704</v>
      </c>
      <c r="P294" s="10">
        <v>99</v>
      </c>
      <c r="Q294" s="1">
        <f t="shared" si="29"/>
        <v>1</v>
      </c>
      <c r="R294" s="10">
        <v>12</v>
      </c>
      <c r="S294" s="10">
        <v>101</v>
      </c>
      <c r="T294" s="10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8">
        <v>17773148</v>
      </c>
      <c r="B295" s="8" t="s">
        <v>388</v>
      </c>
      <c r="C295" s="8" t="s">
        <v>57</v>
      </c>
      <c r="D295" s="8" t="s">
        <v>442</v>
      </c>
      <c r="E295" s="8" t="s">
        <v>26</v>
      </c>
      <c r="F295" s="8" t="s">
        <v>308</v>
      </c>
      <c r="G295" s="12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9">
        <f t="shared" si="28"/>
        <v>0</v>
      </c>
      <c r="P295" s="10">
        <v>0</v>
      </c>
      <c r="Q295" s="1">
        <f t="shared" si="29"/>
        <v>0</v>
      </c>
      <c r="R295" s="10">
        <v>8</v>
      </c>
      <c r="S295" s="10">
        <v>0</v>
      </c>
      <c r="T295" s="10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8">
        <v>17692847</v>
      </c>
      <c r="B296" s="8" t="s">
        <v>389</v>
      </c>
      <c r="C296" s="8" t="s">
        <v>35</v>
      </c>
      <c r="D296" s="8" t="s">
        <v>442</v>
      </c>
      <c r="E296" s="8" t="s">
        <v>26</v>
      </c>
      <c r="F296" s="8" t="s">
        <v>38</v>
      </c>
      <c r="G296" s="12" t="s">
        <v>441</v>
      </c>
      <c r="H296" s="7">
        <v>5.4045439131909321</v>
      </c>
      <c r="I296" s="1">
        <v>20</v>
      </c>
      <c r="J296" s="4">
        <f t="shared" si="25"/>
        <v>1</v>
      </c>
      <c r="K296" s="5">
        <f t="shared" si="26"/>
        <v>3.700589785418483</v>
      </c>
      <c r="L296" s="2">
        <v>1233517.793070439</v>
      </c>
      <c r="M296" s="2">
        <v>5265000</v>
      </c>
      <c r="N296" s="6">
        <f t="shared" si="27"/>
        <v>1</v>
      </c>
      <c r="O296" s="9">
        <f t="shared" si="28"/>
        <v>4.2682805465614768</v>
      </c>
      <c r="P296" s="10">
        <v>5</v>
      </c>
      <c r="Q296" s="1">
        <f t="shared" si="29"/>
        <v>1</v>
      </c>
      <c r="R296" s="10">
        <v>8</v>
      </c>
      <c r="S296" s="10">
        <v>6</v>
      </c>
      <c r="T296" s="10">
        <v>0</v>
      </c>
      <c r="U296" s="3">
        <v>0</v>
      </c>
      <c r="V296" s="3">
        <v>0</v>
      </c>
      <c r="W296" s="3">
        <v>0</v>
      </c>
      <c r="X296" s="3">
        <v>1</v>
      </c>
      <c r="Y296" s="3">
        <v>0</v>
      </c>
      <c r="Z296" s="3">
        <v>0</v>
      </c>
    </row>
    <row r="297" spans="1:26" ht="26">
      <c r="A297" s="8">
        <v>17232381</v>
      </c>
      <c r="B297" s="8" t="s">
        <v>391</v>
      </c>
      <c r="C297" s="8" t="s">
        <v>35</v>
      </c>
      <c r="D297" s="8" t="s">
        <v>442</v>
      </c>
      <c r="E297" s="8" t="s">
        <v>22</v>
      </c>
      <c r="F297" s="8" t="s">
        <v>290</v>
      </c>
      <c r="G297" s="12" t="s">
        <v>441</v>
      </c>
      <c r="H297" s="7">
        <v>5</v>
      </c>
      <c r="I297" s="1">
        <v>13</v>
      </c>
      <c r="J297" s="4">
        <f t="shared" si="25"/>
        <v>1</v>
      </c>
      <c r="K297" s="5">
        <f t="shared" si="26"/>
        <v>2.6</v>
      </c>
      <c r="L297" s="2">
        <v>1233517.793070439</v>
      </c>
      <c r="M297" s="2">
        <v>763000</v>
      </c>
      <c r="N297" s="6">
        <f t="shared" si="27"/>
        <v>1</v>
      </c>
      <c r="O297" s="9">
        <f t="shared" si="28"/>
        <v>0.61855613618735172</v>
      </c>
      <c r="P297" s="10">
        <v>21</v>
      </c>
      <c r="Q297" s="1">
        <f t="shared" si="29"/>
        <v>1</v>
      </c>
      <c r="R297" s="10">
        <v>7</v>
      </c>
      <c r="S297" s="10">
        <v>23</v>
      </c>
      <c r="T297" s="10">
        <v>0</v>
      </c>
      <c r="U297" s="3">
        <v>1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17572210</v>
      </c>
      <c r="B298" s="8" t="s">
        <v>394</v>
      </c>
      <c r="C298" s="8" t="s">
        <v>35</v>
      </c>
      <c r="D298" s="8" t="s">
        <v>440</v>
      </c>
      <c r="E298" s="8" t="s">
        <v>22</v>
      </c>
      <c r="F298" s="8" t="s">
        <v>36</v>
      </c>
      <c r="G298" s="12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4870000</v>
      </c>
      <c r="N298" s="6">
        <f t="shared" si="27"/>
        <v>1</v>
      </c>
      <c r="O298" s="9">
        <f t="shared" si="28"/>
        <v>0.24496176031231165</v>
      </c>
      <c r="P298" s="10">
        <v>0</v>
      </c>
      <c r="Q298" s="1">
        <f t="shared" si="29"/>
        <v>0</v>
      </c>
      <c r="R298" s="10">
        <v>9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1</v>
      </c>
      <c r="Y298" s="3">
        <v>0</v>
      </c>
      <c r="Z298" s="3">
        <v>0</v>
      </c>
    </row>
    <row r="299" spans="1:26" ht="26">
      <c r="A299" s="8">
        <v>17703866</v>
      </c>
      <c r="B299" s="8" t="s">
        <v>397</v>
      </c>
      <c r="C299" s="8" t="s">
        <v>25</v>
      </c>
      <c r="D299" s="8" t="s">
        <v>440</v>
      </c>
      <c r="E299" s="8" t="s">
        <v>26</v>
      </c>
      <c r="F299" s="8" t="s">
        <v>113</v>
      </c>
      <c r="G299" s="12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1830000</v>
      </c>
      <c r="N299" s="6">
        <f t="shared" si="27"/>
        <v>1</v>
      </c>
      <c r="O299" s="9">
        <f t="shared" si="28"/>
        <v>0.12180665002387515</v>
      </c>
      <c r="P299" s="10">
        <v>0</v>
      </c>
      <c r="Q299" s="1">
        <f t="shared" si="29"/>
        <v>0</v>
      </c>
      <c r="R299" s="10">
        <v>22</v>
      </c>
      <c r="S299" s="10">
        <v>0</v>
      </c>
      <c r="T299" s="10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17703872</v>
      </c>
      <c r="B300" s="8" t="s">
        <v>406</v>
      </c>
      <c r="C300" s="8" t="s">
        <v>25</v>
      </c>
      <c r="D300" s="8" t="s">
        <v>440</v>
      </c>
      <c r="E300" s="8" t="s">
        <v>26</v>
      </c>
      <c r="F300" s="8" t="s">
        <v>113</v>
      </c>
      <c r="G300" s="12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1509000</v>
      </c>
      <c r="N300" s="6">
        <f t="shared" si="27"/>
        <v>1</v>
      </c>
      <c r="O300" s="9">
        <f t="shared" si="28"/>
        <v>0.72138741957449992</v>
      </c>
      <c r="P300" s="10">
        <v>1</v>
      </c>
      <c r="Q300" s="1">
        <f t="shared" si="29"/>
        <v>0</v>
      </c>
      <c r="R300" s="10">
        <v>14</v>
      </c>
      <c r="S300" s="10">
        <v>1</v>
      </c>
      <c r="T300" s="10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17703900</v>
      </c>
      <c r="B301" s="8" t="s">
        <v>404</v>
      </c>
      <c r="C301" s="8" t="s">
        <v>25</v>
      </c>
      <c r="D301" s="8" t="s">
        <v>442</v>
      </c>
      <c r="E301" s="8" t="s">
        <v>26</v>
      </c>
      <c r="F301" s="8" t="s">
        <v>113</v>
      </c>
      <c r="G301" s="12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9053000</v>
      </c>
      <c r="N301" s="6">
        <f t="shared" si="27"/>
        <v>1</v>
      </c>
      <c r="O301" s="9">
        <f t="shared" si="28"/>
        <v>1.0816134563721806</v>
      </c>
      <c r="P301" s="10">
        <v>1</v>
      </c>
      <c r="Q301" s="1">
        <f t="shared" si="29"/>
        <v>0</v>
      </c>
      <c r="R301" s="10">
        <v>9</v>
      </c>
      <c r="S301" s="10">
        <v>1</v>
      </c>
      <c r="T301" s="10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17703880</v>
      </c>
      <c r="B302" s="8" t="s">
        <v>112</v>
      </c>
      <c r="C302" s="8" t="s">
        <v>25</v>
      </c>
      <c r="D302" s="8" t="s">
        <v>442</v>
      </c>
      <c r="E302" s="8" t="s">
        <v>26</v>
      </c>
      <c r="F302" s="8" t="s">
        <v>113</v>
      </c>
      <c r="G302" s="12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6806500</v>
      </c>
      <c r="N302" s="6">
        <f t="shared" si="27"/>
        <v>1</v>
      </c>
      <c r="O302" s="9">
        <f t="shared" si="28"/>
        <v>1.0727522206947409</v>
      </c>
      <c r="P302" s="10">
        <v>5</v>
      </c>
      <c r="Q302" s="1">
        <f t="shared" si="29"/>
        <v>1</v>
      </c>
      <c r="R302" s="10">
        <v>8</v>
      </c>
      <c r="S302" s="10">
        <v>5</v>
      </c>
      <c r="T302" s="10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17703891</v>
      </c>
      <c r="B303" s="8" t="s">
        <v>118</v>
      </c>
      <c r="C303" s="8" t="s">
        <v>25</v>
      </c>
      <c r="D303" s="8" t="s">
        <v>440</v>
      </c>
      <c r="E303" s="8" t="s">
        <v>22</v>
      </c>
      <c r="F303" s="8" t="s">
        <v>113</v>
      </c>
      <c r="G303" s="12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3498000</v>
      </c>
      <c r="N303" s="6">
        <f t="shared" si="27"/>
        <v>1</v>
      </c>
      <c r="O303" s="9">
        <f t="shared" si="28"/>
        <v>3.2841570163503429</v>
      </c>
      <c r="P303" s="10">
        <v>0</v>
      </c>
      <c r="Q303" s="1">
        <f t="shared" si="29"/>
        <v>0</v>
      </c>
      <c r="R303" s="10">
        <v>7</v>
      </c>
      <c r="S303" s="10">
        <v>0</v>
      </c>
      <c r="T303" s="10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8">
        <v>17703858</v>
      </c>
      <c r="B304" s="8" t="s">
        <v>392</v>
      </c>
      <c r="C304" s="8" t="s">
        <v>25</v>
      </c>
      <c r="D304" s="8" t="s">
        <v>442</v>
      </c>
      <c r="E304" s="8" t="s">
        <v>26</v>
      </c>
      <c r="F304" s="8" t="s">
        <v>113</v>
      </c>
      <c r="G304" s="12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655000</v>
      </c>
      <c r="N304" s="6">
        <f t="shared" si="27"/>
        <v>1</v>
      </c>
      <c r="O304" s="9">
        <f t="shared" si="28"/>
        <v>0.36100251874326422</v>
      </c>
      <c r="P304" s="10">
        <v>0</v>
      </c>
      <c r="Q304" s="1">
        <f t="shared" si="29"/>
        <v>0</v>
      </c>
      <c r="R304" s="10">
        <v>7</v>
      </c>
      <c r="S304" s="10">
        <v>0</v>
      </c>
      <c r="T304" s="10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8">
        <v>17703860</v>
      </c>
      <c r="B305" s="8" t="s">
        <v>385</v>
      </c>
      <c r="C305" s="8" t="s">
        <v>25</v>
      </c>
      <c r="D305" s="8" t="s">
        <v>440</v>
      </c>
      <c r="E305" s="8" t="s">
        <v>26</v>
      </c>
      <c r="F305" s="8" t="s">
        <v>113</v>
      </c>
      <c r="G305" s="12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2349000</v>
      </c>
      <c r="N305" s="6">
        <f t="shared" si="27"/>
        <v>1</v>
      </c>
      <c r="O305" s="9">
        <f t="shared" si="28"/>
        <v>1.5051110666849474</v>
      </c>
      <c r="P305" s="10">
        <v>0</v>
      </c>
      <c r="Q305" s="1">
        <f t="shared" si="29"/>
        <v>0</v>
      </c>
      <c r="R305" s="10">
        <v>6</v>
      </c>
      <c r="S305" s="10">
        <v>0</v>
      </c>
      <c r="T305" s="10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8">
        <v>17742642</v>
      </c>
      <c r="B306" s="8" t="s">
        <v>317</v>
      </c>
      <c r="C306" s="8" t="s">
        <v>57</v>
      </c>
      <c r="D306" s="8" t="s">
        <v>442</v>
      </c>
      <c r="E306" s="8" t="s">
        <v>26</v>
      </c>
      <c r="F306" s="8" t="s">
        <v>276</v>
      </c>
      <c r="G306" s="12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9">
        <f t="shared" si="28"/>
        <v>0</v>
      </c>
      <c r="P306" s="10">
        <v>0</v>
      </c>
      <c r="Q306" s="1">
        <f t="shared" si="29"/>
        <v>0</v>
      </c>
      <c r="R306" s="10">
        <v>9</v>
      </c>
      <c r="S306" s="10">
        <v>0</v>
      </c>
      <c r="T306" s="10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8">
        <v>17742643</v>
      </c>
      <c r="B307" s="8" t="s">
        <v>275</v>
      </c>
      <c r="C307" s="8" t="s">
        <v>57</v>
      </c>
      <c r="D307" s="8" t="s">
        <v>442</v>
      </c>
      <c r="E307" s="8" t="s">
        <v>26</v>
      </c>
      <c r="F307" s="8" t="s">
        <v>276</v>
      </c>
      <c r="G307" s="12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2350000</v>
      </c>
      <c r="N307" s="6">
        <f t="shared" si="27"/>
        <v>1</v>
      </c>
      <c r="O307" s="9">
        <f t="shared" si="28"/>
        <v>0.172528272490035</v>
      </c>
      <c r="P307" s="10">
        <v>1</v>
      </c>
      <c r="Q307" s="1">
        <f t="shared" si="29"/>
        <v>0</v>
      </c>
      <c r="R307" s="10">
        <v>12</v>
      </c>
      <c r="S307" s="10">
        <v>1</v>
      </c>
      <c r="T307" s="10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8">
        <v>17646915</v>
      </c>
      <c r="B308" s="8" t="s">
        <v>403</v>
      </c>
      <c r="C308" s="8" t="s">
        <v>35</v>
      </c>
      <c r="D308" s="8" t="s">
        <v>442</v>
      </c>
      <c r="E308" s="8" t="s">
        <v>26</v>
      </c>
      <c r="F308" s="8" t="s">
        <v>55</v>
      </c>
      <c r="G308" s="12" t="s">
        <v>441</v>
      </c>
      <c r="H308" s="7">
        <v>3</v>
      </c>
      <c r="I308" s="1">
        <v>10</v>
      </c>
      <c r="J308" s="1">
        <f t="shared" si="25"/>
        <v>1</v>
      </c>
      <c r="K308" s="5">
        <f t="shared" si="26"/>
        <v>3.3333333333333335</v>
      </c>
      <c r="L308" s="2">
        <v>1233517.793070439</v>
      </c>
      <c r="M308" s="2">
        <v>1260000</v>
      </c>
      <c r="N308" s="6">
        <f t="shared" si="27"/>
        <v>1</v>
      </c>
      <c r="O308" s="9">
        <f t="shared" si="28"/>
        <v>1.0214688487497552</v>
      </c>
      <c r="P308" s="10">
        <v>5</v>
      </c>
      <c r="Q308" s="1">
        <f t="shared" si="29"/>
        <v>1</v>
      </c>
      <c r="R308" s="10">
        <v>5</v>
      </c>
      <c r="S308" s="10">
        <v>5</v>
      </c>
      <c r="T308" s="10">
        <v>0</v>
      </c>
      <c r="U308" s="3">
        <v>0</v>
      </c>
      <c r="V308" s="3">
        <v>0</v>
      </c>
      <c r="W308" s="3">
        <v>0</v>
      </c>
      <c r="X308" s="3">
        <v>1</v>
      </c>
      <c r="Y308" s="3">
        <v>0</v>
      </c>
      <c r="Z308" s="3">
        <v>0</v>
      </c>
    </row>
    <row r="309" spans="1:26" ht="26">
      <c r="A309" s="8">
        <v>17766037</v>
      </c>
      <c r="B309" s="8" t="s">
        <v>198</v>
      </c>
      <c r="C309" s="8" t="s">
        <v>21</v>
      </c>
      <c r="D309" s="8" t="s">
        <v>442</v>
      </c>
      <c r="E309" s="8" t="s">
        <v>22</v>
      </c>
      <c r="F309" s="8" t="s">
        <v>199</v>
      </c>
      <c r="G309" s="12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685000</v>
      </c>
      <c r="N309" s="6">
        <f t="shared" si="27"/>
        <v>1</v>
      </c>
      <c r="O309" s="9">
        <f t="shared" si="28"/>
        <v>0.55532235031236687</v>
      </c>
      <c r="P309" s="10">
        <v>1</v>
      </c>
      <c r="Q309" s="1">
        <f t="shared" si="29"/>
        <v>0</v>
      </c>
      <c r="R309" s="10">
        <v>8</v>
      </c>
      <c r="S309" s="10">
        <v>1</v>
      </c>
      <c r="T309" s="10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8">
        <v>17562513</v>
      </c>
      <c r="B310" s="8" t="s">
        <v>223</v>
      </c>
      <c r="C310" s="8" t="s">
        <v>21</v>
      </c>
      <c r="D310" s="8" t="s">
        <v>440</v>
      </c>
      <c r="E310" s="8" t="s">
        <v>22</v>
      </c>
      <c r="F310" s="8" t="s">
        <v>199</v>
      </c>
      <c r="G310" s="12" t="s">
        <v>441</v>
      </c>
      <c r="H310" s="7">
        <v>5.1966768396066563</v>
      </c>
      <c r="I310" s="1">
        <v>3</v>
      </c>
      <c r="J310" s="4">
        <f t="shared" si="25"/>
        <v>1</v>
      </c>
      <c r="K310" s="5">
        <f t="shared" si="26"/>
        <v>0.57729200652528434</v>
      </c>
      <c r="L310" s="2">
        <v>2549477.9785796599</v>
      </c>
      <c r="M310" s="2">
        <v>2098000</v>
      </c>
      <c r="N310" s="6">
        <f t="shared" si="27"/>
        <v>1</v>
      </c>
      <c r="O310" s="9">
        <f t="shared" si="28"/>
        <v>0.82291356019823991</v>
      </c>
      <c r="P310" s="10">
        <v>2</v>
      </c>
      <c r="Q310" s="1">
        <f t="shared" si="29"/>
        <v>0</v>
      </c>
      <c r="R310" s="10">
        <v>8</v>
      </c>
      <c r="S310" s="10">
        <v>3</v>
      </c>
      <c r="T310" s="10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8">
        <v>17754071</v>
      </c>
      <c r="B311" s="8" t="s">
        <v>314</v>
      </c>
      <c r="C311" s="8" t="s">
        <v>21</v>
      </c>
      <c r="D311" s="8" t="s">
        <v>442</v>
      </c>
      <c r="E311" s="8" t="s">
        <v>26</v>
      </c>
      <c r="F311" s="8" t="s">
        <v>199</v>
      </c>
      <c r="G311" s="12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535000</v>
      </c>
      <c r="N311" s="6">
        <f t="shared" si="27"/>
        <v>1</v>
      </c>
      <c r="O311" s="9">
        <f t="shared" si="28"/>
        <v>0.43371891593739603</v>
      </c>
      <c r="P311" s="10">
        <v>0</v>
      </c>
      <c r="Q311" s="1">
        <f t="shared" si="29"/>
        <v>0</v>
      </c>
      <c r="R311" s="10">
        <v>8</v>
      </c>
      <c r="S311" s="10">
        <v>5</v>
      </c>
      <c r="T311" s="10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8">
        <v>17708668</v>
      </c>
      <c r="B312" s="8" t="s">
        <v>395</v>
      </c>
      <c r="C312" s="8" t="s">
        <v>21</v>
      </c>
      <c r="D312" s="8" t="s">
        <v>442</v>
      </c>
      <c r="E312" s="8" t="s">
        <v>22</v>
      </c>
      <c r="F312" s="8" t="s">
        <v>199</v>
      </c>
      <c r="G312" s="12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1016000</v>
      </c>
      <c r="N312" s="6">
        <f t="shared" si="27"/>
        <v>1</v>
      </c>
      <c r="O312" s="9">
        <f t="shared" si="28"/>
        <v>0.82366059549980253</v>
      </c>
      <c r="P312" s="10">
        <v>1</v>
      </c>
      <c r="Q312" s="1">
        <f t="shared" si="29"/>
        <v>0</v>
      </c>
      <c r="R312" s="10">
        <v>7</v>
      </c>
      <c r="S312" s="10">
        <v>1</v>
      </c>
      <c r="T312" s="10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8">
        <v>17648919</v>
      </c>
      <c r="B313" s="8" t="s">
        <v>413</v>
      </c>
      <c r="C313" s="8" t="s">
        <v>35</v>
      </c>
      <c r="D313" s="8" t="s">
        <v>442</v>
      </c>
      <c r="E313" s="8" t="s">
        <v>26</v>
      </c>
      <c r="F313" s="8" t="s">
        <v>55</v>
      </c>
      <c r="G313" s="12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9">
        <f t="shared" si="28"/>
        <v>1.3619584649996734</v>
      </c>
      <c r="P313" s="10">
        <v>0</v>
      </c>
      <c r="Q313" s="1">
        <f t="shared" si="29"/>
        <v>0</v>
      </c>
      <c r="R313" s="10">
        <v>7</v>
      </c>
      <c r="S313" s="10">
        <v>5</v>
      </c>
      <c r="T313" s="10">
        <v>0</v>
      </c>
      <c r="U313" s="3">
        <v>0</v>
      </c>
      <c r="V313" s="3">
        <v>0</v>
      </c>
      <c r="W313" s="3">
        <v>0</v>
      </c>
      <c r="X313" s="3">
        <v>1</v>
      </c>
      <c r="Y313" s="3">
        <v>0</v>
      </c>
      <c r="Z313" s="3">
        <v>0</v>
      </c>
    </row>
    <row r="314" spans="1:26" ht="26">
      <c r="A314" s="8">
        <v>17631792</v>
      </c>
      <c r="B314" s="8" t="s">
        <v>422</v>
      </c>
      <c r="C314" s="8" t="s">
        <v>35</v>
      </c>
      <c r="D314" s="8" t="s">
        <v>442</v>
      </c>
      <c r="E314" s="8" t="s">
        <v>26</v>
      </c>
      <c r="F314" s="8" t="s">
        <v>96</v>
      </c>
      <c r="G314" s="12" t="s">
        <v>441</v>
      </c>
      <c r="H314" s="7">
        <v>7.4832146490335951</v>
      </c>
      <c r="I314" s="1">
        <v>6</v>
      </c>
      <c r="J314" s="1">
        <f t="shared" si="25"/>
        <v>1</v>
      </c>
      <c r="K314" s="5">
        <f t="shared" si="26"/>
        <v>0.80179445350733836</v>
      </c>
      <c r="L314" s="2">
        <v>1233517.793070439</v>
      </c>
      <c r="M314" s="2">
        <v>180000</v>
      </c>
      <c r="N314" s="6">
        <f t="shared" si="27"/>
        <v>0</v>
      </c>
      <c r="O314" s="9">
        <f t="shared" si="28"/>
        <v>0.14592412124996501</v>
      </c>
      <c r="P314" s="10">
        <v>0</v>
      </c>
      <c r="Q314" s="1">
        <f t="shared" si="29"/>
        <v>0</v>
      </c>
      <c r="R314" s="10">
        <v>10</v>
      </c>
      <c r="S314" s="10">
        <v>0</v>
      </c>
      <c r="T314" s="10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8">
        <v>17061867</v>
      </c>
      <c r="B315" s="8" t="s">
        <v>427</v>
      </c>
      <c r="C315" s="8" t="s">
        <v>35</v>
      </c>
      <c r="D315" s="8" t="s">
        <v>440</v>
      </c>
      <c r="E315" s="8" t="s">
        <v>22</v>
      </c>
      <c r="F315" s="8" t="s">
        <v>85</v>
      </c>
      <c r="G315" s="12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4111000</v>
      </c>
      <c r="N315" s="6">
        <f t="shared" si="27"/>
        <v>1</v>
      </c>
      <c r="O315" s="9">
        <f t="shared" si="28"/>
        <v>1.435326858879507</v>
      </c>
      <c r="P315" s="10">
        <v>0</v>
      </c>
      <c r="Q315" s="1">
        <f t="shared" si="29"/>
        <v>0</v>
      </c>
      <c r="R315" s="10">
        <v>6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8">
        <v>17768623</v>
      </c>
      <c r="B316" s="8" t="s">
        <v>410</v>
      </c>
      <c r="C316" s="8" t="s">
        <v>25</v>
      </c>
      <c r="D316" s="8" t="s">
        <v>442</v>
      </c>
      <c r="E316" s="8" t="s">
        <v>26</v>
      </c>
      <c r="F316" s="8" t="s">
        <v>139</v>
      </c>
      <c r="G316" s="12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4115000</v>
      </c>
      <c r="N316" s="6">
        <f t="shared" ref="N316:N325" si="32">IF(M316&gt;=300000,1,0)</f>
        <v>1</v>
      </c>
      <c r="O316" s="9">
        <f t="shared" ref="O316:O325" si="33">M316/L316</f>
        <v>1.02927846102066</v>
      </c>
      <c r="P316" s="10">
        <v>1</v>
      </c>
      <c r="Q316" s="1">
        <f t="shared" ref="Q316:Q325" si="34">IF(P316&gt;=3,1,0)</f>
        <v>0</v>
      </c>
      <c r="R316" s="10">
        <v>22</v>
      </c>
      <c r="S316" s="10">
        <v>1</v>
      </c>
      <c r="T316" s="10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8">
        <v>17779134</v>
      </c>
      <c r="B317" s="8" t="s">
        <v>138</v>
      </c>
      <c r="C317" s="8" t="s">
        <v>25</v>
      </c>
      <c r="D317" s="8" t="s">
        <v>442</v>
      </c>
      <c r="E317" s="8" t="s">
        <v>26</v>
      </c>
      <c r="F317" s="8" t="s">
        <v>139</v>
      </c>
      <c r="G317" s="12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1740000</v>
      </c>
      <c r="N317" s="6">
        <f t="shared" si="32"/>
        <v>1</v>
      </c>
      <c r="O317" s="9">
        <f t="shared" si="33"/>
        <v>0.80607931086991902</v>
      </c>
      <c r="P317" s="10">
        <v>0</v>
      </c>
      <c r="Q317" s="1">
        <f t="shared" si="34"/>
        <v>0</v>
      </c>
      <c r="R317" s="10">
        <v>11</v>
      </c>
      <c r="S317" s="10">
        <v>0</v>
      </c>
      <c r="T317" s="10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8">
        <v>17768830</v>
      </c>
      <c r="B318" s="8" t="s">
        <v>251</v>
      </c>
      <c r="C318" s="8" t="s">
        <v>25</v>
      </c>
      <c r="D318" s="8" t="s">
        <v>444</v>
      </c>
      <c r="E318" s="8" t="s">
        <v>26</v>
      </c>
      <c r="F318" s="8" t="s">
        <v>139</v>
      </c>
      <c r="G318" s="12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1765000</v>
      </c>
      <c r="N318" s="6">
        <f t="shared" si="32"/>
        <v>1</v>
      </c>
      <c r="O318" s="9">
        <f t="shared" si="33"/>
        <v>1.0459586573730475</v>
      </c>
      <c r="P318" s="10">
        <v>0</v>
      </c>
      <c r="Q318" s="1">
        <f t="shared" si="34"/>
        <v>0</v>
      </c>
      <c r="R318" s="10">
        <v>7</v>
      </c>
      <c r="S318" s="10">
        <v>0</v>
      </c>
      <c r="T318" s="10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8">
        <v>17774580</v>
      </c>
      <c r="B319" s="8" t="s">
        <v>409</v>
      </c>
      <c r="C319" s="8" t="s">
        <v>25</v>
      </c>
      <c r="D319" s="8" t="s">
        <v>442</v>
      </c>
      <c r="E319" s="8" t="s">
        <v>22</v>
      </c>
      <c r="F319" s="8" t="s">
        <v>338</v>
      </c>
      <c r="G319" s="12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9">
        <f t="shared" si="33"/>
        <v>1.5345619064693143</v>
      </c>
      <c r="P319" s="10">
        <v>99</v>
      </c>
      <c r="Q319" s="1">
        <f t="shared" si="34"/>
        <v>1</v>
      </c>
      <c r="R319" s="10">
        <v>11</v>
      </c>
      <c r="S319" s="10">
        <v>100</v>
      </c>
      <c r="T319" s="10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8">
        <v>17774583</v>
      </c>
      <c r="B320" s="8" t="s">
        <v>387</v>
      </c>
      <c r="C320" s="8" t="s">
        <v>25</v>
      </c>
      <c r="D320" s="8" t="s">
        <v>442</v>
      </c>
      <c r="E320" s="8" t="s">
        <v>26</v>
      </c>
      <c r="F320" s="8" t="s">
        <v>338</v>
      </c>
      <c r="G320" s="12" t="s">
        <v>443</v>
      </c>
      <c r="H320" s="7">
        <v>8.0571928800700618</v>
      </c>
      <c r="I320" s="1">
        <v>3</v>
      </c>
      <c r="J320" s="4">
        <f t="shared" si="30"/>
        <v>1</v>
      </c>
      <c r="K320" s="5">
        <f t="shared" si="31"/>
        <v>0.37233811386353621</v>
      </c>
      <c r="L320" s="2">
        <v>2158596.5258458201</v>
      </c>
      <c r="M320" s="2">
        <v>8996500</v>
      </c>
      <c r="N320" s="6">
        <f t="shared" si="32"/>
        <v>1</v>
      </c>
      <c r="O320" s="9">
        <f t="shared" si="33"/>
        <v>4.167754321977716</v>
      </c>
      <c r="P320" s="10">
        <v>100</v>
      </c>
      <c r="Q320" s="1">
        <f t="shared" si="34"/>
        <v>1</v>
      </c>
      <c r="R320" s="10">
        <v>11</v>
      </c>
      <c r="S320" s="10">
        <v>100</v>
      </c>
      <c r="T320" s="10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8">
        <v>17768735</v>
      </c>
      <c r="B321" s="8" t="s">
        <v>337</v>
      </c>
      <c r="C321" s="8" t="s">
        <v>25</v>
      </c>
      <c r="D321" s="8" t="s">
        <v>440</v>
      </c>
      <c r="E321" s="8" t="s">
        <v>22</v>
      </c>
      <c r="F321" s="8" t="s">
        <v>338</v>
      </c>
      <c r="G321" s="12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2402500</v>
      </c>
      <c r="N321" s="6">
        <f t="shared" si="32"/>
        <v>1</v>
      </c>
      <c r="O321" s="9">
        <f t="shared" si="33"/>
        <v>0.92138728296329364</v>
      </c>
      <c r="P321" s="10">
        <v>1</v>
      </c>
      <c r="Q321" s="1">
        <f t="shared" si="34"/>
        <v>0</v>
      </c>
      <c r="R321" s="10">
        <v>9</v>
      </c>
      <c r="S321" s="10">
        <v>2</v>
      </c>
      <c r="T321" s="10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8">
        <v>17768983</v>
      </c>
      <c r="B322" s="8" t="s">
        <v>336</v>
      </c>
      <c r="C322" s="8" t="s">
        <v>21</v>
      </c>
      <c r="D322" s="8" t="s">
        <v>442</v>
      </c>
      <c r="E322" s="8" t="s">
        <v>26</v>
      </c>
      <c r="F322" s="8" t="s">
        <v>316</v>
      </c>
      <c r="G322" s="12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2325000</v>
      </c>
      <c r="N322" s="6">
        <f t="shared" si="32"/>
        <v>1</v>
      </c>
      <c r="O322" s="9">
        <f t="shared" si="33"/>
        <v>1.8848532328120482</v>
      </c>
      <c r="P322" s="10">
        <v>5</v>
      </c>
      <c r="Q322" s="1">
        <f t="shared" si="34"/>
        <v>1</v>
      </c>
      <c r="R322" s="10">
        <v>7</v>
      </c>
      <c r="S322" s="10">
        <v>5</v>
      </c>
      <c r="T322" s="10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8">
        <v>17763664</v>
      </c>
      <c r="B323" s="8" t="s">
        <v>315</v>
      </c>
      <c r="C323" s="8" t="s">
        <v>21</v>
      </c>
      <c r="D323" s="8" t="s">
        <v>442</v>
      </c>
      <c r="E323" s="8" t="s">
        <v>22</v>
      </c>
      <c r="F323" s="8" t="s">
        <v>316</v>
      </c>
      <c r="G323" s="12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3568000</v>
      </c>
      <c r="N323" s="6">
        <f t="shared" si="32"/>
        <v>1</v>
      </c>
      <c r="O323" s="9">
        <f t="shared" si="33"/>
        <v>2.8925403589993066</v>
      </c>
      <c r="P323" s="10">
        <v>1</v>
      </c>
      <c r="Q323" s="1">
        <f t="shared" si="34"/>
        <v>0</v>
      </c>
      <c r="R323" s="10">
        <v>7</v>
      </c>
      <c r="S323" s="10">
        <v>15</v>
      </c>
      <c r="T323" s="10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8">
        <v>17763651</v>
      </c>
      <c r="B324" s="8" t="s">
        <v>393</v>
      </c>
      <c r="C324" s="8" t="s">
        <v>21</v>
      </c>
      <c r="D324" s="8" t="s">
        <v>442</v>
      </c>
      <c r="E324" s="8" t="s">
        <v>22</v>
      </c>
      <c r="F324" s="8" t="s">
        <v>316</v>
      </c>
      <c r="G324" s="12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985000</v>
      </c>
      <c r="N324" s="6">
        <f t="shared" si="32"/>
        <v>1</v>
      </c>
      <c r="O324" s="9">
        <f t="shared" si="33"/>
        <v>0.79852921906230856</v>
      </c>
      <c r="P324" s="10">
        <v>0</v>
      </c>
      <c r="Q324" s="1">
        <f t="shared" si="34"/>
        <v>0</v>
      </c>
      <c r="R324" s="10">
        <v>5</v>
      </c>
      <c r="S324" s="10">
        <v>0</v>
      </c>
      <c r="T324" s="10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8">
        <v>17763995</v>
      </c>
      <c r="B325" s="8" t="s">
        <v>352</v>
      </c>
      <c r="C325" s="8" t="s">
        <v>57</v>
      </c>
      <c r="D325" s="8" t="s">
        <v>442</v>
      </c>
      <c r="E325" s="8" t="s">
        <v>26</v>
      </c>
      <c r="F325" s="8" t="s">
        <v>353</v>
      </c>
      <c r="G325" s="12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9">
        <f t="shared" si="33"/>
        <v>0</v>
      </c>
      <c r="P325" s="10">
        <v>0</v>
      </c>
      <c r="Q325" s="1">
        <f t="shared" si="34"/>
        <v>0</v>
      </c>
      <c r="R325" s="10">
        <v>8</v>
      </c>
      <c r="S325" s="10">
        <v>0</v>
      </c>
      <c r="T325" s="10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8">
        <v>17764380</v>
      </c>
      <c r="B326" s="8" t="s">
        <v>124</v>
      </c>
      <c r="C326" s="8" t="s">
        <v>31</v>
      </c>
      <c r="D326" s="8" t="s">
        <v>442</v>
      </c>
      <c r="E326" s="8" t="s">
        <v>26</v>
      </c>
      <c r="F326" s="8" t="s">
        <v>125</v>
      </c>
      <c r="G326" s="12" t="s">
        <v>441</v>
      </c>
      <c r="H326" s="7">
        <v>10.185486605629039</v>
      </c>
      <c r="I326" s="1">
        <v>9</v>
      </c>
      <c r="J326" s="4">
        <f t="shared" ref="J326:J338" si="35">IF(I326&gt;=3,1,0)</f>
        <v>1</v>
      </c>
      <c r="K326" s="5">
        <f t="shared" ref="K326:K338" si="36">I326/H326</f>
        <v>0.88361021406931339</v>
      </c>
      <c r="L326" s="2">
        <v>1233517.793070439</v>
      </c>
      <c r="M326" s="2">
        <v>704400</v>
      </c>
      <c r="N326" s="6">
        <f t="shared" ref="N326:N338" si="37">IF(M326&gt;=300000,1,0)</f>
        <v>1</v>
      </c>
      <c r="O326" s="9">
        <f t="shared" ref="O326:O338" si="38">M326/L326</f>
        <v>0.57104972782486307</v>
      </c>
      <c r="P326" s="10">
        <v>1</v>
      </c>
      <c r="Q326" s="1">
        <f t="shared" ref="Q326:Q338" si="39">IF(P326&gt;=3,1,0)</f>
        <v>0</v>
      </c>
      <c r="R326" s="10">
        <v>13</v>
      </c>
      <c r="S326" s="10">
        <v>6</v>
      </c>
      <c r="T326" s="10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13">
        <v>17768632</v>
      </c>
      <c r="B327" s="13" t="s">
        <v>476</v>
      </c>
      <c r="C327" s="8" t="s">
        <v>31</v>
      </c>
      <c r="D327" s="8" t="s">
        <v>442</v>
      </c>
      <c r="E327" s="8" t="s">
        <v>26</v>
      </c>
      <c r="F327" s="26" t="s">
        <v>125</v>
      </c>
      <c r="G327" s="25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9">
        <f t="shared" si="38"/>
        <v>0</v>
      </c>
      <c r="P327" s="10">
        <v>0</v>
      </c>
      <c r="Q327" s="1">
        <f t="shared" si="39"/>
        <v>0</v>
      </c>
      <c r="R327" s="10">
        <v>5</v>
      </c>
      <c r="S327" s="10">
        <v>50</v>
      </c>
      <c r="T327" s="10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8">
        <v>17762645</v>
      </c>
      <c r="B328" s="8" t="s">
        <v>121</v>
      </c>
      <c r="C328" s="8" t="s">
        <v>21</v>
      </c>
      <c r="D328" s="8" t="s">
        <v>442</v>
      </c>
      <c r="E328" s="8" t="s">
        <v>22</v>
      </c>
      <c r="F328" s="8" t="s">
        <v>122</v>
      </c>
      <c r="G328" s="12" t="s">
        <v>441</v>
      </c>
      <c r="H328" s="7">
        <v>4.7809426924381153</v>
      </c>
      <c r="I328" s="1">
        <v>1</v>
      </c>
      <c r="J328" s="4">
        <f t="shared" si="35"/>
        <v>0</v>
      </c>
      <c r="K328" s="5">
        <f t="shared" si="36"/>
        <v>0.20916377048017587</v>
      </c>
      <c r="L328" s="2">
        <v>1233517.793070439</v>
      </c>
      <c r="M328" s="2">
        <v>662000</v>
      </c>
      <c r="N328" s="6">
        <f t="shared" si="37"/>
        <v>1</v>
      </c>
      <c r="O328" s="9">
        <f t="shared" si="38"/>
        <v>0.53667649037487131</v>
      </c>
      <c r="P328" s="10">
        <v>20</v>
      </c>
      <c r="Q328" s="1">
        <f t="shared" si="39"/>
        <v>1</v>
      </c>
      <c r="R328" s="10">
        <v>7</v>
      </c>
      <c r="S328" s="10">
        <v>20</v>
      </c>
      <c r="T328" s="10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8">
        <v>17764101</v>
      </c>
      <c r="B329" s="8" t="s">
        <v>342</v>
      </c>
      <c r="C329" s="8" t="s">
        <v>21</v>
      </c>
      <c r="D329" s="8" t="s">
        <v>442</v>
      </c>
      <c r="E329" s="8" t="s">
        <v>22</v>
      </c>
      <c r="F329" s="8" t="s">
        <v>122</v>
      </c>
      <c r="G329" s="12" t="s">
        <v>441</v>
      </c>
      <c r="H329" s="7">
        <v>2.7022719565954572</v>
      </c>
      <c r="I329" s="1">
        <v>1</v>
      </c>
      <c r="J329" s="4">
        <f t="shared" si="35"/>
        <v>0</v>
      </c>
      <c r="K329" s="5">
        <f t="shared" si="36"/>
        <v>0.37005897854184955</v>
      </c>
      <c r="L329" s="2">
        <v>300000</v>
      </c>
      <c r="M329" s="2">
        <v>656000</v>
      </c>
      <c r="N329" s="6">
        <f t="shared" si="37"/>
        <v>1</v>
      </c>
      <c r="O329" s="9">
        <f t="shared" si="38"/>
        <v>2.1866666666666665</v>
      </c>
      <c r="P329" s="10">
        <v>2</v>
      </c>
      <c r="Q329" s="1">
        <f t="shared" si="39"/>
        <v>0</v>
      </c>
      <c r="R329" s="10">
        <v>5</v>
      </c>
      <c r="S329" s="10">
        <v>14</v>
      </c>
      <c r="T329" s="10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8">
        <v>17783930</v>
      </c>
      <c r="B330" s="8" t="s">
        <v>178</v>
      </c>
      <c r="C330" s="8" t="s">
        <v>21</v>
      </c>
      <c r="D330" s="8" t="s">
        <v>440</v>
      </c>
      <c r="E330" s="8" t="s">
        <v>22</v>
      </c>
      <c r="F330" s="8" t="s">
        <v>147</v>
      </c>
      <c r="G330" s="12" t="s">
        <v>441</v>
      </c>
      <c r="H330" s="7">
        <v>5</v>
      </c>
      <c r="I330" s="1">
        <v>1</v>
      </c>
      <c r="J330" s="1">
        <f t="shared" si="35"/>
        <v>0</v>
      </c>
      <c r="K330" s="5">
        <f t="shared" si="36"/>
        <v>0.2</v>
      </c>
      <c r="L330" s="2">
        <v>3486028.5456338399</v>
      </c>
      <c r="M330" s="2">
        <v>1325000</v>
      </c>
      <c r="N330" s="6">
        <f t="shared" si="37"/>
        <v>1</v>
      </c>
      <c r="O330" s="9">
        <f t="shared" si="38"/>
        <v>0.38008868334125606</v>
      </c>
      <c r="P330" s="10">
        <v>1</v>
      </c>
      <c r="Q330" s="1">
        <f t="shared" si="39"/>
        <v>0</v>
      </c>
      <c r="R330" s="10">
        <v>7</v>
      </c>
      <c r="S330" s="10">
        <v>1</v>
      </c>
      <c r="T330" s="10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8">
        <v>17785546</v>
      </c>
      <c r="B331" s="8" t="s">
        <v>401</v>
      </c>
      <c r="C331" s="8" t="s">
        <v>21</v>
      </c>
      <c r="D331" s="8" t="s">
        <v>442</v>
      </c>
      <c r="E331" s="8" t="s">
        <v>22</v>
      </c>
      <c r="F331" s="8" t="s">
        <v>147</v>
      </c>
      <c r="G331" s="12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9">
        <f t="shared" si="38"/>
        <v>0</v>
      </c>
      <c r="P331" s="10">
        <v>0</v>
      </c>
      <c r="Q331" s="1">
        <f t="shared" si="39"/>
        <v>0</v>
      </c>
      <c r="R331" s="10">
        <v>7</v>
      </c>
      <c r="S331" s="10">
        <v>0</v>
      </c>
      <c r="T331" s="10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8">
        <v>17707977</v>
      </c>
      <c r="B332" s="8" t="s">
        <v>179</v>
      </c>
      <c r="C332" s="8" t="s">
        <v>21</v>
      </c>
      <c r="D332" s="8" t="s">
        <v>440</v>
      </c>
      <c r="E332" s="8" t="s">
        <v>22</v>
      </c>
      <c r="F332" s="8" t="s">
        <v>147</v>
      </c>
      <c r="G332" s="12" t="s">
        <v>441</v>
      </c>
      <c r="H332" s="7">
        <v>3.3258731773482562</v>
      </c>
      <c r="I332" s="1">
        <v>3</v>
      </c>
      <c r="J332" s="4">
        <f t="shared" si="35"/>
        <v>1</v>
      </c>
      <c r="K332" s="5">
        <f t="shared" si="36"/>
        <v>0.90201876019575788</v>
      </c>
      <c r="L332" s="2">
        <v>2549477.9785796599</v>
      </c>
      <c r="M332" s="2">
        <v>1932000</v>
      </c>
      <c r="N332" s="6">
        <f t="shared" si="37"/>
        <v>1</v>
      </c>
      <c r="O332" s="9">
        <f t="shared" si="38"/>
        <v>0.75780219175548114</v>
      </c>
      <c r="P332" s="10">
        <v>2</v>
      </c>
      <c r="Q332" s="1">
        <f t="shared" si="39"/>
        <v>0</v>
      </c>
      <c r="R332" s="10">
        <v>6</v>
      </c>
      <c r="S332" s="10">
        <v>3</v>
      </c>
      <c r="T332" s="10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8">
        <v>17779344</v>
      </c>
      <c r="B333" s="8" t="s">
        <v>331</v>
      </c>
      <c r="C333" s="8" t="s">
        <v>21</v>
      </c>
      <c r="D333" s="8" t="s">
        <v>442</v>
      </c>
      <c r="E333" s="8" t="s">
        <v>26</v>
      </c>
      <c r="F333" s="8" t="s">
        <v>147</v>
      </c>
      <c r="G333" s="12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711000</v>
      </c>
      <c r="N333" s="6">
        <f t="shared" si="37"/>
        <v>1</v>
      </c>
      <c r="O333" s="9">
        <f t="shared" si="38"/>
        <v>0.57640027893736179</v>
      </c>
      <c r="P333" s="10">
        <v>0</v>
      </c>
      <c r="Q333" s="1">
        <f t="shared" si="39"/>
        <v>0</v>
      </c>
      <c r="R333" s="10">
        <v>6</v>
      </c>
      <c r="S333" s="10">
        <v>0</v>
      </c>
      <c r="T333" s="10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8">
        <v>17744463</v>
      </c>
      <c r="B334" s="8" t="s">
        <v>332</v>
      </c>
      <c r="C334" s="8" t="s">
        <v>21</v>
      </c>
      <c r="D334" s="8" t="s">
        <v>442</v>
      </c>
      <c r="E334" s="8" t="s">
        <v>26</v>
      </c>
      <c r="F334" s="8" t="s">
        <v>147</v>
      </c>
      <c r="G334" s="12" t="s">
        <v>441</v>
      </c>
      <c r="H334" s="7">
        <v>3</v>
      </c>
      <c r="I334" s="1">
        <v>59</v>
      </c>
      <c r="J334" s="4">
        <f t="shared" si="35"/>
        <v>1</v>
      </c>
      <c r="K334" s="5">
        <f t="shared" si="36"/>
        <v>19.666666666666668</v>
      </c>
      <c r="L334" s="2">
        <v>1233517.793070439</v>
      </c>
      <c r="M334" s="2">
        <v>5849000</v>
      </c>
      <c r="N334" s="6">
        <f t="shared" si="37"/>
        <v>1</v>
      </c>
      <c r="O334" s="9">
        <f t="shared" si="38"/>
        <v>4.7417232510613632</v>
      </c>
      <c r="P334" s="10">
        <v>5</v>
      </c>
      <c r="Q334" s="1">
        <f t="shared" si="39"/>
        <v>1</v>
      </c>
      <c r="R334" s="10">
        <v>5</v>
      </c>
      <c r="S334" s="10">
        <v>5</v>
      </c>
      <c r="T334" s="10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8">
        <v>17721015</v>
      </c>
      <c r="B335" s="8" t="s">
        <v>361</v>
      </c>
      <c r="C335" s="8" t="s">
        <v>21</v>
      </c>
      <c r="D335" s="8" t="s">
        <v>440</v>
      </c>
      <c r="E335" s="8" t="s">
        <v>22</v>
      </c>
      <c r="F335" s="8" t="s">
        <v>147</v>
      </c>
      <c r="G335" s="12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6590000</v>
      </c>
      <c r="N335" s="6">
        <f t="shared" si="37"/>
        <v>1</v>
      </c>
      <c r="O335" s="9">
        <f t="shared" si="38"/>
        <v>0.3314780288415059</v>
      </c>
      <c r="P335" s="10">
        <v>2</v>
      </c>
      <c r="Q335" s="1">
        <f t="shared" si="39"/>
        <v>0</v>
      </c>
      <c r="R335" s="10">
        <v>5</v>
      </c>
      <c r="S335" s="10">
        <v>2</v>
      </c>
      <c r="T335" s="10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8">
        <v>17746504</v>
      </c>
      <c r="B336" s="8" t="s">
        <v>146</v>
      </c>
      <c r="C336" s="8" t="s">
        <v>21</v>
      </c>
      <c r="D336" s="8" t="s">
        <v>440</v>
      </c>
      <c r="E336" s="8" t="s">
        <v>22</v>
      </c>
      <c r="F336" s="8" t="s">
        <v>147</v>
      </c>
      <c r="G336" s="12" t="s">
        <v>441</v>
      </c>
      <c r="H336" s="7">
        <v>2.7022719565954572</v>
      </c>
      <c r="I336" s="1">
        <v>1</v>
      </c>
      <c r="J336" s="1">
        <f t="shared" si="35"/>
        <v>0</v>
      </c>
      <c r="K336" s="5">
        <f t="shared" si="36"/>
        <v>0.37005897854184955</v>
      </c>
      <c r="L336" s="2">
        <v>3485404.9269315852</v>
      </c>
      <c r="M336" s="2">
        <v>1364000</v>
      </c>
      <c r="N336" s="6">
        <f t="shared" si="37"/>
        <v>1</v>
      </c>
      <c r="O336" s="9">
        <f t="shared" si="38"/>
        <v>0.39134620756986549</v>
      </c>
      <c r="P336" s="10">
        <v>1</v>
      </c>
      <c r="Q336" s="1">
        <f t="shared" si="39"/>
        <v>0</v>
      </c>
      <c r="R336" s="10">
        <v>5</v>
      </c>
      <c r="S336" s="10">
        <v>1</v>
      </c>
      <c r="T336" s="10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8">
        <v>17210724</v>
      </c>
      <c r="B337" s="8" t="s">
        <v>300</v>
      </c>
      <c r="C337" s="8" t="s">
        <v>25</v>
      </c>
      <c r="D337" s="8" t="s">
        <v>442</v>
      </c>
      <c r="E337" s="8" t="s">
        <v>22</v>
      </c>
      <c r="F337" s="8" t="s">
        <v>94</v>
      </c>
      <c r="G337" s="12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9">
        <f t="shared" si="38"/>
        <v>0.14876037207963561</v>
      </c>
      <c r="P337" s="10">
        <v>0</v>
      </c>
      <c r="Q337" s="1">
        <f t="shared" si="39"/>
        <v>0</v>
      </c>
      <c r="R337" s="10">
        <v>7</v>
      </c>
      <c r="S337" s="10">
        <v>0</v>
      </c>
      <c r="T337" s="10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8">
        <v>17227713</v>
      </c>
      <c r="B338" s="8" t="s">
        <v>93</v>
      </c>
      <c r="C338" s="8" t="s">
        <v>25</v>
      </c>
      <c r="D338" s="8" t="s">
        <v>442</v>
      </c>
      <c r="E338" s="8" t="s">
        <v>26</v>
      </c>
      <c r="F338" s="8" t="s">
        <v>94</v>
      </c>
      <c r="G338" s="12" t="s">
        <v>443</v>
      </c>
      <c r="H338" s="7">
        <v>4.9582725415815601</v>
      </c>
      <c r="I338" s="1">
        <v>13</v>
      </c>
      <c r="J338" s="1">
        <f t="shared" si="35"/>
        <v>1</v>
      </c>
      <c r="K338" s="5">
        <f t="shared" si="36"/>
        <v>2.6218808851224096</v>
      </c>
      <c r="L338" s="2">
        <v>1065113.5078454011</v>
      </c>
      <c r="M338" s="2">
        <v>1586500</v>
      </c>
      <c r="N338" s="6">
        <f t="shared" si="37"/>
        <v>1</v>
      </c>
      <c r="O338" s="9">
        <f t="shared" si="38"/>
        <v>1.489512609045117</v>
      </c>
      <c r="P338" s="10">
        <v>0</v>
      </c>
      <c r="Q338" s="1">
        <f t="shared" si="39"/>
        <v>0</v>
      </c>
      <c r="R338" s="10">
        <v>7</v>
      </c>
      <c r="S338" s="10">
        <v>0</v>
      </c>
      <c r="T338" s="10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I6:Z6 T7:Z328 I7:I338 M7:M338 S7:S338 P7:P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2026-08-27T08:25:34Z</dcterms:modified>
</cp:coreProperties>
</file>