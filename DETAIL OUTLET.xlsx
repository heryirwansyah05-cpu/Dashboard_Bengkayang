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<sst xmlns="http://schemas.openxmlformats.org/spreadsheetml/2006/main" count="2058" uniqueCount="480">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</sst>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G6" activePane="bottomRight" state="frozen"/>
      <selection pane="topRight" activeCell="D1" sqref="D1"/>
      <selection pane="bottomLeft" activeCell="A6" sqref="A6"/>
      <selection pane="bottomRight" activeCell="I6" sqref="I6:I338"/>
    </sheetView>
  </sheetViews>
  <sheetFormatPr defaultRowHeight="14.5"/>
  <cols>
    <col min="1" max="1" width="24.26953125" bestFit="1" customWidth="1"/>
    <col min="2" max="2" width="28.08984375" bestFit="1" customWidth="1"/>
    <col min="3" max="3" width="22.26953125" bestFit="1" customWidth="1"/>
    <col min="4" max="4" width="38.90625" bestFit="1" customWidth="1"/>
    <col min="5" max="5" width="18.81640625" bestFit="1" customWidth="1"/>
    <col min="6" max="6" width="20.26953125" bestFit="1" customWidth="1"/>
    <col min="7" max="7" width="30.1796875" bestFit="1" customWidth="1"/>
    <col min="8" max="8" width="28.08984375" bestFit="1" customWidth="1"/>
    <col min="9" max="9" width="26.1796875" bestFit="1" customWidth="1"/>
    <col min="10" max="11" width="22.26953125" bestFit="1" customWidth="1"/>
    <col min="12" max="12" width="26.1796875" bestFit="1" customWidth="1"/>
    <col min="13" max="13" width="22.26953125" bestFit="1" customWidth="1"/>
    <col min="14" max="14" width="28.08984375" bestFit="1" customWidth="1"/>
    <col min="15" max="15" width="24.26953125" bestFit="1" customWidth="1"/>
    <col min="16" max="16" width="26.1796875" bestFit="1" customWidth="1"/>
    <col min="17" max="17" width="30.1796875" bestFit="1" customWidth="1"/>
    <col min="18" max="20" width="24.26953125" bestFit="1" customWidth="1"/>
    <col min="21" max="21" width="18.26953125" bestFit="1" customWidth="1"/>
    <col min="22" max="22" width="20.26953125" bestFit="1" customWidth="1"/>
    <col min="23" max="23" width="16.36328125" bestFit="1" customWidth="1"/>
    <col min="24" max="26" width="18.269531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v>1</v>
      </c>
      <c r="Q8" s="1">
        <f t="shared" si="4"/>
        <v>0</v>
      </c>
      <c r="R8" s="18">
        <v>6</v>
      </c>
      <c r="S8" s="18">
        <v>1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v>1</v>
      </c>
      <c r="Q11" s="1">
        <f t="shared" si="4"/>
        <v>0</v>
      </c>
      <c r="R11" s="18">
        <v>9</v>
      </c>
      <c r="S11" s="18">
        <v>1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v>1</v>
      </c>
      <c r="Q12" s="1">
        <f t="shared" si="4"/>
        <v>0</v>
      </c>
      <c r="R12" s="18">
        <v>10</v>
      </c>
      <c r="S12" s="18">
        <v>1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v>1</v>
      </c>
      <c r="Q13" s="1">
        <f t="shared" si="4"/>
        <v>0</v>
      </c>
      <c r="R13" s="18">
        <v>9</v>
      </c>
      <c r="S13" s="18">
        <v>1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v>2</v>
      </c>
      <c r="Q14" s="1">
        <f t="shared" si="4"/>
        <v>0</v>
      </c>
      <c r="R14" s="18">
        <v>8</v>
      </c>
      <c r="S14" s="18">
        <v>2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17">
        <f t="shared" si="3"/>
        <v>0.13078525898343682</v>
      </c>
      <c r="P29" s="18"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v>1</v>
      </c>
      <c r="Q32" s="1">
        <f t="shared" si="4"/>
        <v>0</v>
      </c>
      <c r="R32" s="18">
        <v>13</v>
      </c>
      <c r="S32" s="18">
        <v>1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v>101</v>
      </c>
      <c r="Q35" s="1">
        <f t="shared" si="4"/>
        <v>1</v>
      </c>
      <c r="R35" s="18">
        <v>7</v>
      </c>
      <c r="S35" s="18">
        <v>101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v>1</v>
      </c>
      <c r="Q38" s="1">
        <f t="shared" si="4"/>
        <v>0</v>
      </c>
      <c r="R38" s="18">
        <v>12</v>
      </c>
      <c r="S38" s="18">
        <v>1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v>1</v>
      </c>
      <c r="Q39" s="1">
        <f t="shared" si="4"/>
        <v>0</v>
      </c>
      <c r="R39" s="18">
        <v>11</v>
      </c>
      <c r="S39" s="18">
        <v>1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v>101</v>
      </c>
      <c r="Q44" s="1">
        <f t="shared" si="4"/>
        <v>1</v>
      </c>
      <c r="R44" s="18">
        <v>9</v>
      </c>
      <c r="S44" s="18">
        <v>101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v>1</v>
      </c>
      <c r="Q46" s="1">
        <f t="shared" si="4"/>
        <v>0</v>
      </c>
      <c r="R46" s="18">
        <v>8</v>
      </c>
      <c r="S46" s="18">
        <v>1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v>1</v>
      </c>
      <c r="Q47" s="1">
        <f t="shared" si="4"/>
        <v>0</v>
      </c>
      <c r="R47" s="18">
        <v>8</v>
      </c>
      <c r="S47" s="18">
        <v>1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16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v>1</v>
      </c>
      <c r="Q48" s="1">
        <f t="shared" si="4"/>
        <v>0</v>
      </c>
      <c r="R48" s="18">
        <v>5</v>
      </c>
      <c r="S48" s="18">
        <v>1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v>5</v>
      </c>
      <c r="Q49" s="1">
        <f t="shared" si="4"/>
        <v>1</v>
      </c>
      <c r="R49" s="18">
        <v>22</v>
      </c>
      <c r="S49" s="18">
        <v>5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0</v>
      </c>
      <c r="J50" s="1">
        <f t="shared" si="0"/>
        <v>0</v>
      </c>
      <c r="K50" s="5">
        <f t="shared" si="1"/>
        <v>0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v>1</v>
      </c>
      <c r="Q50" s="1">
        <f t="shared" si="4"/>
        <v>0</v>
      </c>
      <c r="R50" s="18">
        <v>9</v>
      </c>
      <c r="S50" s="18">
        <v>1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0</v>
      </c>
      <c r="J51" s="4">
        <f t="shared" si="0"/>
        <v>0</v>
      </c>
      <c r="K51" s="5">
        <f t="shared" si="1"/>
        <v>0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3</v>
      </c>
      <c r="J52" s="4">
        <f t="shared" si="0"/>
        <v>1</v>
      </c>
      <c r="K52" s="5">
        <f t="shared" si="1"/>
        <v>0.6</v>
      </c>
      <c r="L52" s="2">
        <v>1129393.7903485449</v>
      </c>
      <c r="M52" s="2">
        <v>1715000</v>
      </c>
      <c r="N52" s="6">
        <f t="shared" si="2"/>
        <v>1</v>
      </c>
      <c r="O52" s="17">
        <f t="shared" si="3"/>
        <v>1.518513750169221</v>
      </c>
      <c r="P52" s="18">
        <v>5</v>
      </c>
      <c r="Q52" s="1">
        <f t="shared" si="4"/>
        <v>1</v>
      </c>
      <c r="R52" s="18">
        <v>7</v>
      </c>
      <c r="S52" s="18">
        <v>5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17">
        <f t="shared" si="3"/>
        <v>0.16160675363612739</v>
      </c>
      <c r="P53" s="18"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17">
        <f t="shared" si="3"/>
        <v>0.46499417056066999</v>
      </c>
      <c r="P54" s="18">
        <v>1</v>
      </c>
      <c r="Q54" s="1">
        <f t="shared" si="4"/>
        <v>0</v>
      </c>
      <c r="R54" s="18">
        <v>7</v>
      </c>
      <c r="S54" s="18">
        <v>2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8</v>
      </c>
      <c r="J55" s="1">
        <f t="shared" si="0"/>
        <v>1</v>
      </c>
      <c r="K55" s="5">
        <f t="shared" si="1"/>
        <v>1.7210295040803514</v>
      </c>
      <c r="L55" s="2">
        <v>3846582.3800694668</v>
      </c>
      <c r="M55" s="2">
        <v>2279500</v>
      </c>
      <c r="N55" s="6">
        <f t="shared" si="2"/>
        <v>1</v>
      </c>
      <c r="O55" s="17">
        <f t="shared" si="3"/>
        <v>0.59260397276577592</v>
      </c>
      <c r="P55" s="18">
        <v>2</v>
      </c>
      <c r="Q55" s="1">
        <f t="shared" si="4"/>
        <v>0</v>
      </c>
      <c r="R55" s="18">
        <v>7</v>
      </c>
      <c r="S55" s="18">
        <v>2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16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v>2</v>
      </c>
      <c r="Q56" s="1">
        <f t="shared" si="4"/>
        <v>0</v>
      </c>
      <c r="R56" s="18">
        <v>5</v>
      </c>
      <c r="S56" s="18">
        <v>2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2279500</v>
      </c>
      <c r="N57" s="6">
        <f t="shared" si="2"/>
        <v>1</v>
      </c>
      <c r="O57" s="17">
        <f t="shared" si="3"/>
        <v>0.15036188777431847</v>
      </c>
      <c r="P57" s="18">
        <v>1</v>
      </c>
      <c r="Q57" s="1">
        <f t="shared" si="4"/>
        <v>0</v>
      </c>
      <c r="R57" s="18">
        <v>9</v>
      </c>
      <c r="S57" s="18">
        <v>1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1217500</v>
      </c>
      <c r="N58" s="6">
        <f t="shared" si="2"/>
        <v>1</v>
      </c>
      <c r="O58" s="17">
        <f t="shared" si="3"/>
        <v>0.64296369741707282</v>
      </c>
      <c r="P58" s="18">
        <v>2</v>
      </c>
      <c r="Q58" s="1">
        <f t="shared" si="4"/>
        <v>0</v>
      </c>
      <c r="R58" s="18">
        <v>11</v>
      </c>
      <c r="S58" s="18">
        <v>3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1389000</v>
      </c>
      <c r="N59" s="6">
        <f t="shared" si="2"/>
        <v>1</v>
      </c>
      <c r="O59" s="17">
        <f t="shared" si="3"/>
        <v>0.26083486080709689</v>
      </c>
      <c r="P59" s="18">
        <v>2</v>
      </c>
      <c r="Q59" s="1">
        <f t="shared" si="4"/>
        <v>0</v>
      </c>
      <c r="R59" s="18">
        <v>8</v>
      </c>
      <c r="S59" s="18">
        <v>2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1503000</v>
      </c>
      <c r="N60" s="6">
        <f t="shared" si="2"/>
        <v>1</v>
      </c>
      <c r="O60" s="17">
        <f t="shared" si="3"/>
        <v>0.79418854660641769</v>
      </c>
      <c r="P60" s="18">
        <v>1</v>
      </c>
      <c r="Q60" s="1">
        <f t="shared" si="4"/>
        <v>0</v>
      </c>
      <c r="R60" s="18">
        <v>7</v>
      </c>
      <c r="S60" s="18">
        <v>1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5</v>
      </c>
      <c r="J61" s="1">
        <f t="shared" si="0"/>
        <v>1</v>
      </c>
      <c r="K61" s="5">
        <f t="shared" si="1"/>
        <v>0.50420786252354188</v>
      </c>
      <c r="L61" s="2">
        <v>1708993.6560472909</v>
      </c>
      <c r="M61" s="2">
        <v>1302500</v>
      </c>
      <c r="N61" s="6">
        <f t="shared" si="2"/>
        <v>1</v>
      </c>
      <c r="O61" s="17">
        <f t="shared" si="3"/>
        <v>0.76214443242143759</v>
      </c>
      <c r="P61" s="18">
        <v>1</v>
      </c>
      <c r="Q61" s="1">
        <f t="shared" si="4"/>
        <v>0</v>
      </c>
      <c r="R61" s="18">
        <v>12</v>
      </c>
      <c r="S61" s="18">
        <v>1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3</v>
      </c>
      <c r="J62" s="1">
        <f t="shared" si="0"/>
        <v>1</v>
      </c>
      <c r="K62" s="5">
        <f t="shared" si="1"/>
        <v>0.46099004573580871</v>
      </c>
      <c r="L62" s="2">
        <v>8778029.1927757934</v>
      </c>
      <c r="M62" s="2">
        <v>1242500</v>
      </c>
      <c r="N62" s="6">
        <f t="shared" si="2"/>
        <v>1</v>
      </c>
      <c r="O62" s="17">
        <f t="shared" si="3"/>
        <v>0.14154657870385778</v>
      </c>
      <c r="P62" s="18">
        <v>1</v>
      </c>
      <c r="Q62" s="1">
        <f t="shared" si="4"/>
        <v>0</v>
      </c>
      <c r="R62" s="18">
        <v>9</v>
      </c>
      <c r="S62" s="18">
        <v>1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0</v>
      </c>
      <c r="J63" s="4">
        <f t="shared" si="0"/>
        <v>0</v>
      </c>
      <c r="K63" s="5">
        <f t="shared" si="1"/>
        <v>0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6</v>
      </c>
      <c r="J64" s="4">
        <f t="shared" si="0"/>
        <v>1</v>
      </c>
      <c r="K64" s="5">
        <f t="shared" si="1"/>
        <v>1.2100988700564967</v>
      </c>
      <c r="L64" s="2">
        <v>4394401.2122401176</v>
      </c>
      <c r="M64" s="2">
        <v>3822500</v>
      </c>
      <c r="N64" s="6">
        <f t="shared" si="2"/>
        <v>1</v>
      </c>
      <c r="O64" s="17">
        <f t="shared" si="3"/>
        <v>0.86985685088399523</v>
      </c>
      <c r="P64" s="18">
        <v>3</v>
      </c>
      <c r="Q64" s="1">
        <f t="shared" si="4"/>
        <v>1</v>
      </c>
      <c r="R64" s="18">
        <v>7</v>
      </c>
      <c r="S64" s="18">
        <v>3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0</v>
      </c>
      <c r="J65" s="4">
        <f t="shared" si="0"/>
        <v>0</v>
      </c>
      <c r="K65" s="5">
        <f t="shared" si="1"/>
        <v>0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v>3</v>
      </c>
      <c r="Q65" s="1">
        <f t="shared" si="4"/>
        <v>1</v>
      </c>
      <c r="R65" s="18">
        <v>6</v>
      </c>
      <c r="S65" s="18">
        <v>3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4228000</v>
      </c>
      <c r="N66" s="6">
        <f t="shared" si="2"/>
        <v>1</v>
      </c>
      <c r="O66" s="17">
        <f t="shared" si="3"/>
        <v>0.88998608485267983</v>
      </c>
      <c r="P66" s="18"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6</v>
      </c>
      <c r="J67" s="4">
        <f t="shared" si="0"/>
        <v>1</v>
      </c>
      <c r="K67" s="5">
        <f t="shared" si="1"/>
        <v>0.27272727272727271</v>
      </c>
      <c r="L67" s="2">
        <v>12700562.85636154</v>
      </c>
      <c r="M67" s="2">
        <v>1136500</v>
      </c>
      <c r="N67" s="6">
        <f t="shared" si="2"/>
        <v>1</v>
      </c>
      <c r="O67" s="17">
        <f t="shared" si="3"/>
        <v>8.9484223089431228E-2</v>
      </c>
      <c r="P67" s="18"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6</v>
      </c>
      <c r="J68" s="1">
        <f t="shared" si="0"/>
        <v>1</v>
      </c>
      <c r="K68" s="5">
        <f t="shared" si="1"/>
        <v>0.71709562670014904</v>
      </c>
      <c r="L68" s="2">
        <v>11418548.28353346</v>
      </c>
      <c r="M68" s="2">
        <v>4110500</v>
      </c>
      <c r="N68" s="6">
        <f t="shared" si="2"/>
        <v>1</v>
      </c>
      <c r="O68" s="17">
        <f t="shared" si="3"/>
        <v>0.35998446544449952</v>
      </c>
      <c r="P68" s="18">
        <v>5</v>
      </c>
      <c r="Q68" s="1">
        <f t="shared" si="4"/>
        <v>1</v>
      </c>
      <c r="R68" s="18">
        <v>11</v>
      </c>
      <c r="S68" s="18">
        <v>5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6</v>
      </c>
      <c r="J69" s="1">
        <f t="shared" si="0"/>
        <v>1</v>
      </c>
      <c r="K69" s="5">
        <f t="shared" si="1"/>
        <v>0.88007190549563463</v>
      </c>
      <c r="L69" s="2">
        <v>8134149.0445738966</v>
      </c>
      <c r="M69" s="2">
        <v>1616500</v>
      </c>
      <c r="N69" s="6">
        <f t="shared" si="2"/>
        <v>1</v>
      </c>
      <c r="O69" s="17">
        <f t="shared" si="3"/>
        <v>0.19873006889126649</v>
      </c>
      <c r="P69" s="18"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6</v>
      </c>
      <c r="J70" s="4">
        <f t="shared" ref="J70:J91" si="5">IF(I70&gt;=3,1,0)</f>
        <v>1</v>
      </c>
      <c r="K70" s="5">
        <f t="shared" ref="K70:K91" si="6">I70/H70</f>
        <v>0.88007190549563463</v>
      </c>
      <c r="L70" s="2">
        <v>2473533.999338889</v>
      </c>
      <c r="M70" s="2">
        <v>4100500</v>
      </c>
      <c r="N70" s="6">
        <f t="shared" ref="N70:N91" si="7">IF(M70&gt;=300000,1,0)</f>
        <v>1</v>
      </c>
      <c r="O70" s="17">
        <f t="shared" ref="O70:O91" si="8">M70/L70</f>
        <v>1.6577496008124233</v>
      </c>
      <c r="P70" s="18">
        <v>0</v>
      </c>
      <c r="Q70" s="1">
        <f t="shared" ref="Q70:Q91" si="9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6</v>
      </c>
      <c r="J71" s="1">
        <f t="shared" si="5"/>
        <v>1</v>
      </c>
      <c r="K71" s="5">
        <f t="shared" si="6"/>
        <v>0.92198009147161741</v>
      </c>
      <c r="L71" s="2">
        <v>2241909.517693473</v>
      </c>
      <c r="M71" s="2">
        <v>1699500</v>
      </c>
      <c r="N71" s="6">
        <f t="shared" si="7"/>
        <v>1</v>
      </c>
      <c r="O71" s="17">
        <f t="shared" si="8"/>
        <v>0.75805913958047866</v>
      </c>
      <c r="P71" s="18">
        <v>0</v>
      </c>
      <c r="Q71" s="1">
        <f t="shared" si="9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63</v>
      </c>
      <c r="J72" s="1">
        <f t="shared" si="5"/>
        <v>1</v>
      </c>
      <c r="K72" s="5">
        <f t="shared" si="6"/>
        <v>13.553107344632767</v>
      </c>
      <c r="L72" s="2">
        <v>13704268.94349164</v>
      </c>
      <c r="M72" s="2">
        <v>7256500</v>
      </c>
      <c r="N72" s="6">
        <f t="shared" si="7"/>
        <v>1</v>
      </c>
      <c r="O72" s="17">
        <f t="shared" si="8"/>
        <v>0.52950653770161304</v>
      </c>
      <c r="P72" s="18">
        <v>0</v>
      </c>
      <c r="Q72" s="1">
        <f t="shared" si="9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6</v>
      </c>
      <c r="J73" s="1">
        <f t="shared" si="5"/>
        <v>1</v>
      </c>
      <c r="K73" s="5">
        <f t="shared" si="6"/>
        <v>1.5</v>
      </c>
      <c r="L73" s="2">
        <v>8662935.1674000528</v>
      </c>
      <c r="M73" s="2">
        <v>1200500</v>
      </c>
      <c r="N73" s="6">
        <f t="shared" si="7"/>
        <v>1</v>
      </c>
      <c r="O73" s="17">
        <f t="shared" si="8"/>
        <v>0.13857889696758494</v>
      </c>
      <c r="P73" s="18">
        <v>2</v>
      </c>
      <c r="Q73" s="1">
        <f t="shared" si="9"/>
        <v>0</v>
      </c>
      <c r="R73" s="18">
        <v>6</v>
      </c>
      <c r="S73" s="18">
        <v>2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6</v>
      </c>
      <c r="J74" s="4">
        <f t="shared" si="5"/>
        <v>1</v>
      </c>
      <c r="K74" s="5">
        <f t="shared" si="6"/>
        <v>1.5</v>
      </c>
      <c r="L74" s="2">
        <v>5655946.6448297696</v>
      </c>
      <c r="M74" s="2">
        <v>1300500</v>
      </c>
      <c r="N74" s="6">
        <f t="shared" si="7"/>
        <v>1</v>
      </c>
      <c r="O74" s="17">
        <f t="shared" si="8"/>
        <v>0.22993498377301999</v>
      </c>
      <c r="P74" s="18">
        <v>2</v>
      </c>
      <c r="Q74" s="1">
        <f t="shared" si="9"/>
        <v>0</v>
      </c>
      <c r="R74" s="18">
        <v>6</v>
      </c>
      <c r="S74" s="18">
        <v>2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17">
        <f t="shared" si="8"/>
        <v>0.25586167312220837</v>
      </c>
      <c r="P75" s="18">
        <v>0</v>
      </c>
      <c r="Q75" s="1">
        <f t="shared" si="9"/>
        <v>0</v>
      </c>
      <c r="R75" s="18">
        <v>7</v>
      </c>
      <c r="S75" s="18">
        <v>0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3</v>
      </c>
      <c r="J76" s="1">
        <f t="shared" si="5"/>
        <v>1</v>
      </c>
      <c r="K76" s="5">
        <f t="shared" si="6"/>
        <v>0.28472914589564619</v>
      </c>
      <c r="L76" s="2">
        <v>3680495.057959374</v>
      </c>
      <c r="M76" s="2">
        <v>1344000</v>
      </c>
      <c r="N76" s="6">
        <f t="shared" si="7"/>
        <v>1</v>
      </c>
      <c r="O76" s="17">
        <f t="shared" si="8"/>
        <v>0.36516826645195166</v>
      </c>
      <c r="P76" s="18">
        <v>8</v>
      </c>
      <c r="Q76" s="1">
        <f t="shared" si="9"/>
        <v>1</v>
      </c>
      <c r="R76" s="18">
        <v>13</v>
      </c>
      <c r="S76" s="18">
        <v>8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3</v>
      </c>
      <c r="J77" s="1">
        <f t="shared" si="5"/>
        <v>1</v>
      </c>
      <c r="K77" s="5">
        <f t="shared" si="6"/>
        <v>0.40336629001883245</v>
      </c>
      <c r="L77" s="2">
        <v>16163438.633891329</v>
      </c>
      <c r="M77" s="2">
        <v>1489000</v>
      </c>
      <c r="N77" s="6">
        <f t="shared" si="7"/>
        <v>1</v>
      </c>
      <c r="O77" s="17">
        <f t="shared" si="8"/>
        <v>9.2121486877048575E-2</v>
      </c>
      <c r="P77" s="18">
        <v>0</v>
      </c>
      <c r="Q77" s="1">
        <f t="shared" si="9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3</v>
      </c>
      <c r="J78" s="1">
        <f t="shared" si="5"/>
        <v>1</v>
      </c>
      <c r="K78" s="5">
        <f t="shared" si="6"/>
        <v>0.50951531370799918</v>
      </c>
      <c r="L78" s="2">
        <v>5493091.2922310065</v>
      </c>
      <c r="M78" s="2">
        <v>1869000</v>
      </c>
      <c r="N78" s="6">
        <f t="shared" si="7"/>
        <v>1</v>
      </c>
      <c r="O78" s="17">
        <f t="shared" si="8"/>
        <v>0.34024557404377487</v>
      </c>
      <c r="P78" s="18">
        <v>6</v>
      </c>
      <c r="Q78" s="1">
        <f t="shared" si="9"/>
        <v>1</v>
      </c>
      <c r="R78" s="18">
        <v>8</v>
      </c>
      <c r="S78" s="18">
        <v>6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3</v>
      </c>
      <c r="J79" s="1">
        <f t="shared" si="5"/>
        <v>1</v>
      </c>
      <c r="K79" s="5">
        <f t="shared" si="6"/>
        <v>0.50951531370799918</v>
      </c>
      <c r="L79" s="2">
        <v>4970050.8929805709</v>
      </c>
      <c r="M79" s="2">
        <v>1489000</v>
      </c>
      <c r="N79" s="6">
        <f t="shared" si="7"/>
        <v>1</v>
      </c>
      <c r="O79" s="17">
        <f t="shared" si="8"/>
        <v>0.29959451765433276</v>
      </c>
      <c r="P79" s="18">
        <v>0</v>
      </c>
      <c r="Q79" s="1">
        <f t="shared" si="9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3</v>
      </c>
      <c r="J80" s="4">
        <f t="shared" si="5"/>
        <v>1</v>
      </c>
      <c r="K80" s="5">
        <f t="shared" si="6"/>
        <v>0.56945829179129259</v>
      </c>
      <c r="L80" s="2">
        <v>24528493.944663569</v>
      </c>
      <c r="M80" s="2">
        <v>649000</v>
      </c>
      <c r="N80" s="6">
        <f t="shared" si="7"/>
        <v>1</v>
      </c>
      <c r="O80" s="17">
        <f t="shared" si="8"/>
        <v>2.6459023593708931E-2</v>
      </c>
      <c r="P80" s="18">
        <v>0</v>
      </c>
      <c r="Q80" s="1">
        <f t="shared" si="9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3</v>
      </c>
      <c r="J81" s="1">
        <f t="shared" si="5"/>
        <v>1</v>
      </c>
      <c r="K81" s="5">
        <f t="shared" si="6"/>
        <v>0.6</v>
      </c>
      <c r="L81" s="2">
        <v>8652341.4895573519</v>
      </c>
      <c r="M81" s="2">
        <v>1069000</v>
      </c>
      <c r="N81" s="6">
        <f t="shared" si="7"/>
        <v>1</v>
      </c>
      <c r="O81" s="17">
        <f t="shared" si="8"/>
        <v>0.12355037087824065</v>
      </c>
      <c r="P81" s="18">
        <v>0</v>
      </c>
      <c r="Q81" s="1">
        <f t="shared" si="9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3</v>
      </c>
      <c r="J82" s="1">
        <f t="shared" si="5"/>
        <v>1</v>
      </c>
      <c r="K82" s="5">
        <f t="shared" si="6"/>
        <v>0.60504943502824837</v>
      </c>
      <c r="L82" s="2">
        <v>2520936.2188384128</v>
      </c>
      <c r="M82" s="2">
        <v>1235000</v>
      </c>
      <c r="N82" s="6">
        <f t="shared" si="7"/>
        <v>1</v>
      </c>
      <c r="O82" s="17">
        <f t="shared" si="8"/>
        <v>0.48989736065954836</v>
      </c>
      <c r="P82" s="18">
        <v>0</v>
      </c>
      <c r="Q82" s="1">
        <f t="shared" si="9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17">
        <f t="shared" si="8"/>
        <v>0</v>
      </c>
      <c r="P83" s="18">
        <v>0</v>
      </c>
      <c r="Q83" s="1">
        <f t="shared" si="9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10</v>
      </c>
      <c r="J84" s="4">
        <f t="shared" si="5"/>
        <v>1</v>
      </c>
      <c r="K84" s="5">
        <f t="shared" si="6"/>
        <v>0.94909715298548725</v>
      </c>
      <c r="L84" s="2">
        <v>8061250.1767072026</v>
      </c>
      <c r="M84" s="2">
        <v>1459000</v>
      </c>
      <c r="N84" s="6">
        <f t="shared" si="7"/>
        <v>1</v>
      </c>
      <c r="O84" s="17">
        <f t="shared" si="8"/>
        <v>0.18098929669938132</v>
      </c>
      <c r="P84" s="18">
        <v>7</v>
      </c>
      <c r="Q84" s="1">
        <f t="shared" si="9"/>
        <v>1</v>
      </c>
      <c r="R84" s="18">
        <v>13</v>
      </c>
      <c r="S84" s="18">
        <v>7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3</v>
      </c>
      <c r="J85" s="1">
        <f t="shared" si="5"/>
        <v>1</v>
      </c>
      <c r="K85" s="5">
        <f t="shared" si="6"/>
        <v>0.53782172002510964</v>
      </c>
      <c r="L85" s="2">
        <v>7224888.2887193644</v>
      </c>
      <c r="M85" s="2">
        <v>1069000</v>
      </c>
      <c r="N85" s="6">
        <f t="shared" si="7"/>
        <v>1</v>
      </c>
      <c r="O85" s="17">
        <f t="shared" si="8"/>
        <v>0.14796076524381579</v>
      </c>
      <c r="P85" s="18">
        <v>0</v>
      </c>
      <c r="Q85" s="1">
        <f t="shared" si="9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0</v>
      </c>
      <c r="N86" s="6">
        <f t="shared" si="7"/>
        <v>0</v>
      </c>
      <c r="O86" s="17">
        <f t="shared" si="8"/>
        <v>0</v>
      </c>
      <c r="P86" s="18">
        <v>0</v>
      </c>
      <c r="Q86" s="1">
        <f t="shared" si="9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17">
        <f t="shared" si="8"/>
        <v>0</v>
      </c>
      <c r="P87" s="18">
        <v>0</v>
      </c>
      <c r="Q87" s="1">
        <f t="shared" si="9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17">
        <f t="shared" si="8"/>
        <v>0</v>
      </c>
      <c r="P88" s="18">
        <v>0</v>
      </c>
      <c r="Q88" s="1">
        <f t="shared" si="9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17">
        <f t="shared" si="8"/>
        <v>0</v>
      </c>
      <c r="P89" s="18">
        <v>0</v>
      </c>
      <c r="Q89" s="1">
        <f t="shared" si="9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16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17">
        <f t="shared" si="8"/>
        <v>0</v>
      </c>
      <c r="P90" s="18">
        <v>2</v>
      </c>
      <c r="Q90" s="1">
        <f t="shared" si="9"/>
        <v>0</v>
      </c>
      <c r="R90" s="18">
        <v>5</v>
      </c>
      <c r="S90" s="18">
        <v>1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17">
        <f t="shared" si="8"/>
        <v>0</v>
      </c>
      <c r="P91" s="18">
        <v>0</v>
      </c>
      <c r="Q91" s="1">
        <f t="shared" si="9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17611702</v>
      </c>
      <c r="B92" s="16" t="s">
        <v>34</v>
      </c>
      <c r="C92" s="16" t="s">
        <v>35</v>
      </c>
      <c r="D92" s="16" t="s">
        <v>442</v>
      </c>
      <c r="E92" s="16" t="s">
        <v>26</v>
      </c>
      <c r="F92" s="16" t="s">
        <v>36</v>
      </c>
      <c r="G92" s="21" t="s">
        <v>441</v>
      </c>
      <c r="H92" s="7">
        <v>7.2753475754493193</v>
      </c>
      <c r="I92" s="1">
        <v>0</v>
      </c>
      <c r="J92" s="4">
        <f t="shared" ref="J92:J155" si="10">IF(I92&gt;=3,1,0)</f>
        <v>0</v>
      </c>
      <c r="K92" s="5">
        <f t="shared" ref="K92:K155" si="11">I92/H92</f>
        <v>0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17">
        <f t="shared" ref="O92:O155" si="13">M92/L92</f>
        <v>1.143072283124726</v>
      </c>
      <c r="P92" s="18">
        <v>3</v>
      </c>
      <c r="Q92" s="1">
        <f t="shared" ref="Q92:Q155" si="14">IF(P92&gt;=3,1,0)</f>
        <v>1</v>
      </c>
      <c r="R92" s="18">
        <v>10</v>
      </c>
      <c r="S92" s="18">
        <v>3</v>
      </c>
      <c r="T92" s="18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619500</v>
      </c>
      <c r="N93" s="6">
        <f t="shared" si="12"/>
        <v>1</v>
      </c>
      <c r="O93" s="17">
        <f t="shared" si="13"/>
        <v>0.50222218396862961</v>
      </c>
      <c r="P93" s="18">
        <v>1</v>
      </c>
      <c r="Q93" s="1">
        <f t="shared" si="14"/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619500</v>
      </c>
      <c r="N94" s="6">
        <f t="shared" si="12"/>
        <v>1</v>
      </c>
      <c r="O94" s="17">
        <f t="shared" si="13"/>
        <v>0.50222218396862961</v>
      </c>
      <c r="P94" s="18">
        <v>0</v>
      </c>
      <c r="Q94" s="1">
        <f t="shared" si="14"/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1642000</v>
      </c>
      <c r="N95" s="6">
        <f t="shared" si="12"/>
        <v>1</v>
      </c>
      <c r="O95" s="17">
        <f t="shared" si="13"/>
        <v>1.3311522616246809</v>
      </c>
      <c r="P95" s="18">
        <v>0</v>
      </c>
      <c r="Q95" s="1">
        <f t="shared" si="14"/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787200</v>
      </c>
      <c r="N96" s="6">
        <f t="shared" si="12"/>
        <v>1</v>
      </c>
      <c r="O96" s="17">
        <f t="shared" si="13"/>
        <v>0.30876909179602213</v>
      </c>
      <c r="P96" s="18">
        <v>1</v>
      </c>
      <c r="Q96" s="1">
        <f t="shared" si="14"/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2026200</v>
      </c>
      <c r="N97" s="6">
        <f t="shared" si="12"/>
        <v>1</v>
      </c>
      <c r="O97" s="17">
        <f t="shared" si="13"/>
        <v>1.6426191915371062</v>
      </c>
      <c r="P97" s="18">
        <v>7</v>
      </c>
      <c r="Q97" s="1">
        <f t="shared" si="14"/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17">
        <f t="shared" si="13"/>
        <v>1.2778088884121936</v>
      </c>
      <c r="P98" s="18">
        <v>5</v>
      </c>
      <c r="Q98" s="1">
        <f t="shared" si="14"/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17754185</v>
      </c>
      <c r="B99" s="16" t="s">
        <v>37</v>
      </c>
      <c r="C99" s="16" t="s">
        <v>35</v>
      </c>
      <c r="D99" s="16" t="s">
        <v>440</v>
      </c>
      <c r="E99" s="16" t="s">
        <v>22</v>
      </c>
      <c r="F99" s="16" t="s">
        <v>38</v>
      </c>
      <c r="G99" s="21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17">
        <f t="shared" si="13"/>
        <v>9.7607999765740805E-2</v>
      </c>
      <c r="P99" s="18">
        <v>1</v>
      </c>
      <c r="Q99" s="1">
        <f t="shared" si="14"/>
        <v>0</v>
      </c>
      <c r="R99" s="18">
        <v>5</v>
      </c>
      <c r="S99" s="18">
        <v>4</v>
      </c>
      <c r="T99" s="18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17693220</v>
      </c>
      <c r="B100" s="16" t="s">
        <v>54</v>
      </c>
      <c r="C100" s="16" t="s">
        <v>35</v>
      </c>
      <c r="D100" s="16" t="s">
        <v>442</v>
      </c>
      <c r="E100" s="16" t="s">
        <v>26</v>
      </c>
      <c r="F100" s="16" t="s">
        <v>55</v>
      </c>
      <c r="G100" s="21" t="s">
        <v>441</v>
      </c>
      <c r="H100" s="7">
        <v>5</v>
      </c>
      <c r="I100" s="1">
        <v>0</v>
      </c>
      <c r="J100" s="1">
        <f t="shared" si="10"/>
        <v>0</v>
      </c>
      <c r="K100" s="5">
        <f t="shared" si="11"/>
        <v>0</v>
      </c>
      <c r="L100" s="2">
        <v>1233517.793070439</v>
      </c>
      <c r="M100" s="2">
        <v>634000</v>
      </c>
      <c r="N100" s="6">
        <f t="shared" si="12"/>
        <v>1</v>
      </c>
      <c r="O100" s="17">
        <f t="shared" si="13"/>
        <v>0.51397718262487679</v>
      </c>
      <c r="P100" s="18">
        <v>0</v>
      </c>
      <c r="Q100" s="1">
        <f t="shared" si="14"/>
        <v>0</v>
      </c>
      <c r="R100" s="18">
        <v>7</v>
      </c>
      <c r="S100" s="18">
        <v>1</v>
      </c>
      <c r="T100" s="18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17651452</v>
      </c>
      <c r="B101" s="16" t="s">
        <v>61</v>
      </c>
      <c r="C101" s="16" t="s">
        <v>35</v>
      </c>
      <c r="D101" s="16" t="s">
        <v>442</v>
      </c>
      <c r="E101" s="16" t="s">
        <v>22</v>
      </c>
      <c r="F101" s="16" t="s">
        <v>62</v>
      </c>
      <c r="G101" s="21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17">
        <f t="shared" si="13"/>
        <v>0.23509997312494363</v>
      </c>
      <c r="P101" s="18">
        <v>0</v>
      </c>
      <c r="Q101" s="1">
        <f t="shared" si="14"/>
        <v>0</v>
      </c>
      <c r="R101" s="18">
        <v>5</v>
      </c>
      <c r="S101" s="18">
        <v>0</v>
      </c>
      <c r="T101" s="18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16" t="s">
        <v>431</v>
      </c>
      <c r="B102" s="16" t="s">
        <v>447</v>
      </c>
      <c r="C102" s="16" t="s">
        <v>35</v>
      </c>
      <c r="D102" s="16" t="s">
        <v>440</v>
      </c>
      <c r="E102" s="16" t="s">
        <v>22</v>
      </c>
      <c r="F102" s="16" t="s">
        <v>105</v>
      </c>
      <c r="G102" s="21" t="s">
        <v>441</v>
      </c>
      <c r="H102" s="7">
        <v>5</v>
      </c>
      <c r="I102" s="1">
        <v>0</v>
      </c>
      <c r="J102" s="1">
        <f t="shared" si="10"/>
        <v>0</v>
      </c>
      <c r="K102" s="5">
        <f t="shared" si="11"/>
        <v>0</v>
      </c>
      <c r="L102" s="2">
        <v>29626053.564346101</v>
      </c>
      <c r="M102" s="2">
        <v>1260000</v>
      </c>
      <c r="N102" s="6">
        <f t="shared" si="12"/>
        <v>1</v>
      </c>
      <c r="O102" s="17">
        <f t="shared" si="13"/>
        <v>4.2530133055465921E-2</v>
      </c>
      <c r="P102" s="18">
        <v>0</v>
      </c>
      <c r="Q102" s="1">
        <f t="shared" si="14"/>
        <v>0</v>
      </c>
      <c r="R102" s="18">
        <v>7</v>
      </c>
      <c r="S102" s="18">
        <v>0</v>
      </c>
      <c r="T102" s="18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16">
        <v>17120321</v>
      </c>
      <c r="B103" s="16" t="s">
        <v>84</v>
      </c>
      <c r="C103" s="16" t="s">
        <v>35</v>
      </c>
      <c r="D103" s="16" t="s">
        <v>440</v>
      </c>
      <c r="E103" s="16" t="s">
        <v>22</v>
      </c>
      <c r="F103" s="16" t="s">
        <v>85</v>
      </c>
      <c r="G103" s="21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3770000</v>
      </c>
      <c r="N103" s="6">
        <f t="shared" si="12"/>
        <v>1</v>
      </c>
      <c r="O103" s="17">
        <f t="shared" si="13"/>
        <v>0.1272528584278623</v>
      </c>
      <c r="P103" s="18">
        <v>0</v>
      </c>
      <c r="Q103" s="1">
        <f t="shared" si="14"/>
        <v>0</v>
      </c>
      <c r="R103" s="18">
        <v>7</v>
      </c>
      <c r="S103" s="18">
        <v>0</v>
      </c>
      <c r="T103" s="18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361200</v>
      </c>
      <c r="N104" s="6">
        <f t="shared" si="12"/>
        <v>1</v>
      </c>
      <c r="O104" s="17">
        <f t="shared" si="13"/>
        <v>0.29282106997492979</v>
      </c>
      <c r="P104" s="18">
        <v>0</v>
      </c>
      <c r="Q104" s="1">
        <f t="shared" si="14"/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342800</v>
      </c>
      <c r="N105" s="6">
        <f t="shared" si="12"/>
        <v>1</v>
      </c>
      <c r="O105" s="17">
        <f t="shared" si="13"/>
        <v>0.27790438202493339</v>
      </c>
      <c r="P105" s="18">
        <v>0</v>
      </c>
      <c r="Q105" s="1">
        <f t="shared" si="14"/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3</v>
      </c>
      <c r="J106" s="1">
        <f t="shared" si="10"/>
        <v>1</v>
      </c>
      <c r="K106" s="5">
        <f t="shared" si="11"/>
        <v>0.6</v>
      </c>
      <c r="L106" s="2">
        <v>22463880</v>
      </c>
      <c r="M106" s="2">
        <v>361200</v>
      </c>
      <c r="N106" s="6">
        <f t="shared" si="12"/>
        <v>1</v>
      </c>
      <c r="O106" s="17">
        <f t="shared" si="13"/>
        <v>1.6079145721932274E-2</v>
      </c>
      <c r="P106" s="18">
        <v>0</v>
      </c>
      <c r="Q106" s="1">
        <f t="shared" si="14"/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781200</v>
      </c>
      <c r="N107" s="6">
        <f t="shared" si="12"/>
        <v>1</v>
      </c>
      <c r="O107" s="17">
        <f t="shared" si="13"/>
        <v>0.63331068622484821</v>
      </c>
      <c r="P107" s="18">
        <v>1</v>
      </c>
      <c r="Q107" s="1">
        <f t="shared" si="14"/>
        <v>0</v>
      </c>
      <c r="R107" s="18">
        <v>8</v>
      </c>
      <c r="S107" s="18">
        <v>1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632400</v>
      </c>
      <c r="N108" s="6">
        <f t="shared" si="12"/>
        <v>1</v>
      </c>
      <c r="O108" s="17">
        <f t="shared" si="13"/>
        <v>0.51268007932487714</v>
      </c>
      <c r="P108" s="18">
        <v>0</v>
      </c>
      <c r="Q108" s="1">
        <f t="shared" si="14"/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 t="shared" si="10"/>
        <v>1</v>
      </c>
      <c r="K109" s="5">
        <f t="shared" si="11"/>
        <v>0.51543929154043422</v>
      </c>
      <c r="L109" s="2">
        <v>1233517.793070439</v>
      </c>
      <c r="M109" s="2">
        <v>649200</v>
      </c>
      <c r="N109" s="6">
        <f t="shared" si="12"/>
        <v>1</v>
      </c>
      <c r="O109" s="17">
        <f t="shared" si="13"/>
        <v>0.52629966397487382</v>
      </c>
      <c r="P109" s="18">
        <v>0</v>
      </c>
      <c r="Q109" s="1">
        <f t="shared" si="14"/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1847400</v>
      </c>
      <c r="N110" s="6">
        <f t="shared" si="12"/>
        <v>1</v>
      </c>
      <c r="O110" s="17">
        <f t="shared" si="13"/>
        <v>1.4976678977621409</v>
      </c>
      <c r="P110" s="18">
        <v>5</v>
      </c>
      <c r="Q110" s="1">
        <f t="shared" si="14"/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>
        <v>17228835</v>
      </c>
      <c r="B111" s="16" t="s">
        <v>87</v>
      </c>
      <c r="C111" s="16" t="s">
        <v>35</v>
      </c>
      <c r="D111" s="16" t="s">
        <v>442</v>
      </c>
      <c r="E111" s="16" t="s">
        <v>22</v>
      </c>
      <c r="F111" s="16" t="s">
        <v>88</v>
      </c>
      <c r="G111" s="21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1308000</v>
      </c>
      <c r="N111" s="6">
        <f t="shared" si="12"/>
        <v>1</v>
      </c>
      <c r="O111" s="17">
        <f t="shared" si="13"/>
        <v>1.0603819477497458</v>
      </c>
      <c r="P111" s="18">
        <v>0</v>
      </c>
      <c r="Q111" s="1">
        <f t="shared" si="14"/>
        <v>0</v>
      </c>
      <c r="R111" s="18">
        <v>5</v>
      </c>
      <c r="S111" s="18">
        <v>0</v>
      </c>
      <c r="T111" s="18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3</v>
      </c>
      <c r="J112" s="4">
        <f t="shared" si="10"/>
        <v>1</v>
      </c>
      <c r="K112" s="5">
        <f t="shared" si="11"/>
        <v>0.62749131144052761</v>
      </c>
      <c r="L112" s="2">
        <v>2825491.6161999619</v>
      </c>
      <c r="M112" s="2">
        <v>974400</v>
      </c>
      <c r="N112" s="6">
        <f t="shared" si="12"/>
        <v>1</v>
      </c>
      <c r="O112" s="17">
        <f t="shared" si="13"/>
        <v>0.34486034020178141</v>
      </c>
      <c r="P112" s="18">
        <v>0</v>
      </c>
      <c r="Q112" s="1">
        <f t="shared" si="14"/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3274800</v>
      </c>
      <c r="N113" s="6">
        <f t="shared" si="12"/>
        <v>1</v>
      </c>
      <c r="O113" s="17">
        <f t="shared" si="13"/>
        <v>0.99994015968556338</v>
      </c>
      <c r="P113" s="18">
        <v>0</v>
      </c>
      <c r="Q113" s="1">
        <f t="shared" si="14"/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2134800</v>
      </c>
      <c r="N114" s="6">
        <f t="shared" si="12"/>
        <v>1</v>
      </c>
      <c r="O114" s="17">
        <f t="shared" si="13"/>
        <v>9.5032558934609698E-2</v>
      </c>
      <c r="P114" s="18">
        <v>1</v>
      </c>
      <c r="Q114" s="1">
        <f t="shared" si="14"/>
        <v>0</v>
      </c>
      <c r="R114" s="18">
        <v>7</v>
      </c>
      <c r="S114" s="18">
        <v>1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17006852</v>
      </c>
      <c r="B115" s="16" t="s">
        <v>95</v>
      </c>
      <c r="C115" s="16" t="s">
        <v>35</v>
      </c>
      <c r="D115" s="16" t="s">
        <v>440</v>
      </c>
      <c r="E115" s="16" t="s">
        <v>22</v>
      </c>
      <c r="F115" s="16" t="s">
        <v>96</v>
      </c>
      <c r="G115" s="21" t="s">
        <v>441</v>
      </c>
      <c r="H115" s="7">
        <v>7.2753475754493193</v>
      </c>
      <c r="I115" s="1">
        <v>3</v>
      </c>
      <c r="J115" s="4">
        <f t="shared" si="10"/>
        <v>1</v>
      </c>
      <c r="K115" s="5">
        <f t="shared" si="11"/>
        <v>0.41235143323234597</v>
      </c>
      <c r="L115" s="2">
        <v>19880654</v>
      </c>
      <c r="M115" s="2">
        <v>4371000</v>
      </c>
      <c r="N115" s="6">
        <f t="shared" si="12"/>
        <v>1</v>
      </c>
      <c r="O115" s="17">
        <f t="shared" si="13"/>
        <v>0.219861982407621</v>
      </c>
      <c r="P115" s="18">
        <v>0</v>
      </c>
      <c r="Q115" s="1">
        <f t="shared" si="14"/>
        <v>0</v>
      </c>
      <c r="R115" s="18">
        <v>10</v>
      </c>
      <c r="S115" s="18">
        <v>0</v>
      </c>
      <c r="T115" s="18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1870000</v>
      </c>
      <c r="N116" s="6">
        <f t="shared" si="12"/>
        <v>1</v>
      </c>
      <c r="O116" s="17">
        <f t="shared" si="13"/>
        <v>1.5159894818746367</v>
      </c>
      <c r="P116" s="18">
        <v>0</v>
      </c>
      <c r="Q116" s="1">
        <f t="shared" si="14"/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5</v>
      </c>
      <c r="J117" s="4">
        <f t="shared" si="10"/>
        <v>1</v>
      </c>
      <c r="K117" s="5">
        <f t="shared" si="11"/>
        <v>0.16666666666666666</v>
      </c>
      <c r="L117" s="2">
        <v>25626053.564346101</v>
      </c>
      <c r="M117" s="2">
        <v>1048400</v>
      </c>
      <c r="N117" s="6">
        <f t="shared" si="12"/>
        <v>1</v>
      </c>
      <c r="O117" s="17">
        <f t="shared" si="13"/>
        <v>4.091148866787097E-2</v>
      </c>
      <c r="P117" s="18">
        <v>3</v>
      </c>
      <c r="Q117" s="1">
        <f t="shared" si="14"/>
        <v>1</v>
      </c>
      <c r="R117" s="18">
        <v>23</v>
      </c>
      <c r="S117" s="18">
        <v>3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1246800</v>
      </c>
      <c r="N118" s="6">
        <f t="shared" si="12"/>
        <v>1</v>
      </c>
      <c r="O118" s="17">
        <f t="shared" si="13"/>
        <v>4.2084579280599131E-2</v>
      </c>
      <c r="P118" s="18">
        <v>1</v>
      </c>
      <c r="Q118" s="1">
        <f t="shared" si="14"/>
        <v>0</v>
      </c>
      <c r="R118" s="18">
        <v>5</v>
      </c>
      <c r="S118" s="18">
        <v>1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772800</v>
      </c>
      <c r="N119" s="6">
        <f t="shared" si="12"/>
        <v>1</v>
      </c>
      <c r="O119" s="17">
        <f t="shared" si="13"/>
        <v>0.29167696844464153</v>
      </c>
      <c r="P119" s="18">
        <v>0</v>
      </c>
      <c r="Q119" s="1">
        <f t="shared" si="14"/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1311800</v>
      </c>
      <c r="N120" s="6">
        <f t="shared" si="12"/>
        <v>1</v>
      </c>
      <c r="O120" s="17">
        <f t="shared" si="13"/>
        <v>6.5983744800347105E-2</v>
      </c>
      <c r="P120" s="18">
        <v>1</v>
      </c>
      <c r="Q120" s="1">
        <f t="shared" si="14"/>
        <v>0</v>
      </c>
      <c r="R120" s="18">
        <v>7</v>
      </c>
      <c r="S120" s="18">
        <v>1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1549600</v>
      </c>
      <c r="N121" s="6">
        <f t="shared" si="12"/>
        <v>1</v>
      </c>
      <c r="O121" s="17">
        <f t="shared" si="13"/>
        <v>6.8981849974269802E-2</v>
      </c>
      <c r="P121" s="18">
        <v>0</v>
      </c>
      <c r="Q121" s="1">
        <f t="shared" si="14"/>
        <v>0</v>
      </c>
      <c r="R121" s="18">
        <v>21</v>
      </c>
      <c r="S121" s="18">
        <v>0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1100400</v>
      </c>
      <c r="N122" s="6">
        <f t="shared" si="12"/>
        <v>1</v>
      </c>
      <c r="O122" s="17">
        <f t="shared" si="13"/>
        <v>0.89208279457478612</v>
      </c>
      <c r="P122" s="18">
        <v>0</v>
      </c>
      <c r="Q122" s="1">
        <f t="shared" si="14"/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699600</v>
      </c>
      <c r="N123" s="6">
        <f t="shared" si="12"/>
        <v>1</v>
      </c>
      <c r="O123" s="17">
        <f t="shared" si="13"/>
        <v>0.15962426731010024</v>
      </c>
      <c r="P123" s="18">
        <v>0</v>
      </c>
      <c r="Q123" s="1">
        <f t="shared" si="14"/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 t="shared" si="10"/>
        <v>0</v>
      </c>
      <c r="K124" s="5">
        <f t="shared" si="11"/>
        <v>0</v>
      </c>
      <c r="L124" s="2">
        <v>2549477.9785796599</v>
      </c>
      <c r="M124" s="2">
        <v>608500</v>
      </c>
      <c r="N124" s="6">
        <f t="shared" si="12"/>
        <v>1</v>
      </c>
      <c r="O124" s="17">
        <f t="shared" si="13"/>
        <v>0.23867631143023307</v>
      </c>
      <c r="P124" s="18">
        <v>0</v>
      </c>
      <c r="Q124" s="1">
        <f t="shared" si="14"/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3</v>
      </c>
      <c r="J125" s="4">
        <f t="shared" si="10"/>
        <v>1</v>
      </c>
      <c r="K125" s="5">
        <f t="shared" si="11"/>
        <v>0.6</v>
      </c>
      <c r="L125" s="2">
        <v>1233517.793070439</v>
      </c>
      <c r="M125" s="2">
        <v>1190400</v>
      </c>
      <c r="N125" s="6">
        <f t="shared" si="12"/>
        <v>1</v>
      </c>
      <c r="O125" s="17">
        <f t="shared" si="13"/>
        <v>0.96504485519976868</v>
      </c>
      <c r="P125" s="18">
        <v>0</v>
      </c>
      <c r="Q125" s="1">
        <f t="shared" si="14"/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>
        <v>1070922</v>
      </c>
      <c r="B126" s="16" t="s">
        <v>101</v>
      </c>
      <c r="C126" s="16" t="s">
        <v>35</v>
      </c>
      <c r="D126" s="16" t="s">
        <v>440</v>
      </c>
      <c r="E126" s="16" t="s">
        <v>22</v>
      </c>
      <c r="F126" s="16" t="s">
        <v>96</v>
      </c>
      <c r="G126" s="21" t="s">
        <v>441</v>
      </c>
      <c r="H126" s="7">
        <v>5.4045439131909321</v>
      </c>
      <c r="I126" s="1">
        <v>6</v>
      </c>
      <c r="J126" s="1">
        <f t="shared" si="10"/>
        <v>1</v>
      </c>
      <c r="K126" s="5">
        <f t="shared" si="11"/>
        <v>1.1101769356255449</v>
      </c>
      <c r="L126" s="2">
        <v>19880654</v>
      </c>
      <c r="M126" s="2">
        <v>5493000</v>
      </c>
      <c r="N126" s="6">
        <f t="shared" si="12"/>
        <v>1</v>
      </c>
      <c r="O126" s="17">
        <f t="shared" si="13"/>
        <v>0.27629875757608374</v>
      </c>
      <c r="P126" s="18">
        <v>0</v>
      </c>
      <c r="Q126" s="1">
        <f t="shared" si="14"/>
        <v>0</v>
      </c>
      <c r="R126" s="18">
        <v>8</v>
      </c>
      <c r="S126" s="18">
        <v>0</v>
      </c>
      <c r="T126" s="18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3</v>
      </c>
      <c r="J127" s="1">
        <f t="shared" si="10"/>
        <v>1</v>
      </c>
      <c r="K127" s="5">
        <f t="shared" si="11"/>
        <v>1.1101769356255486</v>
      </c>
      <c r="L127" s="2">
        <v>6018419.3717715694</v>
      </c>
      <c r="M127" s="2">
        <v>4227200</v>
      </c>
      <c r="N127" s="6">
        <f t="shared" si="12"/>
        <v>1</v>
      </c>
      <c r="O127" s="17">
        <f t="shared" si="13"/>
        <v>0.70237710915045293</v>
      </c>
      <c r="P127" s="18">
        <v>0</v>
      </c>
      <c r="Q127" s="1">
        <f t="shared" si="14"/>
        <v>0</v>
      </c>
      <c r="R127" s="18">
        <v>5</v>
      </c>
      <c r="S127" s="18">
        <v>1</v>
      </c>
      <c r="T127" s="18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980700</v>
      </c>
      <c r="N128" s="6">
        <f t="shared" si="12"/>
        <v>1</v>
      </c>
      <c r="O128" s="17">
        <f t="shared" si="13"/>
        <v>0.3846669821193584</v>
      </c>
      <c r="P128" s="18">
        <v>1</v>
      </c>
      <c r="Q128" s="1">
        <f t="shared" si="14"/>
        <v>0</v>
      </c>
      <c r="R128" s="18">
        <v>7</v>
      </c>
      <c r="S128" s="18">
        <v>1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 t="shared" si="10"/>
        <v>0</v>
      </c>
      <c r="K129" s="5">
        <f t="shared" si="11"/>
        <v>0</v>
      </c>
      <c r="L129" s="2">
        <v>1233517.793070439</v>
      </c>
      <c r="M129" s="2">
        <v>631000</v>
      </c>
      <c r="N129" s="6">
        <f t="shared" si="12"/>
        <v>1</v>
      </c>
      <c r="O129" s="17">
        <f t="shared" si="13"/>
        <v>0.51154511393737734</v>
      </c>
      <c r="P129" s="18">
        <v>0</v>
      </c>
      <c r="Q129" s="1">
        <f t="shared" si="14"/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4</v>
      </c>
      <c r="J130" s="1">
        <f t="shared" si="10"/>
        <v>1</v>
      </c>
      <c r="K130" s="5">
        <f t="shared" si="11"/>
        <v>1.3333333333333333</v>
      </c>
      <c r="L130" s="2">
        <v>12908778</v>
      </c>
      <c r="M130" s="2">
        <v>914000</v>
      </c>
      <c r="N130" s="6">
        <f t="shared" si="12"/>
        <v>1</v>
      </c>
      <c r="O130" s="17">
        <f t="shared" si="13"/>
        <v>7.0804533163402447E-2</v>
      </c>
      <c r="P130" s="18">
        <v>1</v>
      </c>
      <c r="Q130" s="1">
        <f t="shared" si="14"/>
        <v>0</v>
      </c>
      <c r="R130" s="18">
        <v>5</v>
      </c>
      <c r="S130" s="18">
        <v>1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 t="shared" si="10"/>
        <v>0</v>
      </c>
      <c r="K131" s="5">
        <f t="shared" si="11"/>
        <v>0</v>
      </c>
      <c r="L131" s="2">
        <v>6018419.3717715694</v>
      </c>
      <c r="M131" s="2">
        <v>271200</v>
      </c>
      <c r="N131" s="6">
        <f t="shared" si="12"/>
        <v>0</v>
      </c>
      <c r="O131" s="17">
        <f t="shared" si="13"/>
        <v>4.5061665405375387E-2</v>
      </c>
      <c r="P131" s="18">
        <v>0</v>
      </c>
      <c r="Q131" s="1">
        <f t="shared" si="14"/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758500</v>
      </c>
      <c r="N132" s="6">
        <f t="shared" si="12"/>
        <v>1</v>
      </c>
      <c r="O132" s="17">
        <f t="shared" si="13"/>
        <v>0.61490803315610254</v>
      </c>
      <c r="P132" s="18">
        <v>0</v>
      </c>
      <c r="Q132" s="1">
        <f t="shared" si="14"/>
        <v>0</v>
      </c>
      <c r="R132" s="18">
        <v>8</v>
      </c>
      <c r="S132" s="18">
        <v>0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142800</v>
      </c>
      <c r="N133" s="6">
        <f t="shared" si="12"/>
        <v>0</v>
      </c>
      <c r="O133" s="17">
        <f t="shared" si="13"/>
        <v>5.6011466347144261E-2</v>
      </c>
      <c r="P133" s="18">
        <v>4</v>
      </c>
      <c r="Q133" s="1">
        <f t="shared" si="14"/>
        <v>1</v>
      </c>
      <c r="R133" s="18">
        <v>10</v>
      </c>
      <c r="S133" s="18">
        <v>4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 t="shared" si="10"/>
        <v>0</v>
      </c>
      <c r="K134" s="5">
        <f t="shared" si="11"/>
        <v>0</v>
      </c>
      <c r="L134" s="2">
        <v>29626053.564346101</v>
      </c>
      <c r="M134" s="2">
        <v>1185600</v>
      </c>
      <c r="N134" s="6">
        <f t="shared" si="12"/>
        <v>1</v>
      </c>
      <c r="O134" s="17">
        <f t="shared" si="13"/>
        <v>4.0018829960762219E-2</v>
      </c>
      <c r="P134" s="18">
        <v>6</v>
      </c>
      <c r="Q134" s="1">
        <f t="shared" si="14"/>
        <v>1</v>
      </c>
      <c r="R134" s="18">
        <v>6</v>
      </c>
      <c r="S134" s="18">
        <v>0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 t="shared" si="10"/>
        <v>0</v>
      </c>
      <c r="K135" s="5">
        <f t="shared" si="11"/>
        <v>0</v>
      </c>
      <c r="L135" s="2">
        <v>3197916.7051896802</v>
      </c>
      <c r="M135" s="2">
        <v>306000</v>
      </c>
      <c r="N135" s="6">
        <f t="shared" si="12"/>
        <v>1</v>
      </c>
      <c r="O135" s="17">
        <f t="shared" si="13"/>
        <v>9.5687295264261743E-2</v>
      </c>
      <c r="P135" s="18">
        <v>0</v>
      </c>
      <c r="Q135" s="1">
        <f t="shared" si="14"/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855200</v>
      </c>
      <c r="N136" s="6">
        <f t="shared" si="12"/>
        <v>1</v>
      </c>
      <c r="O136" s="17">
        <f t="shared" si="13"/>
        <v>3.8070003935206209E-2</v>
      </c>
      <c r="P136" s="18">
        <v>1</v>
      </c>
      <c r="Q136" s="1">
        <f t="shared" si="14"/>
        <v>0</v>
      </c>
      <c r="R136" s="18">
        <v>9</v>
      </c>
      <c r="S136" s="18">
        <v>0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17236778</v>
      </c>
      <c r="B137" s="16" t="s">
        <v>108</v>
      </c>
      <c r="C137" s="16" t="s">
        <v>35</v>
      </c>
      <c r="D137" s="16" t="s">
        <v>442</v>
      </c>
      <c r="E137" s="16" t="s">
        <v>22</v>
      </c>
      <c r="F137" s="16" t="s">
        <v>109</v>
      </c>
      <c r="G137" s="21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1590000</v>
      </c>
      <c r="N137" s="6">
        <f t="shared" si="12"/>
        <v>1</v>
      </c>
      <c r="O137" s="17">
        <f t="shared" si="13"/>
        <v>1.2889964043746909</v>
      </c>
      <c r="P137" s="18">
        <v>0</v>
      </c>
      <c r="Q137" s="1">
        <f t="shared" si="14"/>
        <v>0</v>
      </c>
      <c r="R137" s="18">
        <v>7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23">
        <v>17750171</v>
      </c>
      <c r="B138" s="23" t="s">
        <v>124</v>
      </c>
      <c r="C138" s="16" t="s">
        <v>35</v>
      </c>
      <c r="D138" s="16" t="s">
        <v>442</v>
      </c>
      <c r="E138" s="16" t="s">
        <v>26</v>
      </c>
      <c r="F138" s="22" t="s">
        <v>126</v>
      </c>
      <c r="G138" s="20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17">
        <f t="shared" si="13"/>
        <v>0</v>
      </c>
      <c r="P138" s="18">
        <v>6</v>
      </c>
      <c r="Q138" s="1">
        <f t="shared" si="14"/>
        <v>1</v>
      </c>
      <c r="R138" s="18">
        <v>5</v>
      </c>
      <c r="S138" s="18">
        <v>6</v>
      </c>
      <c r="T138" s="18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16">
        <v>17654507</v>
      </c>
      <c r="B139" s="16" t="s">
        <v>127</v>
      </c>
      <c r="C139" s="16" t="s">
        <v>35</v>
      </c>
      <c r="D139" s="16" t="s">
        <v>442</v>
      </c>
      <c r="E139" s="16" t="s">
        <v>26</v>
      </c>
      <c r="F139" s="16" t="s">
        <v>62</v>
      </c>
      <c r="G139" s="21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17">
        <f t="shared" si="13"/>
        <v>2.1158997581244927</v>
      </c>
      <c r="P139" s="18">
        <v>5</v>
      </c>
      <c r="Q139" s="1">
        <f t="shared" si="14"/>
        <v>1</v>
      </c>
      <c r="R139" s="18">
        <v>5</v>
      </c>
      <c r="S139" s="18">
        <v>5</v>
      </c>
      <c r="T139" s="18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 t="shared" si="10"/>
        <v>0</v>
      </c>
      <c r="K140" s="5">
        <f t="shared" si="11"/>
        <v>0</v>
      </c>
      <c r="L140" s="2">
        <v>29626053.564346101</v>
      </c>
      <c r="M140" s="2">
        <v>1492000</v>
      </c>
      <c r="N140" s="6">
        <f t="shared" si="12"/>
        <v>1</v>
      </c>
      <c r="O140" s="17">
        <f t="shared" si="13"/>
        <v>5.0361078189488213E-2</v>
      </c>
      <c r="P140" s="18">
        <v>1</v>
      </c>
      <c r="Q140" s="1">
        <f t="shared" si="14"/>
        <v>0</v>
      </c>
      <c r="R140" s="18">
        <v>9</v>
      </c>
      <c r="S140" s="18">
        <v>0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17634238</v>
      </c>
      <c r="B141" s="16" t="s">
        <v>130</v>
      </c>
      <c r="C141" s="16" t="s">
        <v>35</v>
      </c>
      <c r="D141" s="16" t="s">
        <v>442</v>
      </c>
      <c r="E141" s="16" t="s">
        <v>26</v>
      </c>
      <c r="F141" s="16" t="s">
        <v>131</v>
      </c>
      <c r="G141" s="21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17">
        <f t="shared" si="13"/>
        <v>0</v>
      </c>
      <c r="P141" s="18">
        <v>0</v>
      </c>
      <c r="Q141" s="1">
        <f t="shared" si="14"/>
        <v>0</v>
      </c>
      <c r="R141" s="18">
        <v>22</v>
      </c>
      <c r="S141" s="18">
        <v>0</v>
      </c>
      <c r="T141" s="18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1</v>
      </c>
      <c r="J142" s="1">
        <f t="shared" si="10"/>
        <v>0</v>
      </c>
      <c r="K142" s="5">
        <f t="shared" si="11"/>
        <v>0.13002072219037986</v>
      </c>
      <c r="L142" s="2">
        <v>1233517.793070439</v>
      </c>
      <c r="M142" s="2">
        <v>875500</v>
      </c>
      <c r="N142" s="6">
        <f t="shared" si="12"/>
        <v>1</v>
      </c>
      <c r="O142" s="17">
        <f t="shared" si="13"/>
        <v>0.70975871196857987</v>
      </c>
      <c r="P142" s="18">
        <v>1</v>
      </c>
      <c r="Q142" s="1">
        <f t="shared" si="14"/>
        <v>0</v>
      </c>
      <c r="R142" s="18">
        <v>10</v>
      </c>
      <c r="S142" s="18">
        <v>1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1361200</v>
      </c>
      <c r="N143" s="6">
        <f t="shared" si="12"/>
        <v>1</v>
      </c>
      <c r="O143" s="17">
        <f t="shared" si="13"/>
        <v>6.8468572512755371E-2</v>
      </c>
      <c r="P143" s="18">
        <v>0</v>
      </c>
      <c r="Q143" s="1">
        <f t="shared" si="14"/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971296</v>
      </c>
      <c r="B144" s="16" t="s">
        <v>133</v>
      </c>
      <c r="C144" s="16" t="s">
        <v>35</v>
      </c>
      <c r="D144" s="16" t="s">
        <v>440</v>
      </c>
      <c r="E144" s="16" t="s">
        <v>22</v>
      </c>
      <c r="F144" s="16" t="s">
        <v>88</v>
      </c>
      <c r="G144" s="21" t="s">
        <v>441</v>
      </c>
      <c r="H144" s="7">
        <v>5</v>
      </c>
      <c r="I144" s="1">
        <v>3</v>
      </c>
      <c r="J144" s="1">
        <f t="shared" si="10"/>
        <v>1</v>
      </c>
      <c r="K144" s="5">
        <f t="shared" si="11"/>
        <v>0.6</v>
      </c>
      <c r="L144" s="2">
        <v>3447239.462353264</v>
      </c>
      <c r="M144" s="2">
        <v>258000</v>
      </c>
      <c r="N144" s="6">
        <f t="shared" si="12"/>
        <v>0</v>
      </c>
      <c r="O144" s="17">
        <f t="shared" si="13"/>
        <v>7.4842494354562722E-2</v>
      </c>
      <c r="P144" s="18">
        <v>4</v>
      </c>
      <c r="Q144" s="1">
        <f t="shared" si="14"/>
        <v>1</v>
      </c>
      <c r="R144" s="18">
        <v>7</v>
      </c>
      <c r="S144" s="18">
        <v>4</v>
      </c>
      <c r="T144" s="18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16">
        <v>507409</v>
      </c>
      <c r="B145" s="16" t="s">
        <v>134</v>
      </c>
      <c r="C145" s="16" t="s">
        <v>35</v>
      </c>
      <c r="D145" s="16" t="s">
        <v>442</v>
      </c>
      <c r="E145" s="16" t="s">
        <v>22</v>
      </c>
      <c r="F145" s="16" t="s">
        <v>135</v>
      </c>
      <c r="G145" s="21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3058000</v>
      </c>
      <c r="N145" s="6">
        <f t="shared" si="12"/>
        <v>1</v>
      </c>
      <c r="O145" s="17">
        <f t="shared" si="13"/>
        <v>2.4790886821244058</v>
      </c>
      <c r="P145" s="18">
        <v>2</v>
      </c>
      <c r="Q145" s="1">
        <f t="shared" si="14"/>
        <v>0</v>
      </c>
      <c r="R145" s="18">
        <v>10</v>
      </c>
      <c r="S145" s="18">
        <v>2</v>
      </c>
      <c r="T145" s="18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16">
        <v>17799381</v>
      </c>
      <c r="B146" s="16" t="s">
        <v>142</v>
      </c>
      <c r="C146" s="16" t="s">
        <v>35</v>
      </c>
      <c r="D146" s="16" t="s">
        <v>440</v>
      </c>
      <c r="E146" s="16" t="s">
        <v>22</v>
      </c>
      <c r="F146" s="16" t="s">
        <v>85</v>
      </c>
      <c r="G146" s="21" t="s">
        <v>441</v>
      </c>
      <c r="H146" s="7">
        <v>3</v>
      </c>
      <c r="I146" s="1">
        <v>3</v>
      </c>
      <c r="J146" s="4">
        <f t="shared" si="10"/>
        <v>1</v>
      </c>
      <c r="K146" s="5">
        <f t="shared" si="11"/>
        <v>1</v>
      </c>
      <c r="L146" s="2">
        <v>3917572.6875978149</v>
      </c>
      <c r="M146" s="2">
        <v>6230000</v>
      </c>
      <c r="N146" s="6">
        <f t="shared" si="12"/>
        <v>1</v>
      </c>
      <c r="O146" s="17">
        <f t="shared" si="13"/>
        <v>1.5902704293714391</v>
      </c>
      <c r="P146" s="18">
        <v>2</v>
      </c>
      <c r="Q146" s="1">
        <f t="shared" si="14"/>
        <v>0</v>
      </c>
      <c r="R146" s="18">
        <v>5</v>
      </c>
      <c r="S146" s="18">
        <v>2</v>
      </c>
      <c r="T146" s="18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 t="shared" si="10"/>
        <v>0</v>
      </c>
      <c r="K147" s="5">
        <f t="shared" si="11"/>
        <v>0</v>
      </c>
      <c r="L147" s="2">
        <v>6018419.3717715694</v>
      </c>
      <c r="M147" s="2">
        <v>0</v>
      </c>
      <c r="N147" s="6">
        <f t="shared" si="12"/>
        <v>0</v>
      </c>
      <c r="O147" s="17">
        <f t="shared" si="13"/>
        <v>0</v>
      </c>
      <c r="P147" s="18">
        <v>0</v>
      </c>
      <c r="Q147" s="1">
        <f t="shared" si="14"/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 t="shared" si="10"/>
        <v>0</v>
      </c>
      <c r="K148" s="5">
        <f t="shared" si="11"/>
        <v>0</v>
      </c>
      <c r="L148" s="2">
        <v>1233517.793070439</v>
      </c>
      <c r="M148" s="2">
        <v>618000</v>
      </c>
      <c r="N148" s="6">
        <f t="shared" si="12"/>
        <v>1</v>
      </c>
      <c r="O148" s="17">
        <f t="shared" si="13"/>
        <v>0.50100614962487988</v>
      </c>
      <c r="P148" s="18">
        <v>5</v>
      </c>
      <c r="Q148" s="1">
        <f t="shared" si="14"/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 t="shared" si="10"/>
        <v>0</v>
      </c>
      <c r="K149" s="5">
        <f t="shared" si="11"/>
        <v>0</v>
      </c>
      <c r="L149" s="2">
        <v>1233517.793070439</v>
      </c>
      <c r="M149" s="2">
        <v>618000</v>
      </c>
      <c r="N149" s="6">
        <f t="shared" si="12"/>
        <v>1</v>
      </c>
      <c r="O149" s="17">
        <f t="shared" si="13"/>
        <v>0.50100614962487988</v>
      </c>
      <c r="P149" s="18">
        <v>5</v>
      </c>
      <c r="Q149" s="1">
        <f t="shared" si="14"/>
        <v>1</v>
      </c>
      <c r="R149" s="18">
        <v>6</v>
      </c>
      <c r="S149" s="18">
        <v>5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 t="shared" si="10"/>
        <v>0</v>
      </c>
      <c r="K150" s="5">
        <f t="shared" si="11"/>
        <v>0</v>
      </c>
      <c r="L150" s="2">
        <v>1233517.793070439</v>
      </c>
      <c r="M150" s="2">
        <v>618000</v>
      </c>
      <c r="N150" s="6">
        <f t="shared" si="12"/>
        <v>1</v>
      </c>
      <c r="O150" s="17">
        <f t="shared" si="13"/>
        <v>0.50100614962487988</v>
      </c>
      <c r="P150" s="18">
        <v>5</v>
      </c>
      <c r="Q150" s="1">
        <f t="shared" si="14"/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17634230</v>
      </c>
      <c r="B151" s="16" t="s">
        <v>148</v>
      </c>
      <c r="C151" s="16" t="s">
        <v>35</v>
      </c>
      <c r="D151" s="16" t="s">
        <v>442</v>
      </c>
      <c r="E151" s="16" t="s">
        <v>26</v>
      </c>
      <c r="F151" s="16" t="s">
        <v>38</v>
      </c>
      <c r="G151" s="21" t="s">
        <v>441</v>
      </c>
      <c r="H151" s="7">
        <v>5.8202780603594357</v>
      </c>
      <c r="I151" s="1">
        <v>0</v>
      </c>
      <c r="J151" s="4">
        <f t="shared" si="10"/>
        <v>0</v>
      </c>
      <c r="K151" s="5">
        <f t="shared" si="11"/>
        <v>0</v>
      </c>
      <c r="L151" s="2">
        <v>1233517.793070439</v>
      </c>
      <c r="M151" s="2">
        <v>6318000</v>
      </c>
      <c r="N151" s="6">
        <f t="shared" si="12"/>
        <v>1</v>
      </c>
      <c r="O151" s="17">
        <f t="shared" si="13"/>
        <v>5.121936655873772</v>
      </c>
      <c r="P151" s="18">
        <v>5</v>
      </c>
      <c r="Q151" s="1">
        <f t="shared" si="14"/>
        <v>1</v>
      </c>
      <c r="R151" s="18">
        <v>8</v>
      </c>
      <c r="S151" s="18">
        <v>5</v>
      </c>
      <c r="T151" s="18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17634254</v>
      </c>
      <c r="B152" s="16" t="s">
        <v>150</v>
      </c>
      <c r="C152" s="16" t="s">
        <v>35</v>
      </c>
      <c r="D152" s="16" t="s">
        <v>442</v>
      </c>
      <c r="E152" s="16" t="s">
        <v>26</v>
      </c>
      <c r="F152" s="16" t="s">
        <v>151</v>
      </c>
      <c r="G152" s="21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17">
        <f t="shared" si="13"/>
        <v>0</v>
      </c>
      <c r="P152" s="18">
        <v>0</v>
      </c>
      <c r="Q152" s="1">
        <f t="shared" si="14"/>
        <v>0</v>
      </c>
      <c r="R152" s="18">
        <v>12</v>
      </c>
      <c r="S152" s="18">
        <v>0</v>
      </c>
      <c r="T152" s="18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1486638</v>
      </c>
      <c r="B153" s="16" t="s">
        <v>152</v>
      </c>
      <c r="C153" s="16" t="s">
        <v>35</v>
      </c>
      <c r="D153" s="16" t="s">
        <v>440</v>
      </c>
      <c r="E153" s="16" t="s">
        <v>22</v>
      </c>
      <c r="F153" s="16" t="s">
        <v>96</v>
      </c>
      <c r="G153" s="21" t="s">
        <v>441</v>
      </c>
      <c r="H153" s="7">
        <v>2.7022719565954572</v>
      </c>
      <c r="I153" s="1">
        <v>4</v>
      </c>
      <c r="J153" s="4">
        <f t="shared" si="10"/>
        <v>1</v>
      </c>
      <c r="K153" s="5">
        <f t="shared" si="11"/>
        <v>1.4802359141673982</v>
      </c>
      <c r="L153" s="2">
        <v>19880654</v>
      </c>
      <c r="M153" s="2">
        <v>2288000</v>
      </c>
      <c r="N153" s="6">
        <f t="shared" si="12"/>
        <v>1</v>
      </c>
      <c r="O153" s="17">
        <f t="shared" si="13"/>
        <v>0.11508675720627702</v>
      </c>
      <c r="P153" s="18">
        <v>1</v>
      </c>
      <c r="Q153" s="1">
        <f t="shared" si="14"/>
        <v>0</v>
      </c>
      <c r="R153" s="18">
        <v>5</v>
      </c>
      <c r="S153" s="18">
        <v>1</v>
      </c>
      <c r="T153" s="18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 t="shared" si="10"/>
        <v>0</v>
      </c>
      <c r="K154" s="5">
        <f t="shared" si="11"/>
        <v>0</v>
      </c>
      <c r="L154" s="2">
        <v>6018419.3717715694</v>
      </c>
      <c r="M154" s="2">
        <v>618000</v>
      </c>
      <c r="N154" s="6">
        <f t="shared" si="12"/>
        <v>1</v>
      </c>
      <c r="O154" s="17">
        <f t="shared" si="13"/>
        <v>0.10268476851224922</v>
      </c>
      <c r="P154" s="18">
        <v>1</v>
      </c>
      <c r="Q154" s="1">
        <f t="shared" si="14"/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1335665</v>
      </c>
      <c r="B155" s="16" t="s">
        <v>163</v>
      </c>
      <c r="C155" s="16" t="s">
        <v>35</v>
      </c>
      <c r="D155" s="16" t="s">
        <v>440</v>
      </c>
      <c r="E155" s="16" t="s">
        <v>22</v>
      </c>
      <c r="F155" s="16" t="s">
        <v>60</v>
      </c>
      <c r="G155" s="21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2178000</v>
      </c>
      <c r="N155" s="6">
        <f t="shared" si="12"/>
        <v>1</v>
      </c>
      <c r="O155" s="17">
        <f t="shared" si="13"/>
        <v>9.695564613058831E-2</v>
      </c>
      <c r="P155" s="18">
        <v>0</v>
      </c>
      <c r="Q155" s="1">
        <f t="shared" si="14"/>
        <v>0</v>
      </c>
      <c r="R155" s="18">
        <v>14</v>
      </c>
      <c r="S155" s="18">
        <v>0</v>
      </c>
      <c r="T155" s="18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 t="shared" ref="J156:J219" si="15">IF(I156&gt;=3,1,0)</f>
        <v>0</v>
      </c>
      <c r="K156" s="5">
        <f t="shared" ref="K156:K219" si="16">I156/H156</f>
        <v>0</v>
      </c>
      <c r="L156" s="2">
        <v>1233517.793070439</v>
      </c>
      <c r="M156" s="2">
        <v>618000</v>
      </c>
      <c r="N156" s="6">
        <f t="shared" ref="N156:N219" si="17">IF(M156&gt;=300000,1,0)</f>
        <v>1</v>
      </c>
      <c r="O156" s="17">
        <f t="shared" ref="O156:O219" si="18">M156/L156</f>
        <v>0.50100614962487988</v>
      </c>
      <c r="P156" s="18">
        <v>5</v>
      </c>
      <c r="Q156" s="1">
        <f t="shared" ref="Q156:Q219" si="19">IF(P156&gt;=3,1,0)</f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17245632</v>
      </c>
      <c r="B157" s="16" t="s">
        <v>180</v>
      </c>
      <c r="C157" s="16" t="s">
        <v>35</v>
      </c>
      <c r="D157" s="16" t="s">
        <v>440</v>
      </c>
      <c r="E157" s="16" t="s">
        <v>22</v>
      </c>
      <c r="F157" s="16" t="s">
        <v>38</v>
      </c>
      <c r="G157" s="21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3840000</v>
      </c>
      <c r="N157" s="6">
        <f t="shared" si="17"/>
        <v>1</v>
      </c>
      <c r="O157" s="17">
        <f t="shared" si="18"/>
        <v>1.4928260244759848</v>
      </c>
      <c r="P157" s="18">
        <v>1</v>
      </c>
      <c r="Q157" s="1">
        <f t="shared" si="19"/>
        <v>0</v>
      </c>
      <c r="R157" s="18">
        <v>5</v>
      </c>
      <c r="S157" s="18">
        <v>1</v>
      </c>
      <c r="T157" s="18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17519344</v>
      </c>
      <c r="B158" s="16" t="s">
        <v>209</v>
      </c>
      <c r="C158" s="16" t="s">
        <v>35</v>
      </c>
      <c r="D158" s="16" t="s">
        <v>440</v>
      </c>
      <c r="E158" s="16" t="s">
        <v>22</v>
      </c>
      <c r="F158" s="16" t="s">
        <v>60</v>
      </c>
      <c r="G158" s="21" t="s">
        <v>441</v>
      </c>
      <c r="H158" s="7">
        <v>9.5618853848762093</v>
      </c>
      <c r="I158" s="1">
        <v>6</v>
      </c>
      <c r="J158" s="1">
        <f t="shared" si="15"/>
        <v>1</v>
      </c>
      <c r="K158" s="5">
        <f t="shared" si="16"/>
        <v>0.62749131144052905</v>
      </c>
      <c r="L158" s="2">
        <v>22463880</v>
      </c>
      <c r="M158" s="2">
        <v>1248500</v>
      </c>
      <c r="N158" s="6">
        <f t="shared" si="17"/>
        <v>1</v>
      </c>
      <c r="O158" s="17">
        <f t="shared" si="18"/>
        <v>5.5578110281928148E-2</v>
      </c>
      <c r="P158" s="18">
        <v>6</v>
      </c>
      <c r="Q158" s="1">
        <f t="shared" si="19"/>
        <v>1</v>
      </c>
      <c r="R158" s="18">
        <v>12</v>
      </c>
      <c r="S158" s="18">
        <v>6</v>
      </c>
      <c r="T158" s="18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16">
        <v>17546493</v>
      </c>
      <c r="B159" s="16" t="s">
        <v>219</v>
      </c>
      <c r="C159" s="16" t="s">
        <v>35</v>
      </c>
      <c r="D159" s="16" t="s">
        <v>440</v>
      </c>
      <c r="E159" s="16" t="s">
        <v>22</v>
      </c>
      <c r="F159" s="16" t="s">
        <v>60</v>
      </c>
      <c r="G159" s="21" t="s">
        <v>441</v>
      </c>
      <c r="H159" s="7">
        <v>4.7809426924381153</v>
      </c>
      <c r="I159" s="1">
        <v>3</v>
      </c>
      <c r="J159" s="4">
        <f t="shared" si="15"/>
        <v>1</v>
      </c>
      <c r="K159" s="5">
        <f t="shared" si="16"/>
        <v>0.62749131144052761</v>
      </c>
      <c r="L159" s="2">
        <v>2549477.9785796599</v>
      </c>
      <c r="M159" s="2">
        <v>2438000</v>
      </c>
      <c r="N159" s="6">
        <f t="shared" si="17"/>
        <v>1</v>
      </c>
      <c r="O159" s="17">
        <f t="shared" si="18"/>
        <v>0.95627419435810723</v>
      </c>
      <c r="P159" s="18">
        <v>1</v>
      </c>
      <c r="Q159" s="1">
        <f t="shared" si="19"/>
        <v>0</v>
      </c>
      <c r="R159" s="18">
        <v>7</v>
      </c>
      <c r="S159" s="18">
        <v>1</v>
      </c>
      <c r="T159" s="18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524400</v>
      </c>
      <c r="N160" s="6">
        <f t="shared" si="17"/>
        <v>1</v>
      </c>
      <c r="O160" s="17">
        <f t="shared" si="18"/>
        <v>1.7700636328798671E-2</v>
      </c>
      <c r="P160" s="18">
        <v>0</v>
      </c>
      <c r="Q160" s="1">
        <f t="shared" si="19"/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445200</v>
      </c>
      <c r="N161" s="6">
        <f t="shared" si="17"/>
        <v>1</v>
      </c>
      <c r="O161" s="17">
        <f t="shared" si="18"/>
        <v>0.3609189932249135</v>
      </c>
      <c r="P161" s="18">
        <v>0</v>
      </c>
      <c r="Q161" s="1">
        <f t="shared" si="19"/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3</v>
      </c>
      <c r="J162" s="4">
        <f t="shared" si="15"/>
        <v>1</v>
      </c>
      <c r="K162" s="5">
        <f t="shared" si="16"/>
        <v>1</v>
      </c>
      <c r="L162" s="2">
        <v>1233517.793070439</v>
      </c>
      <c r="M162" s="2">
        <v>528000</v>
      </c>
      <c r="N162" s="6">
        <f t="shared" si="17"/>
        <v>1</v>
      </c>
      <c r="O162" s="17">
        <f t="shared" si="18"/>
        <v>0.42804408899989738</v>
      </c>
      <c r="P162" s="18">
        <v>0</v>
      </c>
      <c r="Q162" s="1">
        <f t="shared" si="19"/>
        <v>0</v>
      </c>
      <c r="R162" s="18">
        <v>5</v>
      </c>
      <c r="S162" s="18">
        <v>1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3</v>
      </c>
      <c r="J163" s="1">
        <f t="shared" si="15"/>
        <v>1</v>
      </c>
      <c r="K163" s="5">
        <f t="shared" si="16"/>
        <v>1</v>
      </c>
      <c r="L163" s="2">
        <v>1233517.793070439</v>
      </c>
      <c r="M163" s="2">
        <v>532800</v>
      </c>
      <c r="N163" s="6">
        <f t="shared" si="17"/>
        <v>1</v>
      </c>
      <c r="O163" s="17">
        <f t="shared" si="18"/>
        <v>0.43193539889989646</v>
      </c>
      <c r="P163" s="18">
        <v>0</v>
      </c>
      <c r="Q163" s="1">
        <f t="shared" si="19"/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17">
        <f t="shared" si="18"/>
        <v>0.46793001547488783</v>
      </c>
      <c r="P164" s="18">
        <v>0</v>
      </c>
      <c r="Q164" s="1">
        <f t="shared" si="19"/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3</v>
      </c>
      <c r="J165" s="1">
        <f t="shared" si="15"/>
        <v>1</v>
      </c>
      <c r="K165" s="5">
        <f t="shared" si="16"/>
        <v>0.53452963567156242</v>
      </c>
      <c r="L165" s="2">
        <v>1233517.793070439</v>
      </c>
      <c r="M165" s="2">
        <v>175000</v>
      </c>
      <c r="N165" s="6">
        <f t="shared" si="17"/>
        <v>0</v>
      </c>
      <c r="O165" s="17">
        <f t="shared" si="18"/>
        <v>0.14187067343746598</v>
      </c>
      <c r="P165" s="18">
        <v>0</v>
      </c>
      <c r="Q165" s="1">
        <f t="shared" si="19"/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10</v>
      </c>
      <c r="J166" s="1">
        <f t="shared" si="15"/>
        <v>1</v>
      </c>
      <c r="K166" s="5">
        <f t="shared" si="16"/>
        <v>2</v>
      </c>
      <c r="L166" s="2">
        <v>12908778</v>
      </c>
      <c r="M166" s="2">
        <v>8590000</v>
      </c>
      <c r="N166" s="6">
        <f t="shared" si="17"/>
        <v>1</v>
      </c>
      <c r="O166" s="17">
        <f t="shared" si="18"/>
        <v>0.66543866506961391</v>
      </c>
      <c r="P166" s="18">
        <v>0</v>
      </c>
      <c r="Q166" s="1">
        <f t="shared" si="19"/>
        <v>0</v>
      </c>
      <c r="R166" s="18">
        <v>7</v>
      </c>
      <c r="S166" s="18">
        <v>0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175000</v>
      </c>
      <c r="N167" s="6">
        <f t="shared" si="17"/>
        <v>0</v>
      </c>
      <c r="O167" s="17">
        <f t="shared" si="18"/>
        <v>0.14187067343746598</v>
      </c>
      <c r="P167" s="18">
        <v>0</v>
      </c>
      <c r="Q167" s="1">
        <f t="shared" si="19"/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1170000</v>
      </c>
      <c r="N168" s="6">
        <f t="shared" si="17"/>
        <v>1</v>
      </c>
      <c r="O168" s="17">
        <f t="shared" si="18"/>
        <v>0.94850678812477263</v>
      </c>
      <c r="P168" s="18">
        <v>2</v>
      </c>
      <c r="Q168" s="1">
        <f t="shared" si="19"/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25" customFormat="1" ht="26">
      <c r="A169" s="23">
        <v>17565276</v>
      </c>
      <c r="B169" s="23" t="s">
        <v>469</v>
      </c>
      <c r="C169" s="16" t="s">
        <v>21</v>
      </c>
      <c r="D169" s="16" t="s">
        <v>442</v>
      </c>
      <c r="E169" s="16" t="s">
        <v>26</v>
      </c>
      <c r="F169" s="24" t="s">
        <v>46</v>
      </c>
      <c r="G169" s="2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17">
        <f t="shared" si="18"/>
        <v>0.6</v>
      </c>
      <c r="P169" s="18">
        <v>3</v>
      </c>
      <c r="Q169" s="1">
        <f t="shared" si="19"/>
        <v>1</v>
      </c>
      <c r="R169" s="18">
        <v>5</v>
      </c>
      <c r="S169" s="18">
        <v>3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17347639</v>
      </c>
      <c r="B170" s="16" t="s">
        <v>238</v>
      </c>
      <c r="C170" s="16" t="s">
        <v>35</v>
      </c>
      <c r="D170" s="16" t="s">
        <v>440</v>
      </c>
      <c r="E170" s="16" t="s">
        <v>22</v>
      </c>
      <c r="F170" s="16" t="s">
        <v>60</v>
      </c>
      <c r="G170" s="21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1510000</v>
      </c>
      <c r="N170" s="6">
        <f t="shared" si="17"/>
        <v>1</v>
      </c>
      <c r="O170" s="17">
        <f t="shared" si="18"/>
        <v>5.0968651518852014E-2</v>
      </c>
      <c r="P170" s="18">
        <v>0</v>
      </c>
      <c r="Q170" s="1">
        <f t="shared" si="19"/>
        <v>0</v>
      </c>
      <c r="R170" s="18">
        <v>7</v>
      </c>
      <c r="S170" s="18">
        <v>0</v>
      </c>
      <c r="T170" s="18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16">
        <v>17626277</v>
      </c>
      <c r="B171" s="16" t="s">
        <v>250</v>
      </c>
      <c r="C171" s="16" t="s">
        <v>35</v>
      </c>
      <c r="D171" s="16" t="s">
        <v>444</v>
      </c>
      <c r="E171" s="16" t="s">
        <v>26</v>
      </c>
      <c r="F171" s="16" t="s">
        <v>96</v>
      </c>
      <c r="G171" s="21" t="s">
        <v>441</v>
      </c>
      <c r="H171" s="7">
        <v>3</v>
      </c>
      <c r="I171" s="1">
        <v>0</v>
      </c>
      <c r="J171" s="1">
        <f t="shared" si="15"/>
        <v>0</v>
      </c>
      <c r="K171" s="5">
        <f t="shared" si="16"/>
        <v>0</v>
      </c>
      <c r="L171" s="2">
        <v>6018419.3717715694</v>
      </c>
      <c r="M171" s="2">
        <v>866000</v>
      </c>
      <c r="N171" s="6">
        <f t="shared" si="17"/>
        <v>1</v>
      </c>
      <c r="O171" s="17">
        <f t="shared" si="18"/>
        <v>0.14389160118383143</v>
      </c>
      <c r="P171" s="18">
        <v>4</v>
      </c>
      <c r="Q171" s="1">
        <f t="shared" si="19"/>
        <v>1</v>
      </c>
      <c r="R171" s="18">
        <v>5</v>
      </c>
      <c r="S171" s="18">
        <v>4</v>
      </c>
      <c r="T171" s="18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16">
        <v>17628338</v>
      </c>
      <c r="B172" s="16" t="s">
        <v>254</v>
      </c>
      <c r="C172" s="16" t="s">
        <v>35</v>
      </c>
      <c r="D172" s="16" t="s">
        <v>442</v>
      </c>
      <c r="E172" s="16" t="s">
        <v>22</v>
      </c>
      <c r="F172" s="16" t="s">
        <v>109</v>
      </c>
      <c r="G172" s="21" t="s">
        <v>441</v>
      </c>
      <c r="H172" s="7">
        <v>3.3258731773482562</v>
      </c>
      <c r="I172" s="1">
        <v>4</v>
      </c>
      <c r="J172" s="4">
        <f t="shared" si="15"/>
        <v>1</v>
      </c>
      <c r="K172" s="5">
        <f t="shared" si="16"/>
        <v>1.2026916802610106</v>
      </c>
      <c r="L172" s="2">
        <v>1233517.793070439</v>
      </c>
      <c r="M172" s="2">
        <v>5222500</v>
      </c>
      <c r="N172" s="6">
        <f t="shared" si="17"/>
        <v>1</v>
      </c>
      <c r="O172" s="17">
        <f t="shared" si="18"/>
        <v>4.2338262401552349</v>
      </c>
      <c r="P172" s="18">
        <v>4</v>
      </c>
      <c r="Q172" s="1">
        <f t="shared" si="19"/>
        <v>1</v>
      </c>
      <c r="R172" s="18">
        <v>6</v>
      </c>
      <c r="S172" s="18">
        <v>4</v>
      </c>
      <c r="T172" s="18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16">
        <v>1483993</v>
      </c>
      <c r="B173" s="16" t="s">
        <v>258</v>
      </c>
      <c r="C173" s="16" t="s">
        <v>35</v>
      </c>
      <c r="D173" s="16" t="s">
        <v>440</v>
      </c>
      <c r="E173" s="16" t="s">
        <v>22</v>
      </c>
      <c r="F173" s="16" t="s">
        <v>105</v>
      </c>
      <c r="G173" s="21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3588000</v>
      </c>
      <c r="N173" s="6">
        <f t="shared" si="17"/>
        <v>1</v>
      </c>
      <c r="O173" s="17">
        <f t="shared" si="18"/>
        <v>1.0932007807701187</v>
      </c>
      <c r="P173" s="18">
        <v>5</v>
      </c>
      <c r="Q173" s="1">
        <f t="shared" si="19"/>
        <v>1</v>
      </c>
      <c r="R173" s="18">
        <v>21</v>
      </c>
      <c r="S173" s="18">
        <v>6</v>
      </c>
      <c r="T173" s="18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16" t="s">
        <v>432</v>
      </c>
      <c r="B174" s="16" t="s">
        <v>435</v>
      </c>
      <c r="C174" s="16" t="s">
        <v>35</v>
      </c>
      <c r="D174" s="16" t="s">
        <v>440</v>
      </c>
      <c r="E174" s="16" t="s">
        <v>22</v>
      </c>
      <c r="F174" s="19" t="s">
        <v>225</v>
      </c>
      <c r="G174" s="21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1683000</v>
      </c>
      <c r="N174" s="6">
        <f t="shared" si="17"/>
        <v>1</v>
      </c>
      <c r="O174" s="17">
        <f t="shared" si="18"/>
        <v>0.66013513909134303</v>
      </c>
      <c r="P174" s="18">
        <v>2</v>
      </c>
      <c r="Q174" s="1">
        <f t="shared" si="19"/>
        <v>0</v>
      </c>
      <c r="R174" s="18">
        <v>9</v>
      </c>
      <c r="S174" s="18">
        <v>0</v>
      </c>
      <c r="T174" s="18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16">
        <v>17775710</v>
      </c>
      <c r="B175" s="16" t="s">
        <v>263</v>
      </c>
      <c r="C175" s="16" t="s">
        <v>35</v>
      </c>
      <c r="D175" s="16" t="s">
        <v>442</v>
      </c>
      <c r="E175" s="16" t="s">
        <v>26</v>
      </c>
      <c r="F175" s="16" t="s">
        <v>62</v>
      </c>
      <c r="G175" s="21" t="s">
        <v>441</v>
      </c>
      <c r="H175" s="7">
        <v>4.7809426924381153</v>
      </c>
      <c r="I175" s="1">
        <v>3</v>
      </c>
      <c r="J175" s="1">
        <f t="shared" si="15"/>
        <v>1</v>
      </c>
      <c r="K175" s="5">
        <f t="shared" si="16"/>
        <v>0.62749131144052761</v>
      </c>
      <c r="L175" s="2">
        <v>1233517.793070439</v>
      </c>
      <c r="M175" s="2">
        <v>1350000</v>
      </c>
      <c r="N175" s="6">
        <f t="shared" si="17"/>
        <v>1</v>
      </c>
      <c r="O175" s="17">
        <f t="shared" si="18"/>
        <v>1.0944309093747375</v>
      </c>
      <c r="P175" s="18">
        <v>5</v>
      </c>
      <c r="Q175" s="1">
        <f t="shared" si="19"/>
        <v>1</v>
      </c>
      <c r="R175" s="18">
        <v>7</v>
      </c>
      <c r="S175" s="18">
        <v>5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3</v>
      </c>
      <c r="J176" s="4">
        <f t="shared" si="15"/>
        <v>1</v>
      </c>
      <c r="K176" s="5">
        <f t="shared" si="16"/>
        <v>0.60134584013050585</v>
      </c>
      <c r="L176" s="2">
        <v>1233517.793070439</v>
      </c>
      <c r="M176" s="2">
        <v>3465000</v>
      </c>
      <c r="N176" s="6">
        <f t="shared" si="17"/>
        <v>1</v>
      </c>
      <c r="O176" s="17">
        <f t="shared" si="18"/>
        <v>2.8090393340618265</v>
      </c>
      <c r="P176" s="18">
        <v>5</v>
      </c>
      <c r="Q176" s="1">
        <f t="shared" si="19"/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17446543</v>
      </c>
      <c r="B177" s="16" t="s">
        <v>270</v>
      </c>
      <c r="C177" s="16" t="s">
        <v>35</v>
      </c>
      <c r="D177" s="16" t="s">
        <v>442</v>
      </c>
      <c r="E177" s="16" t="s">
        <v>26</v>
      </c>
      <c r="F177" s="16" t="s">
        <v>271</v>
      </c>
      <c r="G177" s="21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17">
        <f t="shared" si="18"/>
        <v>0</v>
      </c>
      <c r="P177" s="18">
        <v>5</v>
      </c>
      <c r="Q177" s="1">
        <f t="shared" si="19"/>
        <v>1</v>
      </c>
      <c r="R177" s="18">
        <v>7</v>
      </c>
      <c r="S177" s="18">
        <v>5</v>
      </c>
      <c r="T177" s="18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16">
        <v>17377232</v>
      </c>
      <c r="B178" s="16" t="s">
        <v>277</v>
      </c>
      <c r="C178" s="16" t="s">
        <v>35</v>
      </c>
      <c r="D178" s="16" t="s">
        <v>442</v>
      </c>
      <c r="E178" s="16" t="s">
        <v>26</v>
      </c>
      <c r="F178" s="16" t="s">
        <v>271</v>
      </c>
      <c r="G178" s="21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17">
        <f t="shared" si="18"/>
        <v>0</v>
      </c>
      <c r="P178" s="18">
        <v>0</v>
      </c>
      <c r="Q178" s="1">
        <f t="shared" si="19"/>
        <v>0</v>
      </c>
      <c r="R178" s="18">
        <v>5</v>
      </c>
      <c r="S178" s="18">
        <v>0</v>
      </c>
      <c r="T178" s="18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16">
        <v>17668458</v>
      </c>
      <c r="B179" s="16" t="s">
        <v>279</v>
      </c>
      <c r="C179" s="16" t="s">
        <v>35</v>
      </c>
      <c r="D179" s="16" t="s">
        <v>442</v>
      </c>
      <c r="E179" s="16" t="s">
        <v>22</v>
      </c>
      <c r="F179" s="16" t="s">
        <v>88</v>
      </c>
      <c r="G179" s="21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1850000</v>
      </c>
      <c r="N179" s="6">
        <f t="shared" si="17"/>
        <v>1</v>
      </c>
      <c r="O179" s="17">
        <f t="shared" si="18"/>
        <v>1.4997756906246404</v>
      </c>
      <c r="P179" s="18">
        <v>0</v>
      </c>
      <c r="Q179" s="1">
        <f t="shared" si="19"/>
        <v>0</v>
      </c>
      <c r="R179" s="18">
        <v>5</v>
      </c>
      <c r="S179" s="18">
        <v>0</v>
      </c>
      <c r="T179" s="18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1062000</v>
      </c>
      <c r="N180" s="6">
        <f t="shared" si="17"/>
        <v>1</v>
      </c>
      <c r="O180" s="17">
        <f t="shared" si="18"/>
        <v>0.86095231537479355</v>
      </c>
      <c r="P180" s="18">
        <v>0</v>
      </c>
      <c r="Q180" s="1">
        <f t="shared" si="19"/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2154000</v>
      </c>
      <c r="N181" s="6">
        <f t="shared" si="17"/>
        <v>1</v>
      </c>
      <c r="O181" s="17">
        <f t="shared" si="18"/>
        <v>1.7462253176245814</v>
      </c>
      <c r="P181" s="18">
        <v>0</v>
      </c>
      <c r="Q181" s="1">
        <f t="shared" si="19"/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1300000</v>
      </c>
      <c r="N182" s="6">
        <f t="shared" si="17"/>
        <v>1</v>
      </c>
      <c r="O182" s="17">
        <f t="shared" si="18"/>
        <v>1.0538964312497474</v>
      </c>
      <c r="P182" s="18">
        <v>0</v>
      </c>
      <c r="Q182" s="1">
        <f t="shared" si="19"/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884000</v>
      </c>
      <c r="N183" s="6">
        <f t="shared" si="17"/>
        <v>1</v>
      </c>
      <c r="O183" s="17">
        <f t="shared" si="18"/>
        <v>0.71664957324982814</v>
      </c>
      <c r="P183" s="18">
        <v>1</v>
      </c>
      <c r="Q183" s="1">
        <f t="shared" si="19"/>
        <v>0</v>
      </c>
      <c r="R183" s="18">
        <v>7</v>
      </c>
      <c r="S183" s="18">
        <v>1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1624000</v>
      </c>
      <c r="N184" s="6">
        <f t="shared" si="17"/>
        <v>1</v>
      </c>
      <c r="O184" s="17">
        <f t="shared" si="18"/>
        <v>1.3165598494996844</v>
      </c>
      <c r="P184" s="18">
        <v>0</v>
      </c>
      <c r="Q184" s="1">
        <f t="shared" si="19"/>
        <v>0</v>
      </c>
      <c r="R184" s="18">
        <v>6</v>
      </c>
      <c r="S184" s="18">
        <v>0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792000</v>
      </c>
      <c r="N185" s="6">
        <f t="shared" si="17"/>
        <v>1</v>
      </c>
      <c r="O185" s="17">
        <f t="shared" si="18"/>
        <v>0.64206613349984609</v>
      </c>
      <c r="P185" s="18">
        <v>5</v>
      </c>
      <c r="Q185" s="1">
        <f t="shared" si="19"/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258000</v>
      </c>
      <c r="N186" s="6">
        <f t="shared" si="17"/>
        <v>0</v>
      </c>
      <c r="O186" s="17">
        <f t="shared" si="18"/>
        <v>0.20915790712494986</v>
      </c>
      <c r="P186" s="18">
        <v>0</v>
      </c>
      <c r="Q186" s="1">
        <f t="shared" si="19"/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1869000</v>
      </c>
      <c r="N187" s="6">
        <f t="shared" si="17"/>
        <v>1</v>
      </c>
      <c r="O187" s="17">
        <f t="shared" si="18"/>
        <v>1.5151787923121367</v>
      </c>
      <c r="P187" s="18">
        <v>1</v>
      </c>
      <c r="Q187" s="1">
        <f t="shared" si="19"/>
        <v>0</v>
      </c>
      <c r="R187" s="18">
        <v>8</v>
      </c>
      <c r="S187" s="18">
        <v>1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426000</v>
      </c>
      <c r="N188" s="6">
        <f t="shared" si="17"/>
        <v>1</v>
      </c>
      <c r="O188" s="17">
        <f t="shared" si="18"/>
        <v>0.34535375362491721</v>
      </c>
      <c r="P188" s="18">
        <v>7</v>
      </c>
      <c r="Q188" s="1">
        <f t="shared" si="19"/>
        <v>1</v>
      </c>
      <c r="R188" s="18">
        <v>7</v>
      </c>
      <c r="S188" s="18">
        <v>7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4</v>
      </c>
      <c r="J189" s="1">
        <f t="shared" si="15"/>
        <v>1</v>
      </c>
      <c r="K189" s="5">
        <f t="shared" si="16"/>
        <v>1.3333333333333333</v>
      </c>
      <c r="L189" s="2">
        <v>1233517.793070439</v>
      </c>
      <c r="M189" s="2">
        <v>1840000</v>
      </c>
      <c r="N189" s="6">
        <f t="shared" si="17"/>
        <v>1</v>
      </c>
      <c r="O189" s="17">
        <f t="shared" si="18"/>
        <v>1.4916687949996423</v>
      </c>
      <c r="P189" s="18">
        <v>0</v>
      </c>
      <c r="Q189" s="1">
        <f t="shared" si="19"/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17449128</v>
      </c>
      <c r="B190" s="16" t="s">
        <v>286</v>
      </c>
      <c r="C190" s="16" t="s">
        <v>35</v>
      </c>
      <c r="D190" s="16" t="s">
        <v>442</v>
      </c>
      <c r="E190" s="16" t="s">
        <v>22</v>
      </c>
      <c r="F190" s="16" t="s">
        <v>151</v>
      </c>
      <c r="G190" s="21" t="s">
        <v>441</v>
      </c>
      <c r="H190" s="7">
        <v>4.9888097660223796</v>
      </c>
      <c r="I190" s="1">
        <v>0</v>
      </c>
      <c r="J190" s="4">
        <f t="shared" si="15"/>
        <v>0</v>
      </c>
      <c r="K190" s="5">
        <f t="shared" si="16"/>
        <v>0</v>
      </c>
      <c r="L190" s="2">
        <v>1233517.793070439</v>
      </c>
      <c r="M190" s="2">
        <v>2000000</v>
      </c>
      <c r="N190" s="6">
        <f t="shared" si="17"/>
        <v>1</v>
      </c>
      <c r="O190" s="17">
        <f t="shared" si="18"/>
        <v>1.6213791249996112</v>
      </c>
      <c r="P190" s="18">
        <v>1</v>
      </c>
      <c r="Q190" s="1">
        <f t="shared" si="19"/>
        <v>0</v>
      </c>
      <c r="R190" s="18">
        <v>7</v>
      </c>
      <c r="S190" s="18">
        <v>1</v>
      </c>
      <c r="T190" s="18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16">
        <v>1069320</v>
      </c>
      <c r="B191" s="16" t="s">
        <v>292</v>
      </c>
      <c r="C191" s="16" t="s">
        <v>35</v>
      </c>
      <c r="D191" s="16" t="s">
        <v>440</v>
      </c>
      <c r="E191" s="16" t="s">
        <v>22</v>
      </c>
      <c r="F191" s="16" t="s">
        <v>135</v>
      </c>
      <c r="G191" s="21" t="s">
        <v>441</v>
      </c>
      <c r="H191" s="7">
        <v>5</v>
      </c>
      <c r="I191" s="1">
        <v>4</v>
      </c>
      <c r="J191" s="4">
        <f t="shared" si="15"/>
        <v>1</v>
      </c>
      <c r="K191" s="5">
        <f t="shared" si="16"/>
        <v>0.8</v>
      </c>
      <c r="L191" s="2">
        <v>3959230.4169087922</v>
      </c>
      <c r="M191" s="2">
        <v>1830000</v>
      </c>
      <c r="N191" s="6">
        <f t="shared" si="17"/>
        <v>1</v>
      </c>
      <c r="O191" s="17">
        <f t="shared" si="18"/>
        <v>0.46221103782810152</v>
      </c>
      <c r="P191" s="18">
        <v>1</v>
      </c>
      <c r="Q191" s="1">
        <f t="shared" si="19"/>
        <v>0</v>
      </c>
      <c r="R191" s="18">
        <v>7</v>
      </c>
      <c r="S191" s="18">
        <v>1</v>
      </c>
      <c r="T191" s="18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16">
        <v>17478838</v>
      </c>
      <c r="B192" s="16" t="s">
        <v>293</v>
      </c>
      <c r="C192" s="16" t="s">
        <v>35</v>
      </c>
      <c r="D192" s="16" t="s">
        <v>440</v>
      </c>
      <c r="E192" s="16" t="s">
        <v>22</v>
      </c>
      <c r="F192" s="16" t="s">
        <v>151</v>
      </c>
      <c r="G192" s="21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4000000</v>
      </c>
      <c r="N192" s="6">
        <f t="shared" si="17"/>
        <v>1</v>
      </c>
      <c r="O192" s="17">
        <f t="shared" si="18"/>
        <v>1.2842221235931761</v>
      </c>
      <c r="P192" s="18">
        <v>0</v>
      </c>
      <c r="Q192" s="1">
        <f t="shared" si="19"/>
        <v>0</v>
      </c>
      <c r="R192" s="18">
        <v>9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16">
        <v>17694204</v>
      </c>
      <c r="B193" s="16" t="s">
        <v>295</v>
      </c>
      <c r="C193" s="16" t="s">
        <v>35</v>
      </c>
      <c r="D193" s="16" t="s">
        <v>440</v>
      </c>
      <c r="E193" s="16" t="s">
        <v>22</v>
      </c>
      <c r="F193" s="16" t="s">
        <v>296</v>
      </c>
      <c r="G193" s="21" t="s">
        <v>441</v>
      </c>
      <c r="H193" s="7">
        <v>6.443879281112264</v>
      </c>
      <c r="I193" s="1">
        <v>3</v>
      </c>
      <c r="J193" s="1">
        <f t="shared" si="15"/>
        <v>1</v>
      </c>
      <c r="K193" s="5">
        <f t="shared" si="16"/>
        <v>0.46555806977845438</v>
      </c>
      <c r="L193" s="2">
        <v>12908778</v>
      </c>
      <c r="M193" s="2">
        <v>438000</v>
      </c>
      <c r="N193" s="6">
        <f t="shared" si="17"/>
        <v>1</v>
      </c>
      <c r="O193" s="17">
        <f t="shared" si="18"/>
        <v>3.3930399918567042E-2</v>
      </c>
      <c r="P193" s="18">
        <v>0</v>
      </c>
      <c r="Q193" s="1">
        <f t="shared" si="19"/>
        <v>0</v>
      </c>
      <c r="R193" s="18">
        <v>9</v>
      </c>
      <c r="S193" s="18">
        <v>0</v>
      </c>
      <c r="T193" s="18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17667163</v>
      </c>
      <c r="B194" s="16" t="s">
        <v>305</v>
      </c>
      <c r="C194" s="16" t="s">
        <v>35</v>
      </c>
      <c r="D194" s="16" t="s">
        <v>440</v>
      </c>
      <c r="E194" s="16" t="s">
        <v>22</v>
      </c>
      <c r="F194" s="16" t="s">
        <v>135</v>
      </c>
      <c r="G194" s="21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17">
        <f t="shared" si="18"/>
        <v>5.3576060644023843E-2</v>
      </c>
      <c r="P194" s="18">
        <v>0</v>
      </c>
      <c r="Q194" s="1">
        <f t="shared" si="19"/>
        <v>0</v>
      </c>
      <c r="R194" s="18">
        <v>10</v>
      </c>
      <c r="S194" s="18">
        <v>0</v>
      </c>
      <c r="T194" s="18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445000</v>
      </c>
      <c r="N195" s="6">
        <f t="shared" si="17"/>
        <v>1</v>
      </c>
      <c r="O195" s="17">
        <f t="shared" si="18"/>
        <v>0.36075685531241353</v>
      </c>
      <c r="P195" s="18">
        <v>5</v>
      </c>
      <c r="Q195" s="1">
        <f t="shared" si="19"/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145000</v>
      </c>
      <c r="N196" s="6">
        <f t="shared" si="17"/>
        <v>0</v>
      </c>
      <c r="O196" s="17">
        <f t="shared" si="18"/>
        <v>0.11754998656247181</v>
      </c>
      <c r="P196" s="18">
        <v>0</v>
      </c>
      <c r="Q196" s="1">
        <f t="shared" si="19"/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3000000</v>
      </c>
      <c r="N197" s="6">
        <f t="shared" si="17"/>
        <v>1</v>
      </c>
      <c r="O197" s="17">
        <f t="shared" si="18"/>
        <v>1.176711477881182</v>
      </c>
      <c r="P197" s="18">
        <v>1</v>
      </c>
      <c r="Q197" s="1">
        <f t="shared" si="19"/>
        <v>0</v>
      </c>
      <c r="R197" s="18">
        <v>8</v>
      </c>
      <c r="S197" s="18">
        <v>1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2510000</v>
      </c>
      <c r="N198" s="6">
        <f t="shared" si="17"/>
        <v>1</v>
      </c>
      <c r="O198" s="17">
        <f t="shared" si="18"/>
        <v>0.19444133286667414</v>
      </c>
      <c r="P198" s="18">
        <v>1</v>
      </c>
      <c r="Q198" s="1">
        <f t="shared" si="19"/>
        <v>0</v>
      </c>
      <c r="R198" s="18">
        <v>5</v>
      </c>
      <c r="S198" s="18">
        <v>1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7</v>
      </c>
      <c r="J199" s="4">
        <f t="shared" si="15"/>
        <v>1</v>
      </c>
      <c r="K199" s="5">
        <f t="shared" si="16"/>
        <v>0.7831480708676356</v>
      </c>
      <c r="L199" s="2">
        <v>22463880</v>
      </c>
      <c r="M199" s="2">
        <v>668000</v>
      </c>
      <c r="N199" s="6">
        <f t="shared" si="17"/>
        <v>1</v>
      </c>
      <c r="O199" s="17">
        <f t="shared" si="18"/>
        <v>2.973662608596556E-2</v>
      </c>
      <c r="P199" s="18">
        <v>0</v>
      </c>
      <c r="Q199" s="1">
        <f t="shared" si="19"/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698000</v>
      </c>
      <c r="N200" s="6">
        <f t="shared" si="17"/>
        <v>1</v>
      </c>
      <c r="O200" s="17">
        <f t="shared" si="18"/>
        <v>0.56586131462486433</v>
      </c>
      <c r="P200" s="18">
        <v>0</v>
      </c>
      <c r="Q200" s="1">
        <f t="shared" si="19"/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10</v>
      </c>
      <c r="J201" s="4">
        <f t="shared" si="15"/>
        <v>1</v>
      </c>
      <c r="K201" s="5">
        <f t="shared" si="16"/>
        <v>1.9243066884176145</v>
      </c>
      <c r="L201" s="2">
        <v>2574298.0029296018</v>
      </c>
      <c r="M201" s="2">
        <v>4670000</v>
      </c>
      <c r="N201" s="6">
        <f t="shared" si="17"/>
        <v>1</v>
      </c>
      <c r="O201" s="17">
        <f t="shared" si="18"/>
        <v>1.8140867897521764</v>
      </c>
      <c r="P201" s="18">
        <v>6</v>
      </c>
      <c r="Q201" s="1">
        <f t="shared" si="19"/>
        <v>1</v>
      </c>
      <c r="R201" s="18">
        <v>8</v>
      </c>
      <c r="S201" s="18">
        <v>6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10</v>
      </c>
      <c r="J202" s="1">
        <f t="shared" si="15"/>
        <v>1</v>
      </c>
      <c r="K202" s="5">
        <f t="shared" si="16"/>
        <v>2</v>
      </c>
      <c r="L202" s="2">
        <v>2905564.257570155</v>
      </c>
      <c r="M202" s="2">
        <v>1320000</v>
      </c>
      <c r="N202" s="6">
        <f t="shared" si="17"/>
        <v>1</v>
      </c>
      <c r="O202" s="17">
        <f t="shared" si="18"/>
        <v>0.45430074263918718</v>
      </c>
      <c r="P202" s="18">
        <v>2</v>
      </c>
      <c r="Q202" s="1">
        <f t="shared" si="19"/>
        <v>0</v>
      </c>
      <c r="R202" s="18">
        <v>7</v>
      </c>
      <c r="S202" s="18">
        <v>2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13290000</v>
      </c>
      <c r="N203" s="6">
        <f t="shared" si="17"/>
        <v>1</v>
      </c>
      <c r="O203" s="17">
        <f t="shared" si="18"/>
        <v>0.38189963499263863</v>
      </c>
      <c r="P203" s="18">
        <v>4</v>
      </c>
      <c r="Q203" s="1">
        <f t="shared" si="19"/>
        <v>1</v>
      </c>
      <c r="R203" s="18">
        <v>6</v>
      </c>
      <c r="S203" s="18">
        <v>4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20</v>
      </c>
      <c r="J204" s="4">
        <f t="shared" si="15"/>
        <v>1</v>
      </c>
      <c r="K204" s="5">
        <f t="shared" si="16"/>
        <v>6.4143556280587255</v>
      </c>
      <c r="L204" s="2">
        <v>22463880</v>
      </c>
      <c r="M204" s="2">
        <v>12030000</v>
      </c>
      <c r="N204" s="6">
        <f t="shared" si="17"/>
        <v>1</v>
      </c>
      <c r="O204" s="17">
        <f t="shared" si="18"/>
        <v>0.53552636499126594</v>
      </c>
      <c r="P204" s="18">
        <v>4</v>
      </c>
      <c r="Q204" s="1">
        <f t="shared" si="19"/>
        <v>1</v>
      </c>
      <c r="R204" s="18">
        <v>6</v>
      </c>
      <c r="S204" s="18">
        <v>4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17">
        <f t="shared" si="18"/>
        <v>5.582861200665977E-2</v>
      </c>
      <c r="P205" s="18">
        <v>5</v>
      </c>
      <c r="Q205" s="1">
        <f t="shared" si="19"/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4415000</v>
      </c>
      <c r="N206" s="6">
        <f t="shared" si="17"/>
        <v>1</v>
      </c>
      <c r="O206" s="17">
        <f t="shared" si="18"/>
        <v>0.73358131550417527</v>
      </c>
      <c r="P206" s="18">
        <v>5</v>
      </c>
      <c r="Q206" s="1">
        <f t="shared" si="19"/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17691756</v>
      </c>
      <c r="B207" s="16" t="s">
        <v>309</v>
      </c>
      <c r="C207" s="16" t="s">
        <v>35</v>
      </c>
      <c r="D207" s="16" t="s">
        <v>442</v>
      </c>
      <c r="E207" s="16" t="s">
        <v>26</v>
      </c>
      <c r="F207" s="16" t="s">
        <v>62</v>
      </c>
      <c r="G207" s="21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17">
        <f t="shared" si="18"/>
        <v>2.1158997581244927</v>
      </c>
      <c r="P207" s="18">
        <v>5</v>
      </c>
      <c r="Q207" s="1">
        <f t="shared" si="19"/>
        <v>1</v>
      </c>
      <c r="R207" s="18">
        <v>5</v>
      </c>
      <c r="S207" s="18">
        <v>5</v>
      </c>
      <c r="T207" s="18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16">
        <v>17741916</v>
      </c>
      <c r="B208" s="16" t="s">
        <v>318</v>
      </c>
      <c r="C208" s="16" t="s">
        <v>35</v>
      </c>
      <c r="D208" s="16" t="s">
        <v>442</v>
      </c>
      <c r="E208" s="16" t="s">
        <v>26</v>
      </c>
      <c r="F208" s="16" t="s">
        <v>278</v>
      </c>
      <c r="G208" s="21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17">
        <f t="shared" si="18"/>
        <v>0</v>
      </c>
      <c r="P208" s="18">
        <v>0</v>
      </c>
      <c r="Q208" s="1">
        <f t="shared" si="19"/>
        <v>0</v>
      </c>
      <c r="R208" s="18">
        <v>5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390000</v>
      </c>
      <c r="N209" s="6">
        <f t="shared" si="17"/>
        <v>1</v>
      </c>
      <c r="O209" s="17">
        <f t="shared" si="18"/>
        <v>0.31616892937492419</v>
      </c>
      <c r="P209" s="18">
        <v>0</v>
      </c>
      <c r="Q209" s="1">
        <f t="shared" si="19"/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17">
        <f t="shared" si="18"/>
        <v>5.3668977427135563E-2</v>
      </c>
      <c r="P210" s="18">
        <v>0</v>
      </c>
      <c r="Q210" s="1">
        <f t="shared" si="19"/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390000</v>
      </c>
      <c r="N211" s="6">
        <f t="shared" si="17"/>
        <v>1</v>
      </c>
      <c r="O211" s="17">
        <f t="shared" si="18"/>
        <v>0.31616892937492419</v>
      </c>
      <c r="P211" s="18">
        <v>5</v>
      </c>
      <c r="Q211" s="1">
        <f t="shared" si="19"/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17">
        <f t="shared" si="18"/>
        <v>0.34697513274991681</v>
      </c>
      <c r="P212" s="18">
        <v>0</v>
      </c>
      <c r="Q212" s="1">
        <f t="shared" si="19"/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17">
        <f t="shared" si="18"/>
        <v>0.17997308287495686</v>
      </c>
      <c r="P213" s="18">
        <v>0</v>
      </c>
      <c r="Q213" s="1">
        <f t="shared" si="19"/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17">
        <f t="shared" si="18"/>
        <v>1.5833333333333333</v>
      </c>
      <c r="P214" s="18">
        <v>0</v>
      </c>
      <c r="Q214" s="1">
        <f t="shared" si="19"/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25" customFormat="1" ht="26">
      <c r="A215" s="23">
        <v>17741675</v>
      </c>
      <c r="B215" s="23" t="s">
        <v>475</v>
      </c>
      <c r="C215" s="16" t="s">
        <v>21</v>
      </c>
      <c r="D215" s="16" t="s">
        <v>442</v>
      </c>
      <c r="E215" s="16" t="s">
        <v>26</v>
      </c>
      <c r="F215" s="24" t="s">
        <v>129</v>
      </c>
      <c r="G215" s="2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17">
        <f t="shared" si="18"/>
        <v>0.44</v>
      </c>
      <c r="P215" s="18">
        <v>0</v>
      </c>
      <c r="Q215" s="1">
        <f t="shared" si="19"/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17612210</v>
      </c>
      <c r="B216" s="16" t="s">
        <v>319</v>
      </c>
      <c r="C216" s="16" t="s">
        <v>35</v>
      </c>
      <c r="D216" s="16" t="s">
        <v>442</v>
      </c>
      <c r="E216" s="16" t="s">
        <v>26</v>
      </c>
      <c r="F216" s="16" t="s">
        <v>109</v>
      </c>
      <c r="G216" s="21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17">
        <f t="shared" si="18"/>
        <v>7.2962060624982505E-2</v>
      </c>
      <c r="P216" s="18">
        <v>5</v>
      </c>
      <c r="Q216" s="1">
        <f t="shared" si="19"/>
        <v>1</v>
      </c>
      <c r="R216" s="18">
        <v>5</v>
      </c>
      <c r="S216" s="18">
        <v>5</v>
      </c>
      <c r="T216" s="18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16">
        <v>17563421</v>
      </c>
      <c r="B217" s="16" t="s">
        <v>323</v>
      </c>
      <c r="C217" s="16" t="s">
        <v>35</v>
      </c>
      <c r="D217" s="16" t="s">
        <v>442</v>
      </c>
      <c r="E217" s="16" t="s">
        <v>26</v>
      </c>
      <c r="F217" s="16" t="s">
        <v>131</v>
      </c>
      <c r="G217" s="21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17">
        <f t="shared" si="18"/>
        <v>0</v>
      </c>
      <c r="P217" s="18">
        <v>0</v>
      </c>
      <c r="Q217" s="1">
        <f t="shared" si="19"/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17">
        <f t="shared" si="18"/>
        <v>0</v>
      </c>
      <c r="P218" s="18">
        <v>5</v>
      </c>
      <c r="Q218" s="1">
        <f t="shared" si="19"/>
        <v>1</v>
      </c>
      <c r="R218" s="18">
        <v>7</v>
      </c>
      <c r="S218" s="18">
        <v>5</v>
      </c>
      <c r="T218" s="18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16">
        <v>17646638</v>
      </c>
      <c r="B219" s="16" t="s">
        <v>327</v>
      </c>
      <c r="C219" s="16" t="s">
        <v>35</v>
      </c>
      <c r="D219" s="16" t="s">
        <v>442</v>
      </c>
      <c r="E219" s="16" t="s">
        <v>22</v>
      </c>
      <c r="F219" s="16" t="s">
        <v>290</v>
      </c>
      <c r="G219" s="21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17">
        <f t="shared" si="18"/>
        <v>0.26752755562493585</v>
      </c>
      <c r="P219" s="18">
        <v>0</v>
      </c>
      <c r="Q219" s="1">
        <f t="shared" si="19"/>
        <v>0</v>
      </c>
      <c r="R219" s="18">
        <v>7</v>
      </c>
      <c r="S219" s="18">
        <v>0</v>
      </c>
      <c r="T219" s="18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16">
        <v>17694192</v>
      </c>
      <c r="B220" s="16" t="s">
        <v>333</v>
      </c>
      <c r="C220" s="16" t="s">
        <v>35</v>
      </c>
      <c r="D220" s="16" t="s">
        <v>442</v>
      </c>
      <c r="E220" s="16" t="s">
        <v>22</v>
      </c>
      <c r="F220" s="16" t="s">
        <v>135</v>
      </c>
      <c r="G220" s="21" t="s">
        <v>441</v>
      </c>
      <c r="H220" s="7">
        <v>7.0674805018650426</v>
      </c>
      <c r="I220" s="1">
        <v>3</v>
      </c>
      <c r="J220" s="4">
        <f t="shared" ref="J220:J283" si="20">IF(I220&gt;=3,1,0)</f>
        <v>1</v>
      </c>
      <c r="K220" s="5">
        <f t="shared" ref="K220:K283" si="21">I220/H220</f>
        <v>0.42447941656270971</v>
      </c>
      <c r="L220" s="2">
        <v>1233517.793070439</v>
      </c>
      <c r="M220" s="2">
        <v>1258000</v>
      </c>
      <c r="N220" s="6">
        <f t="shared" ref="N220:N283" si="22">IF(M220&gt;=300000,1,0)</f>
        <v>1</v>
      </c>
      <c r="O220" s="17">
        <f t="shared" ref="O220:O283" si="23">M220/L220</f>
        <v>1.0198474696247555</v>
      </c>
      <c r="P220" s="18">
        <v>1</v>
      </c>
      <c r="Q220" s="1">
        <f t="shared" ref="Q220:Q283" si="24">IF(P220&gt;=3,1,0)</f>
        <v>0</v>
      </c>
      <c r="R220" s="18">
        <v>10</v>
      </c>
      <c r="S220" s="18">
        <v>1</v>
      </c>
      <c r="T220" s="18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16">
        <v>17750177</v>
      </c>
      <c r="B221" s="16" t="s">
        <v>344</v>
      </c>
      <c r="C221" s="16" t="s">
        <v>35</v>
      </c>
      <c r="D221" s="16" t="s">
        <v>442</v>
      </c>
      <c r="E221" s="16" t="s">
        <v>26</v>
      </c>
      <c r="F221" s="16" t="s">
        <v>126</v>
      </c>
      <c r="G221" s="21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17">
        <f t="shared" si="23"/>
        <v>0</v>
      </c>
      <c r="P221" s="18">
        <v>5</v>
      </c>
      <c r="Q221" s="1">
        <f t="shared" si="24"/>
        <v>1</v>
      </c>
      <c r="R221" s="18">
        <v>6</v>
      </c>
      <c r="S221" s="18">
        <v>5</v>
      </c>
      <c r="T221" s="18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0</v>
      </c>
      <c r="J222" s="1">
        <f t="shared" si="20"/>
        <v>0</v>
      </c>
      <c r="K222" s="5">
        <f t="shared" si="21"/>
        <v>0</v>
      </c>
      <c r="L222" s="2">
        <v>1233517.793070439</v>
      </c>
      <c r="M222" s="2">
        <v>300000</v>
      </c>
      <c r="N222" s="6">
        <f t="shared" si="22"/>
        <v>1</v>
      </c>
      <c r="O222" s="17">
        <f t="shared" si="23"/>
        <v>0.24320686874994168</v>
      </c>
      <c r="P222" s="18">
        <v>5</v>
      </c>
      <c r="Q222" s="1">
        <f t="shared" si="24"/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0</v>
      </c>
      <c r="J223" s="1">
        <f t="shared" si="20"/>
        <v>0</v>
      </c>
      <c r="K223" s="5">
        <f t="shared" si="21"/>
        <v>0</v>
      </c>
      <c r="L223" s="2">
        <v>1233517.793070439</v>
      </c>
      <c r="M223" s="2">
        <v>132000</v>
      </c>
      <c r="N223" s="6">
        <f t="shared" si="22"/>
        <v>0</v>
      </c>
      <c r="O223" s="17">
        <f t="shared" si="23"/>
        <v>0.10701102224997434</v>
      </c>
      <c r="P223" s="18">
        <v>6</v>
      </c>
      <c r="Q223" s="1">
        <f t="shared" si="24"/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0</v>
      </c>
      <c r="J224" s="1">
        <f t="shared" si="20"/>
        <v>0</v>
      </c>
      <c r="K224" s="5">
        <f t="shared" si="21"/>
        <v>0</v>
      </c>
      <c r="L224" s="2">
        <v>1233517.793070439</v>
      </c>
      <c r="M224" s="2">
        <v>85000</v>
      </c>
      <c r="N224" s="6">
        <f t="shared" si="22"/>
        <v>0</v>
      </c>
      <c r="O224" s="17">
        <f t="shared" si="23"/>
        <v>6.8908612812483477E-2</v>
      </c>
      <c r="P224" s="18">
        <v>0</v>
      </c>
      <c r="Q224" s="1">
        <f t="shared" si="24"/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0</v>
      </c>
      <c r="J225" s="1">
        <f t="shared" si="20"/>
        <v>0</v>
      </c>
      <c r="K225" s="5">
        <f t="shared" si="21"/>
        <v>0</v>
      </c>
      <c r="L225" s="2">
        <v>1233517.793070439</v>
      </c>
      <c r="M225" s="2">
        <v>300000</v>
      </c>
      <c r="N225" s="6">
        <f t="shared" si="22"/>
        <v>1</v>
      </c>
      <c r="O225" s="17">
        <f t="shared" si="23"/>
        <v>0.24320686874994168</v>
      </c>
      <c r="P225" s="18">
        <v>0</v>
      </c>
      <c r="Q225" s="1">
        <f t="shared" si="24"/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3</v>
      </c>
      <c r="J226" s="1">
        <f t="shared" si="20"/>
        <v>1</v>
      </c>
      <c r="K226" s="5">
        <f t="shared" si="21"/>
        <v>0.49766552286662519</v>
      </c>
      <c r="L226" s="2">
        <v>1233517.793070439</v>
      </c>
      <c r="M226" s="2">
        <v>390000</v>
      </c>
      <c r="N226" s="6">
        <f t="shared" si="22"/>
        <v>1</v>
      </c>
      <c r="O226" s="17">
        <f t="shared" si="23"/>
        <v>0.31616892937492419</v>
      </c>
      <c r="P226" s="18">
        <v>0</v>
      </c>
      <c r="Q226" s="1">
        <f t="shared" si="24"/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390000</v>
      </c>
      <c r="N227" s="6">
        <f t="shared" si="22"/>
        <v>1</v>
      </c>
      <c r="O227" s="17">
        <f t="shared" si="23"/>
        <v>0.31616892937492419</v>
      </c>
      <c r="P227" s="18">
        <v>0</v>
      </c>
      <c r="Q227" s="1">
        <f t="shared" si="24"/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17">
        <f t="shared" si="23"/>
        <v>0.24807100612494054</v>
      </c>
      <c r="P228" s="18">
        <v>0</v>
      </c>
      <c r="Q228" s="1">
        <f t="shared" si="24"/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17">
        <f t="shared" si="23"/>
        <v>0.65909061431234195</v>
      </c>
      <c r="P229" s="18">
        <v>0</v>
      </c>
      <c r="Q229" s="1">
        <f t="shared" si="24"/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594000</v>
      </c>
      <c r="N230" s="6">
        <f t="shared" si="22"/>
        <v>1</v>
      </c>
      <c r="O230" s="17">
        <f t="shared" si="23"/>
        <v>0.48154960012488457</v>
      </c>
      <c r="P230" s="18">
        <v>5</v>
      </c>
      <c r="Q230" s="1">
        <f t="shared" si="24"/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3</v>
      </c>
      <c r="J231" s="1">
        <f t="shared" si="20"/>
        <v>1</v>
      </c>
      <c r="K231" s="5">
        <f t="shared" si="21"/>
        <v>0.51543929154043422</v>
      </c>
      <c r="L231" s="2">
        <v>1233517.793070439</v>
      </c>
      <c r="M231" s="2">
        <v>1317000</v>
      </c>
      <c r="N231" s="6">
        <f t="shared" si="22"/>
        <v>1</v>
      </c>
      <c r="O231" s="17">
        <f t="shared" si="23"/>
        <v>1.067678153812244</v>
      </c>
      <c r="P231" s="18">
        <v>1</v>
      </c>
      <c r="Q231" s="1">
        <f t="shared" si="24"/>
        <v>0</v>
      </c>
      <c r="R231" s="18">
        <v>8</v>
      </c>
      <c r="S231" s="18">
        <v>1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511000</v>
      </c>
      <c r="N232" s="6">
        <f t="shared" si="22"/>
        <v>1</v>
      </c>
      <c r="O232" s="17">
        <f t="shared" si="23"/>
        <v>0.41426236643740066</v>
      </c>
      <c r="P232" s="18">
        <v>0</v>
      </c>
      <c r="Q232" s="1">
        <f t="shared" si="24"/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17">
        <f t="shared" si="23"/>
        <v>0.59018200149985856</v>
      </c>
      <c r="P233" s="18">
        <v>2</v>
      </c>
      <c r="Q233" s="1">
        <f t="shared" si="24"/>
        <v>0</v>
      </c>
      <c r="R233" s="18">
        <v>7</v>
      </c>
      <c r="S233" s="18">
        <v>1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336000</v>
      </c>
      <c r="N234" s="6">
        <f t="shared" si="22"/>
        <v>1</v>
      </c>
      <c r="O234" s="17">
        <f t="shared" si="23"/>
        <v>0.27239169299993471</v>
      </c>
      <c r="P234" s="18">
        <v>0</v>
      </c>
      <c r="Q234" s="1">
        <f t="shared" si="24"/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3</v>
      </c>
      <c r="J235" s="4">
        <f t="shared" si="20"/>
        <v>1</v>
      </c>
      <c r="K235" s="5">
        <f t="shared" si="21"/>
        <v>0.90201876019575788</v>
      </c>
      <c r="L235" s="2">
        <v>1233517.793070439</v>
      </c>
      <c r="M235" s="2">
        <v>2610000</v>
      </c>
      <c r="N235" s="6">
        <f t="shared" si="22"/>
        <v>1</v>
      </c>
      <c r="O235" s="17">
        <f t="shared" si="23"/>
        <v>2.1158997581244927</v>
      </c>
      <c r="P235" s="18">
        <v>2</v>
      </c>
      <c r="Q235" s="1">
        <f t="shared" si="24"/>
        <v>0</v>
      </c>
      <c r="R235" s="18">
        <v>6</v>
      </c>
      <c r="S235" s="18">
        <v>2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17">
        <f t="shared" si="23"/>
        <v>0.45236477587489154</v>
      </c>
      <c r="P236" s="18">
        <v>0</v>
      </c>
      <c r="Q236" s="1">
        <f t="shared" si="24"/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25" customFormat="1" ht="26">
      <c r="A237" s="23">
        <v>17707600</v>
      </c>
      <c r="B237" s="23" t="s">
        <v>474</v>
      </c>
      <c r="C237" s="16" t="s">
        <v>21</v>
      </c>
      <c r="D237" s="16" t="s">
        <v>442</v>
      </c>
      <c r="E237" s="16" t="s">
        <v>26</v>
      </c>
      <c r="F237" s="24" t="s">
        <v>53</v>
      </c>
      <c r="G237" s="2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17">
        <f t="shared" si="23"/>
        <v>0.88</v>
      </c>
      <c r="P237" s="18">
        <v>0</v>
      </c>
      <c r="Q237" s="1">
        <f t="shared" si="24"/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25" customFormat="1" ht="26">
      <c r="A238" s="23" t="s">
        <v>477</v>
      </c>
      <c r="B238" s="23" t="s">
        <v>478</v>
      </c>
      <c r="C238" s="16" t="s">
        <v>21</v>
      </c>
      <c r="D238" s="16" t="s">
        <v>442</v>
      </c>
      <c r="E238" s="16" t="s">
        <v>26</v>
      </c>
      <c r="F238" s="24" t="s">
        <v>53</v>
      </c>
      <c r="G238" s="2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258000</v>
      </c>
      <c r="N238" s="6">
        <f t="shared" si="22"/>
        <v>0</v>
      </c>
      <c r="O238" s="17">
        <f t="shared" si="23"/>
        <v>0.86</v>
      </c>
      <c r="P238" s="18">
        <v>0</v>
      </c>
      <c r="Q238" s="1">
        <f t="shared" si="24"/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884000</v>
      </c>
      <c r="N239" s="6">
        <f t="shared" si="22"/>
        <v>1</v>
      </c>
      <c r="O239" s="17">
        <f t="shared" si="23"/>
        <v>0.14688241968418822</v>
      </c>
      <c r="P239" s="18">
        <v>0</v>
      </c>
      <c r="Q239" s="1">
        <f t="shared" si="24"/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0</v>
      </c>
      <c r="J240" s="1">
        <f t="shared" si="20"/>
        <v>0</v>
      </c>
      <c r="K240" s="5">
        <f t="shared" si="21"/>
        <v>0</v>
      </c>
      <c r="L240" s="2">
        <v>1233517.793070439</v>
      </c>
      <c r="M240" s="2">
        <v>336000</v>
      </c>
      <c r="N240" s="6">
        <f t="shared" si="22"/>
        <v>1</v>
      </c>
      <c r="O240" s="17">
        <f t="shared" si="23"/>
        <v>0.27239169299993471</v>
      </c>
      <c r="P240" s="18">
        <v>0</v>
      </c>
      <c r="Q240" s="1">
        <f t="shared" si="24"/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4760000</v>
      </c>
      <c r="N241" s="6">
        <f t="shared" si="22"/>
        <v>1</v>
      </c>
      <c r="O241" s="17">
        <f t="shared" si="23"/>
        <v>0.23942874313893295</v>
      </c>
      <c r="P241" s="18">
        <v>0</v>
      </c>
      <c r="Q241" s="1">
        <f t="shared" si="24"/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0</v>
      </c>
      <c r="J242" s="1">
        <f t="shared" si="20"/>
        <v>0</v>
      </c>
      <c r="K242" s="5">
        <f t="shared" si="21"/>
        <v>0</v>
      </c>
      <c r="L242" s="2">
        <v>1233517.793070439</v>
      </c>
      <c r="M242" s="2">
        <v>675000</v>
      </c>
      <c r="N242" s="6">
        <f t="shared" si="22"/>
        <v>1</v>
      </c>
      <c r="O242" s="17">
        <f t="shared" si="23"/>
        <v>0.54721545468736876</v>
      </c>
      <c r="P242" s="18">
        <v>3</v>
      </c>
      <c r="Q242" s="1">
        <f t="shared" si="24"/>
        <v>1</v>
      </c>
      <c r="R242" s="18">
        <v>7</v>
      </c>
      <c r="S242" s="18">
        <v>3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4168000</v>
      </c>
      <c r="N243" s="6">
        <f t="shared" si="22"/>
        <v>1</v>
      </c>
      <c r="O243" s="17">
        <f t="shared" si="23"/>
        <v>1.6348444799362554</v>
      </c>
      <c r="P243" s="18">
        <v>3</v>
      </c>
      <c r="Q243" s="1">
        <f t="shared" si="24"/>
        <v>1</v>
      </c>
      <c r="R243" s="18">
        <v>7</v>
      </c>
      <c r="S243" s="18">
        <v>3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3</v>
      </c>
      <c r="J244" s="1">
        <f t="shared" si="20"/>
        <v>1</v>
      </c>
      <c r="K244" s="5">
        <f t="shared" si="21"/>
        <v>0.96215334420880883</v>
      </c>
      <c r="L244" s="2">
        <v>22463880</v>
      </c>
      <c r="M244" s="2">
        <v>2060000</v>
      </c>
      <c r="N244" s="6">
        <f t="shared" si="22"/>
        <v>1</v>
      </c>
      <c r="O244" s="17">
        <f t="shared" si="23"/>
        <v>9.170276906749858E-2</v>
      </c>
      <c r="P244" s="18">
        <v>0</v>
      </c>
      <c r="Q244" s="1">
        <f t="shared" si="24"/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426000</v>
      </c>
      <c r="N245" s="6">
        <f t="shared" si="22"/>
        <v>1</v>
      </c>
      <c r="O245" s="17">
        <f t="shared" si="23"/>
        <v>0.34535375362491721</v>
      </c>
      <c r="P245" s="18">
        <v>0</v>
      </c>
      <c r="Q245" s="1">
        <f t="shared" si="24"/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3</v>
      </c>
      <c r="J246" s="1">
        <f t="shared" si="20"/>
        <v>1</v>
      </c>
      <c r="K246" s="5">
        <f t="shared" si="21"/>
        <v>1</v>
      </c>
      <c r="L246" s="2">
        <v>1233517.793070439</v>
      </c>
      <c r="M246" s="2">
        <v>792000</v>
      </c>
      <c r="N246" s="6">
        <f t="shared" si="22"/>
        <v>1</v>
      </c>
      <c r="O246" s="17">
        <f t="shared" si="23"/>
        <v>0.64206613349984609</v>
      </c>
      <c r="P246" s="18">
        <v>0</v>
      </c>
      <c r="Q246" s="1">
        <f t="shared" si="24"/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1290000</v>
      </c>
      <c r="N247" s="6">
        <f t="shared" si="22"/>
        <v>1</v>
      </c>
      <c r="O247" s="17">
        <f t="shared" si="23"/>
        <v>1.0457895356247493</v>
      </c>
      <c r="P247" s="18">
        <v>0</v>
      </c>
      <c r="Q247" s="1">
        <f t="shared" si="24"/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9</v>
      </c>
      <c r="J248" s="1">
        <f t="shared" si="20"/>
        <v>1</v>
      </c>
      <c r="K248" s="5">
        <f t="shared" si="21"/>
        <v>3.0926357492425995</v>
      </c>
      <c r="L248" s="2">
        <v>12908778</v>
      </c>
      <c r="M248" s="2">
        <v>1925000</v>
      </c>
      <c r="N248" s="6">
        <f t="shared" si="22"/>
        <v>1</v>
      </c>
      <c r="O248" s="17">
        <f t="shared" si="23"/>
        <v>0.14912333297543734</v>
      </c>
      <c r="P248" s="18">
        <v>20</v>
      </c>
      <c r="Q248" s="1">
        <f t="shared" si="24"/>
        <v>1</v>
      </c>
      <c r="R248" s="18">
        <v>5</v>
      </c>
      <c r="S248" s="18">
        <v>20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307000</v>
      </c>
      <c r="N249" s="6">
        <f t="shared" si="22"/>
        <v>1</v>
      </c>
      <c r="O249" s="17">
        <f t="shared" si="23"/>
        <v>0.24888169568744034</v>
      </c>
      <c r="P249" s="18">
        <v>0</v>
      </c>
      <c r="Q249" s="1">
        <f t="shared" si="24"/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336000</v>
      </c>
      <c r="N250" s="6">
        <f t="shared" si="22"/>
        <v>1</v>
      </c>
      <c r="O250" s="17">
        <f t="shared" si="23"/>
        <v>0.27239169299993471</v>
      </c>
      <c r="P250" s="18">
        <v>5</v>
      </c>
      <c r="Q250" s="1">
        <f t="shared" si="24"/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481000</v>
      </c>
      <c r="N251" s="6">
        <f t="shared" si="22"/>
        <v>1</v>
      </c>
      <c r="O251" s="17">
        <f t="shared" si="23"/>
        <v>0.3899416795624065</v>
      </c>
      <c r="P251" s="18">
        <v>5</v>
      </c>
      <c r="Q251" s="1">
        <f t="shared" si="24"/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 t="shared" si="20"/>
        <v>0</v>
      </c>
      <c r="K252" s="5">
        <f t="shared" si="21"/>
        <v>0</v>
      </c>
      <c r="L252" s="2">
        <v>2781339.4120799541</v>
      </c>
      <c r="M252" s="2">
        <v>2140000</v>
      </c>
      <c r="N252" s="6">
        <f t="shared" si="22"/>
        <v>1</v>
      </c>
      <c r="O252" s="17">
        <f t="shared" si="23"/>
        <v>0.76941346701719349</v>
      </c>
      <c r="P252" s="18">
        <v>2</v>
      </c>
      <c r="Q252" s="1">
        <f t="shared" si="24"/>
        <v>0</v>
      </c>
      <c r="R252" s="18">
        <v>7</v>
      </c>
      <c r="S252" s="18">
        <v>2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1215000</v>
      </c>
      <c r="N253" s="6">
        <f t="shared" si="22"/>
        <v>1</v>
      </c>
      <c r="O253" s="17">
        <f t="shared" si="23"/>
        <v>0.47656814854187868</v>
      </c>
      <c r="P253" s="18">
        <v>2</v>
      </c>
      <c r="Q253" s="1">
        <f t="shared" si="24"/>
        <v>0</v>
      </c>
      <c r="R253" s="18">
        <v>6</v>
      </c>
      <c r="S253" s="18">
        <v>2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1864000</v>
      </c>
      <c r="N254" s="6">
        <f t="shared" si="22"/>
        <v>1</v>
      </c>
      <c r="O254" s="17">
        <f t="shared" si="23"/>
        <v>1.5111253444996378</v>
      </c>
      <c r="P254" s="18">
        <v>0</v>
      </c>
      <c r="Q254" s="1">
        <f t="shared" si="24"/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847000</v>
      </c>
      <c r="N255" s="6">
        <f t="shared" si="22"/>
        <v>1</v>
      </c>
      <c r="O255" s="17">
        <f t="shared" si="23"/>
        <v>0.68665405943733537</v>
      </c>
      <c r="P255" s="18">
        <v>5</v>
      </c>
      <c r="Q255" s="1">
        <f t="shared" si="24"/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9</v>
      </c>
      <c r="J256" s="4">
        <f t="shared" si="20"/>
        <v>1</v>
      </c>
      <c r="K256" s="5">
        <f t="shared" si="21"/>
        <v>3</v>
      </c>
      <c r="L256" s="2">
        <v>22463880</v>
      </c>
      <c r="M256" s="2">
        <v>5130000</v>
      </c>
      <c r="N256" s="6">
        <f t="shared" si="22"/>
        <v>1</v>
      </c>
      <c r="O256" s="17">
        <f t="shared" si="23"/>
        <v>0.22836660452246005</v>
      </c>
      <c r="P256" s="18">
        <v>9</v>
      </c>
      <c r="Q256" s="1">
        <f t="shared" si="24"/>
        <v>1</v>
      </c>
      <c r="R256" s="18">
        <v>5</v>
      </c>
      <c r="S256" s="18">
        <v>9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883000</v>
      </c>
      <c r="N257" s="6">
        <f t="shared" si="22"/>
        <v>1</v>
      </c>
      <c r="O257" s="17">
        <f t="shared" si="23"/>
        <v>0.7158388836873284</v>
      </c>
      <c r="P257" s="18">
        <v>0</v>
      </c>
      <c r="Q257" s="1">
        <f t="shared" si="24"/>
        <v>0</v>
      </c>
      <c r="R257" s="18">
        <v>14</v>
      </c>
      <c r="S257" s="18">
        <v>0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426000</v>
      </c>
      <c r="N258" s="6">
        <f t="shared" si="22"/>
        <v>1</v>
      </c>
      <c r="O258" s="17">
        <f t="shared" si="23"/>
        <v>0.34535375362491721</v>
      </c>
      <c r="P258" s="18">
        <v>0</v>
      </c>
      <c r="Q258" s="1">
        <f t="shared" si="24"/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3</v>
      </c>
      <c r="J259" s="4">
        <f t="shared" si="20"/>
        <v>1</v>
      </c>
      <c r="K259" s="5">
        <f t="shared" si="21"/>
        <v>0.33563488751470094</v>
      </c>
      <c r="L259" s="2">
        <v>1233517.793070439</v>
      </c>
      <c r="M259" s="2">
        <v>1315000</v>
      </c>
      <c r="N259" s="6">
        <f t="shared" si="22"/>
        <v>1</v>
      </c>
      <c r="O259" s="17">
        <f t="shared" si="23"/>
        <v>1.0660567746872445</v>
      </c>
      <c r="P259" s="18">
        <v>24</v>
      </c>
      <c r="Q259" s="1">
        <f t="shared" si="24"/>
        <v>1</v>
      </c>
      <c r="R259" s="18">
        <v>11</v>
      </c>
      <c r="S259" s="18">
        <v>27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1092000</v>
      </c>
      <c r="N260" s="6">
        <f t="shared" si="22"/>
        <v>1</v>
      </c>
      <c r="O260" s="17">
        <f t="shared" si="23"/>
        <v>0.88527300224978778</v>
      </c>
      <c r="P260" s="18">
        <v>0</v>
      </c>
      <c r="Q260" s="1">
        <f t="shared" si="24"/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17">
        <f t="shared" si="23"/>
        <v>0.9428168472160624</v>
      </c>
      <c r="P261" s="18">
        <v>1</v>
      </c>
      <c r="Q261" s="1">
        <f t="shared" si="24"/>
        <v>0</v>
      </c>
      <c r="R261" s="18">
        <v>14</v>
      </c>
      <c r="S261" s="18">
        <v>1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3</v>
      </c>
      <c r="J262" s="4">
        <f t="shared" si="20"/>
        <v>1</v>
      </c>
      <c r="K262" s="5">
        <f t="shared" si="21"/>
        <v>0.14285714285714285</v>
      </c>
      <c r="L262" s="2">
        <v>2198816.5908757159</v>
      </c>
      <c r="M262" s="2">
        <v>1634000</v>
      </c>
      <c r="N262" s="6">
        <f t="shared" si="22"/>
        <v>1</v>
      </c>
      <c r="O262" s="17">
        <f t="shared" si="23"/>
        <v>0.74312701058401232</v>
      </c>
      <c r="P262" s="18">
        <v>4</v>
      </c>
      <c r="Q262" s="1">
        <f t="shared" si="24"/>
        <v>1</v>
      </c>
      <c r="R262" s="18">
        <v>13</v>
      </c>
      <c r="S262" s="18">
        <v>4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17">
        <f t="shared" si="23"/>
        <v>1.054492693493966</v>
      </c>
      <c r="P263" s="18">
        <v>0</v>
      </c>
      <c r="Q263" s="1">
        <f t="shared" si="24"/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17">
        <f t="shared" si="23"/>
        <v>0.69677334980644912</v>
      </c>
      <c r="P264" s="18">
        <v>1</v>
      </c>
      <c r="Q264" s="1">
        <f t="shared" si="24"/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17">
        <f t="shared" si="23"/>
        <v>3.6489008415918157E-2</v>
      </c>
      <c r="P265" s="18">
        <v>1</v>
      </c>
      <c r="Q265" s="1">
        <f t="shared" si="24"/>
        <v>0</v>
      </c>
      <c r="R265" s="18">
        <v>10</v>
      </c>
      <c r="S265" s="18">
        <v>1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4034000</v>
      </c>
      <c r="N266" s="6">
        <f t="shared" si="22"/>
        <v>1</v>
      </c>
      <c r="O266" s="17">
        <f t="shared" si="23"/>
        <v>0.34098464206127665</v>
      </c>
      <c r="P266" s="18">
        <v>9</v>
      </c>
      <c r="Q266" s="1">
        <f t="shared" si="24"/>
        <v>1</v>
      </c>
      <c r="R266" s="18">
        <v>8</v>
      </c>
      <c r="S266" s="18">
        <v>9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17">
        <f t="shared" si="23"/>
        <v>0</v>
      </c>
      <c r="P267" s="18">
        <v>0</v>
      </c>
      <c r="Q267" s="1">
        <f t="shared" si="24"/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17">
        <f t="shared" si="23"/>
        <v>0.11427391977004032</v>
      </c>
      <c r="P268" s="18">
        <v>0</v>
      </c>
      <c r="Q268" s="1">
        <f t="shared" si="24"/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17">
        <f t="shared" si="23"/>
        <v>0.32511783237877817</v>
      </c>
      <c r="P269" s="18">
        <v>0</v>
      </c>
      <c r="Q269" s="1">
        <f t="shared" si="24"/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17">
        <f t="shared" si="23"/>
        <v>0</v>
      </c>
      <c r="P270" s="18">
        <v>0</v>
      </c>
      <c r="Q270" s="1">
        <f t="shared" si="24"/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0</v>
      </c>
      <c r="N271" s="6">
        <f t="shared" si="22"/>
        <v>0</v>
      </c>
      <c r="O271" s="17">
        <f t="shared" si="23"/>
        <v>0</v>
      </c>
      <c r="P271" s="18">
        <v>1</v>
      </c>
      <c r="Q271" s="1">
        <f t="shared" si="24"/>
        <v>0</v>
      </c>
      <c r="R271" s="18">
        <v>10</v>
      </c>
      <c r="S271" s="18">
        <v>1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17">
        <f t="shared" si="23"/>
        <v>0</v>
      </c>
      <c r="P272" s="18">
        <v>0</v>
      </c>
      <c r="Q272" s="1">
        <f t="shared" si="24"/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17634262</v>
      </c>
      <c r="B273" s="16" t="s">
        <v>355</v>
      </c>
      <c r="C273" s="16" t="s">
        <v>35</v>
      </c>
      <c r="D273" s="16" t="s">
        <v>442</v>
      </c>
      <c r="E273" s="16" t="s">
        <v>26</v>
      </c>
      <c r="F273" s="16" t="s">
        <v>135</v>
      </c>
      <c r="G273" s="21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426000</v>
      </c>
      <c r="N273" s="6">
        <f t="shared" si="22"/>
        <v>1</v>
      </c>
      <c r="O273" s="17">
        <f t="shared" si="23"/>
        <v>0.34535375362491721</v>
      </c>
      <c r="P273" s="18">
        <v>5</v>
      </c>
      <c r="Q273" s="1">
        <f t="shared" si="24"/>
        <v>1</v>
      </c>
      <c r="R273" s="18">
        <v>8</v>
      </c>
      <c r="S273" s="18">
        <v>5</v>
      </c>
      <c r="T273" s="18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16">
        <v>17379579</v>
      </c>
      <c r="B274" s="16" t="s">
        <v>357</v>
      </c>
      <c r="C274" s="16" t="s">
        <v>35</v>
      </c>
      <c r="D274" s="16" t="s">
        <v>442</v>
      </c>
      <c r="E274" s="16" t="s">
        <v>22</v>
      </c>
      <c r="F274" s="16" t="s">
        <v>38</v>
      </c>
      <c r="G274" s="21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17">
        <f t="shared" si="23"/>
        <v>0.68097923249983672</v>
      </c>
      <c r="P274" s="18">
        <v>0</v>
      </c>
      <c r="Q274" s="1">
        <f t="shared" si="24"/>
        <v>0</v>
      </c>
      <c r="R274" s="18">
        <v>9</v>
      </c>
      <c r="S274" s="18">
        <v>0</v>
      </c>
      <c r="T274" s="18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16">
        <v>658678</v>
      </c>
      <c r="B275" s="16" t="s">
        <v>360</v>
      </c>
      <c r="C275" s="16" t="s">
        <v>35</v>
      </c>
      <c r="D275" s="16" t="s">
        <v>440</v>
      </c>
      <c r="E275" s="16" t="s">
        <v>22</v>
      </c>
      <c r="F275" s="16" t="s">
        <v>85</v>
      </c>
      <c r="G275" s="21" t="s">
        <v>441</v>
      </c>
      <c r="H275" s="7">
        <v>50</v>
      </c>
      <c r="I275" s="1">
        <v>3</v>
      </c>
      <c r="J275" s="4">
        <f t="shared" si="20"/>
        <v>1</v>
      </c>
      <c r="K275" s="5">
        <f t="shared" si="21"/>
        <v>0.06</v>
      </c>
      <c r="L275" s="2">
        <v>23626053.564346101</v>
      </c>
      <c r="M275" s="2">
        <v>1590000</v>
      </c>
      <c r="N275" s="6">
        <f t="shared" si="22"/>
        <v>1</v>
      </c>
      <c r="O275" s="17">
        <f t="shared" si="23"/>
        <v>6.7298586099857866E-2</v>
      </c>
      <c r="P275" s="18">
        <v>0</v>
      </c>
      <c r="Q275" s="1">
        <f t="shared" si="24"/>
        <v>0</v>
      </c>
      <c r="R275" s="18">
        <v>38</v>
      </c>
      <c r="S275" s="18">
        <v>0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16">
        <v>17611830</v>
      </c>
      <c r="B276" s="16" t="s">
        <v>373</v>
      </c>
      <c r="C276" s="16" t="s">
        <v>35</v>
      </c>
      <c r="D276" s="16" t="s">
        <v>442</v>
      </c>
      <c r="E276" s="16" t="s">
        <v>22</v>
      </c>
      <c r="F276" s="16" t="s">
        <v>96</v>
      </c>
      <c r="G276" s="21" t="s">
        <v>441</v>
      </c>
      <c r="H276" s="7">
        <v>5.8202780603594357</v>
      </c>
      <c r="I276" s="1">
        <v>3</v>
      </c>
      <c r="J276" s="1">
        <f t="shared" si="20"/>
        <v>1</v>
      </c>
      <c r="K276" s="5">
        <f t="shared" si="21"/>
        <v>0.51543929154043422</v>
      </c>
      <c r="L276" s="2">
        <v>1233517.793070439</v>
      </c>
      <c r="M276" s="2">
        <v>571000</v>
      </c>
      <c r="N276" s="6">
        <f t="shared" si="22"/>
        <v>1</v>
      </c>
      <c r="O276" s="17">
        <f t="shared" si="23"/>
        <v>0.462903740187389</v>
      </c>
      <c r="P276" s="18">
        <v>0</v>
      </c>
      <c r="Q276" s="1">
        <f t="shared" si="24"/>
        <v>0</v>
      </c>
      <c r="R276" s="18">
        <v>8</v>
      </c>
      <c r="S276" s="18">
        <v>0</v>
      </c>
      <c r="T276" s="18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16">
        <v>17697397</v>
      </c>
      <c r="B277" s="16" t="s">
        <v>374</v>
      </c>
      <c r="C277" s="16" t="s">
        <v>35</v>
      </c>
      <c r="D277" s="16" t="s">
        <v>442</v>
      </c>
      <c r="E277" s="16" t="s">
        <v>26</v>
      </c>
      <c r="F277" s="16" t="s">
        <v>85</v>
      </c>
      <c r="G277" s="21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1350000</v>
      </c>
      <c r="N277" s="6">
        <f t="shared" si="22"/>
        <v>1</v>
      </c>
      <c r="O277" s="17">
        <f t="shared" si="23"/>
        <v>1.0944309093747375</v>
      </c>
      <c r="P277" s="18">
        <v>5</v>
      </c>
      <c r="Q277" s="1">
        <f t="shared" si="24"/>
        <v>1</v>
      </c>
      <c r="R277" s="18">
        <v>8</v>
      </c>
      <c r="S277" s="18">
        <v>5</v>
      </c>
      <c r="T277" s="18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16">
        <v>17750185</v>
      </c>
      <c r="B278" s="16" t="s">
        <v>377</v>
      </c>
      <c r="C278" s="16" t="s">
        <v>35</v>
      </c>
      <c r="D278" s="16" t="s">
        <v>442</v>
      </c>
      <c r="E278" s="16" t="s">
        <v>26</v>
      </c>
      <c r="F278" s="16" t="s">
        <v>126</v>
      </c>
      <c r="G278" s="21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17">
        <f t="shared" si="23"/>
        <v>0</v>
      </c>
      <c r="P278" s="18">
        <v>0</v>
      </c>
      <c r="Q278" s="1">
        <f t="shared" si="24"/>
        <v>0</v>
      </c>
      <c r="R278" s="18">
        <v>7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1233517.793070439</v>
      </c>
      <c r="M279" s="2">
        <v>618000</v>
      </c>
      <c r="N279" s="6">
        <f t="shared" si="22"/>
        <v>1</v>
      </c>
      <c r="O279" s="17">
        <f t="shared" si="23"/>
        <v>0.50100614962487988</v>
      </c>
      <c r="P279" s="18">
        <v>0</v>
      </c>
      <c r="Q279" s="1">
        <f t="shared" si="24"/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 t="shared" si="20"/>
        <v>0</v>
      </c>
      <c r="K280" s="5">
        <f t="shared" si="21"/>
        <v>0</v>
      </c>
      <c r="L280" s="2">
        <v>1233517.793070439</v>
      </c>
      <c r="M280" s="2">
        <v>618000</v>
      </c>
      <c r="N280" s="6">
        <f t="shared" si="22"/>
        <v>1</v>
      </c>
      <c r="O280" s="17">
        <f t="shared" si="23"/>
        <v>0.50100614962487988</v>
      </c>
      <c r="P280" s="18">
        <v>0</v>
      </c>
      <c r="Q280" s="1">
        <f t="shared" si="24"/>
        <v>0</v>
      </c>
      <c r="R280" s="18">
        <v>5</v>
      </c>
      <c r="S280" s="18">
        <v>0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 t="shared" si="20"/>
        <v>0</v>
      </c>
      <c r="K281" s="5">
        <f t="shared" si="21"/>
        <v>0</v>
      </c>
      <c r="L281" s="2">
        <v>2549477.9785796599</v>
      </c>
      <c r="M281" s="2">
        <v>618000</v>
      </c>
      <c r="N281" s="6">
        <f t="shared" si="22"/>
        <v>1</v>
      </c>
      <c r="O281" s="17">
        <f t="shared" si="23"/>
        <v>0.24240256444352348</v>
      </c>
      <c r="P281" s="18">
        <v>0</v>
      </c>
      <c r="Q281" s="1">
        <f t="shared" si="24"/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624400</v>
      </c>
      <c r="N282" s="6">
        <f t="shared" si="22"/>
        <v>1</v>
      </c>
      <c r="O282" s="17">
        <f t="shared" si="23"/>
        <v>3.1407417482342381E-2</v>
      </c>
      <c r="P282" s="18">
        <v>0</v>
      </c>
      <c r="Q282" s="1">
        <f t="shared" si="24"/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1424400</v>
      </c>
      <c r="N283" s="6">
        <f t="shared" si="22"/>
        <v>1</v>
      </c>
      <c r="O283" s="17">
        <f t="shared" si="23"/>
        <v>1.1547462128247232</v>
      </c>
      <c r="P283" s="18">
        <v>0</v>
      </c>
      <c r="Q283" s="1">
        <f t="shared" si="24"/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524400</v>
      </c>
      <c r="N284" s="6">
        <f t="shared" ref="N284:N315" si="27">IF(M284&gt;=300000,1,0)</f>
        <v>1</v>
      </c>
      <c r="O284" s="17">
        <f t="shared" ref="O284:O315" si="28">M284/L284</f>
        <v>8.7132512310393997E-2</v>
      </c>
      <c r="P284" s="18">
        <v>0</v>
      </c>
      <c r="Q284" s="1">
        <f t="shared" ref="Q284:Q315" si="29">IF(P284&gt;=3,1,0)</f>
        <v>0</v>
      </c>
      <c r="R284" s="18">
        <v>7</v>
      </c>
      <c r="S284" s="18">
        <v>0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25" customFormat="1" ht="26">
      <c r="A285" s="23">
        <v>17677945</v>
      </c>
      <c r="B285" s="23" t="s">
        <v>472</v>
      </c>
      <c r="C285" s="16" t="s">
        <v>31</v>
      </c>
      <c r="D285" s="16" t="s">
        <v>442</v>
      </c>
      <c r="E285" s="16" t="s">
        <v>26</v>
      </c>
      <c r="F285" s="24" t="s">
        <v>90</v>
      </c>
      <c r="G285" s="23" t="s">
        <v>441</v>
      </c>
      <c r="H285" s="7">
        <v>2.7022719565954572</v>
      </c>
      <c r="I285" s="1">
        <v>3</v>
      </c>
      <c r="J285" s="1">
        <f t="shared" si="25"/>
        <v>1</v>
      </c>
      <c r="K285" s="5">
        <f t="shared" si="26"/>
        <v>1.1101769356255486</v>
      </c>
      <c r="L285" s="2">
        <v>300000</v>
      </c>
      <c r="M285" s="2">
        <v>222000</v>
      </c>
      <c r="N285" s="6">
        <f t="shared" si="27"/>
        <v>0</v>
      </c>
      <c r="O285" s="17">
        <f t="shared" si="28"/>
        <v>0.74</v>
      </c>
      <c r="P285" s="18">
        <v>0</v>
      </c>
      <c r="Q285" s="1">
        <f t="shared" si="29"/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17">
        <f t="shared" si="28"/>
        <v>0.42041205437612156</v>
      </c>
      <c r="P286" s="18">
        <v>1</v>
      </c>
      <c r="Q286" s="1">
        <f t="shared" si="29"/>
        <v>0</v>
      </c>
      <c r="R286" s="18">
        <v>11</v>
      </c>
      <c r="S286" s="18">
        <v>1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17">
        <f t="shared" si="28"/>
        <v>1.8044131700220314</v>
      </c>
      <c r="P287" s="18">
        <v>3</v>
      </c>
      <c r="Q287" s="1">
        <f t="shared" si="29"/>
        <v>1</v>
      </c>
      <c r="R287" s="18">
        <v>11</v>
      </c>
      <c r="S287" s="18">
        <v>3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17">
        <f t="shared" si="28"/>
        <v>1.7685102122102965</v>
      </c>
      <c r="P288" s="18">
        <v>0</v>
      </c>
      <c r="Q288" s="1">
        <f t="shared" si="29"/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17">
        <f t="shared" si="28"/>
        <v>0.18912608373118309</v>
      </c>
      <c r="P289" s="18">
        <v>2</v>
      </c>
      <c r="Q289" s="1">
        <f t="shared" si="29"/>
        <v>0</v>
      </c>
      <c r="R289" s="18">
        <v>10</v>
      </c>
      <c r="S289" s="18">
        <v>2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17">
        <f t="shared" si="28"/>
        <v>0</v>
      </c>
      <c r="P290" s="18">
        <v>6</v>
      </c>
      <c r="Q290" s="1">
        <f t="shared" si="29"/>
        <v>1</v>
      </c>
      <c r="R290" s="18">
        <v>11</v>
      </c>
      <c r="S290" s="18">
        <v>6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17">
        <f t="shared" si="28"/>
        <v>0.25987804979769791</v>
      </c>
      <c r="P291" s="18">
        <v>3</v>
      </c>
      <c r="Q291" s="1">
        <f t="shared" si="29"/>
        <v>1</v>
      </c>
      <c r="R291" s="18">
        <v>9</v>
      </c>
      <c r="S291" s="18">
        <v>3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9</v>
      </c>
      <c r="J292" s="1">
        <f t="shared" si="25"/>
        <v>1</v>
      </c>
      <c r="K292" s="5">
        <f t="shared" si="26"/>
        <v>1.5285459411239974</v>
      </c>
      <c r="L292" s="2">
        <v>2151055.2636527219</v>
      </c>
      <c r="M292" s="2">
        <v>4910000</v>
      </c>
      <c r="N292" s="6">
        <f t="shared" si="27"/>
        <v>1</v>
      </c>
      <c r="O292" s="17">
        <f t="shared" si="28"/>
        <v>2.2826005835211758</v>
      </c>
      <c r="P292" s="18">
        <v>1</v>
      </c>
      <c r="Q292" s="1">
        <f t="shared" si="29"/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17">
        <f t="shared" si="28"/>
        <v>2.6502633267686577</v>
      </c>
      <c r="P293" s="18">
        <v>13</v>
      </c>
      <c r="Q293" s="1">
        <f t="shared" si="29"/>
        <v>1</v>
      </c>
      <c r="R293" s="18">
        <v>7</v>
      </c>
      <c r="S293" s="18">
        <v>13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0</v>
      </c>
      <c r="N294" s="6">
        <f t="shared" si="27"/>
        <v>0</v>
      </c>
      <c r="O294" s="17">
        <f t="shared" si="28"/>
        <v>0</v>
      </c>
      <c r="P294" s="18">
        <v>1</v>
      </c>
      <c r="Q294" s="1">
        <f t="shared" si="29"/>
        <v>0</v>
      </c>
      <c r="R294" s="18">
        <v>12</v>
      </c>
      <c r="S294" s="18">
        <v>1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17">
        <f t="shared" si="28"/>
        <v>0</v>
      </c>
      <c r="P295" s="18">
        <v>0</v>
      </c>
      <c r="Q295" s="1">
        <f t="shared" si="29"/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17692847</v>
      </c>
      <c r="B296" s="16" t="s">
        <v>389</v>
      </c>
      <c r="C296" s="16" t="s">
        <v>35</v>
      </c>
      <c r="D296" s="16" t="s">
        <v>442</v>
      </c>
      <c r="E296" s="16" t="s">
        <v>26</v>
      </c>
      <c r="F296" s="16" t="s">
        <v>38</v>
      </c>
      <c r="G296" s="21" t="s">
        <v>441</v>
      </c>
      <c r="H296" s="7">
        <v>5.4045439131909321</v>
      </c>
      <c r="I296" s="1">
        <v>0</v>
      </c>
      <c r="J296" s="4">
        <f t="shared" si="25"/>
        <v>0</v>
      </c>
      <c r="K296" s="5">
        <f t="shared" si="26"/>
        <v>0</v>
      </c>
      <c r="L296" s="2">
        <v>1233517.793070439</v>
      </c>
      <c r="M296" s="2">
        <v>5265000</v>
      </c>
      <c r="N296" s="6">
        <f t="shared" si="27"/>
        <v>1</v>
      </c>
      <c r="O296" s="17">
        <f t="shared" si="28"/>
        <v>4.2682805465614768</v>
      </c>
      <c r="P296" s="18">
        <v>4</v>
      </c>
      <c r="Q296" s="1">
        <f t="shared" si="29"/>
        <v>1</v>
      </c>
      <c r="R296" s="18">
        <v>8</v>
      </c>
      <c r="S296" s="18">
        <v>4</v>
      </c>
      <c r="T296" s="18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16">
        <v>17232381</v>
      </c>
      <c r="B297" s="16" t="s">
        <v>391</v>
      </c>
      <c r="C297" s="16" t="s">
        <v>35</v>
      </c>
      <c r="D297" s="16" t="s">
        <v>442</v>
      </c>
      <c r="E297" s="16" t="s">
        <v>22</v>
      </c>
      <c r="F297" s="16" t="s">
        <v>290</v>
      </c>
      <c r="G297" s="21" t="s">
        <v>441</v>
      </c>
      <c r="H297" s="7">
        <v>5</v>
      </c>
      <c r="I297" s="1">
        <v>3</v>
      </c>
      <c r="J297" s="4">
        <f t="shared" si="25"/>
        <v>1</v>
      </c>
      <c r="K297" s="5">
        <f t="shared" si="26"/>
        <v>0.6</v>
      </c>
      <c r="L297" s="2">
        <v>1233517.793070439</v>
      </c>
      <c r="M297" s="2">
        <v>438000</v>
      </c>
      <c r="N297" s="6">
        <f t="shared" si="27"/>
        <v>1</v>
      </c>
      <c r="O297" s="17">
        <f t="shared" si="28"/>
        <v>0.35508202837491487</v>
      </c>
      <c r="P297" s="18">
        <v>19</v>
      </c>
      <c r="Q297" s="1">
        <f t="shared" si="29"/>
        <v>1</v>
      </c>
      <c r="R297" s="18">
        <v>7</v>
      </c>
      <c r="S297" s="18">
        <v>19</v>
      </c>
      <c r="T297" s="18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17572210</v>
      </c>
      <c r="B298" s="16" t="s">
        <v>394</v>
      </c>
      <c r="C298" s="16" t="s">
        <v>35</v>
      </c>
      <c r="D298" s="16" t="s">
        <v>440</v>
      </c>
      <c r="E298" s="16" t="s">
        <v>22</v>
      </c>
      <c r="F298" s="16" t="s">
        <v>36</v>
      </c>
      <c r="G298" s="21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3320000</v>
      </c>
      <c r="N298" s="6">
        <f t="shared" si="27"/>
        <v>1</v>
      </c>
      <c r="O298" s="17">
        <f t="shared" si="28"/>
        <v>0.16699651832379359</v>
      </c>
      <c r="P298" s="18">
        <v>0</v>
      </c>
      <c r="Q298" s="1">
        <f t="shared" si="29"/>
        <v>0</v>
      </c>
      <c r="R298" s="18">
        <v>9</v>
      </c>
      <c r="S298" s="18">
        <v>0</v>
      </c>
      <c r="T298" s="18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3</v>
      </c>
      <c r="J299" s="4">
        <f t="shared" si="25"/>
        <v>1</v>
      </c>
      <c r="K299" s="5">
        <f t="shared" si="26"/>
        <v>0.1</v>
      </c>
      <c r="L299" s="2">
        <v>15023810.27342353</v>
      </c>
      <c r="M299" s="2">
        <v>1415000</v>
      </c>
      <c r="N299" s="6">
        <f t="shared" si="27"/>
        <v>1</v>
      </c>
      <c r="O299" s="17">
        <f t="shared" si="28"/>
        <v>9.4183830482941711E-2</v>
      </c>
      <c r="P299" s="18">
        <v>0</v>
      </c>
      <c r="Q299" s="1">
        <f t="shared" si="29"/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3</v>
      </c>
      <c r="J300" s="1">
        <f t="shared" si="25"/>
        <v>1</v>
      </c>
      <c r="K300" s="5">
        <f t="shared" si="26"/>
        <v>0.13829701372074277</v>
      </c>
      <c r="L300" s="2">
        <v>2091802.489278316</v>
      </c>
      <c r="M300" s="2">
        <v>1094000</v>
      </c>
      <c r="N300" s="6">
        <f t="shared" si="27"/>
        <v>1</v>
      </c>
      <c r="O300" s="17">
        <f t="shared" si="28"/>
        <v>0.5229939277763439</v>
      </c>
      <c r="P300" s="18">
        <v>1</v>
      </c>
      <c r="Q300" s="1">
        <f t="shared" si="29"/>
        <v>0</v>
      </c>
      <c r="R300" s="18">
        <v>14</v>
      </c>
      <c r="S300" s="18">
        <v>1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3</v>
      </c>
      <c r="J301" s="4">
        <f t="shared" si="25"/>
        <v>1</v>
      </c>
      <c r="K301" s="5">
        <f t="shared" si="26"/>
        <v>0.44003595274781732</v>
      </c>
      <c r="L301" s="2">
        <v>8369903.2650393397</v>
      </c>
      <c r="M301" s="2">
        <v>4304000</v>
      </c>
      <c r="N301" s="6">
        <f t="shared" si="27"/>
        <v>1</v>
      </c>
      <c r="O301" s="17">
        <f t="shared" si="28"/>
        <v>0.51422338630574016</v>
      </c>
      <c r="P301" s="18">
        <v>1</v>
      </c>
      <c r="Q301" s="1">
        <f t="shared" si="29"/>
        <v>0</v>
      </c>
      <c r="R301" s="18">
        <v>9</v>
      </c>
      <c r="S301" s="18">
        <v>1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3</v>
      </c>
      <c r="J302" s="4">
        <f t="shared" si="25"/>
        <v>1</v>
      </c>
      <c r="K302" s="5">
        <f t="shared" si="26"/>
        <v>0.53782172002510964</v>
      </c>
      <c r="L302" s="2">
        <v>6344894.8123285566</v>
      </c>
      <c r="M302" s="2">
        <v>4205000</v>
      </c>
      <c r="N302" s="6">
        <f t="shared" si="27"/>
        <v>1</v>
      </c>
      <c r="O302" s="17">
        <f t="shared" si="28"/>
        <v>0.66273754323387724</v>
      </c>
      <c r="P302" s="18">
        <v>1</v>
      </c>
      <c r="Q302" s="1">
        <f t="shared" si="29"/>
        <v>0</v>
      </c>
      <c r="R302" s="18">
        <v>8</v>
      </c>
      <c r="S302" s="18">
        <v>1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3</v>
      </c>
      <c r="J303" s="1">
        <f t="shared" si="25"/>
        <v>1</v>
      </c>
      <c r="K303" s="5">
        <f t="shared" si="26"/>
        <v>0.6</v>
      </c>
      <c r="L303" s="2">
        <v>1065113.5078454011</v>
      </c>
      <c r="M303" s="2">
        <v>2434000</v>
      </c>
      <c r="N303" s="6">
        <f t="shared" si="27"/>
        <v>1</v>
      </c>
      <c r="O303" s="17">
        <f t="shared" si="28"/>
        <v>2.2852024522003243</v>
      </c>
      <c r="P303" s="18">
        <v>0</v>
      </c>
      <c r="Q303" s="1">
        <f t="shared" si="29"/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0</v>
      </c>
      <c r="J304" s="4">
        <f t="shared" si="25"/>
        <v>0</v>
      </c>
      <c r="K304" s="5">
        <f t="shared" si="26"/>
        <v>0</v>
      </c>
      <c r="L304" s="2">
        <v>1814391.7728890399</v>
      </c>
      <c r="M304" s="2">
        <v>420000</v>
      </c>
      <c r="N304" s="6">
        <f t="shared" si="27"/>
        <v>1</v>
      </c>
      <c r="O304" s="17">
        <f t="shared" si="28"/>
        <v>0.2314825311025511</v>
      </c>
      <c r="P304" s="18">
        <v>0</v>
      </c>
      <c r="Q304" s="1">
        <f t="shared" si="29"/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3</v>
      </c>
      <c r="J305" s="1">
        <f t="shared" si="25"/>
        <v>1</v>
      </c>
      <c r="K305" s="5">
        <f t="shared" si="26"/>
        <v>0.75</v>
      </c>
      <c r="L305" s="2">
        <v>1560682.1662495269</v>
      </c>
      <c r="M305" s="2">
        <v>1934000</v>
      </c>
      <c r="N305" s="6">
        <f t="shared" si="27"/>
        <v>1</v>
      </c>
      <c r="O305" s="17">
        <f t="shared" si="28"/>
        <v>1.239201704116087</v>
      </c>
      <c r="P305" s="18">
        <v>0</v>
      </c>
      <c r="Q305" s="1">
        <f t="shared" si="29"/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17">
        <f t="shared" si="28"/>
        <v>0</v>
      </c>
      <c r="P306" s="18">
        <v>0</v>
      </c>
      <c r="Q306" s="1">
        <f t="shared" si="29"/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0</v>
      </c>
      <c r="N307" s="6">
        <f t="shared" si="27"/>
        <v>0</v>
      </c>
      <c r="O307" s="17">
        <f t="shared" si="28"/>
        <v>0</v>
      </c>
      <c r="P307" s="18">
        <v>1</v>
      </c>
      <c r="Q307" s="1">
        <f t="shared" si="29"/>
        <v>0</v>
      </c>
      <c r="R307" s="18">
        <v>12</v>
      </c>
      <c r="S307" s="18">
        <v>1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17646915</v>
      </c>
      <c r="B308" s="16" t="s">
        <v>403</v>
      </c>
      <c r="C308" s="16" t="s">
        <v>35</v>
      </c>
      <c r="D308" s="16" t="s">
        <v>442</v>
      </c>
      <c r="E308" s="16" t="s">
        <v>26</v>
      </c>
      <c r="F308" s="16" t="s">
        <v>55</v>
      </c>
      <c r="G308" s="21" t="s">
        <v>441</v>
      </c>
      <c r="H308" s="7">
        <v>3</v>
      </c>
      <c r="I308" s="1">
        <v>0</v>
      </c>
      <c r="J308" s="1">
        <f t="shared" si="25"/>
        <v>0</v>
      </c>
      <c r="K308" s="5">
        <f t="shared" si="26"/>
        <v>0</v>
      </c>
      <c r="L308" s="2">
        <v>1233517.793070439</v>
      </c>
      <c r="M308" s="2">
        <v>1260000</v>
      </c>
      <c r="N308" s="6">
        <f t="shared" si="27"/>
        <v>1</v>
      </c>
      <c r="O308" s="17">
        <f t="shared" si="28"/>
        <v>1.0214688487497552</v>
      </c>
      <c r="P308" s="18">
        <v>5</v>
      </c>
      <c r="Q308" s="1">
        <f t="shared" si="29"/>
        <v>1</v>
      </c>
      <c r="R308" s="18">
        <v>5</v>
      </c>
      <c r="S308" s="18">
        <v>5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440000</v>
      </c>
      <c r="N309" s="6">
        <f t="shared" si="27"/>
        <v>1</v>
      </c>
      <c r="O309" s="17">
        <f t="shared" si="28"/>
        <v>0.35670340749991447</v>
      </c>
      <c r="P309" s="18">
        <v>0</v>
      </c>
      <c r="Q309" s="1">
        <f t="shared" si="29"/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4</v>
      </c>
      <c r="J310" s="4">
        <f t="shared" si="25"/>
        <v>1</v>
      </c>
      <c r="K310" s="5">
        <f t="shared" si="26"/>
        <v>0.76972267536704586</v>
      </c>
      <c r="L310" s="2">
        <v>2549477.9785796599</v>
      </c>
      <c r="M310" s="2">
        <v>1064000</v>
      </c>
      <c r="N310" s="6">
        <f t="shared" si="27"/>
        <v>1</v>
      </c>
      <c r="O310" s="17">
        <f t="shared" si="28"/>
        <v>0.41734033748852589</v>
      </c>
      <c r="P310" s="18">
        <v>2</v>
      </c>
      <c r="Q310" s="1">
        <f t="shared" si="29"/>
        <v>0</v>
      </c>
      <c r="R310" s="18">
        <v>8</v>
      </c>
      <c r="S310" s="18">
        <v>3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390000</v>
      </c>
      <c r="N311" s="6">
        <f t="shared" si="27"/>
        <v>1</v>
      </c>
      <c r="O311" s="17">
        <f t="shared" si="28"/>
        <v>0.31616892937492419</v>
      </c>
      <c r="P311" s="18">
        <v>5</v>
      </c>
      <c r="Q311" s="1">
        <f t="shared" si="29"/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390000</v>
      </c>
      <c r="N312" s="6">
        <f t="shared" si="27"/>
        <v>1</v>
      </c>
      <c r="O312" s="17">
        <f t="shared" si="28"/>
        <v>0.31616892937492419</v>
      </c>
      <c r="P312" s="18">
        <v>0</v>
      </c>
      <c r="Q312" s="1">
        <f t="shared" si="29"/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17648919</v>
      </c>
      <c r="B313" s="16" t="s">
        <v>413</v>
      </c>
      <c r="C313" s="16" t="s">
        <v>35</v>
      </c>
      <c r="D313" s="16" t="s">
        <v>442</v>
      </c>
      <c r="E313" s="16" t="s">
        <v>26</v>
      </c>
      <c r="F313" s="16" t="s">
        <v>55</v>
      </c>
      <c r="G313" s="21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17">
        <f t="shared" si="28"/>
        <v>1.3619584649996734</v>
      </c>
      <c r="P313" s="18">
        <v>5</v>
      </c>
      <c r="Q313" s="1">
        <f t="shared" si="29"/>
        <v>1</v>
      </c>
      <c r="R313" s="18">
        <v>7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16">
        <v>17631792</v>
      </c>
      <c r="B314" s="16" t="s">
        <v>422</v>
      </c>
      <c r="C314" s="16" t="s">
        <v>35</v>
      </c>
      <c r="D314" s="16" t="s">
        <v>442</v>
      </c>
      <c r="E314" s="16" t="s">
        <v>26</v>
      </c>
      <c r="F314" s="16" t="s">
        <v>96</v>
      </c>
      <c r="G314" s="21" t="s">
        <v>441</v>
      </c>
      <c r="H314" s="7">
        <v>7.4832146490335951</v>
      </c>
      <c r="I314" s="1">
        <v>3</v>
      </c>
      <c r="J314" s="1">
        <f t="shared" si="25"/>
        <v>1</v>
      </c>
      <c r="K314" s="5">
        <f t="shared" si="26"/>
        <v>0.40089722675366918</v>
      </c>
      <c r="L314" s="2">
        <v>1233517.793070439</v>
      </c>
      <c r="M314" s="2">
        <v>90000</v>
      </c>
      <c r="N314" s="6">
        <f t="shared" si="27"/>
        <v>0</v>
      </c>
      <c r="O314" s="17">
        <f t="shared" si="28"/>
        <v>7.2962060624982505E-2</v>
      </c>
      <c r="P314" s="18">
        <v>0</v>
      </c>
      <c r="Q314" s="1">
        <f t="shared" si="29"/>
        <v>0</v>
      </c>
      <c r="R314" s="18">
        <v>10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16">
        <v>17061867</v>
      </c>
      <c r="B315" s="16" t="s">
        <v>427</v>
      </c>
      <c r="C315" s="16" t="s">
        <v>35</v>
      </c>
      <c r="D315" s="16" t="s">
        <v>440</v>
      </c>
      <c r="E315" s="16" t="s">
        <v>22</v>
      </c>
      <c r="F315" s="16" t="s">
        <v>85</v>
      </c>
      <c r="G315" s="21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3498000</v>
      </c>
      <c r="N315" s="6">
        <f t="shared" si="27"/>
        <v>1</v>
      </c>
      <c r="O315" s="17">
        <f t="shared" si="28"/>
        <v>1.2213022019850439</v>
      </c>
      <c r="P315" s="18">
        <v>0</v>
      </c>
      <c r="Q315" s="1">
        <f t="shared" si="29"/>
        <v>0</v>
      </c>
      <c r="R315" s="18">
        <v>6</v>
      </c>
      <c r="S315" s="18">
        <v>0</v>
      </c>
      <c r="T315" s="18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865000</v>
      </c>
      <c r="N316" s="6">
        <f t="shared" ref="N316:N325" si="32">IF(M316&gt;=300000,1,0)</f>
        <v>1</v>
      </c>
      <c r="O316" s="17">
        <f t="shared" ref="O316:O325" si="33">M316/L316</f>
        <v>0.21636108597396619</v>
      </c>
      <c r="P316" s="18">
        <v>1</v>
      </c>
      <c r="Q316" s="1">
        <f t="shared" ref="Q316:Q325" si="34">IF(P316&gt;=3,1,0)</f>
        <v>0</v>
      </c>
      <c r="R316" s="18">
        <v>22</v>
      </c>
      <c r="S316" s="18">
        <v>1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17">
        <f t="shared" si="33"/>
        <v>0.38914173628202986</v>
      </c>
      <c r="P317" s="18">
        <v>0</v>
      </c>
      <c r="Q317" s="1">
        <f t="shared" si="34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17">
        <f t="shared" si="33"/>
        <v>0.5126086337833915</v>
      </c>
      <c r="P318" s="18">
        <v>0</v>
      </c>
      <c r="Q318" s="1">
        <f t="shared" si="34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17">
        <f t="shared" si="33"/>
        <v>1.5345619064693143</v>
      </c>
      <c r="P319" s="18">
        <v>100</v>
      </c>
      <c r="Q319" s="1">
        <f t="shared" si="34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103</v>
      </c>
      <c r="J320" s="4">
        <f t="shared" si="30"/>
        <v>1</v>
      </c>
      <c r="K320" s="5">
        <f t="shared" si="31"/>
        <v>12.783608575981409</v>
      </c>
      <c r="L320" s="2">
        <v>2158596.5258458201</v>
      </c>
      <c r="M320" s="2">
        <v>3546500</v>
      </c>
      <c r="N320" s="6">
        <f t="shared" si="32"/>
        <v>1</v>
      </c>
      <c r="O320" s="17">
        <f t="shared" si="33"/>
        <v>1.6429656758621654</v>
      </c>
      <c r="P320" s="18">
        <v>100</v>
      </c>
      <c r="Q320" s="1">
        <f t="shared" si="34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402500</v>
      </c>
      <c r="N321" s="6">
        <f t="shared" si="32"/>
        <v>1</v>
      </c>
      <c r="O321" s="17">
        <f t="shared" si="33"/>
        <v>0.15436353023630622</v>
      </c>
      <c r="P321" s="18">
        <v>0</v>
      </c>
      <c r="Q321" s="1">
        <f t="shared" si="34"/>
        <v>0</v>
      </c>
      <c r="R321" s="18">
        <v>9</v>
      </c>
      <c r="S321" s="18">
        <v>0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1257000</v>
      </c>
      <c r="N322" s="6">
        <f t="shared" si="32"/>
        <v>1</v>
      </c>
      <c r="O322" s="17">
        <f t="shared" si="33"/>
        <v>1.0190367800622557</v>
      </c>
      <c r="P322" s="18">
        <v>5</v>
      </c>
      <c r="Q322" s="1">
        <f t="shared" si="34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438000</v>
      </c>
      <c r="N323" s="6">
        <f t="shared" si="32"/>
        <v>1</v>
      </c>
      <c r="O323" s="17">
        <f t="shared" si="33"/>
        <v>0.35508202837491487</v>
      </c>
      <c r="P323" s="18">
        <v>0</v>
      </c>
      <c r="Q323" s="1">
        <f t="shared" si="34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583000</v>
      </c>
      <c r="N324" s="6">
        <f t="shared" si="32"/>
        <v>1</v>
      </c>
      <c r="O324" s="17">
        <f t="shared" si="33"/>
        <v>0.47263201493738671</v>
      </c>
      <c r="P324" s="18">
        <v>0</v>
      </c>
      <c r="Q324" s="1">
        <f t="shared" si="34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17">
        <f t="shared" si="33"/>
        <v>0</v>
      </c>
      <c r="P325" s="18">
        <v>0</v>
      </c>
      <c r="Q325" s="1">
        <f t="shared" si="34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3</v>
      </c>
      <c r="J326" s="4">
        <f t="shared" ref="J326:J338" si="35">IF(I326&gt;=3,1,0)</f>
        <v>1</v>
      </c>
      <c r="K326" s="5">
        <f t="shared" ref="K326:K338" si="36">I326/H326</f>
        <v>0.29453673802310448</v>
      </c>
      <c r="L326" s="2">
        <v>1233517.793070439</v>
      </c>
      <c r="M326" s="2">
        <v>524400</v>
      </c>
      <c r="N326" s="6">
        <f t="shared" ref="N326:N338" si="37">IF(M326&gt;=300000,1,0)</f>
        <v>1</v>
      </c>
      <c r="O326" s="17">
        <f t="shared" ref="O326:O338" si="38">M326/L326</f>
        <v>0.42512560657489806</v>
      </c>
      <c r="P326" s="18">
        <v>5</v>
      </c>
      <c r="Q326" s="1">
        <f t="shared" ref="Q326:Q338" si="39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16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17">
        <f t="shared" si="38"/>
        <v>0</v>
      </c>
      <c r="P327" s="18">
        <v>0</v>
      </c>
      <c r="Q327" s="1">
        <f t="shared" si="39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313000</v>
      </c>
      <c r="N328" s="6">
        <f t="shared" si="37"/>
        <v>1</v>
      </c>
      <c r="O328" s="17">
        <f t="shared" si="38"/>
        <v>0.25374583306243914</v>
      </c>
      <c r="P328" s="18">
        <v>0</v>
      </c>
      <c r="Q328" s="1">
        <f t="shared" si="39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3</v>
      </c>
      <c r="J329" s="4">
        <f t="shared" si="35"/>
        <v>1</v>
      </c>
      <c r="K329" s="5">
        <f t="shared" si="36"/>
        <v>1.1101769356255486</v>
      </c>
      <c r="L329" s="2">
        <v>300000</v>
      </c>
      <c r="M329" s="2">
        <v>217000</v>
      </c>
      <c r="N329" s="6">
        <f t="shared" si="37"/>
        <v>0</v>
      </c>
      <c r="O329" s="17">
        <f t="shared" si="38"/>
        <v>0.72333333333333338</v>
      </c>
      <c r="P329" s="18">
        <v>0</v>
      </c>
      <c r="Q329" s="1">
        <f t="shared" si="39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800000</v>
      </c>
      <c r="N330" s="6">
        <f t="shared" si="37"/>
        <v>1</v>
      </c>
      <c r="O330" s="17">
        <f t="shared" si="38"/>
        <v>0.22948750692302253</v>
      </c>
      <c r="P330" s="18">
        <v>1</v>
      </c>
      <c r="Q330" s="1">
        <f t="shared" si="39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17">
        <f t="shared" si="38"/>
        <v>0</v>
      </c>
      <c r="P331" s="18">
        <v>0</v>
      </c>
      <c r="Q331" s="1">
        <f t="shared" si="39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 t="shared" si="35"/>
        <v>0</v>
      </c>
      <c r="K332" s="5">
        <f t="shared" si="36"/>
        <v>0</v>
      </c>
      <c r="L332" s="2">
        <v>2549477.9785796599</v>
      </c>
      <c r="M332" s="2">
        <v>1672000</v>
      </c>
      <c r="N332" s="6">
        <f t="shared" si="37"/>
        <v>1</v>
      </c>
      <c r="O332" s="17">
        <f t="shared" si="38"/>
        <v>0.65582053033911203</v>
      </c>
      <c r="P332" s="18">
        <v>1</v>
      </c>
      <c r="Q332" s="1">
        <f t="shared" si="39"/>
        <v>0</v>
      </c>
      <c r="R332" s="18">
        <v>6</v>
      </c>
      <c r="S332" s="18">
        <v>2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481000</v>
      </c>
      <c r="N333" s="6">
        <f t="shared" si="37"/>
        <v>1</v>
      </c>
      <c r="O333" s="17">
        <f t="shared" si="38"/>
        <v>0.3899416795624065</v>
      </c>
      <c r="P333" s="18">
        <v>0</v>
      </c>
      <c r="Q333" s="1">
        <f t="shared" si="39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1094000</v>
      </c>
      <c r="N334" s="6">
        <f t="shared" si="37"/>
        <v>1</v>
      </c>
      <c r="O334" s="17">
        <f t="shared" si="38"/>
        <v>0.88689438137478738</v>
      </c>
      <c r="P334" s="18">
        <v>5</v>
      </c>
      <c r="Q334" s="1">
        <f t="shared" si="39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2590000</v>
      </c>
      <c r="N335" s="6">
        <f t="shared" si="37"/>
        <v>1</v>
      </c>
      <c r="O335" s="17">
        <f t="shared" si="38"/>
        <v>0.13027740435500765</v>
      </c>
      <c r="P335" s="18">
        <v>1</v>
      </c>
      <c r="Q335" s="1">
        <f t="shared" si="39"/>
        <v>0</v>
      </c>
      <c r="R335" s="18">
        <v>5</v>
      </c>
      <c r="S335" s="18">
        <v>1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17">
        <f t="shared" si="38"/>
        <v>0.27227826318460585</v>
      </c>
      <c r="P336" s="18">
        <v>0</v>
      </c>
      <c r="Q336" s="1">
        <f t="shared" si="39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17">
        <f t="shared" si="38"/>
        <v>0.14876037207963561</v>
      </c>
      <c r="P337" s="18">
        <v>0</v>
      </c>
      <c r="Q337" s="1">
        <f t="shared" si="39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3</v>
      </c>
      <c r="J338" s="1">
        <f t="shared" si="35"/>
        <v>1</v>
      </c>
      <c r="K338" s="5">
        <f t="shared" si="36"/>
        <v>0.60504943502824837</v>
      </c>
      <c r="L338" s="2">
        <v>1065113.5078454011</v>
      </c>
      <c r="M338" s="2">
        <v>1069000</v>
      </c>
      <c r="N338" s="6">
        <f t="shared" si="37"/>
        <v>1</v>
      </c>
      <c r="O338" s="17">
        <f t="shared" si="38"/>
        <v>1.0036488995078663</v>
      </c>
      <c r="P338" s="18">
        <v>0</v>
      </c>
      <c r="Q338" s="1">
        <f t="shared" si="39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autoFilter ref="A5:Z338">
    <sortState ref="A92:Z315">
      <sortCondition ref="B5:B338"/>
    </sortState>
  </autoFilter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P7:P338 M7:M338 S7:S338 I7:I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2026-08-19T10:45:15Z</dcterms:modified>
</cp:coreProperties>
</file>