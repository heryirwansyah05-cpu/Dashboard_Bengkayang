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<sst xmlns="http://schemas.openxmlformats.org/spreadsheetml/2006/main" count="2058" uniqueCount="480">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</sst>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U6" sqref="U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1000000</v>
      </c>
      <c r="N16" s="6">
        <f t="shared" si="2"/>
        <v>1</v>
      </c>
      <c r="O16" s="9">
        <f t="shared" si="3"/>
        <v>4.8447749300172809E-2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1700000</v>
      </c>
      <c r="N18" s="6">
        <f t="shared" si="2"/>
        <v>1</v>
      </c>
      <c r="O18" s="9">
        <f t="shared" si="3"/>
        <v>0.38487443481854244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2</v>
      </c>
      <c r="Q21" s="1">
        <f t="shared" si="4"/>
        <v>0</v>
      </c>
      <c r="R21" s="10">
        <v>8</v>
      </c>
      <c r="S21" s="10">
        <v>1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6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2000000</v>
      </c>
      <c r="N42" s="6">
        <f t="shared" si="2"/>
        <v>1</v>
      </c>
      <c r="O42" s="9">
        <f t="shared" si="3"/>
        <v>0.12094945313594024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7</v>
      </c>
      <c r="Q52" s="1">
        <f t="shared" si="4"/>
        <v>1</v>
      </c>
      <c r="R52" s="10">
        <v>7</v>
      </c>
      <c r="S52" s="10">
        <v>6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2109500</v>
      </c>
      <c r="N53" s="6">
        <f t="shared" si="2"/>
        <v>1</v>
      </c>
      <c r="O53" s="9">
        <f t="shared" si="3"/>
        <v>0.19486107276102357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8359000</v>
      </c>
      <c r="N54" s="6">
        <f t="shared" si="2"/>
        <v>1</v>
      </c>
      <c r="O54" s="9">
        <f t="shared" si="3"/>
        <v>0.93009961036531241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2639500</v>
      </c>
      <c r="N55" s="6">
        <f t="shared" si="2"/>
        <v>1</v>
      </c>
      <c r="O55" s="9">
        <f t="shared" si="3"/>
        <v>0.68619354512624064</v>
      </c>
      <c r="P55" s="10">
        <v>4</v>
      </c>
      <c r="Q55" s="1">
        <f t="shared" si="4"/>
        <v>1</v>
      </c>
      <c r="R55" s="10">
        <v>7</v>
      </c>
      <c r="S55" s="10">
        <v>5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3134500</v>
      </c>
      <c r="N57" s="6">
        <f t="shared" si="2"/>
        <v>1</v>
      </c>
      <c r="O57" s="9">
        <f t="shared" si="3"/>
        <v>0.20675996368879196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106</v>
      </c>
      <c r="J58" s="4">
        <f t="shared" si="0"/>
        <v>1</v>
      </c>
      <c r="K58" s="5">
        <f t="shared" si="1"/>
        <v>12.216236211998943</v>
      </c>
      <c r="L58" s="2">
        <v>1893575.0259166521</v>
      </c>
      <c r="M58" s="2">
        <v>5037500</v>
      </c>
      <c r="N58" s="6">
        <f t="shared" si="2"/>
        <v>1</v>
      </c>
      <c r="O58" s="9">
        <f t="shared" si="3"/>
        <v>2.6603118075880938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106</v>
      </c>
      <c r="J59" s="1">
        <f t="shared" si="0"/>
        <v>1</v>
      </c>
      <c r="K59" s="5">
        <f t="shared" si="1"/>
        <v>20.120859643292338</v>
      </c>
      <c r="L59" s="2">
        <v>5325208.4315035222</v>
      </c>
      <c r="M59" s="2">
        <v>4799000</v>
      </c>
      <c r="N59" s="6">
        <f t="shared" si="2"/>
        <v>1</v>
      </c>
      <c r="O59" s="9">
        <f t="shared" si="3"/>
        <v>0.90118538301890427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2513000</v>
      </c>
      <c r="N60" s="6">
        <f t="shared" si="2"/>
        <v>1</v>
      </c>
      <c r="O60" s="9">
        <f t="shared" si="3"/>
        <v>1.3278747954903045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4292500</v>
      </c>
      <c r="N61" s="6">
        <f t="shared" si="2"/>
        <v>1</v>
      </c>
      <c r="O61" s="9">
        <f t="shared" si="3"/>
        <v>2.5117120738341812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3994500</v>
      </c>
      <c r="N62" s="6">
        <f t="shared" si="2"/>
        <v>1</v>
      </c>
      <c r="O62" s="9">
        <f t="shared" si="3"/>
        <v>0.45505658642459551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11722500</v>
      </c>
      <c r="N64" s="6">
        <f t="shared" si="2"/>
        <v>1</v>
      </c>
      <c r="O64" s="9">
        <f t="shared" si="3"/>
        <v>2.6675989364258035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2</v>
      </c>
      <c r="Q65" s="1">
        <f t="shared" si="4"/>
        <v>0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6532000</v>
      </c>
      <c r="N66" s="6">
        <f t="shared" si="2"/>
        <v>1</v>
      </c>
      <c r="O66" s="9">
        <f t="shared" si="3"/>
        <v>1.3749737715841308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4436500</v>
      </c>
      <c r="N67" s="6">
        <f t="shared" si="2"/>
        <v>1</v>
      </c>
      <c r="O67" s="9">
        <f t="shared" si="3"/>
        <v>0.34931522722064379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5970500</v>
      </c>
      <c r="N68" s="6">
        <f t="shared" si="2"/>
        <v>1</v>
      </c>
      <c r="O68" s="9">
        <f t="shared" si="3"/>
        <v>0.52287732658712671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4741500</v>
      </c>
      <c r="N69" s="6">
        <f t="shared" si="2"/>
        <v>1</v>
      </c>
      <c r="O69" s="9">
        <f t="shared" si="3"/>
        <v>0.58291284976674307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6250500</v>
      </c>
      <c r="N70" s="6">
        <f t="shared" ref="N70:N91" si="7">IF(M70&gt;=300000,1,0)</f>
        <v>1</v>
      </c>
      <c r="O70" s="9">
        <f t="shared" ref="O70:O91" si="8">M70/L70</f>
        <v>2.5269513181021952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3849500</v>
      </c>
      <c r="N71" s="6">
        <f t="shared" si="7"/>
        <v>1</v>
      </c>
      <c r="O71" s="9">
        <f t="shared" si="8"/>
        <v>1.7170630525537232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20556500</v>
      </c>
      <c r="N72" s="6">
        <f t="shared" si="7"/>
        <v>1</v>
      </c>
      <c r="O72" s="9">
        <f t="shared" si="8"/>
        <v>1.5000070477865648</v>
      </c>
      <c r="P72" s="10">
        <v>1</v>
      </c>
      <c r="Q72" s="1">
        <f t="shared" si="9"/>
        <v>0</v>
      </c>
      <c r="R72" s="10">
        <v>7</v>
      </c>
      <c r="S72" s="10">
        <v>1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2618000</v>
      </c>
      <c r="N73" s="6">
        <f t="shared" si="7"/>
        <v>1</v>
      </c>
      <c r="O73" s="9">
        <f t="shared" si="8"/>
        <v>0.3022070406173572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2477500</v>
      </c>
      <c r="N74" s="6">
        <f t="shared" si="7"/>
        <v>1</v>
      </c>
      <c r="O74" s="9">
        <f t="shared" si="8"/>
        <v>0.43803454232807154</v>
      </c>
      <c r="P74" s="10">
        <v>5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10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15</v>
      </c>
      <c r="Q78" s="1">
        <f t="shared" si="9"/>
        <v>1</v>
      </c>
      <c r="R78" s="10">
        <v>8</v>
      </c>
      <c r="S78" s="10">
        <v>14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9</v>
      </c>
      <c r="Q84" s="1">
        <f t="shared" si="9"/>
        <v>1</v>
      </c>
      <c r="R84" s="10">
        <v>13</v>
      </c>
      <c r="S84" s="10">
        <v>9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5</v>
      </c>
      <c r="J92" s="4">
        <f t="shared" ref="J92:J155" si="10">IF(I92&gt;=3,1,0)</f>
        <v>1</v>
      </c>
      <c r="K92" s="5">
        <f t="shared" ref="K92:K155" si="11">I92/H92</f>
        <v>0.68725238872057659</v>
      </c>
      <c r="L92" s="2">
        <v>1233517.793070439</v>
      </c>
      <c r="M92" s="2">
        <v>1500000</v>
      </c>
      <c r="N92" s="6">
        <f t="shared" ref="N92:N155" si="12">IF(M92&gt;=300000,1,0)</f>
        <v>1</v>
      </c>
      <c r="O92" s="9">
        <f t="shared" ref="O92:O155" si="13">M92/L92</f>
        <v>1.2160343437497085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986400</v>
      </c>
      <c r="N96" s="6">
        <f t="shared" si="12"/>
        <v>1</v>
      </c>
      <c r="O96" s="9">
        <f t="shared" si="13"/>
        <v>0.3869027339273326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3173400</v>
      </c>
      <c r="N97" s="6">
        <f t="shared" si="12"/>
        <v>1</v>
      </c>
      <c r="O97" s="9">
        <f t="shared" si="13"/>
        <v>2.572642257636883</v>
      </c>
      <c r="P97" s="10">
        <v>4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2667000</v>
      </c>
      <c r="N98" s="6">
        <f t="shared" si="12"/>
        <v>1</v>
      </c>
      <c r="O98" s="9">
        <f t="shared" si="13"/>
        <v>2.1621090631869815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3</v>
      </c>
      <c r="J99" s="4">
        <f t="shared" si="10"/>
        <v>1</v>
      </c>
      <c r="K99" s="5">
        <f t="shared" si="11"/>
        <v>1</v>
      </c>
      <c r="L99" s="2">
        <v>12908778</v>
      </c>
      <c r="M99" s="2">
        <v>1350000</v>
      </c>
      <c r="N99" s="6">
        <f t="shared" si="12"/>
        <v>1</v>
      </c>
      <c r="O99" s="9">
        <f t="shared" si="13"/>
        <v>0.104579999749008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24</v>
      </c>
      <c r="J100" s="1">
        <f t="shared" si="10"/>
        <v>1</v>
      </c>
      <c r="K100" s="5">
        <f t="shared" si="11"/>
        <v>4.8</v>
      </c>
      <c r="L100" s="2">
        <v>1233517.793070439</v>
      </c>
      <c r="M100" s="2">
        <v>2404000</v>
      </c>
      <c r="N100" s="6">
        <f t="shared" si="12"/>
        <v>1</v>
      </c>
      <c r="O100" s="9">
        <f t="shared" si="13"/>
        <v>1.9488977082495327</v>
      </c>
      <c r="P100" s="10">
        <v>1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1666000</v>
      </c>
      <c r="N102" s="6">
        <f t="shared" si="12"/>
        <v>1</v>
      </c>
      <c r="O102" s="9">
        <f t="shared" si="13"/>
        <v>5.6234287040004938E-2</v>
      </c>
      <c r="P102" s="10">
        <v>1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5315000</v>
      </c>
      <c r="N103" s="6">
        <f t="shared" si="12"/>
        <v>1</v>
      </c>
      <c r="O103" s="9">
        <f t="shared" si="13"/>
        <v>0.17940290253158839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853600</v>
      </c>
      <c r="N105" s="6">
        <f t="shared" si="12"/>
        <v>1</v>
      </c>
      <c r="O105" s="9">
        <f t="shared" si="13"/>
        <v>0.69200461054983409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13458600</v>
      </c>
      <c r="N107" s="6">
        <f t="shared" si="12"/>
        <v>1</v>
      </c>
      <c r="O107" s="9">
        <f t="shared" si="13"/>
        <v>10.910746545859885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5733600</v>
      </c>
      <c r="N108" s="6">
        <f t="shared" si="12"/>
        <v>1</v>
      </c>
      <c r="O108" s="9">
        <f t="shared" si="13"/>
        <v>4.6481696755488855</v>
      </c>
      <c r="P108" s="10">
        <v>1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12743400</v>
      </c>
      <c r="N109" s="6">
        <f t="shared" si="12"/>
        <v>1</v>
      </c>
      <c r="O109" s="9">
        <f t="shared" si="13"/>
        <v>10.330941370760023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8223600</v>
      </c>
      <c r="N110" s="6">
        <f t="shared" si="12"/>
        <v>1</v>
      </c>
      <c r="O110" s="9">
        <f t="shared" si="13"/>
        <v>6.6667866861734018</v>
      </c>
      <c r="P110" s="10">
        <v>3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8044400</v>
      </c>
      <c r="N113" s="6">
        <f t="shared" si="12"/>
        <v>1</v>
      </c>
      <c r="O113" s="9">
        <f t="shared" si="13"/>
        <v>2.4563083609913723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8375600</v>
      </c>
      <c r="N114" s="6">
        <f t="shared" si="12"/>
        <v>1</v>
      </c>
      <c r="O114" s="9">
        <f t="shared" si="13"/>
        <v>0.37284743330181608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3</v>
      </c>
      <c r="Q115" s="1">
        <f t="shared" si="14"/>
        <v>1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6440400</v>
      </c>
      <c r="N116" s="6">
        <f t="shared" si="12"/>
        <v>1</v>
      </c>
      <c r="O116" s="9">
        <f t="shared" si="13"/>
        <v>5.2211650583237486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4</v>
      </c>
      <c r="J118" s="4">
        <f t="shared" si="10"/>
        <v>1</v>
      </c>
      <c r="K118" s="5">
        <f t="shared" si="11"/>
        <v>1.3745047774411554</v>
      </c>
      <c r="L118" s="2">
        <v>29626053.564346101</v>
      </c>
      <c r="M118" s="2">
        <v>2347600</v>
      </c>
      <c r="N118" s="6">
        <f t="shared" si="12"/>
        <v>1</v>
      </c>
      <c r="O118" s="9">
        <f t="shared" si="13"/>
        <v>7.9241063778580784E-2</v>
      </c>
      <c r="P118" s="10">
        <v>2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2184000</v>
      </c>
      <c r="N119" s="6">
        <f t="shared" si="12"/>
        <v>1</v>
      </c>
      <c r="O119" s="9">
        <f t="shared" si="13"/>
        <v>0.82430447603920431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3360000</v>
      </c>
      <c r="N121" s="6">
        <f t="shared" si="12"/>
        <v>1</v>
      </c>
      <c r="O121" s="9">
        <f t="shared" si="13"/>
        <v>0.14957344857611418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8075400</v>
      </c>
      <c r="N123" s="6">
        <f t="shared" si="12"/>
        <v>1</v>
      </c>
      <c r="O123" s="9">
        <f t="shared" si="13"/>
        <v>1.8425240254945447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3130900</v>
      </c>
      <c r="N124" s="6">
        <f t="shared" si="12"/>
        <v>1</v>
      </c>
      <c r="O124" s="9">
        <f t="shared" si="13"/>
        <v>1.2280553220327308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1530000</v>
      </c>
      <c r="N125" s="6">
        <f t="shared" si="12"/>
        <v>1</v>
      </c>
      <c r="O125" s="9">
        <f t="shared" si="13"/>
        <v>1.2403550306247026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4923200</v>
      </c>
      <c r="N127" s="6">
        <f t="shared" si="12"/>
        <v>1</v>
      </c>
      <c r="O127" s="9">
        <f t="shared" si="13"/>
        <v>0.81802209116424818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2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1237500</v>
      </c>
      <c r="N128" s="6">
        <f t="shared" si="12"/>
        <v>1</v>
      </c>
      <c r="O128" s="9">
        <f t="shared" si="13"/>
        <v>0.48539348462598758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1714800</v>
      </c>
      <c r="N130" s="6">
        <f t="shared" si="12"/>
        <v>1</v>
      </c>
      <c r="O130" s="9">
        <f t="shared" si="13"/>
        <v>0.13283983968118437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5375600</v>
      </c>
      <c r="N133" s="6">
        <f t="shared" si="12"/>
        <v>1</v>
      </c>
      <c r="O133" s="9">
        <f t="shared" si="13"/>
        <v>2.1085100734993607</v>
      </c>
      <c r="P133" s="10">
        <v>12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2586000</v>
      </c>
      <c r="N134" s="6">
        <f t="shared" si="12"/>
        <v>1</v>
      </c>
      <c r="O134" s="9">
        <f t="shared" si="13"/>
        <v>8.7288034985265758E-2</v>
      </c>
      <c r="P134" s="10">
        <v>8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2966400</v>
      </c>
      <c r="N135" s="6">
        <f t="shared" si="12"/>
        <v>1</v>
      </c>
      <c r="O135" s="9">
        <f t="shared" si="13"/>
        <v>0.92760389762060791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2705200</v>
      </c>
      <c r="N136" s="6">
        <f t="shared" si="12"/>
        <v>1</v>
      </c>
      <c r="O136" s="9">
        <f t="shared" si="13"/>
        <v>0.12042443246669765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3058000</v>
      </c>
      <c r="N137" s="6">
        <f t="shared" si="12"/>
        <v>1</v>
      </c>
      <c r="O137" s="9">
        <f t="shared" si="13"/>
        <v>2.4790886821244058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</v>
      </c>
      <c r="Q138" s="1">
        <f t="shared" si="14"/>
        <v>0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4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2875600</v>
      </c>
      <c r="N140" s="6">
        <f t="shared" si="12"/>
        <v>1</v>
      </c>
      <c r="O140" s="9">
        <f t="shared" si="13"/>
        <v>9.7063214773252221E-2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6</v>
      </c>
      <c r="Q144" s="1">
        <f t="shared" si="14"/>
        <v>1</v>
      </c>
      <c r="R144" s="10">
        <v>7</v>
      </c>
      <c r="S144" s="10">
        <v>6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5898000</v>
      </c>
      <c r="N145" s="6">
        <f t="shared" si="12"/>
        <v>1</v>
      </c>
      <c r="O145" s="9">
        <f t="shared" si="13"/>
        <v>4.7814470396238535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6</v>
      </c>
      <c r="J146" s="4">
        <f t="shared" si="10"/>
        <v>1</v>
      </c>
      <c r="K146" s="5">
        <f t="shared" si="11"/>
        <v>2</v>
      </c>
      <c r="L146" s="2">
        <v>3917572.6875978149</v>
      </c>
      <c r="M146" s="2">
        <v>9790000</v>
      </c>
      <c r="N146" s="6">
        <f t="shared" si="12"/>
        <v>1</v>
      </c>
      <c r="O146" s="9">
        <f t="shared" si="13"/>
        <v>2.4989963890122615</v>
      </c>
      <c r="P146" s="10">
        <v>4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902400</v>
      </c>
      <c r="N148" s="6">
        <f t="shared" si="12"/>
        <v>1</v>
      </c>
      <c r="O148" s="9">
        <f t="shared" si="13"/>
        <v>0.7315662611998246</v>
      </c>
      <c r="P148" s="10">
        <v>0</v>
      </c>
      <c r="Q148" s="1">
        <f t="shared" si="14"/>
        <v>0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899400</v>
      </c>
      <c r="N149" s="6">
        <f t="shared" si="12"/>
        <v>1</v>
      </c>
      <c r="O149" s="9">
        <f t="shared" si="13"/>
        <v>0.72913419251232525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902400</v>
      </c>
      <c r="N150" s="6">
        <f t="shared" si="12"/>
        <v>1</v>
      </c>
      <c r="O150" s="9">
        <f t="shared" si="13"/>
        <v>0.7315662611998246</v>
      </c>
      <c r="P150" s="10">
        <v>0</v>
      </c>
      <c r="Q150" s="1">
        <f t="shared" si="14"/>
        <v>0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6</v>
      </c>
      <c r="J151" s="4">
        <f t="shared" si="10"/>
        <v>1</v>
      </c>
      <c r="K151" s="5">
        <f t="shared" si="11"/>
        <v>1.0308785830808684</v>
      </c>
      <c r="L151" s="2">
        <v>1233517.793070439</v>
      </c>
      <c r="M151" s="2">
        <v>6408000</v>
      </c>
      <c r="N151" s="6">
        <f t="shared" si="12"/>
        <v>1</v>
      </c>
      <c r="O151" s="9">
        <f t="shared" si="13"/>
        <v>5.1948987164987548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840000</v>
      </c>
      <c r="N154" s="6">
        <f t="shared" si="12"/>
        <v>1</v>
      </c>
      <c r="O154" s="9">
        <f t="shared" si="13"/>
        <v>0.13957153001664943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4199500</v>
      </c>
      <c r="N155" s="6">
        <f t="shared" si="12"/>
        <v>1</v>
      </c>
      <c r="O155" s="9">
        <f t="shared" si="13"/>
        <v>0.18694455276648558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840000</v>
      </c>
      <c r="N156" s="6">
        <f t="shared" ref="N156:N219" si="17">IF(M156&gt;=300000,1,0)</f>
        <v>1</v>
      </c>
      <c r="O156" s="9">
        <f t="shared" ref="O156:O219" si="18">M156/L156</f>
        <v>0.68097923249983672</v>
      </c>
      <c r="P156" s="10">
        <v>0</v>
      </c>
      <c r="Q156" s="1">
        <f t="shared" ref="Q156:Q219" si="19">IF(P156&gt;=3,1,0)</f>
        <v>0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3</v>
      </c>
      <c r="J157" s="4">
        <f t="shared" si="15"/>
        <v>1</v>
      </c>
      <c r="K157" s="5">
        <f t="shared" si="16"/>
        <v>1</v>
      </c>
      <c r="L157" s="2">
        <v>2572302.4230823722</v>
      </c>
      <c r="M157" s="2">
        <v>13930000</v>
      </c>
      <c r="N157" s="6">
        <f t="shared" si="17"/>
        <v>1</v>
      </c>
      <c r="O157" s="9">
        <f t="shared" si="18"/>
        <v>5.4153819064975171</v>
      </c>
      <c r="P157" s="10">
        <v>3</v>
      </c>
      <c r="Q157" s="1">
        <f t="shared" si="19"/>
        <v>1</v>
      </c>
      <c r="R157" s="10">
        <v>5</v>
      </c>
      <c r="S157" s="10">
        <v>3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3770500</v>
      </c>
      <c r="N158" s="6">
        <f t="shared" si="17"/>
        <v>1</v>
      </c>
      <c r="O158" s="9">
        <f t="shared" si="18"/>
        <v>0.16784722852864242</v>
      </c>
      <c r="P158" s="10">
        <v>7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5688250</v>
      </c>
      <c r="N159" s="6">
        <f t="shared" si="17"/>
        <v>1</v>
      </c>
      <c r="O159" s="9">
        <f t="shared" si="18"/>
        <v>2.2311430213525445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706800</v>
      </c>
      <c r="N160" s="6">
        <f t="shared" si="17"/>
        <v>1</v>
      </c>
      <c r="O160" s="9">
        <f t="shared" si="18"/>
        <v>2.3857379399685168E-2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1671600</v>
      </c>
      <c r="N161" s="6">
        <f t="shared" si="17"/>
        <v>1</v>
      </c>
      <c r="O161" s="9">
        <f t="shared" si="18"/>
        <v>1.3551486726746751</v>
      </c>
      <c r="P161" s="10">
        <v>1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1608000</v>
      </c>
      <c r="N162" s="6">
        <f t="shared" si="17"/>
        <v>1</v>
      </c>
      <c r="O162" s="9">
        <f t="shared" si="18"/>
        <v>1.3035888164996874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1882800</v>
      </c>
      <c r="N163" s="6">
        <f t="shared" si="17"/>
        <v>1</v>
      </c>
      <c r="O163" s="9">
        <f t="shared" si="18"/>
        <v>1.5263663082746342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1837200</v>
      </c>
      <c r="N164" s="6">
        <f t="shared" si="17"/>
        <v>1</v>
      </c>
      <c r="O164" s="9">
        <f t="shared" si="18"/>
        <v>1.489398864224643</v>
      </c>
      <c r="P164" s="10">
        <v>1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5</v>
      </c>
      <c r="J166" s="1">
        <f t="shared" si="15"/>
        <v>1</v>
      </c>
      <c r="K166" s="5">
        <f t="shared" si="16"/>
        <v>1</v>
      </c>
      <c r="L166" s="2">
        <v>12908778</v>
      </c>
      <c r="M166" s="2">
        <v>15590000</v>
      </c>
      <c r="N166" s="6">
        <f t="shared" si="17"/>
        <v>1</v>
      </c>
      <c r="O166" s="9">
        <f t="shared" si="18"/>
        <v>1.2077053304348406</v>
      </c>
      <c r="P166" s="10">
        <v>3</v>
      </c>
      <c r="Q166" s="1">
        <f t="shared" si="19"/>
        <v>1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1022000</v>
      </c>
      <c r="N167" s="6">
        <f t="shared" si="17"/>
        <v>1</v>
      </c>
      <c r="O167" s="9">
        <f t="shared" si="18"/>
        <v>0.82852473287480133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4881000</v>
      </c>
      <c r="N170" s="6">
        <f t="shared" si="17"/>
        <v>1</v>
      </c>
      <c r="O170" s="9">
        <f t="shared" si="18"/>
        <v>0.16475363447915012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12386500</v>
      </c>
      <c r="N172" s="6">
        <f t="shared" si="17"/>
        <v>1</v>
      </c>
      <c r="O172" s="9">
        <f t="shared" si="18"/>
        <v>10.041606265903843</v>
      </c>
      <c r="P172" s="10">
        <v>8</v>
      </c>
      <c r="Q172" s="1">
        <f t="shared" si="19"/>
        <v>1</v>
      </c>
      <c r="R172" s="10">
        <v>6</v>
      </c>
      <c r="S172" s="10">
        <v>7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6506000</v>
      </c>
      <c r="N173" s="6">
        <f t="shared" si="17"/>
        <v>1</v>
      </c>
      <c r="O173" s="9">
        <f t="shared" si="18"/>
        <v>1.9822642919984372</v>
      </c>
      <c r="P173" s="10">
        <v>6</v>
      </c>
      <c r="Q173" s="1">
        <f t="shared" si="19"/>
        <v>1</v>
      </c>
      <c r="R173" s="10">
        <v>21</v>
      </c>
      <c r="S173" s="10">
        <v>7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2973000</v>
      </c>
      <c r="N174" s="6">
        <f t="shared" si="17"/>
        <v>1</v>
      </c>
      <c r="O174" s="9">
        <f t="shared" si="18"/>
        <v>1.1661210745802513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1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1</v>
      </c>
      <c r="Q175" s="1">
        <f t="shared" si="19"/>
        <v>0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6</v>
      </c>
      <c r="Q176" s="1">
        <f t="shared" si="19"/>
        <v>1</v>
      </c>
      <c r="R176" s="10">
        <v>7</v>
      </c>
      <c r="S176" s="10">
        <v>6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0</v>
      </c>
      <c r="Q177" s="1">
        <f t="shared" si="19"/>
        <v>0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1398000</v>
      </c>
      <c r="N180" s="6">
        <f t="shared" si="17"/>
        <v>1</v>
      </c>
      <c r="O180" s="9">
        <f t="shared" si="18"/>
        <v>1.1333440083747284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2833000</v>
      </c>
      <c r="N181" s="6">
        <f t="shared" si="17"/>
        <v>1</v>
      </c>
      <c r="O181" s="9">
        <f t="shared" si="18"/>
        <v>2.2966835305619493</v>
      </c>
      <c r="P181" s="10">
        <v>2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1577000</v>
      </c>
      <c r="N182" s="6">
        <f t="shared" si="17"/>
        <v>1</v>
      </c>
      <c r="O182" s="9">
        <f t="shared" si="18"/>
        <v>1.2784574400621935</v>
      </c>
      <c r="P182" s="10">
        <v>1</v>
      </c>
      <c r="Q182" s="1">
        <f t="shared" si="19"/>
        <v>0</v>
      </c>
      <c r="R182" s="10">
        <v>8</v>
      </c>
      <c r="S182" s="10">
        <v>1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1884000</v>
      </c>
      <c r="N183" s="6">
        <f t="shared" si="17"/>
        <v>1</v>
      </c>
      <c r="O183" s="9">
        <f t="shared" si="18"/>
        <v>1.5273391357496338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0</v>
      </c>
      <c r="Q185" s="1">
        <f t="shared" si="19"/>
        <v>0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3290000</v>
      </c>
      <c r="N186" s="6">
        <f t="shared" si="17"/>
        <v>1</v>
      </c>
      <c r="O186" s="9">
        <f t="shared" si="18"/>
        <v>2.6671686606243608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2571000</v>
      </c>
      <c r="N187" s="6">
        <f t="shared" si="17"/>
        <v>1</v>
      </c>
      <c r="O187" s="9">
        <f t="shared" si="18"/>
        <v>2.0842828651870002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3662000</v>
      </c>
      <c r="N188" s="6">
        <f t="shared" si="17"/>
        <v>1</v>
      </c>
      <c r="O188" s="9">
        <f t="shared" si="18"/>
        <v>2.9687451778742884</v>
      </c>
      <c r="P188" s="10">
        <v>2</v>
      </c>
      <c r="Q188" s="1">
        <f t="shared" si="19"/>
        <v>0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3140000</v>
      </c>
      <c r="N189" s="6">
        <f t="shared" si="17"/>
        <v>1</v>
      </c>
      <c r="O189" s="9">
        <f t="shared" si="18"/>
        <v>2.5455652262493897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6</v>
      </c>
      <c r="J190" s="4">
        <f t="shared" si="15"/>
        <v>1</v>
      </c>
      <c r="K190" s="5">
        <f t="shared" si="16"/>
        <v>1.2026916802610117</v>
      </c>
      <c r="L190" s="2">
        <v>1233517.793070439</v>
      </c>
      <c r="M190" s="2">
        <v>4000000</v>
      </c>
      <c r="N190" s="6">
        <f t="shared" si="17"/>
        <v>1</v>
      </c>
      <c r="O190" s="9">
        <f t="shared" si="18"/>
        <v>3.2427582499992225</v>
      </c>
      <c r="P190" s="10">
        <v>2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2610000</v>
      </c>
      <c r="N191" s="6">
        <f t="shared" si="17"/>
        <v>1</v>
      </c>
      <c r="O191" s="9">
        <f t="shared" si="18"/>
        <v>0.65921902116466946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2</v>
      </c>
      <c r="J192" s="4">
        <f t="shared" si="15"/>
        <v>0</v>
      </c>
      <c r="K192" s="5">
        <f t="shared" si="16"/>
        <v>0.12335299284728311</v>
      </c>
      <c r="L192" s="2">
        <v>3114725.9703081902</v>
      </c>
      <c r="M192" s="2">
        <v>7000000</v>
      </c>
      <c r="N192" s="6">
        <f t="shared" si="17"/>
        <v>1</v>
      </c>
      <c r="O192" s="9">
        <f t="shared" si="18"/>
        <v>2.2473887162880581</v>
      </c>
      <c r="P192" s="10">
        <v>1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1053500</v>
      </c>
      <c r="N193" s="6">
        <f t="shared" si="17"/>
        <v>1</v>
      </c>
      <c r="O193" s="9">
        <f t="shared" si="18"/>
        <v>8.161113313746661E-2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0</v>
      </c>
      <c r="Q196" s="1">
        <f t="shared" si="19"/>
        <v>0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4725000</v>
      </c>
      <c r="N198" s="6">
        <f t="shared" si="17"/>
        <v>1</v>
      </c>
      <c r="O198" s="9">
        <f t="shared" si="18"/>
        <v>0.366029999121528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897000</v>
      </c>
      <c r="N199" s="6">
        <f t="shared" si="17"/>
        <v>1</v>
      </c>
      <c r="O199" s="9">
        <f t="shared" si="18"/>
        <v>3.9930768860944772E-2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975000</v>
      </c>
      <c r="N200" s="6">
        <f t="shared" si="17"/>
        <v>1</v>
      </c>
      <c r="O200" s="9">
        <f t="shared" si="18"/>
        <v>0.79042232343731056</v>
      </c>
      <c r="P200" s="10">
        <v>1</v>
      </c>
      <c r="Q200" s="1">
        <f t="shared" si="19"/>
        <v>0</v>
      </c>
      <c r="R200" s="10">
        <v>10</v>
      </c>
      <c r="S200" s="10">
        <v>1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7904000</v>
      </c>
      <c r="N201" s="6">
        <f t="shared" si="17"/>
        <v>1</v>
      </c>
      <c r="O201" s="9">
        <f t="shared" si="18"/>
        <v>3.0703516030409426</v>
      </c>
      <c r="P201" s="10">
        <v>13</v>
      </c>
      <c r="Q201" s="1">
        <f t="shared" si="19"/>
        <v>1</v>
      </c>
      <c r="R201" s="10">
        <v>8</v>
      </c>
      <c r="S201" s="10">
        <v>12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2020000</v>
      </c>
      <c r="N202" s="6">
        <f t="shared" si="17"/>
        <v>1</v>
      </c>
      <c r="O202" s="9">
        <f t="shared" si="18"/>
        <v>0.6952178031296653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22770000</v>
      </c>
      <c r="N203" s="6">
        <f t="shared" si="17"/>
        <v>1</v>
      </c>
      <c r="O203" s="9">
        <f t="shared" si="18"/>
        <v>0.65431562744788418</v>
      </c>
      <c r="P203" s="10">
        <v>6</v>
      </c>
      <c r="Q203" s="1">
        <f t="shared" si="19"/>
        <v>1</v>
      </c>
      <c r="R203" s="10">
        <v>6</v>
      </c>
      <c r="S203" s="10">
        <v>5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20274000</v>
      </c>
      <c r="N204" s="6">
        <f t="shared" si="17"/>
        <v>1</v>
      </c>
      <c r="O204" s="9">
        <f t="shared" si="18"/>
        <v>0.90251550489051757</v>
      </c>
      <c r="P204" s="10">
        <v>7</v>
      </c>
      <c r="Q204" s="1">
        <f t="shared" si="19"/>
        <v>1</v>
      </c>
      <c r="R204" s="10">
        <v>6</v>
      </c>
      <c r="S204" s="10">
        <v>7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60</v>
      </c>
      <c r="J205" s="4">
        <f t="shared" si="15"/>
        <v>1</v>
      </c>
      <c r="K205" s="5">
        <f t="shared" si="16"/>
        <v>20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2</v>
      </c>
      <c r="Q205" s="1">
        <f t="shared" si="19"/>
        <v>0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0</v>
      </c>
      <c r="Q206" s="1">
        <f t="shared" si="19"/>
        <v>0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0</v>
      </c>
      <c r="Q207" s="1">
        <f t="shared" si="19"/>
        <v>0</v>
      </c>
      <c r="R207" s="10">
        <v>5</v>
      </c>
      <c r="S207" s="10">
        <v>55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13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0</v>
      </c>
      <c r="Q211" s="1">
        <f t="shared" si="19"/>
        <v>0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1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0</v>
      </c>
      <c r="Q218" s="1">
        <f t="shared" si="19"/>
        <v>0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3</v>
      </c>
      <c r="Q220" s="1">
        <f t="shared" ref="Q220:Q283" si="24">IF(P220&gt;=3,1,0)</f>
        <v>1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0</v>
      </c>
      <c r="Q221" s="1">
        <f t="shared" si="24"/>
        <v>0</v>
      </c>
      <c r="R221" s="10">
        <v>6</v>
      </c>
      <c r="S221" s="10">
        <v>6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0</v>
      </c>
      <c r="Q222" s="1">
        <f t="shared" si="24"/>
        <v>0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1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4</v>
      </c>
      <c r="Q231" s="1">
        <f t="shared" si="24"/>
        <v>1</v>
      </c>
      <c r="R231" s="10">
        <v>8</v>
      </c>
      <c r="S231" s="10">
        <v>4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50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1497000</v>
      </c>
      <c r="N239" s="6">
        <f t="shared" si="22"/>
        <v>1</v>
      </c>
      <c r="O239" s="9">
        <f t="shared" si="23"/>
        <v>0.24873640527967167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4</v>
      </c>
      <c r="J241" s="4">
        <f t="shared" si="20"/>
        <v>1</v>
      </c>
      <c r="K241" s="5">
        <f t="shared" si="21"/>
        <v>0.8</v>
      </c>
      <c r="L241" s="2">
        <v>19880654</v>
      </c>
      <c r="M241" s="2">
        <v>10605000</v>
      </c>
      <c r="N241" s="6">
        <f t="shared" si="22"/>
        <v>1</v>
      </c>
      <c r="O241" s="9">
        <f t="shared" si="23"/>
        <v>0.53343315566982852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5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2</v>
      </c>
      <c r="J243" s="1">
        <f t="shared" si="20"/>
        <v>0</v>
      </c>
      <c r="K243" s="5">
        <f t="shared" si="21"/>
        <v>0.41832754096035174</v>
      </c>
      <c r="L243" s="2">
        <v>2549477.9785796599</v>
      </c>
      <c r="M243" s="2">
        <v>10243000</v>
      </c>
      <c r="N243" s="6">
        <f t="shared" si="22"/>
        <v>1</v>
      </c>
      <c r="O243" s="9">
        <f t="shared" si="23"/>
        <v>4.0176852226456488</v>
      </c>
      <c r="P243" s="10">
        <v>11</v>
      </c>
      <c r="Q243" s="1">
        <f t="shared" si="24"/>
        <v>1</v>
      </c>
      <c r="R243" s="10">
        <v>7</v>
      </c>
      <c r="S243" s="10">
        <v>10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9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5</v>
      </c>
      <c r="J246" s="1">
        <f t="shared" si="20"/>
        <v>1</v>
      </c>
      <c r="K246" s="5">
        <f t="shared" si="21"/>
        <v>1.6666666666666667</v>
      </c>
      <c r="L246" s="2">
        <v>1233517.793070439</v>
      </c>
      <c r="M246" s="2">
        <v>1290000</v>
      </c>
      <c r="N246" s="6">
        <f t="shared" si="22"/>
        <v>1</v>
      </c>
      <c r="O246" s="9">
        <f t="shared" si="23"/>
        <v>1.0457895356247493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4</v>
      </c>
      <c r="J247" s="1">
        <f t="shared" si="20"/>
        <v>1</v>
      </c>
      <c r="K247" s="5">
        <f t="shared" si="21"/>
        <v>1.3333333333333333</v>
      </c>
      <c r="L247" s="2">
        <v>1233517.793070439</v>
      </c>
      <c r="M247" s="2">
        <v>2865000</v>
      </c>
      <c r="N247" s="6">
        <f t="shared" si="22"/>
        <v>1</v>
      </c>
      <c r="O247" s="9">
        <f t="shared" si="23"/>
        <v>2.3226255965619433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3283000</v>
      </c>
      <c r="N248" s="6">
        <f t="shared" si="22"/>
        <v>1</v>
      </c>
      <c r="O248" s="9">
        <f t="shared" si="23"/>
        <v>0.25432306605629129</v>
      </c>
      <c r="P248" s="10">
        <v>29</v>
      </c>
      <c r="Q248" s="1">
        <f t="shared" si="24"/>
        <v>1</v>
      </c>
      <c r="R248" s="10">
        <v>5</v>
      </c>
      <c r="S248" s="10">
        <v>29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50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649000</v>
      </c>
      <c r="N250" s="6">
        <f t="shared" si="22"/>
        <v>1</v>
      </c>
      <c r="O250" s="9">
        <f t="shared" si="23"/>
        <v>0.52613752606237385</v>
      </c>
      <c r="P250" s="10">
        <v>0</v>
      </c>
      <c r="Q250" s="1">
        <f t="shared" si="24"/>
        <v>0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711000</v>
      </c>
      <c r="N251" s="6">
        <f t="shared" si="22"/>
        <v>1</v>
      </c>
      <c r="O251" s="9">
        <f t="shared" si="23"/>
        <v>0.57640027893736179</v>
      </c>
      <c r="P251" s="10">
        <v>0</v>
      </c>
      <c r="Q251" s="1">
        <f t="shared" si="24"/>
        <v>0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4342000</v>
      </c>
      <c r="N252" s="6">
        <f t="shared" si="22"/>
        <v>1</v>
      </c>
      <c r="O252" s="9">
        <f t="shared" si="23"/>
        <v>1.5611183522376888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1668000</v>
      </c>
      <c r="N253" s="6">
        <f t="shared" si="22"/>
        <v>1</v>
      </c>
      <c r="O253" s="9">
        <f t="shared" si="23"/>
        <v>0.6542515817019372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2800000</v>
      </c>
      <c r="N254" s="6">
        <f t="shared" si="22"/>
        <v>1</v>
      </c>
      <c r="O254" s="9">
        <f t="shared" si="23"/>
        <v>2.2699307749994557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4024000</v>
      </c>
      <c r="N255" s="6">
        <f t="shared" si="22"/>
        <v>1</v>
      </c>
      <c r="O255" s="9">
        <f t="shared" si="23"/>
        <v>3.2622147994992181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10956000</v>
      </c>
      <c r="N256" s="6">
        <f t="shared" si="22"/>
        <v>1</v>
      </c>
      <c r="O256" s="9">
        <f t="shared" si="23"/>
        <v>0.48771628053568661</v>
      </c>
      <c r="P256" s="10">
        <v>13</v>
      </c>
      <c r="Q256" s="1">
        <f t="shared" si="24"/>
        <v>1</v>
      </c>
      <c r="R256" s="10">
        <v>5</v>
      </c>
      <c r="S256" s="10">
        <v>12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1585000</v>
      </c>
      <c r="N257" s="6">
        <f t="shared" si="22"/>
        <v>1</v>
      </c>
      <c r="O257" s="9">
        <f t="shared" si="23"/>
        <v>1.2849429565621919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745000</v>
      </c>
      <c r="N258" s="6">
        <f t="shared" si="22"/>
        <v>1</v>
      </c>
      <c r="O258" s="9">
        <f t="shared" si="23"/>
        <v>0.60396372406235521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1826000</v>
      </c>
      <c r="N259" s="6">
        <f t="shared" si="22"/>
        <v>1</v>
      </c>
      <c r="O259" s="9">
        <f t="shared" si="23"/>
        <v>1.480319141124645</v>
      </c>
      <c r="P259" s="10">
        <v>39</v>
      </c>
      <c r="Q259" s="1">
        <f t="shared" si="24"/>
        <v>1</v>
      </c>
      <c r="R259" s="10">
        <v>11</v>
      </c>
      <c r="S259" s="10">
        <v>45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1262000</v>
      </c>
      <c r="N260" s="6">
        <f t="shared" si="22"/>
        <v>1</v>
      </c>
      <c r="O260" s="9">
        <f t="shared" si="23"/>
        <v>1.0230902278747547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10045000</v>
      </c>
      <c r="N261" s="6">
        <f t="shared" si="22"/>
        <v>1</v>
      </c>
      <c r="O261" s="9">
        <f t="shared" si="23"/>
        <v>1.5930353625374847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4404000</v>
      </c>
      <c r="N263" s="6">
        <f t="shared" si="22"/>
        <v>1</v>
      </c>
      <c r="O263" s="9">
        <f t="shared" si="23"/>
        <v>1.478270196449921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5253500</v>
      </c>
      <c r="N264" s="6">
        <f t="shared" si="22"/>
        <v>1</v>
      </c>
      <c r="O264" s="9">
        <f t="shared" si="23"/>
        <v>0.90572777266069038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1696500</v>
      </c>
      <c r="N265" s="6">
        <f t="shared" si="22"/>
        <v>1</v>
      </c>
      <c r="O265" s="9">
        <f t="shared" si="23"/>
        <v>4.9962552685718441E-2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5896500</v>
      </c>
      <c r="N266" s="6">
        <f t="shared" si="22"/>
        <v>1</v>
      </c>
      <c r="O266" s="9">
        <f t="shared" si="23"/>
        <v>0.49841743726185367</v>
      </c>
      <c r="P266" s="10">
        <v>17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0</v>
      </c>
      <c r="Q273" s="1">
        <f t="shared" si="24"/>
        <v>0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3</v>
      </c>
      <c r="J274" s="1">
        <f t="shared" si="20"/>
        <v>1</v>
      </c>
      <c r="K274" s="5">
        <f t="shared" si="21"/>
        <v>0.22550469004893939</v>
      </c>
      <c r="L274" s="2">
        <v>1233517.793070439</v>
      </c>
      <c r="M274" s="2">
        <v>1930000</v>
      </c>
      <c r="N274" s="6">
        <f t="shared" si="22"/>
        <v>1</v>
      </c>
      <c r="O274" s="9">
        <f t="shared" si="23"/>
        <v>1.5646308556246249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1914000</v>
      </c>
      <c r="N275" s="6">
        <f t="shared" si="22"/>
        <v>1</v>
      </c>
      <c r="O275" s="9">
        <f t="shared" si="23"/>
        <v>8.1012260248508147E-2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0</v>
      </c>
      <c r="Q277" s="1">
        <f t="shared" si="24"/>
        <v>0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873600</v>
      </c>
      <c r="N279" s="6">
        <f t="shared" si="22"/>
        <v>1</v>
      </c>
      <c r="O279" s="9">
        <f t="shared" si="23"/>
        <v>0.7082184017998302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840000</v>
      </c>
      <c r="N280" s="6">
        <f t="shared" si="22"/>
        <v>1</v>
      </c>
      <c r="O280" s="9">
        <f t="shared" si="23"/>
        <v>0.68097923249983672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840000</v>
      </c>
      <c r="N281" s="6">
        <f t="shared" si="22"/>
        <v>1</v>
      </c>
      <c r="O281" s="9">
        <f t="shared" si="23"/>
        <v>0.32947921380673095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820000</v>
      </c>
      <c r="N282" s="6">
        <f t="shared" si="22"/>
        <v>1</v>
      </c>
      <c r="O282" s="9">
        <f t="shared" si="23"/>
        <v>4.1246128019732146E-2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3785200</v>
      </c>
      <c r="N283" s="6">
        <f t="shared" si="22"/>
        <v>1</v>
      </c>
      <c r="O283" s="9">
        <f t="shared" si="23"/>
        <v>3.0686221319742644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1918800</v>
      </c>
      <c r="N284" s="6">
        <f t="shared" ref="N284:N315" si="27">IF(M284&gt;=300000,1,0)</f>
        <v>1</v>
      </c>
      <c r="O284" s="9">
        <f t="shared" ref="O284:O315" si="28">M284/L284</f>
        <v>0.31882125213803203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1549200</v>
      </c>
      <c r="N285" s="6">
        <f t="shared" si="27"/>
        <v>1</v>
      </c>
      <c r="O285" s="9">
        <f t="shared" si="28"/>
        <v>5.1639999999999997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8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4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10108000</v>
      </c>
      <c r="N292" s="6">
        <f t="shared" si="27"/>
        <v>1</v>
      </c>
      <c r="O292" s="9">
        <f t="shared" si="28"/>
        <v>4.6990889405767913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23</v>
      </c>
      <c r="Q293" s="1">
        <f t="shared" si="29"/>
        <v>1</v>
      </c>
      <c r="R293" s="10">
        <v>7</v>
      </c>
      <c r="S293" s="10">
        <v>21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99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44</v>
      </c>
      <c r="J296" s="4">
        <f t="shared" si="25"/>
        <v>1</v>
      </c>
      <c r="K296" s="5">
        <f t="shared" si="26"/>
        <v>8.1412975279206634</v>
      </c>
      <c r="L296" s="2">
        <v>1233517.793070439</v>
      </c>
      <c r="M296" s="2">
        <v>5985000</v>
      </c>
      <c r="N296" s="6">
        <f t="shared" si="27"/>
        <v>1</v>
      </c>
      <c r="O296" s="9">
        <f t="shared" si="28"/>
        <v>4.8519770315613364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27</v>
      </c>
      <c r="Q297" s="1">
        <f t="shared" si="29"/>
        <v>1</v>
      </c>
      <c r="R297" s="10">
        <v>7</v>
      </c>
      <c r="S297" s="10">
        <v>26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3</v>
      </c>
      <c r="J298" s="1">
        <f t="shared" si="25"/>
        <v>1</v>
      </c>
      <c r="K298" s="5">
        <f t="shared" si="26"/>
        <v>0.49766552286662519</v>
      </c>
      <c r="L298" s="2">
        <v>19880654</v>
      </c>
      <c r="M298" s="2">
        <v>5460000</v>
      </c>
      <c r="N298" s="6">
        <f t="shared" si="27"/>
        <v>1</v>
      </c>
      <c r="O298" s="9">
        <f t="shared" si="28"/>
        <v>0.27463885242407016</v>
      </c>
      <c r="P298" s="10">
        <v>1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8</v>
      </c>
      <c r="Q302" s="1">
        <f t="shared" si="29"/>
        <v>1</v>
      </c>
      <c r="R302" s="10">
        <v>8</v>
      </c>
      <c r="S302" s="10">
        <v>7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13</v>
      </c>
      <c r="J308" s="1">
        <f t="shared" si="25"/>
        <v>1</v>
      </c>
      <c r="K308" s="5">
        <f t="shared" si="26"/>
        <v>4.333333333333333</v>
      </c>
      <c r="L308" s="2">
        <v>1233517.793070439</v>
      </c>
      <c r="M308" s="2">
        <v>1350000</v>
      </c>
      <c r="N308" s="6">
        <f t="shared" si="27"/>
        <v>1</v>
      </c>
      <c r="O308" s="9">
        <f t="shared" si="28"/>
        <v>1.0944309093747375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4</v>
      </c>
      <c r="J309" s="4">
        <f t="shared" si="25"/>
        <v>1</v>
      </c>
      <c r="K309" s="5">
        <f t="shared" si="26"/>
        <v>0.68725238872057892</v>
      </c>
      <c r="L309" s="2">
        <v>1233517.793070439</v>
      </c>
      <c r="M309" s="2">
        <v>790000</v>
      </c>
      <c r="N309" s="6">
        <f t="shared" si="27"/>
        <v>1</v>
      </c>
      <c r="O309" s="9">
        <f t="shared" si="28"/>
        <v>0.64044475437484649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0</v>
      </c>
      <c r="Q311" s="1">
        <f t="shared" si="29"/>
        <v>0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3</v>
      </c>
      <c r="J313" s="4">
        <f t="shared" si="25"/>
        <v>1</v>
      </c>
      <c r="K313" s="5">
        <f t="shared" si="26"/>
        <v>0.6</v>
      </c>
      <c r="L313" s="2">
        <v>1233517.793070439</v>
      </c>
      <c r="M313" s="2">
        <v>2940000</v>
      </c>
      <c r="N313" s="6">
        <f t="shared" si="27"/>
        <v>1</v>
      </c>
      <c r="O313" s="9">
        <f t="shared" si="28"/>
        <v>2.3834273137494284</v>
      </c>
      <c r="P313" s="10">
        <v>0</v>
      </c>
      <c r="Q313" s="1">
        <f t="shared" si="29"/>
        <v>0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28</v>
      </c>
      <c r="J314" s="1">
        <f t="shared" si="25"/>
        <v>1</v>
      </c>
      <c r="K314" s="5">
        <f t="shared" si="26"/>
        <v>3.7417074497009124</v>
      </c>
      <c r="L314" s="2">
        <v>1233517.793070439</v>
      </c>
      <c r="M314" s="2">
        <v>840000</v>
      </c>
      <c r="N314" s="6">
        <f t="shared" si="27"/>
        <v>1</v>
      </c>
      <c r="O314" s="9">
        <f t="shared" si="28"/>
        <v>0.68097923249983672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5611000</v>
      </c>
      <c r="N315" s="6">
        <f t="shared" si="27"/>
        <v>1</v>
      </c>
      <c r="O315" s="9">
        <f t="shared" si="28"/>
        <v>1.9590413537272959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3672500</v>
      </c>
      <c r="N319" s="6">
        <f t="shared" si="32"/>
        <v>1</v>
      </c>
      <c r="O319" s="9">
        <f t="shared" si="33"/>
        <v>1.7013369363044699</v>
      </c>
      <c r="P319" s="10">
        <v>99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9213500</v>
      </c>
      <c r="N320" s="6">
        <f t="shared" si="32"/>
        <v>1</v>
      </c>
      <c r="O320" s="9">
        <f t="shared" si="33"/>
        <v>4.2682826038505741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3062500</v>
      </c>
      <c r="N321" s="6">
        <f t="shared" si="32"/>
        <v>1</v>
      </c>
      <c r="O321" s="9">
        <f t="shared" si="33"/>
        <v>1.1745051213631994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2493000</v>
      </c>
      <c r="N322" s="6">
        <f t="shared" si="32"/>
        <v>1</v>
      </c>
      <c r="O322" s="9">
        <f t="shared" si="33"/>
        <v>2.0210490793120153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3700000</v>
      </c>
      <c r="N323" s="6">
        <f t="shared" si="32"/>
        <v>1</v>
      </c>
      <c r="O323" s="9">
        <f t="shared" si="33"/>
        <v>2.9995513812492809</v>
      </c>
      <c r="P323" s="10">
        <v>1</v>
      </c>
      <c r="Q323" s="1">
        <f t="shared" si="34"/>
        <v>0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1219000</v>
      </c>
      <c r="N324" s="6">
        <f t="shared" si="32"/>
        <v>1</v>
      </c>
      <c r="O324" s="9">
        <f t="shared" si="33"/>
        <v>0.98823057668726311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12</v>
      </c>
      <c r="J326" s="4">
        <f t="shared" ref="J326:J338" si="35">IF(I326&gt;=3,1,0)</f>
        <v>1</v>
      </c>
      <c r="K326" s="5">
        <f t="shared" ref="K326:K338" si="36">I326/H326</f>
        <v>1.1781469520924179</v>
      </c>
      <c r="L326" s="2">
        <v>1233517.793070439</v>
      </c>
      <c r="M326" s="2">
        <v>2054400</v>
      </c>
      <c r="N326" s="6">
        <f t="shared" ref="N326:N338" si="37">IF(M326&gt;=300000,1,0)</f>
        <v>1</v>
      </c>
      <c r="O326" s="9">
        <f t="shared" ref="O326:O338" si="38">M326/L326</f>
        <v>1.6654806371996007</v>
      </c>
      <c r="P326" s="10">
        <v>1</v>
      </c>
      <c r="Q326" s="1">
        <f t="shared" ref="Q326:Q338" si="39">IF(P326&gt;=3,1,0)</f>
        <v>0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50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2</v>
      </c>
      <c r="Q329" s="1">
        <f t="shared" si="39"/>
        <v>0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1457000</v>
      </c>
      <c r="N330" s="6">
        <f t="shared" si="37"/>
        <v>1</v>
      </c>
      <c r="O330" s="9">
        <f t="shared" si="38"/>
        <v>0.4179541219835548</v>
      </c>
      <c r="P330" s="10">
        <v>3</v>
      </c>
      <c r="Q330" s="1">
        <f t="shared" si="39"/>
        <v>1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59</v>
      </c>
      <c r="J334" s="4">
        <f t="shared" si="35"/>
        <v>1</v>
      </c>
      <c r="K334" s="5">
        <f t="shared" si="36"/>
        <v>19.666666666666668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8620600</v>
      </c>
      <c r="N335" s="6">
        <f t="shared" si="37"/>
        <v>1</v>
      </c>
      <c r="O335" s="9">
        <f t="shared" si="38"/>
        <v>0.43361752586207675</v>
      </c>
      <c r="P335" s="10">
        <v>2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1532000</v>
      </c>
      <c r="N336" s="6">
        <f t="shared" si="37"/>
        <v>1</v>
      </c>
      <c r="O336" s="9">
        <f t="shared" si="38"/>
        <v>0.43954720674269349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S7:S338 I7:I338 M7:M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2026-08-30T10:04:56Z</dcterms:modified>
</cp:coreProperties>
</file>