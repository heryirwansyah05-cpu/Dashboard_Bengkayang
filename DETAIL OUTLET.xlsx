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<sst xmlns="http://schemas.openxmlformats.org/spreadsheetml/2006/main" count="1920" uniqueCount="448">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</sst>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307" activePane="bottomRight" state="frozen"/>
      <selection pane="topRight" activeCell="D1" sqref="D1"/>
      <selection pane="bottomLeft" activeCell="A6" sqref="A6"/>
      <selection pane="bottomRight" activeCell="A6" sqref="A6:Z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825000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3850000</v>
      </c>
      <c r="M8" s="2">
        <v>0</v>
      </c>
      <c r="N8" s="6">
        <f t="shared" si="2"/>
        <v>0</v>
      </c>
      <c r="O8" s="9">
        <f t="shared" si="3"/>
        <v>0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825000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825000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3850000</v>
      </c>
      <c r="M12" s="2">
        <v>0</v>
      </c>
      <c r="N12" s="6">
        <f t="shared" si="2"/>
        <v>0</v>
      </c>
      <c r="O12" s="9">
        <f t="shared" si="3"/>
        <v>0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3850000</v>
      </c>
      <c r="M13" s="2">
        <v>58000</v>
      </c>
      <c r="N13" s="6">
        <f t="shared" si="2"/>
        <v>0</v>
      </c>
      <c r="O13" s="9">
        <f t="shared" si="3"/>
        <v>1.5064935064935066E-2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2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1825000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1825000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590000</v>
      </c>
      <c r="N19" s="6">
        <f t="shared" si="2"/>
        <v>1</v>
      </c>
      <c r="O19" s="9">
        <f t="shared" si="3"/>
        <v>0.13111111111111112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1825000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1825000</v>
      </c>
      <c r="M21" s="2">
        <v>1000000</v>
      </c>
      <c r="N21" s="6">
        <f t="shared" si="2"/>
        <v>1</v>
      </c>
      <c r="O21" s="9">
        <f t="shared" si="3"/>
        <v>0.54794520547945202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4500000</v>
      </c>
      <c r="M22" s="2">
        <v>1000000</v>
      </c>
      <c r="N22" s="6">
        <f t="shared" si="2"/>
        <v>1</v>
      </c>
      <c r="O22" s="9">
        <f t="shared" si="3"/>
        <v>0.22222222222222221</v>
      </c>
      <c r="P22" s="10">
        <v>3</v>
      </c>
      <c r="Q22" s="1">
        <f t="shared" si="4"/>
        <v>1</v>
      </c>
      <c r="R22" s="10">
        <v>6</v>
      </c>
      <c r="S22" s="10">
        <v>3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1825000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1825000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0</v>
      </c>
      <c r="N29" s="6">
        <f t="shared" si="2"/>
        <v>0</v>
      </c>
      <c r="O29" s="9">
        <f t="shared" si="3"/>
        <v>0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1825000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1825000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90000</v>
      </c>
      <c r="N38" s="6">
        <f t="shared" si="2"/>
        <v>0</v>
      </c>
      <c r="O38" s="9">
        <f t="shared" si="3"/>
        <v>4.9315068493150684E-2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133500</v>
      </c>
      <c r="N42" s="6">
        <f t="shared" si="2"/>
        <v>0</v>
      </c>
      <c r="O42" s="9">
        <f t="shared" si="3"/>
        <v>3.4675324675324679E-2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6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13</v>
      </c>
      <c r="J44" s="4">
        <f t="shared" si="0"/>
        <v>1</v>
      </c>
      <c r="K44" s="5">
        <f t="shared" si="1"/>
        <v>1.625</v>
      </c>
      <c r="L44" s="2">
        <v>5364000</v>
      </c>
      <c r="M44" s="2">
        <v>4216000</v>
      </c>
      <c r="N44" s="6">
        <f t="shared" si="2"/>
        <v>1</v>
      </c>
      <c r="O44" s="9">
        <f t="shared" si="3"/>
        <v>0.78598061148396714</v>
      </c>
      <c r="P44" s="10">
        <v>7</v>
      </c>
      <c r="Q44" s="1">
        <f t="shared" si="4"/>
        <v>1</v>
      </c>
      <c r="R44" s="10">
        <v>7</v>
      </c>
      <c r="S44" s="10">
        <v>4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3711000</v>
      </c>
      <c r="N45" s="6">
        <f t="shared" si="2"/>
        <v>1</v>
      </c>
      <c r="O45" s="9">
        <f t="shared" si="3"/>
        <v>0.89121037463976949</v>
      </c>
      <c r="P45" s="10">
        <v>3</v>
      </c>
      <c r="Q45" s="1">
        <f t="shared" si="4"/>
        <v>1</v>
      </c>
      <c r="R45" s="10">
        <v>3</v>
      </c>
      <c r="S45" s="10">
        <v>0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3711000</v>
      </c>
      <c r="N46" s="6">
        <f t="shared" si="2"/>
        <v>1</v>
      </c>
      <c r="O46" s="9">
        <f t="shared" si="3"/>
        <v>0.81578368872279627</v>
      </c>
      <c r="P46" s="10">
        <v>3</v>
      </c>
      <c r="Q46" s="1">
        <f t="shared" si="4"/>
        <v>1</v>
      </c>
      <c r="R46" s="10">
        <v>3</v>
      </c>
      <c r="S46" s="10">
        <v>0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3</v>
      </c>
      <c r="J47" s="1">
        <f t="shared" si="0"/>
        <v>1</v>
      </c>
      <c r="K47" s="5">
        <f t="shared" si="1"/>
        <v>0.5</v>
      </c>
      <c r="L47" s="2">
        <v>5639500</v>
      </c>
      <c r="M47" s="2">
        <v>930000</v>
      </c>
      <c r="N47" s="6">
        <f t="shared" si="2"/>
        <v>1</v>
      </c>
      <c r="O47" s="9">
        <f t="shared" si="3"/>
        <v>0.16490823654579306</v>
      </c>
      <c r="P47" s="10">
        <v>5</v>
      </c>
      <c r="Q47" s="1">
        <f t="shared" si="4"/>
        <v>1</v>
      </c>
      <c r="R47" s="10">
        <v>5</v>
      </c>
      <c r="S47" s="10">
        <v>5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11359000</v>
      </c>
      <c r="M48" s="2">
        <v>770000</v>
      </c>
      <c r="N48" s="6">
        <f t="shared" si="2"/>
        <v>1</v>
      </c>
      <c r="O48" s="9">
        <f t="shared" si="3"/>
        <v>6.7787657364204598E-2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5109500</v>
      </c>
      <c r="M49" s="2">
        <v>698000</v>
      </c>
      <c r="N49" s="6">
        <f t="shared" si="2"/>
        <v>1</v>
      </c>
      <c r="O49" s="9">
        <f t="shared" si="3"/>
        <v>0.13660827869654565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4</v>
      </c>
      <c r="Q50" s="1">
        <f t="shared" si="4"/>
        <v>1</v>
      </c>
      <c r="R50" s="10">
        <v>3</v>
      </c>
      <c r="S50" s="10">
        <v>6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0</v>
      </c>
      <c r="J51" s="4">
        <f t="shared" si="0"/>
        <v>0</v>
      </c>
      <c r="K51" s="5">
        <f t="shared" si="1"/>
        <v>0</v>
      </c>
      <c r="L51" s="2">
        <v>8037500</v>
      </c>
      <c r="M51" s="2">
        <v>2909000</v>
      </c>
      <c r="N51" s="6">
        <f t="shared" si="2"/>
        <v>1</v>
      </c>
      <c r="O51" s="9">
        <f t="shared" si="3"/>
        <v>0.36192846034214621</v>
      </c>
      <c r="P51" s="10">
        <v>0</v>
      </c>
      <c r="Q51" s="1">
        <f t="shared" si="4"/>
        <v>0</v>
      </c>
      <c r="R51" s="10">
        <v>3</v>
      </c>
      <c r="S51" s="10">
        <v>1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0</v>
      </c>
      <c r="J52" s="1">
        <f t="shared" si="0"/>
        <v>0</v>
      </c>
      <c r="K52" s="5">
        <f t="shared" si="1"/>
        <v>0</v>
      </c>
      <c r="L52" s="2">
        <v>7799000</v>
      </c>
      <c r="M52" s="2">
        <v>2663000</v>
      </c>
      <c r="N52" s="6">
        <f t="shared" si="2"/>
        <v>1</v>
      </c>
      <c r="O52" s="9">
        <f t="shared" si="3"/>
        <v>0.341454032568278</v>
      </c>
      <c r="P52" s="10">
        <v>1</v>
      </c>
      <c r="Q52" s="1">
        <f t="shared" si="4"/>
        <v>0</v>
      </c>
      <c r="R52" s="10">
        <v>3</v>
      </c>
      <c r="S52" s="10">
        <v>1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6134500</v>
      </c>
      <c r="M53" s="2">
        <v>3203000</v>
      </c>
      <c r="N53" s="6">
        <f t="shared" si="2"/>
        <v>1</v>
      </c>
      <c r="O53" s="9">
        <f t="shared" si="3"/>
        <v>0.52212894286412914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0</v>
      </c>
      <c r="J54" s="1">
        <f t="shared" si="0"/>
        <v>0</v>
      </c>
      <c r="K54" s="5">
        <f t="shared" si="1"/>
        <v>0</v>
      </c>
      <c r="L54" s="2">
        <v>5792500</v>
      </c>
      <c r="M54" s="2">
        <v>3554000</v>
      </c>
      <c r="N54" s="6">
        <f t="shared" si="2"/>
        <v>1</v>
      </c>
      <c r="O54" s="9">
        <f t="shared" si="3"/>
        <v>0.61355200690548117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0</v>
      </c>
      <c r="J55" s="1">
        <f t="shared" si="0"/>
        <v>0</v>
      </c>
      <c r="K55" s="5">
        <f t="shared" si="1"/>
        <v>0</v>
      </c>
      <c r="L55" s="2">
        <v>5494500</v>
      </c>
      <c r="M55" s="2">
        <v>3280000</v>
      </c>
      <c r="N55" s="6">
        <f t="shared" si="2"/>
        <v>1</v>
      </c>
      <c r="O55" s="9">
        <f t="shared" si="3"/>
        <v>0.596960596960597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2</v>
      </c>
      <c r="Q56" s="1">
        <f t="shared" si="4"/>
        <v>0</v>
      </c>
      <c r="R56" s="10">
        <v>3</v>
      </c>
      <c r="S56" s="10">
        <v>0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1155000</v>
      </c>
      <c r="N57" s="6">
        <f t="shared" si="2"/>
        <v>1</v>
      </c>
      <c r="O57" s="9">
        <f t="shared" si="3"/>
        <v>9.9354838709677415E-2</v>
      </c>
      <c r="P57" s="10">
        <v>1</v>
      </c>
      <c r="Q57" s="1">
        <f t="shared" si="4"/>
        <v>0</v>
      </c>
      <c r="R57" s="10">
        <v>3</v>
      </c>
      <c r="S57" s="10">
        <v>1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10194500</v>
      </c>
      <c r="M59" s="2">
        <v>698000</v>
      </c>
      <c r="N59" s="6">
        <f t="shared" si="2"/>
        <v>1</v>
      </c>
      <c r="O59" s="9">
        <f t="shared" si="3"/>
        <v>6.8468291725930649E-2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1045000</v>
      </c>
      <c r="N60" s="6">
        <f t="shared" si="2"/>
        <v>1</v>
      </c>
      <c r="O60" s="9">
        <f t="shared" si="3"/>
        <v>0.14052309554225778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6849500</v>
      </c>
      <c r="M61" s="2">
        <v>1045000</v>
      </c>
      <c r="N61" s="6">
        <f t="shared" si="2"/>
        <v>1</v>
      </c>
      <c r="O61" s="9">
        <f t="shared" si="3"/>
        <v>0.15256588072122051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3911000</v>
      </c>
      <c r="N62" s="6">
        <f t="shared" si="2"/>
        <v>1</v>
      </c>
      <c r="O62" s="9">
        <f t="shared" si="3"/>
        <v>0.69615521537913849</v>
      </c>
      <c r="P62" s="10">
        <v>6</v>
      </c>
      <c r="Q62" s="1">
        <f t="shared" si="4"/>
        <v>1</v>
      </c>
      <c r="R62" s="10">
        <v>3</v>
      </c>
      <c r="S62" s="10">
        <v>8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3575000</v>
      </c>
      <c r="N63" s="6">
        <f t="shared" si="2"/>
        <v>1</v>
      </c>
      <c r="O63" s="9">
        <f t="shared" si="3"/>
        <v>0.38646559645424572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5477500</v>
      </c>
      <c r="M64" s="2">
        <v>996000</v>
      </c>
      <c r="N64" s="6">
        <f t="shared" si="2"/>
        <v>1</v>
      </c>
      <c r="O64" s="9">
        <f t="shared" si="3"/>
        <v>0.18183477863989045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3</v>
      </c>
      <c r="J65" s="1">
        <f t="shared" si="0"/>
        <v>1</v>
      </c>
      <c r="K65" s="5">
        <f t="shared" si="1"/>
        <v>5.1724137931034482E-2</v>
      </c>
      <c r="L65" s="2">
        <v>26056500</v>
      </c>
      <c r="M65" s="2">
        <v>5475000</v>
      </c>
      <c r="N65" s="6">
        <f t="shared" si="2"/>
        <v>1</v>
      </c>
      <c r="O65" s="9">
        <f t="shared" si="3"/>
        <v>0.21012031546830925</v>
      </c>
      <c r="P65" s="10">
        <v>8</v>
      </c>
      <c r="Q65" s="1">
        <f t="shared" si="4"/>
        <v>1</v>
      </c>
      <c r="R65" s="10">
        <v>3</v>
      </c>
      <c r="S65" s="10">
        <v>5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8970500</v>
      </c>
      <c r="M66" s="2">
        <v>3180000</v>
      </c>
      <c r="N66" s="6">
        <f t="shared" si="2"/>
        <v>1</v>
      </c>
      <c r="O66" s="9">
        <f t="shared" si="3"/>
        <v>0.35449529011760772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1045000</v>
      </c>
      <c r="N67" s="6">
        <f t="shared" si="2"/>
        <v>1</v>
      </c>
      <c r="O67" s="9">
        <f t="shared" si="3"/>
        <v>0.13498675967189822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3</v>
      </c>
      <c r="J68" s="4">
        <f t="shared" si="0"/>
        <v>1</v>
      </c>
      <c r="K68" s="5">
        <f t="shared" si="1"/>
        <v>1</v>
      </c>
      <c r="L68" s="2">
        <v>4069000</v>
      </c>
      <c r="M68" s="2">
        <v>1266000</v>
      </c>
      <c r="N68" s="6">
        <f t="shared" si="2"/>
        <v>1</v>
      </c>
      <c r="O68" s="9">
        <f t="shared" si="3"/>
        <v>0.31113295650036865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779000</v>
      </c>
      <c r="N69" s="6">
        <f t="shared" si="2"/>
        <v>1</v>
      </c>
      <c r="O69" s="9">
        <f t="shared" si="3"/>
        <v>0.16391372961599157</v>
      </c>
      <c r="P69" s="10">
        <v>3</v>
      </c>
      <c r="Q69" s="1">
        <f t="shared" si="4"/>
        <v>1</v>
      </c>
      <c r="R69" s="10">
        <v>3</v>
      </c>
      <c r="S69" s="10">
        <v>1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3</v>
      </c>
      <c r="J70" s="1">
        <f t="shared" ref="J70:J133" si="5">IF(I70&gt;=3,1,0)</f>
        <v>1</v>
      </c>
      <c r="K70" s="5">
        <f t="shared" ref="K70:K133" si="6">I70/H70</f>
        <v>0.23076923076923078</v>
      </c>
      <c r="L70" s="2">
        <v>7406500</v>
      </c>
      <c r="M70" s="2">
        <v>6266000</v>
      </c>
      <c r="N70" s="6">
        <f t="shared" ref="N70:N133" si="7">IF(M70&gt;=300000,1,0)</f>
        <v>1</v>
      </c>
      <c r="O70" s="9">
        <f t="shared" ref="O70:O133" si="8">M70/L70</f>
        <v>0.84601363667049212</v>
      </c>
      <c r="P70" s="10">
        <v>2</v>
      </c>
      <c r="Q70" s="1">
        <f t="shared" ref="Q70:Q133" si="9">IF(P70&gt;=3,1,0)</f>
        <v>0</v>
      </c>
      <c r="R70" s="10">
        <v>3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3</v>
      </c>
      <c r="J71" s="1">
        <f t="shared" si="5"/>
        <v>1</v>
      </c>
      <c r="K71" s="5">
        <f t="shared" si="6"/>
        <v>0.23076923076923078</v>
      </c>
      <c r="L71" s="2">
        <v>19818814</v>
      </c>
      <c r="M71" s="2">
        <v>1770000</v>
      </c>
      <c r="N71" s="6">
        <f t="shared" si="7"/>
        <v>1</v>
      </c>
      <c r="O71" s="9">
        <f t="shared" si="8"/>
        <v>8.9309077727860009E-2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3</v>
      </c>
      <c r="J72" s="1">
        <f t="shared" si="5"/>
        <v>1</v>
      </c>
      <c r="K72" s="5">
        <f t="shared" si="6"/>
        <v>0.23076923076923078</v>
      </c>
      <c r="L72" s="2">
        <v>5486500</v>
      </c>
      <c r="M72" s="2">
        <v>1128000</v>
      </c>
      <c r="N72" s="6">
        <f t="shared" si="7"/>
        <v>1</v>
      </c>
      <c r="O72" s="9">
        <f t="shared" si="8"/>
        <v>0.20559555272031349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3</v>
      </c>
      <c r="J74" s="1">
        <f t="shared" si="5"/>
        <v>1</v>
      </c>
      <c r="K74" s="5">
        <f t="shared" si="6"/>
        <v>0.23076923076923078</v>
      </c>
      <c r="L74" s="2">
        <v>5761500</v>
      </c>
      <c r="M74" s="2">
        <v>1266000</v>
      </c>
      <c r="N74" s="6">
        <f t="shared" si="7"/>
        <v>1</v>
      </c>
      <c r="O74" s="9">
        <f t="shared" si="8"/>
        <v>0.21973444415516794</v>
      </c>
      <c r="P74" s="10">
        <v>1</v>
      </c>
      <c r="Q74" s="1">
        <f t="shared" si="9"/>
        <v>0</v>
      </c>
      <c r="R74" s="10">
        <v>12</v>
      </c>
      <c r="S74" s="10">
        <v>1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4</v>
      </c>
      <c r="J75" s="1">
        <f t="shared" si="5"/>
        <v>1</v>
      </c>
      <c r="K75" s="5">
        <f t="shared" si="6"/>
        <v>0.30769230769230771</v>
      </c>
      <c r="L75" s="2">
        <v>5269000</v>
      </c>
      <c r="M75" s="2">
        <v>1798000</v>
      </c>
      <c r="N75" s="6">
        <f t="shared" si="7"/>
        <v>1</v>
      </c>
      <c r="O75" s="9">
        <f t="shared" si="8"/>
        <v>0.34124122224330994</v>
      </c>
      <c r="P75" s="10">
        <v>13</v>
      </c>
      <c r="Q75" s="1">
        <f t="shared" si="9"/>
        <v>1</v>
      </c>
      <c r="R75" s="10">
        <v>15</v>
      </c>
      <c r="S75" s="10">
        <v>10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3</v>
      </c>
      <c r="J76" s="4">
        <f t="shared" si="5"/>
        <v>1</v>
      </c>
      <c r="K76" s="5">
        <f t="shared" si="6"/>
        <v>0.1111111111111111</v>
      </c>
      <c r="L76" s="2">
        <v>5071500</v>
      </c>
      <c r="M76" s="2">
        <v>1173000</v>
      </c>
      <c r="N76" s="6">
        <f t="shared" si="7"/>
        <v>1</v>
      </c>
      <c r="O76" s="9">
        <f t="shared" si="8"/>
        <v>0.23129251700680273</v>
      </c>
      <c r="P76" s="10">
        <v>3</v>
      </c>
      <c r="Q76" s="1">
        <f t="shared" si="9"/>
        <v>1</v>
      </c>
      <c r="R76" s="10">
        <v>11</v>
      </c>
      <c r="S76" s="10">
        <v>0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3</v>
      </c>
      <c r="J77" s="1">
        <f t="shared" si="5"/>
        <v>1</v>
      </c>
      <c r="K77" s="5">
        <f t="shared" si="6"/>
        <v>0.23076923076923078</v>
      </c>
      <c r="L77" s="2">
        <v>4586500</v>
      </c>
      <c r="M77" s="2">
        <v>1018000</v>
      </c>
      <c r="N77" s="6">
        <f t="shared" si="7"/>
        <v>1</v>
      </c>
      <c r="O77" s="9">
        <f t="shared" si="8"/>
        <v>0.22195573967077292</v>
      </c>
      <c r="P77" s="10">
        <v>1</v>
      </c>
      <c r="Q77" s="1">
        <f t="shared" si="9"/>
        <v>0</v>
      </c>
      <c r="R77" s="10">
        <v>3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3</v>
      </c>
      <c r="J79" s="1">
        <f t="shared" si="5"/>
        <v>1</v>
      </c>
      <c r="K79" s="5">
        <f t="shared" si="6"/>
        <v>0.5</v>
      </c>
      <c r="L79" s="2">
        <v>4537500</v>
      </c>
      <c r="M79" s="2">
        <v>492000</v>
      </c>
      <c r="N79" s="6">
        <f t="shared" si="7"/>
        <v>1</v>
      </c>
      <c r="O79" s="9">
        <f t="shared" si="8"/>
        <v>0.1084297520661157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0</v>
      </c>
      <c r="J82" s="1">
        <f t="shared" si="5"/>
        <v>0</v>
      </c>
      <c r="K82" s="5">
        <f t="shared" si="6"/>
        <v>0</v>
      </c>
      <c r="L82" s="2">
        <v>4747600</v>
      </c>
      <c r="M82" s="2">
        <v>355200</v>
      </c>
      <c r="N82" s="6">
        <f t="shared" si="7"/>
        <v>1</v>
      </c>
      <c r="O82" s="9">
        <f t="shared" si="8"/>
        <v>7.4816749515544692E-2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630000</v>
      </c>
      <c r="N83" s="6">
        <f t="shared" si="7"/>
        <v>1</v>
      </c>
      <c r="O83" s="9">
        <f t="shared" si="8"/>
        <v>0.23698465242250977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3</v>
      </c>
      <c r="J84" s="1">
        <f t="shared" si="5"/>
        <v>1</v>
      </c>
      <c r="K84" s="5">
        <f t="shared" si="6"/>
        <v>0.1</v>
      </c>
      <c r="L84" s="2">
        <v>4341400</v>
      </c>
      <c r="M84" s="2">
        <v>733200</v>
      </c>
      <c r="N84" s="6">
        <f t="shared" si="7"/>
        <v>1</v>
      </c>
      <c r="O84" s="9">
        <f t="shared" si="8"/>
        <v>0.16888561293591928</v>
      </c>
      <c r="P84" s="10">
        <v>4</v>
      </c>
      <c r="Q84" s="1">
        <f t="shared" si="9"/>
        <v>1</v>
      </c>
      <c r="R84" s="10">
        <v>7</v>
      </c>
      <c r="S84" s="10">
        <v>4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3</v>
      </c>
      <c r="J85" s="1">
        <f t="shared" si="5"/>
        <v>1</v>
      </c>
      <c r="K85" s="5">
        <f t="shared" si="6"/>
        <v>8.5714285714285715E-2</v>
      </c>
      <c r="L85" s="2">
        <v>4171000</v>
      </c>
      <c r="M85" s="2">
        <v>486000</v>
      </c>
      <c r="N85" s="6">
        <f t="shared" si="7"/>
        <v>1</v>
      </c>
      <c r="O85" s="9">
        <f t="shared" si="8"/>
        <v>0.11651882042675617</v>
      </c>
      <c r="P85" s="10">
        <v>5</v>
      </c>
      <c r="Q85" s="1">
        <f t="shared" si="9"/>
        <v>1</v>
      </c>
      <c r="R85" s="10">
        <v>5</v>
      </c>
      <c r="S85" s="10">
        <v>5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3</v>
      </c>
      <c r="J86" s="1">
        <f t="shared" si="5"/>
        <v>1</v>
      </c>
      <c r="K86" s="5">
        <f t="shared" si="6"/>
        <v>1</v>
      </c>
      <c r="L86" s="2">
        <v>12548000</v>
      </c>
      <c r="M86" s="2">
        <v>3740800</v>
      </c>
      <c r="N86" s="6">
        <f t="shared" si="7"/>
        <v>1</v>
      </c>
      <c r="O86" s="9">
        <f t="shared" si="8"/>
        <v>0.2981192221868027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3</v>
      </c>
      <c r="J87" s="4">
        <f t="shared" si="5"/>
        <v>1</v>
      </c>
      <c r="K87" s="5">
        <f t="shared" si="6"/>
        <v>1</v>
      </c>
      <c r="L87" s="2">
        <v>5860000</v>
      </c>
      <c r="M87" s="2">
        <v>390000</v>
      </c>
      <c r="N87" s="6">
        <f t="shared" si="7"/>
        <v>1</v>
      </c>
      <c r="O87" s="9">
        <f t="shared" si="8"/>
        <v>6.655290102389079E-2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604800</v>
      </c>
      <c r="N88" s="6">
        <f t="shared" si="7"/>
        <v>1</v>
      </c>
      <c r="O88" s="9">
        <f t="shared" si="8"/>
        <v>0.1687029288702929</v>
      </c>
      <c r="P88" s="10">
        <v>3</v>
      </c>
      <c r="Q88" s="1">
        <f t="shared" si="9"/>
        <v>1</v>
      </c>
      <c r="R88" s="10">
        <v>3</v>
      </c>
      <c r="S88" s="10">
        <v>3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5128000</v>
      </c>
      <c r="M89" s="2">
        <v>851000</v>
      </c>
      <c r="N89" s="6">
        <f t="shared" si="7"/>
        <v>1</v>
      </c>
      <c r="O89" s="9">
        <f t="shared" si="8"/>
        <v>0.16595163806552263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3916000</v>
      </c>
      <c r="M90" s="2">
        <v>344400</v>
      </c>
      <c r="N90" s="6">
        <f t="shared" si="7"/>
        <v>1</v>
      </c>
      <c r="O90" s="9">
        <f t="shared" si="8"/>
        <v>8.7946884576098061E-2</v>
      </c>
      <c r="P90" s="10">
        <v>4</v>
      </c>
      <c r="Q90" s="1">
        <f t="shared" si="9"/>
        <v>1</v>
      </c>
      <c r="R90" s="10">
        <v>5</v>
      </c>
      <c r="S90" s="10">
        <v>4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3</v>
      </c>
      <c r="J91" s="1">
        <f t="shared" si="5"/>
        <v>1</v>
      </c>
      <c r="K91" s="5">
        <f t="shared" si="6"/>
        <v>1</v>
      </c>
      <c r="L91" s="2">
        <v>2194000</v>
      </c>
      <c r="M91" s="2">
        <v>327600</v>
      </c>
      <c r="N91" s="6">
        <f t="shared" si="7"/>
        <v>1</v>
      </c>
      <c r="O91" s="9">
        <f t="shared" si="8"/>
        <v>0.14931631722880584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3</v>
      </c>
      <c r="J92" s="1">
        <f t="shared" si="5"/>
        <v>1</v>
      </c>
      <c r="K92" s="5">
        <f t="shared" si="6"/>
        <v>1</v>
      </c>
      <c r="L92" s="2">
        <v>2357600</v>
      </c>
      <c r="M92" s="2">
        <v>540800</v>
      </c>
      <c r="N92" s="6">
        <f t="shared" si="7"/>
        <v>1</v>
      </c>
      <c r="O92" s="9">
        <f t="shared" si="8"/>
        <v>0.22938581608415337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22</v>
      </c>
      <c r="J93" s="1">
        <f t="shared" si="5"/>
        <v>1</v>
      </c>
      <c r="K93" s="5">
        <f t="shared" si="6"/>
        <v>2.75</v>
      </c>
      <c r="L93" s="2">
        <v>2134000</v>
      </c>
      <c r="M93" s="2">
        <v>327600</v>
      </c>
      <c r="N93" s="6">
        <f t="shared" si="7"/>
        <v>1</v>
      </c>
      <c r="O93" s="9">
        <f t="shared" si="8"/>
        <v>0.153514526710403</v>
      </c>
      <c r="P93" s="10">
        <v>0</v>
      </c>
      <c r="Q93" s="1">
        <f t="shared" si="9"/>
        <v>0</v>
      </c>
      <c r="R93" s="10">
        <v>22</v>
      </c>
      <c r="S93" s="10">
        <v>19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3</v>
      </c>
      <c r="J94" s="1">
        <f t="shared" si="5"/>
        <v>1</v>
      </c>
      <c r="K94" s="5">
        <f t="shared" si="6"/>
        <v>1</v>
      </c>
      <c r="L94" s="2">
        <v>14458600</v>
      </c>
      <c r="M94" s="2">
        <v>813600</v>
      </c>
      <c r="N94" s="6">
        <f t="shared" si="7"/>
        <v>1</v>
      </c>
      <c r="O94" s="9">
        <f t="shared" si="8"/>
        <v>5.6271008258060945E-2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7993600</v>
      </c>
      <c r="M95" s="2">
        <v>405600</v>
      </c>
      <c r="N95" s="6">
        <f t="shared" si="7"/>
        <v>1</v>
      </c>
      <c r="O95" s="9">
        <f t="shared" si="8"/>
        <v>5.0740592473979183E-2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1</v>
      </c>
      <c r="J96" s="1">
        <f t="shared" si="5"/>
        <v>0</v>
      </c>
      <c r="K96" s="5">
        <f t="shared" si="6"/>
        <v>4.3478260869565216E-2</v>
      </c>
      <c r="L96" s="2">
        <v>15003400</v>
      </c>
      <c r="M96" s="2">
        <v>508800</v>
      </c>
      <c r="N96" s="6">
        <f t="shared" si="7"/>
        <v>1</v>
      </c>
      <c r="O96" s="9">
        <f t="shared" si="8"/>
        <v>3.3912313209005958E-2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10483600</v>
      </c>
      <c r="M97" s="2">
        <v>326400</v>
      </c>
      <c r="N97" s="6">
        <f t="shared" si="7"/>
        <v>1</v>
      </c>
      <c r="O97" s="9">
        <f t="shared" si="8"/>
        <v>3.1134343164561793E-2</v>
      </c>
      <c r="P97" s="10">
        <v>4</v>
      </c>
      <c r="Q97" s="1">
        <f t="shared" si="9"/>
        <v>1</v>
      </c>
      <c r="R97" s="10">
        <v>5</v>
      </c>
      <c r="S97" s="10">
        <v>4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4916000</v>
      </c>
      <c r="M98" s="2">
        <v>632000</v>
      </c>
      <c r="N98" s="6">
        <f t="shared" si="7"/>
        <v>1</v>
      </c>
      <c r="O98" s="9">
        <f t="shared" si="8"/>
        <v>0.12855980471928397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20</v>
      </c>
      <c r="J99" s="4">
        <f t="shared" si="5"/>
        <v>1</v>
      </c>
      <c r="K99" s="5">
        <f t="shared" si="6"/>
        <v>0.86956521739130432</v>
      </c>
      <c r="L99" s="2">
        <v>2024800</v>
      </c>
      <c r="M99" s="2">
        <v>105600</v>
      </c>
      <c r="N99" s="6">
        <f t="shared" si="7"/>
        <v>0</v>
      </c>
      <c r="O99" s="9">
        <f t="shared" si="8"/>
        <v>5.2153299091268271E-2</v>
      </c>
      <c r="P99" s="10">
        <v>3</v>
      </c>
      <c r="Q99" s="1">
        <f t="shared" si="9"/>
        <v>1</v>
      </c>
      <c r="R99" s="10">
        <v>20</v>
      </c>
      <c r="S99" s="10">
        <v>23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3</v>
      </c>
      <c r="J100" s="4">
        <f t="shared" si="5"/>
        <v>1</v>
      </c>
      <c r="K100" s="5">
        <f t="shared" si="6"/>
        <v>1</v>
      </c>
      <c r="L100" s="2">
        <v>9562400</v>
      </c>
      <c r="M100" s="2">
        <v>2678400</v>
      </c>
      <c r="N100" s="6">
        <f t="shared" si="7"/>
        <v>1</v>
      </c>
      <c r="O100" s="9">
        <f t="shared" si="8"/>
        <v>0.28009704676650216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3</v>
      </c>
      <c r="J101" s="1">
        <f t="shared" si="5"/>
        <v>1</v>
      </c>
      <c r="K101" s="5">
        <f t="shared" si="6"/>
        <v>1</v>
      </c>
      <c r="L101" s="2">
        <v>9375600</v>
      </c>
      <c r="M101" s="2">
        <v>2195600</v>
      </c>
      <c r="N101" s="6">
        <f t="shared" si="7"/>
        <v>1</v>
      </c>
      <c r="O101" s="9">
        <f t="shared" si="8"/>
        <v>0.23418234566321089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3</v>
      </c>
      <c r="J102" s="1">
        <f t="shared" si="5"/>
        <v>1</v>
      </c>
      <c r="K102" s="5">
        <f t="shared" si="6"/>
        <v>1</v>
      </c>
      <c r="L102" s="2">
        <v>7440400</v>
      </c>
      <c r="M102" s="2">
        <v>397000</v>
      </c>
      <c r="N102" s="6">
        <f t="shared" si="7"/>
        <v>1</v>
      </c>
      <c r="O102" s="9">
        <f t="shared" si="8"/>
        <v>5.3357346379226921E-2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5</v>
      </c>
      <c r="J103" s="4">
        <f t="shared" si="5"/>
        <v>1</v>
      </c>
      <c r="K103" s="5">
        <f t="shared" si="6"/>
        <v>1.6666666666666667</v>
      </c>
      <c r="L103" s="2">
        <v>3216400</v>
      </c>
      <c r="M103" s="2">
        <v>1142800</v>
      </c>
      <c r="N103" s="6">
        <f t="shared" si="7"/>
        <v>1</v>
      </c>
      <c r="O103" s="9">
        <f t="shared" si="8"/>
        <v>0.35530406665837583</v>
      </c>
      <c r="P103" s="10">
        <v>2</v>
      </c>
      <c r="Q103" s="1">
        <f t="shared" si="9"/>
        <v>0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4</v>
      </c>
      <c r="J104" s="4">
        <f t="shared" si="5"/>
        <v>1</v>
      </c>
      <c r="K104" s="5">
        <f t="shared" si="6"/>
        <v>1</v>
      </c>
      <c r="L104" s="2">
        <v>3347600</v>
      </c>
      <c r="M104" s="2">
        <v>2343000</v>
      </c>
      <c r="N104" s="6">
        <f t="shared" si="7"/>
        <v>1</v>
      </c>
      <c r="O104" s="9">
        <f t="shared" si="8"/>
        <v>0.69990440912892815</v>
      </c>
      <c r="P104" s="10">
        <v>1</v>
      </c>
      <c r="Q104" s="1">
        <f t="shared" si="9"/>
        <v>0</v>
      </c>
      <c r="R104" s="10">
        <v>3</v>
      </c>
      <c r="S104" s="10">
        <v>1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5</v>
      </c>
      <c r="J105" s="1">
        <f t="shared" si="5"/>
        <v>1</v>
      </c>
      <c r="K105" s="5">
        <f t="shared" si="6"/>
        <v>0.83333333333333337</v>
      </c>
      <c r="L105" s="2">
        <v>13190000</v>
      </c>
      <c r="M105" s="2">
        <v>2519500</v>
      </c>
      <c r="N105" s="6">
        <f t="shared" si="7"/>
        <v>1</v>
      </c>
      <c r="O105" s="9">
        <f t="shared" si="8"/>
        <v>0.19101592115238816</v>
      </c>
      <c r="P105" s="10">
        <v>1</v>
      </c>
      <c r="Q105" s="1">
        <f t="shared" si="9"/>
        <v>0</v>
      </c>
      <c r="R105" s="10">
        <v>7</v>
      </c>
      <c r="S105" s="10">
        <v>0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3</v>
      </c>
      <c r="J106" s="4">
        <f t="shared" si="5"/>
        <v>1</v>
      </c>
      <c r="K106" s="5">
        <f t="shared" si="6"/>
        <v>0.5</v>
      </c>
      <c r="L106" s="2">
        <v>4444000</v>
      </c>
      <c r="M106" s="2">
        <v>480800</v>
      </c>
      <c r="N106" s="6">
        <f t="shared" si="7"/>
        <v>1</v>
      </c>
      <c r="O106" s="9">
        <f t="shared" si="8"/>
        <v>0.1081908190819082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3</v>
      </c>
      <c r="J107" s="1">
        <f t="shared" si="5"/>
        <v>1</v>
      </c>
      <c r="K107" s="5">
        <f t="shared" si="6"/>
        <v>1</v>
      </c>
      <c r="L107" s="2">
        <v>2585400</v>
      </c>
      <c r="M107" s="2">
        <v>498000</v>
      </c>
      <c r="N107" s="6">
        <f t="shared" si="7"/>
        <v>1</v>
      </c>
      <c r="O107" s="9">
        <f t="shared" si="8"/>
        <v>0.19262009747041076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3</v>
      </c>
      <c r="J108" s="4">
        <f t="shared" si="5"/>
        <v>1</v>
      </c>
      <c r="K108" s="5">
        <f t="shared" si="6"/>
        <v>1</v>
      </c>
      <c r="L108" s="2">
        <v>5360000</v>
      </c>
      <c r="M108" s="2">
        <v>1863600</v>
      </c>
      <c r="N108" s="6">
        <f t="shared" si="7"/>
        <v>1</v>
      </c>
      <c r="O108" s="9">
        <f t="shared" si="8"/>
        <v>0.34768656716417912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3</v>
      </c>
      <c r="J109" s="4">
        <f t="shared" si="5"/>
        <v>1</v>
      </c>
      <c r="K109" s="5">
        <f t="shared" si="6"/>
        <v>1</v>
      </c>
      <c r="L109" s="2">
        <v>2150800</v>
      </c>
      <c r="M109" s="2">
        <v>397800</v>
      </c>
      <c r="N109" s="6">
        <f t="shared" si="7"/>
        <v>1</v>
      </c>
      <c r="O109" s="9">
        <f t="shared" si="8"/>
        <v>0.18495443555886182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3</v>
      </c>
      <c r="J110" s="1">
        <f t="shared" si="5"/>
        <v>1</v>
      </c>
      <c r="K110" s="5">
        <f t="shared" si="6"/>
        <v>1</v>
      </c>
      <c r="L110" s="2">
        <v>9075400</v>
      </c>
      <c r="M110" s="2">
        <v>448600</v>
      </c>
      <c r="N110" s="6">
        <f t="shared" si="7"/>
        <v>1</v>
      </c>
      <c r="O110" s="9">
        <f t="shared" si="8"/>
        <v>4.9430328139806509E-2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23</v>
      </c>
      <c r="J111" s="1">
        <f t="shared" si="5"/>
        <v>1</v>
      </c>
      <c r="K111" s="5">
        <f t="shared" si="6"/>
        <v>0.63888888888888884</v>
      </c>
      <c r="L111" s="2">
        <v>24290900</v>
      </c>
      <c r="M111" s="2">
        <v>681200</v>
      </c>
      <c r="N111" s="6">
        <f t="shared" si="7"/>
        <v>1</v>
      </c>
      <c r="O111" s="9">
        <f t="shared" si="8"/>
        <v>2.8043423668945983E-2</v>
      </c>
      <c r="P111" s="10">
        <v>3</v>
      </c>
      <c r="Q111" s="1">
        <f t="shared" si="9"/>
        <v>1</v>
      </c>
      <c r="R111" s="10">
        <v>3</v>
      </c>
      <c r="S111" s="10">
        <v>0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694800</v>
      </c>
      <c r="N112" s="6">
        <f t="shared" si="7"/>
        <v>1</v>
      </c>
      <c r="O112" s="9">
        <f t="shared" si="8"/>
        <v>0.27462450592885373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5923200</v>
      </c>
      <c r="M113" s="2">
        <v>1376800</v>
      </c>
      <c r="N113" s="6">
        <f t="shared" si="7"/>
        <v>1</v>
      </c>
      <c r="O113" s="9">
        <f t="shared" si="8"/>
        <v>0.23244192328471097</v>
      </c>
      <c r="P113" s="10">
        <v>0</v>
      </c>
      <c r="Q113" s="1">
        <f t="shared" si="9"/>
        <v>0</v>
      </c>
      <c r="R113" s="10">
        <v>3</v>
      </c>
      <c r="S113" s="10">
        <v>1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1601200</v>
      </c>
      <c r="N114" s="6">
        <f t="shared" si="7"/>
        <v>1</v>
      </c>
      <c r="O114" s="9">
        <f t="shared" si="8"/>
        <v>0.25730355134179655</v>
      </c>
      <c r="P114" s="10">
        <v>4</v>
      </c>
      <c r="Q114" s="1">
        <f t="shared" si="9"/>
        <v>1</v>
      </c>
      <c r="R114" s="10">
        <v>3</v>
      </c>
      <c r="S114" s="10">
        <v>0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3</v>
      </c>
      <c r="J115" s="4">
        <f t="shared" si="5"/>
        <v>1</v>
      </c>
      <c r="K115" s="5">
        <f t="shared" si="6"/>
        <v>0.5</v>
      </c>
      <c r="L115" s="2">
        <v>2573500</v>
      </c>
      <c r="M115" s="2">
        <v>583000</v>
      </c>
      <c r="N115" s="6">
        <f t="shared" si="7"/>
        <v>1</v>
      </c>
      <c r="O115" s="9">
        <f t="shared" si="8"/>
        <v>0.22653973188265009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0</v>
      </c>
      <c r="J116" s="4">
        <f t="shared" si="5"/>
        <v>0</v>
      </c>
      <c r="K116" s="5">
        <f t="shared" si="6"/>
        <v>0</v>
      </c>
      <c r="L116" s="2">
        <v>2201000</v>
      </c>
      <c r="M116" s="2">
        <v>394800</v>
      </c>
      <c r="N116" s="6">
        <f t="shared" si="7"/>
        <v>1</v>
      </c>
      <c r="O116" s="9">
        <f t="shared" si="8"/>
        <v>0.1793730122671513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1</v>
      </c>
      <c r="J117" s="1">
        <f t="shared" si="5"/>
        <v>0</v>
      </c>
      <c r="K117" s="5">
        <f t="shared" si="6"/>
        <v>0.33333333333333331</v>
      </c>
      <c r="L117" s="2">
        <v>5434800</v>
      </c>
      <c r="M117" s="2">
        <v>858400</v>
      </c>
      <c r="N117" s="6">
        <f t="shared" si="7"/>
        <v>1</v>
      </c>
      <c r="O117" s="9">
        <f t="shared" si="8"/>
        <v>0.15794509457569736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3</v>
      </c>
      <c r="J118" s="1">
        <f t="shared" si="5"/>
        <v>1</v>
      </c>
      <c r="K118" s="5">
        <f t="shared" si="6"/>
        <v>1</v>
      </c>
      <c r="L118" s="2">
        <v>2940400</v>
      </c>
      <c r="M118" s="2">
        <v>312800</v>
      </c>
      <c r="N118" s="6">
        <f t="shared" si="7"/>
        <v>1</v>
      </c>
      <c r="O118" s="9">
        <f t="shared" si="8"/>
        <v>0.10638008434226635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855200</v>
      </c>
      <c r="N119" s="6">
        <f t="shared" si="7"/>
        <v>1</v>
      </c>
      <c r="O119" s="9">
        <f t="shared" si="8"/>
        <v>0.44669626534343171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3</v>
      </c>
      <c r="J120" s="4">
        <f t="shared" si="5"/>
        <v>1</v>
      </c>
      <c r="K120" s="5">
        <f t="shared" si="6"/>
        <v>1</v>
      </c>
      <c r="L120" s="2">
        <v>8895600</v>
      </c>
      <c r="M120" s="2">
        <v>312800</v>
      </c>
      <c r="N120" s="6">
        <f t="shared" si="7"/>
        <v>1</v>
      </c>
      <c r="O120" s="9">
        <f t="shared" si="8"/>
        <v>3.5163451594046498E-2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6</v>
      </c>
      <c r="J121" s="1">
        <f t="shared" si="5"/>
        <v>1</v>
      </c>
      <c r="K121" s="5">
        <f t="shared" si="6"/>
        <v>2</v>
      </c>
      <c r="L121" s="2">
        <v>3586000</v>
      </c>
      <c r="M121" s="2">
        <v>468000</v>
      </c>
      <c r="N121" s="6">
        <f t="shared" si="7"/>
        <v>1</v>
      </c>
      <c r="O121" s="9">
        <f t="shared" si="8"/>
        <v>0.13050752928053541</v>
      </c>
      <c r="P121" s="10">
        <v>6</v>
      </c>
      <c r="Q121" s="1">
        <f t="shared" si="9"/>
        <v>1</v>
      </c>
      <c r="R121" s="10">
        <v>3</v>
      </c>
      <c r="S121" s="10">
        <v>0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9</v>
      </c>
      <c r="J122" s="1">
        <f t="shared" si="5"/>
        <v>1</v>
      </c>
      <c r="K122" s="5">
        <f t="shared" si="6"/>
        <v>3</v>
      </c>
      <c r="L122" s="2">
        <v>7949500</v>
      </c>
      <c r="M122" s="2">
        <v>1885500</v>
      </c>
      <c r="N122" s="6">
        <f t="shared" si="7"/>
        <v>1</v>
      </c>
      <c r="O122" s="9">
        <f t="shared" si="8"/>
        <v>0.23718472859928297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361200</v>
      </c>
      <c r="N123" s="6">
        <f t="shared" si="7"/>
        <v>1</v>
      </c>
      <c r="O123" s="9">
        <f t="shared" si="8"/>
        <v>9.1064945542557479E-2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3705200</v>
      </c>
      <c r="M124" s="2">
        <v>414000</v>
      </c>
      <c r="N124" s="6">
        <f t="shared" si="7"/>
        <v>1</v>
      </c>
      <c r="O124" s="9">
        <f t="shared" si="8"/>
        <v>0.11173485911691676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8</v>
      </c>
      <c r="J125" s="1">
        <f t="shared" si="5"/>
        <v>1</v>
      </c>
      <c r="K125" s="5">
        <f t="shared" si="6"/>
        <v>2.6666666666666665</v>
      </c>
      <c r="L125" s="2">
        <v>3875600</v>
      </c>
      <c r="M125" s="2">
        <v>1520800</v>
      </c>
      <c r="N125" s="6">
        <f t="shared" si="7"/>
        <v>1</v>
      </c>
      <c r="O125" s="9">
        <f t="shared" si="8"/>
        <v>0.39240375683765094</v>
      </c>
      <c r="P125" s="10">
        <v>3</v>
      </c>
      <c r="Q125" s="1">
        <f t="shared" si="9"/>
        <v>1</v>
      </c>
      <c r="R125" s="10">
        <v>3</v>
      </c>
      <c r="S125" s="10">
        <v>0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7488500</v>
      </c>
      <c r="M126" s="2">
        <v>1106200</v>
      </c>
      <c r="N126" s="6">
        <f t="shared" si="7"/>
        <v>1</v>
      </c>
      <c r="O126" s="9">
        <f t="shared" si="8"/>
        <v>0.14771983708352807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5692800</v>
      </c>
      <c r="N127" s="6">
        <f t="shared" si="7"/>
        <v>1</v>
      </c>
      <c r="O127" s="9">
        <f t="shared" si="8"/>
        <v>0.46012649275596595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2335900</v>
      </c>
      <c r="M128" s="2">
        <v>408000</v>
      </c>
      <c r="N128" s="6">
        <f t="shared" si="7"/>
        <v>1</v>
      </c>
      <c r="O128" s="9">
        <f t="shared" si="8"/>
        <v>0.17466501134466372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12</v>
      </c>
      <c r="J129" s="1">
        <f t="shared" si="5"/>
        <v>1</v>
      </c>
      <c r="K129" s="5">
        <f t="shared" si="6"/>
        <v>4</v>
      </c>
      <c r="L129" s="2">
        <v>12501000</v>
      </c>
      <c r="M129" s="2">
        <v>1636900</v>
      </c>
      <c r="N129" s="6">
        <f t="shared" si="7"/>
        <v>1</v>
      </c>
      <c r="O129" s="9">
        <f t="shared" si="8"/>
        <v>0.13094152467802575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0</v>
      </c>
      <c r="J130" s="4">
        <f t="shared" si="5"/>
        <v>0</v>
      </c>
      <c r="K130" s="5">
        <f t="shared" si="6"/>
        <v>0</v>
      </c>
      <c r="L130" s="2">
        <v>5722000</v>
      </c>
      <c r="M130" s="2">
        <v>1052800</v>
      </c>
      <c r="N130" s="6">
        <f t="shared" si="7"/>
        <v>1</v>
      </c>
      <c r="O130" s="9">
        <f t="shared" si="8"/>
        <v>0.18399161132471165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3</v>
      </c>
      <c r="J131" s="1">
        <f t="shared" si="5"/>
        <v>1</v>
      </c>
      <c r="K131" s="5">
        <f t="shared" si="6"/>
        <v>0.5</v>
      </c>
      <c r="L131" s="2">
        <v>6308000</v>
      </c>
      <c r="M131" s="2">
        <v>1090000</v>
      </c>
      <c r="N131" s="6">
        <f t="shared" si="7"/>
        <v>1</v>
      </c>
      <c r="O131" s="9">
        <f t="shared" si="8"/>
        <v>0.17279644895370957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6</v>
      </c>
      <c r="J132" s="4">
        <f t="shared" si="5"/>
        <v>1</v>
      </c>
      <c r="K132" s="5">
        <f t="shared" si="6"/>
        <v>0.33333333333333331</v>
      </c>
      <c r="L132" s="2">
        <v>18836500</v>
      </c>
      <c r="M132" s="2">
        <v>4477000</v>
      </c>
      <c r="N132" s="6">
        <f t="shared" si="7"/>
        <v>1</v>
      </c>
      <c r="O132" s="9">
        <f t="shared" si="8"/>
        <v>0.23767685079499906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4</v>
      </c>
      <c r="Q133" s="1">
        <f t="shared" si="9"/>
        <v>1</v>
      </c>
      <c r="R133" s="10">
        <v>5</v>
      </c>
      <c r="S133" s="10">
        <v>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356400</v>
      </c>
      <c r="N134" s="6">
        <f t="shared" ref="N134:N197" si="12">IF(M134&gt;=300000,1,0)</f>
        <v>1</v>
      </c>
      <c r="O134" s="9">
        <f t="shared" ref="O134:O197" si="13">M134/L134</f>
        <v>0.24992987377279102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493200</v>
      </c>
      <c r="N135" s="6">
        <f t="shared" si="12"/>
        <v>1</v>
      </c>
      <c r="O135" s="9">
        <f t="shared" si="13"/>
        <v>0.25925147182506308</v>
      </c>
      <c r="P135" s="10">
        <v>4</v>
      </c>
      <c r="Q135" s="1">
        <f t="shared" si="14"/>
        <v>1</v>
      </c>
      <c r="R135" s="10">
        <v>5</v>
      </c>
      <c r="S135" s="10">
        <v>4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625200</v>
      </c>
      <c r="N136" s="6">
        <f t="shared" si="12"/>
        <v>1</v>
      </c>
      <c r="O136" s="9">
        <f t="shared" si="13"/>
        <v>0.32915657576076657</v>
      </c>
      <c r="P136" s="10">
        <v>3</v>
      </c>
      <c r="Q136" s="1">
        <f t="shared" si="14"/>
        <v>1</v>
      </c>
      <c r="R136" s="10">
        <v>20</v>
      </c>
      <c r="S136" s="10">
        <v>3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493200</v>
      </c>
      <c r="N137" s="6">
        <f t="shared" si="12"/>
        <v>1</v>
      </c>
      <c r="O137" s="9">
        <f t="shared" si="13"/>
        <v>0.25925147182506308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5738000</v>
      </c>
      <c r="M138" s="2">
        <v>1450000</v>
      </c>
      <c r="N138" s="6">
        <f t="shared" si="12"/>
        <v>1</v>
      </c>
      <c r="O138" s="9">
        <f t="shared" si="13"/>
        <v>0.25270128964796096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617000</v>
      </c>
      <c r="N139" s="6">
        <f t="shared" si="12"/>
        <v>1</v>
      </c>
      <c r="O139" s="9">
        <f t="shared" si="13"/>
        <v>0.14422627395979429</v>
      </c>
      <c r="P139" s="10">
        <v>3</v>
      </c>
      <c r="Q139" s="1">
        <f t="shared" si="14"/>
        <v>1</v>
      </c>
      <c r="R139" s="10">
        <v>6</v>
      </c>
      <c r="S139" s="10">
        <v>2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5480000</v>
      </c>
      <c r="M140" s="2">
        <v>734000</v>
      </c>
      <c r="N140" s="6">
        <f t="shared" si="12"/>
        <v>1</v>
      </c>
      <c r="O140" s="9">
        <f t="shared" si="13"/>
        <v>0.13394160583941606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361200</v>
      </c>
      <c r="N141" s="6">
        <f t="shared" si="12"/>
        <v>1</v>
      </c>
      <c r="O141" s="9">
        <f t="shared" si="13"/>
        <v>0.19630434782608697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361200</v>
      </c>
      <c r="N143" s="6">
        <f t="shared" si="12"/>
        <v>1</v>
      </c>
      <c r="O143" s="9">
        <f t="shared" si="13"/>
        <v>0.19630434782608697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12</v>
      </c>
      <c r="J144" s="4">
        <f t="shared" si="10"/>
        <v>1</v>
      </c>
      <c r="K144" s="5">
        <f t="shared" si="11"/>
        <v>0.92307692307692313</v>
      </c>
      <c r="L144" s="2">
        <v>4481000</v>
      </c>
      <c r="M144" s="2">
        <v>987000</v>
      </c>
      <c r="N144" s="6">
        <f t="shared" si="12"/>
        <v>1</v>
      </c>
      <c r="O144" s="9">
        <f t="shared" si="13"/>
        <v>0.22026333407721491</v>
      </c>
      <c r="P144" s="10">
        <v>12</v>
      </c>
      <c r="Q144" s="1">
        <f t="shared" si="14"/>
        <v>1</v>
      </c>
      <c r="R144" s="10">
        <v>31</v>
      </c>
      <c r="S144" s="10">
        <v>11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3575000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3</v>
      </c>
      <c r="J146" s="1">
        <f t="shared" si="10"/>
        <v>1</v>
      </c>
      <c r="K146" s="5">
        <f t="shared" si="11"/>
        <v>1</v>
      </c>
      <c r="L146" s="2">
        <v>1706800</v>
      </c>
      <c r="M146" s="2">
        <v>850500</v>
      </c>
      <c r="N146" s="6">
        <f t="shared" si="12"/>
        <v>1</v>
      </c>
      <c r="O146" s="9">
        <f t="shared" si="13"/>
        <v>0.49830091399109444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2671600</v>
      </c>
      <c r="M147" s="2">
        <v>681300</v>
      </c>
      <c r="N147" s="6">
        <f t="shared" si="12"/>
        <v>1</v>
      </c>
      <c r="O147" s="9">
        <f t="shared" si="13"/>
        <v>0.25501572091630481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303600</v>
      </c>
      <c r="N148" s="6">
        <f t="shared" si="12"/>
        <v>1</v>
      </c>
      <c r="O148" s="9">
        <f t="shared" si="13"/>
        <v>0.11641104294478527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1316800</v>
      </c>
      <c r="N149" s="6">
        <f t="shared" si="12"/>
        <v>1</v>
      </c>
      <c r="O149" s="9">
        <f t="shared" si="13"/>
        <v>0.45677813237130566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2</v>
      </c>
      <c r="J151" s="1">
        <f t="shared" si="10"/>
        <v>0</v>
      </c>
      <c r="K151" s="5">
        <f t="shared" si="11"/>
        <v>0.66666666666666663</v>
      </c>
      <c r="L151" s="2">
        <v>2022000</v>
      </c>
      <c r="M151" s="2">
        <v>300000</v>
      </c>
      <c r="N151" s="6">
        <f t="shared" si="12"/>
        <v>1</v>
      </c>
      <c r="O151" s="9">
        <f t="shared" si="13"/>
        <v>0.14836795252225518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18542002</v>
      </c>
      <c r="M152" s="2">
        <v>9565000</v>
      </c>
      <c r="N152" s="6">
        <f t="shared" si="12"/>
        <v>1</v>
      </c>
      <c r="O152" s="9">
        <f t="shared" si="13"/>
        <v>0.51585583908361132</v>
      </c>
      <c r="P152" s="10">
        <v>4</v>
      </c>
      <c r="Q152" s="1">
        <f t="shared" si="14"/>
        <v>1</v>
      </c>
      <c r="R152" s="10">
        <v>6</v>
      </c>
      <c r="S152" s="10">
        <v>4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2408400</v>
      </c>
      <c r="M153" s="2">
        <v>168000</v>
      </c>
      <c r="N153" s="6">
        <f t="shared" si="12"/>
        <v>0</v>
      </c>
      <c r="O153" s="9">
        <f t="shared" si="13"/>
        <v>6.9755854509217743E-2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2715000</v>
      </c>
      <c r="M154" s="2">
        <v>532000</v>
      </c>
      <c r="N154" s="6">
        <f t="shared" si="12"/>
        <v>1</v>
      </c>
      <c r="O154" s="9">
        <f t="shared" si="13"/>
        <v>0.19594843462246778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0</v>
      </c>
      <c r="J155" s="1">
        <f t="shared" si="10"/>
        <v>0</v>
      </c>
      <c r="K155" s="5">
        <f t="shared" si="11"/>
        <v>0</v>
      </c>
      <c r="L155" s="2">
        <v>3585000</v>
      </c>
      <c r="M155" s="2">
        <v>300000</v>
      </c>
      <c r="N155" s="6">
        <f t="shared" si="12"/>
        <v>1</v>
      </c>
      <c r="O155" s="9">
        <f t="shared" si="13"/>
        <v>8.3682008368200833E-2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24</v>
      </c>
      <c r="J156" s="4">
        <f t="shared" si="10"/>
        <v>1</v>
      </c>
      <c r="K156" s="5">
        <f t="shared" si="11"/>
        <v>3</v>
      </c>
      <c r="L156" s="2">
        <v>5860000</v>
      </c>
      <c r="M156" s="2">
        <v>234000</v>
      </c>
      <c r="N156" s="6">
        <f t="shared" si="12"/>
        <v>0</v>
      </c>
      <c r="O156" s="9">
        <f t="shared" si="13"/>
        <v>3.9931740614334472E-2</v>
      </c>
      <c r="P156" s="10">
        <v>5</v>
      </c>
      <c r="Q156" s="1">
        <f t="shared" si="14"/>
        <v>1</v>
      </c>
      <c r="R156" s="10">
        <v>5</v>
      </c>
      <c r="S156" s="10">
        <v>24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0</v>
      </c>
      <c r="J157" s="1">
        <f t="shared" si="10"/>
        <v>0</v>
      </c>
      <c r="K157" s="5">
        <f t="shared" si="11"/>
        <v>0</v>
      </c>
      <c r="L157" s="2">
        <v>4600000</v>
      </c>
      <c r="M157" s="2">
        <v>168000</v>
      </c>
      <c r="N157" s="6">
        <f t="shared" si="12"/>
        <v>0</v>
      </c>
      <c r="O157" s="9">
        <f t="shared" si="13"/>
        <v>3.6521739130434785E-2</v>
      </c>
      <c r="P157" s="10">
        <v>5</v>
      </c>
      <c r="Q157" s="1">
        <f t="shared" si="14"/>
        <v>1</v>
      </c>
      <c r="R157" s="10">
        <v>6</v>
      </c>
      <c r="S157" s="10">
        <v>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24</v>
      </c>
      <c r="J158" s="1">
        <f t="shared" si="10"/>
        <v>1</v>
      </c>
      <c r="K158" s="5">
        <f t="shared" si="11"/>
        <v>8</v>
      </c>
      <c r="L158" s="2">
        <v>5860000</v>
      </c>
      <c r="M158" s="2">
        <v>234000</v>
      </c>
      <c r="N158" s="6">
        <f t="shared" si="12"/>
        <v>0</v>
      </c>
      <c r="O158" s="9">
        <f t="shared" si="13"/>
        <v>3.9931740614334472E-2</v>
      </c>
      <c r="P158" s="10">
        <v>5</v>
      </c>
      <c r="Q158" s="1">
        <f t="shared" si="14"/>
        <v>1</v>
      </c>
      <c r="R158" s="10">
        <v>7</v>
      </c>
      <c r="S158" s="10">
        <v>25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12265000</v>
      </c>
      <c r="M159" s="2">
        <v>1761500</v>
      </c>
      <c r="N159" s="6">
        <f t="shared" si="12"/>
        <v>1</v>
      </c>
      <c r="O159" s="9">
        <f t="shared" si="13"/>
        <v>0.14362005707297187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0</v>
      </c>
      <c r="J160" s="4">
        <f t="shared" si="10"/>
        <v>0</v>
      </c>
      <c r="K160" s="5">
        <f t="shared" si="11"/>
        <v>0</v>
      </c>
      <c r="L160" s="2">
        <v>17240000</v>
      </c>
      <c r="M160" s="2">
        <v>3313000</v>
      </c>
      <c r="N160" s="6">
        <f t="shared" si="12"/>
        <v>1</v>
      </c>
      <c r="O160" s="9">
        <f t="shared" si="13"/>
        <v>0.192169373549884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5</v>
      </c>
      <c r="J161" s="4">
        <f t="shared" si="10"/>
        <v>1</v>
      </c>
      <c r="K161" s="5">
        <f t="shared" si="11"/>
        <v>0.11363636363636363</v>
      </c>
      <c r="L161" s="2">
        <v>11620000</v>
      </c>
      <c r="M161" s="2">
        <v>90000</v>
      </c>
      <c r="N161" s="6">
        <f t="shared" si="12"/>
        <v>0</v>
      </c>
      <c r="O161" s="9">
        <f t="shared" si="13"/>
        <v>7.7452667814113599E-3</v>
      </c>
      <c r="P161" s="10">
        <v>8</v>
      </c>
      <c r="Q161" s="1">
        <f t="shared" si="14"/>
        <v>1</v>
      </c>
      <c r="R161" s="10">
        <v>6</v>
      </c>
      <c r="S161" s="10">
        <v>8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0</v>
      </c>
      <c r="J162" s="4">
        <f t="shared" si="10"/>
        <v>0</v>
      </c>
      <c r="K162" s="5">
        <f t="shared" si="11"/>
        <v>0</v>
      </c>
      <c r="L162" s="2">
        <v>11414000</v>
      </c>
      <c r="M162" s="2">
        <v>5813000</v>
      </c>
      <c r="N162" s="6">
        <f t="shared" si="12"/>
        <v>1</v>
      </c>
      <c r="O162" s="9">
        <f t="shared" si="13"/>
        <v>0.50928684072192043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9875548</v>
      </c>
      <c r="M163" s="2">
        <v>3670000</v>
      </c>
      <c r="N163" s="6">
        <f t="shared" si="12"/>
        <v>1</v>
      </c>
      <c r="O163" s="9">
        <f t="shared" si="13"/>
        <v>0.37162494678776309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2398000</v>
      </c>
      <c r="M164" s="2">
        <v>300000</v>
      </c>
      <c r="N164" s="6">
        <f t="shared" si="12"/>
        <v>1</v>
      </c>
      <c r="O164" s="9">
        <f t="shared" si="13"/>
        <v>0.12510425354462051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2577000</v>
      </c>
      <c r="M165" s="2">
        <v>385000</v>
      </c>
      <c r="N165" s="6">
        <f t="shared" si="12"/>
        <v>1</v>
      </c>
      <c r="O165" s="9">
        <f t="shared" si="13"/>
        <v>0.14939852541715173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2884000</v>
      </c>
      <c r="M166" s="2">
        <v>534000</v>
      </c>
      <c r="N166" s="6">
        <f t="shared" si="12"/>
        <v>1</v>
      </c>
      <c r="O166" s="9">
        <f t="shared" si="13"/>
        <v>0.18515950069348128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0</v>
      </c>
      <c r="J167" s="4">
        <f t="shared" si="10"/>
        <v>0</v>
      </c>
      <c r="K167" s="5">
        <f t="shared" si="11"/>
        <v>0</v>
      </c>
      <c r="L167" s="2">
        <v>5571500</v>
      </c>
      <c r="M167" s="2">
        <v>2963000</v>
      </c>
      <c r="N167" s="6">
        <f t="shared" si="12"/>
        <v>1</v>
      </c>
      <c r="O167" s="9">
        <f t="shared" si="13"/>
        <v>0.53181369469622186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3833000</v>
      </c>
      <c r="M168" s="2">
        <v>919000</v>
      </c>
      <c r="N168" s="6">
        <f t="shared" si="12"/>
        <v>1</v>
      </c>
      <c r="O168" s="9">
        <f t="shared" si="13"/>
        <v>0.23975997912861988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619000</v>
      </c>
      <c r="N169" s="6">
        <f t="shared" si="12"/>
        <v>1</v>
      </c>
      <c r="O169" s="9">
        <f t="shared" si="13"/>
        <v>0.22849760059062385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5174500</v>
      </c>
      <c r="M170" s="2">
        <v>1600000</v>
      </c>
      <c r="N170" s="6">
        <f t="shared" si="12"/>
        <v>1</v>
      </c>
      <c r="O170" s="9">
        <f t="shared" si="13"/>
        <v>0.30920861919025994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5024500</v>
      </c>
      <c r="M171" s="2">
        <v>253000</v>
      </c>
      <c r="N171" s="6">
        <f t="shared" si="12"/>
        <v>0</v>
      </c>
      <c r="O171" s="9">
        <f t="shared" si="13"/>
        <v>5.0353268981988254E-2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3571000</v>
      </c>
      <c r="M172" s="2">
        <v>487000</v>
      </c>
      <c r="N172" s="6">
        <f t="shared" si="12"/>
        <v>1</v>
      </c>
      <c r="O172" s="9">
        <f t="shared" si="13"/>
        <v>0.13637636516381965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5396500</v>
      </c>
      <c r="M173" s="2">
        <v>253000</v>
      </c>
      <c r="N173" s="6">
        <f t="shared" si="12"/>
        <v>0</v>
      </c>
      <c r="O173" s="9">
        <f t="shared" si="13"/>
        <v>4.6882238487908831E-2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24</v>
      </c>
      <c r="J178" s="4">
        <f t="shared" si="10"/>
        <v>1</v>
      </c>
      <c r="K178" s="5">
        <f t="shared" si="11"/>
        <v>0.54545454545454541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4</v>
      </c>
      <c r="Q178" s="1">
        <f t="shared" si="14"/>
        <v>1</v>
      </c>
      <c r="R178" s="10">
        <v>6</v>
      </c>
      <c r="S178" s="10">
        <v>24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3</v>
      </c>
      <c r="J179" s="4">
        <f t="shared" si="10"/>
        <v>1</v>
      </c>
      <c r="K179" s="5">
        <f t="shared" si="11"/>
        <v>1</v>
      </c>
      <c r="L179" s="2">
        <v>6459500</v>
      </c>
      <c r="M179" s="2">
        <v>1328000</v>
      </c>
      <c r="N179" s="6">
        <f t="shared" si="12"/>
        <v>1</v>
      </c>
      <c r="O179" s="9">
        <f t="shared" si="13"/>
        <v>0.20558866785354904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2</v>
      </c>
      <c r="J180" s="4">
        <f t="shared" si="10"/>
        <v>0</v>
      </c>
      <c r="K180" s="5">
        <f t="shared" si="11"/>
        <v>0.66666666666666663</v>
      </c>
      <c r="L180" s="2">
        <v>9354500</v>
      </c>
      <c r="M180" s="2">
        <v>2000000</v>
      </c>
      <c r="N180" s="6">
        <f t="shared" si="12"/>
        <v>1</v>
      </c>
      <c r="O180" s="9">
        <f t="shared" si="13"/>
        <v>0.21380084451333584</v>
      </c>
      <c r="P180" s="10">
        <v>2</v>
      </c>
      <c r="Q180" s="1">
        <f t="shared" si="14"/>
        <v>0</v>
      </c>
      <c r="R180" s="10">
        <v>3</v>
      </c>
      <c r="S180" s="10">
        <v>2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404000</v>
      </c>
      <c r="N181" s="6">
        <f t="shared" si="12"/>
        <v>1</v>
      </c>
      <c r="O181" s="9">
        <f t="shared" si="13"/>
        <v>0.24559270516717324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3</v>
      </c>
      <c r="J183" s="4">
        <f t="shared" si="10"/>
        <v>1</v>
      </c>
      <c r="K183" s="5">
        <f t="shared" si="11"/>
        <v>0.5</v>
      </c>
      <c r="L183" s="2">
        <v>1897000</v>
      </c>
      <c r="M183" s="2">
        <v>654000</v>
      </c>
      <c r="N183" s="6">
        <f t="shared" si="12"/>
        <v>1</v>
      </c>
      <c r="O183" s="9">
        <f t="shared" si="13"/>
        <v>0.34475487612018979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6</v>
      </c>
      <c r="J184" s="4">
        <f t="shared" si="10"/>
        <v>1</v>
      </c>
      <c r="K184" s="5">
        <f t="shared" si="11"/>
        <v>0.66666666666666663</v>
      </c>
      <c r="L184" s="2">
        <v>16804000</v>
      </c>
      <c r="M184" s="2">
        <v>3612000</v>
      </c>
      <c r="N184" s="6">
        <f t="shared" si="12"/>
        <v>1</v>
      </c>
      <c r="O184" s="9">
        <f t="shared" si="13"/>
        <v>0.21494882170911689</v>
      </c>
      <c r="P184" s="10">
        <v>19</v>
      </c>
      <c r="Q184" s="1">
        <f t="shared" si="14"/>
        <v>1</v>
      </c>
      <c r="R184" s="10">
        <v>39</v>
      </c>
      <c r="S184" s="10">
        <v>21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3</v>
      </c>
      <c r="J185" s="1">
        <f t="shared" si="10"/>
        <v>1</v>
      </c>
      <c r="K185" s="5">
        <f t="shared" si="11"/>
        <v>0.5</v>
      </c>
      <c r="L185" s="2">
        <v>3020000</v>
      </c>
      <c r="M185" s="2">
        <v>390000</v>
      </c>
      <c r="N185" s="6">
        <f t="shared" si="12"/>
        <v>1</v>
      </c>
      <c r="O185" s="9">
        <f t="shared" si="13"/>
        <v>0.12913907284768211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0</v>
      </c>
      <c r="J186" s="4">
        <f t="shared" si="10"/>
        <v>0</v>
      </c>
      <c r="K186" s="5">
        <f t="shared" si="11"/>
        <v>0</v>
      </c>
      <c r="L186" s="2">
        <v>3136000</v>
      </c>
      <c r="M186" s="2">
        <v>536000</v>
      </c>
      <c r="N186" s="6">
        <f t="shared" si="12"/>
        <v>1</v>
      </c>
      <c r="O186" s="9">
        <f t="shared" si="13"/>
        <v>0.17091836734693877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3</v>
      </c>
      <c r="J187" s="4">
        <f t="shared" si="10"/>
        <v>1</v>
      </c>
      <c r="K187" s="5">
        <f t="shared" si="11"/>
        <v>1</v>
      </c>
      <c r="L187" s="2">
        <v>31270000</v>
      </c>
      <c r="M187" s="2">
        <v>8580000</v>
      </c>
      <c r="N187" s="6">
        <f t="shared" si="12"/>
        <v>1</v>
      </c>
      <c r="O187" s="9">
        <f t="shared" si="13"/>
        <v>0.27438439398784775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3</v>
      </c>
      <c r="J188" s="4">
        <f t="shared" si="10"/>
        <v>1</v>
      </c>
      <c r="K188" s="5">
        <f t="shared" si="11"/>
        <v>0.5</v>
      </c>
      <c r="L188" s="2">
        <v>28774000</v>
      </c>
      <c r="M188" s="2">
        <v>3420000</v>
      </c>
      <c r="N188" s="6">
        <f t="shared" si="12"/>
        <v>1</v>
      </c>
      <c r="O188" s="9">
        <f t="shared" si="13"/>
        <v>0.11885730173072913</v>
      </c>
      <c r="P188" s="10">
        <v>1</v>
      </c>
      <c r="Q188" s="1">
        <f t="shared" si="14"/>
        <v>0</v>
      </c>
      <c r="R188" s="10">
        <v>64</v>
      </c>
      <c r="S188" s="10">
        <v>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0</v>
      </c>
      <c r="J189" s="4">
        <f t="shared" si="10"/>
        <v>0</v>
      </c>
      <c r="K189" s="5">
        <f t="shared" si="11"/>
        <v>0</v>
      </c>
      <c r="L189" s="2">
        <v>19195000</v>
      </c>
      <c r="M189" s="2">
        <v>536000</v>
      </c>
      <c r="N189" s="6">
        <f t="shared" si="12"/>
        <v>1</v>
      </c>
      <c r="O189" s="9">
        <f t="shared" si="13"/>
        <v>2.7923938525657725E-2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3</v>
      </c>
      <c r="J190" s="4">
        <f t="shared" si="10"/>
        <v>1</v>
      </c>
      <c r="K190" s="5">
        <f t="shared" si="11"/>
        <v>0.5</v>
      </c>
      <c r="L190" s="2">
        <v>1975000</v>
      </c>
      <c r="M190" s="2">
        <v>190000</v>
      </c>
      <c r="N190" s="6">
        <f t="shared" si="12"/>
        <v>0</v>
      </c>
      <c r="O190" s="9">
        <f t="shared" si="13"/>
        <v>9.6202531645569619E-2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3409000</v>
      </c>
      <c r="N193" s="6">
        <f t="shared" si="12"/>
        <v>1</v>
      </c>
      <c r="O193" s="9">
        <f t="shared" si="13"/>
        <v>0.60065192494053388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3</v>
      </c>
      <c r="J194" s="1">
        <f t="shared" si="10"/>
        <v>1</v>
      </c>
      <c r="K194" s="5">
        <f t="shared" si="11"/>
        <v>1</v>
      </c>
      <c r="L194" s="2">
        <v>1724000</v>
      </c>
      <c r="M194" s="2">
        <v>624000</v>
      </c>
      <c r="N194" s="6">
        <f t="shared" si="12"/>
        <v>1</v>
      </c>
      <c r="O194" s="9">
        <f t="shared" si="13"/>
        <v>0.3619489559164733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3</v>
      </c>
      <c r="J195" s="1">
        <f t="shared" si="10"/>
        <v>1</v>
      </c>
      <c r="K195" s="5">
        <f t="shared" si="11"/>
        <v>1</v>
      </c>
      <c r="L195" s="2">
        <v>1562000</v>
      </c>
      <c r="M195" s="2">
        <v>624000</v>
      </c>
      <c r="N195" s="6">
        <f t="shared" si="12"/>
        <v>1</v>
      </c>
      <c r="O195" s="9">
        <f t="shared" si="13"/>
        <v>0.39948783610755439</v>
      </c>
      <c r="P195" s="10">
        <v>1</v>
      </c>
      <c r="Q195" s="1">
        <f t="shared" si="14"/>
        <v>0</v>
      </c>
      <c r="R195" s="10">
        <v>3</v>
      </c>
      <c r="S195" s="10">
        <v>1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2045000</v>
      </c>
      <c r="N196" s="6">
        <f t="shared" si="12"/>
        <v>1</v>
      </c>
      <c r="O196" s="9">
        <f t="shared" si="13"/>
        <v>0.38407362193633204</v>
      </c>
      <c r="P196" s="10">
        <v>1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3</v>
      </c>
      <c r="J197" s="1">
        <f t="shared" si="10"/>
        <v>1</v>
      </c>
      <c r="K197" s="5">
        <f t="shared" si="11"/>
        <v>0.375</v>
      </c>
      <c r="L197" s="2">
        <v>5390500</v>
      </c>
      <c r="M197" s="2">
        <v>456000</v>
      </c>
      <c r="N197" s="6">
        <f t="shared" si="12"/>
        <v>1</v>
      </c>
      <c r="O197" s="9">
        <f t="shared" si="13"/>
        <v>8.4593265930804198E-2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3</v>
      </c>
      <c r="J198" s="1">
        <f t="shared" ref="J198:J261" si="15">IF(I198&gt;=3,1,0)</f>
        <v>1</v>
      </c>
      <c r="K198" s="5">
        <f t="shared" ref="K198:K261" si="16">I198/H198</f>
        <v>1</v>
      </c>
      <c r="L198" s="2">
        <v>1690000</v>
      </c>
      <c r="M198" s="2">
        <v>624000</v>
      </c>
      <c r="N198" s="6">
        <f t="shared" ref="N198:N261" si="17">IF(M198&gt;=300000,1,0)</f>
        <v>1</v>
      </c>
      <c r="O198" s="9">
        <f t="shared" ref="O198:O261" si="18">M198/L198</f>
        <v>0.36923076923076925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366000</v>
      </c>
      <c r="N199" s="6">
        <f t="shared" si="17"/>
        <v>1</v>
      </c>
      <c r="O199" s="9">
        <f t="shared" si="18"/>
        <v>0.26293103448275862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3</v>
      </c>
      <c r="J200" s="1">
        <f t="shared" si="15"/>
        <v>1</v>
      </c>
      <c r="K200" s="5">
        <f t="shared" si="16"/>
        <v>0.6</v>
      </c>
      <c r="L200" s="2">
        <v>3575000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4</v>
      </c>
      <c r="J201" s="4">
        <f t="shared" si="15"/>
        <v>1</v>
      </c>
      <c r="K201" s="5">
        <f t="shared" si="16"/>
        <v>0.8</v>
      </c>
      <c r="L201" s="2">
        <v>3575000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4304200</v>
      </c>
      <c r="N202" s="6">
        <f t="shared" si="17"/>
        <v>1</v>
      </c>
      <c r="O202" s="9">
        <f t="shared" si="18"/>
        <v>0.59368275862068964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3804200</v>
      </c>
      <c r="N203" s="6">
        <f t="shared" si="17"/>
        <v>1</v>
      </c>
      <c r="O203" s="9">
        <f t="shared" si="18"/>
        <v>0.33815111111111112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3</v>
      </c>
      <c r="J209" s="1">
        <f t="shared" si="15"/>
        <v>1</v>
      </c>
      <c r="K209" s="5">
        <f t="shared" si="16"/>
        <v>1</v>
      </c>
      <c r="L209" s="2">
        <v>1555000</v>
      </c>
      <c r="M209" s="2">
        <v>390000</v>
      </c>
      <c r="N209" s="6">
        <f t="shared" si="17"/>
        <v>1</v>
      </c>
      <c r="O209" s="9">
        <f t="shared" si="18"/>
        <v>0.25080385852090031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3</v>
      </c>
      <c r="J211" s="1">
        <f t="shared" si="15"/>
        <v>1</v>
      </c>
      <c r="K211" s="5">
        <f t="shared" si="16"/>
        <v>0.42857142857142855</v>
      </c>
      <c r="L211" s="2">
        <v>3181000</v>
      </c>
      <c r="M211" s="2">
        <v>456000</v>
      </c>
      <c r="N211" s="6">
        <f t="shared" si="17"/>
        <v>1</v>
      </c>
      <c r="O211" s="9">
        <f t="shared" si="18"/>
        <v>0.14335114743791261</v>
      </c>
      <c r="P211" s="10">
        <v>1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560000</v>
      </c>
      <c r="N212" s="6">
        <f t="shared" si="17"/>
        <v>1</v>
      </c>
      <c r="O212" s="9">
        <f t="shared" si="18"/>
        <v>0.35646085295989816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534000</v>
      </c>
      <c r="N213" s="6">
        <f t="shared" si="17"/>
        <v>1</v>
      </c>
      <c r="O213" s="9">
        <f t="shared" si="18"/>
        <v>3.4215416159415646E-2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626000</v>
      </c>
      <c r="N214" s="6">
        <f t="shared" si="17"/>
        <v>1</v>
      </c>
      <c r="O214" s="9">
        <f t="shared" si="18"/>
        <v>0.42268737339635382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626000</v>
      </c>
      <c r="N215" s="6">
        <f t="shared" si="17"/>
        <v>1</v>
      </c>
      <c r="O215" s="9">
        <f t="shared" si="18"/>
        <v>0.31425702811244982</v>
      </c>
      <c r="P215" s="10">
        <v>4</v>
      </c>
      <c r="Q215" s="1">
        <f t="shared" si="19"/>
        <v>1</v>
      </c>
      <c r="R215" s="10">
        <v>8</v>
      </c>
      <c r="S215" s="10">
        <v>4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3</v>
      </c>
      <c r="J216" s="1">
        <f t="shared" si="15"/>
        <v>1</v>
      </c>
      <c r="K216" s="5">
        <f t="shared" si="16"/>
        <v>1</v>
      </c>
      <c r="L216" s="2">
        <v>2538000</v>
      </c>
      <c r="M216" s="2">
        <v>456000</v>
      </c>
      <c r="N216" s="6">
        <f t="shared" si="17"/>
        <v>1</v>
      </c>
      <c r="O216" s="9">
        <f t="shared" si="18"/>
        <v>0.17966903073286053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3</v>
      </c>
      <c r="J217" s="4">
        <f t="shared" si="15"/>
        <v>1</v>
      </c>
      <c r="K217" s="5">
        <f t="shared" si="16"/>
        <v>1</v>
      </c>
      <c r="L217" s="2">
        <v>2198000</v>
      </c>
      <c r="M217" s="2">
        <v>456000</v>
      </c>
      <c r="N217" s="6">
        <f t="shared" si="17"/>
        <v>1</v>
      </c>
      <c r="O217" s="9">
        <f t="shared" si="18"/>
        <v>0.20746132848043677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3</v>
      </c>
      <c r="J218" s="1">
        <f t="shared" si="15"/>
        <v>1</v>
      </c>
      <c r="K218" s="5">
        <f t="shared" si="16"/>
        <v>1</v>
      </c>
      <c r="L218" s="2">
        <v>1728000</v>
      </c>
      <c r="M218" s="2">
        <v>456000</v>
      </c>
      <c r="N218" s="6">
        <f t="shared" si="17"/>
        <v>1</v>
      </c>
      <c r="O218" s="9">
        <f t="shared" si="18"/>
        <v>0.2638888888888889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3</v>
      </c>
      <c r="J219" s="1">
        <f t="shared" si="15"/>
        <v>1</v>
      </c>
      <c r="K219" s="5">
        <f t="shared" si="16"/>
        <v>1</v>
      </c>
      <c r="L219" s="2">
        <v>2873000</v>
      </c>
      <c r="M219" s="2">
        <v>456000</v>
      </c>
      <c r="N219" s="6">
        <f t="shared" si="17"/>
        <v>1</v>
      </c>
      <c r="O219" s="9">
        <f t="shared" si="18"/>
        <v>0.15871910894535329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1594000</v>
      </c>
      <c r="N221" s="6">
        <f t="shared" si="17"/>
        <v>1</v>
      </c>
      <c r="O221" s="9">
        <f t="shared" si="18"/>
        <v>0.3176880916791231</v>
      </c>
      <c r="P221" s="10">
        <v>12</v>
      </c>
      <c r="Q221" s="1">
        <f t="shared" si="19"/>
        <v>1</v>
      </c>
      <c r="R221" s="10">
        <v>32</v>
      </c>
      <c r="S221" s="10">
        <v>11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19105000</v>
      </c>
      <c r="M222" s="2">
        <v>1324000</v>
      </c>
      <c r="N222" s="6">
        <f t="shared" si="17"/>
        <v>1</v>
      </c>
      <c r="O222" s="9">
        <f t="shared" si="18"/>
        <v>6.9301230044490972E-2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4</v>
      </c>
      <c r="J223" s="1">
        <f t="shared" si="15"/>
        <v>1</v>
      </c>
      <c r="K223" s="5">
        <f t="shared" si="16"/>
        <v>1</v>
      </c>
      <c r="L223" s="2">
        <v>3961000</v>
      </c>
      <c r="M223" s="2">
        <v>1392000</v>
      </c>
      <c r="N223" s="6">
        <f t="shared" si="17"/>
        <v>1</v>
      </c>
      <c r="O223" s="9">
        <f t="shared" si="18"/>
        <v>0.35142640747286041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2290000</v>
      </c>
      <c r="M224" s="2">
        <v>319000</v>
      </c>
      <c r="N224" s="6">
        <f t="shared" si="17"/>
        <v>1</v>
      </c>
      <c r="O224" s="9">
        <f t="shared" si="18"/>
        <v>0.13930131004366811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5205500</v>
      </c>
      <c r="M225" s="2">
        <v>2695000</v>
      </c>
      <c r="N225" s="6">
        <f t="shared" si="17"/>
        <v>1</v>
      </c>
      <c r="O225" s="9">
        <f t="shared" si="18"/>
        <v>0.51772164057247139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2497000</v>
      </c>
      <c r="M226" s="2">
        <v>487000</v>
      </c>
      <c r="N226" s="6">
        <f t="shared" si="17"/>
        <v>1</v>
      </c>
      <c r="O226" s="9">
        <f t="shared" si="18"/>
        <v>0.19503404084901882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2222000</v>
      </c>
      <c r="N227" s="6">
        <f t="shared" si="17"/>
        <v>1</v>
      </c>
      <c r="O227" s="9">
        <f t="shared" si="18"/>
        <v>0.69199626284646532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2090000</v>
      </c>
      <c r="N228" s="6">
        <f t="shared" si="17"/>
        <v>1</v>
      </c>
      <c r="O228" s="9">
        <f t="shared" si="18"/>
        <v>0.54075032341526519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560000</v>
      </c>
      <c r="N229" s="6">
        <f t="shared" si="17"/>
        <v>1</v>
      </c>
      <c r="O229" s="9">
        <f t="shared" si="18"/>
        <v>0.31024930747922436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3</v>
      </c>
      <c r="J230" s="1">
        <f t="shared" si="15"/>
        <v>1</v>
      </c>
      <c r="K230" s="5">
        <f t="shared" si="16"/>
        <v>1</v>
      </c>
      <c r="L230" s="2">
        <v>18743000</v>
      </c>
      <c r="M230" s="2">
        <v>6090000</v>
      </c>
      <c r="N230" s="6">
        <f t="shared" si="17"/>
        <v>1</v>
      </c>
      <c r="O230" s="9">
        <f t="shared" si="18"/>
        <v>0.32492130395347596</v>
      </c>
      <c r="P230" s="10">
        <v>3</v>
      </c>
      <c r="Q230" s="1">
        <f t="shared" si="19"/>
        <v>1</v>
      </c>
      <c r="R230" s="10">
        <v>19</v>
      </c>
      <c r="S230" s="10">
        <v>2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1</v>
      </c>
      <c r="J231" s="4">
        <f t="shared" si="15"/>
        <v>0</v>
      </c>
      <c r="K231" s="5">
        <f t="shared" si="16"/>
        <v>0.33333333333333331</v>
      </c>
      <c r="L231" s="2">
        <v>1649000</v>
      </c>
      <c r="M231" s="2">
        <v>253000</v>
      </c>
      <c r="N231" s="6">
        <f t="shared" si="17"/>
        <v>0</v>
      </c>
      <c r="O231" s="9">
        <f t="shared" si="18"/>
        <v>0.15342631898120074</v>
      </c>
      <c r="P231" s="10">
        <v>3</v>
      </c>
      <c r="Q231" s="1">
        <f t="shared" si="19"/>
        <v>1</v>
      </c>
      <c r="R231" s="10">
        <v>8</v>
      </c>
      <c r="S231" s="10">
        <v>3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3800000</v>
      </c>
      <c r="M232" s="2">
        <v>319000</v>
      </c>
      <c r="N232" s="6">
        <f t="shared" si="17"/>
        <v>1</v>
      </c>
      <c r="O232" s="9">
        <f t="shared" si="18"/>
        <v>8.3947368421052632E-2</v>
      </c>
      <c r="P232" s="10">
        <v>1</v>
      </c>
      <c r="Q232" s="1">
        <f t="shared" si="19"/>
        <v>0</v>
      </c>
      <c r="R232" s="10">
        <v>10</v>
      </c>
      <c r="S232" s="10">
        <v>1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19456000</v>
      </c>
      <c r="M233" s="2">
        <v>3135000</v>
      </c>
      <c r="N233" s="6">
        <f t="shared" si="17"/>
        <v>1</v>
      </c>
      <c r="O233" s="9">
        <f t="shared" si="18"/>
        <v>0.1611328125</v>
      </c>
      <c r="P233" s="10">
        <v>5</v>
      </c>
      <c r="Q233" s="1">
        <f t="shared" si="19"/>
        <v>1</v>
      </c>
      <c r="R233" s="10">
        <v>33</v>
      </c>
      <c r="S233" s="10">
        <v>5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2668000</v>
      </c>
      <c r="M234" s="2">
        <v>524000</v>
      </c>
      <c r="N234" s="6">
        <f t="shared" si="17"/>
        <v>1</v>
      </c>
      <c r="O234" s="9">
        <f t="shared" si="18"/>
        <v>0.19640179910044978</v>
      </c>
      <c r="P234" s="10">
        <v>1</v>
      </c>
      <c r="Q234" s="1">
        <f t="shared" si="19"/>
        <v>0</v>
      </c>
      <c r="R234" s="10">
        <v>9</v>
      </c>
      <c r="S234" s="10">
        <v>1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6139000</v>
      </c>
      <c r="N235" s="6">
        <f t="shared" si="17"/>
        <v>1</v>
      </c>
      <c r="O235" s="9">
        <f t="shared" si="18"/>
        <v>1.0660762351306763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0</v>
      </c>
      <c r="J236" s="1">
        <f t="shared" si="15"/>
        <v>0</v>
      </c>
      <c r="K236" s="5">
        <f t="shared" si="16"/>
        <v>0</v>
      </c>
      <c r="L236" s="2">
        <v>6076500</v>
      </c>
      <c r="M236" s="2">
        <v>1402000</v>
      </c>
      <c r="N236" s="6">
        <f t="shared" si="17"/>
        <v>1</v>
      </c>
      <c r="O236" s="9">
        <f t="shared" si="18"/>
        <v>0.23072492388710605</v>
      </c>
      <c r="P236" s="10">
        <v>3</v>
      </c>
      <c r="Q236" s="1">
        <f t="shared" si="19"/>
        <v>1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1711000</v>
      </c>
      <c r="M237" s="2">
        <v>319000</v>
      </c>
      <c r="N237" s="6">
        <f t="shared" si="17"/>
        <v>1</v>
      </c>
      <c r="O237" s="9">
        <f t="shared" si="18"/>
        <v>0.1864406779661017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1452000</v>
      </c>
      <c r="M238" s="2">
        <v>253000</v>
      </c>
      <c r="N238" s="6">
        <f t="shared" si="17"/>
        <v>0</v>
      </c>
      <c r="O238" s="9">
        <f t="shared" si="18"/>
        <v>0.17424242424242425</v>
      </c>
      <c r="P238" s="10">
        <v>5</v>
      </c>
      <c r="Q238" s="1">
        <f t="shared" si="19"/>
        <v>1</v>
      </c>
      <c r="R238" s="10">
        <v>4</v>
      </c>
      <c r="S238" s="10">
        <v>5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1790000</v>
      </c>
      <c r="N239" s="6">
        <f t="shared" si="17"/>
        <v>1</v>
      </c>
      <c r="O239" s="9">
        <f t="shared" si="18"/>
        <v>1.350943396226415</v>
      </c>
      <c r="P239" s="10">
        <v>6</v>
      </c>
      <c r="Q239" s="1">
        <f t="shared" si="19"/>
        <v>1</v>
      </c>
      <c r="R239" s="10">
        <v>3</v>
      </c>
      <c r="S239" s="10">
        <v>5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2262000</v>
      </c>
      <c r="M240" s="2">
        <v>253000</v>
      </c>
      <c r="N240" s="6">
        <f t="shared" si="17"/>
        <v>0</v>
      </c>
      <c r="O240" s="9">
        <f t="shared" si="18"/>
        <v>0.11184792219274978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3657000</v>
      </c>
      <c r="N241" s="6">
        <f t="shared" si="17"/>
        <v>1</v>
      </c>
      <c r="O241" s="9">
        <f t="shared" si="18"/>
        <v>1.4147001934235977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1745000</v>
      </c>
      <c r="M242" s="2">
        <v>253000</v>
      </c>
      <c r="N242" s="6">
        <f t="shared" si="17"/>
        <v>0</v>
      </c>
      <c r="O242" s="9">
        <f t="shared" si="18"/>
        <v>0.14498567335243553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10</v>
      </c>
      <c r="J243" s="4">
        <f t="shared" si="15"/>
        <v>1</v>
      </c>
      <c r="K243" s="5">
        <f t="shared" si="16"/>
        <v>0.66666666666666663</v>
      </c>
      <c r="L243" s="2">
        <v>2826000</v>
      </c>
      <c r="M243" s="2">
        <v>487000</v>
      </c>
      <c r="N243" s="6">
        <f t="shared" si="17"/>
        <v>1</v>
      </c>
      <c r="O243" s="9">
        <f t="shared" si="18"/>
        <v>0.17232837933474876</v>
      </c>
      <c r="P243" s="10">
        <v>29</v>
      </c>
      <c r="Q243" s="1">
        <f t="shared" si="19"/>
        <v>1</v>
      </c>
      <c r="R243" s="10">
        <v>56</v>
      </c>
      <c r="S243" s="10">
        <v>32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</v>
      </c>
      <c r="J244" s="4">
        <f t="shared" si="15"/>
        <v>1</v>
      </c>
      <c r="K244" s="5">
        <f t="shared" si="16"/>
        <v>1</v>
      </c>
      <c r="L244" s="2">
        <v>11690000</v>
      </c>
      <c r="M244" s="2">
        <v>497000</v>
      </c>
      <c r="N244" s="6">
        <f t="shared" si="17"/>
        <v>1</v>
      </c>
      <c r="O244" s="9">
        <f t="shared" si="18"/>
        <v>4.2514970059880239E-2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3741000</v>
      </c>
      <c r="N245" s="6">
        <f t="shared" si="17"/>
        <v>1</v>
      </c>
      <c r="O245" s="9">
        <f t="shared" si="18"/>
        <v>0.79655062280421596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9</v>
      </c>
      <c r="J246" s="1">
        <f t="shared" si="15"/>
        <v>1</v>
      </c>
      <c r="K246" s="5">
        <f t="shared" si="16"/>
        <v>1.5</v>
      </c>
      <c r="L246" s="2">
        <v>6933500</v>
      </c>
      <c r="M246" s="2">
        <v>3707000</v>
      </c>
      <c r="N246" s="6">
        <f t="shared" si="17"/>
        <v>1</v>
      </c>
      <c r="O246" s="9">
        <f t="shared" si="18"/>
        <v>0.53465060936035191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3325000</v>
      </c>
      <c r="M247" s="2">
        <v>1129000</v>
      </c>
      <c r="N247" s="6">
        <f t="shared" si="17"/>
        <v>1</v>
      </c>
      <c r="O247" s="9">
        <f t="shared" si="18"/>
        <v>0.3395488721804511</v>
      </c>
      <c r="P247" s="10">
        <v>5</v>
      </c>
      <c r="Q247" s="1">
        <f t="shared" si="19"/>
        <v>1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9</v>
      </c>
      <c r="J248" s="1">
        <f t="shared" si="15"/>
        <v>1</v>
      </c>
      <c r="K248" s="5">
        <f t="shared" si="16"/>
        <v>3</v>
      </c>
      <c r="L248" s="2">
        <v>4482500</v>
      </c>
      <c r="M248" s="2">
        <v>705000</v>
      </c>
      <c r="N248" s="6">
        <f t="shared" si="17"/>
        <v>1</v>
      </c>
      <c r="O248" s="9">
        <f t="shared" si="18"/>
        <v>0.15727830451756833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6</v>
      </c>
      <c r="J249" s="4">
        <f t="shared" si="15"/>
        <v>1</v>
      </c>
      <c r="K249" s="5">
        <f t="shared" si="16"/>
        <v>1</v>
      </c>
      <c r="L249" s="2">
        <v>7686500</v>
      </c>
      <c r="M249" s="2">
        <v>1786000</v>
      </c>
      <c r="N249" s="6">
        <f t="shared" si="17"/>
        <v>1</v>
      </c>
      <c r="O249" s="9">
        <f t="shared" si="18"/>
        <v>0.23235542834840303</v>
      </c>
      <c r="P249" s="10">
        <v>8</v>
      </c>
      <c r="Q249" s="1">
        <f t="shared" si="19"/>
        <v>1</v>
      </c>
      <c r="R249" s="10">
        <v>19</v>
      </c>
      <c r="S249" s="10">
        <v>9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9</v>
      </c>
      <c r="J250" s="1">
        <f t="shared" si="15"/>
        <v>1</v>
      </c>
      <c r="K250" s="5">
        <f t="shared" si="16"/>
        <v>1.5</v>
      </c>
      <c r="L250" s="2">
        <v>6169000</v>
      </c>
      <c r="M250" s="2">
        <v>3750500</v>
      </c>
      <c r="N250" s="6">
        <f t="shared" si="17"/>
        <v>1</v>
      </c>
      <c r="O250" s="9">
        <f t="shared" si="18"/>
        <v>0.60795915059166805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</v>
      </c>
      <c r="J251" s="4">
        <f t="shared" si="15"/>
        <v>1</v>
      </c>
      <c r="K251" s="5">
        <f t="shared" si="16"/>
        <v>1</v>
      </c>
      <c r="L251" s="2">
        <v>6035000</v>
      </c>
      <c r="M251" s="2">
        <v>1058000</v>
      </c>
      <c r="N251" s="6">
        <f t="shared" si="17"/>
        <v>1</v>
      </c>
      <c r="O251" s="9">
        <f t="shared" si="18"/>
        <v>0.17531068765534383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9</v>
      </c>
      <c r="J252" s="4">
        <f t="shared" si="15"/>
        <v>1</v>
      </c>
      <c r="K252" s="5">
        <f t="shared" si="16"/>
        <v>1.125</v>
      </c>
      <c r="L252" s="2">
        <v>4184000</v>
      </c>
      <c r="M252" s="2">
        <v>4240500</v>
      </c>
      <c r="N252" s="6">
        <f t="shared" si="17"/>
        <v>1</v>
      </c>
      <c r="O252" s="9">
        <f t="shared" si="18"/>
        <v>1.0135038240917782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1825000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3850000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748000</v>
      </c>
      <c r="N255" s="6">
        <f t="shared" si="17"/>
        <v>1</v>
      </c>
      <c r="O255" s="9">
        <f t="shared" si="18"/>
        <v>7.895292379142918E-2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11</v>
      </c>
      <c r="J256" s="1">
        <f t="shared" si="15"/>
        <v>1</v>
      </c>
      <c r="K256" s="5">
        <f t="shared" si="16"/>
        <v>1.375</v>
      </c>
      <c r="L256" s="2">
        <v>9904800</v>
      </c>
      <c r="M256" s="2">
        <v>3603200</v>
      </c>
      <c r="N256" s="6">
        <f t="shared" si="17"/>
        <v>1</v>
      </c>
      <c r="O256" s="9">
        <f t="shared" si="18"/>
        <v>0.36378321621839915</v>
      </c>
      <c r="P256" s="10">
        <v>2</v>
      </c>
      <c r="Q256" s="1">
        <f t="shared" si="19"/>
        <v>0</v>
      </c>
      <c r="R256" s="10">
        <v>3</v>
      </c>
      <c r="S256" s="10">
        <v>3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1</v>
      </c>
      <c r="Q257" s="1">
        <f t="shared" si="19"/>
        <v>0</v>
      </c>
      <c r="R257" s="10">
        <v>3</v>
      </c>
      <c r="S257" s="10">
        <v>1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3</v>
      </c>
      <c r="J258" s="1">
        <f t="shared" si="15"/>
        <v>1</v>
      </c>
      <c r="K258" s="5">
        <f t="shared" si="16"/>
        <v>1</v>
      </c>
      <c r="L258" s="2">
        <v>4554000</v>
      </c>
      <c r="M258" s="2">
        <v>1007000</v>
      </c>
      <c r="N258" s="6">
        <f t="shared" si="17"/>
        <v>1</v>
      </c>
      <c r="O258" s="9">
        <f t="shared" si="18"/>
        <v>0.22112428634167763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3</v>
      </c>
      <c r="J259" s="1">
        <f t="shared" si="15"/>
        <v>1</v>
      </c>
      <c r="K259" s="5">
        <f t="shared" si="16"/>
        <v>0.33333333333333331</v>
      </c>
      <c r="L259" s="2">
        <v>4326000</v>
      </c>
      <c r="M259" s="2">
        <v>660000</v>
      </c>
      <c r="N259" s="6">
        <f t="shared" si="17"/>
        <v>1</v>
      </c>
      <c r="O259" s="9">
        <f t="shared" si="18"/>
        <v>0.15256588072122051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616800</v>
      </c>
      <c r="N261" s="6">
        <f t="shared" si="17"/>
        <v>1</v>
      </c>
      <c r="O261" s="9">
        <f t="shared" si="18"/>
        <v>0.32920580700256191</v>
      </c>
      <c r="P261" s="10">
        <v>6</v>
      </c>
      <c r="Q261" s="1">
        <f t="shared" si="19"/>
        <v>1</v>
      </c>
      <c r="R261" s="10">
        <v>20</v>
      </c>
      <c r="S261" s="10">
        <v>6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0</v>
      </c>
      <c r="J262" s="1">
        <f t="shared" ref="J262:J315" si="20">IF(I262&gt;=3,1,0)</f>
        <v>0</v>
      </c>
      <c r="K262" s="5">
        <f t="shared" ref="K262:K315" si="21">I262/H262</f>
        <v>0</v>
      </c>
      <c r="L262" s="2">
        <v>1840000</v>
      </c>
      <c r="M262" s="2">
        <v>355200</v>
      </c>
      <c r="N262" s="6">
        <f t="shared" ref="N262:N315" si="22">IF(M262&gt;=300000,1,0)</f>
        <v>1</v>
      </c>
      <c r="O262" s="9">
        <f t="shared" ref="O262:O315" si="23">M262/L262</f>
        <v>0.19304347826086957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577200</v>
      </c>
      <c r="N263" s="6">
        <f t="shared" si="22"/>
        <v>1</v>
      </c>
      <c r="O263" s="9">
        <f t="shared" si="23"/>
        <v>0.31369565217391304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456900</v>
      </c>
      <c r="N264" s="6">
        <f t="shared" si="22"/>
        <v>1</v>
      </c>
      <c r="O264" s="9">
        <f t="shared" si="23"/>
        <v>0.25104395604395602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3</v>
      </c>
      <c r="J265" s="1">
        <f t="shared" si="20"/>
        <v>1</v>
      </c>
      <c r="K265" s="5">
        <f t="shared" si="21"/>
        <v>0.13043478260869565</v>
      </c>
      <c r="L265" s="2">
        <v>2549200</v>
      </c>
      <c r="M265" s="2">
        <v>880800</v>
      </c>
      <c r="N265" s="6">
        <f t="shared" si="22"/>
        <v>1</v>
      </c>
      <c r="O265" s="9">
        <f t="shared" si="23"/>
        <v>0.3455201631884513</v>
      </c>
      <c r="P265" s="10">
        <v>3</v>
      </c>
      <c r="Q265" s="1">
        <f t="shared" si="24"/>
        <v>1</v>
      </c>
      <c r="R265" s="10">
        <v>20</v>
      </c>
      <c r="S265" s="10">
        <v>3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652800</v>
      </c>
      <c r="N266" s="6">
        <f t="shared" si="22"/>
        <v>1</v>
      </c>
      <c r="O266" s="9">
        <f t="shared" si="23"/>
        <v>0.13642063027668644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0</v>
      </c>
      <c r="J267" s="4">
        <f t="shared" si="20"/>
        <v>0</v>
      </c>
      <c r="K267" s="5">
        <f t="shared" si="21"/>
        <v>0</v>
      </c>
      <c r="L267" s="2">
        <v>2918800</v>
      </c>
      <c r="M267" s="2">
        <v>681300</v>
      </c>
      <c r="N267" s="6">
        <f t="shared" si="22"/>
        <v>1</v>
      </c>
      <c r="O267" s="9">
        <f t="shared" si="23"/>
        <v>0.23341784294915718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3</v>
      </c>
      <c r="J272" s="1">
        <f t="shared" si="20"/>
        <v>1</v>
      </c>
      <c r="K272" s="5">
        <f t="shared" si="21"/>
        <v>5.0847457627118647E-2</v>
      </c>
      <c r="L272" s="2">
        <v>19453000</v>
      </c>
      <c r="M272" s="2">
        <v>2412000</v>
      </c>
      <c r="N272" s="6">
        <f t="shared" si="22"/>
        <v>1</v>
      </c>
      <c r="O272" s="9">
        <f t="shared" si="23"/>
        <v>0.12399115817611679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4</v>
      </c>
      <c r="J273" s="4">
        <f t="shared" si="20"/>
        <v>1</v>
      </c>
      <c r="K273" s="5">
        <f t="shared" si="21"/>
        <v>0.66666666666666663</v>
      </c>
      <c r="L273" s="2">
        <v>9640000</v>
      </c>
      <c r="M273" s="2">
        <v>873000</v>
      </c>
      <c r="N273" s="6">
        <f t="shared" si="22"/>
        <v>1</v>
      </c>
      <c r="O273" s="9">
        <f t="shared" si="23"/>
        <v>9.0560165975103732E-2</v>
      </c>
      <c r="P273" s="10">
        <v>8</v>
      </c>
      <c r="Q273" s="1">
        <f t="shared" si="24"/>
        <v>1</v>
      </c>
      <c r="R273" s="10">
        <v>23</v>
      </c>
      <c r="S273" s="10">
        <v>8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2993000</v>
      </c>
      <c r="N274" s="6">
        <f t="shared" si="22"/>
        <v>1</v>
      </c>
      <c r="O274" s="9">
        <f t="shared" si="23"/>
        <v>0.51434954459529125</v>
      </c>
      <c r="P274" s="10">
        <v>4</v>
      </c>
      <c r="Q274" s="1">
        <f t="shared" si="24"/>
        <v>1</v>
      </c>
      <c r="R274" s="10">
        <v>5</v>
      </c>
      <c r="S274" s="10">
        <v>4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3850000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1</v>
      </c>
      <c r="Q277" s="1">
        <f t="shared" si="24"/>
        <v>0</v>
      </c>
      <c r="R277" s="10">
        <v>3</v>
      </c>
      <c r="S277" s="10">
        <v>2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7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8</v>
      </c>
      <c r="J280" s="4">
        <f t="shared" si="20"/>
        <v>1</v>
      </c>
      <c r="K280" s="5">
        <f t="shared" si="21"/>
        <v>1.1428571428571428</v>
      </c>
      <c r="L280" s="2">
        <v>9806500</v>
      </c>
      <c r="M280" s="2">
        <v>1801000</v>
      </c>
      <c r="N280" s="6">
        <f t="shared" si="22"/>
        <v>1</v>
      </c>
      <c r="O280" s="9">
        <f t="shared" si="23"/>
        <v>0.18365369907714271</v>
      </c>
      <c r="P280" s="10">
        <v>3</v>
      </c>
      <c r="Q280" s="1">
        <f t="shared" si="24"/>
        <v>1</v>
      </c>
      <c r="R280" s="10">
        <v>11</v>
      </c>
      <c r="S280" s="10">
        <v>0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13</v>
      </c>
      <c r="J281" s="1">
        <f t="shared" si="20"/>
        <v>1</v>
      </c>
      <c r="K281" s="5">
        <f t="shared" si="21"/>
        <v>1.625</v>
      </c>
      <c r="L281" s="2">
        <v>6498000</v>
      </c>
      <c r="M281" s="2">
        <v>1951000</v>
      </c>
      <c r="N281" s="6">
        <f t="shared" si="22"/>
        <v>1</v>
      </c>
      <c r="O281" s="9">
        <f t="shared" si="23"/>
        <v>0.30024622960911052</v>
      </c>
      <c r="P281" s="10">
        <v>3</v>
      </c>
      <c r="Q281" s="1">
        <f t="shared" si="24"/>
        <v>1</v>
      </c>
      <c r="R281" s="10">
        <v>3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4551000</v>
      </c>
      <c r="N282" s="6">
        <f t="shared" si="22"/>
        <v>1</v>
      </c>
      <c r="O282" s="9">
        <f t="shared" si="23"/>
        <v>0.8508132361189007</v>
      </c>
      <c r="P282" s="10">
        <v>3</v>
      </c>
      <c r="Q282" s="1">
        <f t="shared" si="24"/>
        <v>1</v>
      </c>
      <c r="R282" s="10">
        <v>3</v>
      </c>
      <c r="S282" s="10">
        <v>0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0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3161000</v>
      </c>
      <c r="N284" s="6">
        <f t="shared" si="22"/>
        <v>1</v>
      </c>
      <c r="O284" s="9">
        <f t="shared" si="23"/>
        <v>0.65445134575569364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1566000</v>
      </c>
      <c r="N285" s="6">
        <f t="shared" si="22"/>
        <v>1</v>
      </c>
      <c r="O285" s="9">
        <f t="shared" si="23"/>
        <v>0.12992615946237451</v>
      </c>
      <c r="P285" s="10">
        <v>3</v>
      </c>
      <c r="Q285" s="1">
        <f t="shared" si="24"/>
        <v>1</v>
      </c>
      <c r="R285" s="10">
        <v>3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3869000</v>
      </c>
      <c r="N286" s="6">
        <f t="shared" si="22"/>
        <v>1</v>
      </c>
      <c r="O286" s="9">
        <f t="shared" si="23"/>
        <v>0.85806165446884008</v>
      </c>
      <c r="P286" s="10">
        <v>3</v>
      </c>
      <c r="Q286" s="1">
        <f t="shared" si="24"/>
        <v>1</v>
      </c>
      <c r="R286" s="10">
        <v>3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90000</v>
      </c>
      <c r="N287" s="6">
        <f t="shared" si="22"/>
        <v>0</v>
      </c>
      <c r="O287" s="9">
        <f t="shared" si="23"/>
        <v>2.3376623376623377E-2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502000</v>
      </c>
      <c r="N288" s="6">
        <f t="shared" si="22"/>
        <v>1</v>
      </c>
      <c r="O288" s="9">
        <f t="shared" si="23"/>
        <v>0.28044692737430166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1126000</v>
      </c>
      <c r="N289" s="6">
        <f t="shared" si="22"/>
        <v>1</v>
      </c>
      <c r="O289" s="9">
        <f t="shared" si="23"/>
        <v>0.36346029696578436</v>
      </c>
      <c r="P289" s="10">
        <v>4</v>
      </c>
      <c r="Q289" s="1">
        <f t="shared" si="24"/>
        <v>1</v>
      </c>
      <c r="R289" s="10">
        <v>6</v>
      </c>
      <c r="S289" s="10">
        <v>4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560000</v>
      </c>
      <c r="N290" s="6">
        <f t="shared" si="22"/>
        <v>1</v>
      </c>
      <c r="O290" s="9">
        <f t="shared" si="23"/>
        <v>0.36482084690553745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626000</v>
      </c>
      <c r="N291" s="6">
        <f t="shared" si="22"/>
        <v>1</v>
      </c>
      <c r="O291" s="9">
        <f t="shared" si="23"/>
        <v>0.31051587301587302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3</v>
      </c>
      <c r="J295" s="1">
        <f t="shared" si="20"/>
        <v>1</v>
      </c>
      <c r="K295" s="5">
        <f t="shared" si="21"/>
        <v>1</v>
      </c>
      <c r="L295" s="2">
        <v>4765000</v>
      </c>
      <c r="M295" s="2">
        <v>1266000</v>
      </c>
      <c r="N295" s="6">
        <f t="shared" si="22"/>
        <v>1</v>
      </c>
      <c r="O295" s="9">
        <f t="shared" si="23"/>
        <v>0.26568730325288564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7</v>
      </c>
      <c r="Q296" s="1">
        <f t="shared" si="24"/>
        <v>1</v>
      </c>
      <c r="R296" s="10">
        <v>3</v>
      </c>
      <c r="S296" s="10">
        <v>7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1</v>
      </c>
      <c r="Q297" s="1">
        <f t="shared" si="24"/>
        <v>0</v>
      </c>
      <c r="R297" s="10">
        <v>3</v>
      </c>
      <c r="S297" s="10">
        <v>1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5434500</v>
      </c>
      <c r="M300" s="2">
        <v>300000</v>
      </c>
      <c r="N300" s="6">
        <f t="shared" si="22"/>
        <v>1</v>
      </c>
      <c r="O300" s="9">
        <f t="shared" si="23"/>
        <v>5.5202870549268562E-2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3493000</v>
      </c>
      <c r="M301" s="2">
        <v>300000</v>
      </c>
      <c r="N301" s="6">
        <f t="shared" si="22"/>
        <v>1</v>
      </c>
      <c r="O301" s="9">
        <f t="shared" si="23"/>
        <v>8.58860578299456E-2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2219000</v>
      </c>
      <c r="M302" s="2">
        <v>300000</v>
      </c>
      <c r="N302" s="6">
        <f t="shared" si="22"/>
        <v>1</v>
      </c>
      <c r="O302" s="9">
        <f t="shared" si="23"/>
        <v>0.13519603424966201</v>
      </c>
      <c r="P302" s="10">
        <v>1</v>
      </c>
      <c r="Q302" s="1">
        <f t="shared" si="24"/>
        <v>0</v>
      </c>
      <c r="R302" s="10">
        <v>3</v>
      </c>
      <c r="S302" s="10">
        <v>1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224400</v>
      </c>
      <c r="N303" s="6">
        <f t="shared" si="22"/>
        <v>0</v>
      </c>
      <c r="O303" s="9">
        <f t="shared" si="23"/>
        <v>7.3467784180199058E-2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132000</v>
      </c>
      <c r="N304" s="6">
        <f t="shared" si="22"/>
        <v>0</v>
      </c>
      <c r="O304" s="9">
        <f t="shared" si="23"/>
        <v>9.9622641509433965E-2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20</v>
      </c>
      <c r="J305" s="4">
        <f t="shared" si="20"/>
        <v>1</v>
      </c>
      <c r="K305" s="5">
        <f t="shared" si="21"/>
        <v>6.666666666666667</v>
      </c>
      <c r="L305" s="2">
        <v>1662000</v>
      </c>
      <c r="M305" s="2">
        <v>349000</v>
      </c>
      <c r="N305" s="6">
        <f t="shared" si="22"/>
        <v>1</v>
      </c>
      <c r="O305" s="9">
        <f t="shared" si="23"/>
        <v>0.20998796630565583</v>
      </c>
      <c r="P305" s="10">
        <v>8</v>
      </c>
      <c r="Q305" s="1">
        <f t="shared" si="24"/>
        <v>1</v>
      </c>
      <c r="R305" s="10">
        <v>20</v>
      </c>
      <c r="S305" s="10">
        <v>28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0</v>
      </c>
      <c r="J306" s="4">
        <f t="shared" si="20"/>
        <v>0</v>
      </c>
      <c r="K306" s="5">
        <f t="shared" si="21"/>
        <v>0</v>
      </c>
      <c r="L306" s="2">
        <v>1656000</v>
      </c>
      <c r="M306" s="2">
        <v>302000</v>
      </c>
      <c r="N306" s="6">
        <f t="shared" si="22"/>
        <v>1</v>
      </c>
      <c r="O306" s="9">
        <f t="shared" si="23"/>
        <v>0.18236714975845411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3</v>
      </c>
      <c r="J307" s="1">
        <f t="shared" si="20"/>
        <v>1</v>
      </c>
      <c r="K307" s="5">
        <f t="shared" si="21"/>
        <v>1</v>
      </c>
      <c r="L307" s="2">
        <v>2532000</v>
      </c>
      <c r="M307" s="2">
        <v>824000</v>
      </c>
      <c r="N307" s="6">
        <f t="shared" si="22"/>
        <v>1</v>
      </c>
      <c r="O307" s="9">
        <f t="shared" si="23"/>
        <v>0.325434439178515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3</v>
      </c>
      <c r="J308" s="1">
        <f t="shared" si="20"/>
        <v>1</v>
      </c>
      <c r="K308" s="5">
        <f t="shared" si="21"/>
        <v>1</v>
      </c>
      <c r="L308" s="2">
        <v>2457000</v>
      </c>
      <c r="M308" s="2">
        <v>1201000</v>
      </c>
      <c r="N308" s="6">
        <f t="shared" si="22"/>
        <v>1</v>
      </c>
      <c r="O308" s="9">
        <f t="shared" si="23"/>
        <v>0.48880748880748881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3</v>
      </c>
      <c r="J309" s="4">
        <f t="shared" si="20"/>
        <v>1</v>
      </c>
      <c r="K309" s="5">
        <f t="shared" si="21"/>
        <v>1</v>
      </c>
      <c r="L309" s="2">
        <v>2932000</v>
      </c>
      <c r="M309" s="2">
        <v>811000</v>
      </c>
      <c r="N309" s="6">
        <f t="shared" si="22"/>
        <v>1</v>
      </c>
      <c r="O309" s="9">
        <f t="shared" si="23"/>
        <v>0.27660300136425647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0</v>
      </c>
      <c r="J310" s="1">
        <f t="shared" si="20"/>
        <v>0</v>
      </c>
      <c r="K310" s="5">
        <f t="shared" si="21"/>
        <v>0</v>
      </c>
      <c r="L310" s="2">
        <v>1711000</v>
      </c>
      <c r="M310" s="2">
        <v>319000</v>
      </c>
      <c r="N310" s="6">
        <f t="shared" si="22"/>
        <v>1</v>
      </c>
      <c r="O310" s="9">
        <f t="shared" si="23"/>
        <v>0.1864406779661017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6754000</v>
      </c>
      <c r="N311" s="6">
        <f t="shared" si="22"/>
        <v>1</v>
      </c>
      <c r="O311" s="9">
        <f t="shared" si="23"/>
        <v>0.66980711062627063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12120600</v>
      </c>
      <c r="M312" s="2">
        <v>1045000</v>
      </c>
      <c r="N312" s="6">
        <f t="shared" si="22"/>
        <v>1</v>
      </c>
      <c r="O312" s="9">
        <f t="shared" si="23"/>
        <v>8.6216853951124536E-2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1325000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0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R7:T315 I7:I315 L7:M315 P7:P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2026-09-16T04:49:14Z</dcterms:modified>
</cp:coreProperties>
</file>