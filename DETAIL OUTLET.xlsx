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<sst xmlns="http://schemas.openxmlformats.org/spreadsheetml/2006/main" count="2058" uniqueCount="480">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</sst>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R96" activePane="bottomRight" state="frozen"/>
      <selection pane="topRight" activeCell="D1" sqref="D1"/>
      <selection pane="bottomLeft" activeCell="A6" sqref="A6"/>
      <selection pane="bottomRight" activeCell="T101" sqref="T101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2350000</v>
      </c>
      <c r="N8" s="6">
        <f t="shared" si="2"/>
        <v>1</v>
      </c>
      <c r="O8" s="9">
        <f t="shared" si="3"/>
        <v>1.5102694150812468</v>
      </c>
      <c r="P8" s="10">
        <v>1</v>
      </c>
      <c r="Q8" s="1">
        <f t="shared" si="4"/>
        <v>0</v>
      </c>
      <c r="R8" s="10">
        <v>6</v>
      </c>
      <c r="S8" s="10">
        <v>1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2350000</v>
      </c>
      <c r="N11" s="6">
        <f t="shared" si="2"/>
        <v>1</v>
      </c>
      <c r="O11" s="9">
        <f t="shared" si="3"/>
        <v>0.20487766117363357</v>
      </c>
      <c r="P11" s="10">
        <v>1</v>
      </c>
      <c r="Q11" s="1">
        <f t="shared" si="4"/>
        <v>0</v>
      </c>
      <c r="R11" s="10">
        <v>9</v>
      </c>
      <c r="S11" s="10">
        <v>1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51</v>
      </c>
      <c r="Q12" s="1">
        <f t="shared" si="4"/>
        <v>1</v>
      </c>
      <c r="R12" s="10">
        <v>10</v>
      </c>
      <c r="S12" s="10">
        <v>1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2350000</v>
      </c>
      <c r="N13" s="6">
        <f t="shared" si="2"/>
        <v>1</v>
      </c>
      <c r="O13" s="9">
        <f t="shared" si="3"/>
        <v>0.24432943325357143</v>
      </c>
      <c r="P13" s="10">
        <v>1</v>
      </c>
      <c r="Q13" s="1">
        <f t="shared" si="4"/>
        <v>0</v>
      </c>
      <c r="R13" s="10">
        <v>9</v>
      </c>
      <c r="S13" s="10">
        <v>1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2350000</v>
      </c>
      <c r="N14" s="6">
        <f t="shared" si="2"/>
        <v>1</v>
      </c>
      <c r="O14" s="9">
        <f t="shared" si="3"/>
        <v>1.1050316405854492</v>
      </c>
      <c r="P14" s="10">
        <v>2</v>
      </c>
      <c r="Q14" s="1">
        <f t="shared" si="4"/>
        <v>0</v>
      </c>
      <c r="R14" s="10">
        <v>8</v>
      </c>
      <c r="S14" s="10">
        <v>2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1000000</v>
      </c>
      <c r="N16" s="6">
        <f t="shared" si="2"/>
        <v>1</v>
      </c>
      <c r="O16" s="9">
        <f t="shared" si="3"/>
        <v>4.8447749300172809E-2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1700000</v>
      </c>
      <c r="N18" s="6">
        <f t="shared" si="2"/>
        <v>1</v>
      </c>
      <c r="O18" s="9">
        <f t="shared" si="3"/>
        <v>0.38487443481854244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3000000</v>
      </c>
      <c r="N21" s="6">
        <f t="shared" si="2"/>
        <v>1</v>
      </c>
      <c r="O21" s="9">
        <f t="shared" si="3"/>
        <v>0.86097487404163597</v>
      </c>
      <c r="P21" s="10">
        <v>2</v>
      </c>
      <c r="Q21" s="1">
        <f t="shared" si="4"/>
        <v>0</v>
      </c>
      <c r="R21" s="10">
        <v>8</v>
      </c>
      <c r="S21" s="10">
        <v>2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6</v>
      </c>
      <c r="Q31" s="1">
        <f t="shared" si="4"/>
        <v>1</v>
      </c>
      <c r="R31" s="10">
        <v>6</v>
      </c>
      <c r="S31" s="10">
        <v>6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2350000</v>
      </c>
      <c r="N32" s="6">
        <f t="shared" si="2"/>
        <v>1</v>
      </c>
      <c r="O32" s="9">
        <f t="shared" si="3"/>
        <v>0.18111362159711694</v>
      </c>
      <c r="P32" s="10">
        <v>1</v>
      </c>
      <c r="Q32" s="1">
        <f t="shared" si="4"/>
        <v>0</v>
      </c>
      <c r="R32" s="10">
        <v>13</v>
      </c>
      <c r="S32" s="10">
        <v>1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2350000</v>
      </c>
      <c r="N35" s="6">
        <f t="shared" si="2"/>
        <v>1</v>
      </c>
      <c r="O35" s="9">
        <f t="shared" si="3"/>
        <v>0.43906185216189997</v>
      </c>
      <c r="P35" s="10">
        <v>101</v>
      </c>
      <c r="Q35" s="1">
        <f t="shared" si="4"/>
        <v>1</v>
      </c>
      <c r="R35" s="10">
        <v>7</v>
      </c>
      <c r="S35" s="10">
        <v>101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2350000</v>
      </c>
      <c r="N38" s="6">
        <f t="shared" si="2"/>
        <v>1</v>
      </c>
      <c r="O38" s="9">
        <f t="shared" si="3"/>
        <v>2.2063376181884808</v>
      </c>
      <c r="P38" s="10">
        <v>1</v>
      </c>
      <c r="Q38" s="1">
        <f t="shared" si="4"/>
        <v>0</v>
      </c>
      <c r="R38" s="10">
        <v>12</v>
      </c>
      <c r="S38" s="10">
        <v>1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100</v>
      </c>
      <c r="Q39" s="1">
        <f t="shared" si="4"/>
        <v>1</v>
      </c>
      <c r="R39" s="10">
        <v>11</v>
      </c>
      <c r="S39" s="10">
        <v>101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2000000</v>
      </c>
      <c r="N42" s="6">
        <f t="shared" si="2"/>
        <v>1</v>
      </c>
      <c r="O42" s="9">
        <f t="shared" si="3"/>
        <v>0.12094945313594024</v>
      </c>
      <c r="P42" s="10">
        <v>2</v>
      </c>
      <c r="Q42" s="1">
        <f t="shared" si="4"/>
        <v>0</v>
      </c>
      <c r="R42" s="10">
        <v>12</v>
      </c>
      <c r="S42" s="10">
        <v>2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2350000</v>
      </c>
      <c r="N44" s="6">
        <f t="shared" si="2"/>
        <v>1</v>
      </c>
      <c r="O44" s="9">
        <f t="shared" si="3"/>
        <v>0.8211817512293923</v>
      </c>
      <c r="P44" s="10">
        <v>101</v>
      </c>
      <c r="Q44" s="1">
        <f t="shared" si="4"/>
        <v>1</v>
      </c>
      <c r="R44" s="10">
        <v>9</v>
      </c>
      <c r="S44" s="10">
        <v>101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2350000</v>
      </c>
      <c r="N46" s="6">
        <f t="shared" si="2"/>
        <v>1</v>
      </c>
      <c r="O46" s="9">
        <f t="shared" si="3"/>
        <v>0.29761676257717962</v>
      </c>
      <c r="P46" s="10">
        <v>1</v>
      </c>
      <c r="Q46" s="1">
        <f t="shared" si="4"/>
        <v>0</v>
      </c>
      <c r="R46" s="10">
        <v>8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2350000</v>
      </c>
      <c r="N47" s="6">
        <f t="shared" si="2"/>
        <v>1</v>
      </c>
      <c r="O47" s="9">
        <f t="shared" si="3"/>
        <v>1.9681195114427177</v>
      </c>
      <c r="P47" s="10">
        <v>1</v>
      </c>
      <c r="Q47" s="1">
        <f t="shared" si="4"/>
        <v>0</v>
      </c>
      <c r="R47" s="10">
        <v>8</v>
      </c>
      <c r="S47" s="10">
        <v>1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2350000</v>
      </c>
      <c r="N48" s="6">
        <f t="shared" si="2"/>
        <v>1</v>
      </c>
      <c r="O48" s="9">
        <f t="shared" si="3"/>
        <v>7.833333333333333</v>
      </c>
      <c r="P48" s="10">
        <v>1</v>
      </c>
      <c r="Q48" s="1">
        <f t="shared" si="4"/>
        <v>0</v>
      </c>
      <c r="R48" s="10">
        <v>5</v>
      </c>
      <c r="S48" s="10">
        <v>1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6</v>
      </c>
      <c r="Q49" s="1">
        <f t="shared" si="4"/>
        <v>1</v>
      </c>
      <c r="R49" s="10">
        <v>22</v>
      </c>
      <c r="S49" s="10">
        <v>6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1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7</v>
      </c>
      <c r="Q52" s="1">
        <f t="shared" si="4"/>
        <v>1</v>
      </c>
      <c r="R52" s="10">
        <v>7</v>
      </c>
      <c r="S52" s="10">
        <v>7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2109500</v>
      </c>
      <c r="N53" s="6">
        <f t="shared" si="2"/>
        <v>1</v>
      </c>
      <c r="O53" s="9">
        <f t="shared" si="3"/>
        <v>0.19486107276102357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8359000</v>
      </c>
      <c r="N54" s="6">
        <f t="shared" si="2"/>
        <v>1</v>
      </c>
      <c r="O54" s="9">
        <f t="shared" si="3"/>
        <v>0.93009961036531241</v>
      </c>
      <c r="P54" s="10">
        <v>1</v>
      </c>
      <c r="Q54" s="1">
        <f t="shared" si="4"/>
        <v>0</v>
      </c>
      <c r="R54" s="10">
        <v>7</v>
      </c>
      <c r="S54" s="10">
        <v>2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2639500</v>
      </c>
      <c r="N55" s="6">
        <f t="shared" si="2"/>
        <v>1</v>
      </c>
      <c r="O55" s="9">
        <f t="shared" si="3"/>
        <v>0.68619354512624064</v>
      </c>
      <c r="P55" s="10">
        <v>7</v>
      </c>
      <c r="Q55" s="1">
        <f t="shared" si="4"/>
        <v>1</v>
      </c>
      <c r="R55" s="10">
        <v>7</v>
      </c>
      <c r="S55" s="10">
        <v>5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2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3134500</v>
      </c>
      <c r="N57" s="6">
        <f t="shared" si="2"/>
        <v>1</v>
      </c>
      <c r="O57" s="9">
        <f t="shared" si="3"/>
        <v>0.20675996368879196</v>
      </c>
      <c r="P57" s="10">
        <v>3</v>
      </c>
      <c r="Q57" s="1">
        <f t="shared" si="4"/>
        <v>1</v>
      </c>
      <c r="R57" s="10">
        <v>9</v>
      </c>
      <c r="S57" s="10">
        <v>2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106</v>
      </c>
      <c r="J58" s="4">
        <f t="shared" si="0"/>
        <v>1</v>
      </c>
      <c r="K58" s="5">
        <f t="shared" si="1"/>
        <v>12.216236211998943</v>
      </c>
      <c r="L58" s="2">
        <v>1893575.0259166521</v>
      </c>
      <c r="M58" s="2">
        <v>5037500</v>
      </c>
      <c r="N58" s="6">
        <f t="shared" si="2"/>
        <v>1</v>
      </c>
      <c r="O58" s="9">
        <f t="shared" si="3"/>
        <v>2.6603118075880938</v>
      </c>
      <c r="P58" s="10">
        <v>2</v>
      </c>
      <c r="Q58" s="1">
        <f t="shared" si="4"/>
        <v>0</v>
      </c>
      <c r="R58" s="10">
        <v>11</v>
      </c>
      <c r="S58" s="10">
        <v>3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106</v>
      </c>
      <c r="J59" s="1">
        <f t="shared" si="0"/>
        <v>1</v>
      </c>
      <c r="K59" s="5">
        <f t="shared" si="1"/>
        <v>20.120859643292338</v>
      </c>
      <c r="L59" s="2">
        <v>5325208.4315035222</v>
      </c>
      <c r="M59" s="2">
        <v>4799000</v>
      </c>
      <c r="N59" s="6">
        <f t="shared" si="2"/>
        <v>1</v>
      </c>
      <c r="O59" s="9">
        <f t="shared" si="3"/>
        <v>0.90118538301890427</v>
      </c>
      <c r="P59" s="10">
        <v>2</v>
      </c>
      <c r="Q59" s="1">
        <f t="shared" si="4"/>
        <v>0</v>
      </c>
      <c r="R59" s="10">
        <v>8</v>
      </c>
      <c r="S59" s="10">
        <v>2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2513000</v>
      </c>
      <c r="N60" s="6">
        <f t="shared" si="2"/>
        <v>1</v>
      </c>
      <c r="O60" s="9">
        <f t="shared" si="3"/>
        <v>1.3278747954903045</v>
      </c>
      <c r="P60" s="10">
        <v>1</v>
      </c>
      <c r="Q60" s="1">
        <f t="shared" si="4"/>
        <v>0</v>
      </c>
      <c r="R60" s="10">
        <v>7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4292500</v>
      </c>
      <c r="N61" s="6">
        <f t="shared" si="2"/>
        <v>1</v>
      </c>
      <c r="O61" s="9">
        <f t="shared" si="3"/>
        <v>2.5117120738341812</v>
      </c>
      <c r="P61" s="10">
        <v>1</v>
      </c>
      <c r="Q61" s="1">
        <f t="shared" si="4"/>
        <v>0</v>
      </c>
      <c r="R61" s="10">
        <v>12</v>
      </c>
      <c r="S61" s="10">
        <v>1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3994500</v>
      </c>
      <c r="N62" s="6">
        <f t="shared" si="2"/>
        <v>1</v>
      </c>
      <c r="O62" s="9">
        <f t="shared" si="3"/>
        <v>0.45505658642459551</v>
      </c>
      <c r="P62" s="10">
        <v>1</v>
      </c>
      <c r="Q62" s="1">
        <f t="shared" si="4"/>
        <v>0</v>
      </c>
      <c r="R62" s="10">
        <v>9</v>
      </c>
      <c r="S62" s="10">
        <v>1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11722500</v>
      </c>
      <c r="N64" s="6">
        <f t="shared" si="2"/>
        <v>1</v>
      </c>
      <c r="O64" s="9">
        <f t="shared" si="3"/>
        <v>2.6675989364258035</v>
      </c>
      <c r="P64" s="10">
        <v>3</v>
      </c>
      <c r="Q64" s="1">
        <f t="shared" si="4"/>
        <v>1</v>
      </c>
      <c r="R64" s="10">
        <v>7</v>
      </c>
      <c r="S64" s="10">
        <v>3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8625000</v>
      </c>
      <c r="N65" s="6">
        <f t="shared" si="2"/>
        <v>1</v>
      </c>
      <c r="O65" s="9">
        <f t="shared" si="3"/>
        <v>4.1225305025960841</v>
      </c>
      <c r="P65" s="10">
        <v>3</v>
      </c>
      <c r="Q65" s="1">
        <f t="shared" si="4"/>
        <v>1</v>
      </c>
      <c r="R65" s="10">
        <v>6</v>
      </c>
      <c r="S65" s="10">
        <v>3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7194500</v>
      </c>
      <c r="N66" s="6">
        <f t="shared" si="2"/>
        <v>1</v>
      </c>
      <c r="O66" s="9">
        <f t="shared" si="3"/>
        <v>1.514428781332215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4436500</v>
      </c>
      <c r="N67" s="6">
        <f t="shared" si="2"/>
        <v>1</v>
      </c>
      <c r="O67" s="9">
        <f t="shared" si="3"/>
        <v>0.34931522722064379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5970500</v>
      </c>
      <c r="N68" s="6">
        <f t="shared" si="2"/>
        <v>1</v>
      </c>
      <c r="O68" s="9">
        <f t="shared" si="3"/>
        <v>0.52287732658712671</v>
      </c>
      <c r="P68" s="10">
        <v>5</v>
      </c>
      <c r="Q68" s="1">
        <f t="shared" si="4"/>
        <v>1</v>
      </c>
      <c r="R68" s="10">
        <v>11</v>
      </c>
      <c r="S68" s="10">
        <v>5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4741500</v>
      </c>
      <c r="N69" s="6">
        <f t="shared" si="2"/>
        <v>1</v>
      </c>
      <c r="O69" s="9">
        <f t="shared" si="3"/>
        <v>0.58291284976674307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6250500</v>
      </c>
      <c r="N70" s="6">
        <f t="shared" ref="N70:N91" si="7">IF(M70&gt;=300000,1,0)</f>
        <v>1</v>
      </c>
      <c r="O70" s="9">
        <f t="shared" ref="O70:O91" si="8">M70/L70</f>
        <v>2.5269513181021952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3849500</v>
      </c>
      <c r="N71" s="6">
        <f t="shared" si="7"/>
        <v>1</v>
      </c>
      <c r="O71" s="9">
        <f t="shared" si="8"/>
        <v>1.7170630525537232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20556500</v>
      </c>
      <c r="N72" s="6">
        <f t="shared" si="7"/>
        <v>1</v>
      </c>
      <c r="O72" s="9">
        <f t="shared" si="8"/>
        <v>1.5000070477865648</v>
      </c>
      <c r="P72" s="10">
        <v>2</v>
      </c>
      <c r="Q72" s="1">
        <f t="shared" si="9"/>
        <v>0</v>
      </c>
      <c r="R72" s="10">
        <v>7</v>
      </c>
      <c r="S72" s="10">
        <v>3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2618000</v>
      </c>
      <c r="N73" s="6">
        <f t="shared" si="7"/>
        <v>1</v>
      </c>
      <c r="O73" s="9">
        <f t="shared" si="8"/>
        <v>0.3022070406173572</v>
      </c>
      <c r="P73" s="10">
        <v>3</v>
      </c>
      <c r="Q73" s="1">
        <f t="shared" si="9"/>
        <v>1</v>
      </c>
      <c r="R73" s="10">
        <v>6</v>
      </c>
      <c r="S73" s="10">
        <v>3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2477500</v>
      </c>
      <c r="N74" s="6">
        <f t="shared" si="7"/>
        <v>1</v>
      </c>
      <c r="O74" s="9">
        <f t="shared" si="8"/>
        <v>0.43803454232807154</v>
      </c>
      <c r="P74" s="10">
        <v>5</v>
      </c>
      <c r="Q74" s="1">
        <f t="shared" si="9"/>
        <v>1</v>
      </c>
      <c r="R74" s="10">
        <v>6</v>
      </c>
      <c r="S74" s="10">
        <v>5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2761500</v>
      </c>
      <c r="N76" s="6">
        <f t="shared" si="7"/>
        <v>1</v>
      </c>
      <c r="O76" s="9">
        <f t="shared" si="8"/>
        <v>0.75030667247549443</v>
      </c>
      <c r="P76" s="10">
        <v>13</v>
      </c>
      <c r="Q76" s="1">
        <f t="shared" si="9"/>
        <v>1</v>
      </c>
      <c r="R76" s="10">
        <v>13</v>
      </c>
      <c r="S76" s="10">
        <v>12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4406500</v>
      </c>
      <c r="N77" s="6">
        <f t="shared" si="7"/>
        <v>1</v>
      </c>
      <c r="O77" s="9">
        <f t="shared" si="8"/>
        <v>0.27262144521404602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13</v>
      </c>
      <c r="J78" s="1">
        <f t="shared" si="5"/>
        <v>1</v>
      </c>
      <c r="K78" s="5">
        <f t="shared" si="6"/>
        <v>2.2078996927346632</v>
      </c>
      <c r="L78" s="2">
        <v>5493091.2922310065</v>
      </c>
      <c r="M78" s="2">
        <v>2269000</v>
      </c>
      <c r="N78" s="6">
        <f t="shared" si="7"/>
        <v>1</v>
      </c>
      <c r="O78" s="9">
        <f t="shared" si="8"/>
        <v>0.41306431648225</v>
      </c>
      <c r="P78" s="10">
        <v>17</v>
      </c>
      <c r="Q78" s="1">
        <f t="shared" si="9"/>
        <v>1</v>
      </c>
      <c r="R78" s="10">
        <v>8</v>
      </c>
      <c r="S78" s="10">
        <v>15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11906500</v>
      </c>
      <c r="N79" s="6">
        <f t="shared" si="7"/>
        <v>1</v>
      </c>
      <c r="O79" s="9">
        <f t="shared" si="8"/>
        <v>2.3956495127275441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2486500</v>
      </c>
      <c r="N81" s="6">
        <f t="shared" si="7"/>
        <v>1</v>
      </c>
      <c r="O81" s="9">
        <f t="shared" si="8"/>
        <v>0.2873788561166935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11</v>
      </c>
      <c r="Q84" s="1">
        <f t="shared" si="9"/>
        <v>1</v>
      </c>
      <c r="R84" s="10">
        <v>13</v>
      </c>
      <c r="S84" s="10">
        <v>11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5</v>
      </c>
      <c r="J92" s="4">
        <f t="shared" ref="J92:J155" si="10">IF(I92&gt;=3,1,0)</f>
        <v>1</v>
      </c>
      <c r="K92" s="5">
        <f t="shared" ref="K92:K155" si="11">I92/H92</f>
        <v>0.68725238872057659</v>
      </c>
      <c r="L92" s="2">
        <v>1233517.793070439</v>
      </c>
      <c r="M92" s="2">
        <v>1500000</v>
      </c>
      <c r="N92" s="6">
        <f t="shared" ref="N92:N155" si="12">IF(M92&gt;=300000,1,0)</f>
        <v>1</v>
      </c>
      <c r="O92" s="9">
        <f t="shared" ref="O92:O155" si="13">M92/L92</f>
        <v>1.2160343437497085</v>
      </c>
      <c r="P92" s="10">
        <v>4</v>
      </c>
      <c r="Q92" s="1">
        <f t="shared" ref="Q92:Q155" si="14">IF(P92&gt;=3,1,0)</f>
        <v>1</v>
      </c>
      <c r="R92" s="10">
        <v>10</v>
      </c>
      <c r="S92" s="10">
        <v>4</v>
      </c>
      <c r="T92" s="10">
        <v>0</v>
      </c>
      <c r="U92" s="3">
        <v>0</v>
      </c>
      <c r="V92" s="3">
        <v>0</v>
      </c>
      <c r="W92" s="3">
        <v>0</v>
      </c>
      <c r="X92" s="3">
        <v>1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2809100</v>
      </c>
      <c r="N93" s="6">
        <f t="shared" si="12"/>
        <v>1</v>
      </c>
      <c r="O93" s="9">
        <f t="shared" si="13"/>
        <v>2.2773080500182039</v>
      </c>
      <c r="P93" s="10">
        <v>1</v>
      </c>
      <c r="Q93" s="1">
        <f t="shared" si="14"/>
        <v>0</v>
      </c>
      <c r="R93" s="10">
        <v>9</v>
      </c>
      <c r="S93" s="10">
        <v>1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775500</v>
      </c>
      <c r="N94" s="6">
        <f t="shared" si="12"/>
        <v>1</v>
      </c>
      <c r="O94" s="9">
        <f t="shared" si="13"/>
        <v>0.62868975571859931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3747600</v>
      </c>
      <c r="N95" s="6">
        <f t="shared" si="12"/>
        <v>1</v>
      </c>
      <c r="O95" s="9">
        <f t="shared" si="13"/>
        <v>3.0381402044242716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1658400</v>
      </c>
      <c r="N96" s="6">
        <f t="shared" si="12"/>
        <v>1</v>
      </c>
      <c r="O96" s="9">
        <f t="shared" si="13"/>
        <v>0.65048610497271742</v>
      </c>
      <c r="P96" s="10">
        <v>1</v>
      </c>
      <c r="Q96" s="1">
        <f t="shared" si="14"/>
        <v>0</v>
      </c>
      <c r="R96" s="10">
        <v>6</v>
      </c>
      <c r="S96" s="10">
        <v>1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36</v>
      </c>
      <c r="J97" s="1">
        <f t="shared" si="10"/>
        <v>1</v>
      </c>
      <c r="K97" s="5">
        <f t="shared" si="11"/>
        <v>7.2</v>
      </c>
      <c r="L97" s="2">
        <v>1233517.793070439</v>
      </c>
      <c r="M97" s="2">
        <v>3341400</v>
      </c>
      <c r="N97" s="6">
        <f t="shared" si="12"/>
        <v>1</v>
      </c>
      <c r="O97" s="9">
        <f t="shared" si="13"/>
        <v>2.7088381041368508</v>
      </c>
      <c r="P97" s="10">
        <v>7</v>
      </c>
      <c r="Q97" s="1">
        <f t="shared" si="14"/>
        <v>1</v>
      </c>
      <c r="R97" s="10">
        <v>7</v>
      </c>
      <c r="S97" s="10">
        <v>7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36</v>
      </c>
      <c r="J98" s="1">
        <f t="shared" si="10"/>
        <v>1</v>
      </c>
      <c r="K98" s="5">
        <f t="shared" si="11"/>
        <v>6.1852714984852106</v>
      </c>
      <c r="L98" s="2">
        <v>1233517.793070439</v>
      </c>
      <c r="M98" s="2">
        <v>3171000</v>
      </c>
      <c r="N98" s="6">
        <f t="shared" si="12"/>
        <v>1</v>
      </c>
      <c r="O98" s="9">
        <f t="shared" si="13"/>
        <v>2.5706966026868838</v>
      </c>
      <c r="P98" s="10">
        <v>5</v>
      </c>
      <c r="Q98" s="1">
        <f t="shared" si="14"/>
        <v>1</v>
      </c>
      <c r="R98" s="10">
        <v>8</v>
      </c>
      <c r="S98" s="10">
        <v>5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3</v>
      </c>
      <c r="J99" s="4">
        <f t="shared" si="10"/>
        <v>1</v>
      </c>
      <c r="K99" s="5">
        <f t="shared" si="11"/>
        <v>1</v>
      </c>
      <c r="L99" s="2">
        <v>12908778</v>
      </c>
      <c r="M99" s="2">
        <v>1350000</v>
      </c>
      <c r="N99" s="6">
        <f t="shared" si="12"/>
        <v>1</v>
      </c>
      <c r="O99" s="9">
        <f t="shared" si="13"/>
        <v>0.104579999749008</v>
      </c>
      <c r="P99" s="10">
        <v>1</v>
      </c>
      <c r="Q99" s="1">
        <f t="shared" si="14"/>
        <v>0</v>
      </c>
      <c r="R99" s="10">
        <v>5</v>
      </c>
      <c r="S99" s="10">
        <v>9</v>
      </c>
      <c r="T99" s="10">
        <v>0</v>
      </c>
      <c r="U99" s="3">
        <v>0</v>
      </c>
      <c r="V99" s="3">
        <v>0</v>
      </c>
      <c r="W99" s="3">
        <v>0</v>
      </c>
      <c r="X99" s="3">
        <v>1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24</v>
      </c>
      <c r="J100" s="1">
        <f t="shared" si="10"/>
        <v>1</v>
      </c>
      <c r="K100" s="5">
        <f t="shared" si="11"/>
        <v>4.8</v>
      </c>
      <c r="L100" s="2">
        <v>1233517.793070439</v>
      </c>
      <c r="M100" s="2">
        <v>2404000</v>
      </c>
      <c r="N100" s="6">
        <f t="shared" si="12"/>
        <v>1</v>
      </c>
      <c r="O100" s="9">
        <f t="shared" si="13"/>
        <v>1.9488977082495327</v>
      </c>
      <c r="P100" s="10">
        <v>1</v>
      </c>
      <c r="Q100" s="1">
        <f t="shared" si="14"/>
        <v>0</v>
      </c>
      <c r="R100" s="10">
        <v>7</v>
      </c>
      <c r="S100" s="10">
        <v>3</v>
      </c>
      <c r="T100" s="10">
        <v>3</v>
      </c>
      <c r="U100" s="3">
        <v>0</v>
      </c>
      <c r="V100" s="3">
        <v>0</v>
      </c>
      <c r="W100" s="3">
        <v>0</v>
      </c>
      <c r="X100" s="3">
        <v>1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1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1666000</v>
      </c>
      <c r="N102" s="6">
        <f t="shared" si="12"/>
        <v>1</v>
      </c>
      <c r="O102" s="9">
        <f t="shared" si="13"/>
        <v>5.6234287040004938E-2</v>
      </c>
      <c r="P102" s="10">
        <v>1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5815000</v>
      </c>
      <c r="N103" s="6">
        <f t="shared" si="12"/>
        <v>1</v>
      </c>
      <c r="O103" s="9">
        <f t="shared" si="13"/>
        <v>0.19627993945836056</v>
      </c>
      <c r="P103" s="10">
        <v>2</v>
      </c>
      <c r="Q103" s="1">
        <f t="shared" si="14"/>
        <v>0</v>
      </c>
      <c r="R103" s="10">
        <v>7</v>
      </c>
      <c r="S103" s="10">
        <v>2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1194000</v>
      </c>
      <c r="N104" s="6">
        <f t="shared" si="12"/>
        <v>1</v>
      </c>
      <c r="O104" s="9">
        <f t="shared" si="13"/>
        <v>0.96796333762476794</v>
      </c>
      <c r="P104" s="10">
        <v>1</v>
      </c>
      <c r="Q104" s="1">
        <f t="shared" si="14"/>
        <v>0</v>
      </c>
      <c r="R104" s="10">
        <v>7</v>
      </c>
      <c r="S104" s="10">
        <v>1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1357600</v>
      </c>
      <c r="N105" s="6">
        <f t="shared" si="12"/>
        <v>1</v>
      </c>
      <c r="O105" s="9">
        <f t="shared" si="13"/>
        <v>1.1005921500497362</v>
      </c>
      <c r="P105" s="10">
        <v>2</v>
      </c>
      <c r="Q105" s="1">
        <f t="shared" si="14"/>
        <v>0</v>
      </c>
      <c r="R105" s="10">
        <v>10</v>
      </c>
      <c r="S105" s="10">
        <v>1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1134000</v>
      </c>
      <c r="N106" s="6">
        <f t="shared" si="12"/>
        <v>1</v>
      </c>
      <c r="O106" s="9">
        <f t="shared" si="13"/>
        <v>5.0481038894438536E-2</v>
      </c>
      <c r="P106" s="10">
        <v>22</v>
      </c>
      <c r="Q106" s="1">
        <f t="shared" si="14"/>
        <v>1</v>
      </c>
      <c r="R106" s="10">
        <v>7</v>
      </c>
      <c r="S106" s="10">
        <v>22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13458600</v>
      </c>
      <c r="N107" s="6">
        <f t="shared" si="12"/>
        <v>1</v>
      </c>
      <c r="O107" s="9">
        <f t="shared" si="13"/>
        <v>10.910746545859885</v>
      </c>
      <c r="P107" s="10">
        <v>1</v>
      </c>
      <c r="Q107" s="1">
        <f t="shared" si="14"/>
        <v>0</v>
      </c>
      <c r="R107" s="10">
        <v>8</v>
      </c>
      <c r="S107" s="10">
        <v>1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6993600</v>
      </c>
      <c r="N108" s="6">
        <f t="shared" si="12"/>
        <v>1</v>
      </c>
      <c r="O108" s="9">
        <f t="shared" si="13"/>
        <v>5.6696385242986409</v>
      </c>
      <c r="P108" s="10">
        <v>1</v>
      </c>
      <c r="Q108" s="1">
        <f t="shared" si="14"/>
        <v>0</v>
      </c>
      <c r="R108" s="10">
        <v>14</v>
      </c>
      <c r="S108" s="10">
        <v>1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14003400</v>
      </c>
      <c r="N109" s="6">
        <f t="shared" si="12"/>
        <v>1</v>
      </c>
      <c r="O109" s="9">
        <f t="shared" si="13"/>
        <v>11.352410219509778</v>
      </c>
      <c r="P109" s="10">
        <v>20</v>
      </c>
      <c r="Q109" s="1">
        <f t="shared" si="14"/>
        <v>1</v>
      </c>
      <c r="R109" s="10">
        <v>8</v>
      </c>
      <c r="S109" s="10">
        <v>20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9483600</v>
      </c>
      <c r="N110" s="6">
        <f t="shared" si="12"/>
        <v>1</v>
      </c>
      <c r="O110" s="9">
        <f t="shared" si="13"/>
        <v>7.6882555349231572</v>
      </c>
      <c r="P110" s="10">
        <v>5</v>
      </c>
      <c r="Q110" s="1">
        <f t="shared" si="14"/>
        <v>1</v>
      </c>
      <c r="R110" s="10">
        <v>7</v>
      </c>
      <c r="S110" s="10">
        <v>5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2488000</v>
      </c>
      <c r="N111" s="6">
        <f t="shared" si="12"/>
        <v>1</v>
      </c>
      <c r="O111" s="9">
        <f t="shared" si="13"/>
        <v>2.0169956314995163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20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8562400</v>
      </c>
      <c r="N113" s="6">
        <f t="shared" si="12"/>
        <v>1</v>
      </c>
      <c r="O113" s="9">
        <f t="shared" si="13"/>
        <v>2.6144764942261109</v>
      </c>
      <c r="P113" s="10">
        <v>1</v>
      </c>
      <c r="Q113" s="1">
        <f t="shared" si="14"/>
        <v>0</v>
      </c>
      <c r="R113" s="10">
        <v>6</v>
      </c>
      <c r="S113" s="10">
        <v>1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8375600</v>
      </c>
      <c r="N114" s="6">
        <f t="shared" si="12"/>
        <v>1</v>
      </c>
      <c r="O114" s="9">
        <f t="shared" si="13"/>
        <v>0.37284743330181608</v>
      </c>
      <c r="P114" s="10">
        <v>1</v>
      </c>
      <c r="Q114" s="1">
        <f t="shared" si="14"/>
        <v>0</v>
      </c>
      <c r="R114" s="10">
        <v>7</v>
      </c>
      <c r="S114" s="10">
        <v>1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14</v>
      </c>
      <c r="J115" s="4">
        <f t="shared" si="10"/>
        <v>1</v>
      </c>
      <c r="K115" s="5">
        <f t="shared" si="11"/>
        <v>1.9243066884176145</v>
      </c>
      <c r="L115" s="2">
        <v>19880654</v>
      </c>
      <c r="M115" s="2">
        <v>6224000</v>
      </c>
      <c r="N115" s="6">
        <f t="shared" si="12"/>
        <v>1</v>
      </c>
      <c r="O115" s="9">
        <f t="shared" si="13"/>
        <v>0.31306817170099133</v>
      </c>
      <c r="P115" s="10">
        <v>3</v>
      </c>
      <c r="Q115" s="1">
        <f t="shared" si="14"/>
        <v>1</v>
      </c>
      <c r="R115" s="10">
        <v>10</v>
      </c>
      <c r="S115" s="10">
        <v>3</v>
      </c>
      <c r="T115" s="10">
        <v>0</v>
      </c>
      <c r="U115" s="3">
        <v>1</v>
      </c>
      <c r="V115" s="3">
        <v>0</v>
      </c>
      <c r="W115" s="3">
        <v>0</v>
      </c>
      <c r="X115" s="3">
        <v>0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6440400</v>
      </c>
      <c r="N116" s="6">
        <f t="shared" si="12"/>
        <v>1</v>
      </c>
      <c r="O116" s="9">
        <f t="shared" si="13"/>
        <v>5.2211650583237486</v>
      </c>
      <c r="P116" s="10">
        <v>1</v>
      </c>
      <c r="Q116" s="1">
        <f t="shared" si="14"/>
        <v>0</v>
      </c>
      <c r="R116" s="10">
        <v>5</v>
      </c>
      <c r="S116" s="10">
        <v>1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2216400</v>
      </c>
      <c r="N117" s="6">
        <f t="shared" si="12"/>
        <v>1</v>
      </c>
      <c r="O117" s="9">
        <f t="shared" si="13"/>
        <v>8.6490102521431911E-2</v>
      </c>
      <c r="P117" s="10">
        <v>3</v>
      </c>
      <c r="Q117" s="1">
        <f t="shared" si="14"/>
        <v>1</v>
      </c>
      <c r="R117" s="10">
        <v>23</v>
      </c>
      <c r="S117" s="10">
        <v>3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4</v>
      </c>
      <c r="J118" s="4">
        <f t="shared" si="10"/>
        <v>1</v>
      </c>
      <c r="K118" s="5">
        <f t="shared" si="11"/>
        <v>1.3745047774411554</v>
      </c>
      <c r="L118" s="2">
        <v>29626053.564346101</v>
      </c>
      <c r="M118" s="2">
        <v>2347600</v>
      </c>
      <c r="N118" s="6">
        <f t="shared" si="12"/>
        <v>1</v>
      </c>
      <c r="O118" s="9">
        <f t="shared" si="13"/>
        <v>7.9241063778580784E-2</v>
      </c>
      <c r="P118" s="10">
        <v>2</v>
      </c>
      <c r="Q118" s="1">
        <f t="shared" si="14"/>
        <v>0</v>
      </c>
      <c r="R118" s="10">
        <v>5</v>
      </c>
      <c r="S118" s="10">
        <v>2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3444000</v>
      </c>
      <c r="N119" s="6">
        <f t="shared" si="12"/>
        <v>1</v>
      </c>
      <c r="O119" s="9">
        <f t="shared" si="13"/>
        <v>1.299864750677207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1585400</v>
      </c>
      <c r="N120" s="6">
        <f t="shared" si="12"/>
        <v>1</v>
      </c>
      <c r="O120" s="9">
        <f t="shared" si="13"/>
        <v>7.9745867515223598E-2</v>
      </c>
      <c r="P120" s="10">
        <v>1</v>
      </c>
      <c r="Q120" s="1">
        <f t="shared" si="14"/>
        <v>0</v>
      </c>
      <c r="R120" s="10">
        <v>7</v>
      </c>
      <c r="S120" s="10">
        <v>1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4360000</v>
      </c>
      <c r="N121" s="6">
        <f t="shared" si="12"/>
        <v>1</v>
      </c>
      <c r="O121" s="9">
        <f t="shared" si="13"/>
        <v>0.19408935589043388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8075400</v>
      </c>
      <c r="N123" s="6">
        <f t="shared" si="12"/>
        <v>1</v>
      </c>
      <c r="O123" s="9">
        <f t="shared" si="13"/>
        <v>1.8425240254945447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36</v>
      </c>
      <c r="J124" s="1">
        <f t="shared" si="10"/>
        <v>1</v>
      </c>
      <c r="K124" s="5">
        <f t="shared" si="11"/>
        <v>12</v>
      </c>
      <c r="L124" s="2">
        <v>2549477.9785796599</v>
      </c>
      <c r="M124" s="2">
        <v>23290900</v>
      </c>
      <c r="N124" s="6">
        <f t="shared" si="12"/>
        <v>1</v>
      </c>
      <c r="O124" s="9">
        <f t="shared" si="13"/>
        <v>9.1355564533942744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1530000</v>
      </c>
      <c r="N125" s="6">
        <f t="shared" si="12"/>
        <v>1</v>
      </c>
      <c r="O125" s="9">
        <f t="shared" si="13"/>
        <v>1.2403550306247026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8</v>
      </c>
      <c r="J126" s="1">
        <f t="shared" si="10"/>
        <v>1</v>
      </c>
      <c r="K126" s="5">
        <f t="shared" si="11"/>
        <v>1.4802359141673933</v>
      </c>
      <c r="L126" s="2">
        <v>19880654</v>
      </c>
      <c r="M126" s="2">
        <v>6654800</v>
      </c>
      <c r="N126" s="6">
        <f t="shared" si="12"/>
        <v>1</v>
      </c>
      <c r="O126" s="9">
        <f t="shared" si="13"/>
        <v>0.33473747895818717</v>
      </c>
      <c r="P126" s="10">
        <v>2</v>
      </c>
      <c r="Q126" s="1">
        <f t="shared" si="14"/>
        <v>0</v>
      </c>
      <c r="R126" s="10">
        <v>8</v>
      </c>
      <c r="S126" s="10">
        <v>2</v>
      </c>
      <c r="T126" s="10">
        <v>0</v>
      </c>
      <c r="U126" s="3">
        <v>1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4923200</v>
      </c>
      <c r="N127" s="6">
        <f t="shared" si="12"/>
        <v>1</v>
      </c>
      <c r="O127" s="9">
        <f t="shared" si="13"/>
        <v>0.81802209116424818</v>
      </c>
      <c r="P127" s="10">
        <v>1</v>
      </c>
      <c r="Q127" s="1">
        <f t="shared" si="14"/>
        <v>0</v>
      </c>
      <c r="R127" s="10">
        <v>5</v>
      </c>
      <c r="S127" s="10">
        <v>3</v>
      </c>
      <c r="T127" s="10">
        <v>2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1573500</v>
      </c>
      <c r="N128" s="6">
        <f t="shared" si="12"/>
        <v>1</v>
      </c>
      <c r="O128" s="9">
        <f t="shared" si="13"/>
        <v>0.61718517014867991</v>
      </c>
      <c r="P128" s="10">
        <v>1</v>
      </c>
      <c r="Q128" s="1">
        <f t="shared" si="14"/>
        <v>0</v>
      </c>
      <c r="R128" s="10">
        <v>7</v>
      </c>
      <c r="S128" s="10">
        <v>1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3</v>
      </c>
      <c r="J129" s="4">
        <f t="shared" si="10"/>
        <v>1</v>
      </c>
      <c r="K129" s="5">
        <f t="shared" si="11"/>
        <v>0.32071778140293572</v>
      </c>
      <c r="L129" s="2">
        <v>1233517.793070439</v>
      </c>
      <c r="M129" s="2">
        <v>1201000</v>
      </c>
      <c r="N129" s="6">
        <f t="shared" si="12"/>
        <v>1</v>
      </c>
      <c r="O129" s="9">
        <f t="shared" si="13"/>
        <v>0.97363816456226659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4434800</v>
      </c>
      <c r="N130" s="6">
        <f t="shared" si="12"/>
        <v>1</v>
      </c>
      <c r="O130" s="9">
        <f t="shared" si="13"/>
        <v>0.34354917250881534</v>
      </c>
      <c r="P130" s="10">
        <v>3</v>
      </c>
      <c r="Q130" s="1">
        <f t="shared" si="14"/>
        <v>1</v>
      </c>
      <c r="R130" s="10">
        <v>5</v>
      </c>
      <c r="S130" s="10">
        <v>3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3</v>
      </c>
      <c r="J131" s="1">
        <f t="shared" si="10"/>
        <v>1</v>
      </c>
      <c r="K131" s="5">
        <f t="shared" si="11"/>
        <v>0.26240545751149302</v>
      </c>
      <c r="L131" s="2">
        <v>6018419.3717715694</v>
      </c>
      <c r="M131" s="2">
        <v>1940400</v>
      </c>
      <c r="N131" s="6">
        <f t="shared" si="12"/>
        <v>1</v>
      </c>
      <c r="O131" s="9">
        <f t="shared" si="13"/>
        <v>0.32241023433846017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914500</v>
      </c>
      <c r="N132" s="6">
        <f t="shared" si="12"/>
        <v>1</v>
      </c>
      <c r="O132" s="9">
        <f t="shared" si="13"/>
        <v>0.74137560490607224</v>
      </c>
      <c r="P132" s="10">
        <v>1</v>
      </c>
      <c r="Q132" s="1">
        <f t="shared" si="14"/>
        <v>0</v>
      </c>
      <c r="R132" s="10">
        <v>8</v>
      </c>
      <c r="S132" s="10">
        <v>1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7895600</v>
      </c>
      <c r="N133" s="6">
        <f t="shared" si="12"/>
        <v>1</v>
      </c>
      <c r="O133" s="9">
        <f t="shared" si="13"/>
        <v>3.0969477149195535</v>
      </c>
      <c r="P133" s="10">
        <v>14</v>
      </c>
      <c r="Q133" s="1">
        <f t="shared" si="14"/>
        <v>1</v>
      </c>
      <c r="R133" s="10">
        <v>10</v>
      </c>
      <c r="S133" s="10">
        <v>12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2586000</v>
      </c>
      <c r="N134" s="6">
        <f t="shared" si="12"/>
        <v>1</v>
      </c>
      <c r="O134" s="9">
        <f t="shared" si="13"/>
        <v>8.7288034985265758E-2</v>
      </c>
      <c r="P134" s="10">
        <v>21</v>
      </c>
      <c r="Q134" s="1">
        <f t="shared" si="14"/>
        <v>1</v>
      </c>
      <c r="R134" s="10">
        <v>6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2966400</v>
      </c>
      <c r="N135" s="6">
        <f t="shared" si="12"/>
        <v>1</v>
      </c>
      <c r="O135" s="9">
        <f t="shared" si="13"/>
        <v>0.92760389762060791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3</v>
      </c>
      <c r="J136" s="4">
        <f t="shared" si="10"/>
        <v>1</v>
      </c>
      <c r="K136" s="5">
        <f t="shared" si="11"/>
        <v>0.17817654522385359</v>
      </c>
      <c r="L136" s="2">
        <v>22463880</v>
      </c>
      <c r="M136" s="2">
        <v>2705200</v>
      </c>
      <c r="N136" s="6">
        <f t="shared" si="12"/>
        <v>1</v>
      </c>
      <c r="O136" s="9">
        <f t="shared" si="13"/>
        <v>0.12042443246669765</v>
      </c>
      <c r="P136" s="10">
        <v>1</v>
      </c>
      <c r="Q136" s="1">
        <f t="shared" si="14"/>
        <v>0</v>
      </c>
      <c r="R136" s="10">
        <v>9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3058000</v>
      </c>
      <c r="N137" s="6">
        <f t="shared" si="12"/>
        <v>1</v>
      </c>
      <c r="O137" s="9">
        <f t="shared" si="13"/>
        <v>2.4790886821244058</v>
      </c>
      <c r="P137" s="10">
        <v>2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5</v>
      </c>
      <c r="J138" s="1">
        <f t="shared" si="10"/>
        <v>1</v>
      </c>
      <c r="K138" s="5">
        <f t="shared" si="11"/>
        <v>1.8502948927092475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11</v>
      </c>
      <c r="Q138" s="1">
        <f t="shared" si="14"/>
        <v>1</v>
      </c>
      <c r="R138" s="10">
        <v>5</v>
      </c>
      <c r="S138" s="10">
        <v>6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8</v>
      </c>
      <c r="J139" s="4">
        <f t="shared" si="10"/>
        <v>1</v>
      </c>
      <c r="K139" s="5">
        <f t="shared" si="11"/>
        <v>2.6666666666666665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10</v>
      </c>
      <c r="Q139" s="1">
        <f t="shared" si="14"/>
        <v>1</v>
      </c>
      <c r="R139" s="10">
        <v>5</v>
      </c>
      <c r="S139" s="10">
        <v>5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2875600</v>
      </c>
      <c r="N140" s="6">
        <f t="shared" si="12"/>
        <v>1</v>
      </c>
      <c r="O140" s="9">
        <f t="shared" si="13"/>
        <v>9.7063214773252221E-2</v>
      </c>
      <c r="P140" s="10">
        <v>1</v>
      </c>
      <c r="Q140" s="1">
        <f t="shared" si="14"/>
        <v>0</v>
      </c>
      <c r="R140" s="10">
        <v>9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1335900</v>
      </c>
      <c r="N142" s="6">
        <f t="shared" si="12"/>
        <v>1</v>
      </c>
      <c r="O142" s="9">
        <f t="shared" si="13"/>
        <v>1.0830001865434904</v>
      </c>
      <c r="P142" s="10">
        <v>1</v>
      </c>
      <c r="Q142" s="1">
        <f t="shared" si="14"/>
        <v>0</v>
      </c>
      <c r="R142" s="10">
        <v>10</v>
      </c>
      <c r="S142" s="10">
        <v>1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4</v>
      </c>
      <c r="J143" s="4">
        <f t="shared" si="10"/>
        <v>1</v>
      </c>
      <c r="K143" s="5">
        <f t="shared" si="11"/>
        <v>1.3333333333333333</v>
      </c>
      <c r="L143" s="2">
        <v>19880654</v>
      </c>
      <c r="M143" s="2">
        <v>4722000</v>
      </c>
      <c r="N143" s="6">
        <f t="shared" si="12"/>
        <v>1</v>
      </c>
      <c r="O143" s="9">
        <f t="shared" si="13"/>
        <v>0.23751733720631121</v>
      </c>
      <c r="P143" s="10">
        <v>2</v>
      </c>
      <c r="Q143" s="1">
        <f t="shared" si="14"/>
        <v>0</v>
      </c>
      <c r="R143" s="10">
        <v>5</v>
      </c>
      <c r="S143" s="10">
        <v>2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6</v>
      </c>
      <c r="Q144" s="1">
        <f t="shared" si="14"/>
        <v>1</v>
      </c>
      <c r="R144" s="10">
        <v>7</v>
      </c>
      <c r="S144" s="10">
        <v>6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6098000</v>
      </c>
      <c r="N145" s="6">
        <f t="shared" si="12"/>
        <v>1</v>
      </c>
      <c r="O145" s="9">
        <f t="shared" si="13"/>
        <v>4.9435849521238149</v>
      </c>
      <c r="P145" s="10">
        <v>2</v>
      </c>
      <c r="Q145" s="1">
        <f t="shared" si="14"/>
        <v>0</v>
      </c>
      <c r="R145" s="10">
        <v>10</v>
      </c>
      <c r="S145" s="10">
        <v>2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6</v>
      </c>
      <c r="J146" s="4">
        <f t="shared" si="10"/>
        <v>1</v>
      </c>
      <c r="K146" s="5">
        <f t="shared" si="11"/>
        <v>2</v>
      </c>
      <c r="L146" s="2">
        <v>3917572.6875978149</v>
      </c>
      <c r="M146" s="2">
        <v>10790000</v>
      </c>
      <c r="N146" s="6">
        <f t="shared" si="12"/>
        <v>1</v>
      </c>
      <c r="O146" s="9">
        <f t="shared" si="13"/>
        <v>2.7542564900349644</v>
      </c>
      <c r="P146" s="10">
        <v>4</v>
      </c>
      <c r="Q146" s="1">
        <f t="shared" si="14"/>
        <v>1</v>
      </c>
      <c r="R146" s="10">
        <v>5</v>
      </c>
      <c r="S146" s="10">
        <v>4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8</v>
      </c>
      <c r="J148" s="1">
        <f t="shared" si="10"/>
        <v>1</v>
      </c>
      <c r="K148" s="5">
        <f t="shared" si="11"/>
        <v>0.58312323891442996</v>
      </c>
      <c r="L148" s="2">
        <v>1233517.793070439</v>
      </c>
      <c r="M148" s="2">
        <v>902400</v>
      </c>
      <c r="N148" s="6">
        <f t="shared" si="12"/>
        <v>1</v>
      </c>
      <c r="O148" s="9">
        <f t="shared" si="13"/>
        <v>0.7315662611998246</v>
      </c>
      <c r="P148" s="10">
        <v>10</v>
      </c>
      <c r="Q148" s="1">
        <f t="shared" si="14"/>
        <v>1</v>
      </c>
      <c r="R148" s="10">
        <v>9</v>
      </c>
      <c r="S148" s="10">
        <v>5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899400</v>
      </c>
      <c r="N149" s="6">
        <f t="shared" si="12"/>
        <v>1</v>
      </c>
      <c r="O149" s="9">
        <f t="shared" si="13"/>
        <v>0.72913419251232525</v>
      </c>
      <c r="P149" s="10">
        <v>20</v>
      </c>
      <c r="Q149" s="1">
        <f t="shared" si="14"/>
        <v>1</v>
      </c>
      <c r="R149" s="10">
        <v>6</v>
      </c>
      <c r="S149" s="10">
        <v>20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8</v>
      </c>
      <c r="J150" s="1">
        <f t="shared" si="10"/>
        <v>1</v>
      </c>
      <c r="K150" s="5">
        <f t="shared" si="11"/>
        <v>1.6035889070146823</v>
      </c>
      <c r="L150" s="2">
        <v>1233517.793070439</v>
      </c>
      <c r="M150" s="2">
        <v>902400</v>
      </c>
      <c r="N150" s="6">
        <f t="shared" si="12"/>
        <v>1</v>
      </c>
      <c r="O150" s="9">
        <f t="shared" si="13"/>
        <v>0.7315662611998246</v>
      </c>
      <c r="P150" s="10">
        <v>10</v>
      </c>
      <c r="Q150" s="1">
        <f t="shared" si="14"/>
        <v>1</v>
      </c>
      <c r="R150" s="10">
        <v>7</v>
      </c>
      <c r="S150" s="10">
        <v>5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6</v>
      </c>
      <c r="J151" s="4">
        <f t="shared" si="10"/>
        <v>1</v>
      </c>
      <c r="K151" s="5">
        <f t="shared" si="11"/>
        <v>1.0308785830808684</v>
      </c>
      <c r="L151" s="2">
        <v>1233517.793070439</v>
      </c>
      <c r="M151" s="2">
        <v>6408000</v>
      </c>
      <c r="N151" s="6">
        <f t="shared" si="12"/>
        <v>1</v>
      </c>
      <c r="O151" s="9">
        <f t="shared" si="13"/>
        <v>5.1948987164987548</v>
      </c>
      <c r="P151" s="10">
        <v>7</v>
      </c>
      <c r="Q151" s="1">
        <f t="shared" si="14"/>
        <v>1</v>
      </c>
      <c r="R151" s="10">
        <v>8</v>
      </c>
      <c r="S151" s="10">
        <v>6</v>
      </c>
      <c r="T151" s="10">
        <v>0</v>
      </c>
      <c r="U151" s="3">
        <v>0</v>
      </c>
      <c r="V151" s="3">
        <v>0</v>
      </c>
      <c r="W151" s="3">
        <v>0</v>
      </c>
      <c r="X151" s="3">
        <v>1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1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1</v>
      </c>
      <c r="T153" s="10">
        <v>0</v>
      </c>
      <c r="U153" s="3">
        <v>0</v>
      </c>
      <c r="V153" s="3">
        <v>0</v>
      </c>
      <c r="W153" s="3">
        <v>1</v>
      </c>
      <c r="X153" s="3">
        <v>0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840000</v>
      </c>
      <c r="N154" s="6">
        <f t="shared" si="12"/>
        <v>1</v>
      </c>
      <c r="O154" s="9">
        <f t="shared" si="13"/>
        <v>0.13957153001664943</v>
      </c>
      <c r="P154" s="10">
        <v>2</v>
      </c>
      <c r="Q154" s="1">
        <f t="shared" si="14"/>
        <v>0</v>
      </c>
      <c r="R154" s="10">
        <v>7</v>
      </c>
      <c r="S154" s="10">
        <v>2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4699500</v>
      </c>
      <c r="N155" s="6">
        <f t="shared" si="12"/>
        <v>1</v>
      </c>
      <c r="O155" s="9">
        <f t="shared" si="13"/>
        <v>0.20920250642364543</v>
      </c>
      <c r="P155" s="10">
        <v>1</v>
      </c>
      <c r="Q155" s="1">
        <f t="shared" si="14"/>
        <v>0</v>
      </c>
      <c r="R155" s="10">
        <v>14</v>
      </c>
      <c r="S155" s="10">
        <v>1</v>
      </c>
      <c r="T155" s="10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8</v>
      </c>
      <c r="J156" s="4">
        <f t="shared" ref="J156:J219" si="15">IF(I156&gt;=3,1,0)</f>
        <v>1</v>
      </c>
      <c r="K156" s="5">
        <f t="shared" ref="K156:K219" si="16">I156/H156</f>
        <v>0.69974788669731469</v>
      </c>
      <c r="L156" s="2">
        <v>1233517.793070439</v>
      </c>
      <c r="M156" s="2">
        <v>840000</v>
      </c>
      <c r="N156" s="6">
        <f t="shared" ref="N156:N219" si="17">IF(M156&gt;=300000,1,0)</f>
        <v>1</v>
      </c>
      <c r="O156" s="9">
        <f t="shared" ref="O156:O219" si="18">M156/L156</f>
        <v>0.68097923249983672</v>
      </c>
      <c r="P156" s="10">
        <v>10</v>
      </c>
      <c r="Q156" s="1">
        <f t="shared" ref="Q156:Q219" si="19">IF(P156&gt;=3,1,0)</f>
        <v>1</v>
      </c>
      <c r="R156" s="10">
        <v>14</v>
      </c>
      <c r="S156" s="10">
        <v>5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3</v>
      </c>
      <c r="J157" s="4">
        <f t="shared" si="15"/>
        <v>1</v>
      </c>
      <c r="K157" s="5">
        <f t="shared" si="16"/>
        <v>1</v>
      </c>
      <c r="L157" s="2">
        <v>2572302.4230823722</v>
      </c>
      <c r="M157" s="2">
        <v>13930000</v>
      </c>
      <c r="N157" s="6">
        <f t="shared" si="17"/>
        <v>1</v>
      </c>
      <c r="O157" s="9">
        <f t="shared" si="18"/>
        <v>5.4153819064975171</v>
      </c>
      <c r="P157" s="10">
        <v>5</v>
      </c>
      <c r="Q157" s="1">
        <f t="shared" si="19"/>
        <v>1</v>
      </c>
      <c r="R157" s="10">
        <v>5</v>
      </c>
      <c r="S157" s="10">
        <v>5</v>
      </c>
      <c r="T157" s="10">
        <v>0</v>
      </c>
      <c r="U157" s="3">
        <v>0</v>
      </c>
      <c r="V157" s="3">
        <v>0</v>
      </c>
      <c r="W157" s="3">
        <v>0</v>
      </c>
      <c r="X157" s="3">
        <v>1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4238500</v>
      </c>
      <c r="N158" s="6">
        <f t="shared" si="17"/>
        <v>1</v>
      </c>
      <c r="O158" s="9">
        <f t="shared" si="18"/>
        <v>0.18868067315174405</v>
      </c>
      <c r="P158" s="10">
        <v>7</v>
      </c>
      <c r="Q158" s="1">
        <f t="shared" si="19"/>
        <v>1</v>
      </c>
      <c r="R158" s="10">
        <v>12</v>
      </c>
      <c r="S158" s="10">
        <v>7</v>
      </c>
      <c r="T158" s="10">
        <v>0</v>
      </c>
      <c r="U158" s="3">
        <v>1</v>
      </c>
      <c r="V158" s="3">
        <v>0</v>
      </c>
      <c r="W158" s="3">
        <v>0</v>
      </c>
      <c r="X158" s="3">
        <v>0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5922250</v>
      </c>
      <c r="N159" s="6">
        <f t="shared" si="17"/>
        <v>1</v>
      </c>
      <c r="O159" s="9">
        <f t="shared" si="18"/>
        <v>2.3229265166272768</v>
      </c>
      <c r="P159" s="10">
        <v>1</v>
      </c>
      <c r="Q159" s="1">
        <f t="shared" si="19"/>
        <v>0</v>
      </c>
      <c r="R159" s="10">
        <v>7</v>
      </c>
      <c r="S159" s="10">
        <v>1</v>
      </c>
      <c r="T159" s="10">
        <v>0</v>
      </c>
      <c r="U159" s="3">
        <v>1</v>
      </c>
      <c r="V159" s="3">
        <v>0</v>
      </c>
      <c r="W159" s="3">
        <v>0</v>
      </c>
      <c r="X159" s="3">
        <v>0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706800</v>
      </c>
      <c r="N160" s="6">
        <f t="shared" si="17"/>
        <v>1</v>
      </c>
      <c r="O160" s="9">
        <f t="shared" si="18"/>
        <v>2.3857379399685168E-2</v>
      </c>
      <c r="P160" s="10">
        <v>1</v>
      </c>
      <c r="Q160" s="1">
        <f t="shared" si="19"/>
        <v>0</v>
      </c>
      <c r="R160" s="10">
        <v>7</v>
      </c>
      <c r="S160" s="10">
        <v>1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1671600</v>
      </c>
      <c r="N161" s="6">
        <f t="shared" si="17"/>
        <v>1</v>
      </c>
      <c r="O161" s="9">
        <f t="shared" si="18"/>
        <v>1.3551486726746751</v>
      </c>
      <c r="P161" s="10">
        <v>1</v>
      </c>
      <c r="Q161" s="1">
        <f t="shared" si="19"/>
        <v>0</v>
      </c>
      <c r="R161" s="10">
        <v>8</v>
      </c>
      <c r="S161" s="10">
        <v>1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1608000</v>
      </c>
      <c r="N162" s="6">
        <f t="shared" si="17"/>
        <v>1</v>
      </c>
      <c r="O162" s="9">
        <f t="shared" si="18"/>
        <v>1.3035888164996874</v>
      </c>
      <c r="P162" s="10">
        <v>2</v>
      </c>
      <c r="Q162" s="1">
        <f t="shared" si="19"/>
        <v>0</v>
      </c>
      <c r="R162" s="10">
        <v>5</v>
      </c>
      <c r="S162" s="10">
        <v>3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1882800</v>
      </c>
      <c r="N163" s="6">
        <f t="shared" si="17"/>
        <v>1</v>
      </c>
      <c r="O163" s="9">
        <f t="shared" si="18"/>
        <v>1.5263663082746342</v>
      </c>
      <c r="P163" s="10">
        <v>2</v>
      </c>
      <c r="Q163" s="1">
        <f t="shared" si="19"/>
        <v>0</v>
      </c>
      <c r="R163" s="10">
        <v>5</v>
      </c>
      <c r="S163" s="10">
        <v>2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1837200</v>
      </c>
      <c r="N164" s="6">
        <f t="shared" si="17"/>
        <v>1</v>
      </c>
      <c r="O164" s="9">
        <f t="shared" si="18"/>
        <v>1.489398864224643</v>
      </c>
      <c r="P164" s="10">
        <v>1</v>
      </c>
      <c r="Q164" s="1">
        <f t="shared" si="19"/>
        <v>0</v>
      </c>
      <c r="R164" s="10">
        <v>6</v>
      </c>
      <c r="S164" s="10">
        <v>1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720000</v>
      </c>
      <c r="N165" s="6">
        <f t="shared" si="17"/>
        <v>1</v>
      </c>
      <c r="O165" s="9">
        <f t="shared" si="18"/>
        <v>0.58369648499986004</v>
      </c>
      <c r="P165" s="10">
        <v>4</v>
      </c>
      <c r="Q165" s="1">
        <f t="shared" si="19"/>
        <v>1</v>
      </c>
      <c r="R165" s="10">
        <v>8</v>
      </c>
      <c r="S165" s="10">
        <v>4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5</v>
      </c>
      <c r="J166" s="1">
        <f t="shared" si="15"/>
        <v>1</v>
      </c>
      <c r="K166" s="5">
        <f t="shared" si="16"/>
        <v>1</v>
      </c>
      <c r="L166" s="2">
        <v>12908778</v>
      </c>
      <c r="M166" s="2">
        <v>15590000</v>
      </c>
      <c r="N166" s="6">
        <f t="shared" si="17"/>
        <v>1</v>
      </c>
      <c r="O166" s="9">
        <f t="shared" si="18"/>
        <v>1.2077053304348406</v>
      </c>
      <c r="P166" s="10">
        <v>7</v>
      </c>
      <c r="Q166" s="1">
        <f t="shared" si="19"/>
        <v>1</v>
      </c>
      <c r="R166" s="10">
        <v>7</v>
      </c>
      <c r="S166" s="10">
        <v>6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1022000</v>
      </c>
      <c r="N167" s="6">
        <f t="shared" si="17"/>
        <v>1</v>
      </c>
      <c r="O167" s="9">
        <f t="shared" si="18"/>
        <v>0.82852473287480133</v>
      </c>
      <c r="P167" s="10">
        <v>3</v>
      </c>
      <c r="Q167" s="1">
        <f t="shared" si="19"/>
        <v>1</v>
      </c>
      <c r="R167" s="10">
        <v>7</v>
      </c>
      <c r="S167" s="10">
        <v>3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1715000</v>
      </c>
      <c r="N168" s="6">
        <f t="shared" si="17"/>
        <v>1</v>
      </c>
      <c r="O168" s="9">
        <f t="shared" si="18"/>
        <v>1.3903325996871667</v>
      </c>
      <c r="P168" s="10">
        <v>5</v>
      </c>
      <c r="Q168" s="1">
        <f t="shared" si="19"/>
        <v>1</v>
      </c>
      <c r="R168" s="10">
        <v>5</v>
      </c>
      <c r="S168" s="10">
        <v>5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7</v>
      </c>
      <c r="Q169" s="1">
        <f t="shared" si="19"/>
        <v>1</v>
      </c>
      <c r="R169" s="10">
        <v>5</v>
      </c>
      <c r="S169" s="10">
        <v>7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6051000</v>
      </c>
      <c r="N170" s="6">
        <f t="shared" si="17"/>
        <v>1</v>
      </c>
      <c r="O170" s="9">
        <f t="shared" si="18"/>
        <v>0.20424590088779704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1304000</v>
      </c>
      <c r="N171" s="6">
        <f t="shared" si="17"/>
        <v>1</v>
      </c>
      <c r="O171" s="9">
        <f t="shared" si="18"/>
        <v>0.21666818469251292</v>
      </c>
      <c r="P171" s="10">
        <v>68</v>
      </c>
      <c r="Q171" s="1">
        <f t="shared" si="19"/>
        <v>1</v>
      </c>
      <c r="R171" s="10">
        <v>5</v>
      </c>
      <c r="S171" s="10">
        <v>62</v>
      </c>
      <c r="T171" s="10">
        <v>0</v>
      </c>
      <c r="U171" s="3">
        <v>0</v>
      </c>
      <c r="V171" s="3">
        <v>1</v>
      </c>
      <c r="W171" s="3">
        <v>0</v>
      </c>
      <c r="X171" s="3">
        <v>0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12386500</v>
      </c>
      <c r="N172" s="6">
        <f t="shared" si="17"/>
        <v>1</v>
      </c>
      <c r="O172" s="9">
        <f t="shared" si="18"/>
        <v>10.041606265903843</v>
      </c>
      <c r="P172" s="10">
        <v>9</v>
      </c>
      <c r="Q172" s="1">
        <f t="shared" si="19"/>
        <v>1</v>
      </c>
      <c r="R172" s="10">
        <v>6</v>
      </c>
      <c r="S172" s="10">
        <v>8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6740000</v>
      </c>
      <c r="N173" s="6">
        <f t="shared" si="17"/>
        <v>1</v>
      </c>
      <c r="O173" s="9">
        <f t="shared" si="18"/>
        <v>2.0535599950921406</v>
      </c>
      <c r="P173" s="10">
        <v>6</v>
      </c>
      <c r="Q173" s="1">
        <f t="shared" si="19"/>
        <v>1</v>
      </c>
      <c r="R173" s="10">
        <v>21</v>
      </c>
      <c r="S173" s="10">
        <v>7</v>
      </c>
      <c r="T173" s="10">
        <v>0</v>
      </c>
      <c r="U173" s="3">
        <v>1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2973000</v>
      </c>
      <c r="N174" s="6">
        <f t="shared" si="17"/>
        <v>1</v>
      </c>
      <c r="O174" s="9">
        <f t="shared" si="18"/>
        <v>1.1661210745802513</v>
      </c>
      <c r="P174" s="10">
        <v>10</v>
      </c>
      <c r="Q174" s="1">
        <f t="shared" si="19"/>
        <v>1</v>
      </c>
      <c r="R174" s="10">
        <v>9</v>
      </c>
      <c r="S174" s="10">
        <v>0</v>
      </c>
      <c r="T174" s="10">
        <v>1</v>
      </c>
      <c r="U174" s="3">
        <v>0</v>
      </c>
      <c r="V174" s="3">
        <v>0</v>
      </c>
      <c r="W174" s="3">
        <v>0</v>
      </c>
      <c r="X174" s="3">
        <v>0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6</v>
      </c>
      <c r="Q175" s="1">
        <f t="shared" si="19"/>
        <v>1</v>
      </c>
      <c r="R175" s="10">
        <v>7</v>
      </c>
      <c r="S175" s="10">
        <v>6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68</v>
      </c>
      <c r="J176" s="4">
        <f t="shared" si="15"/>
        <v>1</v>
      </c>
      <c r="K176" s="5">
        <f t="shared" si="16"/>
        <v>13.630505709624799</v>
      </c>
      <c r="L176" s="2">
        <v>1233517.793070439</v>
      </c>
      <c r="M176" s="2">
        <v>5170000</v>
      </c>
      <c r="N176" s="6">
        <f t="shared" si="17"/>
        <v>1</v>
      </c>
      <c r="O176" s="9">
        <f t="shared" si="18"/>
        <v>4.1912650381239951</v>
      </c>
      <c r="P176" s="10">
        <v>6</v>
      </c>
      <c r="Q176" s="1">
        <f t="shared" si="19"/>
        <v>1</v>
      </c>
      <c r="R176" s="10">
        <v>7</v>
      </c>
      <c r="S176" s="10">
        <v>6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5</v>
      </c>
      <c r="J177" s="1">
        <f t="shared" si="15"/>
        <v>1</v>
      </c>
      <c r="K177" s="5">
        <f t="shared" si="16"/>
        <v>1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10</v>
      </c>
      <c r="Q177" s="1">
        <f t="shared" si="19"/>
        <v>1</v>
      </c>
      <c r="R177" s="10">
        <v>7</v>
      </c>
      <c r="S177" s="10">
        <v>5</v>
      </c>
      <c r="T177" s="10">
        <v>0</v>
      </c>
      <c r="U177" s="3">
        <v>0</v>
      </c>
      <c r="V177" s="3">
        <v>0</v>
      </c>
      <c r="W177" s="3">
        <v>0</v>
      </c>
      <c r="X177" s="3">
        <v>1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1</v>
      </c>
      <c r="Q178" s="1">
        <f t="shared" si="19"/>
        <v>0</v>
      </c>
      <c r="R178" s="10">
        <v>5</v>
      </c>
      <c r="S178" s="10">
        <v>1</v>
      </c>
      <c r="T178" s="10">
        <v>0</v>
      </c>
      <c r="U178" s="3">
        <v>0</v>
      </c>
      <c r="V178" s="3">
        <v>0</v>
      </c>
      <c r="W178" s="3">
        <v>0</v>
      </c>
      <c r="X178" s="3">
        <v>1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2230000</v>
      </c>
      <c r="N179" s="6">
        <f t="shared" si="17"/>
        <v>1</v>
      </c>
      <c r="O179" s="9">
        <f t="shared" si="18"/>
        <v>1.8078377243745667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1398000</v>
      </c>
      <c r="N180" s="6">
        <f t="shared" si="17"/>
        <v>1</v>
      </c>
      <c r="O180" s="9">
        <f t="shared" si="18"/>
        <v>1.1333440083747284</v>
      </c>
      <c r="P180" s="10">
        <v>3</v>
      </c>
      <c r="Q180" s="1">
        <f t="shared" si="19"/>
        <v>1</v>
      </c>
      <c r="R180" s="10">
        <v>9</v>
      </c>
      <c r="S180" s="10">
        <v>3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2833000</v>
      </c>
      <c r="N181" s="6">
        <f t="shared" si="17"/>
        <v>1</v>
      </c>
      <c r="O181" s="9">
        <f t="shared" si="18"/>
        <v>2.2966835305619493</v>
      </c>
      <c r="P181" s="10">
        <v>6</v>
      </c>
      <c r="Q181" s="1">
        <f t="shared" si="19"/>
        <v>1</v>
      </c>
      <c r="R181" s="10">
        <v>15</v>
      </c>
      <c r="S181" s="10">
        <v>5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1577000</v>
      </c>
      <c r="N182" s="6">
        <f t="shared" si="17"/>
        <v>1</v>
      </c>
      <c r="O182" s="9">
        <f t="shared" si="18"/>
        <v>1.2784574400621935</v>
      </c>
      <c r="P182" s="10">
        <v>3</v>
      </c>
      <c r="Q182" s="1">
        <f t="shared" si="19"/>
        <v>1</v>
      </c>
      <c r="R182" s="10">
        <v>8</v>
      </c>
      <c r="S182" s="10">
        <v>4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1884000</v>
      </c>
      <c r="N183" s="6">
        <f t="shared" si="17"/>
        <v>1</v>
      </c>
      <c r="O183" s="9">
        <f t="shared" si="18"/>
        <v>1.5273391357496338</v>
      </c>
      <c r="P183" s="10">
        <v>14</v>
      </c>
      <c r="Q183" s="1">
        <f t="shared" si="19"/>
        <v>1</v>
      </c>
      <c r="R183" s="10">
        <v>7</v>
      </c>
      <c r="S183" s="10">
        <v>14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1709000</v>
      </c>
      <c r="N184" s="6">
        <f t="shared" si="17"/>
        <v>1</v>
      </c>
      <c r="O184" s="9">
        <f t="shared" si="18"/>
        <v>1.3854684623121678</v>
      </c>
      <c r="P184" s="10">
        <v>4</v>
      </c>
      <c r="Q184" s="1">
        <f t="shared" si="19"/>
        <v>1</v>
      </c>
      <c r="R184" s="10">
        <v>6</v>
      </c>
      <c r="S184" s="10">
        <v>4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19</v>
      </c>
      <c r="J185" s="4">
        <f t="shared" si="15"/>
        <v>1</v>
      </c>
      <c r="K185" s="5">
        <f t="shared" si="16"/>
        <v>6.333333333333333</v>
      </c>
      <c r="L185" s="2">
        <v>1233517.793070439</v>
      </c>
      <c r="M185" s="2">
        <v>3837000</v>
      </c>
      <c r="N185" s="6">
        <f t="shared" si="17"/>
        <v>1</v>
      </c>
      <c r="O185" s="9">
        <f t="shared" si="18"/>
        <v>3.1106158513117541</v>
      </c>
      <c r="P185" s="10">
        <v>24</v>
      </c>
      <c r="Q185" s="1">
        <f t="shared" si="19"/>
        <v>1</v>
      </c>
      <c r="R185" s="10">
        <v>5</v>
      </c>
      <c r="S185" s="10">
        <v>8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8</v>
      </c>
      <c r="J186" s="4">
        <f t="shared" si="15"/>
        <v>1</v>
      </c>
      <c r="K186" s="5">
        <f t="shared" si="16"/>
        <v>1.2026916802610144</v>
      </c>
      <c r="L186" s="2">
        <v>1233517.793070439</v>
      </c>
      <c r="M186" s="2">
        <v>3290000</v>
      </c>
      <c r="N186" s="6">
        <f t="shared" si="17"/>
        <v>1</v>
      </c>
      <c r="O186" s="9">
        <f t="shared" si="18"/>
        <v>2.6671686606243608</v>
      </c>
      <c r="P186" s="10">
        <v>28</v>
      </c>
      <c r="Q186" s="1">
        <f t="shared" si="19"/>
        <v>1</v>
      </c>
      <c r="R186" s="10">
        <v>9</v>
      </c>
      <c r="S186" s="10">
        <v>23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2571000</v>
      </c>
      <c r="N187" s="6">
        <f t="shared" si="17"/>
        <v>1</v>
      </c>
      <c r="O187" s="9">
        <f t="shared" si="18"/>
        <v>2.0842828651870002</v>
      </c>
      <c r="P187" s="10">
        <v>10</v>
      </c>
      <c r="Q187" s="1">
        <f t="shared" si="19"/>
        <v>1</v>
      </c>
      <c r="R187" s="10">
        <v>8</v>
      </c>
      <c r="S187" s="10">
        <v>11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8</v>
      </c>
      <c r="J188" s="4">
        <f t="shared" si="15"/>
        <v>1</v>
      </c>
      <c r="K188" s="5">
        <f t="shared" si="16"/>
        <v>1.673310163841407</v>
      </c>
      <c r="L188" s="2">
        <v>1233517.793070439</v>
      </c>
      <c r="M188" s="2">
        <v>3662000</v>
      </c>
      <c r="N188" s="6">
        <f t="shared" si="17"/>
        <v>1</v>
      </c>
      <c r="O188" s="9">
        <f t="shared" si="18"/>
        <v>2.9687451778742884</v>
      </c>
      <c r="P188" s="10">
        <v>19</v>
      </c>
      <c r="Q188" s="1">
        <f t="shared" si="19"/>
        <v>1</v>
      </c>
      <c r="R188" s="10">
        <v>7</v>
      </c>
      <c r="S188" s="10">
        <v>14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3440000</v>
      </c>
      <c r="N189" s="6">
        <f t="shared" si="17"/>
        <v>1</v>
      </c>
      <c r="O189" s="9">
        <f t="shared" si="18"/>
        <v>2.7887720949993313</v>
      </c>
      <c r="P189" s="10">
        <v>4</v>
      </c>
      <c r="Q189" s="1">
        <f t="shared" si="19"/>
        <v>1</v>
      </c>
      <c r="R189" s="10">
        <v>5</v>
      </c>
      <c r="S189" s="10">
        <v>5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6</v>
      </c>
      <c r="J190" s="4">
        <f t="shared" si="15"/>
        <v>1</v>
      </c>
      <c r="K190" s="5">
        <f t="shared" si="16"/>
        <v>1.2026916802610117</v>
      </c>
      <c r="L190" s="2">
        <v>1233517.793070439</v>
      </c>
      <c r="M190" s="2">
        <v>4000000</v>
      </c>
      <c r="N190" s="6">
        <f t="shared" si="17"/>
        <v>1</v>
      </c>
      <c r="O190" s="9">
        <f t="shared" si="18"/>
        <v>3.2427582499992225</v>
      </c>
      <c r="P190" s="10">
        <v>3</v>
      </c>
      <c r="Q190" s="1">
        <f t="shared" si="19"/>
        <v>1</v>
      </c>
      <c r="R190" s="10">
        <v>7</v>
      </c>
      <c r="S190" s="10">
        <v>3</v>
      </c>
      <c r="T190" s="10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2610000</v>
      </c>
      <c r="N191" s="6">
        <f t="shared" si="17"/>
        <v>1</v>
      </c>
      <c r="O191" s="9">
        <f t="shared" si="18"/>
        <v>0.65921902116466946</v>
      </c>
      <c r="P191" s="10">
        <v>4</v>
      </c>
      <c r="Q191" s="1">
        <f t="shared" si="19"/>
        <v>1</v>
      </c>
      <c r="R191" s="10">
        <v>7</v>
      </c>
      <c r="S191" s="10">
        <v>2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2</v>
      </c>
      <c r="J192" s="4">
        <f t="shared" si="15"/>
        <v>0</v>
      </c>
      <c r="K192" s="5">
        <f t="shared" si="16"/>
        <v>0.12335299284728311</v>
      </c>
      <c r="L192" s="2">
        <v>3114725.9703081902</v>
      </c>
      <c r="M192" s="2">
        <v>8000000</v>
      </c>
      <c r="N192" s="6">
        <f t="shared" si="17"/>
        <v>1</v>
      </c>
      <c r="O192" s="9">
        <f t="shared" si="18"/>
        <v>2.5684442471863522</v>
      </c>
      <c r="P192" s="10">
        <v>3</v>
      </c>
      <c r="Q192" s="1">
        <f t="shared" si="19"/>
        <v>1</v>
      </c>
      <c r="R192" s="10">
        <v>9</v>
      </c>
      <c r="S192" s="10">
        <v>3</v>
      </c>
      <c r="T192" s="10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6</v>
      </c>
      <c r="J193" s="1">
        <f t="shared" si="15"/>
        <v>1</v>
      </c>
      <c r="K193" s="5">
        <f t="shared" si="16"/>
        <v>0.93111613955690875</v>
      </c>
      <c r="L193" s="2">
        <v>12908778</v>
      </c>
      <c r="M193" s="2">
        <v>1287500</v>
      </c>
      <c r="N193" s="6">
        <f t="shared" si="17"/>
        <v>1</v>
      </c>
      <c r="O193" s="9">
        <f t="shared" si="18"/>
        <v>9.9738333093961337E-2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1</v>
      </c>
      <c r="J195" s="1">
        <f t="shared" si="15"/>
        <v>0</v>
      </c>
      <c r="K195" s="5">
        <f t="shared" si="16"/>
        <v>0.13745047774411531</v>
      </c>
      <c r="L195" s="2">
        <v>1233517.793070439</v>
      </c>
      <c r="M195" s="2">
        <v>645000</v>
      </c>
      <c r="N195" s="6">
        <f t="shared" si="17"/>
        <v>1</v>
      </c>
      <c r="O195" s="9">
        <f t="shared" si="18"/>
        <v>0.52289476781237465</v>
      </c>
      <c r="P195" s="10">
        <v>5</v>
      </c>
      <c r="Q195" s="1">
        <f t="shared" si="19"/>
        <v>1</v>
      </c>
      <c r="R195" s="10">
        <v>10</v>
      </c>
      <c r="S195" s="10">
        <v>5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1</v>
      </c>
      <c r="J196" s="1">
        <f t="shared" si="15"/>
        <v>0</v>
      </c>
      <c r="K196" s="5">
        <f t="shared" si="16"/>
        <v>0.1503364600326268</v>
      </c>
      <c r="L196" s="2">
        <v>1233517.793070439</v>
      </c>
      <c r="M196" s="2">
        <v>343000</v>
      </c>
      <c r="N196" s="6">
        <f t="shared" si="17"/>
        <v>1</v>
      </c>
      <c r="O196" s="9">
        <f t="shared" si="18"/>
        <v>0.27806651993743331</v>
      </c>
      <c r="P196" s="10">
        <v>14</v>
      </c>
      <c r="Q196" s="1">
        <f t="shared" si="19"/>
        <v>1</v>
      </c>
      <c r="R196" s="10">
        <v>9</v>
      </c>
      <c r="S196" s="10">
        <v>14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1</v>
      </c>
      <c r="J197" s="4">
        <f t="shared" si="15"/>
        <v>0</v>
      </c>
      <c r="K197" s="5">
        <f t="shared" si="16"/>
        <v>0.17181309718014473</v>
      </c>
      <c r="L197" s="2">
        <v>2549477.9785796599</v>
      </c>
      <c r="M197" s="2">
        <v>5120000</v>
      </c>
      <c r="N197" s="6">
        <f t="shared" si="17"/>
        <v>1</v>
      </c>
      <c r="O197" s="9">
        <f t="shared" si="18"/>
        <v>2.0082542555838838</v>
      </c>
      <c r="P197" s="10">
        <v>2</v>
      </c>
      <c r="Q197" s="1">
        <f t="shared" si="19"/>
        <v>0</v>
      </c>
      <c r="R197" s="10">
        <v>8</v>
      </c>
      <c r="S197" s="10">
        <v>2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1</v>
      </c>
      <c r="J198" s="4">
        <f t="shared" si="15"/>
        <v>0</v>
      </c>
      <c r="K198" s="5">
        <f t="shared" si="16"/>
        <v>0.33333333333333331</v>
      </c>
      <c r="L198" s="2">
        <v>12908778</v>
      </c>
      <c r="M198" s="2">
        <v>4725000</v>
      </c>
      <c r="N198" s="6">
        <f t="shared" si="17"/>
        <v>1</v>
      </c>
      <c r="O198" s="9">
        <f t="shared" si="18"/>
        <v>0.366029999121528</v>
      </c>
      <c r="P198" s="10">
        <v>1</v>
      </c>
      <c r="Q198" s="1">
        <f t="shared" si="19"/>
        <v>0</v>
      </c>
      <c r="R198" s="10">
        <v>5</v>
      </c>
      <c r="S198" s="10">
        <v>1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897000</v>
      </c>
      <c r="N199" s="6">
        <f t="shared" si="17"/>
        <v>1</v>
      </c>
      <c r="O199" s="9">
        <f t="shared" si="18"/>
        <v>3.9930768860944772E-2</v>
      </c>
      <c r="P199" s="10">
        <v>26</v>
      </c>
      <c r="Q199" s="1">
        <f t="shared" si="19"/>
        <v>1</v>
      </c>
      <c r="R199" s="10">
        <v>11</v>
      </c>
      <c r="S199" s="10">
        <v>26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975000</v>
      </c>
      <c r="N200" s="6">
        <f t="shared" si="17"/>
        <v>1</v>
      </c>
      <c r="O200" s="9">
        <f t="shared" si="18"/>
        <v>0.79042232343731056</v>
      </c>
      <c r="P200" s="10">
        <v>6</v>
      </c>
      <c r="Q200" s="1">
        <f t="shared" si="19"/>
        <v>1</v>
      </c>
      <c r="R200" s="10">
        <v>10</v>
      </c>
      <c r="S200" s="10">
        <v>7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9</v>
      </c>
      <c r="J201" s="4">
        <f t="shared" si="15"/>
        <v>1</v>
      </c>
      <c r="K201" s="5">
        <f t="shared" si="16"/>
        <v>1.7318760195758531</v>
      </c>
      <c r="L201" s="2">
        <v>2574298.0029296018</v>
      </c>
      <c r="M201" s="2">
        <v>8304000</v>
      </c>
      <c r="N201" s="6">
        <f t="shared" si="17"/>
        <v>1</v>
      </c>
      <c r="O201" s="9">
        <f t="shared" si="18"/>
        <v>3.2257337691867392</v>
      </c>
      <c r="P201" s="10">
        <v>46</v>
      </c>
      <c r="Q201" s="1">
        <f t="shared" si="19"/>
        <v>1</v>
      </c>
      <c r="R201" s="10">
        <v>8</v>
      </c>
      <c r="S201" s="10">
        <v>39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2020000</v>
      </c>
      <c r="N202" s="6">
        <f t="shared" si="17"/>
        <v>1</v>
      </c>
      <c r="O202" s="9">
        <f t="shared" si="18"/>
        <v>0.6952178031296653</v>
      </c>
      <c r="P202" s="10">
        <v>23</v>
      </c>
      <c r="Q202" s="1">
        <f t="shared" si="19"/>
        <v>1</v>
      </c>
      <c r="R202" s="10">
        <v>7</v>
      </c>
      <c r="S202" s="10">
        <v>23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22770000</v>
      </c>
      <c r="N203" s="6">
        <f t="shared" si="17"/>
        <v>1</v>
      </c>
      <c r="O203" s="9">
        <f t="shared" si="18"/>
        <v>0.65431562744788418</v>
      </c>
      <c r="P203" s="10">
        <v>61</v>
      </c>
      <c r="Q203" s="1">
        <f t="shared" si="19"/>
        <v>1</v>
      </c>
      <c r="R203" s="10">
        <v>6</v>
      </c>
      <c r="S203" s="10">
        <v>62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20274000</v>
      </c>
      <c r="N204" s="6">
        <f t="shared" si="17"/>
        <v>1</v>
      </c>
      <c r="O204" s="9">
        <f t="shared" si="18"/>
        <v>0.90251550489051757</v>
      </c>
      <c r="P204" s="10">
        <v>63</v>
      </c>
      <c r="Q204" s="1">
        <f t="shared" si="19"/>
        <v>1</v>
      </c>
      <c r="R204" s="10">
        <v>6</v>
      </c>
      <c r="S204" s="10">
        <v>64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65</v>
      </c>
      <c r="J205" s="4">
        <f t="shared" si="15"/>
        <v>1</v>
      </c>
      <c r="K205" s="5">
        <f t="shared" si="16"/>
        <v>21.666666666666668</v>
      </c>
      <c r="L205" s="2">
        <v>6018419.3717715694</v>
      </c>
      <c r="M205" s="2">
        <v>2136000</v>
      </c>
      <c r="N205" s="6">
        <f t="shared" si="17"/>
        <v>1</v>
      </c>
      <c r="O205" s="9">
        <f t="shared" si="18"/>
        <v>0.35491046204233712</v>
      </c>
      <c r="P205" s="10">
        <v>12</v>
      </c>
      <c r="Q205" s="1">
        <f t="shared" si="19"/>
        <v>1</v>
      </c>
      <c r="R205" s="10">
        <v>5</v>
      </c>
      <c r="S205" s="10">
        <v>7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68</v>
      </c>
      <c r="J206" s="4">
        <f t="shared" si="15"/>
        <v>1</v>
      </c>
      <c r="K206" s="5">
        <f t="shared" si="16"/>
        <v>22.666666666666668</v>
      </c>
      <c r="L206" s="2">
        <v>6018419.3717715694</v>
      </c>
      <c r="M206" s="2">
        <v>10695000</v>
      </c>
      <c r="N206" s="6">
        <f t="shared" si="17"/>
        <v>1</v>
      </c>
      <c r="O206" s="9">
        <f t="shared" si="18"/>
        <v>1.7770446589619828</v>
      </c>
      <c r="P206" s="10">
        <v>5</v>
      </c>
      <c r="Q206" s="1">
        <f t="shared" si="19"/>
        <v>1</v>
      </c>
      <c r="R206" s="10">
        <v>5</v>
      </c>
      <c r="S206" s="10">
        <v>5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5</v>
      </c>
      <c r="Q207" s="1">
        <f t="shared" si="19"/>
        <v>1</v>
      </c>
      <c r="R207" s="10">
        <v>5</v>
      </c>
      <c r="S207" s="10">
        <v>7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14</v>
      </c>
      <c r="J209" s="4">
        <f t="shared" si="15"/>
        <v>1</v>
      </c>
      <c r="K209" s="5">
        <f t="shared" si="16"/>
        <v>2.4053833605220261</v>
      </c>
      <c r="L209" s="2">
        <v>1233517.793070439</v>
      </c>
      <c r="M209" s="2">
        <v>3941000</v>
      </c>
      <c r="N209" s="6">
        <f t="shared" si="17"/>
        <v>1</v>
      </c>
      <c r="O209" s="9">
        <f t="shared" si="18"/>
        <v>3.1949275658117342</v>
      </c>
      <c r="P209" s="10">
        <v>26</v>
      </c>
      <c r="Q209" s="1">
        <f t="shared" si="19"/>
        <v>1</v>
      </c>
      <c r="R209" s="10">
        <v>8</v>
      </c>
      <c r="S209" s="10">
        <v>15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3590000</v>
      </c>
      <c r="N210" s="6">
        <f t="shared" si="17"/>
        <v>1</v>
      </c>
      <c r="O210" s="9">
        <f t="shared" si="18"/>
        <v>0.12117712513422432</v>
      </c>
      <c r="P210" s="10">
        <v>3</v>
      </c>
      <c r="Q210" s="1">
        <f t="shared" si="19"/>
        <v>1</v>
      </c>
      <c r="R210" s="10">
        <v>7</v>
      </c>
      <c r="S210" s="10">
        <v>3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8</v>
      </c>
      <c r="J211" s="1">
        <f t="shared" si="15"/>
        <v>1</v>
      </c>
      <c r="K211" s="5">
        <f t="shared" si="16"/>
        <v>2.6666666666666665</v>
      </c>
      <c r="L211" s="2">
        <v>1233517.793070439</v>
      </c>
      <c r="M211" s="2">
        <v>3656000</v>
      </c>
      <c r="N211" s="6">
        <f t="shared" si="17"/>
        <v>1</v>
      </c>
      <c r="O211" s="9">
        <f t="shared" si="18"/>
        <v>2.9638810404992895</v>
      </c>
      <c r="P211" s="10">
        <v>10</v>
      </c>
      <c r="Q211" s="1">
        <f t="shared" si="19"/>
        <v>1</v>
      </c>
      <c r="R211" s="10">
        <v>5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690000</v>
      </c>
      <c r="N212" s="6">
        <f t="shared" si="17"/>
        <v>1</v>
      </c>
      <c r="O212" s="9">
        <f t="shared" si="18"/>
        <v>0.55937579812486593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392000</v>
      </c>
      <c r="N213" s="6">
        <f t="shared" si="17"/>
        <v>1</v>
      </c>
      <c r="O213" s="9">
        <f t="shared" si="18"/>
        <v>0.31779030849992379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724000</v>
      </c>
      <c r="N214" s="6">
        <f t="shared" si="17"/>
        <v>1</v>
      </c>
      <c r="O214" s="9">
        <f t="shared" si="18"/>
        <v>2.4133333333333336</v>
      </c>
      <c r="P214" s="10">
        <v>10</v>
      </c>
      <c r="Q214" s="1">
        <f t="shared" si="19"/>
        <v>1</v>
      </c>
      <c r="R214" s="10">
        <v>5</v>
      </c>
      <c r="S214" s="10">
        <v>11</v>
      </c>
      <c r="T214" s="10">
        <v>1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562000</v>
      </c>
      <c r="N215" s="6">
        <f t="shared" si="17"/>
        <v>1</v>
      </c>
      <c r="O215" s="9">
        <f t="shared" si="18"/>
        <v>1.8733333333333333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8</v>
      </c>
      <c r="J216" s="4">
        <f t="shared" si="15"/>
        <v>1</v>
      </c>
      <c r="K216" s="5">
        <f t="shared" si="16"/>
        <v>2.6666666666666665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10</v>
      </c>
      <c r="Q216" s="1">
        <f t="shared" si="19"/>
        <v>1</v>
      </c>
      <c r="R216" s="10">
        <v>5</v>
      </c>
      <c r="S216" s="10">
        <v>5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5</v>
      </c>
      <c r="J218" s="4">
        <f t="shared" si="15"/>
        <v>1</v>
      </c>
      <c r="K218" s="5">
        <f t="shared" si="16"/>
        <v>1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10</v>
      </c>
      <c r="Q218" s="1">
        <f t="shared" si="19"/>
        <v>1</v>
      </c>
      <c r="R218" s="10">
        <v>7</v>
      </c>
      <c r="S218" s="10">
        <v>5</v>
      </c>
      <c r="T218" s="10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564000</v>
      </c>
      <c r="N219" s="6">
        <f t="shared" si="17"/>
        <v>1</v>
      </c>
      <c r="O219" s="9">
        <f t="shared" si="18"/>
        <v>0.4572289132498904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3</v>
      </c>
      <c r="Q220" s="1">
        <f t="shared" ref="Q220:Q283" si="24">IF(P220&gt;=3,1,0)</f>
        <v>1</v>
      </c>
      <c r="R220" s="10">
        <v>10</v>
      </c>
      <c r="S220" s="10">
        <v>3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5</v>
      </c>
      <c r="J221" s="4">
        <f t="shared" si="20"/>
        <v>1</v>
      </c>
      <c r="K221" s="5">
        <f t="shared" si="21"/>
        <v>1.5033646003262631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10</v>
      </c>
      <c r="Q221" s="1">
        <f t="shared" si="24"/>
        <v>1</v>
      </c>
      <c r="R221" s="10">
        <v>6</v>
      </c>
      <c r="S221" s="10">
        <v>5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8</v>
      </c>
      <c r="J222" s="1">
        <f t="shared" si="20"/>
        <v>1</v>
      </c>
      <c r="K222" s="5">
        <f t="shared" si="21"/>
        <v>1.0996038219529225</v>
      </c>
      <c r="L222" s="2">
        <v>1233517.793070439</v>
      </c>
      <c r="M222" s="2">
        <v>6190000</v>
      </c>
      <c r="N222" s="6">
        <f t="shared" si="22"/>
        <v>1</v>
      </c>
      <c r="O222" s="9">
        <f t="shared" si="23"/>
        <v>5.0181683918737967</v>
      </c>
      <c r="P222" s="10">
        <v>15</v>
      </c>
      <c r="Q222" s="1">
        <f t="shared" si="24"/>
        <v>1</v>
      </c>
      <c r="R222" s="10">
        <v>10</v>
      </c>
      <c r="S222" s="10">
        <v>11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11</v>
      </c>
      <c r="Q223" s="1">
        <f t="shared" si="24"/>
        <v>1</v>
      </c>
      <c r="R223" s="10">
        <v>7</v>
      </c>
      <c r="S223" s="10">
        <v>12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20</v>
      </c>
      <c r="Q224" s="1">
        <f t="shared" si="24"/>
        <v>1</v>
      </c>
      <c r="R224" s="10">
        <v>7</v>
      </c>
      <c r="S224" s="10">
        <v>21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5</v>
      </c>
      <c r="Q225" s="1">
        <f t="shared" si="24"/>
        <v>1</v>
      </c>
      <c r="R225" s="10">
        <v>7</v>
      </c>
      <c r="S225" s="10">
        <v>7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771000</v>
      </c>
      <c r="N226" s="6">
        <f t="shared" si="22"/>
        <v>1</v>
      </c>
      <c r="O226" s="9">
        <f t="shared" si="23"/>
        <v>0.62504165268735012</v>
      </c>
      <c r="P226" s="10">
        <v>0</v>
      </c>
      <c r="Q226" s="1">
        <f t="shared" si="24"/>
        <v>0</v>
      </c>
      <c r="R226" s="10">
        <v>9</v>
      </c>
      <c r="S226" s="10">
        <v>1</v>
      </c>
      <c r="T226" s="10">
        <v>1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558000</v>
      </c>
      <c r="N227" s="6">
        <f t="shared" si="22"/>
        <v>1</v>
      </c>
      <c r="O227" s="9">
        <f t="shared" si="23"/>
        <v>0.45236477587489154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555000</v>
      </c>
      <c r="N228" s="6">
        <f t="shared" si="22"/>
        <v>1</v>
      </c>
      <c r="O228" s="9">
        <f t="shared" si="23"/>
        <v>0.44993270718739214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1873000</v>
      </c>
      <c r="N229" s="6">
        <f t="shared" si="22"/>
        <v>1</v>
      </c>
      <c r="O229" s="9">
        <f t="shared" si="23"/>
        <v>1.5184215505621359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8</v>
      </c>
      <c r="J230" s="4">
        <f t="shared" si="20"/>
        <v>1</v>
      </c>
      <c r="K230" s="5">
        <f t="shared" si="21"/>
        <v>1.1662464778288604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13</v>
      </c>
      <c r="Q230" s="1">
        <f t="shared" si="24"/>
        <v>1</v>
      </c>
      <c r="R230" s="10">
        <v>9</v>
      </c>
      <c r="S230" s="10">
        <v>8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2181000</v>
      </c>
      <c r="N231" s="6">
        <f t="shared" si="22"/>
        <v>1</v>
      </c>
      <c r="O231" s="9">
        <f t="shared" si="23"/>
        <v>1.7681139358120761</v>
      </c>
      <c r="P231" s="10">
        <v>5</v>
      </c>
      <c r="Q231" s="1">
        <f t="shared" si="24"/>
        <v>1</v>
      </c>
      <c r="R231" s="10">
        <v>8</v>
      </c>
      <c r="S231" s="10">
        <v>4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3</v>
      </c>
      <c r="Q232" s="1">
        <f t="shared" si="24"/>
        <v>1</v>
      </c>
      <c r="R232" s="10">
        <v>7</v>
      </c>
      <c r="S232" s="10">
        <v>3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1198000</v>
      </c>
      <c r="N233" s="6">
        <f t="shared" si="22"/>
        <v>1</v>
      </c>
      <c r="O233" s="9">
        <f t="shared" si="23"/>
        <v>0.97120609587476714</v>
      </c>
      <c r="P233" s="10">
        <v>2</v>
      </c>
      <c r="Q233" s="1">
        <f t="shared" si="24"/>
        <v>0</v>
      </c>
      <c r="R233" s="10">
        <v>7</v>
      </c>
      <c r="S233" s="10">
        <v>1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3</v>
      </c>
      <c r="Q234" s="1">
        <f t="shared" si="24"/>
        <v>1</v>
      </c>
      <c r="R234" s="10">
        <v>7</v>
      </c>
      <c r="S234" s="10">
        <v>3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7107000</v>
      </c>
      <c r="N235" s="6">
        <f t="shared" si="22"/>
        <v>1</v>
      </c>
      <c r="O235" s="9">
        <f t="shared" si="23"/>
        <v>5.7615707206861186</v>
      </c>
      <c r="P235" s="10">
        <v>2</v>
      </c>
      <c r="Q235" s="1">
        <f t="shared" si="24"/>
        <v>0</v>
      </c>
      <c r="R235" s="10">
        <v>6</v>
      </c>
      <c r="S235" s="10">
        <v>2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728000</v>
      </c>
      <c r="N236" s="6">
        <f t="shared" si="22"/>
        <v>1</v>
      </c>
      <c r="O236" s="9">
        <f t="shared" si="23"/>
        <v>0.59018200149985856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1538000</v>
      </c>
      <c r="N237" s="6">
        <f t="shared" si="22"/>
        <v>1</v>
      </c>
      <c r="O237" s="9">
        <f t="shared" si="23"/>
        <v>5.1266666666666669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1497000</v>
      </c>
      <c r="N239" s="6">
        <f t="shared" si="22"/>
        <v>1</v>
      </c>
      <c r="O239" s="9">
        <f t="shared" si="23"/>
        <v>0.24873640527967167</v>
      </c>
      <c r="P239" s="10">
        <v>6</v>
      </c>
      <c r="Q239" s="1">
        <f t="shared" si="24"/>
        <v>1</v>
      </c>
      <c r="R239" s="10">
        <v>13</v>
      </c>
      <c r="S239" s="10">
        <v>6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3</v>
      </c>
      <c r="Q240" s="1">
        <f t="shared" si="24"/>
        <v>1</v>
      </c>
      <c r="R240" s="10">
        <v>13</v>
      </c>
      <c r="S240" s="10">
        <v>3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4</v>
      </c>
      <c r="J241" s="4">
        <f t="shared" si="20"/>
        <v>1</v>
      </c>
      <c r="K241" s="5">
        <f t="shared" si="21"/>
        <v>0.8</v>
      </c>
      <c r="L241" s="2">
        <v>19880654</v>
      </c>
      <c r="M241" s="2">
        <v>10605000</v>
      </c>
      <c r="N241" s="6">
        <f t="shared" si="22"/>
        <v>1</v>
      </c>
      <c r="O241" s="9">
        <f t="shared" si="23"/>
        <v>0.53343315566982852</v>
      </c>
      <c r="P241" s="10">
        <v>2</v>
      </c>
      <c r="Q241" s="1">
        <f t="shared" si="24"/>
        <v>0</v>
      </c>
      <c r="R241" s="10">
        <v>7</v>
      </c>
      <c r="S241" s="10">
        <v>2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7</v>
      </c>
      <c r="Q242" s="1">
        <f t="shared" si="24"/>
        <v>1</v>
      </c>
      <c r="R242" s="10">
        <v>7</v>
      </c>
      <c r="S242" s="10">
        <v>8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2</v>
      </c>
      <c r="J243" s="1">
        <f t="shared" si="20"/>
        <v>0</v>
      </c>
      <c r="K243" s="5">
        <f t="shared" si="21"/>
        <v>0.41832754096035174</v>
      </c>
      <c r="L243" s="2">
        <v>2549477.9785796599</v>
      </c>
      <c r="M243" s="2">
        <v>10243000</v>
      </c>
      <c r="N243" s="6">
        <f t="shared" si="22"/>
        <v>1</v>
      </c>
      <c r="O243" s="9">
        <f t="shared" si="23"/>
        <v>4.0176852226456488</v>
      </c>
      <c r="P243" s="10">
        <v>24</v>
      </c>
      <c r="Q243" s="1">
        <f t="shared" si="24"/>
        <v>1</v>
      </c>
      <c r="R243" s="10">
        <v>7</v>
      </c>
      <c r="S243" s="10">
        <v>19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3</v>
      </c>
      <c r="Q244" s="1">
        <f t="shared" si="24"/>
        <v>1</v>
      </c>
      <c r="R244" s="10">
        <v>6</v>
      </c>
      <c r="S244" s="10">
        <v>3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8</v>
      </c>
      <c r="J245" s="4">
        <f t="shared" si="20"/>
        <v>1</v>
      </c>
      <c r="K245" s="5">
        <f t="shared" si="21"/>
        <v>2.5657422512234902</v>
      </c>
      <c r="L245" s="2">
        <v>1233517.793070439</v>
      </c>
      <c r="M245" s="2">
        <v>3471000</v>
      </c>
      <c r="N245" s="6">
        <f t="shared" si="22"/>
        <v>1</v>
      </c>
      <c r="O245" s="9">
        <f t="shared" si="23"/>
        <v>2.8139034714368254</v>
      </c>
      <c r="P245" s="10">
        <v>22</v>
      </c>
      <c r="Q245" s="1">
        <f t="shared" si="24"/>
        <v>1</v>
      </c>
      <c r="R245" s="10">
        <v>6</v>
      </c>
      <c r="S245" s="10">
        <v>17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5</v>
      </c>
      <c r="J246" s="1">
        <f t="shared" si="20"/>
        <v>1</v>
      </c>
      <c r="K246" s="5">
        <f t="shared" si="21"/>
        <v>1.6666666666666667</v>
      </c>
      <c r="L246" s="2">
        <v>1233517.793070439</v>
      </c>
      <c r="M246" s="2">
        <v>1290000</v>
      </c>
      <c r="N246" s="6">
        <f t="shared" si="22"/>
        <v>1</v>
      </c>
      <c r="O246" s="9">
        <f t="shared" si="23"/>
        <v>1.0457895356247493</v>
      </c>
      <c r="P246" s="10">
        <v>7</v>
      </c>
      <c r="Q246" s="1">
        <f t="shared" si="24"/>
        <v>1</v>
      </c>
      <c r="R246" s="10">
        <v>5</v>
      </c>
      <c r="S246" s="10">
        <v>7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4</v>
      </c>
      <c r="J247" s="1">
        <f t="shared" si="20"/>
        <v>1</v>
      </c>
      <c r="K247" s="5">
        <f t="shared" si="21"/>
        <v>1.3333333333333333</v>
      </c>
      <c r="L247" s="2">
        <v>1233517.793070439</v>
      </c>
      <c r="M247" s="2">
        <v>2865000</v>
      </c>
      <c r="N247" s="6">
        <f t="shared" si="22"/>
        <v>1</v>
      </c>
      <c r="O247" s="9">
        <f t="shared" si="23"/>
        <v>2.3226255965619433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3283000</v>
      </c>
      <c r="N248" s="6">
        <f t="shared" si="22"/>
        <v>1</v>
      </c>
      <c r="O248" s="9">
        <f t="shared" si="23"/>
        <v>0.25432306605629129</v>
      </c>
      <c r="P248" s="10">
        <v>37</v>
      </c>
      <c r="Q248" s="1">
        <f t="shared" si="24"/>
        <v>1</v>
      </c>
      <c r="R248" s="10">
        <v>5</v>
      </c>
      <c r="S248" s="10">
        <v>32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4</v>
      </c>
      <c r="Q249" s="1">
        <f t="shared" si="24"/>
        <v>1</v>
      </c>
      <c r="R249" s="10">
        <v>9</v>
      </c>
      <c r="S249" s="10">
        <v>4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649000</v>
      </c>
      <c r="N250" s="6">
        <f t="shared" si="22"/>
        <v>1</v>
      </c>
      <c r="O250" s="9">
        <f t="shared" si="23"/>
        <v>0.52613752606237385</v>
      </c>
      <c r="P250" s="10">
        <v>8</v>
      </c>
      <c r="Q250" s="1">
        <f t="shared" si="24"/>
        <v>1</v>
      </c>
      <c r="R250" s="10">
        <v>7</v>
      </c>
      <c r="S250" s="10">
        <v>8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5</v>
      </c>
      <c r="J251" s="1">
        <f t="shared" si="20"/>
        <v>1</v>
      </c>
      <c r="K251" s="5">
        <f t="shared" si="21"/>
        <v>1.0022430668841764</v>
      </c>
      <c r="L251" s="2">
        <v>1233517.793070439</v>
      </c>
      <c r="M251" s="2">
        <v>711000</v>
      </c>
      <c r="N251" s="6">
        <f t="shared" si="22"/>
        <v>1</v>
      </c>
      <c r="O251" s="9">
        <f t="shared" si="23"/>
        <v>0.57640027893736179</v>
      </c>
      <c r="P251" s="10">
        <v>13</v>
      </c>
      <c r="Q251" s="1">
        <f t="shared" si="24"/>
        <v>1</v>
      </c>
      <c r="R251" s="10">
        <v>7</v>
      </c>
      <c r="S251" s="10">
        <v>8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4342000</v>
      </c>
      <c r="N252" s="6">
        <f t="shared" si="22"/>
        <v>1</v>
      </c>
      <c r="O252" s="9">
        <f t="shared" si="23"/>
        <v>1.5611183522376888</v>
      </c>
      <c r="P252" s="10">
        <v>10</v>
      </c>
      <c r="Q252" s="1">
        <f t="shared" si="24"/>
        <v>1</v>
      </c>
      <c r="R252" s="10">
        <v>7</v>
      </c>
      <c r="S252" s="10">
        <v>10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1668000</v>
      </c>
      <c r="N253" s="6">
        <f t="shared" si="22"/>
        <v>1</v>
      </c>
      <c r="O253" s="9">
        <f t="shared" si="23"/>
        <v>0.6542515817019372</v>
      </c>
      <c r="P253" s="10">
        <v>9</v>
      </c>
      <c r="Q253" s="1">
        <f t="shared" si="24"/>
        <v>1</v>
      </c>
      <c r="R253" s="10">
        <v>6</v>
      </c>
      <c r="S253" s="10">
        <v>9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2800000</v>
      </c>
      <c r="N254" s="6">
        <f t="shared" si="22"/>
        <v>1</v>
      </c>
      <c r="O254" s="9">
        <f t="shared" si="23"/>
        <v>2.2699307749994557</v>
      </c>
      <c r="P254" s="10">
        <v>11</v>
      </c>
      <c r="Q254" s="1">
        <f t="shared" si="24"/>
        <v>1</v>
      </c>
      <c r="R254" s="10">
        <v>6</v>
      </c>
      <c r="S254" s="10">
        <v>10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48</v>
      </c>
      <c r="J255" s="1">
        <f t="shared" si="20"/>
        <v>1</v>
      </c>
      <c r="K255" s="5">
        <f t="shared" si="21"/>
        <v>15.394453507340941</v>
      </c>
      <c r="L255" s="2">
        <v>1233517.793070439</v>
      </c>
      <c r="M255" s="2">
        <v>4024000</v>
      </c>
      <c r="N255" s="6">
        <f t="shared" si="22"/>
        <v>1</v>
      </c>
      <c r="O255" s="9">
        <f t="shared" si="23"/>
        <v>3.2622147994992181</v>
      </c>
      <c r="P255" s="10">
        <v>56</v>
      </c>
      <c r="Q255" s="1">
        <f t="shared" si="24"/>
        <v>1</v>
      </c>
      <c r="R255" s="10">
        <v>6</v>
      </c>
      <c r="S255" s="10">
        <v>8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10956000</v>
      </c>
      <c r="N256" s="6">
        <f t="shared" si="22"/>
        <v>1</v>
      </c>
      <c r="O256" s="9">
        <f t="shared" si="23"/>
        <v>0.48771628053568661</v>
      </c>
      <c r="P256" s="10">
        <v>36</v>
      </c>
      <c r="Q256" s="1">
        <f t="shared" si="24"/>
        <v>1</v>
      </c>
      <c r="R256" s="10">
        <v>5</v>
      </c>
      <c r="S256" s="10">
        <v>33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1585000</v>
      </c>
      <c r="N257" s="6">
        <f t="shared" si="22"/>
        <v>1</v>
      </c>
      <c r="O257" s="9">
        <f t="shared" si="23"/>
        <v>1.2849429565621919</v>
      </c>
      <c r="P257" s="10">
        <v>12</v>
      </c>
      <c r="Q257" s="1">
        <f t="shared" si="24"/>
        <v>1</v>
      </c>
      <c r="R257" s="10">
        <v>14</v>
      </c>
      <c r="S257" s="10">
        <v>12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745000</v>
      </c>
      <c r="N258" s="6">
        <f t="shared" si="22"/>
        <v>1</v>
      </c>
      <c r="O258" s="9">
        <f t="shared" si="23"/>
        <v>0.60396372406235521</v>
      </c>
      <c r="P258" s="10">
        <v>5</v>
      </c>
      <c r="Q258" s="1">
        <f t="shared" si="24"/>
        <v>1</v>
      </c>
      <c r="R258" s="10">
        <v>12</v>
      </c>
      <c r="S258" s="10">
        <v>5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35</v>
      </c>
      <c r="J259" s="4">
        <f t="shared" si="20"/>
        <v>1</v>
      </c>
      <c r="K259" s="5">
        <f t="shared" si="21"/>
        <v>3.9157403543381779</v>
      </c>
      <c r="L259" s="2">
        <v>1233517.793070439</v>
      </c>
      <c r="M259" s="2">
        <v>1826000</v>
      </c>
      <c r="N259" s="6">
        <f t="shared" si="22"/>
        <v>1</v>
      </c>
      <c r="O259" s="9">
        <f t="shared" si="23"/>
        <v>1.480319141124645</v>
      </c>
      <c r="P259" s="10">
        <v>52</v>
      </c>
      <c r="Q259" s="1">
        <f t="shared" si="24"/>
        <v>1</v>
      </c>
      <c r="R259" s="10">
        <v>11</v>
      </c>
      <c r="S259" s="10">
        <v>56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1262000</v>
      </c>
      <c r="N260" s="6">
        <f t="shared" si="22"/>
        <v>1</v>
      </c>
      <c r="O260" s="9">
        <f t="shared" si="23"/>
        <v>1.0230902278747547</v>
      </c>
      <c r="P260" s="10">
        <v>3</v>
      </c>
      <c r="Q260" s="1">
        <f t="shared" si="24"/>
        <v>1</v>
      </c>
      <c r="R260" s="10">
        <v>8</v>
      </c>
      <c r="S260" s="10">
        <v>2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10190000</v>
      </c>
      <c r="N261" s="6">
        <f t="shared" si="22"/>
        <v>1</v>
      </c>
      <c r="O261" s="9">
        <f t="shared" si="23"/>
        <v>1.6160308953964131</v>
      </c>
      <c r="P261" s="10">
        <v>1</v>
      </c>
      <c r="Q261" s="1">
        <f t="shared" si="24"/>
        <v>0</v>
      </c>
      <c r="R261" s="10">
        <v>14</v>
      </c>
      <c r="S261" s="10">
        <v>1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5</v>
      </c>
      <c r="Q262" s="1">
        <f t="shared" si="24"/>
        <v>1</v>
      </c>
      <c r="R262" s="10">
        <v>13</v>
      </c>
      <c r="S262" s="10">
        <v>4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4669000</v>
      </c>
      <c r="N263" s="6">
        <f t="shared" si="22"/>
        <v>1</v>
      </c>
      <c r="O263" s="9">
        <f t="shared" si="23"/>
        <v>1.567221513902062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5433500</v>
      </c>
      <c r="N264" s="6">
        <f t="shared" si="22"/>
        <v>1</v>
      </c>
      <c r="O264" s="9">
        <f t="shared" si="23"/>
        <v>0.93676060773805303</v>
      </c>
      <c r="P264" s="10">
        <v>1</v>
      </c>
      <c r="Q264" s="1">
        <f t="shared" si="24"/>
        <v>0</v>
      </c>
      <c r="R264" s="10">
        <v>11</v>
      </c>
      <c r="S264" s="10">
        <v>1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1696500</v>
      </c>
      <c r="N265" s="6">
        <f t="shared" si="22"/>
        <v>1</v>
      </c>
      <c r="O265" s="9">
        <f t="shared" si="23"/>
        <v>4.9962552685718441E-2</v>
      </c>
      <c r="P265" s="10">
        <v>1</v>
      </c>
      <c r="Q265" s="1">
        <f t="shared" si="24"/>
        <v>0</v>
      </c>
      <c r="R265" s="10">
        <v>10</v>
      </c>
      <c r="S265" s="10">
        <v>1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6186500</v>
      </c>
      <c r="N266" s="6">
        <f t="shared" si="22"/>
        <v>1</v>
      </c>
      <c r="O266" s="9">
        <f t="shared" si="23"/>
        <v>0.52293046309174218</v>
      </c>
      <c r="P266" s="10">
        <v>19</v>
      </c>
      <c r="Q266" s="1">
        <f t="shared" si="24"/>
        <v>1</v>
      </c>
      <c r="R266" s="10">
        <v>8</v>
      </c>
      <c r="S266" s="10">
        <v>19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2982500</v>
      </c>
      <c r="N268" s="6">
        <f t="shared" si="22"/>
        <v>1</v>
      </c>
      <c r="O268" s="9">
        <f t="shared" si="23"/>
        <v>0.17914426581558227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3035000</v>
      </c>
      <c r="N269" s="6">
        <f t="shared" si="22"/>
        <v>1</v>
      </c>
      <c r="O269" s="9">
        <f t="shared" si="23"/>
        <v>0.50215400573516122</v>
      </c>
      <c r="P269" s="10">
        <v>1</v>
      </c>
      <c r="Q269" s="1">
        <f t="shared" si="24"/>
        <v>0</v>
      </c>
      <c r="R269" s="10">
        <v>7</v>
      </c>
      <c r="S269" s="10">
        <v>1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2350000</v>
      </c>
      <c r="N271" s="6">
        <f t="shared" si="22"/>
        <v>1</v>
      </c>
      <c r="O271" s="9">
        <f t="shared" si="23"/>
        <v>0.32588005455639818</v>
      </c>
      <c r="P271" s="10">
        <v>51</v>
      </c>
      <c r="Q271" s="1">
        <f t="shared" si="24"/>
        <v>1</v>
      </c>
      <c r="R271" s="10">
        <v>10</v>
      </c>
      <c r="S271" s="10">
        <v>51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8</v>
      </c>
      <c r="J273" s="1">
        <f t="shared" si="20"/>
        <v>1</v>
      </c>
      <c r="K273" s="5">
        <f t="shared" si="21"/>
        <v>1.4802359141673933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10</v>
      </c>
      <c r="Q273" s="1">
        <f t="shared" si="24"/>
        <v>1</v>
      </c>
      <c r="R273" s="10">
        <v>8</v>
      </c>
      <c r="S273" s="10">
        <v>5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3</v>
      </c>
      <c r="J274" s="1">
        <f t="shared" si="20"/>
        <v>1</v>
      </c>
      <c r="K274" s="5">
        <f t="shared" si="21"/>
        <v>0.22550469004893939</v>
      </c>
      <c r="L274" s="2">
        <v>1233517.793070439</v>
      </c>
      <c r="M274" s="2">
        <v>1930000</v>
      </c>
      <c r="N274" s="6">
        <f t="shared" si="22"/>
        <v>1</v>
      </c>
      <c r="O274" s="9">
        <f t="shared" si="23"/>
        <v>1.5646308556246249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1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7</v>
      </c>
      <c r="J275" s="4">
        <f t="shared" si="20"/>
        <v>1</v>
      </c>
      <c r="K275" s="5">
        <f t="shared" si="21"/>
        <v>0.14000000000000001</v>
      </c>
      <c r="L275" s="2">
        <v>23626053.564346101</v>
      </c>
      <c r="M275" s="2">
        <v>6914000</v>
      </c>
      <c r="N275" s="6">
        <f t="shared" si="22"/>
        <v>1</v>
      </c>
      <c r="O275" s="9">
        <f t="shared" si="23"/>
        <v>0.29264303414743226</v>
      </c>
      <c r="P275" s="10">
        <v>2</v>
      </c>
      <c r="Q275" s="1">
        <f t="shared" si="24"/>
        <v>0</v>
      </c>
      <c r="R275" s="10">
        <v>38</v>
      </c>
      <c r="S275" s="10">
        <v>1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9</v>
      </c>
      <c r="J276" s="1">
        <f t="shared" si="20"/>
        <v>1</v>
      </c>
      <c r="K276" s="5">
        <f t="shared" si="21"/>
        <v>1.5463178746213027</v>
      </c>
      <c r="L276" s="2">
        <v>1233517.793070439</v>
      </c>
      <c r="M276" s="2">
        <v>1076000</v>
      </c>
      <c r="N276" s="6">
        <f t="shared" si="22"/>
        <v>1</v>
      </c>
      <c r="O276" s="9">
        <f t="shared" si="23"/>
        <v>0.87230196924979087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8</v>
      </c>
      <c r="J277" s="4">
        <f t="shared" si="20"/>
        <v>1</v>
      </c>
      <c r="K277" s="5">
        <f t="shared" si="21"/>
        <v>1.5394453507340917</v>
      </c>
      <c r="L277" s="2">
        <v>1233517.793070439</v>
      </c>
      <c r="M277" s="2">
        <v>1729000</v>
      </c>
      <c r="N277" s="6">
        <f t="shared" si="22"/>
        <v>1</v>
      </c>
      <c r="O277" s="9">
        <f t="shared" si="23"/>
        <v>1.401682253562164</v>
      </c>
      <c r="P277" s="10">
        <v>10</v>
      </c>
      <c r="Q277" s="1">
        <f t="shared" si="24"/>
        <v>1</v>
      </c>
      <c r="R277" s="10">
        <v>8</v>
      </c>
      <c r="S277" s="10">
        <v>5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873600</v>
      </c>
      <c r="N279" s="6">
        <f t="shared" si="22"/>
        <v>1</v>
      </c>
      <c r="O279" s="9">
        <f t="shared" si="23"/>
        <v>0.7082184017998302</v>
      </c>
      <c r="P279" s="10">
        <v>20</v>
      </c>
      <c r="Q279" s="1">
        <f t="shared" si="24"/>
        <v>1</v>
      </c>
      <c r="R279" s="10">
        <v>10</v>
      </c>
      <c r="S279" s="10">
        <v>20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840000</v>
      </c>
      <c r="N280" s="6">
        <f t="shared" si="22"/>
        <v>1</v>
      </c>
      <c r="O280" s="9">
        <f t="shared" si="23"/>
        <v>0.68097923249983672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840000</v>
      </c>
      <c r="N281" s="6">
        <f t="shared" si="22"/>
        <v>1</v>
      </c>
      <c r="O281" s="9">
        <f t="shared" si="23"/>
        <v>0.32947921380673095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820000</v>
      </c>
      <c r="N282" s="6">
        <f t="shared" si="22"/>
        <v>1</v>
      </c>
      <c r="O282" s="9">
        <f t="shared" si="23"/>
        <v>4.1246128019732146E-2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3785200</v>
      </c>
      <c r="N283" s="6">
        <f t="shared" si="22"/>
        <v>1</v>
      </c>
      <c r="O283" s="9">
        <f t="shared" si="23"/>
        <v>3.0686221319742644</v>
      </c>
      <c r="P283" s="10">
        <v>1</v>
      </c>
      <c r="Q283" s="1">
        <f t="shared" si="24"/>
        <v>0</v>
      </c>
      <c r="R283" s="10">
        <v>9</v>
      </c>
      <c r="S283" s="10">
        <v>1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1918800</v>
      </c>
      <c r="N284" s="6">
        <f t="shared" ref="N284:N315" si="27">IF(M284&gt;=300000,1,0)</f>
        <v>1</v>
      </c>
      <c r="O284" s="9">
        <f t="shared" ref="O284:O315" si="28">M284/L284</f>
        <v>0.31882125213803203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1549200</v>
      </c>
      <c r="N285" s="6">
        <f t="shared" si="27"/>
        <v>1</v>
      </c>
      <c r="O285" s="9">
        <f t="shared" si="28"/>
        <v>5.1639999999999997</v>
      </c>
      <c r="P285" s="10">
        <v>20</v>
      </c>
      <c r="Q285" s="1">
        <f t="shared" si="29"/>
        <v>1</v>
      </c>
      <c r="R285" s="10">
        <v>5</v>
      </c>
      <c r="S285" s="10">
        <v>20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4607500</v>
      </c>
      <c r="N286" s="6">
        <f t="shared" si="27"/>
        <v>1</v>
      </c>
      <c r="O286" s="9">
        <f t="shared" si="28"/>
        <v>2.1344887499041101</v>
      </c>
      <c r="P286" s="10">
        <v>1</v>
      </c>
      <c r="Q286" s="1">
        <f t="shared" si="29"/>
        <v>0</v>
      </c>
      <c r="R286" s="10">
        <v>11</v>
      </c>
      <c r="S286" s="10">
        <v>1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7595000</v>
      </c>
      <c r="N287" s="6">
        <f t="shared" si="27"/>
        <v>1</v>
      </c>
      <c r="O287" s="9">
        <f t="shared" si="28"/>
        <v>3.5184898655500203</v>
      </c>
      <c r="P287" s="10">
        <v>4</v>
      </c>
      <c r="Q287" s="1">
        <f t="shared" si="29"/>
        <v>1</v>
      </c>
      <c r="R287" s="10">
        <v>11</v>
      </c>
      <c r="S287" s="10">
        <v>4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9267500</v>
      </c>
      <c r="N288" s="6">
        <f t="shared" si="27"/>
        <v>1</v>
      </c>
      <c r="O288" s="9">
        <f t="shared" si="28"/>
        <v>4.2932988583258478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3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9</v>
      </c>
      <c r="Q290" s="1">
        <f t="shared" si="29"/>
        <v>1</v>
      </c>
      <c r="R290" s="10">
        <v>11</v>
      </c>
      <c r="S290" s="10">
        <v>8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2819000</v>
      </c>
      <c r="N291" s="6">
        <f t="shared" si="27"/>
        <v>1</v>
      </c>
      <c r="O291" s="9">
        <f t="shared" si="28"/>
        <v>0.41296292129634177</v>
      </c>
      <c r="P291" s="10">
        <v>3</v>
      </c>
      <c r="Q291" s="1">
        <f t="shared" si="29"/>
        <v>1</v>
      </c>
      <c r="R291" s="10">
        <v>9</v>
      </c>
      <c r="S291" s="10">
        <v>5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10253000</v>
      </c>
      <c r="N292" s="6">
        <f t="shared" si="27"/>
        <v>1</v>
      </c>
      <c r="O292" s="9">
        <f t="shared" si="28"/>
        <v>4.7664977154465618</v>
      </c>
      <c r="P292" s="10">
        <v>1</v>
      </c>
      <c r="Q292" s="1">
        <f t="shared" si="29"/>
        <v>0</v>
      </c>
      <c r="R292" s="10">
        <v>8</v>
      </c>
      <c r="S292" s="10">
        <v>1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6640000</v>
      </c>
      <c r="N293" s="6">
        <f t="shared" si="27"/>
        <v>1</v>
      </c>
      <c r="O293" s="9">
        <f t="shared" si="28"/>
        <v>3.159380339271793</v>
      </c>
      <c r="P293" s="10">
        <v>27</v>
      </c>
      <c r="Q293" s="1">
        <f t="shared" si="29"/>
        <v>1</v>
      </c>
      <c r="R293" s="10">
        <v>7</v>
      </c>
      <c r="S293" s="10">
        <v>23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2350000</v>
      </c>
      <c r="N294" s="6">
        <f t="shared" si="27"/>
        <v>1</v>
      </c>
      <c r="O294" s="9">
        <f t="shared" si="28"/>
        <v>0.17318576656822704</v>
      </c>
      <c r="P294" s="10">
        <v>101</v>
      </c>
      <c r="Q294" s="1">
        <f t="shared" si="29"/>
        <v>1</v>
      </c>
      <c r="R294" s="10">
        <v>12</v>
      </c>
      <c r="S294" s="10">
        <v>101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44</v>
      </c>
      <c r="J296" s="4">
        <f t="shared" si="25"/>
        <v>1</v>
      </c>
      <c r="K296" s="5">
        <f t="shared" si="26"/>
        <v>8.1412975279206634</v>
      </c>
      <c r="L296" s="2">
        <v>1233517.793070439</v>
      </c>
      <c r="M296" s="2">
        <v>5985000</v>
      </c>
      <c r="N296" s="6">
        <f t="shared" si="27"/>
        <v>1</v>
      </c>
      <c r="O296" s="9">
        <f t="shared" si="28"/>
        <v>4.8519770315613364</v>
      </c>
      <c r="P296" s="10">
        <v>5</v>
      </c>
      <c r="Q296" s="1">
        <f t="shared" si="29"/>
        <v>1</v>
      </c>
      <c r="R296" s="10">
        <v>8</v>
      </c>
      <c r="S296" s="10">
        <v>6</v>
      </c>
      <c r="T296" s="10">
        <v>0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1231000</v>
      </c>
      <c r="N297" s="6">
        <f t="shared" si="27"/>
        <v>1</v>
      </c>
      <c r="O297" s="9">
        <f t="shared" si="28"/>
        <v>0.99795885143726071</v>
      </c>
      <c r="P297" s="10">
        <v>34</v>
      </c>
      <c r="Q297" s="1">
        <f t="shared" si="29"/>
        <v>1</v>
      </c>
      <c r="R297" s="10">
        <v>7</v>
      </c>
      <c r="S297" s="10">
        <v>31</v>
      </c>
      <c r="T297" s="10">
        <v>0</v>
      </c>
      <c r="U297" s="3">
        <v>1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3</v>
      </c>
      <c r="J298" s="1">
        <f t="shared" si="25"/>
        <v>1</v>
      </c>
      <c r="K298" s="5">
        <f t="shared" si="26"/>
        <v>0.49766552286662519</v>
      </c>
      <c r="L298" s="2">
        <v>19880654</v>
      </c>
      <c r="M298" s="2">
        <v>5460000</v>
      </c>
      <c r="N298" s="6">
        <f t="shared" si="27"/>
        <v>1</v>
      </c>
      <c r="O298" s="9">
        <f t="shared" si="28"/>
        <v>0.27463885242407016</v>
      </c>
      <c r="P298" s="10">
        <v>1</v>
      </c>
      <c r="Q298" s="1">
        <f t="shared" si="29"/>
        <v>0</v>
      </c>
      <c r="R298" s="10">
        <v>9</v>
      </c>
      <c r="S298" s="10">
        <v>1</v>
      </c>
      <c r="T298" s="10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1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9053000</v>
      </c>
      <c r="N301" s="6">
        <f t="shared" si="27"/>
        <v>1</v>
      </c>
      <c r="O301" s="9">
        <f t="shared" si="28"/>
        <v>1.0816134563721806</v>
      </c>
      <c r="P301" s="10">
        <v>1</v>
      </c>
      <c r="Q301" s="1">
        <f t="shared" si="29"/>
        <v>0</v>
      </c>
      <c r="R301" s="10">
        <v>9</v>
      </c>
      <c r="S301" s="10">
        <v>1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6806500</v>
      </c>
      <c r="N302" s="6">
        <f t="shared" si="27"/>
        <v>1</v>
      </c>
      <c r="O302" s="9">
        <f t="shared" si="28"/>
        <v>1.0727522206947409</v>
      </c>
      <c r="P302" s="10">
        <v>9</v>
      </c>
      <c r="Q302" s="1">
        <f t="shared" si="29"/>
        <v>1</v>
      </c>
      <c r="R302" s="10">
        <v>8</v>
      </c>
      <c r="S302" s="10">
        <v>11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2350000</v>
      </c>
      <c r="N307" s="6">
        <f t="shared" si="27"/>
        <v>1</v>
      </c>
      <c r="O307" s="9">
        <f t="shared" si="28"/>
        <v>0.172528272490035</v>
      </c>
      <c r="P307" s="10">
        <v>1</v>
      </c>
      <c r="Q307" s="1">
        <f t="shared" si="29"/>
        <v>0</v>
      </c>
      <c r="R307" s="10">
        <v>12</v>
      </c>
      <c r="S307" s="10">
        <v>1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13</v>
      </c>
      <c r="J308" s="1">
        <f t="shared" si="25"/>
        <v>1</v>
      </c>
      <c r="K308" s="5">
        <f t="shared" si="26"/>
        <v>4.333333333333333</v>
      </c>
      <c r="L308" s="2">
        <v>1233517.793070439</v>
      </c>
      <c r="M308" s="2">
        <v>1350000</v>
      </c>
      <c r="N308" s="6">
        <f t="shared" si="27"/>
        <v>1</v>
      </c>
      <c r="O308" s="9">
        <f t="shared" si="28"/>
        <v>1.0944309093747375</v>
      </c>
      <c r="P308" s="10">
        <v>6</v>
      </c>
      <c r="Q308" s="1">
        <f t="shared" si="29"/>
        <v>1</v>
      </c>
      <c r="R308" s="10">
        <v>5</v>
      </c>
      <c r="S308" s="10">
        <v>5</v>
      </c>
      <c r="T308" s="10">
        <v>0</v>
      </c>
      <c r="U308" s="3">
        <v>0</v>
      </c>
      <c r="V308" s="3">
        <v>0</v>
      </c>
      <c r="W308" s="3">
        <v>0</v>
      </c>
      <c r="X308" s="3">
        <v>1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4</v>
      </c>
      <c r="J309" s="4">
        <f t="shared" si="25"/>
        <v>1</v>
      </c>
      <c r="K309" s="5">
        <f t="shared" si="26"/>
        <v>0.68725238872057892</v>
      </c>
      <c r="L309" s="2">
        <v>1233517.793070439</v>
      </c>
      <c r="M309" s="2">
        <v>790000</v>
      </c>
      <c r="N309" s="6">
        <f t="shared" si="27"/>
        <v>1</v>
      </c>
      <c r="O309" s="9">
        <f t="shared" si="28"/>
        <v>0.64044475437484649</v>
      </c>
      <c r="P309" s="10">
        <v>4</v>
      </c>
      <c r="Q309" s="1">
        <f t="shared" si="29"/>
        <v>1</v>
      </c>
      <c r="R309" s="10">
        <v>8</v>
      </c>
      <c r="S309" s="10">
        <v>4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5</v>
      </c>
      <c r="Q310" s="1">
        <f t="shared" si="29"/>
        <v>1</v>
      </c>
      <c r="R310" s="10">
        <v>8</v>
      </c>
      <c r="S310" s="10">
        <v>6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8</v>
      </c>
      <c r="J311" s="1">
        <f t="shared" si="25"/>
        <v>1</v>
      </c>
      <c r="K311" s="5">
        <f t="shared" si="26"/>
        <v>1.5394453507340917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10</v>
      </c>
      <c r="Q311" s="1">
        <f t="shared" si="29"/>
        <v>1</v>
      </c>
      <c r="R311" s="10">
        <v>8</v>
      </c>
      <c r="S311" s="10">
        <v>5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5</v>
      </c>
      <c r="Q312" s="1">
        <f t="shared" si="29"/>
        <v>1</v>
      </c>
      <c r="R312" s="10">
        <v>7</v>
      </c>
      <c r="S312" s="10">
        <v>5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8</v>
      </c>
      <c r="J313" s="4">
        <f t="shared" si="25"/>
        <v>1</v>
      </c>
      <c r="K313" s="5">
        <f t="shared" si="26"/>
        <v>1.6</v>
      </c>
      <c r="L313" s="2">
        <v>1233517.793070439</v>
      </c>
      <c r="M313" s="2">
        <v>2940000</v>
      </c>
      <c r="N313" s="6">
        <f t="shared" si="27"/>
        <v>1</v>
      </c>
      <c r="O313" s="9">
        <f t="shared" si="28"/>
        <v>2.3834273137494284</v>
      </c>
      <c r="P313" s="10">
        <v>10</v>
      </c>
      <c r="Q313" s="1">
        <f t="shared" si="29"/>
        <v>1</v>
      </c>
      <c r="R313" s="10">
        <v>7</v>
      </c>
      <c r="S313" s="10">
        <v>5</v>
      </c>
      <c r="T313" s="10">
        <v>0</v>
      </c>
      <c r="U313" s="3">
        <v>0</v>
      </c>
      <c r="V313" s="3">
        <v>0</v>
      </c>
      <c r="W313" s="3">
        <v>0</v>
      </c>
      <c r="X313" s="3">
        <v>1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28</v>
      </c>
      <c r="J314" s="1">
        <f t="shared" si="25"/>
        <v>1</v>
      </c>
      <c r="K314" s="5">
        <f t="shared" si="26"/>
        <v>3.7417074497009124</v>
      </c>
      <c r="L314" s="2">
        <v>1233517.793070439</v>
      </c>
      <c r="M314" s="2">
        <v>840000</v>
      </c>
      <c r="N314" s="6">
        <f t="shared" si="27"/>
        <v>1</v>
      </c>
      <c r="O314" s="9">
        <f t="shared" si="28"/>
        <v>0.68097923249983672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5611000</v>
      </c>
      <c r="N315" s="6">
        <f t="shared" si="27"/>
        <v>1</v>
      </c>
      <c r="O315" s="9">
        <f t="shared" si="28"/>
        <v>1.9590413537272959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4115000</v>
      </c>
      <c r="N316" s="6">
        <f t="shared" ref="N316:N325" si="32">IF(M316&gt;=300000,1,0)</f>
        <v>1</v>
      </c>
      <c r="O316" s="9">
        <f t="shared" ref="O316:O325" si="33">M316/L316</f>
        <v>1.02927846102066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1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1740000</v>
      </c>
      <c r="N317" s="6">
        <f t="shared" si="32"/>
        <v>1</v>
      </c>
      <c r="O317" s="9">
        <f t="shared" si="33"/>
        <v>0.80607931086991902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1765000</v>
      </c>
      <c r="N318" s="6">
        <f t="shared" si="32"/>
        <v>1</v>
      </c>
      <c r="O318" s="9">
        <f t="shared" si="33"/>
        <v>1.0459586573730475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3672500</v>
      </c>
      <c r="N319" s="6">
        <f t="shared" si="32"/>
        <v>1</v>
      </c>
      <c r="O319" s="9">
        <f t="shared" si="33"/>
        <v>1.7013369363044699</v>
      </c>
      <c r="P319" s="10">
        <v>100</v>
      </c>
      <c r="Q319" s="1">
        <f t="shared" si="34"/>
        <v>1</v>
      </c>
      <c r="R319" s="10">
        <v>11</v>
      </c>
      <c r="S319" s="10">
        <v>100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9213500</v>
      </c>
      <c r="N320" s="6">
        <f t="shared" si="32"/>
        <v>1</v>
      </c>
      <c r="O320" s="9">
        <f t="shared" si="33"/>
        <v>4.2682826038505741</v>
      </c>
      <c r="P320" s="10">
        <v>100</v>
      </c>
      <c r="Q320" s="1">
        <f t="shared" si="34"/>
        <v>1</v>
      </c>
      <c r="R320" s="10">
        <v>11</v>
      </c>
      <c r="S320" s="10">
        <v>100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3062500</v>
      </c>
      <c r="N321" s="6">
        <f t="shared" si="32"/>
        <v>1</v>
      </c>
      <c r="O321" s="9">
        <f t="shared" si="33"/>
        <v>1.1745051213631994</v>
      </c>
      <c r="P321" s="10">
        <v>2</v>
      </c>
      <c r="Q321" s="1">
        <f t="shared" si="34"/>
        <v>0</v>
      </c>
      <c r="R321" s="10">
        <v>9</v>
      </c>
      <c r="S321" s="10">
        <v>2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8</v>
      </c>
      <c r="J322" s="4">
        <f t="shared" si="30"/>
        <v>1</v>
      </c>
      <c r="K322" s="5">
        <f t="shared" si="31"/>
        <v>1.6</v>
      </c>
      <c r="L322" s="2">
        <v>1233517.793070439</v>
      </c>
      <c r="M322" s="2">
        <v>2493000</v>
      </c>
      <c r="N322" s="6">
        <f t="shared" si="32"/>
        <v>1</v>
      </c>
      <c r="O322" s="9">
        <f t="shared" si="33"/>
        <v>2.0210490793120153</v>
      </c>
      <c r="P322" s="10">
        <v>13</v>
      </c>
      <c r="Q322" s="1">
        <f t="shared" si="34"/>
        <v>1</v>
      </c>
      <c r="R322" s="10">
        <v>7</v>
      </c>
      <c r="S322" s="10">
        <v>8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8</v>
      </c>
      <c r="J323" s="4">
        <f t="shared" si="30"/>
        <v>1</v>
      </c>
      <c r="K323" s="5">
        <f t="shared" si="31"/>
        <v>1.6</v>
      </c>
      <c r="L323" s="2">
        <v>1233517.793070439</v>
      </c>
      <c r="M323" s="2">
        <v>3700000</v>
      </c>
      <c r="N323" s="6">
        <f t="shared" si="32"/>
        <v>1</v>
      </c>
      <c r="O323" s="9">
        <f t="shared" si="33"/>
        <v>2.9995513812492809</v>
      </c>
      <c r="P323" s="10">
        <v>26</v>
      </c>
      <c r="Q323" s="1">
        <f t="shared" si="34"/>
        <v>1</v>
      </c>
      <c r="R323" s="10">
        <v>7</v>
      </c>
      <c r="S323" s="10">
        <v>21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1219000</v>
      </c>
      <c r="N324" s="6">
        <f t="shared" si="32"/>
        <v>1</v>
      </c>
      <c r="O324" s="9">
        <f t="shared" si="33"/>
        <v>0.98823057668726311</v>
      </c>
      <c r="P324" s="10">
        <v>3</v>
      </c>
      <c r="Q324" s="1">
        <f t="shared" si="34"/>
        <v>1</v>
      </c>
      <c r="R324" s="10">
        <v>5</v>
      </c>
      <c r="S324" s="10">
        <v>3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12</v>
      </c>
      <c r="J326" s="4">
        <f t="shared" ref="J326:J338" si="35">IF(I326&gt;=3,1,0)</f>
        <v>1</v>
      </c>
      <c r="K326" s="5">
        <f t="shared" ref="K326:K338" si="36">I326/H326</f>
        <v>1.1781469520924179</v>
      </c>
      <c r="L326" s="2">
        <v>1233517.793070439</v>
      </c>
      <c r="M326" s="2">
        <v>2054400</v>
      </c>
      <c r="N326" s="6">
        <f t="shared" ref="N326:N338" si="37">IF(M326&gt;=300000,1,0)</f>
        <v>1</v>
      </c>
      <c r="O326" s="9">
        <f t="shared" ref="O326:O338" si="38">M326/L326</f>
        <v>1.6654806371996007</v>
      </c>
      <c r="P326" s="10">
        <v>7</v>
      </c>
      <c r="Q326" s="1">
        <f t="shared" ref="Q326:Q338" si="39">IF(P326&gt;=3,1,0)</f>
        <v>1</v>
      </c>
      <c r="R326" s="10">
        <v>13</v>
      </c>
      <c r="S326" s="10">
        <v>6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1</v>
      </c>
      <c r="J328" s="4">
        <f t="shared" si="35"/>
        <v>0</v>
      </c>
      <c r="K328" s="5">
        <f t="shared" si="36"/>
        <v>0.20916377048017587</v>
      </c>
      <c r="L328" s="2">
        <v>1233517.793070439</v>
      </c>
      <c r="M328" s="2">
        <v>662000</v>
      </c>
      <c r="N328" s="6">
        <f t="shared" si="37"/>
        <v>1</v>
      </c>
      <c r="O328" s="9">
        <f t="shared" si="38"/>
        <v>0.53667649037487131</v>
      </c>
      <c r="P328" s="10">
        <v>20</v>
      </c>
      <c r="Q328" s="1">
        <f t="shared" si="39"/>
        <v>1</v>
      </c>
      <c r="R328" s="10">
        <v>7</v>
      </c>
      <c r="S328" s="10">
        <v>20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1</v>
      </c>
      <c r="J329" s="4">
        <f t="shared" si="35"/>
        <v>0</v>
      </c>
      <c r="K329" s="5">
        <f t="shared" si="36"/>
        <v>0.37005897854184955</v>
      </c>
      <c r="L329" s="2">
        <v>300000</v>
      </c>
      <c r="M329" s="2">
        <v>656000</v>
      </c>
      <c r="N329" s="6">
        <f t="shared" si="37"/>
        <v>1</v>
      </c>
      <c r="O329" s="9">
        <f t="shared" si="38"/>
        <v>2.1866666666666665</v>
      </c>
      <c r="P329" s="10">
        <v>15</v>
      </c>
      <c r="Q329" s="1">
        <f t="shared" si="39"/>
        <v>1</v>
      </c>
      <c r="R329" s="10">
        <v>5</v>
      </c>
      <c r="S329" s="10">
        <v>15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1</v>
      </c>
      <c r="J330" s="1">
        <f t="shared" si="35"/>
        <v>0</v>
      </c>
      <c r="K330" s="5">
        <f t="shared" si="36"/>
        <v>0.2</v>
      </c>
      <c r="L330" s="2">
        <v>3486028.5456338399</v>
      </c>
      <c r="M330" s="2">
        <v>1457000</v>
      </c>
      <c r="N330" s="6">
        <f t="shared" si="37"/>
        <v>1</v>
      </c>
      <c r="O330" s="9">
        <f t="shared" si="38"/>
        <v>0.4179541219835548</v>
      </c>
      <c r="P330" s="10">
        <v>3</v>
      </c>
      <c r="Q330" s="1">
        <f t="shared" si="39"/>
        <v>1</v>
      </c>
      <c r="R330" s="10">
        <v>7</v>
      </c>
      <c r="S330" s="10">
        <v>3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3</v>
      </c>
      <c r="J332" s="4">
        <f t="shared" si="35"/>
        <v>1</v>
      </c>
      <c r="K332" s="5">
        <f t="shared" si="36"/>
        <v>0.90201876019575788</v>
      </c>
      <c r="L332" s="2">
        <v>2549477.9785796599</v>
      </c>
      <c r="M332" s="2">
        <v>1932000</v>
      </c>
      <c r="N332" s="6">
        <f t="shared" si="37"/>
        <v>1</v>
      </c>
      <c r="O332" s="9">
        <f t="shared" si="38"/>
        <v>0.75780219175548114</v>
      </c>
      <c r="P332" s="10">
        <v>2</v>
      </c>
      <c r="Q332" s="1">
        <f t="shared" si="39"/>
        <v>0</v>
      </c>
      <c r="R332" s="10">
        <v>6</v>
      </c>
      <c r="S332" s="10">
        <v>3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711000</v>
      </c>
      <c r="N333" s="6">
        <f t="shared" si="37"/>
        <v>1</v>
      </c>
      <c r="O333" s="9">
        <f t="shared" si="38"/>
        <v>0.57640027893736179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64</v>
      </c>
      <c r="J334" s="4">
        <f t="shared" si="35"/>
        <v>1</v>
      </c>
      <c r="K334" s="5">
        <f t="shared" si="36"/>
        <v>21.333333333333332</v>
      </c>
      <c r="L334" s="2">
        <v>1233517.793070439</v>
      </c>
      <c r="M334" s="2">
        <v>5849000</v>
      </c>
      <c r="N334" s="6">
        <f t="shared" si="37"/>
        <v>1</v>
      </c>
      <c r="O334" s="9">
        <f t="shared" si="38"/>
        <v>4.7417232510613632</v>
      </c>
      <c r="P334" s="10">
        <v>10</v>
      </c>
      <c r="Q334" s="1">
        <f t="shared" si="39"/>
        <v>1</v>
      </c>
      <c r="R334" s="10">
        <v>5</v>
      </c>
      <c r="S334" s="10">
        <v>5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8620600</v>
      </c>
      <c r="N335" s="6">
        <f t="shared" si="37"/>
        <v>1</v>
      </c>
      <c r="O335" s="9">
        <f t="shared" si="38"/>
        <v>0.43361752586207675</v>
      </c>
      <c r="P335" s="10">
        <v>5</v>
      </c>
      <c r="Q335" s="1">
        <f t="shared" si="39"/>
        <v>1</v>
      </c>
      <c r="R335" s="10">
        <v>5</v>
      </c>
      <c r="S335" s="10">
        <v>5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1</v>
      </c>
      <c r="J336" s="1">
        <f t="shared" si="35"/>
        <v>0</v>
      </c>
      <c r="K336" s="5">
        <f t="shared" si="36"/>
        <v>0.37005897854184955</v>
      </c>
      <c r="L336" s="2">
        <v>3485404.9269315852</v>
      </c>
      <c r="M336" s="2">
        <v>1532000</v>
      </c>
      <c r="N336" s="6">
        <f t="shared" si="37"/>
        <v>1</v>
      </c>
      <c r="O336" s="9">
        <f t="shared" si="38"/>
        <v>0.43954720674269349</v>
      </c>
      <c r="P336" s="10">
        <v>1</v>
      </c>
      <c r="Q336" s="1">
        <f t="shared" si="39"/>
        <v>0</v>
      </c>
      <c r="R336" s="10">
        <v>5</v>
      </c>
      <c r="S336" s="10">
        <v>1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I6:Z6 T7:Z328 S7:S338 I7:I338 M7:M338 P7:P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2026-09-02T11:09:26Z</dcterms:modified>
</cp:coreProperties>
</file>