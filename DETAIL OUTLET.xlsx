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<sst xmlns="http://schemas.openxmlformats.org/spreadsheetml/2006/main" count="2058" uniqueCount="480">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</sst>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3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3</v>
      </c>
      <c r="Q52" s="1">
        <f t="shared" si="4"/>
        <v>1</v>
      </c>
      <c r="R52" s="18">
        <v>7</v>
      </c>
      <c r="S52" s="18">
        <v>3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v>1</v>
      </c>
      <c r="Q60" s="1">
        <f t="shared" si="4"/>
        <v>0</v>
      </c>
      <c r="R60" s="18">
        <v>7</v>
      </c>
      <c r="S60" s="18">
        <v>2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2</v>
      </c>
      <c r="Q65" s="1">
        <f t="shared" si="4"/>
        <v>0</v>
      </c>
      <c r="R65" s="18">
        <v>6</v>
      </c>
      <c r="S65" s="18">
        <v>2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v>3</v>
      </c>
      <c r="Q68" s="1">
        <f t="shared" si="4"/>
        <v>1</v>
      </c>
      <c r="R68" s="18">
        <v>11</v>
      </c>
      <c r="S68" s="18">
        <v>3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91" si="5">IF(I70&gt;=3,1,0)</f>
        <v>1</v>
      </c>
      <c r="K70" s="5">
        <f t="shared" ref="K70:K91" si="6">I70/H70</f>
        <v>0.44003595274781732</v>
      </c>
      <c r="L70" s="2">
        <v>2473533.999338889</v>
      </c>
      <c r="M70" s="2">
        <v>3464000</v>
      </c>
      <c r="N70" s="6">
        <f t="shared" ref="N70:N91" si="7">IF(M70&gt;=300000,1,0)</f>
        <v>1</v>
      </c>
      <c r="O70" s="17">
        <f t="shared" ref="O70:O91" si="8">M70/L70</f>
        <v>1.4004254645078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5"/>
        <v>1</v>
      </c>
      <c r="K71" s="5">
        <f t="shared" si="6"/>
        <v>0.46099004573580871</v>
      </c>
      <c r="L71" s="2">
        <v>2241909.517693473</v>
      </c>
      <c r="M71" s="2">
        <v>1063000</v>
      </c>
      <c r="N71" s="6">
        <f t="shared" si="7"/>
        <v>1</v>
      </c>
      <c r="O71" s="17">
        <f t="shared" si="8"/>
        <v>0.47414937650723671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5"/>
        <v>1</v>
      </c>
      <c r="K72" s="5">
        <f t="shared" si="6"/>
        <v>0.64538606403013177</v>
      </c>
      <c r="L72" s="2">
        <v>13704268.94349164</v>
      </c>
      <c r="M72" s="2">
        <v>6560000</v>
      </c>
      <c r="N72" s="6">
        <f t="shared" si="7"/>
        <v>1</v>
      </c>
      <c r="O72" s="17">
        <f t="shared" si="8"/>
        <v>0.47868295835769054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5"/>
        <v>1</v>
      </c>
      <c r="K73" s="5">
        <f t="shared" si="6"/>
        <v>0.75</v>
      </c>
      <c r="L73" s="2">
        <v>8662935.1674000528</v>
      </c>
      <c r="M73" s="2">
        <v>564000</v>
      </c>
      <c r="N73" s="6">
        <f t="shared" si="7"/>
        <v>1</v>
      </c>
      <c r="O73" s="17">
        <f t="shared" si="8"/>
        <v>6.5104954510385588E-2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5"/>
        <v>1</v>
      </c>
      <c r="K74" s="5">
        <f t="shared" si="6"/>
        <v>0.75</v>
      </c>
      <c r="L74" s="2">
        <v>5655946.6448297696</v>
      </c>
      <c r="M74" s="2">
        <v>664000</v>
      </c>
      <c r="N74" s="6">
        <f t="shared" si="7"/>
        <v>1</v>
      </c>
      <c r="O74" s="17">
        <f t="shared" si="8"/>
        <v>0.11739856149579798</v>
      </c>
      <c r="P74" s="18">
        <v>1</v>
      </c>
      <c r="Q74" s="1">
        <f t="shared" si="9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1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4</v>
      </c>
      <c r="Q76" s="1">
        <f t="shared" si="9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5"/>
        <v>1</v>
      </c>
      <c r="K78" s="5">
        <f t="shared" si="6"/>
        <v>0.50951531370799918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5"/>
        <v>1</v>
      </c>
      <c r="K84" s="5">
        <f t="shared" si="6"/>
        <v>0.94909715298548725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1</v>
      </c>
      <c r="Q90" s="1">
        <f t="shared" si="9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1</v>
      </c>
      <c r="Q92" s="1">
        <f t="shared" ref="Q92:Q155" si="14">IF(P92&gt;=3,1,0)</f>
        <v>0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0</v>
      </c>
      <c r="T100" s="18">
        <v>1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2730000</v>
      </c>
      <c r="N103" s="6">
        <f t="shared" si="12"/>
        <v>1</v>
      </c>
      <c r="O103" s="17">
        <f t="shared" si="13"/>
        <v>9.214862162017616E-2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547200</v>
      </c>
      <c r="N107" s="6">
        <f t="shared" si="12"/>
        <v>1</v>
      </c>
      <c r="O107" s="17">
        <f t="shared" si="13"/>
        <v>0.44360932859989366</v>
      </c>
      <c r="P107" s="18">
        <v>0</v>
      </c>
      <c r="Q107" s="1">
        <f t="shared" si="14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582000</v>
      </c>
      <c r="N108" s="6">
        <f t="shared" si="12"/>
        <v>1</v>
      </c>
      <c r="O108" s="17">
        <f t="shared" si="13"/>
        <v>0.47182132537488691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582000</v>
      </c>
      <c r="N109" s="6">
        <f t="shared" si="12"/>
        <v>1</v>
      </c>
      <c r="O109" s="17">
        <f t="shared" si="13"/>
        <v>0.47182132537488691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1797000</v>
      </c>
      <c r="N110" s="6">
        <f t="shared" si="12"/>
        <v>1</v>
      </c>
      <c r="O110" s="17">
        <f t="shared" si="13"/>
        <v>1.4568091438121507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1008000</v>
      </c>
      <c r="N111" s="6">
        <f t="shared" si="12"/>
        <v>1</v>
      </c>
      <c r="O111" s="17">
        <f t="shared" si="13"/>
        <v>0.81717507899980413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2584800</v>
      </c>
      <c r="N113" s="6">
        <f t="shared" si="12"/>
        <v>1</v>
      </c>
      <c r="O113" s="17">
        <f t="shared" si="13"/>
        <v>0.78925287796361432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2084400</v>
      </c>
      <c r="N114" s="6">
        <f t="shared" si="12"/>
        <v>1</v>
      </c>
      <c r="O114" s="17">
        <f t="shared" si="13"/>
        <v>9.2788957205967984E-2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3035000</v>
      </c>
      <c r="N115" s="6">
        <f t="shared" si="12"/>
        <v>1</v>
      </c>
      <c r="O115" s="17">
        <f t="shared" si="13"/>
        <v>0.15266097382913058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1819600</v>
      </c>
      <c r="N116" s="6">
        <f t="shared" si="12"/>
        <v>1</v>
      </c>
      <c r="O116" s="17">
        <f t="shared" si="13"/>
        <v>1.4751307279246464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4</v>
      </c>
      <c r="J117" s="4">
        <f t="shared" si="10"/>
        <v>1</v>
      </c>
      <c r="K117" s="5">
        <f t="shared" si="11"/>
        <v>0.13333333333333333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2</v>
      </c>
      <c r="Q117" s="1">
        <f t="shared" si="14"/>
        <v>0</v>
      </c>
      <c r="R117" s="18">
        <v>23</v>
      </c>
      <c r="S117" s="18">
        <v>2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1146000</v>
      </c>
      <c r="N118" s="6">
        <f t="shared" si="12"/>
        <v>1</v>
      </c>
      <c r="O118" s="17">
        <f t="shared" si="13"/>
        <v>3.8682168636161862E-2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722400</v>
      </c>
      <c r="N119" s="6">
        <f t="shared" si="12"/>
        <v>1</v>
      </c>
      <c r="O119" s="17">
        <f t="shared" si="13"/>
        <v>0.27265455745912143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1261400</v>
      </c>
      <c r="N120" s="6">
        <f t="shared" si="12"/>
        <v>1</v>
      </c>
      <c r="O120" s="17">
        <f t="shared" si="13"/>
        <v>6.3448616931817234E-2</v>
      </c>
      <c r="P120" s="18">
        <v>0</v>
      </c>
      <c r="Q120" s="1">
        <f t="shared" si="14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1499200</v>
      </c>
      <c r="N121" s="6">
        <f t="shared" si="12"/>
        <v>1</v>
      </c>
      <c r="O121" s="17">
        <f t="shared" si="13"/>
        <v>6.6738248245628087E-2</v>
      </c>
      <c r="P121" s="18">
        <v>0</v>
      </c>
      <c r="Q121" s="1">
        <f t="shared" si="14"/>
        <v>0</v>
      </c>
      <c r="R121" s="18">
        <v>21</v>
      </c>
      <c r="S121" s="18">
        <v>1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649200</v>
      </c>
      <c r="N123" s="6">
        <f t="shared" si="12"/>
        <v>1</v>
      </c>
      <c r="O123" s="17">
        <f t="shared" si="13"/>
        <v>0.14812474891040178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878400</v>
      </c>
      <c r="N125" s="6">
        <f t="shared" si="12"/>
        <v>1</v>
      </c>
      <c r="O125" s="17">
        <f t="shared" si="13"/>
        <v>0.71210971169982928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3</v>
      </c>
      <c r="J126" s="1">
        <f t="shared" si="10"/>
        <v>1</v>
      </c>
      <c r="K126" s="5">
        <f t="shared" si="11"/>
        <v>0.55508846781277243</v>
      </c>
      <c r="L126" s="2">
        <v>19880654</v>
      </c>
      <c r="M126" s="2">
        <v>5235000</v>
      </c>
      <c r="N126" s="6">
        <f t="shared" si="12"/>
        <v>1</v>
      </c>
      <c r="O126" s="17">
        <f t="shared" si="13"/>
        <v>0.2633213172967046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1532400</v>
      </c>
      <c r="N127" s="6">
        <f t="shared" si="12"/>
        <v>1</v>
      </c>
      <c r="O127" s="17">
        <f t="shared" si="13"/>
        <v>0.25461834833037333</v>
      </c>
      <c r="P127" s="18">
        <v>0</v>
      </c>
      <c r="Q127" s="1">
        <f t="shared" si="14"/>
        <v>0</v>
      </c>
      <c r="R127" s="18">
        <v>5</v>
      </c>
      <c r="S127" s="18">
        <v>0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0</v>
      </c>
      <c r="Q128" s="1">
        <f t="shared" si="14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0</v>
      </c>
      <c r="Q130" s="1">
        <f t="shared" si="14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1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0</v>
      </c>
      <c r="Q133" s="1">
        <f t="shared" si="14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818400</v>
      </c>
      <c r="N134" s="6">
        <f t="shared" si="12"/>
        <v>1</v>
      </c>
      <c r="O134" s="17">
        <f t="shared" si="13"/>
        <v>2.7624334041740719E-2</v>
      </c>
      <c r="P134" s="18">
        <v>5</v>
      </c>
      <c r="Q134" s="1">
        <f t="shared" si="14"/>
        <v>1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672800</v>
      </c>
      <c r="N136" s="6">
        <f t="shared" si="12"/>
        <v>1</v>
      </c>
      <c r="O136" s="17">
        <f t="shared" si="13"/>
        <v>2.9950302441074293E-2</v>
      </c>
      <c r="P136" s="18">
        <v>1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1090000</v>
      </c>
      <c r="N137" s="6">
        <f t="shared" si="12"/>
        <v>1</v>
      </c>
      <c r="O137" s="17">
        <f t="shared" si="13"/>
        <v>0.88365162312478818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1360000</v>
      </c>
      <c r="N140" s="6">
        <f t="shared" si="12"/>
        <v>1</v>
      </c>
      <c r="O140" s="17">
        <f t="shared" si="13"/>
        <v>4.5905540440820354E-2</v>
      </c>
      <c r="P140" s="18">
        <v>0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2</v>
      </c>
      <c r="Q144" s="1">
        <f t="shared" si="14"/>
        <v>0</v>
      </c>
      <c r="R144" s="18">
        <v>7</v>
      </c>
      <c r="S144" s="18">
        <v>2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2758000</v>
      </c>
      <c r="N145" s="6">
        <f t="shared" si="12"/>
        <v>1</v>
      </c>
      <c r="O145" s="17">
        <f t="shared" si="13"/>
        <v>2.2358818133744638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3917572.6875978149</v>
      </c>
      <c r="M146" s="2">
        <v>4890000</v>
      </c>
      <c r="N146" s="6">
        <f t="shared" si="12"/>
        <v>1</v>
      </c>
      <c r="O146" s="17">
        <f t="shared" si="13"/>
        <v>1.2482218940010172</v>
      </c>
      <c r="P146" s="18">
        <v>0</v>
      </c>
      <c r="Q146" s="1">
        <f t="shared" si="14"/>
        <v>0</v>
      </c>
      <c r="R146" s="18">
        <v>5</v>
      </c>
      <c r="S146" s="18">
        <v>0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306000</v>
      </c>
      <c r="N148" s="6">
        <f t="shared" si="12"/>
        <v>1</v>
      </c>
      <c r="O148" s="17">
        <f t="shared" si="13"/>
        <v>0.24807100612494054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306000</v>
      </c>
      <c r="N149" s="6">
        <f t="shared" si="12"/>
        <v>1</v>
      </c>
      <c r="O149" s="17">
        <f t="shared" si="13"/>
        <v>0.24807100612494054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306000</v>
      </c>
      <c r="N150" s="6">
        <f t="shared" si="12"/>
        <v>1</v>
      </c>
      <c r="O150" s="17">
        <f t="shared" si="13"/>
        <v>0.24807100612494054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0"/>
        <v>1</v>
      </c>
      <c r="K153" s="5">
        <f t="shared" si="11"/>
        <v>1.4802359141673982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306000</v>
      </c>
      <c r="N154" s="6">
        <f t="shared" si="12"/>
        <v>1</v>
      </c>
      <c r="O154" s="17">
        <f t="shared" si="13"/>
        <v>5.0843914506065152E-2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1270000</v>
      </c>
      <c r="N155" s="6">
        <f t="shared" si="12"/>
        <v>1</v>
      </c>
      <c r="O155" s="17">
        <f t="shared" si="13"/>
        <v>5.6535202289186015E-2</v>
      </c>
      <c r="P155" s="18">
        <v>0</v>
      </c>
      <c r="Q155" s="1">
        <f t="shared" si="14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306000</v>
      </c>
      <c r="N156" s="6">
        <f t="shared" ref="N156:N219" si="17">IF(M156&gt;=300000,1,0)</f>
        <v>1</v>
      </c>
      <c r="O156" s="17">
        <f t="shared" ref="O156:O219" si="18">M156/L156</f>
        <v>0.24807100612494054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0</v>
      </c>
      <c r="Q157" s="1">
        <f t="shared" si="19"/>
        <v>0</v>
      </c>
      <c r="R157" s="18">
        <v>5</v>
      </c>
      <c r="S157" s="18">
        <v>0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780500</v>
      </c>
      <c r="N158" s="6">
        <f t="shared" si="17"/>
        <v>1</v>
      </c>
      <c r="O158" s="17">
        <f t="shared" si="18"/>
        <v>3.4744665658826522E-2</v>
      </c>
      <c r="P158" s="18">
        <v>2</v>
      </c>
      <c r="Q158" s="1">
        <f t="shared" si="19"/>
        <v>0</v>
      </c>
      <c r="R158" s="18">
        <v>12</v>
      </c>
      <c r="S158" s="18">
        <v>2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5"/>
        <v>1</v>
      </c>
      <c r="K159" s="5">
        <f t="shared" si="16"/>
        <v>0.62749131144052761</v>
      </c>
      <c r="L159" s="2">
        <v>2549477.9785796599</v>
      </c>
      <c r="M159" s="2">
        <v>2270000</v>
      </c>
      <c r="N159" s="6">
        <f t="shared" si="17"/>
        <v>1</v>
      </c>
      <c r="O159" s="17">
        <f t="shared" si="18"/>
        <v>0.89037835159676104</v>
      </c>
      <c r="P159" s="18">
        <v>0</v>
      </c>
      <c r="Q159" s="1">
        <f t="shared" si="19"/>
        <v>0</v>
      </c>
      <c r="R159" s="18">
        <v>7</v>
      </c>
      <c r="S159" s="18">
        <v>0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5"/>
        <v>0</v>
      </c>
      <c r="K160" s="5">
        <f t="shared" si="16"/>
        <v>0</v>
      </c>
      <c r="L160" s="2">
        <v>29626053.564346101</v>
      </c>
      <c r="M160" s="2">
        <v>302400</v>
      </c>
      <c r="N160" s="6">
        <f t="shared" si="17"/>
        <v>1</v>
      </c>
      <c r="O160" s="17">
        <f t="shared" si="18"/>
        <v>1.0207231933311821E-2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5"/>
        <v>0</v>
      </c>
      <c r="K161" s="5">
        <f t="shared" si="16"/>
        <v>0</v>
      </c>
      <c r="L161" s="2">
        <v>1233517.793070439</v>
      </c>
      <c r="M161" s="2">
        <v>302400</v>
      </c>
      <c r="N161" s="6">
        <f t="shared" si="17"/>
        <v>1</v>
      </c>
      <c r="O161" s="17">
        <f t="shared" si="18"/>
        <v>0.24515252369994123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5"/>
        <v>0</v>
      </c>
      <c r="K162" s="5">
        <f t="shared" si="16"/>
        <v>0</v>
      </c>
      <c r="L162" s="2">
        <v>1233517.793070439</v>
      </c>
      <c r="M162" s="2">
        <v>306000</v>
      </c>
      <c r="N162" s="6">
        <f t="shared" si="17"/>
        <v>1</v>
      </c>
      <c r="O162" s="17">
        <f t="shared" si="18"/>
        <v>0.24807100612494054</v>
      </c>
      <c r="P162" s="18">
        <v>0</v>
      </c>
      <c r="Q162" s="1">
        <f t="shared" si="19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5"/>
        <v>0</v>
      </c>
      <c r="K163" s="5">
        <f t="shared" si="16"/>
        <v>0</v>
      </c>
      <c r="L163" s="2">
        <v>1233517.793070439</v>
      </c>
      <c r="M163" s="2">
        <v>310800</v>
      </c>
      <c r="N163" s="6">
        <f t="shared" si="17"/>
        <v>1</v>
      </c>
      <c r="O163" s="17">
        <f t="shared" si="18"/>
        <v>0.25196231602493957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5"/>
        <v>0</v>
      </c>
      <c r="K164" s="5">
        <f t="shared" si="16"/>
        <v>0</v>
      </c>
      <c r="L164" s="2">
        <v>1233517.793070439</v>
      </c>
      <c r="M164" s="2">
        <v>302400</v>
      </c>
      <c r="N164" s="6">
        <f t="shared" si="17"/>
        <v>1</v>
      </c>
      <c r="O164" s="17">
        <f t="shared" si="18"/>
        <v>0.24515252369994123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5"/>
        <v>1</v>
      </c>
      <c r="K165" s="5">
        <f t="shared" si="16"/>
        <v>0.53452963567156242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5"/>
        <v>1</v>
      </c>
      <c r="K166" s="5">
        <f t="shared" si="16"/>
        <v>2</v>
      </c>
      <c r="L166" s="2">
        <v>12908778</v>
      </c>
      <c r="M166" s="2">
        <v>5090000</v>
      </c>
      <c r="N166" s="6">
        <f t="shared" si="17"/>
        <v>1</v>
      </c>
      <c r="O166" s="17">
        <f t="shared" si="18"/>
        <v>0.39430533238700055</v>
      </c>
      <c r="P166" s="18">
        <v>0</v>
      </c>
      <c r="Q166" s="1">
        <f t="shared" si="19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2</v>
      </c>
      <c r="Q169" s="1">
        <f t="shared" si="19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0</v>
      </c>
      <c r="J170" s="1">
        <f t="shared" si="15"/>
        <v>0</v>
      </c>
      <c r="K170" s="5">
        <f t="shared" si="16"/>
        <v>0</v>
      </c>
      <c r="L170" s="2">
        <v>29626053.564346101</v>
      </c>
      <c r="M170" s="2">
        <v>1180000</v>
      </c>
      <c r="N170" s="6">
        <f t="shared" si="17"/>
        <v>1</v>
      </c>
      <c r="O170" s="17">
        <f t="shared" si="18"/>
        <v>3.9829807147182365E-2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458000</v>
      </c>
      <c r="N171" s="6">
        <f t="shared" si="17"/>
        <v>1</v>
      </c>
      <c r="O171" s="17">
        <f t="shared" si="18"/>
        <v>7.609971517574457E-2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5"/>
        <v>1</v>
      </c>
      <c r="K172" s="5">
        <f t="shared" si="16"/>
        <v>1.2026916802610106</v>
      </c>
      <c r="L172" s="2">
        <v>1233517.793070439</v>
      </c>
      <c r="M172" s="2">
        <v>3922500</v>
      </c>
      <c r="N172" s="6">
        <f t="shared" si="17"/>
        <v>1</v>
      </c>
      <c r="O172" s="17">
        <f t="shared" si="18"/>
        <v>3.1799298089054875</v>
      </c>
      <c r="P172" s="18">
        <v>3</v>
      </c>
      <c r="Q172" s="1">
        <f t="shared" si="19"/>
        <v>1</v>
      </c>
      <c r="R172" s="18">
        <v>6</v>
      </c>
      <c r="S172" s="18">
        <v>3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3420000</v>
      </c>
      <c r="N173" s="6">
        <f t="shared" si="17"/>
        <v>1</v>
      </c>
      <c r="O173" s="17">
        <f t="shared" si="18"/>
        <v>1.042014122138742</v>
      </c>
      <c r="P173" s="18">
        <v>1</v>
      </c>
      <c r="Q173" s="1">
        <f t="shared" si="19"/>
        <v>0</v>
      </c>
      <c r="R173" s="18">
        <v>21</v>
      </c>
      <c r="S173" s="18">
        <v>3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0</v>
      </c>
      <c r="J174" s="4">
        <f t="shared" si="15"/>
        <v>0</v>
      </c>
      <c r="K174" s="5">
        <f t="shared" si="16"/>
        <v>0</v>
      </c>
      <c r="L174" s="2">
        <v>2549477.9785796599</v>
      </c>
      <c r="M174" s="2">
        <v>1425000</v>
      </c>
      <c r="N174" s="6">
        <f t="shared" si="17"/>
        <v>1</v>
      </c>
      <c r="O174" s="17">
        <f t="shared" si="18"/>
        <v>0.55893795199356144</v>
      </c>
      <c r="P174" s="18">
        <v>0</v>
      </c>
      <c r="Q174" s="1">
        <f t="shared" si="19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1550000</v>
      </c>
      <c r="N179" s="6">
        <f t="shared" si="17"/>
        <v>1</v>
      </c>
      <c r="O179" s="17">
        <f t="shared" si="18"/>
        <v>1.2565688218746986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5"/>
        <v>0</v>
      </c>
      <c r="K180" s="5">
        <f t="shared" si="16"/>
        <v>0</v>
      </c>
      <c r="L180" s="2">
        <v>1233517.793070439</v>
      </c>
      <c r="M180" s="2">
        <v>132000</v>
      </c>
      <c r="N180" s="6">
        <f t="shared" si="17"/>
        <v>0</v>
      </c>
      <c r="O180" s="17">
        <f t="shared" si="18"/>
        <v>0.10701102224997434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5"/>
        <v>0</v>
      </c>
      <c r="K181" s="5">
        <f t="shared" si="16"/>
        <v>0</v>
      </c>
      <c r="L181" s="2">
        <v>1233517.793070439</v>
      </c>
      <c r="M181" s="2">
        <v>800000</v>
      </c>
      <c r="N181" s="6">
        <f t="shared" si="17"/>
        <v>1</v>
      </c>
      <c r="O181" s="17">
        <f t="shared" si="18"/>
        <v>0.64855164999984449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5"/>
        <v>0</v>
      </c>
      <c r="K182" s="5">
        <f t="shared" si="16"/>
        <v>0</v>
      </c>
      <c r="L182" s="2">
        <v>1233517.793070439</v>
      </c>
      <c r="M182" s="2">
        <v>638000</v>
      </c>
      <c r="N182" s="6">
        <f t="shared" si="17"/>
        <v>1</v>
      </c>
      <c r="O182" s="17">
        <f t="shared" si="18"/>
        <v>0.51721994087487599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5"/>
        <v>0</v>
      </c>
      <c r="K183" s="5">
        <f t="shared" si="16"/>
        <v>0</v>
      </c>
      <c r="L183" s="2">
        <v>1233517.793070439</v>
      </c>
      <c r="M183" s="2">
        <v>168000</v>
      </c>
      <c r="N183" s="6">
        <f t="shared" si="17"/>
        <v>0</v>
      </c>
      <c r="O183" s="17">
        <f t="shared" si="18"/>
        <v>0.13619584649996735</v>
      </c>
      <c r="P183" s="18">
        <v>1</v>
      </c>
      <c r="Q183" s="1">
        <f t="shared" si="19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5"/>
        <v>0</v>
      </c>
      <c r="K184" s="5">
        <f t="shared" si="16"/>
        <v>0</v>
      </c>
      <c r="L184" s="2">
        <v>1233517.793070439</v>
      </c>
      <c r="M184" s="2">
        <v>636000</v>
      </c>
      <c r="N184" s="6">
        <f t="shared" si="17"/>
        <v>1</v>
      </c>
      <c r="O184" s="17">
        <f t="shared" si="18"/>
        <v>0.51559856174987639</v>
      </c>
      <c r="P184" s="18">
        <v>0</v>
      </c>
      <c r="Q184" s="1">
        <f t="shared" si="19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5"/>
        <v>0</v>
      </c>
      <c r="K185" s="5">
        <f t="shared" si="16"/>
        <v>0</v>
      </c>
      <c r="L185" s="2">
        <v>1233517.793070439</v>
      </c>
      <c r="M185" s="2">
        <v>300000</v>
      </c>
      <c r="N185" s="6">
        <f t="shared" si="17"/>
        <v>1</v>
      </c>
      <c r="O185" s="17">
        <f t="shared" si="18"/>
        <v>0.24320686874994168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5"/>
        <v>0</v>
      </c>
      <c r="K186" s="5">
        <f t="shared" si="16"/>
        <v>0</v>
      </c>
      <c r="L186" s="2">
        <v>1233517.793070439</v>
      </c>
      <c r="M186" s="2">
        <v>168000</v>
      </c>
      <c r="N186" s="6">
        <f t="shared" si="17"/>
        <v>0</v>
      </c>
      <c r="O186" s="17">
        <f t="shared" si="18"/>
        <v>0.13619584649996735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5"/>
        <v>0</v>
      </c>
      <c r="K187" s="5">
        <f t="shared" si="16"/>
        <v>0</v>
      </c>
      <c r="L187" s="2">
        <v>1233517.793070439</v>
      </c>
      <c r="M187" s="2">
        <v>685000</v>
      </c>
      <c r="N187" s="6">
        <f t="shared" si="17"/>
        <v>1</v>
      </c>
      <c r="O187" s="17">
        <f t="shared" si="18"/>
        <v>0.55532235031236687</v>
      </c>
      <c r="P187" s="18">
        <v>1</v>
      </c>
      <c r="Q187" s="1">
        <f t="shared" si="19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5"/>
        <v>0</v>
      </c>
      <c r="K188" s="5">
        <f t="shared" si="16"/>
        <v>0</v>
      </c>
      <c r="L188" s="2">
        <v>1233517.793070439</v>
      </c>
      <c r="M188" s="2">
        <v>168000</v>
      </c>
      <c r="N188" s="6">
        <f t="shared" si="17"/>
        <v>0</v>
      </c>
      <c r="O188" s="17">
        <f t="shared" si="18"/>
        <v>0.13619584649996735</v>
      </c>
      <c r="P188" s="18">
        <v>6</v>
      </c>
      <c r="Q188" s="1">
        <f t="shared" si="19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5"/>
        <v>0</v>
      </c>
      <c r="K189" s="5">
        <f t="shared" si="16"/>
        <v>0.33333333333333331</v>
      </c>
      <c r="L189" s="2">
        <v>1233517.793070439</v>
      </c>
      <c r="M189" s="2">
        <v>1325000</v>
      </c>
      <c r="N189" s="6">
        <f t="shared" si="17"/>
        <v>1</v>
      </c>
      <c r="O189" s="17">
        <f t="shared" si="18"/>
        <v>1.0741636703122426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5"/>
        <v>0</v>
      </c>
      <c r="K190" s="5">
        <f t="shared" si="16"/>
        <v>0</v>
      </c>
      <c r="L190" s="2">
        <v>1233517.793070439</v>
      </c>
      <c r="M190" s="2">
        <v>0</v>
      </c>
      <c r="N190" s="6">
        <f t="shared" si="17"/>
        <v>0</v>
      </c>
      <c r="O190" s="17">
        <f t="shared" si="18"/>
        <v>0</v>
      </c>
      <c r="P190" s="18">
        <v>0</v>
      </c>
      <c r="Q190" s="1">
        <f t="shared" si="19"/>
        <v>0</v>
      </c>
      <c r="R190" s="18">
        <v>7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5"/>
        <v>1</v>
      </c>
      <c r="K191" s="5">
        <f t="shared" si="16"/>
        <v>0.8</v>
      </c>
      <c r="L191" s="2">
        <v>3959230.4169087922</v>
      </c>
      <c r="M191" s="2">
        <v>1530000</v>
      </c>
      <c r="N191" s="6">
        <f t="shared" si="17"/>
        <v>1</v>
      </c>
      <c r="O191" s="17">
        <f t="shared" si="18"/>
        <v>0.38643873654480621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3000000</v>
      </c>
      <c r="N192" s="6">
        <f t="shared" si="17"/>
        <v>1</v>
      </c>
      <c r="O192" s="17">
        <f t="shared" si="18"/>
        <v>0.96316659269488203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270000</v>
      </c>
      <c r="N193" s="6">
        <f t="shared" si="17"/>
        <v>0</v>
      </c>
      <c r="O193" s="17">
        <f t="shared" si="18"/>
        <v>2.09159999498016E-2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0</v>
      </c>
      <c r="Q197" s="1">
        <f t="shared" si="19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2050000</v>
      </c>
      <c r="N198" s="6">
        <f t="shared" si="17"/>
        <v>1</v>
      </c>
      <c r="O198" s="17">
        <f t="shared" si="18"/>
        <v>0.15880666628553067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4</v>
      </c>
      <c r="J199" s="4">
        <f t="shared" si="15"/>
        <v>1</v>
      </c>
      <c r="K199" s="5">
        <f t="shared" si="16"/>
        <v>0.44751318335293461</v>
      </c>
      <c r="L199" s="2">
        <v>22463880</v>
      </c>
      <c r="M199" s="2">
        <v>578000</v>
      </c>
      <c r="N199" s="6">
        <f t="shared" si="17"/>
        <v>1</v>
      </c>
      <c r="O199" s="17">
        <f t="shared" si="18"/>
        <v>2.5730194427676788E-2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5"/>
        <v>1</v>
      </c>
      <c r="K200" s="5">
        <f t="shared" si="16"/>
        <v>0.41235143323234597</v>
      </c>
      <c r="L200" s="2">
        <v>1233517.793070439</v>
      </c>
      <c r="M200" s="2">
        <v>440000</v>
      </c>
      <c r="N200" s="6">
        <f t="shared" si="17"/>
        <v>1</v>
      </c>
      <c r="O200" s="17">
        <f t="shared" si="18"/>
        <v>0.35670340749991447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5"/>
        <v>1</v>
      </c>
      <c r="K201" s="5">
        <f t="shared" si="16"/>
        <v>1.9243066884176145</v>
      </c>
      <c r="L201" s="2">
        <v>2574298.0029296018</v>
      </c>
      <c r="M201" s="2">
        <v>3544000</v>
      </c>
      <c r="N201" s="6">
        <f t="shared" si="17"/>
        <v>1</v>
      </c>
      <c r="O201" s="17">
        <f t="shared" si="18"/>
        <v>1.3766859920517587</v>
      </c>
      <c r="P201" s="18">
        <v>3</v>
      </c>
      <c r="Q201" s="1">
        <f t="shared" si="19"/>
        <v>1</v>
      </c>
      <c r="R201" s="18">
        <v>8</v>
      </c>
      <c r="S201" s="18">
        <v>3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5"/>
        <v>1</v>
      </c>
      <c r="K202" s="5">
        <f t="shared" si="16"/>
        <v>1.4</v>
      </c>
      <c r="L202" s="2">
        <v>2905564.257570155</v>
      </c>
      <c r="M202" s="2">
        <v>930000</v>
      </c>
      <c r="N202" s="6">
        <f t="shared" si="17"/>
        <v>1</v>
      </c>
      <c r="O202" s="17">
        <f t="shared" si="18"/>
        <v>0.32007552322306371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5"/>
        <v>0</v>
      </c>
      <c r="K203" s="5">
        <f t="shared" si="16"/>
        <v>0</v>
      </c>
      <c r="L203" s="2">
        <v>34799719.042036198</v>
      </c>
      <c r="M203" s="2">
        <v>3275000</v>
      </c>
      <c r="N203" s="6">
        <f t="shared" si="17"/>
        <v>1</v>
      </c>
      <c r="O203" s="17">
        <f t="shared" si="18"/>
        <v>9.410995519946512E-2</v>
      </c>
      <c r="P203" s="18">
        <v>3</v>
      </c>
      <c r="Q203" s="1">
        <f t="shared" si="19"/>
        <v>1</v>
      </c>
      <c r="R203" s="18">
        <v>6</v>
      </c>
      <c r="S203" s="18">
        <v>3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5"/>
        <v>1</v>
      </c>
      <c r="K204" s="5">
        <f t="shared" si="16"/>
        <v>5.4522022838499167</v>
      </c>
      <c r="L204" s="2">
        <v>22463880</v>
      </c>
      <c r="M204" s="2">
        <v>5910000</v>
      </c>
      <c r="N204" s="6">
        <f t="shared" si="17"/>
        <v>1</v>
      </c>
      <c r="O204" s="17">
        <f t="shared" si="18"/>
        <v>0.26308901222762943</v>
      </c>
      <c r="P204" s="18">
        <v>4</v>
      </c>
      <c r="Q204" s="1">
        <f t="shared" si="19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6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0">IF(I220&gt;=3,1,0)</f>
        <v>1</v>
      </c>
      <c r="K220" s="5">
        <f t="shared" ref="K220:K283" si="21">I220/H220</f>
        <v>0.42447941656270971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0"/>
        <v>0</v>
      </c>
      <c r="K222" s="5">
        <f t="shared" si="21"/>
        <v>0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0"/>
        <v>0</v>
      </c>
      <c r="K223" s="5">
        <f t="shared" si="21"/>
        <v>0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0"/>
        <v>0</v>
      </c>
      <c r="K224" s="5">
        <f t="shared" si="21"/>
        <v>0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20"/>
        <v>0</v>
      </c>
      <c r="K225" s="5">
        <f t="shared" si="21"/>
        <v>0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0"/>
        <v>1</v>
      </c>
      <c r="K226" s="5">
        <f t="shared" si="21"/>
        <v>0.49766552286662519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0"/>
        <v>1</v>
      </c>
      <c r="K231" s="5">
        <f t="shared" si="21"/>
        <v>0.51543929154043422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1</v>
      </c>
      <c r="Q233" s="1">
        <f t="shared" si="24"/>
        <v>0</v>
      </c>
      <c r="R233" s="18">
        <v>7</v>
      </c>
      <c r="S233" s="18">
        <v>1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0"/>
        <v>1</v>
      </c>
      <c r="K235" s="5">
        <f t="shared" si="21"/>
        <v>0.90201876019575788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1</v>
      </c>
      <c r="Q235" s="1">
        <f t="shared" si="24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20"/>
        <v>0</v>
      </c>
      <c r="K239" s="5">
        <f t="shared" si="21"/>
        <v>0</v>
      </c>
      <c r="L239" s="2">
        <v>6018419.3717715694</v>
      </c>
      <c r="M239" s="2">
        <v>168000</v>
      </c>
      <c r="N239" s="6">
        <f t="shared" si="22"/>
        <v>0</v>
      </c>
      <c r="O239" s="17">
        <f t="shared" si="23"/>
        <v>2.7914306003329885E-2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0"/>
        <v>0</v>
      </c>
      <c r="K240" s="5">
        <f t="shared" si="21"/>
        <v>0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20"/>
        <v>0</v>
      </c>
      <c r="K241" s="5">
        <f t="shared" si="21"/>
        <v>0</v>
      </c>
      <c r="L241" s="2">
        <v>19880654</v>
      </c>
      <c r="M241" s="2">
        <v>3500000</v>
      </c>
      <c r="N241" s="6">
        <f t="shared" si="22"/>
        <v>1</v>
      </c>
      <c r="O241" s="17">
        <f t="shared" si="23"/>
        <v>0.17605054642568599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0"/>
        <v>0</v>
      </c>
      <c r="K242" s="5">
        <f t="shared" si="21"/>
        <v>0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2</v>
      </c>
      <c r="Q242" s="1">
        <f t="shared" si="24"/>
        <v>0</v>
      </c>
      <c r="R242" s="18">
        <v>7</v>
      </c>
      <c r="S242" s="18">
        <v>2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2</v>
      </c>
      <c r="Q243" s="1">
        <f t="shared" si="24"/>
        <v>0</v>
      </c>
      <c r="R243" s="18">
        <v>7</v>
      </c>
      <c r="S243" s="18">
        <v>2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20"/>
        <v>0</v>
      </c>
      <c r="K244" s="5">
        <f t="shared" si="21"/>
        <v>0</v>
      </c>
      <c r="L244" s="2">
        <v>22463880</v>
      </c>
      <c r="M244" s="2">
        <v>1038000</v>
      </c>
      <c r="N244" s="6">
        <f t="shared" si="22"/>
        <v>1</v>
      </c>
      <c r="O244" s="17">
        <f t="shared" si="23"/>
        <v>4.6207511792263845E-2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20"/>
        <v>0</v>
      </c>
      <c r="K245" s="5">
        <f t="shared" si="21"/>
        <v>0</v>
      </c>
      <c r="L245" s="2">
        <v>1233517.793070439</v>
      </c>
      <c r="M245" s="2">
        <v>168000</v>
      </c>
      <c r="N245" s="6">
        <f t="shared" si="22"/>
        <v>0</v>
      </c>
      <c r="O245" s="17">
        <f t="shared" si="23"/>
        <v>0.13619584649996735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20"/>
        <v>0</v>
      </c>
      <c r="K246" s="5">
        <f t="shared" si="21"/>
        <v>0</v>
      </c>
      <c r="L246" s="2">
        <v>1233517.793070439</v>
      </c>
      <c r="M246" s="2">
        <v>300000</v>
      </c>
      <c r="N246" s="6">
        <f t="shared" si="22"/>
        <v>1</v>
      </c>
      <c r="O246" s="17">
        <f t="shared" si="23"/>
        <v>0.24320686874994168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4</v>
      </c>
      <c r="J248" s="1">
        <f t="shared" si="20"/>
        <v>1</v>
      </c>
      <c r="K248" s="5">
        <f t="shared" si="21"/>
        <v>1.3745047774411554</v>
      </c>
      <c r="L248" s="2">
        <v>12908778</v>
      </c>
      <c r="M248" s="2">
        <v>1589000</v>
      </c>
      <c r="N248" s="6">
        <f t="shared" si="22"/>
        <v>1</v>
      </c>
      <c r="O248" s="17">
        <f t="shared" si="23"/>
        <v>0.12309453303790645</v>
      </c>
      <c r="P248" s="18">
        <v>15</v>
      </c>
      <c r="Q248" s="1">
        <f t="shared" si="24"/>
        <v>1</v>
      </c>
      <c r="R248" s="18">
        <v>5</v>
      </c>
      <c r="S248" s="18">
        <v>16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20"/>
        <v>0</v>
      </c>
      <c r="K249" s="5">
        <f t="shared" si="21"/>
        <v>0</v>
      </c>
      <c r="L249" s="2">
        <v>1233517.793070439</v>
      </c>
      <c r="M249" s="2">
        <v>132000</v>
      </c>
      <c r="N249" s="6">
        <f t="shared" si="22"/>
        <v>0</v>
      </c>
      <c r="O249" s="17">
        <f t="shared" si="23"/>
        <v>0.10701102224997434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168000</v>
      </c>
      <c r="N250" s="6">
        <f t="shared" si="22"/>
        <v>0</v>
      </c>
      <c r="O250" s="17">
        <f t="shared" si="23"/>
        <v>0.13619584649996735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168000</v>
      </c>
      <c r="N251" s="6">
        <f t="shared" si="22"/>
        <v>0</v>
      </c>
      <c r="O251" s="17">
        <f t="shared" si="23"/>
        <v>0.13619584649996735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0"/>
        <v>0</v>
      </c>
      <c r="K252" s="5">
        <f t="shared" si="21"/>
        <v>0</v>
      </c>
      <c r="L252" s="2">
        <v>2781339.4120799541</v>
      </c>
      <c r="M252" s="2">
        <v>1336000</v>
      </c>
      <c r="N252" s="6">
        <f t="shared" si="22"/>
        <v>1</v>
      </c>
      <c r="O252" s="17">
        <f t="shared" si="23"/>
        <v>0.48034410838082731</v>
      </c>
      <c r="P252" s="18">
        <v>1</v>
      </c>
      <c r="Q252" s="1">
        <f t="shared" si="24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468000</v>
      </c>
      <c r="N253" s="6">
        <f t="shared" si="22"/>
        <v>1</v>
      </c>
      <c r="O253" s="17">
        <f t="shared" si="23"/>
        <v>0.18356699054946438</v>
      </c>
      <c r="P253" s="18">
        <v>2</v>
      </c>
      <c r="Q253" s="1">
        <f t="shared" si="24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770000</v>
      </c>
      <c r="N254" s="6">
        <f t="shared" si="22"/>
        <v>1</v>
      </c>
      <c r="O254" s="17">
        <f t="shared" si="23"/>
        <v>0.62423096312485038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300000</v>
      </c>
      <c r="N255" s="6">
        <f t="shared" si="22"/>
        <v>1</v>
      </c>
      <c r="O255" s="17">
        <f t="shared" si="23"/>
        <v>0.24320686874994168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6</v>
      </c>
      <c r="J256" s="4">
        <f t="shared" si="20"/>
        <v>1</v>
      </c>
      <c r="K256" s="5">
        <f t="shared" si="21"/>
        <v>2</v>
      </c>
      <c r="L256" s="2">
        <v>22463880</v>
      </c>
      <c r="M256" s="2">
        <v>2520000</v>
      </c>
      <c r="N256" s="6">
        <f t="shared" si="22"/>
        <v>1</v>
      </c>
      <c r="O256" s="17">
        <f t="shared" si="23"/>
        <v>0.11218008643208564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168000</v>
      </c>
      <c r="N257" s="6">
        <f t="shared" si="22"/>
        <v>0</v>
      </c>
      <c r="O257" s="17">
        <f t="shared" si="23"/>
        <v>0.13619584649996735</v>
      </c>
      <c r="P257" s="18">
        <v>0</v>
      </c>
      <c r="Q257" s="1">
        <f t="shared" si="24"/>
        <v>0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20"/>
        <v>0</v>
      </c>
      <c r="K258" s="5">
        <f t="shared" si="21"/>
        <v>0</v>
      </c>
      <c r="L258" s="2">
        <v>1233517.793070439</v>
      </c>
      <c r="M258" s="2">
        <v>168000</v>
      </c>
      <c r="N258" s="6">
        <f t="shared" si="22"/>
        <v>0</v>
      </c>
      <c r="O258" s="17">
        <f t="shared" si="23"/>
        <v>0.13619584649996735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20"/>
        <v>0</v>
      </c>
      <c r="K259" s="5">
        <f t="shared" si="21"/>
        <v>0</v>
      </c>
      <c r="L259" s="2">
        <v>1233517.793070439</v>
      </c>
      <c r="M259" s="2">
        <v>385000</v>
      </c>
      <c r="N259" s="6">
        <f t="shared" si="22"/>
        <v>1</v>
      </c>
      <c r="O259" s="17">
        <f t="shared" si="23"/>
        <v>0.31211548156242519</v>
      </c>
      <c r="P259" s="18">
        <v>18</v>
      </c>
      <c r="Q259" s="1">
        <f t="shared" si="24"/>
        <v>1</v>
      </c>
      <c r="R259" s="18">
        <v>11</v>
      </c>
      <c r="S259" s="18">
        <v>21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20"/>
        <v>0</v>
      </c>
      <c r="K260" s="5">
        <f t="shared" si="21"/>
        <v>0</v>
      </c>
      <c r="L260" s="2">
        <v>1233517.793070439</v>
      </c>
      <c r="M260" s="2">
        <v>600000</v>
      </c>
      <c r="N260" s="6">
        <f t="shared" si="22"/>
        <v>1</v>
      </c>
      <c r="O260" s="17">
        <f t="shared" si="23"/>
        <v>0.48641373749988337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0"/>
        <v>1</v>
      </c>
      <c r="K262" s="5">
        <f t="shared" si="21"/>
        <v>0.14285714285714285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3</v>
      </c>
      <c r="Q262" s="1">
        <f t="shared" si="24"/>
        <v>1</v>
      </c>
      <c r="R262" s="18">
        <v>13</v>
      </c>
      <c r="S262" s="18">
        <v>3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4</v>
      </c>
      <c r="Q266" s="1">
        <f t="shared" si="24"/>
        <v>1</v>
      </c>
      <c r="R266" s="18">
        <v>8</v>
      </c>
      <c r="S266" s="18">
        <v>4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1350000</v>
      </c>
      <c r="N275" s="6">
        <f t="shared" si="22"/>
        <v>1</v>
      </c>
      <c r="O275" s="17">
        <f t="shared" si="23"/>
        <v>5.7140308952709509E-2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0</v>
      </c>
      <c r="J276" s="1">
        <f t="shared" si="20"/>
        <v>0</v>
      </c>
      <c r="K276" s="5">
        <f t="shared" si="21"/>
        <v>0</v>
      </c>
      <c r="L276" s="2">
        <v>1233517.793070439</v>
      </c>
      <c r="M276" s="2">
        <v>313000</v>
      </c>
      <c r="N276" s="6">
        <f t="shared" si="22"/>
        <v>1</v>
      </c>
      <c r="O276" s="17">
        <f t="shared" si="23"/>
        <v>0.25374583306243914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306000</v>
      </c>
      <c r="N279" s="6">
        <f t="shared" si="22"/>
        <v>1</v>
      </c>
      <c r="O279" s="17">
        <f t="shared" si="23"/>
        <v>0.24807100612494054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306000</v>
      </c>
      <c r="N280" s="6">
        <f t="shared" si="22"/>
        <v>1</v>
      </c>
      <c r="O280" s="17">
        <f t="shared" si="23"/>
        <v>0.24807100612494054</v>
      </c>
      <c r="P280" s="18">
        <v>0</v>
      </c>
      <c r="Q280" s="1">
        <f t="shared" si="24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306000</v>
      </c>
      <c r="N281" s="6">
        <f t="shared" si="22"/>
        <v>1</v>
      </c>
      <c r="O281" s="17">
        <f t="shared" si="23"/>
        <v>0.12002457074388057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0"/>
        <v>0</v>
      </c>
      <c r="K282" s="5">
        <f t="shared" si="21"/>
        <v>0</v>
      </c>
      <c r="L282" s="2">
        <v>19880654</v>
      </c>
      <c r="M282" s="2">
        <v>302400</v>
      </c>
      <c r="N282" s="6">
        <f t="shared" si="22"/>
        <v>1</v>
      </c>
      <c r="O282" s="17">
        <f t="shared" si="23"/>
        <v>1.521076721117927E-2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0"/>
        <v>0</v>
      </c>
      <c r="K283" s="5">
        <f t="shared" si="21"/>
        <v>0</v>
      </c>
      <c r="L283" s="2">
        <v>1233517.793070439</v>
      </c>
      <c r="M283" s="2">
        <v>1202400</v>
      </c>
      <c r="N283" s="6">
        <f t="shared" si="22"/>
        <v>1</v>
      </c>
      <c r="O283" s="17">
        <f t="shared" si="23"/>
        <v>0.97477312994976628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ref="J284:J315" si="25">IF(I284&gt;=3,1,0)</f>
        <v>0</v>
      </c>
      <c r="K284" s="5">
        <f t="shared" ref="K284:K315" si="26">I284/H284</f>
        <v>0</v>
      </c>
      <c r="L284" s="2">
        <v>6018419.3717715694</v>
      </c>
      <c r="M284" s="2">
        <v>302400</v>
      </c>
      <c r="N284" s="6">
        <f t="shared" ref="N284:N315" si="27">IF(M284&gt;=300000,1,0)</f>
        <v>1</v>
      </c>
      <c r="O284" s="17">
        <f t="shared" ref="O284:O315" si="28">M284/L284</f>
        <v>5.0245750805993798E-2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0</v>
      </c>
      <c r="J285" s="1">
        <f t="shared" si="25"/>
        <v>0</v>
      </c>
      <c r="K285" s="5">
        <f t="shared" si="26"/>
        <v>0</v>
      </c>
      <c r="L285" s="2">
        <v>300000</v>
      </c>
      <c r="M285" s="2">
        <v>0</v>
      </c>
      <c r="N285" s="6">
        <f t="shared" si="27"/>
        <v>0</v>
      </c>
      <c r="O285" s="17">
        <f t="shared" si="28"/>
        <v>0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25"/>
        <v>0</v>
      </c>
      <c r="K286" s="5">
        <f t="shared" si="26"/>
        <v>0</v>
      </c>
      <c r="L286" s="2">
        <v>2158596.5258458201</v>
      </c>
      <c r="M286" s="2">
        <v>505000</v>
      </c>
      <c r="N286" s="6">
        <f t="shared" si="27"/>
        <v>1</v>
      </c>
      <c r="O286" s="17">
        <f t="shared" si="28"/>
        <v>0.23394830574098224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25"/>
        <v>0</v>
      </c>
      <c r="K287" s="5">
        <f t="shared" si="26"/>
        <v>0</v>
      </c>
      <c r="L287" s="2">
        <v>2158596.5258458201</v>
      </c>
      <c r="M287" s="2">
        <v>3415000</v>
      </c>
      <c r="N287" s="6">
        <f t="shared" si="27"/>
        <v>1</v>
      </c>
      <c r="O287" s="17">
        <f t="shared" si="28"/>
        <v>1.5820464635751572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25"/>
        <v>0</v>
      </c>
      <c r="K288" s="5">
        <f t="shared" si="26"/>
        <v>0</v>
      </c>
      <c r="L288" s="2">
        <v>2158596.5258458201</v>
      </c>
      <c r="M288" s="2">
        <v>3415000</v>
      </c>
      <c r="N288" s="6">
        <f t="shared" si="27"/>
        <v>1</v>
      </c>
      <c r="O288" s="17">
        <f t="shared" si="28"/>
        <v>1.5820464635751572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25"/>
        <v>0</v>
      </c>
      <c r="K289" s="5">
        <f t="shared" si="26"/>
        <v>0</v>
      </c>
      <c r="L289" s="2">
        <v>20436102.327871229</v>
      </c>
      <c r="M289" s="2">
        <v>3415000</v>
      </c>
      <c r="N289" s="6">
        <f t="shared" si="27"/>
        <v>1</v>
      </c>
      <c r="O289" s="17">
        <f t="shared" si="28"/>
        <v>0.16710622922173099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2</v>
      </c>
      <c r="Q291" s="1">
        <f t="shared" si="29"/>
        <v>0</v>
      </c>
      <c r="R291" s="18">
        <v>9</v>
      </c>
      <c r="S291" s="18">
        <v>2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6</v>
      </c>
      <c r="J292" s="1">
        <f t="shared" si="25"/>
        <v>1</v>
      </c>
      <c r="K292" s="5">
        <f t="shared" si="26"/>
        <v>1.0190306274159984</v>
      </c>
      <c r="L292" s="2">
        <v>2151055.2636527219</v>
      </c>
      <c r="M292" s="2">
        <v>4012000</v>
      </c>
      <c r="N292" s="6">
        <f t="shared" si="27"/>
        <v>1</v>
      </c>
      <c r="O292" s="17">
        <f t="shared" si="28"/>
        <v>1.8651310674311523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1</v>
      </c>
      <c r="Q293" s="1">
        <f t="shared" si="29"/>
        <v>0</v>
      </c>
      <c r="R293" s="18">
        <v>7</v>
      </c>
      <c r="S293" s="18">
        <v>1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25"/>
        <v>1</v>
      </c>
      <c r="K297" s="5">
        <f t="shared" si="26"/>
        <v>0.6</v>
      </c>
      <c r="L297" s="2">
        <v>1233517.793070439</v>
      </c>
      <c r="M297" s="2">
        <v>270000</v>
      </c>
      <c r="N297" s="6">
        <f t="shared" si="27"/>
        <v>0</v>
      </c>
      <c r="O297" s="17">
        <f t="shared" si="28"/>
        <v>0.21888618187494752</v>
      </c>
      <c r="P297" s="18">
        <v>12</v>
      </c>
      <c r="Q297" s="1">
        <f t="shared" si="29"/>
        <v>1</v>
      </c>
      <c r="R297" s="18">
        <v>7</v>
      </c>
      <c r="S297" s="18">
        <v>12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25"/>
        <v>1</v>
      </c>
      <c r="K299" s="5">
        <f t="shared" si="26"/>
        <v>0.1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25"/>
        <v>1</v>
      </c>
      <c r="K300" s="5">
        <f t="shared" si="26"/>
        <v>0.13829701372074277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25"/>
        <v>1</v>
      </c>
      <c r="K301" s="5">
        <f t="shared" si="26"/>
        <v>0.44003595274781732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25"/>
        <v>1</v>
      </c>
      <c r="K302" s="5">
        <f t="shared" si="26"/>
        <v>0.53782172002510964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25"/>
        <v>1</v>
      </c>
      <c r="K303" s="5">
        <f t="shared" si="26"/>
        <v>0.6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5"/>
        <v>0</v>
      </c>
      <c r="K304" s="5">
        <f t="shared" si="26"/>
        <v>0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25"/>
        <v>1</v>
      </c>
      <c r="K305" s="5">
        <f t="shared" si="26"/>
        <v>0.75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25"/>
        <v>1</v>
      </c>
      <c r="K310" s="5">
        <f t="shared" si="26"/>
        <v>0.76972267536704586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0</v>
      </c>
      <c r="J314" s="1">
        <f t="shared" si="25"/>
        <v>0</v>
      </c>
      <c r="K314" s="5">
        <f t="shared" si="26"/>
        <v>0</v>
      </c>
      <c r="L314" s="2">
        <v>1233517.793070439</v>
      </c>
      <c r="M314" s="2">
        <v>0</v>
      </c>
      <c r="N314" s="6">
        <f t="shared" si="27"/>
        <v>0</v>
      </c>
      <c r="O314" s="17">
        <f t="shared" si="28"/>
        <v>0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1758000</v>
      </c>
      <c r="N315" s="6">
        <f t="shared" si="27"/>
        <v>1</v>
      </c>
      <c r="O315" s="17">
        <f t="shared" si="28"/>
        <v>0.61379338796160865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30"/>
        <v>1</v>
      </c>
      <c r="K319" s="5">
        <f t="shared" si="31"/>
        <v>5.9574098218165794</v>
      </c>
      <c r="L319" s="2">
        <v>2158596.5258458201</v>
      </c>
      <c r="M319" s="2">
        <v>2910000</v>
      </c>
      <c r="N319" s="6">
        <f t="shared" si="32"/>
        <v>1</v>
      </c>
      <c r="O319" s="17">
        <f t="shared" si="33"/>
        <v>1.3480981578341749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30"/>
        <v>1</v>
      </c>
      <c r="K320" s="5">
        <f t="shared" si="31"/>
        <v>12.411270462117875</v>
      </c>
      <c r="L320" s="2">
        <v>2158596.5258458201</v>
      </c>
      <c r="M320" s="2">
        <v>2910000</v>
      </c>
      <c r="N320" s="6">
        <f t="shared" si="32"/>
        <v>1</v>
      </c>
      <c r="O320" s="17">
        <f t="shared" si="33"/>
        <v>1.3480981578341749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30"/>
        <v>0</v>
      </c>
      <c r="K321" s="5">
        <f t="shared" si="31"/>
        <v>0</v>
      </c>
      <c r="L321" s="2">
        <v>2607481.1801973949</v>
      </c>
      <c r="M321" s="2">
        <v>0</v>
      </c>
      <c r="N321" s="6">
        <f t="shared" si="32"/>
        <v>0</v>
      </c>
      <c r="O321" s="17">
        <f t="shared" si="33"/>
        <v>0</v>
      </c>
      <c r="P321" s="18">
        <v>0</v>
      </c>
      <c r="Q321" s="1">
        <f t="shared" si="3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35">IF(I326&gt;=3,1,0)</f>
        <v>0</v>
      </c>
      <c r="K326" s="5">
        <f t="shared" ref="K326:K338" si="36">I326/H326</f>
        <v>0</v>
      </c>
      <c r="L326" s="2">
        <v>1233517.793070439</v>
      </c>
      <c r="M326" s="2">
        <v>302400</v>
      </c>
      <c r="N326" s="6">
        <f t="shared" ref="N326:N338" si="37">IF(M326&gt;=300000,1,0)</f>
        <v>1</v>
      </c>
      <c r="O326" s="17">
        <f t="shared" ref="O326:O338" si="38">M326/L326</f>
        <v>0.24515252369994123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5"/>
        <v>1</v>
      </c>
      <c r="K329" s="5">
        <f t="shared" si="36"/>
        <v>1.1101769356255486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5"/>
        <v>0</v>
      </c>
      <c r="K332" s="5">
        <f t="shared" si="36"/>
        <v>0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35"/>
        <v>0</v>
      </c>
      <c r="K335" s="5">
        <f t="shared" si="36"/>
        <v>0</v>
      </c>
      <c r="L335" s="2">
        <v>19880654</v>
      </c>
      <c r="M335" s="2">
        <v>2500000</v>
      </c>
      <c r="N335" s="6">
        <f t="shared" si="37"/>
        <v>1</v>
      </c>
      <c r="O335" s="17">
        <f t="shared" si="38"/>
        <v>0.12575039030406143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804000</v>
      </c>
      <c r="N336" s="6">
        <f t="shared" si="37"/>
        <v>1</v>
      </c>
      <c r="O336" s="17">
        <f t="shared" si="38"/>
        <v>0.23067621032710547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T7:Z328 I7:I338 M7:M338 P7:P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2026-08-14T10:10:42Z</dcterms:modified>
</cp:coreProperties>
</file>