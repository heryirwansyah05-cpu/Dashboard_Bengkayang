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<sst xmlns="http://schemas.openxmlformats.org/spreadsheetml/2006/main" count="1920" uniqueCount="448">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</sst>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/>
          <cell r="F1"/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/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/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/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/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/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/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/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/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/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/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/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/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/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/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/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/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/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/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/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/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/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/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/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/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/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/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/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/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/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/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/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/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/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/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/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/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/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/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/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/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/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/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/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/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/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/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/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/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/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/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/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/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/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/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/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/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/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/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/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/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/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/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/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/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/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/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/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/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/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/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/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/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/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/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/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/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/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/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/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/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/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/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/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/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/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/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/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/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/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/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/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/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/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/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/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/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/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/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/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/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/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/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/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/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/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/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/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/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/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/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/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/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/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/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/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/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/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/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/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/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/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/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/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/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/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/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/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/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/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/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/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/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/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/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/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/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/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/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/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/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/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/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/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/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/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/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/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/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/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/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/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/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/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/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/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/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/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/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/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/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/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/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/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/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/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/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/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/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/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/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/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/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/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/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/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/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/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/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/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/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/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/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/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/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/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/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/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/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/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/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/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/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/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/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/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/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/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/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/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/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/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/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/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/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/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/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/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/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/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/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/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/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/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/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/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/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/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/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/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/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/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/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/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/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/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/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/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/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/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/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/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/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/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/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/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/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/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/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/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/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/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/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/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/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/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/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/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/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/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/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/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/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/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/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/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/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/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/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/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/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/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/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/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/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/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/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/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/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/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/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/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/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/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/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/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/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/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/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/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/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/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/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/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/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/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/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/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/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/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/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/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/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/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/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/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/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/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/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/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/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/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/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/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/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/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/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/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/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/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/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/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/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/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/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/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/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/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/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/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/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/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/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/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/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/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/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/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/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/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/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/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/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/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/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/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/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/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/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/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/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/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/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/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/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/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/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/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/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/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/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/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/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/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/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/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/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/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/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/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/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/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/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/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/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/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/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/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/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/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/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/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/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/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/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/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/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/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/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/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/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/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/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/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/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/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/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/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/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/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/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/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/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/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/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/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/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/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/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/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/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/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/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/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/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/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/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/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/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/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/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/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/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/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/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/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/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/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/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/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/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/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/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/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/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/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/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/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/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/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/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/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/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/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/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/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/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/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/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/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/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/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/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/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/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/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/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/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/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/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/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/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/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/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/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/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/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/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/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/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/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/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/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/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/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/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/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/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/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/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/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/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/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/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/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/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/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/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/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/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/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/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/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/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/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/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/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/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/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/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/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/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/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/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/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/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/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/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/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/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/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/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/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/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/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/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/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/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/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/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/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/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/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/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/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/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/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/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/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/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/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/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/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/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/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/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/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/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/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/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/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/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/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/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/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/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/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/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/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/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/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/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/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/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/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/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/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/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/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/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/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/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/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/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/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/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/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/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/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/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/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/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/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/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/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/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/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/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/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/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/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/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/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/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/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/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/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/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/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/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/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/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/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/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/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/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/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/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/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/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/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/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/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/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/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/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/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/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/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/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/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/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/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/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/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/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/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/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/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/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/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/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/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/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/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/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/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/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/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/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/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/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/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/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/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/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/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/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/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/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/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/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/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/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/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/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/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/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/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/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/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/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/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/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/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/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/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/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/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/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/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/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/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/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/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/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/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/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/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/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/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/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/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/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/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/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/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/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/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/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/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/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/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/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/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/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/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/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/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/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/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/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/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/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/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/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/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/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/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/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/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/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/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/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/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/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/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/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/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/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/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/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/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/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/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/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/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/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/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/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/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/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/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/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/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/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/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/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/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/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/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/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/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/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/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/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/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/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/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/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/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/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/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/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/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/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/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/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/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/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/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/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/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/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/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/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/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/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/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/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/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/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/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/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/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/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/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/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/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/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/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/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/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/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/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/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/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/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/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/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/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/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/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/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/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/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/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/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/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/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/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/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/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/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/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/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/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/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/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/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/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/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/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/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/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/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/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/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/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/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/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/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/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/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/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/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/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/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/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/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/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/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/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/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/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/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/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/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/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/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/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/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/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/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/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/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/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/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/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/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/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/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/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/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/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/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/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/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/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/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/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/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/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/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/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/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/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/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/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/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/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/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/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/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/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/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/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/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/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/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/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/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/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/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/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/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/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/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/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/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/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/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/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/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/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/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/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/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/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/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/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/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/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/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/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/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/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/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/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/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/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/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/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/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/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/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/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/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/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/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/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/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/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/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/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/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/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/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/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/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/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/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/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/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/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/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/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/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/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/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/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/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/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/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/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/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/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/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/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/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/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/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/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/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/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/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/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/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/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/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/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T307" activePane="bottomRight" state="frozen"/>
      <selection pane="topRight" activeCell="D1" sqref="D1"/>
      <selection pane="bottomLeft" activeCell="A6" sqref="A6"/>
      <selection pane="bottomRight" activeCell="A6" sqref="A6:Z31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825000</v>
      </c>
      <c r="M6" s="2">
        <v>58000</v>
      </c>
      <c r="N6" s="6">
        <f t="shared" ref="N6:N69" si="2">IF(M6&gt;=300000,1,0)</f>
        <v>0</v>
      </c>
      <c r="O6" s="9">
        <f t="shared" ref="O6:O69" si="3">M6/L6</f>
        <v>7.0303030303030298E-2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3</v>
      </c>
      <c r="J7" s="1">
        <f t="shared" si="0"/>
        <v>1</v>
      </c>
      <c r="K7" s="5">
        <f t="shared" si="1"/>
        <v>1</v>
      </c>
      <c r="L7" s="2">
        <v>825000</v>
      </c>
      <c r="M7" s="2">
        <v>90000</v>
      </c>
      <c r="N7" s="6">
        <f t="shared" si="2"/>
        <v>0</v>
      </c>
      <c r="O7" s="9">
        <f t="shared" si="3"/>
        <v>0.10909090909090909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3</v>
      </c>
      <c r="J8" s="1">
        <f t="shared" si="0"/>
        <v>1</v>
      </c>
      <c r="K8" s="5">
        <f t="shared" si="1"/>
        <v>1</v>
      </c>
      <c r="L8" s="2">
        <v>3850000</v>
      </c>
      <c r="M8" s="2">
        <v>90000</v>
      </c>
      <c r="N8" s="6">
        <f t="shared" si="2"/>
        <v>0</v>
      </c>
      <c r="O8" s="9">
        <f t="shared" si="3"/>
        <v>2.3376623376623377E-2</v>
      </c>
      <c r="P8" s="10">
        <v>6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3</v>
      </c>
      <c r="J9" s="1">
        <f t="shared" si="0"/>
        <v>1</v>
      </c>
      <c r="K9" s="5">
        <f t="shared" si="1"/>
        <v>1</v>
      </c>
      <c r="L9" s="2">
        <v>825000</v>
      </c>
      <c r="M9" s="2">
        <v>90000</v>
      </c>
      <c r="N9" s="6">
        <f t="shared" si="2"/>
        <v>0</v>
      </c>
      <c r="O9" s="9">
        <f t="shared" si="3"/>
        <v>0.10909090909090909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3</v>
      </c>
      <c r="J10" s="4">
        <f t="shared" si="0"/>
        <v>1</v>
      </c>
      <c r="K10" s="5">
        <f t="shared" si="1"/>
        <v>1</v>
      </c>
      <c r="L10" s="2">
        <v>825000</v>
      </c>
      <c r="M10" s="2">
        <v>90000</v>
      </c>
      <c r="N10" s="6">
        <f t="shared" si="2"/>
        <v>0</v>
      </c>
      <c r="O10" s="9">
        <f t="shared" si="3"/>
        <v>0.10909090909090909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3846676</v>
      </c>
      <c r="M11" s="2">
        <v>148000</v>
      </c>
      <c r="N11" s="6">
        <f t="shared" si="2"/>
        <v>0</v>
      </c>
      <c r="O11" s="9">
        <f t="shared" si="3"/>
        <v>3.8474776664320053E-2</v>
      </c>
      <c r="P11" s="10">
        <v>6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3</v>
      </c>
      <c r="J12" s="1">
        <f t="shared" si="0"/>
        <v>1</v>
      </c>
      <c r="K12" s="5">
        <f t="shared" si="1"/>
        <v>1</v>
      </c>
      <c r="L12" s="2">
        <v>3850000</v>
      </c>
      <c r="M12" s="2">
        <v>90000</v>
      </c>
      <c r="N12" s="6">
        <f t="shared" si="2"/>
        <v>0</v>
      </c>
      <c r="O12" s="9">
        <f t="shared" si="3"/>
        <v>2.3376623376623377E-2</v>
      </c>
      <c r="P12" s="10">
        <v>6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5</v>
      </c>
      <c r="J13" s="4">
        <f t="shared" si="0"/>
        <v>1</v>
      </c>
      <c r="K13" s="5">
        <f t="shared" si="1"/>
        <v>1.6666666666666667</v>
      </c>
      <c r="L13" s="2">
        <v>3850000</v>
      </c>
      <c r="M13" s="2">
        <v>208000</v>
      </c>
      <c r="N13" s="6">
        <f t="shared" si="2"/>
        <v>0</v>
      </c>
      <c r="O13" s="9">
        <f t="shared" si="3"/>
        <v>5.4025974025974026E-2</v>
      </c>
      <c r="P13" s="10">
        <v>8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62</v>
      </c>
      <c r="I14" s="1">
        <v>3</v>
      </c>
      <c r="J14" s="1">
        <f t="shared" si="0"/>
        <v>1</v>
      </c>
      <c r="K14" s="5">
        <f t="shared" si="1"/>
        <v>4.8387096774193547E-2</v>
      </c>
      <c r="L14" s="2">
        <v>1825000</v>
      </c>
      <c r="M14" s="2">
        <v>148000</v>
      </c>
      <c r="N14" s="6">
        <f t="shared" si="2"/>
        <v>0</v>
      </c>
      <c r="O14" s="9">
        <f t="shared" si="3"/>
        <v>8.109589041095891E-2</v>
      </c>
      <c r="P14" s="10">
        <v>335</v>
      </c>
      <c r="Q14" s="1">
        <f t="shared" si="4"/>
        <v>1</v>
      </c>
      <c r="R14" s="10">
        <v>3</v>
      </c>
      <c r="S14" s="10">
        <v>335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2500000</v>
      </c>
      <c r="M15" s="2">
        <v>590000</v>
      </c>
      <c r="N15" s="6">
        <f t="shared" si="2"/>
        <v>1</v>
      </c>
      <c r="O15" s="9">
        <f t="shared" si="3"/>
        <v>0.23599999999999999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3200000</v>
      </c>
      <c r="M16" s="2">
        <v>790000</v>
      </c>
      <c r="N16" s="6">
        <f t="shared" si="2"/>
        <v>1</v>
      </c>
      <c r="O16" s="9">
        <f t="shared" si="3"/>
        <v>0.24687500000000001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3</v>
      </c>
      <c r="J17" s="1">
        <f t="shared" si="0"/>
        <v>1</v>
      </c>
      <c r="K17" s="5">
        <f t="shared" si="1"/>
        <v>1</v>
      </c>
      <c r="L17" s="2">
        <v>1825000</v>
      </c>
      <c r="M17" s="2">
        <v>90000</v>
      </c>
      <c r="N17" s="6">
        <f t="shared" si="2"/>
        <v>0</v>
      </c>
      <c r="O17" s="9">
        <f t="shared" si="3"/>
        <v>4.9315068493150684E-2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3</v>
      </c>
      <c r="J18" s="4">
        <f t="shared" si="0"/>
        <v>1</v>
      </c>
      <c r="K18" s="5">
        <f t="shared" si="1"/>
        <v>1</v>
      </c>
      <c r="L18" s="2">
        <v>1825000</v>
      </c>
      <c r="M18" s="2">
        <v>90000</v>
      </c>
      <c r="N18" s="6">
        <f t="shared" si="2"/>
        <v>0</v>
      </c>
      <c r="O18" s="9">
        <f t="shared" si="3"/>
        <v>4.9315068493150684E-2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4500000</v>
      </c>
      <c r="M19" s="2">
        <v>1090000</v>
      </c>
      <c r="N19" s="6">
        <f t="shared" si="2"/>
        <v>1</v>
      </c>
      <c r="O19" s="9">
        <f t="shared" si="3"/>
        <v>0.24222222222222223</v>
      </c>
      <c r="P19" s="10">
        <v>1</v>
      </c>
      <c r="Q19" s="1">
        <f t="shared" si="4"/>
        <v>0</v>
      </c>
      <c r="R19" s="10">
        <v>3</v>
      </c>
      <c r="S19" s="10">
        <v>1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3</v>
      </c>
      <c r="J20" s="4">
        <f t="shared" si="0"/>
        <v>1</v>
      </c>
      <c r="K20" s="5">
        <f t="shared" si="1"/>
        <v>1</v>
      </c>
      <c r="L20" s="2">
        <v>1825000</v>
      </c>
      <c r="M20" s="2">
        <v>90000</v>
      </c>
      <c r="N20" s="6">
        <f t="shared" si="2"/>
        <v>0</v>
      </c>
      <c r="O20" s="9">
        <f t="shared" si="3"/>
        <v>4.9315068493150684E-2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3</v>
      </c>
      <c r="J21" s="4">
        <f t="shared" si="0"/>
        <v>1</v>
      </c>
      <c r="K21" s="5">
        <f t="shared" si="1"/>
        <v>1</v>
      </c>
      <c r="L21" s="2">
        <v>1825000</v>
      </c>
      <c r="M21" s="2">
        <v>1090000</v>
      </c>
      <c r="N21" s="6">
        <f t="shared" si="2"/>
        <v>1</v>
      </c>
      <c r="O21" s="9">
        <f t="shared" si="3"/>
        <v>0.59726027397260273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6</v>
      </c>
      <c r="J22" s="1">
        <f t="shared" si="0"/>
        <v>1</v>
      </c>
      <c r="K22" s="5">
        <f t="shared" si="1"/>
        <v>2</v>
      </c>
      <c r="L22" s="2">
        <v>4500000</v>
      </c>
      <c r="M22" s="2">
        <v>1150000</v>
      </c>
      <c r="N22" s="6">
        <f t="shared" si="2"/>
        <v>1</v>
      </c>
      <c r="O22" s="9">
        <f t="shared" si="3"/>
        <v>0.25555555555555554</v>
      </c>
      <c r="P22" s="10">
        <v>4</v>
      </c>
      <c r="Q22" s="1">
        <f t="shared" si="4"/>
        <v>1</v>
      </c>
      <c r="R22" s="10">
        <v>6</v>
      </c>
      <c r="S22" s="10">
        <v>5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3</v>
      </c>
      <c r="J23" s="4">
        <f t="shared" si="0"/>
        <v>1</v>
      </c>
      <c r="K23" s="5">
        <f t="shared" si="1"/>
        <v>1</v>
      </c>
      <c r="L23" s="2">
        <v>1825000</v>
      </c>
      <c r="M23" s="2">
        <v>90000</v>
      </c>
      <c r="N23" s="6">
        <f t="shared" si="2"/>
        <v>0</v>
      </c>
      <c r="O23" s="9">
        <f t="shared" si="3"/>
        <v>4.9315068493150684E-2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1825000</v>
      </c>
      <c r="M24" s="2">
        <v>2000000</v>
      </c>
      <c r="N24" s="6">
        <f t="shared" si="2"/>
        <v>1</v>
      </c>
      <c r="O24" s="9">
        <f t="shared" si="3"/>
        <v>1.095890410958904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3</v>
      </c>
      <c r="J25" s="4">
        <f t="shared" si="0"/>
        <v>1</v>
      </c>
      <c r="K25" s="5">
        <f t="shared" si="1"/>
        <v>1</v>
      </c>
      <c r="L25" s="2">
        <v>2000000</v>
      </c>
      <c r="M25" s="2">
        <v>90000</v>
      </c>
      <c r="N25" s="6">
        <f t="shared" si="2"/>
        <v>0</v>
      </c>
      <c r="O25" s="9">
        <f t="shared" si="3"/>
        <v>4.4999999999999998E-2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3</v>
      </c>
      <c r="J26" s="1">
        <f t="shared" si="0"/>
        <v>1</v>
      </c>
      <c r="K26" s="5">
        <f t="shared" si="1"/>
        <v>1</v>
      </c>
      <c r="L26" s="2">
        <v>1825000</v>
      </c>
      <c r="M26" s="2">
        <v>90000</v>
      </c>
      <c r="N26" s="6">
        <f t="shared" si="2"/>
        <v>0</v>
      </c>
      <c r="O26" s="9">
        <f t="shared" si="3"/>
        <v>4.9315068493150684E-2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4</v>
      </c>
      <c r="J27" s="1">
        <f t="shared" si="0"/>
        <v>1</v>
      </c>
      <c r="K27" s="5">
        <f t="shared" si="1"/>
        <v>1.3333333333333333</v>
      </c>
      <c r="L27" s="2">
        <v>1825000</v>
      </c>
      <c r="M27" s="2">
        <v>120000</v>
      </c>
      <c r="N27" s="6">
        <f t="shared" si="2"/>
        <v>0</v>
      </c>
      <c r="O27" s="9">
        <f t="shared" si="3"/>
        <v>6.575342465753424E-2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4</v>
      </c>
      <c r="J28" s="4">
        <f t="shared" si="0"/>
        <v>1</v>
      </c>
      <c r="K28" s="5">
        <f t="shared" si="1"/>
        <v>1.3333333333333333</v>
      </c>
      <c r="L28" s="2">
        <v>1825000</v>
      </c>
      <c r="M28" s="2">
        <v>1120000</v>
      </c>
      <c r="N28" s="6">
        <f t="shared" si="2"/>
        <v>1</v>
      </c>
      <c r="O28" s="9">
        <f t="shared" si="3"/>
        <v>0.61369863013698633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3850000</v>
      </c>
      <c r="M29" s="2">
        <v>58000</v>
      </c>
      <c r="N29" s="6">
        <f t="shared" si="2"/>
        <v>0</v>
      </c>
      <c r="O29" s="9">
        <f t="shared" si="3"/>
        <v>1.5064935064935066E-2</v>
      </c>
      <c r="P29" s="10">
        <v>6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3</v>
      </c>
      <c r="J30" s="4">
        <f t="shared" si="0"/>
        <v>1</v>
      </c>
      <c r="K30" s="5">
        <f t="shared" si="1"/>
        <v>1</v>
      </c>
      <c r="L30" s="2">
        <v>3850000</v>
      </c>
      <c r="M30" s="2">
        <v>90000</v>
      </c>
      <c r="N30" s="6">
        <f t="shared" si="2"/>
        <v>0</v>
      </c>
      <c r="O30" s="9">
        <f t="shared" si="3"/>
        <v>2.3376623376623377E-2</v>
      </c>
      <c r="P30" s="10">
        <v>6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5</v>
      </c>
      <c r="J31" s="4">
        <f t="shared" si="0"/>
        <v>1</v>
      </c>
      <c r="K31" s="5">
        <f t="shared" si="1"/>
        <v>1.6666666666666667</v>
      </c>
      <c r="L31" s="2">
        <v>1825000</v>
      </c>
      <c r="M31" s="2">
        <v>150000</v>
      </c>
      <c r="N31" s="6">
        <f t="shared" si="2"/>
        <v>0</v>
      </c>
      <c r="O31" s="9">
        <f t="shared" si="3"/>
        <v>8.2191780821917804E-2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1825000</v>
      </c>
      <c r="M32" s="2">
        <v>58000</v>
      </c>
      <c r="N32" s="6">
        <f t="shared" si="2"/>
        <v>0</v>
      </c>
      <c r="O32" s="9">
        <f t="shared" si="3"/>
        <v>3.1780821917808219E-2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5</v>
      </c>
      <c r="J33" s="1">
        <f t="shared" si="0"/>
        <v>1</v>
      </c>
      <c r="K33" s="5">
        <f t="shared" si="1"/>
        <v>1.6666666666666667</v>
      </c>
      <c r="L33" s="2">
        <v>1825000</v>
      </c>
      <c r="M33" s="2">
        <v>150000</v>
      </c>
      <c r="N33" s="6">
        <f t="shared" si="2"/>
        <v>0</v>
      </c>
      <c r="O33" s="9">
        <f t="shared" si="3"/>
        <v>8.2191780821917804E-2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3</v>
      </c>
      <c r="J34" s="1">
        <f t="shared" si="0"/>
        <v>1</v>
      </c>
      <c r="K34" s="5">
        <f t="shared" si="1"/>
        <v>1</v>
      </c>
      <c r="L34" s="2">
        <v>3850000</v>
      </c>
      <c r="M34" s="2">
        <v>90000</v>
      </c>
      <c r="N34" s="6">
        <f t="shared" si="2"/>
        <v>0</v>
      </c>
      <c r="O34" s="9">
        <f t="shared" si="3"/>
        <v>2.3376623376623377E-2</v>
      </c>
      <c r="P34" s="10">
        <v>6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3</v>
      </c>
      <c r="J35" s="4">
        <f t="shared" si="0"/>
        <v>1</v>
      </c>
      <c r="K35" s="5">
        <f t="shared" si="1"/>
        <v>1</v>
      </c>
      <c r="L35" s="2">
        <v>1825000</v>
      </c>
      <c r="M35" s="2">
        <v>90000</v>
      </c>
      <c r="N35" s="6">
        <f t="shared" si="2"/>
        <v>0</v>
      </c>
      <c r="O35" s="9">
        <f t="shared" si="3"/>
        <v>4.9315068493150684E-2</v>
      </c>
      <c r="P35" s="10">
        <v>6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1825000</v>
      </c>
      <c r="M36" s="2">
        <v>90000</v>
      </c>
      <c r="N36" s="6">
        <f t="shared" si="2"/>
        <v>0</v>
      </c>
      <c r="O36" s="9">
        <f t="shared" si="3"/>
        <v>4.9315068493150684E-2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3850000</v>
      </c>
      <c r="M37" s="2">
        <v>133500</v>
      </c>
      <c r="N37" s="6">
        <f t="shared" si="2"/>
        <v>0</v>
      </c>
      <c r="O37" s="9">
        <f t="shared" si="3"/>
        <v>3.4675324675324679E-2</v>
      </c>
      <c r="P37" s="10">
        <v>6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1825000</v>
      </c>
      <c r="M38" s="2">
        <v>235000</v>
      </c>
      <c r="N38" s="6">
        <f t="shared" si="2"/>
        <v>0</v>
      </c>
      <c r="O38" s="9">
        <f t="shared" si="3"/>
        <v>0.12876712328767123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1825000</v>
      </c>
      <c r="M39" s="2">
        <v>58000</v>
      </c>
      <c r="N39" s="6">
        <f t="shared" si="2"/>
        <v>0</v>
      </c>
      <c r="O39" s="9">
        <f t="shared" si="3"/>
        <v>3.1780821917808219E-2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3500000</v>
      </c>
      <c r="M40" s="2">
        <v>1090000</v>
      </c>
      <c r="N40" s="6">
        <f t="shared" si="2"/>
        <v>1</v>
      </c>
      <c r="O40" s="9">
        <f t="shared" si="3"/>
        <v>0.31142857142857144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3</v>
      </c>
      <c r="J41" s="4">
        <f t="shared" si="0"/>
        <v>1</v>
      </c>
      <c r="K41" s="5">
        <f t="shared" si="1"/>
        <v>1</v>
      </c>
      <c r="L41" s="2">
        <v>3850000</v>
      </c>
      <c r="M41" s="2">
        <v>90000</v>
      </c>
      <c r="N41" s="6">
        <f t="shared" si="2"/>
        <v>0</v>
      </c>
      <c r="O41" s="9">
        <f t="shared" si="3"/>
        <v>2.3376623376623377E-2</v>
      </c>
      <c r="P41" s="10">
        <v>6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3850000</v>
      </c>
      <c r="M42" s="2">
        <v>206000</v>
      </c>
      <c r="N42" s="6">
        <f t="shared" si="2"/>
        <v>0</v>
      </c>
      <c r="O42" s="9">
        <f t="shared" si="3"/>
        <v>5.3506493506493509E-2</v>
      </c>
      <c r="P42" s="10">
        <v>6</v>
      </c>
      <c r="Q42" s="1">
        <f t="shared" si="4"/>
        <v>1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3850000</v>
      </c>
      <c r="M43" s="2">
        <v>0</v>
      </c>
      <c r="N43" s="6">
        <f t="shared" si="2"/>
        <v>0</v>
      </c>
      <c r="O43" s="9">
        <f t="shared" si="3"/>
        <v>0</v>
      </c>
      <c r="P43" s="10">
        <v>55</v>
      </c>
      <c r="Q43" s="1">
        <f t="shared" si="4"/>
        <v>1</v>
      </c>
      <c r="R43" s="10">
        <v>3</v>
      </c>
      <c r="S43" s="10">
        <v>55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13</v>
      </c>
      <c r="J44" s="4">
        <f t="shared" si="0"/>
        <v>1</v>
      </c>
      <c r="K44" s="5">
        <f t="shared" si="1"/>
        <v>1.625</v>
      </c>
      <c r="L44" s="2">
        <v>5364000</v>
      </c>
      <c r="M44" s="2">
        <v>4216000</v>
      </c>
      <c r="N44" s="6">
        <f t="shared" si="2"/>
        <v>1</v>
      </c>
      <c r="O44" s="9">
        <f t="shared" si="3"/>
        <v>0.78598061148396714</v>
      </c>
      <c r="P44" s="10">
        <v>7</v>
      </c>
      <c r="Q44" s="1">
        <f t="shared" si="4"/>
        <v>1</v>
      </c>
      <c r="R44" s="10">
        <v>7</v>
      </c>
      <c r="S44" s="10">
        <v>7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4164000</v>
      </c>
      <c r="M45" s="2">
        <v>3711000</v>
      </c>
      <c r="N45" s="6">
        <f t="shared" si="2"/>
        <v>1</v>
      </c>
      <c r="O45" s="9">
        <f t="shared" si="3"/>
        <v>0.89121037463976949</v>
      </c>
      <c r="P45" s="10">
        <v>3</v>
      </c>
      <c r="Q45" s="1">
        <f t="shared" si="4"/>
        <v>1</v>
      </c>
      <c r="R45" s="10">
        <v>3</v>
      </c>
      <c r="S45" s="10">
        <v>3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4549000</v>
      </c>
      <c r="M46" s="2">
        <v>3711000</v>
      </c>
      <c r="N46" s="6">
        <f t="shared" si="2"/>
        <v>1</v>
      </c>
      <c r="O46" s="9">
        <f t="shared" si="3"/>
        <v>0.81578368872279627</v>
      </c>
      <c r="P46" s="10">
        <v>3</v>
      </c>
      <c r="Q46" s="1">
        <f t="shared" si="4"/>
        <v>1</v>
      </c>
      <c r="R46" s="10">
        <v>3</v>
      </c>
      <c r="S46" s="10">
        <v>3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13</v>
      </c>
      <c r="J47" s="1">
        <f t="shared" si="0"/>
        <v>1</v>
      </c>
      <c r="K47" s="5">
        <f t="shared" si="1"/>
        <v>2.1666666666666665</v>
      </c>
      <c r="L47" s="2">
        <v>5639500</v>
      </c>
      <c r="M47" s="2">
        <v>1675000</v>
      </c>
      <c r="N47" s="6">
        <f t="shared" si="2"/>
        <v>1</v>
      </c>
      <c r="O47" s="9">
        <f t="shared" si="3"/>
        <v>0.29701214646688534</v>
      </c>
      <c r="P47" s="10">
        <v>7</v>
      </c>
      <c r="Q47" s="1">
        <f t="shared" si="4"/>
        <v>1</v>
      </c>
      <c r="R47" s="10">
        <v>5</v>
      </c>
      <c r="S47" s="10">
        <v>7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10</v>
      </c>
      <c r="J48" s="1">
        <f t="shared" si="0"/>
        <v>1</v>
      </c>
      <c r="K48" s="5">
        <f t="shared" si="1"/>
        <v>1.6666666666666667</v>
      </c>
      <c r="L48" s="2">
        <v>11359000</v>
      </c>
      <c r="M48" s="2">
        <v>1515000</v>
      </c>
      <c r="N48" s="6">
        <f t="shared" si="2"/>
        <v>1</v>
      </c>
      <c r="O48" s="9">
        <f t="shared" si="3"/>
        <v>0.1333744167620389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10</v>
      </c>
      <c r="J49" s="4">
        <f t="shared" si="0"/>
        <v>1</v>
      </c>
      <c r="K49" s="5">
        <f t="shared" si="1"/>
        <v>1.6666666666666667</v>
      </c>
      <c r="L49" s="2">
        <v>5109500</v>
      </c>
      <c r="M49" s="2">
        <v>1443000</v>
      </c>
      <c r="N49" s="6">
        <f t="shared" si="2"/>
        <v>1</v>
      </c>
      <c r="O49" s="9">
        <f t="shared" si="3"/>
        <v>0.28241510911048046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5513000</v>
      </c>
      <c r="M50" s="2">
        <v>3368000</v>
      </c>
      <c r="N50" s="6">
        <f t="shared" si="2"/>
        <v>1</v>
      </c>
      <c r="O50" s="9">
        <f t="shared" si="3"/>
        <v>0.61091964447669145</v>
      </c>
      <c r="P50" s="10">
        <v>5</v>
      </c>
      <c r="Q50" s="1">
        <f t="shared" si="4"/>
        <v>1</v>
      </c>
      <c r="R50" s="10">
        <v>3</v>
      </c>
      <c r="S50" s="10">
        <v>8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6</v>
      </c>
      <c r="I51" s="1">
        <v>20</v>
      </c>
      <c r="J51" s="4">
        <f t="shared" si="0"/>
        <v>1</v>
      </c>
      <c r="K51" s="5">
        <f t="shared" si="1"/>
        <v>3.3333333333333335</v>
      </c>
      <c r="L51" s="2">
        <v>8037500</v>
      </c>
      <c r="M51" s="2">
        <v>8074000</v>
      </c>
      <c r="N51" s="6">
        <f t="shared" si="2"/>
        <v>1</v>
      </c>
      <c r="O51" s="9">
        <f t="shared" si="3"/>
        <v>1.0045412130637636</v>
      </c>
      <c r="P51" s="10">
        <v>0</v>
      </c>
      <c r="Q51" s="1">
        <f t="shared" si="4"/>
        <v>0</v>
      </c>
      <c r="R51" s="10">
        <v>3</v>
      </c>
      <c r="S51" s="10">
        <v>2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6</v>
      </c>
      <c r="I52" s="1">
        <v>10</v>
      </c>
      <c r="J52" s="1">
        <f t="shared" si="0"/>
        <v>1</v>
      </c>
      <c r="K52" s="5">
        <f t="shared" si="1"/>
        <v>1.6666666666666667</v>
      </c>
      <c r="L52" s="2">
        <v>7799000</v>
      </c>
      <c r="M52" s="2">
        <v>6858000</v>
      </c>
      <c r="N52" s="6">
        <f t="shared" si="2"/>
        <v>1</v>
      </c>
      <c r="O52" s="9">
        <f t="shared" si="3"/>
        <v>0.87934350557763818</v>
      </c>
      <c r="P52" s="10">
        <v>2</v>
      </c>
      <c r="Q52" s="1">
        <f t="shared" si="4"/>
        <v>0</v>
      </c>
      <c r="R52" s="10">
        <v>3</v>
      </c>
      <c r="S52" s="10">
        <v>3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10</v>
      </c>
      <c r="J53" s="1">
        <f t="shared" si="0"/>
        <v>1</v>
      </c>
      <c r="K53" s="5">
        <f t="shared" si="1"/>
        <v>1.6666666666666667</v>
      </c>
      <c r="L53" s="2">
        <v>6134500</v>
      </c>
      <c r="M53" s="2">
        <v>4033000</v>
      </c>
      <c r="N53" s="6">
        <f t="shared" si="2"/>
        <v>1</v>
      </c>
      <c r="O53" s="9">
        <f t="shared" si="3"/>
        <v>0.65742929334094058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</v>
      </c>
      <c r="I54" s="1">
        <v>30</v>
      </c>
      <c r="J54" s="1">
        <f t="shared" si="0"/>
        <v>1</v>
      </c>
      <c r="K54" s="5">
        <f t="shared" si="1"/>
        <v>6</v>
      </c>
      <c r="L54" s="2">
        <v>5792500</v>
      </c>
      <c r="M54" s="2">
        <v>4512000</v>
      </c>
      <c r="N54" s="6">
        <f t="shared" si="2"/>
        <v>1</v>
      </c>
      <c r="O54" s="9">
        <f t="shared" si="3"/>
        <v>0.77893828226154516</v>
      </c>
      <c r="P54" s="10">
        <v>0</v>
      </c>
      <c r="Q54" s="1">
        <f t="shared" si="4"/>
        <v>0</v>
      </c>
      <c r="R54" s="10">
        <v>3</v>
      </c>
      <c r="S54" s="10">
        <v>2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</v>
      </c>
      <c r="I55" s="1">
        <v>30</v>
      </c>
      <c r="J55" s="1">
        <f t="shared" si="0"/>
        <v>1</v>
      </c>
      <c r="K55" s="5">
        <f t="shared" si="1"/>
        <v>6</v>
      </c>
      <c r="L55" s="2">
        <v>5494500</v>
      </c>
      <c r="M55" s="2">
        <v>4238000</v>
      </c>
      <c r="N55" s="6">
        <f t="shared" si="2"/>
        <v>1</v>
      </c>
      <c r="O55" s="9">
        <f t="shared" si="3"/>
        <v>0.77131677131677134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3</v>
      </c>
      <c r="J56" s="4">
        <f t="shared" si="0"/>
        <v>1</v>
      </c>
      <c r="K56" s="5">
        <f t="shared" si="1"/>
        <v>0.6</v>
      </c>
      <c r="L56" s="2">
        <v>4069000</v>
      </c>
      <c r="M56" s="2">
        <v>426000</v>
      </c>
      <c r="N56" s="6">
        <f t="shared" si="2"/>
        <v>1</v>
      </c>
      <c r="O56" s="9">
        <f t="shared" si="3"/>
        <v>0.10469402801671172</v>
      </c>
      <c r="P56" s="10">
        <v>3</v>
      </c>
      <c r="Q56" s="1">
        <f t="shared" si="4"/>
        <v>1</v>
      </c>
      <c r="R56" s="10">
        <v>3</v>
      </c>
      <c r="S56" s="10">
        <v>3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0</v>
      </c>
      <c r="J57" s="4">
        <f t="shared" si="0"/>
        <v>0</v>
      </c>
      <c r="K57" s="5">
        <f t="shared" si="1"/>
        <v>0</v>
      </c>
      <c r="L57" s="2">
        <v>11625000</v>
      </c>
      <c r="M57" s="2">
        <v>1155000</v>
      </c>
      <c r="N57" s="6">
        <f t="shared" si="2"/>
        <v>1</v>
      </c>
      <c r="O57" s="9">
        <f t="shared" si="3"/>
        <v>9.9354838709677415E-2</v>
      </c>
      <c r="P57" s="10">
        <v>1</v>
      </c>
      <c r="Q57" s="1">
        <f t="shared" si="4"/>
        <v>0</v>
      </c>
      <c r="R57" s="10">
        <v>3</v>
      </c>
      <c r="S57" s="10">
        <v>1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16222500</v>
      </c>
      <c r="M58" s="2">
        <v>1140000</v>
      </c>
      <c r="N58" s="6">
        <f t="shared" si="2"/>
        <v>1</v>
      </c>
      <c r="O58" s="9">
        <f t="shared" si="3"/>
        <v>7.0272769301895521E-2</v>
      </c>
      <c r="P58" s="10">
        <v>0</v>
      </c>
      <c r="Q58" s="1">
        <f t="shared" si="4"/>
        <v>0</v>
      </c>
      <c r="R58" s="10">
        <v>3</v>
      </c>
      <c r="S58" s="10">
        <v>0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10</v>
      </c>
      <c r="J59" s="1">
        <f t="shared" si="0"/>
        <v>1</v>
      </c>
      <c r="K59" s="5">
        <f t="shared" si="1"/>
        <v>1.6666666666666667</v>
      </c>
      <c r="L59" s="2">
        <v>10194500</v>
      </c>
      <c r="M59" s="2">
        <v>1443000</v>
      </c>
      <c r="N59" s="6">
        <f t="shared" si="2"/>
        <v>1</v>
      </c>
      <c r="O59" s="9">
        <f t="shared" si="3"/>
        <v>0.14154691255088528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7436500</v>
      </c>
      <c r="M60" s="2">
        <v>1575000</v>
      </c>
      <c r="N60" s="6">
        <f t="shared" si="2"/>
        <v>1</v>
      </c>
      <c r="O60" s="9">
        <f t="shared" si="3"/>
        <v>0.21179318227660862</v>
      </c>
      <c r="P60" s="10">
        <v>0</v>
      </c>
      <c r="Q60" s="1">
        <f t="shared" si="4"/>
        <v>0</v>
      </c>
      <c r="R60" s="10">
        <v>3</v>
      </c>
      <c r="S60" s="10">
        <v>4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10</v>
      </c>
      <c r="J61" s="1">
        <f t="shared" si="0"/>
        <v>1</v>
      </c>
      <c r="K61" s="5">
        <f t="shared" si="1"/>
        <v>0.38461538461538464</v>
      </c>
      <c r="L61" s="2">
        <v>6849500</v>
      </c>
      <c r="M61" s="2">
        <v>1875000</v>
      </c>
      <c r="N61" s="6">
        <f t="shared" si="2"/>
        <v>1</v>
      </c>
      <c r="O61" s="9">
        <f t="shared" si="3"/>
        <v>0.27374260894955837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5618000</v>
      </c>
      <c r="M62" s="2">
        <v>4056000</v>
      </c>
      <c r="N62" s="6">
        <f t="shared" si="2"/>
        <v>1</v>
      </c>
      <c r="O62" s="9">
        <f t="shared" si="3"/>
        <v>0.72196511213955139</v>
      </c>
      <c r="P62" s="10">
        <v>6</v>
      </c>
      <c r="Q62" s="1">
        <f t="shared" si="4"/>
        <v>1</v>
      </c>
      <c r="R62" s="10">
        <v>3</v>
      </c>
      <c r="S62" s="10">
        <v>8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9250500</v>
      </c>
      <c r="M63" s="2">
        <v>4105000</v>
      </c>
      <c r="N63" s="6">
        <f t="shared" si="2"/>
        <v>1</v>
      </c>
      <c r="O63" s="9">
        <f t="shared" si="3"/>
        <v>0.4437597967677423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10</v>
      </c>
      <c r="J64" s="4">
        <f t="shared" si="0"/>
        <v>1</v>
      </c>
      <c r="K64" s="5">
        <f t="shared" si="1"/>
        <v>0.37037037037037035</v>
      </c>
      <c r="L64" s="2">
        <v>5477500</v>
      </c>
      <c r="M64" s="2">
        <v>1826000</v>
      </c>
      <c r="N64" s="6">
        <f t="shared" si="2"/>
        <v>1</v>
      </c>
      <c r="O64" s="9">
        <f t="shared" si="3"/>
        <v>0.33336376083979918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13</v>
      </c>
      <c r="J65" s="1">
        <f t="shared" si="0"/>
        <v>1</v>
      </c>
      <c r="K65" s="5">
        <f t="shared" si="1"/>
        <v>0.22413793103448276</v>
      </c>
      <c r="L65" s="2">
        <v>26056500</v>
      </c>
      <c r="M65" s="2">
        <v>7305000</v>
      </c>
      <c r="N65" s="6">
        <f t="shared" si="2"/>
        <v>1</v>
      </c>
      <c r="O65" s="9">
        <f t="shared" si="3"/>
        <v>0.28035231132347016</v>
      </c>
      <c r="P65" s="10">
        <v>10</v>
      </c>
      <c r="Q65" s="1">
        <f t="shared" si="4"/>
        <v>1</v>
      </c>
      <c r="R65" s="10">
        <v>3</v>
      </c>
      <c r="S65" s="10">
        <v>10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10</v>
      </c>
      <c r="J66" s="1">
        <f t="shared" si="0"/>
        <v>1</v>
      </c>
      <c r="K66" s="5">
        <f t="shared" si="1"/>
        <v>0.625</v>
      </c>
      <c r="L66" s="2">
        <v>8970500</v>
      </c>
      <c r="M66" s="2">
        <v>4010000</v>
      </c>
      <c r="N66" s="6">
        <f t="shared" si="2"/>
        <v>1</v>
      </c>
      <c r="O66" s="9">
        <f t="shared" si="3"/>
        <v>0.44702079036842984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7741500</v>
      </c>
      <c r="M67" s="2">
        <v>1575000</v>
      </c>
      <c r="N67" s="6">
        <f t="shared" si="2"/>
        <v>1</v>
      </c>
      <c r="O67" s="9">
        <f t="shared" si="3"/>
        <v>0.20344894400310018</v>
      </c>
      <c r="P67" s="10">
        <v>0</v>
      </c>
      <c r="Q67" s="1">
        <f t="shared" si="4"/>
        <v>0</v>
      </c>
      <c r="R67" s="10">
        <v>3</v>
      </c>
      <c r="S67" s="10">
        <v>1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13</v>
      </c>
      <c r="J68" s="4">
        <f t="shared" si="0"/>
        <v>1</v>
      </c>
      <c r="K68" s="5">
        <f t="shared" si="1"/>
        <v>4.333333333333333</v>
      </c>
      <c r="L68" s="2">
        <v>4069000</v>
      </c>
      <c r="M68" s="2">
        <v>1951000</v>
      </c>
      <c r="N68" s="6">
        <f t="shared" si="2"/>
        <v>1</v>
      </c>
      <c r="O68" s="9">
        <f t="shared" si="3"/>
        <v>0.47947898746620793</v>
      </c>
      <c r="P68" s="10">
        <v>3</v>
      </c>
      <c r="Q68" s="1">
        <f t="shared" si="4"/>
        <v>1</v>
      </c>
      <c r="R68" s="10">
        <v>3</v>
      </c>
      <c r="S68" s="10">
        <v>3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3</v>
      </c>
      <c r="J69" s="1">
        <f t="shared" si="0"/>
        <v>1</v>
      </c>
      <c r="K69" s="5">
        <f t="shared" si="1"/>
        <v>0.23076923076923078</v>
      </c>
      <c r="L69" s="2">
        <v>4752500</v>
      </c>
      <c r="M69" s="2">
        <v>1164000</v>
      </c>
      <c r="N69" s="6">
        <f t="shared" si="2"/>
        <v>1</v>
      </c>
      <c r="O69" s="9">
        <f t="shared" si="3"/>
        <v>0.24492372435560231</v>
      </c>
      <c r="P69" s="10">
        <v>3</v>
      </c>
      <c r="Q69" s="1">
        <f t="shared" si="4"/>
        <v>1</v>
      </c>
      <c r="R69" s="10">
        <v>3</v>
      </c>
      <c r="S69" s="10">
        <v>5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13</v>
      </c>
      <c r="J70" s="1">
        <f t="shared" ref="J70:J133" si="5">IF(I70&gt;=3,1,0)</f>
        <v>1</v>
      </c>
      <c r="K70" s="5">
        <f t="shared" ref="K70:K133" si="6">I70/H70</f>
        <v>1</v>
      </c>
      <c r="L70" s="2">
        <v>7406500</v>
      </c>
      <c r="M70" s="2">
        <v>6951000</v>
      </c>
      <c r="N70" s="6">
        <f t="shared" ref="N70:N133" si="7">IF(M70&gt;=300000,1,0)</f>
        <v>1</v>
      </c>
      <c r="O70" s="9">
        <f t="shared" ref="O70:O133" si="8">M70/L70</f>
        <v>0.93849996624586507</v>
      </c>
      <c r="P70" s="10">
        <v>3</v>
      </c>
      <c r="Q70" s="1">
        <f t="shared" ref="Q70:Q133" si="9">IF(P70&gt;=3,1,0)</f>
        <v>1</v>
      </c>
      <c r="R70" s="10">
        <v>3</v>
      </c>
      <c r="S70" s="10">
        <v>3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13</v>
      </c>
      <c r="J71" s="1">
        <f t="shared" si="5"/>
        <v>1</v>
      </c>
      <c r="K71" s="5">
        <f t="shared" si="6"/>
        <v>1</v>
      </c>
      <c r="L71" s="2">
        <v>19818814</v>
      </c>
      <c r="M71" s="2">
        <v>2455000</v>
      </c>
      <c r="N71" s="6">
        <f t="shared" si="7"/>
        <v>1</v>
      </c>
      <c r="O71" s="9">
        <f t="shared" si="8"/>
        <v>0.12387219537960244</v>
      </c>
      <c r="P71" s="10">
        <v>3</v>
      </c>
      <c r="Q71" s="1">
        <f t="shared" si="9"/>
        <v>1</v>
      </c>
      <c r="R71" s="10">
        <v>3</v>
      </c>
      <c r="S71" s="10">
        <v>3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13</v>
      </c>
      <c r="J72" s="1">
        <f t="shared" si="5"/>
        <v>1</v>
      </c>
      <c r="K72" s="5">
        <f t="shared" si="6"/>
        <v>1</v>
      </c>
      <c r="L72" s="2">
        <v>5486500</v>
      </c>
      <c r="M72" s="2">
        <v>1813000</v>
      </c>
      <c r="N72" s="6">
        <f t="shared" si="7"/>
        <v>1</v>
      </c>
      <c r="O72" s="9">
        <f t="shared" si="8"/>
        <v>0.33044746195206415</v>
      </c>
      <c r="P72" s="10">
        <v>3</v>
      </c>
      <c r="Q72" s="1">
        <f t="shared" si="9"/>
        <v>1</v>
      </c>
      <c r="R72" s="10">
        <v>3</v>
      </c>
      <c r="S72" s="10">
        <v>3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0</v>
      </c>
      <c r="J73" s="4">
        <f t="shared" si="5"/>
        <v>0</v>
      </c>
      <c r="K73" s="5">
        <f t="shared" si="6"/>
        <v>0</v>
      </c>
      <c r="L73" s="2">
        <v>4261500</v>
      </c>
      <c r="M73" s="2">
        <v>425000</v>
      </c>
      <c r="N73" s="6">
        <f t="shared" si="7"/>
        <v>1</v>
      </c>
      <c r="O73" s="9">
        <f t="shared" si="8"/>
        <v>9.9730141968790334E-2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13</v>
      </c>
      <c r="J74" s="1">
        <f t="shared" si="5"/>
        <v>1</v>
      </c>
      <c r="K74" s="5">
        <f t="shared" si="6"/>
        <v>1</v>
      </c>
      <c r="L74" s="2">
        <v>5761500</v>
      </c>
      <c r="M74" s="2">
        <v>1951000</v>
      </c>
      <c r="N74" s="6">
        <f t="shared" si="7"/>
        <v>1</v>
      </c>
      <c r="O74" s="9">
        <f t="shared" si="8"/>
        <v>0.33862709363880933</v>
      </c>
      <c r="P74" s="10">
        <v>4</v>
      </c>
      <c r="Q74" s="1">
        <f t="shared" si="9"/>
        <v>1</v>
      </c>
      <c r="R74" s="10">
        <v>12</v>
      </c>
      <c r="S74" s="10">
        <v>5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14</v>
      </c>
      <c r="J75" s="1">
        <f t="shared" si="5"/>
        <v>1</v>
      </c>
      <c r="K75" s="5">
        <f t="shared" si="6"/>
        <v>1.0769230769230769</v>
      </c>
      <c r="L75" s="2">
        <v>5269000</v>
      </c>
      <c r="M75" s="2">
        <v>2883000</v>
      </c>
      <c r="N75" s="6">
        <f t="shared" si="7"/>
        <v>1</v>
      </c>
      <c r="O75" s="9">
        <f t="shared" si="8"/>
        <v>0.54716264945910043</v>
      </c>
      <c r="P75" s="10">
        <v>13</v>
      </c>
      <c r="Q75" s="1">
        <f t="shared" si="9"/>
        <v>1</v>
      </c>
      <c r="R75" s="10">
        <v>15</v>
      </c>
      <c r="S75" s="10">
        <v>13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13</v>
      </c>
      <c r="J76" s="4">
        <f t="shared" si="5"/>
        <v>1</v>
      </c>
      <c r="K76" s="5">
        <f t="shared" si="6"/>
        <v>0.48148148148148145</v>
      </c>
      <c r="L76" s="2">
        <v>5071500</v>
      </c>
      <c r="M76" s="2">
        <v>1690000</v>
      </c>
      <c r="N76" s="6">
        <f t="shared" si="7"/>
        <v>1</v>
      </c>
      <c r="O76" s="9">
        <f t="shared" si="8"/>
        <v>0.33323474317263135</v>
      </c>
      <c r="P76" s="10">
        <v>3</v>
      </c>
      <c r="Q76" s="1">
        <f t="shared" si="9"/>
        <v>1</v>
      </c>
      <c r="R76" s="10">
        <v>11</v>
      </c>
      <c r="S76" s="10">
        <v>3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13</v>
      </c>
      <c r="J77" s="1">
        <f t="shared" si="5"/>
        <v>1</v>
      </c>
      <c r="K77" s="5">
        <f t="shared" si="6"/>
        <v>1</v>
      </c>
      <c r="L77" s="2">
        <v>4586500</v>
      </c>
      <c r="M77" s="2">
        <v>1703000</v>
      </c>
      <c r="N77" s="6">
        <f t="shared" si="7"/>
        <v>1</v>
      </c>
      <c r="O77" s="9">
        <f t="shared" si="8"/>
        <v>0.3713070969148588</v>
      </c>
      <c r="P77" s="10">
        <v>3</v>
      </c>
      <c r="Q77" s="1">
        <f t="shared" si="9"/>
        <v>1</v>
      </c>
      <c r="R77" s="10">
        <v>3</v>
      </c>
      <c r="S77" s="10">
        <v>3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0</v>
      </c>
      <c r="J78" s="1">
        <f t="shared" si="5"/>
        <v>0</v>
      </c>
      <c r="K78" s="5">
        <f t="shared" si="6"/>
        <v>0</v>
      </c>
      <c r="L78" s="2">
        <v>3335000</v>
      </c>
      <c r="M78" s="2">
        <v>336000</v>
      </c>
      <c r="N78" s="6">
        <f t="shared" si="7"/>
        <v>1</v>
      </c>
      <c r="O78" s="9">
        <f t="shared" si="8"/>
        <v>0.10074962518740629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8</v>
      </c>
      <c r="J79" s="1">
        <f t="shared" si="5"/>
        <v>1</v>
      </c>
      <c r="K79" s="5">
        <f t="shared" si="6"/>
        <v>1.3333333333333333</v>
      </c>
      <c r="L79" s="2">
        <v>4537500</v>
      </c>
      <c r="M79" s="2">
        <v>876000</v>
      </c>
      <c r="N79" s="6">
        <f t="shared" si="7"/>
        <v>1</v>
      </c>
      <c r="O79" s="9">
        <f t="shared" si="8"/>
        <v>0.19305785123966943</v>
      </c>
      <c r="P79" s="10">
        <v>0</v>
      </c>
      <c r="Q79" s="1">
        <f t="shared" si="9"/>
        <v>0</v>
      </c>
      <c r="R79" s="10">
        <v>3</v>
      </c>
      <c r="S79" s="10">
        <v>0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0</v>
      </c>
      <c r="J80" s="1">
        <f t="shared" si="5"/>
        <v>0</v>
      </c>
      <c r="K80" s="5">
        <f t="shared" si="6"/>
        <v>0</v>
      </c>
      <c r="L80" s="2">
        <v>3809100</v>
      </c>
      <c r="M80" s="2">
        <v>52800</v>
      </c>
      <c r="N80" s="6">
        <f t="shared" si="7"/>
        <v>0</v>
      </c>
      <c r="O80" s="9">
        <f t="shared" si="8"/>
        <v>1.3861542096558242E-2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0</v>
      </c>
      <c r="J81" s="4">
        <f t="shared" si="5"/>
        <v>0</v>
      </c>
      <c r="K81" s="5">
        <f t="shared" si="6"/>
        <v>0</v>
      </c>
      <c r="L81" s="2">
        <v>3511273</v>
      </c>
      <c r="M81" s="2">
        <v>52800</v>
      </c>
      <c r="N81" s="6">
        <f t="shared" si="7"/>
        <v>0</v>
      </c>
      <c r="O81" s="9">
        <f t="shared" si="8"/>
        <v>1.5037281350666837E-2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3</v>
      </c>
      <c r="J82" s="1">
        <f t="shared" si="5"/>
        <v>1</v>
      </c>
      <c r="K82" s="5">
        <f t="shared" si="6"/>
        <v>1</v>
      </c>
      <c r="L82" s="2">
        <v>4747600</v>
      </c>
      <c r="M82" s="2">
        <v>445200</v>
      </c>
      <c r="N82" s="6">
        <f t="shared" si="7"/>
        <v>1</v>
      </c>
      <c r="O82" s="9">
        <f t="shared" si="8"/>
        <v>9.377369618333474E-2</v>
      </c>
      <c r="P82" s="10">
        <v>0</v>
      </c>
      <c r="Q82" s="1">
        <f t="shared" si="9"/>
        <v>0</v>
      </c>
      <c r="R82" s="10">
        <v>3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3</v>
      </c>
      <c r="J83" s="4">
        <f t="shared" si="5"/>
        <v>1</v>
      </c>
      <c r="K83" s="5">
        <f t="shared" si="6"/>
        <v>1</v>
      </c>
      <c r="L83" s="2">
        <v>2658400</v>
      </c>
      <c r="M83" s="2">
        <v>798000</v>
      </c>
      <c r="N83" s="6">
        <f t="shared" si="7"/>
        <v>1</v>
      </c>
      <c r="O83" s="9">
        <f t="shared" si="8"/>
        <v>0.30018055973517904</v>
      </c>
      <c r="P83" s="10">
        <v>0</v>
      </c>
      <c r="Q83" s="1">
        <f t="shared" si="9"/>
        <v>0</v>
      </c>
      <c r="R83" s="10">
        <v>3</v>
      </c>
      <c r="S83" s="10">
        <v>0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30</v>
      </c>
      <c r="I84" s="1">
        <v>6</v>
      </c>
      <c r="J84" s="1">
        <f t="shared" si="5"/>
        <v>1</v>
      </c>
      <c r="K84" s="5">
        <f t="shared" si="6"/>
        <v>0.2</v>
      </c>
      <c r="L84" s="2">
        <v>4341400</v>
      </c>
      <c r="M84" s="2">
        <v>991200</v>
      </c>
      <c r="N84" s="6">
        <f t="shared" si="7"/>
        <v>1</v>
      </c>
      <c r="O84" s="9">
        <f t="shared" si="8"/>
        <v>0.22831344727507255</v>
      </c>
      <c r="P84" s="10">
        <v>4</v>
      </c>
      <c r="Q84" s="1">
        <f t="shared" si="9"/>
        <v>1</v>
      </c>
      <c r="R84" s="10">
        <v>7</v>
      </c>
      <c r="S84" s="10">
        <v>4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35</v>
      </c>
      <c r="I85" s="1">
        <v>9</v>
      </c>
      <c r="J85" s="1">
        <f t="shared" si="5"/>
        <v>1</v>
      </c>
      <c r="K85" s="5">
        <f t="shared" si="6"/>
        <v>0.25714285714285712</v>
      </c>
      <c r="L85" s="2">
        <v>4171000</v>
      </c>
      <c r="M85" s="2">
        <v>1170000</v>
      </c>
      <c r="N85" s="6">
        <f t="shared" si="7"/>
        <v>1</v>
      </c>
      <c r="O85" s="9">
        <f t="shared" si="8"/>
        <v>0.28050827139774637</v>
      </c>
      <c r="P85" s="10">
        <v>5</v>
      </c>
      <c r="Q85" s="1">
        <f t="shared" si="9"/>
        <v>1</v>
      </c>
      <c r="R85" s="10">
        <v>5</v>
      </c>
      <c r="S85" s="10">
        <v>5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16</v>
      </c>
      <c r="J86" s="1">
        <f t="shared" si="5"/>
        <v>1</v>
      </c>
      <c r="K86" s="5">
        <f t="shared" si="6"/>
        <v>5.333333333333333</v>
      </c>
      <c r="L86" s="2">
        <v>12548000</v>
      </c>
      <c r="M86" s="2">
        <v>5030800</v>
      </c>
      <c r="N86" s="6">
        <f t="shared" si="7"/>
        <v>1</v>
      </c>
      <c r="O86" s="9">
        <f t="shared" si="8"/>
        <v>0.40092445011157157</v>
      </c>
      <c r="P86" s="10">
        <v>0</v>
      </c>
      <c r="Q86" s="1">
        <f t="shared" si="9"/>
        <v>0</v>
      </c>
      <c r="R86" s="10">
        <v>3</v>
      </c>
      <c r="S86" s="10">
        <v>0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26</v>
      </c>
      <c r="J87" s="4">
        <f t="shared" si="5"/>
        <v>1</v>
      </c>
      <c r="K87" s="5">
        <f t="shared" si="6"/>
        <v>8.6666666666666661</v>
      </c>
      <c r="L87" s="2">
        <v>5860000</v>
      </c>
      <c r="M87" s="2">
        <v>1380000</v>
      </c>
      <c r="N87" s="6">
        <f t="shared" si="7"/>
        <v>1</v>
      </c>
      <c r="O87" s="9">
        <f t="shared" si="8"/>
        <v>0.23549488054607509</v>
      </c>
      <c r="P87" s="10">
        <v>0</v>
      </c>
      <c r="Q87" s="1">
        <f t="shared" si="9"/>
        <v>0</v>
      </c>
      <c r="R87" s="10">
        <v>3</v>
      </c>
      <c r="S87" s="10">
        <v>0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3</v>
      </c>
      <c r="J88" s="1">
        <f t="shared" si="5"/>
        <v>1</v>
      </c>
      <c r="K88" s="5">
        <f t="shared" si="6"/>
        <v>1</v>
      </c>
      <c r="L88" s="2">
        <v>3585000</v>
      </c>
      <c r="M88" s="2">
        <v>721800</v>
      </c>
      <c r="N88" s="6">
        <f t="shared" si="7"/>
        <v>1</v>
      </c>
      <c r="O88" s="9">
        <f t="shared" si="8"/>
        <v>0.20133891213389121</v>
      </c>
      <c r="P88" s="10">
        <v>3</v>
      </c>
      <c r="Q88" s="1">
        <f t="shared" si="9"/>
        <v>1</v>
      </c>
      <c r="R88" s="10">
        <v>3</v>
      </c>
      <c r="S88" s="10">
        <v>3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15</v>
      </c>
      <c r="J89" s="4">
        <f t="shared" si="5"/>
        <v>1</v>
      </c>
      <c r="K89" s="5">
        <f t="shared" si="6"/>
        <v>2.5</v>
      </c>
      <c r="L89" s="2">
        <v>5128000</v>
      </c>
      <c r="M89" s="2">
        <v>1801000</v>
      </c>
      <c r="N89" s="6">
        <f t="shared" si="7"/>
        <v>1</v>
      </c>
      <c r="O89" s="9">
        <f t="shared" si="8"/>
        <v>0.35120904836193445</v>
      </c>
      <c r="P89" s="10">
        <v>1</v>
      </c>
      <c r="Q89" s="1">
        <f t="shared" si="9"/>
        <v>0</v>
      </c>
      <c r="R89" s="10">
        <v>3</v>
      </c>
      <c r="S89" s="10">
        <v>1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14</v>
      </c>
      <c r="J90" s="1">
        <f t="shared" si="5"/>
        <v>1</v>
      </c>
      <c r="K90" s="5">
        <f t="shared" si="6"/>
        <v>1.75</v>
      </c>
      <c r="L90" s="2">
        <v>3916000</v>
      </c>
      <c r="M90" s="2">
        <v>764400</v>
      </c>
      <c r="N90" s="6">
        <f t="shared" si="7"/>
        <v>1</v>
      </c>
      <c r="O90" s="9">
        <f t="shared" si="8"/>
        <v>0.19519918283963228</v>
      </c>
      <c r="P90" s="10">
        <v>5</v>
      </c>
      <c r="Q90" s="1">
        <f t="shared" si="9"/>
        <v>1</v>
      </c>
      <c r="R90" s="10">
        <v>5</v>
      </c>
      <c r="S90" s="10">
        <v>5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3</v>
      </c>
      <c r="J91" s="1">
        <f t="shared" si="5"/>
        <v>1</v>
      </c>
      <c r="K91" s="5">
        <f t="shared" si="6"/>
        <v>1</v>
      </c>
      <c r="L91" s="2">
        <v>2194000</v>
      </c>
      <c r="M91" s="2">
        <v>631800</v>
      </c>
      <c r="N91" s="6">
        <f t="shared" si="7"/>
        <v>1</v>
      </c>
      <c r="O91" s="9">
        <f t="shared" si="8"/>
        <v>0.28796718322698267</v>
      </c>
      <c r="P91" s="10">
        <v>0</v>
      </c>
      <c r="Q91" s="1">
        <f t="shared" si="9"/>
        <v>0</v>
      </c>
      <c r="R91" s="10">
        <v>3</v>
      </c>
      <c r="S91" s="10">
        <v>0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3</v>
      </c>
      <c r="J92" s="1">
        <f t="shared" si="5"/>
        <v>1</v>
      </c>
      <c r="K92" s="5">
        <f t="shared" si="6"/>
        <v>1</v>
      </c>
      <c r="L92" s="2">
        <v>2357600</v>
      </c>
      <c r="M92" s="2">
        <v>845000</v>
      </c>
      <c r="N92" s="6">
        <f t="shared" si="7"/>
        <v>1</v>
      </c>
      <c r="O92" s="9">
        <f t="shared" si="8"/>
        <v>0.35841533763148964</v>
      </c>
      <c r="P92" s="10">
        <v>0</v>
      </c>
      <c r="Q92" s="1">
        <f t="shared" si="9"/>
        <v>0</v>
      </c>
      <c r="R92" s="10">
        <v>3</v>
      </c>
      <c r="S92" s="10">
        <v>0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22</v>
      </c>
      <c r="J93" s="1">
        <f t="shared" si="5"/>
        <v>1</v>
      </c>
      <c r="K93" s="5">
        <f t="shared" si="6"/>
        <v>2.75</v>
      </c>
      <c r="L93" s="2">
        <v>2134000</v>
      </c>
      <c r="M93" s="2">
        <v>631800</v>
      </c>
      <c r="N93" s="6">
        <f t="shared" si="7"/>
        <v>1</v>
      </c>
      <c r="O93" s="9">
        <f t="shared" si="8"/>
        <v>0.29606373008434866</v>
      </c>
      <c r="P93" s="10">
        <v>0</v>
      </c>
      <c r="Q93" s="1">
        <f t="shared" si="9"/>
        <v>0</v>
      </c>
      <c r="R93" s="10">
        <v>22</v>
      </c>
      <c r="S93" s="10">
        <v>38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6</v>
      </c>
      <c r="J94" s="1">
        <f t="shared" si="5"/>
        <v>1</v>
      </c>
      <c r="K94" s="5">
        <f t="shared" si="6"/>
        <v>2</v>
      </c>
      <c r="L94" s="2">
        <v>14458600</v>
      </c>
      <c r="M94" s="2">
        <v>906600</v>
      </c>
      <c r="N94" s="6">
        <f t="shared" si="7"/>
        <v>1</v>
      </c>
      <c r="O94" s="9">
        <f t="shared" si="8"/>
        <v>6.2703166281659353E-2</v>
      </c>
      <c r="P94" s="10">
        <v>0</v>
      </c>
      <c r="Q94" s="1">
        <f t="shared" si="9"/>
        <v>0</v>
      </c>
      <c r="R94" s="10">
        <v>3</v>
      </c>
      <c r="S94" s="10">
        <v>0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3</v>
      </c>
      <c r="J95" s="4">
        <f t="shared" si="5"/>
        <v>1</v>
      </c>
      <c r="K95" s="5">
        <f t="shared" si="6"/>
        <v>1</v>
      </c>
      <c r="L95" s="2">
        <v>7993600</v>
      </c>
      <c r="M95" s="2">
        <v>501600</v>
      </c>
      <c r="N95" s="6">
        <f t="shared" si="7"/>
        <v>1</v>
      </c>
      <c r="O95" s="9">
        <f t="shared" si="8"/>
        <v>6.2750200160128097E-2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4</v>
      </c>
      <c r="J96" s="1">
        <f t="shared" si="5"/>
        <v>1</v>
      </c>
      <c r="K96" s="5">
        <f t="shared" si="6"/>
        <v>0.17391304347826086</v>
      </c>
      <c r="L96" s="2">
        <v>15003400</v>
      </c>
      <c r="M96" s="2">
        <v>601800</v>
      </c>
      <c r="N96" s="6">
        <f t="shared" si="7"/>
        <v>1</v>
      </c>
      <c r="O96" s="9">
        <f t="shared" si="8"/>
        <v>4.0110908194142661E-2</v>
      </c>
      <c r="P96" s="10">
        <v>4</v>
      </c>
      <c r="Q96" s="1">
        <f t="shared" si="9"/>
        <v>1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6</v>
      </c>
      <c r="J97" s="4">
        <f t="shared" si="5"/>
        <v>1</v>
      </c>
      <c r="K97" s="5">
        <f t="shared" si="6"/>
        <v>2</v>
      </c>
      <c r="L97" s="2">
        <v>10483600</v>
      </c>
      <c r="M97" s="2">
        <v>579600</v>
      </c>
      <c r="N97" s="6">
        <f t="shared" si="7"/>
        <v>1</v>
      </c>
      <c r="O97" s="9">
        <f t="shared" si="8"/>
        <v>5.5286352016482888E-2</v>
      </c>
      <c r="P97" s="10">
        <v>6</v>
      </c>
      <c r="Q97" s="1">
        <f t="shared" si="9"/>
        <v>1</v>
      </c>
      <c r="R97" s="10">
        <v>5</v>
      </c>
      <c r="S97" s="10">
        <v>6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3</v>
      </c>
      <c r="J98" s="1">
        <f t="shared" si="5"/>
        <v>1</v>
      </c>
      <c r="K98" s="5">
        <f t="shared" si="6"/>
        <v>1</v>
      </c>
      <c r="L98" s="2">
        <v>4916000</v>
      </c>
      <c r="M98" s="2">
        <v>956000</v>
      </c>
      <c r="N98" s="6">
        <f t="shared" si="7"/>
        <v>1</v>
      </c>
      <c r="O98" s="9">
        <f t="shared" si="8"/>
        <v>0.19446704637917006</v>
      </c>
      <c r="P98" s="10">
        <v>0</v>
      </c>
      <c r="Q98" s="1">
        <f t="shared" si="9"/>
        <v>0</v>
      </c>
      <c r="R98" s="10">
        <v>3</v>
      </c>
      <c r="S98" s="10">
        <v>0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26</v>
      </c>
      <c r="J99" s="4">
        <f t="shared" si="5"/>
        <v>1</v>
      </c>
      <c r="K99" s="5">
        <f t="shared" si="6"/>
        <v>1.1304347826086956</v>
      </c>
      <c r="L99" s="2">
        <v>2024800</v>
      </c>
      <c r="M99" s="2">
        <v>420600</v>
      </c>
      <c r="N99" s="6">
        <f t="shared" si="7"/>
        <v>1</v>
      </c>
      <c r="O99" s="9">
        <f t="shared" si="8"/>
        <v>0.2077242196760174</v>
      </c>
      <c r="P99" s="10">
        <v>23</v>
      </c>
      <c r="Q99" s="1">
        <f t="shared" si="9"/>
        <v>1</v>
      </c>
      <c r="R99" s="10">
        <v>20</v>
      </c>
      <c r="S99" s="10">
        <v>63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9</v>
      </c>
      <c r="J100" s="4">
        <f t="shared" si="5"/>
        <v>1</v>
      </c>
      <c r="K100" s="5">
        <f t="shared" si="6"/>
        <v>3</v>
      </c>
      <c r="L100" s="2">
        <v>9562400</v>
      </c>
      <c r="M100" s="2">
        <v>3811800</v>
      </c>
      <c r="N100" s="6">
        <f t="shared" si="7"/>
        <v>1</v>
      </c>
      <c r="O100" s="9">
        <f t="shared" si="8"/>
        <v>0.39862377645779301</v>
      </c>
      <c r="P100" s="10">
        <v>0</v>
      </c>
      <c r="Q100" s="1">
        <f t="shared" si="9"/>
        <v>0</v>
      </c>
      <c r="R100" s="10">
        <v>3</v>
      </c>
      <c r="S100" s="10">
        <v>0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6</v>
      </c>
      <c r="J101" s="1">
        <f t="shared" si="5"/>
        <v>1</v>
      </c>
      <c r="K101" s="5">
        <f t="shared" si="6"/>
        <v>2</v>
      </c>
      <c r="L101" s="2">
        <v>9375600</v>
      </c>
      <c r="M101" s="2">
        <v>2385600</v>
      </c>
      <c r="N101" s="6">
        <f t="shared" si="7"/>
        <v>1</v>
      </c>
      <c r="O101" s="9">
        <f t="shared" si="8"/>
        <v>0.25444771534621785</v>
      </c>
      <c r="P101" s="10">
        <v>0</v>
      </c>
      <c r="Q101" s="1">
        <f t="shared" si="9"/>
        <v>0</v>
      </c>
      <c r="R101" s="10">
        <v>3</v>
      </c>
      <c r="S101" s="10">
        <v>0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6</v>
      </c>
      <c r="J102" s="1">
        <f t="shared" si="5"/>
        <v>1</v>
      </c>
      <c r="K102" s="5">
        <f t="shared" si="6"/>
        <v>2</v>
      </c>
      <c r="L102" s="2">
        <v>7440400</v>
      </c>
      <c r="M102" s="2">
        <v>490000</v>
      </c>
      <c r="N102" s="6">
        <f t="shared" si="7"/>
        <v>1</v>
      </c>
      <c r="O102" s="9">
        <f t="shared" si="8"/>
        <v>6.5856674372345575E-2</v>
      </c>
      <c r="P102" s="10">
        <v>0</v>
      </c>
      <c r="Q102" s="1">
        <f t="shared" si="9"/>
        <v>0</v>
      </c>
      <c r="R102" s="10">
        <v>3</v>
      </c>
      <c r="S102" s="10">
        <v>0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5</v>
      </c>
      <c r="J103" s="4">
        <f t="shared" si="5"/>
        <v>1</v>
      </c>
      <c r="K103" s="5">
        <f t="shared" si="6"/>
        <v>1.6666666666666667</v>
      </c>
      <c r="L103" s="2">
        <v>3216400</v>
      </c>
      <c r="M103" s="2">
        <v>1195600</v>
      </c>
      <c r="N103" s="6">
        <f t="shared" si="7"/>
        <v>1</v>
      </c>
      <c r="O103" s="9">
        <f t="shared" si="8"/>
        <v>0.37171993533142644</v>
      </c>
      <c r="P103" s="10">
        <v>2</v>
      </c>
      <c r="Q103" s="1">
        <f t="shared" si="9"/>
        <v>0</v>
      </c>
      <c r="R103" s="10">
        <v>3</v>
      </c>
      <c r="S103" s="10">
        <v>2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4</v>
      </c>
      <c r="J104" s="4">
        <f t="shared" si="5"/>
        <v>1</v>
      </c>
      <c r="K104" s="5">
        <f t="shared" si="6"/>
        <v>1</v>
      </c>
      <c r="L104" s="2">
        <v>3347600</v>
      </c>
      <c r="M104" s="2">
        <v>2475000</v>
      </c>
      <c r="N104" s="6">
        <f t="shared" si="7"/>
        <v>1</v>
      </c>
      <c r="O104" s="9">
        <f t="shared" si="8"/>
        <v>0.73933564344605085</v>
      </c>
      <c r="P104" s="10">
        <v>1</v>
      </c>
      <c r="Q104" s="1">
        <f t="shared" si="9"/>
        <v>0</v>
      </c>
      <c r="R104" s="10">
        <v>3</v>
      </c>
      <c r="S104" s="10">
        <v>1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8</v>
      </c>
      <c r="J105" s="1">
        <f t="shared" si="5"/>
        <v>1</v>
      </c>
      <c r="K105" s="5">
        <f t="shared" si="6"/>
        <v>1.3333333333333333</v>
      </c>
      <c r="L105" s="2">
        <v>13190000</v>
      </c>
      <c r="M105" s="2">
        <v>4609500</v>
      </c>
      <c r="N105" s="6">
        <f t="shared" si="7"/>
        <v>1</v>
      </c>
      <c r="O105" s="9">
        <f t="shared" si="8"/>
        <v>0.34946929492039425</v>
      </c>
      <c r="P105" s="10">
        <v>1</v>
      </c>
      <c r="Q105" s="1">
        <f t="shared" si="9"/>
        <v>0</v>
      </c>
      <c r="R105" s="10">
        <v>7</v>
      </c>
      <c r="S105" s="10">
        <v>4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3</v>
      </c>
      <c r="J106" s="4">
        <f t="shared" si="5"/>
        <v>1</v>
      </c>
      <c r="K106" s="5">
        <f t="shared" si="6"/>
        <v>0.5</v>
      </c>
      <c r="L106" s="2">
        <v>4444000</v>
      </c>
      <c r="M106" s="2">
        <v>612800</v>
      </c>
      <c r="N106" s="6">
        <f t="shared" si="7"/>
        <v>1</v>
      </c>
      <c r="O106" s="9">
        <f t="shared" si="8"/>
        <v>0.1378937893789379</v>
      </c>
      <c r="P106" s="10">
        <v>0</v>
      </c>
      <c r="Q106" s="1">
        <f t="shared" si="9"/>
        <v>0</v>
      </c>
      <c r="R106" s="10">
        <v>3</v>
      </c>
      <c r="S106" s="10">
        <v>0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6</v>
      </c>
      <c r="J107" s="1">
        <f t="shared" si="5"/>
        <v>1</v>
      </c>
      <c r="K107" s="5">
        <f t="shared" si="6"/>
        <v>2</v>
      </c>
      <c r="L107" s="2">
        <v>2585400</v>
      </c>
      <c r="M107" s="2">
        <v>588000</v>
      </c>
      <c r="N107" s="6">
        <f t="shared" si="7"/>
        <v>1</v>
      </c>
      <c r="O107" s="9">
        <f t="shared" si="8"/>
        <v>0.22743095845903921</v>
      </c>
      <c r="P107" s="10">
        <v>0</v>
      </c>
      <c r="Q107" s="1">
        <f t="shared" si="9"/>
        <v>0</v>
      </c>
      <c r="R107" s="10">
        <v>3</v>
      </c>
      <c r="S107" s="10">
        <v>0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6</v>
      </c>
      <c r="J108" s="4">
        <f t="shared" si="5"/>
        <v>1</v>
      </c>
      <c r="K108" s="5">
        <f t="shared" si="6"/>
        <v>2</v>
      </c>
      <c r="L108" s="2">
        <v>5360000</v>
      </c>
      <c r="M108" s="2">
        <v>2022600</v>
      </c>
      <c r="N108" s="6">
        <f t="shared" si="7"/>
        <v>1</v>
      </c>
      <c r="O108" s="9">
        <f t="shared" si="8"/>
        <v>0.37735074626865672</v>
      </c>
      <c r="P108" s="10">
        <v>0</v>
      </c>
      <c r="Q108" s="1">
        <f t="shared" si="9"/>
        <v>0</v>
      </c>
      <c r="R108" s="10">
        <v>3</v>
      </c>
      <c r="S108" s="10">
        <v>0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3</v>
      </c>
      <c r="J109" s="4">
        <f t="shared" si="5"/>
        <v>1</v>
      </c>
      <c r="K109" s="5">
        <f t="shared" si="6"/>
        <v>1</v>
      </c>
      <c r="L109" s="2">
        <v>2150800</v>
      </c>
      <c r="M109" s="2">
        <v>397800</v>
      </c>
      <c r="N109" s="6">
        <f t="shared" si="7"/>
        <v>1</v>
      </c>
      <c r="O109" s="9">
        <f t="shared" si="8"/>
        <v>0.18495443555886182</v>
      </c>
      <c r="P109" s="10">
        <v>0</v>
      </c>
      <c r="Q109" s="1">
        <f t="shared" si="9"/>
        <v>0</v>
      </c>
      <c r="R109" s="10">
        <v>3</v>
      </c>
      <c r="S109" s="10">
        <v>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6</v>
      </c>
      <c r="J110" s="1">
        <f t="shared" si="5"/>
        <v>1</v>
      </c>
      <c r="K110" s="5">
        <f t="shared" si="6"/>
        <v>2</v>
      </c>
      <c r="L110" s="2">
        <v>9075400</v>
      </c>
      <c r="M110" s="2">
        <v>541600</v>
      </c>
      <c r="N110" s="6">
        <f t="shared" si="7"/>
        <v>1</v>
      </c>
      <c r="O110" s="9">
        <f t="shared" si="8"/>
        <v>5.9677810344447628E-2</v>
      </c>
      <c r="P110" s="10">
        <v>0</v>
      </c>
      <c r="Q110" s="1">
        <f t="shared" si="9"/>
        <v>0</v>
      </c>
      <c r="R110" s="10">
        <v>3</v>
      </c>
      <c r="S110" s="10">
        <v>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23</v>
      </c>
      <c r="J111" s="1">
        <f t="shared" si="5"/>
        <v>1</v>
      </c>
      <c r="K111" s="5">
        <f t="shared" si="6"/>
        <v>0.63888888888888884</v>
      </c>
      <c r="L111" s="2">
        <v>24290900</v>
      </c>
      <c r="M111" s="2">
        <v>681200</v>
      </c>
      <c r="N111" s="6">
        <f t="shared" si="7"/>
        <v>1</v>
      </c>
      <c r="O111" s="9">
        <f t="shared" si="8"/>
        <v>2.8043423668945983E-2</v>
      </c>
      <c r="P111" s="10">
        <v>23</v>
      </c>
      <c r="Q111" s="1">
        <f t="shared" si="9"/>
        <v>1</v>
      </c>
      <c r="R111" s="10">
        <v>3</v>
      </c>
      <c r="S111" s="10">
        <v>0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3</v>
      </c>
      <c r="J112" s="4">
        <f t="shared" si="5"/>
        <v>1</v>
      </c>
      <c r="K112" s="5">
        <f t="shared" si="6"/>
        <v>0.5</v>
      </c>
      <c r="L112" s="2">
        <v>2530000</v>
      </c>
      <c r="M112" s="2">
        <v>862800</v>
      </c>
      <c r="N112" s="6">
        <f t="shared" si="7"/>
        <v>1</v>
      </c>
      <c r="O112" s="9">
        <f t="shared" si="8"/>
        <v>0.34102766798418971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6</v>
      </c>
      <c r="J113" s="1">
        <f t="shared" si="5"/>
        <v>1</v>
      </c>
      <c r="K113" s="5">
        <f t="shared" si="6"/>
        <v>1</v>
      </c>
      <c r="L113" s="2">
        <v>5923200</v>
      </c>
      <c r="M113" s="2">
        <v>2734800</v>
      </c>
      <c r="N113" s="6">
        <f t="shared" si="7"/>
        <v>1</v>
      </c>
      <c r="O113" s="9">
        <f t="shared" si="8"/>
        <v>0.46170988654781198</v>
      </c>
      <c r="P113" s="10">
        <v>0</v>
      </c>
      <c r="Q113" s="1">
        <f t="shared" si="9"/>
        <v>0</v>
      </c>
      <c r="R113" s="10">
        <v>3</v>
      </c>
      <c r="S113" s="10">
        <v>5</v>
      </c>
      <c r="T113" s="10">
        <v>1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6</v>
      </c>
      <c r="J114" s="4">
        <f t="shared" si="5"/>
        <v>1</v>
      </c>
      <c r="K114" s="5">
        <f t="shared" si="6"/>
        <v>2</v>
      </c>
      <c r="L114" s="2">
        <v>6223000</v>
      </c>
      <c r="M114" s="2">
        <v>1952200</v>
      </c>
      <c r="N114" s="6">
        <f t="shared" si="7"/>
        <v>1</v>
      </c>
      <c r="O114" s="9">
        <f t="shared" si="8"/>
        <v>0.31370721516953237</v>
      </c>
      <c r="P114" s="10">
        <v>5</v>
      </c>
      <c r="Q114" s="1">
        <f t="shared" si="9"/>
        <v>1</v>
      </c>
      <c r="R114" s="10">
        <v>3</v>
      </c>
      <c r="S114" s="10">
        <v>0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6</v>
      </c>
      <c r="J115" s="4">
        <f t="shared" si="5"/>
        <v>1</v>
      </c>
      <c r="K115" s="5">
        <f t="shared" si="6"/>
        <v>1</v>
      </c>
      <c r="L115" s="2">
        <v>2573500</v>
      </c>
      <c r="M115" s="2">
        <v>897400</v>
      </c>
      <c r="N115" s="6">
        <f t="shared" si="7"/>
        <v>1</v>
      </c>
      <c r="O115" s="9">
        <f t="shared" si="8"/>
        <v>0.34870798523411695</v>
      </c>
      <c r="P115" s="10">
        <v>0</v>
      </c>
      <c r="Q115" s="1">
        <f t="shared" si="9"/>
        <v>0</v>
      </c>
      <c r="R115" s="10">
        <v>3</v>
      </c>
      <c r="S115" s="10">
        <v>0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3</v>
      </c>
      <c r="J116" s="4">
        <f t="shared" si="5"/>
        <v>1</v>
      </c>
      <c r="K116" s="5">
        <f t="shared" si="6"/>
        <v>1</v>
      </c>
      <c r="L116" s="2">
        <v>2201000</v>
      </c>
      <c r="M116" s="2">
        <v>484800</v>
      </c>
      <c r="N116" s="6">
        <f t="shared" si="7"/>
        <v>1</v>
      </c>
      <c r="O116" s="9">
        <f t="shared" si="8"/>
        <v>0.2202635165833712</v>
      </c>
      <c r="P116" s="10">
        <v>0</v>
      </c>
      <c r="Q116" s="1">
        <f t="shared" si="9"/>
        <v>0</v>
      </c>
      <c r="R116" s="10">
        <v>3</v>
      </c>
      <c r="S116" s="10">
        <v>0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4</v>
      </c>
      <c r="J117" s="1">
        <f t="shared" si="5"/>
        <v>1</v>
      </c>
      <c r="K117" s="5">
        <f t="shared" si="6"/>
        <v>1.3333333333333333</v>
      </c>
      <c r="L117" s="2">
        <v>5434800</v>
      </c>
      <c r="M117" s="2">
        <v>1103600</v>
      </c>
      <c r="N117" s="6">
        <f t="shared" si="7"/>
        <v>1</v>
      </c>
      <c r="O117" s="9">
        <f t="shared" si="8"/>
        <v>0.20306175020239936</v>
      </c>
      <c r="P117" s="10">
        <v>2</v>
      </c>
      <c r="Q117" s="1">
        <f t="shared" si="9"/>
        <v>0</v>
      </c>
      <c r="R117" s="10">
        <v>3</v>
      </c>
      <c r="S117" s="10">
        <v>2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3</v>
      </c>
      <c r="J118" s="1">
        <f t="shared" si="5"/>
        <v>1</v>
      </c>
      <c r="K118" s="5">
        <f t="shared" si="6"/>
        <v>1</v>
      </c>
      <c r="L118" s="2">
        <v>2940400</v>
      </c>
      <c r="M118" s="2">
        <v>312800</v>
      </c>
      <c r="N118" s="6">
        <f t="shared" si="7"/>
        <v>1</v>
      </c>
      <c r="O118" s="9">
        <f t="shared" si="8"/>
        <v>0.10638008434226635</v>
      </c>
      <c r="P118" s="10">
        <v>0</v>
      </c>
      <c r="Q118" s="1">
        <f t="shared" si="9"/>
        <v>0</v>
      </c>
      <c r="R118" s="10">
        <v>3</v>
      </c>
      <c r="S118" s="10">
        <v>0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0</v>
      </c>
      <c r="J119" s="1">
        <f t="shared" si="5"/>
        <v>0</v>
      </c>
      <c r="K119" s="5">
        <f t="shared" si="6"/>
        <v>0</v>
      </c>
      <c r="L119" s="2">
        <v>1914500</v>
      </c>
      <c r="M119" s="2">
        <v>987200</v>
      </c>
      <c r="N119" s="6">
        <f t="shared" si="7"/>
        <v>1</v>
      </c>
      <c r="O119" s="9">
        <f t="shared" si="8"/>
        <v>0.51564377121963956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3</v>
      </c>
      <c r="J120" s="4">
        <f t="shared" si="5"/>
        <v>1</v>
      </c>
      <c r="K120" s="5">
        <f t="shared" si="6"/>
        <v>1</v>
      </c>
      <c r="L120" s="2">
        <v>8895600</v>
      </c>
      <c r="M120" s="2">
        <v>312800</v>
      </c>
      <c r="N120" s="6">
        <f t="shared" si="7"/>
        <v>1</v>
      </c>
      <c r="O120" s="9">
        <f t="shared" si="8"/>
        <v>3.5163451594046498E-2</v>
      </c>
      <c r="P120" s="10">
        <v>5</v>
      </c>
      <c r="Q120" s="1">
        <f t="shared" si="9"/>
        <v>1</v>
      </c>
      <c r="R120" s="10">
        <v>12</v>
      </c>
      <c r="S120" s="10">
        <v>5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6</v>
      </c>
      <c r="J121" s="1">
        <f t="shared" si="5"/>
        <v>1</v>
      </c>
      <c r="K121" s="5">
        <f t="shared" si="6"/>
        <v>2</v>
      </c>
      <c r="L121" s="2">
        <v>3586000</v>
      </c>
      <c r="M121" s="2">
        <v>507600</v>
      </c>
      <c r="N121" s="6">
        <f t="shared" si="7"/>
        <v>1</v>
      </c>
      <c r="O121" s="9">
        <f t="shared" si="8"/>
        <v>0.14155047406581148</v>
      </c>
      <c r="P121" s="10">
        <v>6</v>
      </c>
      <c r="Q121" s="1">
        <f t="shared" si="9"/>
        <v>1</v>
      </c>
      <c r="R121" s="10">
        <v>3</v>
      </c>
      <c r="S121" s="10">
        <v>0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12</v>
      </c>
      <c r="J122" s="1">
        <f t="shared" si="5"/>
        <v>1</v>
      </c>
      <c r="K122" s="5">
        <f t="shared" si="6"/>
        <v>4</v>
      </c>
      <c r="L122" s="2">
        <v>7949500</v>
      </c>
      <c r="M122" s="2">
        <v>1975500</v>
      </c>
      <c r="N122" s="6">
        <f t="shared" si="7"/>
        <v>1</v>
      </c>
      <c r="O122" s="9">
        <f t="shared" si="8"/>
        <v>0.24850619535819862</v>
      </c>
      <c r="P122" s="10">
        <v>0</v>
      </c>
      <c r="Q122" s="1">
        <f t="shared" si="9"/>
        <v>0</v>
      </c>
      <c r="R122" s="10">
        <v>3</v>
      </c>
      <c r="S122" s="10">
        <v>1</v>
      </c>
      <c r="T122" s="10">
        <v>2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3966400</v>
      </c>
      <c r="M123" s="2">
        <v>529200</v>
      </c>
      <c r="N123" s="6">
        <f t="shared" si="7"/>
        <v>1</v>
      </c>
      <c r="O123" s="9">
        <f t="shared" si="8"/>
        <v>0.13342073416700281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6</v>
      </c>
      <c r="J124" s="4">
        <f t="shared" si="5"/>
        <v>1</v>
      </c>
      <c r="K124" s="5">
        <f t="shared" si="6"/>
        <v>2</v>
      </c>
      <c r="L124" s="2">
        <v>3705200</v>
      </c>
      <c r="M124" s="2">
        <v>774200</v>
      </c>
      <c r="N124" s="6">
        <f t="shared" si="7"/>
        <v>1</v>
      </c>
      <c r="O124" s="9">
        <f t="shared" si="8"/>
        <v>0.20894958436791536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8</v>
      </c>
      <c r="J125" s="1">
        <f t="shared" si="5"/>
        <v>1</v>
      </c>
      <c r="K125" s="5">
        <f t="shared" si="6"/>
        <v>2.6666666666666665</v>
      </c>
      <c r="L125" s="2">
        <v>3875600</v>
      </c>
      <c r="M125" s="2">
        <v>1591000</v>
      </c>
      <c r="N125" s="6">
        <f t="shared" si="7"/>
        <v>1</v>
      </c>
      <c r="O125" s="9">
        <f t="shared" si="8"/>
        <v>0.41051708122613273</v>
      </c>
      <c r="P125" s="10">
        <v>3</v>
      </c>
      <c r="Q125" s="1">
        <f t="shared" si="9"/>
        <v>1</v>
      </c>
      <c r="R125" s="10">
        <v>3</v>
      </c>
      <c r="S125" s="10">
        <v>0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3</v>
      </c>
      <c r="J126" s="1">
        <f t="shared" si="5"/>
        <v>1</v>
      </c>
      <c r="K126" s="5">
        <f t="shared" si="6"/>
        <v>0.25</v>
      </c>
      <c r="L126" s="2">
        <v>7488500</v>
      </c>
      <c r="M126" s="2">
        <v>1196200</v>
      </c>
      <c r="N126" s="6">
        <f t="shared" si="7"/>
        <v>1</v>
      </c>
      <c r="O126" s="9">
        <f t="shared" si="8"/>
        <v>0.15973826534018828</v>
      </c>
      <c r="P126" s="10">
        <v>2</v>
      </c>
      <c r="Q126" s="1">
        <f t="shared" si="9"/>
        <v>0</v>
      </c>
      <c r="R126" s="10">
        <v>7</v>
      </c>
      <c r="S126" s="10">
        <v>2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3</v>
      </c>
      <c r="J127" s="4">
        <f t="shared" si="5"/>
        <v>1</v>
      </c>
      <c r="K127" s="5">
        <f t="shared" si="6"/>
        <v>0.75</v>
      </c>
      <c r="L127" s="2">
        <v>12372250</v>
      </c>
      <c r="M127" s="2">
        <v>5809800</v>
      </c>
      <c r="N127" s="6">
        <f t="shared" si="7"/>
        <v>1</v>
      </c>
      <c r="O127" s="9">
        <f t="shared" si="8"/>
        <v>0.46958313968760734</v>
      </c>
      <c r="P127" s="10">
        <v>0</v>
      </c>
      <c r="Q127" s="1">
        <f t="shared" si="9"/>
        <v>0</v>
      </c>
      <c r="R127" s="10">
        <v>3</v>
      </c>
      <c r="S127" s="10">
        <v>0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3</v>
      </c>
      <c r="J128" s="1">
        <f t="shared" si="5"/>
        <v>1</v>
      </c>
      <c r="K128" s="5">
        <f t="shared" si="6"/>
        <v>1</v>
      </c>
      <c r="L128" s="2">
        <v>2335900</v>
      </c>
      <c r="M128" s="2">
        <v>653200</v>
      </c>
      <c r="N128" s="6">
        <f t="shared" si="7"/>
        <v>1</v>
      </c>
      <c r="O128" s="9">
        <f t="shared" si="8"/>
        <v>0.2796352583586626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22</v>
      </c>
      <c r="J129" s="1">
        <f t="shared" si="5"/>
        <v>1</v>
      </c>
      <c r="K129" s="5">
        <f t="shared" si="6"/>
        <v>7.333333333333333</v>
      </c>
      <c r="L129" s="2">
        <v>12501000</v>
      </c>
      <c r="M129" s="2">
        <v>2053900</v>
      </c>
      <c r="N129" s="6">
        <f t="shared" si="7"/>
        <v>1</v>
      </c>
      <c r="O129" s="9">
        <f t="shared" si="8"/>
        <v>0.16429885609151268</v>
      </c>
      <c r="P129" s="10">
        <v>0</v>
      </c>
      <c r="Q129" s="1">
        <f t="shared" si="9"/>
        <v>0</v>
      </c>
      <c r="R129" s="10">
        <v>3</v>
      </c>
      <c r="S129" s="10">
        <v>0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3</v>
      </c>
      <c r="J130" s="4">
        <f t="shared" si="5"/>
        <v>1</v>
      </c>
      <c r="K130" s="5">
        <f t="shared" si="6"/>
        <v>0.75</v>
      </c>
      <c r="L130" s="2">
        <v>5722000</v>
      </c>
      <c r="M130" s="2">
        <v>1274800</v>
      </c>
      <c r="N130" s="6">
        <f t="shared" si="7"/>
        <v>1</v>
      </c>
      <c r="O130" s="9">
        <f t="shared" si="8"/>
        <v>0.22278923453337993</v>
      </c>
      <c r="P130" s="10">
        <v>0</v>
      </c>
      <c r="Q130" s="1">
        <f t="shared" si="9"/>
        <v>0</v>
      </c>
      <c r="R130" s="10">
        <v>3</v>
      </c>
      <c r="S130" s="10">
        <v>0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6</v>
      </c>
      <c r="I131" s="1">
        <v>13</v>
      </c>
      <c r="J131" s="1">
        <f t="shared" si="5"/>
        <v>1</v>
      </c>
      <c r="K131" s="5">
        <f t="shared" si="6"/>
        <v>2.1666666666666665</v>
      </c>
      <c r="L131" s="2">
        <v>6308000</v>
      </c>
      <c r="M131" s="2">
        <v>1890000</v>
      </c>
      <c r="N131" s="6">
        <f t="shared" si="7"/>
        <v>1</v>
      </c>
      <c r="O131" s="9">
        <f t="shared" si="8"/>
        <v>0.29961953075459735</v>
      </c>
      <c r="P131" s="10">
        <v>0</v>
      </c>
      <c r="Q131" s="1">
        <f t="shared" si="9"/>
        <v>0</v>
      </c>
      <c r="R131" s="10">
        <v>3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18</v>
      </c>
      <c r="I132" s="1">
        <v>21</v>
      </c>
      <c r="J132" s="4">
        <f t="shared" si="5"/>
        <v>1</v>
      </c>
      <c r="K132" s="5">
        <f t="shared" si="6"/>
        <v>1.1666666666666667</v>
      </c>
      <c r="L132" s="2">
        <v>18836500</v>
      </c>
      <c r="M132" s="2">
        <v>7161000</v>
      </c>
      <c r="N132" s="6">
        <f t="shared" si="7"/>
        <v>1</v>
      </c>
      <c r="O132" s="9">
        <f t="shared" si="8"/>
        <v>0.38016616675072334</v>
      </c>
      <c r="P132" s="10">
        <v>1</v>
      </c>
      <c r="Q132" s="1">
        <f t="shared" si="9"/>
        <v>0</v>
      </c>
      <c r="R132" s="10">
        <v>8</v>
      </c>
      <c r="S132" s="10">
        <v>1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3</v>
      </c>
      <c r="J133" s="4">
        <f t="shared" si="5"/>
        <v>1</v>
      </c>
      <c r="K133" s="5">
        <f t="shared" si="6"/>
        <v>0.375</v>
      </c>
      <c r="L133" s="2">
        <v>3585000</v>
      </c>
      <c r="M133" s="2">
        <v>511200</v>
      </c>
      <c r="N133" s="6">
        <f t="shared" si="7"/>
        <v>1</v>
      </c>
      <c r="O133" s="9">
        <f t="shared" si="8"/>
        <v>0.14259414225941422</v>
      </c>
      <c r="P133" s="10">
        <v>4</v>
      </c>
      <c r="Q133" s="1">
        <f t="shared" si="9"/>
        <v>1</v>
      </c>
      <c r="R133" s="10">
        <v>5</v>
      </c>
      <c r="S133" s="10">
        <v>5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0</v>
      </c>
      <c r="J134" s="4">
        <f t="shared" ref="J134:J197" si="10">IF(I134&gt;=3,1,0)</f>
        <v>0</v>
      </c>
      <c r="K134" s="5">
        <f t="shared" ref="K134:K197" si="11">I134/H134</f>
        <v>0</v>
      </c>
      <c r="L134" s="2">
        <v>1426000</v>
      </c>
      <c r="M134" s="2">
        <v>1132200</v>
      </c>
      <c r="N134" s="6">
        <f t="shared" ref="N134:N197" si="12">IF(M134&gt;=300000,1,0)</f>
        <v>1</v>
      </c>
      <c r="O134" s="9">
        <f t="shared" ref="O134:O197" si="13">M134/L134</f>
        <v>0.79396914446002809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1902400</v>
      </c>
      <c r="M135" s="2">
        <v>965400</v>
      </c>
      <c r="N135" s="6">
        <f t="shared" si="12"/>
        <v>1</v>
      </c>
      <c r="O135" s="9">
        <f t="shared" si="13"/>
        <v>0.50746425567703957</v>
      </c>
      <c r="P135" s="10">
        <v>5</v>
      </c>
      <c r="Q135" s="1">
        <f t="shared" si="14"/>
        <v>1</v>
      </c>
      <c r="R135" s="10">
        <v>5</v>
      </c>
      <c r="S135" s="10">
        <v>5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1899400</v>
      </c>
      <c r="M136" s="2">
        <v>1097400</v>
      </c>
      <c r="N136" s="6">
        <f t="shared" si="12"/>
        <v>1</v>
      </c>
      <c r="O136" s="9">
        <f t="shared" si="13"/>
        <v>0.57776139833631668</v>
      </c>
      <c r="P136" s="10">
        <v>4</v>
      </c>
      <c r="Q136" s="1">
        <f t="shared" si="14"/>
        <v>1</v>
      </c>
      <c r="R136" s="10">
        <v>20</v>
      </c>
      <c r="S136" s="10">
        <v>4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1902400</v>
      </c>
      <c r="M137" s="2">
        <v>797400</v>
      </c>
      <c r="N137" s="6">
        <f t="shared" si="12"/>
        <v>1</v>
      </c>
      <c r="O137" s="9">
        <f t="shared" si="13"/>
        <v>0.41915475189234652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5</v>
      </c>
      <c r="J138" s="1">
        <f t="shared" si="10"/>
        <v>1</v>
      </c>
      <c r="K138" s="5">
        <f t="shared" si="11"/>
        <v>1.6666666666666667</v>
      </c>
      <c r="L138" s="2">
        <v>5738000</v>
      </c>
      <c r="M138" s="2">
        <v>1600000</v>
      </c>
      <c r="N138" s="6">
        <f t="shared" si="12"/>
        <v>1</v>
      </c>
      <c r="O138" s="9">
        <f t="shared" si="13"/>
        <v>0.27884280237016384</v>
      </c>
      <c r="P138" s="10">
        <v>0</v>
      </c>
      <c r="Q138" s="1">
        <f t="shared" si="14"/>
        <v>0</v>
      </c>
      <c r="R138" s="10">
        <v>3</v>
      </c>
      <c r="S138" s="10">
        <v>0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4278000</v>
      </c>
      <c r="M139" s="2">
        <v>1151000</v>
      </c>
      <c r="N139" s="6">
        <f t="shared" si="12"/>
        <v>1</v>
      </c>
      <c r="O139" s="9">
        <f t="shared" si="13"/>
        <v>0.26905095839177184</v>
      </c>
      <c r="P139" s="10">
        <v>3</v>
      </c>
      <c r="Q139" s="1">
        <f t="shared" si="14"/>
        <v>1</v>
      </c>
      <c r="R139" s="10">
        <v>6</v>
      </c>
      <c r="S139" s="10">
        <v>3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7</v>
      </c>
      <c r="J140" s="1">
        <f t="shared" si="10"/>
        <v>1</v>
      </c>
      <c r="K140" s="5">
        <f t="shared" si="11"/>
        <v>2.3333333333333335</v>
      </c>
      <c r="L140" s="2">
        <v>5480000</v>
      </c>
      <c r="M140" s="2">
        <v>944000</v>
      </c>
      <c r="N140" s="6">
        <f t="shared" si="12"/>
        <v>1</v>
      </c>
      <c r="O140" s="9">
        <f t="shared" si="13"/>
        <v>0.17226277372262774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1840000</v>
      </c>
      <c r="M141" s="2">
        <v>529200</v>
      </c>
      <c r="N141" s="6">
        <f t="shared" si="12"/>
        <v>1</v>
      </c>
      <c r="O141" s="9">
        <f t="shared" si="13"/>
        <v>0.2876086956521739</v>
      </c>
      <c r="P141" s="10">
        <v>0</v>
      </c>
      <c r="Q141" s="1">
        <f t="shared" si="14"/>
        <v>0</v>
      </c>
      <c r="R141" s="10">
        <v>3</v>
      </c>
      <c r="S141" s="10">
        <v>0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3</v>
      </c>
      <c r="J142" s="4">
        <f t="shared" si="10"/>
        <v>1</v>
      </c>
      <c r="K142" s="5">
        <f t="shared" si="11"/>
        <v>1</v>
      </c>
      <c r="L142" s="2">
        <v>3814000</v>
      </c>
      <c r="M142" s="2">
        <v>375000</v>
      </c>
      <c r="N142" s="6">
        <f t="shared" si="12"/>
        <v>1</v>
      </c>
      <c r="O142" s="9">
        <f t="shared" si="13"/>
        <v>9.8321971683272155E-2</v>
      </c>
      <c r="P142" s="10">
        <v>0</v>
      </c>
      <c r="Q142" s="1">
        <f t="shared" si="14"/>
        <v>0</v>
      </c>
      <c r="R142" s="10">
        <v>3</v>
      </c>
      <c r="S142" s="10">
        <v>0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1840000</v>
      </c>
      <c r="M143" s="2">
        <v>833400</v>
      </c>
      <c r="N143" s="6">
        <f t="shared" si="12"/>
        <v>1</v>
      </c>
      <c r="O143" s="9">
        <f t="shared" si="13"/>
        <v>0.45293478260869563</v>
      </c>
      <c r="P143" s="10">
        <v>4</v>
      </c>
      <c r="Q143" s="1">
        <f t="shared" si="14"/>
        <v>1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12</v>
      </c>
      <c r="J144" s="4">
        <f t="shared" si="10"/>
        <v>1</v>
      </c>
      <c r="K144" s="5">
        <f t="shared" si="11"/>
        <v>0.92307692307692313</v>
      </c>
      <c r="L144" s="2">
        <v>4481000</v>
      </c>
      <c r="M144" s="2">
        <v>1487000</v>
      </c>
      <c r="N144" s="6">
        <f t="shared" si="12"/>
        <v>1</v>
      </c>
      <c r="O144" s="9">
        <f t="shared" si="13"/>
        <v>0.33184557018522653</v>
      </c>
      <c r="P144" s="10">
        <v>13</v>
      </c>
      <c r="Q144" s="1">
        <f t="shared" si="14"/>
        <v>1</v>
      </c>
      <c r="R144" s="10">
        <v>31</v>
      </c>
      <c r="S144" s="10">
        <v>14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3</v>
      </c>
      <c r="J145" s="1">
        <f t="shared" si="10"/>
        <v>1</v>
      </c>
      <c r="K145" s="5">
        <f t="shared" si="11"/>
        <v>1</v>
      </c>
      <c r="L145" s="2">
        <v>3575000</v>
      </c>
      <c r="M145" s="2">
        <v>792000</v>
      </c>
      <c r="N145" s="6">
        <f t="shared" si="12"/>
        <v>1</v>
      </c>
      <c r="O145" s="9">
        <f t="shared" si="13"/>
        <v>0.22153846153846155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3</v>
      </c>
      <c r="J146" s="1">
        <f t="shared" si="10"/>
        <v>1</v>
      </c>
      <c r="K146" s="5">
        <f t="shared" si="11"/>
        <v>1</v>
      </c>
      <c r="L146" s="2">
        <v>1706800</v>
      </c>
      <c r="M146" s="2">
        <v>1154700</v>
      </c>
      <c r="N146" s="6">
        <f t="shared" si="12"/>
        <v>1</v>
      </c>
      <c r="O146" s="9">
        <f t="shared" si="13"/>
        <v>0.67652917740801499</v>
      </c>
      <c r="P146" s="10">
        <v>0</v>
      </c>
      <c r="Q146" s="1">
        <f t="shared" si="14"/>
        <v>0</v>
      </c>
      <c r="R146" s="10">
        <v>3</v>
      </c>
      <c r="S146" s="10">
        <v>0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3</v>
      </c>
      <c r="J147" s="4">
        <f t="shared" si="10"/>
        <v>1</v>
      </c>
      <c r="K147" s="5">
        <f t="shared" si="11"/>
        <v>1</v>
      </c>
      <c r="L147" s="2">
        <v>2671600</v>
      </c>
      <c r="M147" s="2">
        <v>939300</v>
      </c>
      <c r="N147" s="6">
        <f t="shared" si="12"/>
        <v>1</v>
      </c>
      <c r="O147" s="9">
        <f t="shared" si="13"/>
        <v>0.35158706393172628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2608000</v>
      </c>
      <c r="M148" s="2">
        <v>607800</v>
      </c>
      <c r="N148" s="6">
        <f t="shared" si="12"/>
        <v>1</v>
      </c>
      <c r="O148" s="9">
        <f t="shared" si="13"/>
        <v>0.23305214723926379</v>
      </c>
      <c r="P148" s="10">
        <v>0</v>
      </c>
      <c r="Q148" s="1">
        <f t="shared" si="14"/>
        <v>0</v>
      </c>
      <c r="R148" s="10">
        <v>3</v>
      </c>
      <c r="S148" s="10">
        <v>2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2882800</v>
      </c>
      <c r="M149" s="2">
        <v>1621000</v>
      </c>
      <c r="N149" s="6">
        <f t="shared" si="12"/>
        <v>1</v>
      </c>
      <c r="O149" s="9">
        <f t="shared" si="13"/>
        <v>0.56230054114055783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1720000</v>
      </c>
      <c r="M150" s="2">
        <v>411000</v>
      </c>
      <c r="N150" s="6">
        <f t="shared" si="12"/>
        <v>1</v>
      </c>
      <c r="O150" s="9">
        <f t="shared" si="13"/>
        <v>0.23895348837209301</v>
      </c>
      <c r="P150" s="10">
        <v>0</v>
      </c>
      <c r="Q150" s="1">
        <f t="shared" si="14"/>
        <v>0</v>
      </c>
      <c r="R150" s="10">
        <v>4</v>
      </c>
      <c r="S150" s="10">
        <v>1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8</v>
      </c>
      <c r="J151" s="1">
        <f t="shared" si="10"/>
        <v>1</v>
      </c>
      <c r="K151" s="5">
        <f t="shared" si="11"/>
        <v>2.6666666666666665</v>
      </c>
      <c r="L151" s="2">
        <v>2022000</v>
      </c>
      <c r="M151" s="2">
        <v>744000</v>
      </c>
      <c r="N151" s="6">
        <f t="shared" si="12"/>
        <v>1</v>
      </c>
      <c r="O151" s="9">
        <f t="shared" si="13"/>
        <v>0.36795252225519287</v>
      </c>
      <c r="P151" s="10">
        <v>3</v>
      </c>
      <c r="Q151" s="1">
        <f t="shared" si="14"/>
        <v>1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21</v>
      </c>
      <c r="J152" s="1">
        <f t="shared" si="10"/>
        <v>1</v>
      </c>
      <c r="K152" s="5">
        <f t="shared" si="11"/>
        <v>4.2</v>
      </c>
      <c r="L152" s="2">
        <v>18542002</v>
      </c>
      <c r="M152" s="2">
        <v>15210000</v>
      </c>
      <c r="N152" s="6">
        <f t="shared" si="12"/>
        <v>1</v>
      </c>
      <c r="O152" s="9">
        <f t="shared" si="13"/>
        <v>0.82029977129761933</v>
      </c>
      <c r="P152" s="10">
        <v>5</v>
      </c>
      <c r="Q152" s="1">
        <f t="shared" si="14"/>
        <v>1</v>
      </c>
      <c r="R152" s="10">
        <v>6</v>
      </c>
      <c r="S152" s="10">
        <v>5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5</v>
      </c>
      <c r="J153" s="1">
        <f t="shared" si="10"/>
        <v>1</v>
      </c>
      <c r="K153" s="5">
        <f t="shared" si="11"/>
        <v>1.6666666666666667</v>
      </c>
      <c r="L153" s="2">
        <v>2408400</v>
      </c>
      <c r="M153" s="2">
        <v>450000</v>
      </c>
      <c r="N153" s="6">
        <f t="shared" si="12"/>
        <v>1</v>
      </c>
      <c r="O153" s="9">
        <f t="shared" si="13"/>
        <v>0.18684603886397608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5</v>
      </c>
      <c r="J154" s="4">
        <f t="shared" si="10"/>
        <v>1</v>
      </c>
      <c r="K154" s="5">
        <f t="shared" si="11"/>
        <v>1.6666666666666667</v>
      </c>
      <c r="L154" s="2">
        <v>2715000</v>
      </c>
      <c r="M154" s="2">
        <v>682000</v>
      </c>
      <c r="N154" s="6">
        <f t="shared" si="12"/>
        <v>1</v>
      </c>
      <c r="O154" s="9">
        <f t="shared" si="13"/>
        <v>0.25119705340699816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3</v>
      </c>
      <c r="J155" s="1">
        <f t="shared" si="10"/>
        <v>1</v>
      </c>
      <c r="K155" s="5">
        <f t="shared" si="11"/>
        <v>1</v>
      </c>
      <c r="L155" s="2">
        <v>3585000</v>
      </c>
      <c r="M155" s="2">
        <v>390000</v>
      </c>
      <c r="N155" s="6">
        <f t="shared" si="12"/>
        <v>1</v>
      </c>
      <c r="O155" s="9">
        <f t="shared" si="13"/>
        <v>0.10878661087866109</v>
      </c>
      <c r="P155" s="10">
        <v>0</v>
      </c>
      <c r="Q155" s="1">
        <f t="shared" si="14"/>
        <v>0</v>
      </c>
      <c r="R155" s="10">
        <v>3</v>
      </c>
      <c r="S155" s="10">
        <v>0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27</v>
      </c>
      <c r="J156" s="4">
        <f t="shared" si="10"/>
        <v>1</v>
      </c>
      <c r="K156" s="5">
        <f t="shared" si="11"/>
        <v>3.375</v>
      </c>
      <c r="L156" s="2">
        <v>5860000</v>
      </c>
      <c r="M156" s="2">
        <v>324000</v>
      </c>
      <c r="N156" s="6">
        <f t="shared" si="12"/>
        <v>1</v>
      </c>
      <c r="O156" s="9">
        <f t="shared" si="13"/>
        <v>5.5290102389078499E-2</v>
      </c>
      <c r="P156" s="10">
        <v>5</v>
      </c>
      <c r="Q156" s="1">
        <f t="shared" si="14"/>
        <v>1</v>
      </c>
      <c r="R156" s="10">
        <v>5</v>
      </c>
      <c r="S156" s="10">
        <v>43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3</v>
      </c>
      <c r="J157" s="1">
        <f t="shared" si="10"/>
        <v>1</v>
      </c>
      <c r="K157" s="5">
        <f t="shared" si="11"/>
        <v>0.75</v>
      </c>
      <c r="L157" s="2">
        <v>4600000</v>
      </c>
      <c r="M157" s="2">
        <v>258000</v>
      </c>
      <c r="N157" s="6">
        <f t="shared" si="12"/>
        <v>0</v>
      </c>
      <c r="O157" s="9">
        <f t="shared" si="13"/>
        <v>5.6086956521739131E-2</v>
      </c>
      <c r="P157" s="10">
        <v>24</v>
      </c>
      <c r="Q157" s="1">
        <f t="shared" si="14"/>
        <v>1</v>
      </c>
      <c r="R157" s="10">
        <v>6</v>
      </c>
      <c r="S157" s="10">
        <v>25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27</v>
      </c>
      <c r="J158" s="1">
        <f t="shared" si="10"/>
        <v>1</v>
      </c>
      <c r="K158" s="5">
        <f t="shared" si="11"/>
        <v>9</v>
      </c>
      <c r="L158" s="2">
        <v>5860000</v>
      </c>
      <c r="M158" s="2">
        <v>324000</v>
      </c>
      <c r="N158" s="6">
        <f t="shared" si="12"/>
        <v>1</v>
      </c>
      <c r="O158" s="9">
        <f t="shared" si="13"/>
        <v>5.5290102389078499E-2</v>
      </c>
      <c r="P158" s="10">
        <v>25</v>
      </c>
      <c r="Q158" s="1">
        <f t="shared" si="14"/>
        <v>1</v>
      </c>
      <c r="R158" s="10">
        <v>7</v>
      </c>
      <c r="S158" s="10">
        <v>65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8</v>
      </c>
      <c r="J159" s="4">
        <f t="shared" si="10"/>
        <v>1</v>
      </c>
      <c r="K159" s="5">
        <f t="shared" si="11"/>
        <v>2.6666666666666665</v>
      </c>
      <c r="L159" s="2">
        <v>12265000</v>
      </c>
      <c r="M159" s="2">
        <v>2301500</v>
      </c>
      <c r="N159" s="6">
        <f t="shared" si="12"/>
        <v>1</v>
      </c>
      <c r="O159" s="9">
        <f t="shared" si="13"/>
        <v>0.18764777823073786</v>
      </c>
      <c r="P159" s="10">
        <v>0</v>
      </c>
      <c r="Q159" s="1">
        <f t="shared" si="14"/>
        <v>0</v>
      </c>
      <c r="R159" s="10">
        <v>3</v>
      </c>
      <c r="S159" s="10">
        <v>3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8</v>
      </c>
      <c r="J160" s="4">
        <f t="shared" si="10"/>
        <v>1</v>
      </c>
      <c r="K160" s="5">
        <f t="shared" si="11"/>
        <v>1.3333333333333333</v>
      </c>
      <c r="L160" s="2">
        <v>17240000</v>
      </c>
      <c r="M160" s="2">
        <v>4753000</v>
      </c>
      <c r="N160" s="6">
        <f t="shared" si="12"/>
        <v>1</v>
      </c>
      <c r="O160" s="9">
        <f t="shared" si="13"/>
        <v>0.27569605568445477</v>
      </c>
      <c r="P160" s="10">
        <v>0</v>
      </c>
      <c r="Q160" s="1">
        <f t="shared" si="14"/>
        <v>0</v>
      </c>
      <c r="R160" s="10">
        <v>4</v>
      </c>
      <c r="S160" s="10">
        <v>3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44</v>
      </c>
      <c r="I161" s="1">
        <v>8</v>
      </c>
      <c r="J161" s="4">
        <f t="shared" si="10"/>
        <v>1</v>
      </c>
      <c r="K161" s="5">
        <f t="shared" si="11"/>
        <v>0.18181818181818182</v>
      </c>
      <c r="L161" s="2">
        <v>11620000</v>
      </c>
      <c r="M161" s="2">
        <v>180000</v>
      </c>
      <c r="N161" s="6">
        <f t="shared" si="12"/>
        <v>0</v>
      </c>
      <c r="O161" s="9">
        <f t="shared" si="13"/>
        <v>1.549053356282272E-2</v>
      </c>
      <c r="P161" s="10">
        <v>8</v>
      </c>
      <c r="Q161" s="1">
        <f t="shared" si="14"/>
        <v>1</v>
      </c>
      <c r="R161" s="10">
        <v>6</v>
      </c>
      <c r="S161" s="10">
        <v>9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13</v>
      </c>
      <c r="J162" s="4">
        <f t="shared" si="10"/>
        <v>1</v>
      </c>
      <c r="K162" s="5">
        <f t="shared" si="11"/>
        <v>1.8571428571428572</v>
      </c>
      <c r="L162" s="2">
        <v>11414000</v>
      </c>
      <c r="M162" s="2">
        <v>16437000</v>
      </c>
      <c r="N162" s="6">
        <f t="shared" si="12"/>
        <v>1</v>
      </c>
      <c r="O162" s="9">
        <f t="shared" si="13"/>
        <v>1.4400735938321361</v>
      </c>
      <c r="P162" s="10">
        <v>0</v>
      </c>
      <c r="Q162" s="1">
        <f t="shared" si="14"/>
        <v>0</v>
      </c>
      <c r="R162" s="10">
        <v>3</v>
      </c>
      <c r="S162" s="10">
        <v>3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8</v>
      </c>
      <c r="J163" s="1">
        <f t="shared" si="10"/>
        <v>1</v>
      </c>
      <c r="K163" s="5">
        <f t="shared" si="11"/>
        <v>2.6666666666666665</v>
      </c>
      <c r="L163" s="2">
        <v>9875548</v>
      </c>
      <c r="M163" s="2">
        <v>5910000</v>
      </c>
      <c r="N163" s="6">
        <f t="shared" si="12"/>
        <v>1</v>
      </c>
      <c r="O163" s="9">
        <f t="shared" si="13"/>
        <v>0.59844780259282826</v>
      </c>
      <c r="P163" s="10">
        <v>0</v>
      </c>
      <c r="Q163" s="1">
        <f t="shared" si="14"/>
        <v>0</v>
      </c>
      <c r="R163" s="10">
        <v>3</v>
      </c>
      <c r="S163" s="10">
        <v>0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3</v>
      </c>
      <c r="J164" s="1">
        <f t="shared" si="10"/>
        <v>1</v>
      </c>
      <c r="K164" s="5">
        <f t="shared" si="11"/>
        <v>1</v>
      </c>
      <c r="L164" s="2">
        <v>2398000</v>
      </c>
      <c r="M164" s="2">
        <v>654000</v>
      </c>
      <c r="N164" s="6">
        <f t="shared" si="12"/>
        <v>1</v>
      </c>
      <c r="O164" s="9">
        <f t="shared" si="13"/>
        <v>0.27272727272727271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3</v>
      </c>
      <c r="J165" s="4">
        <f t="shared" si="10"/>
        <v>1</v>
      </c>
      <c r="K165" s="5">
        <f t="shared" si="11"/>
        <v>1</v>
      </c>
      <c r="L165" s="2">
        <v>2577000</v>
      </c>
      <c r="M165" s="2">
        <v>607000</v>
      </c>
      <c r="N165" s="6">
        <f t="shared" si="12"/>
        <v>1</v>
      </c>
      <c r="O165" s="9">
        <f t="shared" si="13"/>
        <v>0.2355452076057431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3</v>
      </c>
      <c r="J166" s="1">
        <f t="shared" si="10"/>
        <v>1</v>
      </c>
      <c r="K166" s="5">
        <f t="shared" si="11"/>
        <v>1</v>
      </c>
      <c r="L166" s="2">
        <v>2884000</v>
      </c>
      <c r="M166" s="2">
        <v>1158000</v>
      </c>
      <c r="N166" s="6">
        <f t="shared" si="12"/>
        <v>1</v>
      </c>
      <c r="O166" s="9">
        <f t="shared" si="13"/>
        <v>0.40152565880721219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9</v>
      </c>
      <c r="I167" s="1">
        <v>3</v>
      </c>
      <c r="J167" s="4">
        <f t="shared" si="10"/>
        <v>1</v>
      </c>
      <c r="K167" s="5">
        <f t="shared" si="11"/>
        <v>0.33333333333333331</v>
      </c>
      <c r="L167" s="2">
        <v>5571500</v>
      </c>
      <c r="M167" s="2">
        <v>3185000</v>
      </c>
      <c r="N167" s="6">
        <f t="shared" si="12"/>
        <v>1</v>
      </c>
      <c r="O167" s="9">
        <f t="shared" si="13"/>
        <v>0.57165933770079869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3</v>
      </c>
      <c r="J168" s="4">
        <f t="shared" si="10"/>
        <v>1</v>
      </c>
      <c r="K168" s="5">
        <f t="shared" si="11"/>
        <v>1</v>
      </c>
      <c r="L168" s="2">
        <v>3833000</v>
      </c>
      <c r="M168" s="2">
        <v>1273000</v>
      </c>
      <c r="N168" s="6">
        <f t="shared" si="12"/>
        <v>1</v>
      </c>
      <c r="O168" s="9">
        <f t="shared" si="13"/>
        <v>0.33211583615966606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2709000</v>
      </c>
      <c r="M169" s="2">
        <v>1119000</v>
      </c>
      <c r="N169" s="6">
        <f t="shared" si="12"/>
        <v>1</v>
      </c>
      <c r="O169" s="9">
        <f t="shared" si="13"/>
        <v>0.41306755260243633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3</v>
      </c>
      <c r="J170" s="1">
        <f t="shared" si="10"/>
        <v>1</v>
      </c>
      <c r="K170" s="5">
        <f t="shared" si="11"/>
        <v>1</v>
      </c>
      <c r="L170" s="2">
        <v>5174500</v>
      </c>
      <c r="M170" s="2">
        <v>2212500</v>
      </c>
      <c r="N170" s="6">
        <f t="shared" si="12"/>
        <v>1</v>
      </c>
      <c r="O170" s="9">
        <f t="shared" si="13"/>
        <v>0.42757754372403128</v>
      </c>
      <c r="P170" s="10">
        <v>1</v>
      </c>
      <c r="Q170" s="1">
        <f t="shared" si="14"/>
        <v>0</v>
      </c>
      <c r="R170" s="10">
        <v>5</v>
      </c>
      <c r="S170" s="10">
        <v>1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3</v>
      </c>
      <c r="J171" s="4">
        <f t="shared" si="10"/>
        <v>1</v>
      </c>
      <c r="K171" s="5">
        <f t="shared" si="11"/>
        <v>0.375</v>
      </c>
      <c r="L171" s="2">
        <v>5024500</v>
      </c>
      <c r="M171" s="2">
        <v>511000</v>
      </c>
      <c r="N171" s="6">
        <f t="shared" si="12"/>
        <v>1</v>
      </c>
      <c r="O171" s="9">
        <f t="shared" si="13"/>
        <v>0.10170166185690119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3</v>
      </c>
      <c r="J172" s="4">
        <f t="shared" si="10"/>
        <v>1</v>
      </c>
      <c r="K172" s="5">
        <f t="shared" si="11"/>
        <v>1</v>
      </c>
      <c r="L172" s="2">
        <v>3571000</v>
      </c>
      <c r="M172" s="2">
        <v>877000</v>
      </c>
      <c r="N172" s="6">
        <f t="shared" si="12"/>
        <v>1</v>
      </c>
      <c r="O172" s="9">
        <f t="shared" si="13"/>
        <v>0.24558947073648837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3</v>
      </c>
      <c r="J173" s="4">
        <f t="shared" si="10"/>
        <v>1</v>
      </c>
      <c r="K173" s="5">
        <f t="shared" si="11"/>
        <v>0.375</v>
      </c>
      <c r="L173" s="2">
        <v>5396500</v>
      </c>
      <c r="M173" s="2">
        <v>343000</v>
      </c>
      <c r="N173" s="6">
        <f t="shared" si="12"/>
        <v>1</v>
      </c>
      <c r="O173" s="9">
        <f t="shared" si="13"/>
        <v>6.3559714629852687E-2</v>
      </c>
      <c r="P173" s="10">
        <v>5</v>
      </c>
      <c r="Q173" s="1">
        <f t="shared" si="14"/>
        <v>1</v>
      </c>
      <c r="R173" s="10">
        <v>14</v>
      </c>
      <c r="S173" s="10">
        <v>5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4600000</v>
      </c>
      <c r="M174" s="2">
        <v>1234000</v>
      </c>
      <c r="N174" s="6">
        <f t="shared" si="12"/>
        <v>1</v>
      </c>
      <c r="O174" s="9">
        <f t="shared" si="13"/>
        <v>0.26826086956521739</v>
      </c>
      <c r="P174" s="10">
        <v>0</v>
      </c>
      <c r="Q174" s="1">
        <f t="shared" si="14"/>
        <v>0</v>
      </c>
      <c r="R174" s="10">
        <v>9</v>
      </c>
      <c r="S174" s="10">
        <v>1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9658000</v>
      </c>
      <c r="M175" s="2">
        <v>327600</v>
      </c>
      <c r="N175" s="6">
        <f t="shared" si="12"/>
        <v>1</v>
      </c>
      <c r="O175" s="9">
        <f t="shared" si="13"/>
        <v>3.3920066266307725E-2</v>
      </c>
      <c r="P175" s="10">
        <v>5</v>
      </c>
      <c r="Q175" s="1">
        <f t="shared" si="14"/>
        <v>1</v>
      </c>
      <c r="R175" s="10">
        <v>6</v>
      </c>
      <c r="S175" s="10">
        <v>5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17180000</v>
      </c>
      <c r="M176" s="2">
        <v>117000</v>
      </c>
      <c r="N176" s="6">
        <f t="shared" si="12"/>
        <v>0</v>
      </c>
      <c r="O176" s="9">
        <f t="shared" si="13"/>
        <v>6.8102444703143188E-3</v>
      </c>
      <c r="P176" s="10">
        <v>0</v>
      </c>
      <c r="Q176" s="1">
        <f t="shared" si="14"/>
        <v>0</v>
      </c>
      <c r="R176" s="10">
        <v>5</v>
      </c>
      <c r="S176" s="10">
        <v>0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5180000</v>
      </c>
      <c r="M177" s="2">
        <v>327600</v>
      </c>
      <c r="N177" s="6">
        <f t="shared" si="12"/>
        <v>1</v>
      </c>
      <c r="O177" s="9">
        <f t="shared" si="13"/>
        <v>6.324324324324325E-2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24</v>
      </c>
      <c r="J178" s="4">
        <f t="shared" si="10"/>
        <v>1</v>
      </c>
      <c r="K178" s="5">
        <f t="shared" si="11"/>
        <v>0.54545454545454541</v>
      </c>
      <c r="L178" s="2">
        <v>9235000</v>
      </c>
      <c r="M178" s="2">
        <v>304200</v>
      </c>
      <c r="N178" s="6">
        <f t="shared" si="12"/>
        <v>1</v>
      </c>
      <c r="O178" s="9">
        <f t="shared" si="13"/>
        <v>3.2939902544667027E-2</v>
      </c>
      <c r="P178" s="10">
        <v>24</v>
      </c>
      <c r="Q178" s="1">
        <f t="shared" si="14"/>
        <v>1</v>
      </c>
      <c r="R178" s="10">
        <v>6</v>
      </c>
      <c r="S178" s="10">
        <v>65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3</v>
      </c>
      <c r="I179" s="1">
        <v>6</v>
      </c>
      <c r="J179" s="4">
        <f t="shared" si="10"/>
        <v>1</v>
      </c>
      <c r="K179" s="5">
        <f t="shared" si="11"/>
        <v>2</v>
      </c>
      <c r="L179" s="2">
        <v>6459500</v>
      </c>
      <c r="M179" s="2">
        <v>1820000</v>
      </c>
      <c r="N179" s="6">
        <f t="shared" si="12"/>
        <v>1</v>
      </c>
      <c r="O179" s="9">
        <f t="shared" si="13"/>
        <v>0.28175555383543616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3</v>
      </c>
      <c r="I180" s="1">
        <v>5</v>
      </c>
      <c r="J180" s="4">
        <f t="shared" si="10"/>
        <v>1</v>
      </c>
      <c r="K180" s="5">
        <f t="shared" si="11"/>
        <v>1.6666666666666667</v>
      </c>
      <c r="L180" s="2">
        <v>9354500</v>
      </c>
      <c r="M180" s="2">
        <v>3090000</v>
      </c>
      <c r="N180" s="6">
        <f t="shared" si="12"/>
        <v>1</v>
      </c>
      <c r="O180" s="9">
        <f t="shared" si="13"/>
        <v>0.33032230477310387</v>
      </c>
      <c r="P180" s="10">
        <v>3</v>
      </c>
      <c r="Q180" s="1">
        <f t="shared" si="14"/>
        <v>1</v>
      </c>
      <c r="R180" s="10">
        <v>3</v>
      </c>
      <c r="S180" s="10">
        <v>3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3</v>
      </c>
      <c r="I181" s="1">
        <v>20</v>
      </c>
      <c r="J181" s="1">
        <f t="shared" si="10"/>
        <v>1</v>
      </c>
      <c r="K181" s="5">
        <f t="shared" si="11"/>
        <v>6.666666666666667</v>
      </c>
      <c r="L181" s="2">
        <v>1645000</v>
      </c>
      <c r="M181" s="2">
        <v>572000</v>
      </c>
      <c r="N181" s="6">
        <f t="shared" si="12"/>
        <v>1</v>
      </c>
      <c r="O181" s="9">
        <f t="shared" si="13"/>
        <v>0.34772036474164136</v>
      </c>
      <c r="P181" s="10">
        <v>4</v>
      </c>
      <c r="Q181" s="1">
        <f t="shared" si="14"/>
        <v>1</v>
      </c>
      <c r="R181" s="10">
        <v>5</v>
      </c>
      <c r="S181" s="10">
        <v>44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3</v>
      </c>
      <c r="I182" s="1">
        <v>0</v>
      </c>
      <c r="J182" s="1">
        <f t="shared" si="10"/>
        <v>0</v>
      </c>
      <c r="K182" s="5">
        <f t="shared" si="11"/>
        <v>0</v>
      </c>
      <c r="L182" s="2">
        <v>1343000</v>
      </c>
      <c r="M182" s="2">
        <v>217000</v>
      </c>
      <c r="N182" s="6">
        <f t="shared" si="12"/>
        <v>0</v>
      </c>
      <c r="O182" s="9">
        <f t="shared" si="13"/>
        <v>0.16157855547282204</v>
      </c>
      <c r="P182" s="10">
        <v>4</v>
      </c>
      <c r="Q182" s="1">
        <f t="shared" si="14"/>
        <v>1</v>
      </c>
      <c r="R182" s="10">
        <v>14</v>
      </c>
      <c r="S182" s="10">
        <v>5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11</v>
      </c>
      <c r="J183" s="4">
        <f t="shared" si="10"/>
        <v>1</v>
      </c>
      <c r="K183" s="5">
        <f t="shared" si="11"/>
        <v>1.8333333333333333</v>
      </c>
      <c r="L183" s="2">
        <v>1897000</v>
      </c>
      <c r="M183" s="2">
        <v>1044000</v>
      </c>
      <c r="N183" s="6">
        <f t="shared" si="12"/>
        <v>1</v>
      </c>
      <c r="O183" s="9">
        <f t="shared" si="13"/>
        <v>0.55034264628360574</v>
      </c>
      <c r="P183" s="10">
        <v>0</v>
      </c>
      <c r="Q183" s="1">
        <f t="shared" si="14"/>
        <v>0</v>
      </c>
      <c r="R183" s="10">
        <v>26</v>
      </c>
      <c r="S183" s="10">
        <v>0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16</v>
      </c>
      <c r="J184" s="4">
        <f t="shared" si="10"/>
        <v>1</v>
      </c>
      <c r="K184" s="5">
        <f t="shared" si="11"/>
        <v>1.7777777777777777</v>
      </c>
      <c r="L184" s="2">
        <v>16804000</v>
      </c>
      <c r="M184" s="2">
        <v>5412000</v>
      </c>
      <c r="N184" s="6">
        <f t="shared" si="12"/>
        <v>1</v>
      </c>
      <c r="O184" s="9">
        <f t="shared" si="13"/>
        <v>0.32206617472030469</v>
      </c>
      <c r="P184" s="10">
        <v>21</v>
      </c>
      <c r="Q184" s="1">
        <f t="shared" si="14"/>
        <v>1</v>
      </c>
      <c r="R184" s="10">
        <v>39</v>
      </c>
      <c r="S184" s="10">
        <v>25</v>
      </c>
      <c r="T184" s="10">
        <v>4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13</v>
      </c>
      <c r="J185" s="1">
        <f t="shared" si="10"/>
        <v>1</v>
      </c>
      <c r="K185" s="5">
        <f t="shared" si="11"/>
        <v>2.1666666666666665</v>
      </c>
      <c r="L185" s="2">
        <v>3020000</v>
      </c>
      <c r="M185" s="2">
        <v>990000</v>
      </c>
      <c r="N185" s="6">
        <f t="shared" si="12"/>
        <v>1</v>
      </c>
      <c r="O185" s="9">
        <f t="shared" si="13"/>
        <v>0.32781456953642385</v>
      </c>
      <c r="P185" s="10">
        <v>0</v>
      </c>
      <c r="Q185" s="1">
        <f t="shared" si="14"/>
        <v>0</v>
      </c>
      <c r="R185" s="10">
        <v>23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5</v>
      </c>
      <c r="I186" s="1">
        <v>3</v>
      </c>
      <c r="J186" s="4">
        <f t="shared" si="10"/>
        <v>1</v>
      </c>
      <c r="K186" s="5">
        <f t="shared" si="11"/>
        <v>0.6</v>
      </c>
      <c r="L186" s="2">
        <v>3136000</v>
      </c>
      <c r="M186" s="2">
        <v>794000</v>
      </c>
      <c r="N186" s="6">
        <f t="shared" si="12"/>
        <v>1</v>
      </c>
      <c r="O186" s="9">
        <f t="shared" si="13"/>
        <v>0.25318877551020408</v>
      </c>
      <c r="P186" s="10">
        <v>5</v>
      </c>
      <c r="Q186" s="1">
        <f t="shared" si="14"/>
        <v>1</v>
      </c>
      <c r="R186" s="10">
        <v>7</v>
      </c>
      <c r="S186" s="10">
        <v>5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23</v>
      </c>
      <c r="J187" s="4">
        <f t="shared" si="10"/>
        <v>1</v>
      </c>
      <c r="K187" s="5">
        <f t="shared" si="11"/>
        <v>7.666666666666667</v>
      </c>
      <c r="L187" s="2">
        <v>31270000</v>
      </c>
      <c r="M187" s="2">
        <v>11160000</v>
      </c>
      <c r="N187" s="6">
        <f t="shared" si="12"/>
        <v>1</v>
      </c>
      <c r="O187" s="9">
        <f t="shared" si="13"/>
        <v>0.35689158938279503</v>
      </c>
      <c r="P187" s="10">
        <v>1</v>
      </c>
      <c r="Q187" s="1">
        <f t="shared" si="14"/>
        <v>0</v>
      </c>
      <c r="R187" s="10">
        <v>62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13</v>
      </c>
      <c r="J188" s="4">
        <f t="shared" si="10"/>
        <v>1</v>
      </c>
      <c r="K188" s="5">
        <f t="shared" si="11"/>
        <v>2.1666666666666665</v>
      </c>
      <c r="L188" s="2">
        <v>28774000</v>
      </c>
      <c r="M188" s="2">
        <v>5040000</v>
      </c>
      <c r="N188" s="6">
        <f t="shared" si="12"/>
        <v>1</v>
      </c>
      <c r="O188" s="9">
        <f t="shared" si="13"/>
        <v>0.17515812886633766</v>
      </c>
      <c r="P188" s="10">
        <v>4</v>
      </c>
      <c r="Q188" s="1">
        <f t="shared" si="14"/>
        <v>1</v>
      </c>
      <c r="R188" s="10">
        <v>64</v>
      </c>
      <c r="S188" s="10">
        <v>4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8</v>
      </c>
      <c r="I189" s="1">
        <v>3</v>
      </c>
      <c r="J189" s="4">
        <f t="shared" si="10"/>
        <v>1</v>
      </c>
      <c r="K189" s="5">
        <f t="shared" si="11"/>
        <v>0.375</v>
      </c>
      <c r="L189" s="2">
        <v>19195000</v>
      </c>
      <c r="M189" s="2">
        <v>1028000</v>
      </c>
      <c r="N189" s="6">
        <f t="shared" si="12"/>
        <v>1</v>
      </c>
      <c r="O189" s="9">
        <f t="shared" si="13"/>
        <v>5.3555613441000259E-2</v>
      </c>
      <c r="P189" s="10">
        <v>4</v>
      </c>
      <c r="Q189" s="1">
        <f t="shared" si="14"/>
        <v>1</v>
      </c>
      <c r="R189" s="10">
        <v>5</v>
      </c>
      <c r="S189" s="10">
        <v>4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13</v>
      </c>
      <c r="J190" s="4">
        <f t="shared" si="10"/>
        <v>1</v>
      </c>
      <c r="K190" s="5">
        <f t="shared" si="11"/>
        <v>2.1666666666666665</v>
      </c>
      <c r="L190" s="2">
        <v>1975000</v>
      </c>
      <c r="M190" s="2">
        <v>490000</v>
      </c>
      <c r="N190" s="6">
        <f t="shared" si="12"/>
        <v>1</v>
      </c>
      <c r="O190" s="9">
        <f t="shared" si="13"/>
        <v>0.2481012658227848</v>
      </c>
      <c r="P190" s="10">
        <v>0</v>
      </c>
      <c r="Q190" s="1">
        <f t="shared" si="14"/>
        <v>0</v>
      </c>
      <c r="R190" s="10">
        <v>7</v>
      </c>
      <c r="S190" s="10">
        <v>0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1</v>
      </c>
      <c r="J191" s="4">
        <f t="shared" si="10"/>
        <v>0</v>
      </c>
      <c r="K191" s="5">
        <f t="shared" si="11"/>
        <v>0.2</v>
      </c>
      <c r="L191" s="2">
        <v>4750000</v>
      </c>
      <c r="M191" s="2">
        <v>304200</v>
      </c>
      <c r="N191" s="6">
        <f t="shared" si="12"/>
        <v>1</v>
      </c>
      <c r="O191" s="9">
        <f t="shared" si="13"/>
        <v>6.40421052631579E-2</v>
      </c>
      <c r="P191" s="10">
        <v>5</v>
      </c>
      <c r="Q191" s="1">
        <f t="shared" si="14"/>
        <v>1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8710000</v>
      </c>
      <c r="M192" s="2">
        <v>1904200</v>
      </c>
      <c r="N192" s="6">
        <f t="shared" si="12"/>
        <v>1</v>
      </c>
      <c r="O192" s="9">
        <f t="shared" si="13"/>
        <v>0.21862227324913891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4</v>
      </c>
      <c r="I193" s="1">
        <v>0</v>
      </c>
      <c r="J193" s="4">
        <f t="shared" si="10"/>
        <v>0</v>
      </c>
      <c r="K193" s="5">
        <f t="shared" si="11"/>
        <v>0</v>
      </c>
      <c r="L193" s="2">
        <v>5675500</v>
      </c>
      <c r="M193" s="2">
        <v>3409000</v>
      </c>
      <c r="N193" s="6">
        <f t="shared" si="12"/>
        <v>1</v>
      </c>
      <c r="O193" s="9">
        <f t="shared" si="13"/>
        <v>0.60065192494053388</v>
      </c>
      <c r="P193" s="10">
        <v>5</v>
      </c>
      <c r="Q193" s="1">
        <f t="shared" si="14"/>
        <v>1</v>
      </c>
      <c r="R193" s="10">
        <v>15</v>
      </c>
      <c r="S193" s="10">
        <v>5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3</v>
      </c>
      <c r="J194" s="1">
        <f t="shared" si="10"/>
        <v>1</v>
      </c>
      <c r="K194" s="5">
        <f t="shared" si="11"/>
        <v>1</v>
      </c>
      <c r="L194" s="2">
        <v>1724000</v>
      </c>
      <c r="M194" s="2">
        <v>624000</v>
      </c>
      <c r="N194" s="6">
        <f t="shared" si="12"/>
        <v>1</v>
      </c>
      <c r="O194" s="9">
        <f t="shared" si="13"/>
        <v>0.3619489559164733</v>
      </c>
      <c r="P194" s="10">
        <v>0</v>
      </c>
      <c r="Q194" s="1">
        <f t="shared" si="14"/>
        <v>0</v>
      </c>
      <c r="R194" s="10">
        <v>11</v>
      </c>
      <c r="S194" s="10">
        <v>0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3</v>
      </c>
      <c r="J195" s="1">
        <f t="shared" si="10"/>
        <v>1</v>
      </c>
      <c r="K195" s="5">
        <f t="shared" si="11"/>
        <v>1</v>
      </c>
      <c r="L195" s="2">
        <v>1562000</v>
      </c>
      <c r="M195" s="2">
        <v>624000</v>
      </c>
      <c r="N195" s="6">
        <f t="shared" si="12"/>
        <v>1</v>
      </c>
      <c r="O195" s="9">
        <f t="shared" si="13"/>
        <v>0.39948783610755439</v>
      </c>
      <c r="P195" s="10">
        <v>2</v>
      </c>
      <c r="Q195" s="1">
        <f t="shared" si="14"/>
        <v>0</v>
      </c>
      <c r="R195" s="10">
        <v>3</v>
      </c>
      <c r="S195" s="10">
        <v>2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0</v>
      </c>
      <c r="J196" s="1">
        <f t="shared" si="10"/>
        <v>0</v>
      </c>
      <c r="K196" s="5">
        <f t="shared" si="11"/>
        <v>0</v>
      </c>
      <c r="L196" s="2">
        <v>5324500</v>
      </c>
      <c r="M196" s="2">
        <v>2045000</v>
      </c>
      <c r="N196" s="6">
        <f t="shared" si="12"/>
        <v>1</v>
      </c>
      <c r="O196" s="9">
        <f t="shared" si="13"/>
        <v>0.38407362193633204</v>
      </c>
      <c r="P196" s="10">
        <v>2</v>
      </c>
      <c r="Q196" s="1">
        <f t="shared" si="14"/>
        <v>0</v>
      </c>
      <c r="R196" s="10">
        <v>3</v>
      </c>
      <c r="S196" s="10">
        <v>2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3</v>
      </c>
      <c r="J197" s="1">
        <f t="shared" si="10"/>
        <v>1</v>
      </c>
      <c r="K197" s="5">
        <f t="shared" si="11"/>
        <v>0.375</v>
      </c>
      <c r="L197" s="2">
        <v>5390500</v>
      </c>
      <c r="M197" s="2">
        <v>456000</v>
      </c>
      <c r="N197" s="6">
        <f t="shared" si="12"/>
        <v>1</v>
      </c>
      <c r="O197" s="9">
        <f t="shared" si="13"/>
        <v>8.4593265930804198E-2</v>
      </c>
      <c r="P197" s="10">
        <v>4</v>
      </c>
      <c r="Q197" s="1">
        <f t="shared" si="14"/>
        <v>1</v>
      </c>
      <c r="R197" s="10">
        <v>5</v>
      </c>
      <c r="S197" s="10">
        <v>4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3</v>
      </c>
      <c r="J198" s="1">
        <f t="shared" ref="J198:J261" si="15">IF(I198&gt;=3,1,0)</f>
        <v>1</v>
      </c>
      <c r="K198" s="5">
        <f t="shared" ref="K198:K261" si="16">I198/H198</f>
        <v>1</v>
      </c>
      <c r="L198" s="2">
        <v>1690000</v>
      </c>
      <c r="M198" s="2">
        <v>624000</v>
      </c>
      <c r="N198" s="6">
        <f t="shared" ref="N198:N261" si="17">IF(M198&gt;=300000,1,0)</f>
        <v>1</v>
      </c>
      <c r="O198" s="9">
        <f t="shared" ref="O198:O261" si="18">M198/L198</f>
        <v>0.36923076923076925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4</v>
      </c>
      <c r="J199" s="1">
        <f t="shared" si="15"/>
        <v>1</v>
      </c>
      <c r="K199" s="5">
        <f t="shared" si="16"/>
        <v>1.3333333333333333</v>
      </c>
      <c r="L199" s="2">
        <v>1392000</v>
      </c>
      <c r="M199" s="2">
        <v>366000</v>
      </c>
      <c r="N199" s="6">
        <f t="shared" si="17"/>
        <v>1</v>
      </c>
      <c r="O199" s="9">
        <f t="shared" si="18"/>
        <v>0.26293103448275862</v>
      </c>
      <c r="P199" s="10">
        <v>4</v>
      </c>
      <c r="Q199" s="1">
        <f t="shared" si="19"/>
        <v>1</v>
      </c>
      <c r="R199" s="10">
        <v>3</v>
      </c>
      <c r="S199" s="10">
        <v>4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13</v>
      </c>
      <c r="J200" s="1">
        <f t="shared" si="15"/>
        <v>1</v>
      </c>
      <c r="K200" s="5">
        <f t="shared" si="16"/>
        <v>2.6</v>
      </c>
      <c r="L200" s="2">
        <v>3575000</v>
      </c>
      <c r="M200" s="2">
        <v>768000</v>
      </c>
      <c r="N200" s="6">
        <f t="shared" si="17"/>
        <v>1</v>
      </c>
      <c r="O200" s="9">
        <f t="shared" si="18"/>
        <v>0.21482517482517482</v>
      </c>
      <c r="P200" s="10">
        <v>4</v>
      </c>
      <c r="Q200" s="1">
        <f t="shared" si="19"/>
        <v>1</v>
      </c>
      <c r="R200" s="10">
        <v>5</v>
      </c>
      <c r="S200" s="10">
        <v>4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14</v>
      </c>
      <c r="J201" s="4">
        <f t="shared" si="15"/>
        <v>1</v>
      </c>
      <c r="K201" s="5">
        <f t="shared" si="16"/>
        <v>2.8</v>
      </c>
      <c r="L201" s="2">
        <v>3575000</v>
      </c>
      <c r="M201" s="2">
        <v>768000</v>
      </c>
      <c r="N201" s="6">
        <f t="shared" si="17"/>
        <v>1</v>
      </c>
      <c r="O201" s="9">
        <f t="shared" si="18"/>
        <v>0.21482517482517482</v>
      </c>
      <c r="P201" s="10">
        <v>4</v>
      </c>
      <c r="Q201" s="1">
        <f t="shared" si="19"/>
        <v>1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7250000</v>
      </c>
      <c r="M202" s="2">
        <v>4304200</v>
      </c>
      <c r="N202" s="6">
        <f t="shared" si="17"/>
        <v>1</v>
      </c>
      <c r="O202" s="9">
        <f t="shared" si="18"/>
        <v>0.59368275862068964</v>
      </c>
      <c r="P202" s="10">
        <v>4</v>
      </c>
      <c r="Q202" s="1">
        <f t="shared" si="19"/>
        <v>1</v>
      </c>
      <c r="R202" s="10">
        <v>3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3</v>
      </c>
      <c r="I203" s="1">
        <v>0</v>
      </c>
      <c r="J203" s="4">
        <f t="shared" si="15"/>
        <v>0</v>
      </c>
      <c r="K203" s="5">
        <f t="shared" si="16"/>
        <v>0</v>
      </c>
      <c r="L203" s="2">
        <v>11250000</v>
      </c>
      <c r="M203" s="2">
        <v>3804200</v>
      </c>
      <c r="N203" s="6">
        <f t="shared" si="17"/>
        <v>1</v>
      </c>
      <c r="O203" s="9">
        <f t="shared" si="18"/>
        <v>0.33815111111111112</v>
      </c>
      <c r="P203" s="10">
        <v>0</v>
      </c>
      <c r="Q203" s="1">
        <f t="shared" si="19"/>
        <v>0</v>
      </c>
      <c r="R203" s="10">
        <v>3</v>
      </c>
      <c r="S203" s="10">
        <v>3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3</v>
      </c>
      <c r="J204" s="1">
        <f t="shared" si="15"/>
        <v>1</v>
      </c>
      <c r="K204" s="5">
        <f t="shared" si="16"/>
        <v>0.16666666666666666</v>
      </c>
      <c r="L204" s="2">
        <v>1335000</v>
      </c>
      <c r="M204" s="2">
        <v>6446000</v>
      </c>
      <c r="N204" s="6">
        <f t="shared" si="17"/>
        <v>1</v>
      </c>
      <c r="O204" s="9">
        <f t="shared" si="18"/>
        <v>4.8284644194756554</v>
      </c>
      <c r="P204" s="10">
        <v>4</v>
      </c>
      <c r="Q204" s="1">
        <f t="shared" si="19"/>
        <v>1</v>
      </c>
      <c r="R204" s="10">
        <v>21</v>
      </c>
      <c r="S204" s="10">
        <v>4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14690000</v>
      </c>
      <c r="M205" s="2">
        <v>302000</v>
      </c>
      <c r="N205" s="6">
        <f t="shared" si="17"/>
        <v>1</v>
      </c>
      <c r="O205" s="9">
        <f t="shared" si="18"/>
        <v>2.0558202859087816E-2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1390000</v>
      </c>
      <c r="M206" s="2">
        <v>302000</v>
      </c>
      <c r="N206" s="6">
        <f t="shared" si="17"/>
        <v>1</v>
      </c>
      <c r="O206" s="9">
        <f t="shared" si="18"/>
        <v>0.21726618705035972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3</v>
      </c>
      <c r="J207" s="1">
        <f t="shared" si="15"/>
        <v>1</v>
      </c>
      <c r="K207" s="5">
        <f t="shared" si="16"/>
        <v>0.42857142857142855</v>
      </c>
      <c r="L207" s="2">
        <v>1792000</v>
      </c>
      <c r="M207" s="2">
        <v>626000</v>
      </c>
      <c r="N207" s="6">
        <f t="shared" si="17"/>
        <v>1</v>
      </c>
      <c r="O207" s="9">
        <f t="shared" si="18"/>
        <v>0.34933035714285715</v>
      </c>
      <c r="P207" s="10">
        <v>0</v>
      </c>
      <c r="Q207" s="1">
        <f t="shared" si="19"/>
        <v>0</v>
      </c>
      <c r="R207" s="10">
        <v>7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1</v>
      </c>
      <c r="J208" s="1">
        <f t="shared" si="15"/>
        <v>0</v>
      </c>
      <c r="K208" s="5">
        <f t="shared" si="16"/>
        <v>0.14285714285714285</v>
      </c>
      <c r="L208" s="2">
        <v>1771000</v>
      </c>
      <c r="M208" s="2">
        <v>666000</v>
      </c>
      <c r="N208" s="6">
        <f t="shared" si="17"/>
        <v>1</v>
      </c>
      <c r="O208" s="9">
        <f t="shared" si="18"/>
        <v>0.37605872388481082</v>
      </c>
      <c r="P208" s="10">
        <v>2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3</v>
      </c>
      <c r="J209" s="1">
        <f t="shared" si="15"/>
        <v>1</v>
      </c>
      <c r="K209" s="5">
        <f t="shared" si="16"/>
        <v>1</v>
      </c>
      <c r="L209" s="2">
        <v>1555000</v>
      </c>
      <c r="M209" s="2">
        <v>390000</v>
      </c>
      <c r="N209" s="6">
        <f t="shared" si="17"/>
        <v>1</v>
      </c>
      <c r="O209" s="9">
        <f t="shared" si="18"/>
        <v>0.25080385852090031</v>
      </c>
      <c r="P209" s="10">
        <v>0</v>
      </c>
      <c r="Q209" s="1">
        <f t="shared" si="19"/>
        <v>0</v>
      </c>
      <c r="R209" s="10">
        <v>3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0</v>
      </c>
      <c r="J210" s="1">
        <f t="shared" si="15"/>
        <v>0</v>
      </c>
      <c r="K210" s="5">
        <f t="shared" si="16"/>
        <v>0</v>
      </c>
      <c r="L210" s="2">
        <v>1558000</v>
      </c>
      <c r="M210" s="2">
        <v>132000</v>
      </c>
      <c r="N210" s="6">
        <f t="shared" si="17"/>
        <v>0</v>
      </c>
      <c r="O210" s="9">
        <f t="shared" si="18"/>
        <v>8.4724005134788186E-2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3</v>
      </c>
      <c r="J211" s="1">
        <f t="shared" si="15"/>
        <v>1</v>
      </c>
      <c r="K211" s="5">
        <f t="shared" si="16"/>
        <v>0.42857142857142855</v>
      </c>
      <c r="L211" s="2">
        <v>3181000</v>
      </c>
      <c r="M211" s="2">
        <v>456000</v>
      </c>
      <c r="N211" s="6">
        <f t="shared" si="17"/>
        <v>1</v>
      </c>
      <c r="O211" s="9">
        <f t="shared" si="18"/>
        <v>0.14335114743791261</v>
      </c>
      <c r="P211" s="10">
        <v>1</v>
      </c>
      <c r="Q211" s="1">
        <f t="shared" si="19"/>
        <v>0</v>
      </c>
      <c r="R211" s="10">
        <v>4</v>
      </c>
      <c r="S211" s="10">
        <v>1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1571000</v>
      </c>
      <c r="M212" s="2">
        <v>560000</v>
      </c>
      <c r="N212" s="6">
        <f t="shared" si="17"/>
        <v>1</v>
      </c>
      <c r="O212" s="9">
        <f t="shared" si="18"/>
        <v>0.35646085295989816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0</v>
      </c>
      <c r="J213" s="4">
        <f t="shared" si="15"/>
        <v>0</v>
      </c>
      <c r="K213" s="5">
        <f t="shared" si="16"/>
        <v>0</v>
      </c>
      <c r="L213" s="2">
        <v>15607000</v>
      </c>
      <c r="M213" s="2">
        <v>684000</v>
      </c>
      <c r="N213" s="6">
        <f t="shared" si="17"/>
        <v>1</v>
      </c>
      <c r="O213" s="9">
        <f t="shared" si="18"/>
        <v>4.3826488114307685E-2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3</v>
      </c>
      <c r="J214" s="4">
        <f t="shared" si="15"/>
        <v>1</v>
      </c>
      <c r="K214" s="5">
        <f t="shared" si="16"/>
        <v>1</v>
      </c>
      <c r="L214" s="2">
        <v>1481000</v>
      </c>
      <c r="M214" s="2">
        <v>626000</v>
      </c>
      <c r="N214" s="6">
        <f t="shared" si="17"/>
        <v>1</v>
      </c>
      <c r="O214" s="9">
        <f t="shared" si="18"/>
        <v>0.42268737339635382</v>
      </c>
      <c r="P214" s="10">
        <v>0</v>
      </c>
      <c r="Q214" s="1">
        <f t="shared" si="19"/>
        <v>0</v>
      </c>
      <c r="R214" s="10">
        <v>3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3</v>
      </c>
      <c r="J215" s="4">
        <f t="shared" si="15"/>
        <v>1</v>
      </c>
      <c r="K215" s="5">
        <f t="shared" si="16"/>
        <v>0.375</v>
      </c>
      <c r="L215" s="2">
        <v>1992000</v>
      </c>
      <c r="M215" s="2">
        <v>626000</v>
      </c>
      <c r="N215" s="6">
        <f t="shared" si="17"/>
        <v>1</v>
      </c>
      <c r="O215" s="9">
        <f t="shared" si="18"/>
        <v>0.31425702811244982</v>
      </c>
      <c r="P215" s="10">
        <v>5</v>
      </c>
      <c r="Q215" s="1">
        <f t="shared" si="19"/>
        <v>1</v>
      </c>
      <c r="R215" s="10">
        <v>8</v>
      </c>
      <c r="S215" s="10">
        <v>5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3</v>
      </c>
      <c r="J216" s="1">
        <f t="shared" si="15"/>
        <v>1</v>
      </c>
      <c r="K216" s="5">
        <f t="shared" si="16"/>
        <v>1</v>
      </c>
      <c r="L216" s="2">
        <v>2538000</v>
      </c>
      <c r="M216" s="2">
        <v>456000</v>
      </c>
      <c r="N216" s="6">
        <f t="shared" si="17"/>
        <v>1</v>
      </c>
      <c r="O216" s="9">
        <f t="shared" si="18"/>
        <v>0.17966903073286053</v>
      </c>
      <c r="P216" s="10">
        <v>0</v>
      </c>
      <c r="Q216" s="1">
        <f t="shared" si="19"/>
        <v>0</v>
      </c>
      <c r="R216" s="10">
        <v>3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3</v>
      </c>
      <c r="J217" s="4">
        <f t="shared" si="15"/>
        <v>1</v>
      </c>
      <c r="K217" s="5">
        <f t="shared" si="16"/>
        <v>1</v>
      </c>
      <c r="L217" s="2">
        <v>2198000</v>
      </c>
      <c r="M217" s="2">
        <v>456000</v>
      </c>
      <c r="N217" s="6">
        <f t="shared" si="17"/>
        <v>1</v>
      </c>
      <c r="O217" s="9">
        <f t="shared" si="18"/>
        <v>0.20746132848043677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3</v>
      </c>
      <c r="J218" s="1">
        <f t="shared" si="15"/>
        <v>1</v>
      </c>
      <c r="K218" s="5">
        <f t="shared" si="16"/>
        <v>1</v>
      </c>
      <c r="L218" s="2">
        <v>1728000</v>
      </c>
      <c r="M218" s="2">
        <v>456000</v>
      </c>
      <c r="N218" s="6">
        <f t="shared" si="17"/>
        <v>1</v>
      </c>
      <c r="O218" s="9">
        <f t="shared" si="18"/>
        <v>0.2638888888888889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3</v>
      </c>
      <c r="J219" s="1">
        <f t="shared" si="15"/>
        <v>1</v>
      </c>
      <c r="K219" s="5">
        <f t="shared" si="16"/>
        <v>1</v>
      </c>
      <c r="L219" s="2">
        <v>2873000</v>
      </c>
      <c r="M219" s="2">
        <v>456000</v>
      </c>
      <c r="N219" s="6">
        <f t="shared" si="17"/>
        <v>1</v>
      </c>
      <c r="O219" s="9">
        <f t="shared" si="18"/>
        <v>0.15871910894535329</v>
      </c>
      <c r="P219" s="10">
        <v>0</v>
      </c>
      <c r="Q219" s="1">
        <f t="shared" si="19"/>
        <v>0</v>
      </c>
      <c r="R219" s="10">
        <v>3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1890000</v>
      </c>
      <c r="M220" s="2">
        <v>302000</v>
      </c>
      <c r="N220" s="6">
        <f t="shared" si="17"/>
        <v>1</v>
      </c>
      <c r="O220" s="9">
        <f t="shared" si="18"/>
        <v>0.15978835978835979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13</v>
      </c>
      <c r="J221" s="1">
        <f t="shared" si="15"/>
        <v>1</v>
      </c>
      <c r="K221" s="5">
        <f t="shared" si="16"/>
        <v>4.333333333333333</v>
      </c>
      <c r="L221" s="2">
        <v>5017500</v>
      </c>
      <c r="M221" s="2">
        <v>1828000</v>
      </c>
      <c r="N221" s="6">
        <f t="shared" si="17"/>
        <v>1</v>
      </c>
      <c r="O221" s="9">
        <f t="shared" si="18"/>
        <v>0.36432486297957151</v>
      </c>
      <c r="P221" s="10">
        <v>19</v>
      </c>
      <c r="Q221" s="1">
        <f t="shared" si="19"/>
        <v>1</v>
      </c>
      <c r="R221" s="10">
        <v>32</v>
      </c>
      <c r="S221" s="10">
        <v>19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6</v>
      </c>
      <c r="J222" s="4">
        <f t="shared" si="15"/>
        <v>1</v>
      </c>
      <c r="K222" s="5">
        <f t="shared" si="16"/>
        <v>1.5</v>
      </c>
      <c r="L222" s="2">
        <v>19105000</v>
      </c>
      <c r="M222" s="2">
        <v>2648000</v>
      </c>
      <c r="N222" s="6">
        <f t="shared" si="17"/>
        <v>1</v>
      </c>
      <c r="O222" s="9">
        <f t="shared" si="18"/>
        <v>0.13860246008898194</v>
      </c>
      <c r="P222" s="10">
        <v>5</v>
      </c>
      <c r="Q222" s="1">
        <f t="shared" si="19"/>
        <v>1</v>
      </c>
      <c r="R222" s="10">
        <v>3</v>
      </c>
      <c r="S222" s="10">
        <v>5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4</v>
      </c>
      <c r="J223" s="1">
        <f t="shared" si="15"/>
        <v>1</v>
      </c>
      <c r="K223" s="5">
        <f t="shared" si="16"/>
        <v>1</v>
      </c>
      <c r="L223" s="2">
        <v>3961000</v>
      </c>
      <c r="M223" s="2">
        <v>1392000</v>
      </c>
      <c r="N223" s="6">
        <f t="shared" si="17"/>
        <v>1</v>
      </c>
      <c r="O223" s="9">
        <f t="shared" si="18"/>
        <v>0.35142640747286041</v>
      </c>
      <c r="P223" s="10">
        <v>2</v>
      </c>
      <c r="Q223" s="1">
        <f t="shared" si="19"/>
        <v>0</v>
      </c>
      <c r="R223" s="10">
        <v>3</v>
      </c>
      <c r="S223" s="10">
        <v>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3</v>
      </c>
      <c r="J224" s="1">
        <f t="shared" si="15"/>
        <v>1</v>
      </c>
      <c r="K224" s="5">
        <f t="shared" si="16"/>
        <v>0.6</v>
      </c>
      <c r="L224" s="2">
        <v>2290000</v>
      </c>
      <c r="M224" s="2">
        <v>577000</v>
      </c>
      <c r="N224" s="6">
        <f t="shared" si="17"/>
        <v>1</v>
      </c>
      <c r="O224" s="9">
        <f t="shared" si="18"/>
        <v>0.25196506550218339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3</v>
      </c>
      <c r="J225" s="4">
        <f t="shared" si="15"/>
        <v>1</v>
      </c>
      <c r="K225" s="5">
        <f t="shared" si="16"/>
        <v>0.375</v>
      </c>
      <c r="L225" s="2">
        <v>5205500</v>
      </c>
      <c r="M225" s="2">
        <v>2885000</v>
      </c>
      <c r="N225" s="6">
        <f t="shared" si="17"/>
        <v>1</v>
      </c>
      <c r="O225" s="9">
        <f t="shared" si="18"/>
        <v>0.5542214964940928</v>
      </c>
      <c r="P225" s="10">
        <v>0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3</v>
      </c>
      <c r="J226" s="4">
        <f t="shared" si="15"/>
        <v>1</v>
      </c>
      <c r="K226" s="5">
        <f t="shared" si="16"/>
        <v>1</v>
      </c>
      <c r="L226" s="2">
        <v>2497000</v>
      </c>
      <c r="M226" s="2">
        <v>745000</v>
      </c>
      <c r="N226" s="6">
        <f t="shared" si="17"/>
        <v>1</v>
      </c>
      <c r="O226" s="9">
        <f t="shared" si="18"/>
        <v>0.29835802963556268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3</v>
      </c>
      <c r="J227" s="1">
        <f t="shared" si="15"/>
        <v>1</v>
      </c>
      <c r="K227" s="5">
        <f t="shared" si="16"/>
        <v>1</v>
      </c>
      <c r="L227" s="2">
        <v>3211000</v>
      </c>
      <c r="M227" s="2">
        <v>2222000</v>
      </c>
      <c r="N227" s="6">
        <f t="shared" si="17"/>
        <v>1</v>
      </c>
      <c r="O227" s="9">
        <f t="shared" si="18"/>
        <v>0.69199626284646532</v>
      </c>
      <c r="P227" s="10">
        <v>1</v>
      </c>
      <c r="Q227" s="1">
        <f t="shared" si="19"/>
        <v>0</v>
      </c>
      <c r="R227" s="10">
        <v>8</v>
      </c>
      <c r="S227" s="10">
        <v>1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3</v>
      </c>
      <c r="J228" s="1">
        <f t="shared" si="15"/>
        <v>1</v>
      </c>
      <c r="K228" s="5">
        <f t="shared" si="16"/>
        <v>0.75</v>
      </c>
      <c r="L228" s="2">
        <v>3865000</v>
      </c>
      <c r="M228" s="2">
        <v>2090000</v>
      </c>
      <c r="N228" s="6">
        <f t="shared" si="17"/>
        <v>1</v>
      </c>
      <c r="O228" s="9">
        <f t="shared" si="18"/>
        <v>0.54075032341526519</v>
      </c>
      <c r="P228" s="10">
        <v>1</v>
      </c>
      <c r="Q228" s="1">
        <f t="shared" si="19"/>
        <v>0</v>
      </c>
      <c r="R228" s="10">
        <v>3</v>
      </c>
      <c r="S228" s="10">
        <v>1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3</v>
      </c>
      <c r="J229" s="1">
        <f t="shared" si="15"/>
        <v>1</v>
      </c>
      <c r="K229" s="5">
        <f t="shared" si="16"/>
        <v>1</v>
      </c>
      <c r="L229" s="2">
        <v>1805000</v>
      </c>
      <c r="M229" s="2">
        <v>560000</v>
      </c>
      <c r="N229" s="6">
        <f t="shared" si="17"/>
        <v>1</v>
      </c>
      <c r="O229" s="9">
        <f t="shared" si="18"/>
        <v>0.31024930747922436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3</v>
      </c>
      <c r="I230" s="1">
        <v>6</v>
      </c>
      <c r="J230" s="1">
        <f t="shared" si="15"/>
        <v>1</v>
      </c>
      <c r="K230" s="5">
        <f t="shared" si="16"/>
        <v>2</v>
      </c>
      <c r="L230" s="2">
        <v>18743000</v>
      </c>
      <c r="M230" s="2">
        <v>10180000</v>
      </c>
      <c r="N230" s="6">
        <f t="shared" si="17"/>
        <v>1</v>
      </c>
      <c r="O230" s="9">
        <f t="shared" si="18"/>
        <v>0.54313610414554769</v>
      </c>
      <c r="P230" s="10">
        <v>4</v>
      </c>
      <c r="Q230" s="1">
        <f t="shared" si="19"/>
        <v>1</v>
      </c>
      <c r="R230" s="10">
        <v>19</v>
      </c>
      <c r="S230" s="10">
        <v>4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4</v>
      </c>
      <c r="J231" s="4">
        <f t="shared" si="15"/>
        <v>1</v>
      </c>
      <c r="K231" s="5">
        <f t="shared" si="16"/>
        <v>1.3333333333333333</v>
      </c>
      <c r="L231" s="2">
        <v>1649000</v>
      </c>
      <c r="M231" s="2">
        <v>511000</v>
      </c>
      <c r="N231" s="6">
        <f t="shared" si="17"/>
        <v>1</v>
      </c>
      <c r="O231" s="9">
        <f t="shared" si="18"/>
        <v>0.30988477865372954</v>
      </c>
      <c r="P231" s="10">
        <v>29</v>
      </c>
      <c r="Q231" s="1">
        <f t="shared" si="19"/>
        <v>1</v>
      </c>
      <c r="R231" s="10">
        <v>8</v>
      </c>
      <c r="S231" s="10">
        <v>35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3</v>
      </c>
      <c r="J232" s="1">
        <f t="shared" si="15"/>
        <v>1</v>
      </c>
      <c r="K232" s="5">
        <f t="shared" si="16"/>
        <v>1</v>
      </c>
      <c r="L232" s="2">
        <v>3800000</v>
      </c>
      <c r="M232" s="2">
        <v>643000</v>
      </c>
      <c r="N232" s="6">
        <f t="shared" si="17"/>
        <v>1</v>
      </c>
      <c r="O232" s="9">
        <f t="shared" si="18"/>
        <v>0.16921052631578948</v>
      </c>
      <c r="P232" s="10">
        <v>1</v>
      </c>
      <c r="Q232" s="1">
        <f t="shared" si="19"/>
        <v>0</v>
      </c>
      <c r="R232" s="10">
        <v>10</v>
      </c>
      <c r="S232" s="10">
        <v>2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6</v>
      </c>
      <c r="J233" s="4">
        <f t="shared" si="15"/>
        <v>1</v>
      </c>
      <c r="K233" s="5">
        <f t="shared" si="16"/>
        <v>2</v>
      </c>
      <c r="L233" s="2">
        <v>19456000</v>
      </c>
      <c r="M233" s="2">
        <v>6395000</v>
      </c>
      <c r="N233" s="6">
        <f t="shared" si="17"/>
        <v>1</v>
      </c>
      <c r="O233" s="9">
        <f t="shared" si="18"/>
        <v>0.32869037828947367</v>
      </c>
      <c r="P233" s="10">
        <v>6</v>
      </c>
      <c r="Q233" s="1">
        <f t="shared" si="19"/>
        <v>1</v>
      </c>
      <c r="R233" s="10">
        <v>33</v>
      </c>
      <c r="S233" s="10">
        <v>6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6</v>
      </c>
      <c r="J234" s="1">
        <f t="shared" si="15"/>
        <v>1</v>
      </c>
      <c r="K234" s="5">
        <f t="shared" si="16"/>
        <v>2</v>
      </c>
      <c r="L234" s="2">
        <v>2668000</v>
      </c>
      <c r="M234" s="2">
        <v>782000</v>
      </c>
      <c r="N234" s="6">
        <f t="shared" si="17"/>
        <v>1</v>
      </c>
      <c r="O234" s="9">
        <f t="shared" si="18"/>
        <v>0.29310344827586204</v>
      </c>
      <c r="P234" s="10">
        <v>1</v>
      </c>
      <c r="Q234" s="1">
        <f t="shared" si="19"/>
        <v>0</v>
      </c>
      <c r="R234" s="10">
        <v>9</v>
      </c>
      <c r="S234" s="10">
        <v>3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18</v>
      </c>
      <c r="I235" s="1">
        <v>20</v>
      </c>
      <c r="J235" s="1">
        <f t="shared" si="15"/>
        <v>1</v>
      </c>
      <c r="K235" s="5">
        <f t="shared" si="16"/>
        <v>1.1111111111111112</v>
      </c>
      <c r="L235" s="2">
        <v>5758500</v>
      </c>
      <c r="M235" s="2">
        <v>6307000</v>
      </c>
      <c r="N235" s="6">
        <f t="shared" si="17"/>
        <v>1</v>
      </c>
      <c r="O235" s="9">
        <f t="shared" si="18"/>
        <v>1.0952504992619605</v>
      </c>
      <c r="P235" s="10">
        <v>100</v>
      </c>
      <c r="Q235" s="1">
        <f t="shared" si="19"/>
        <v>1</v>
      </c>
      <c r="R235" s="10">
        <v>8</v>
      </c>
      <c r="S235" s="10">
        <v>140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3</v>
      </c>
      <c r="I236" s="1">
        <v>3</v>
      </c>
      <c r="J236" s="1">
        <f t="shared" si="15"/>
        <v>1</v>
      </c>
      <c r="K236" s="5">
        <f t="shared" si="16"/>
        <v>1</v>
      </c>
      <c r="L236" s="2">
        <v>6076500</v>
      </c>
      <c r="M236" s="2">
        <v>1492000</v>
      </c>
      <c r="N236" s="6">
        <f t="shared" si="17"/>
        <v>1</v>
      </c>
      <c r="O236" s="9">
        <f t="shared" si="18"/>
        <v>0.24553608162593599</v>
      </c>
      <c r="P236" s="10">
        <v>3</v>
      </c>
      <c r="Q236" s="1">
        <f t="shared" si="19"/>
        <v>1</v>
      </c>
      <c r="R236" s="10">
        <v>10</v>
      </c>
      <c r="S236" s="10">
        <v>3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3</v>
      </c>
      <c r="J237" s="1">
        <f t="shared" si="15"/>
        <v>1</v>
      </c>
      <c r="K237" s="5">
        <f t="shared" si="16"/>
        <v>0.6</v>
      </c>
      <c r="L237" s="2">
        <v>1711000</v>
      </c>
      <c r="M237" s="2">
        <v>643000</v>
      </c>
      <c r="N237" s="6">
        <f t="shared" si="17"/>
        <v>1</v>
      </c>
      <c r="O237" s="9">
        <f t="shared" si="18"/>
        <v>0.37580362361192288</v>
      </c>
      <c r="P237" s="10">
        <v>4</v>
      </c>
      <c r="Q237" s="1">
        <f t="shared" si="19"/>
        <v>1</v>
      </c>
      <c r="R237" s="10">
        <v>8</v>
      </c>
      <c r="S237" s="10">
        <v>4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3</v>
      </c>
      <c r="J238" s="4">
        <f t="shared" si="15"/>
        <v>1</v>
      </c>
      <c r="K238" s="5">
        <f t="shared" si="16"/>
        <v>1</v>
      </c>
      <c r="L238" s="2">
        <v>1452000</v>
      </c>
      <c r="M238" s="2">
        <v>577000</v>
      </c>
      <c r="N238" s="6">
        <f t="shared" si="17"/>
        <v>1</v>
      </c>
      <c r="O238" s="9">
        <f t="shared" si="18"/>
        <v>0.39738292011019283</v>
      </c>
      <c r="P238" s="10">
        <v>44</v>
      </c>
      <c r="Q238" s="1">
        <f t="shared" si="19"/>
        <v>1</v>
      </c>
      <c r="R238" s="10">
        <v>4</v>
      </c>
      <c r="S238" s="10">
        <v>44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4</v>
      </c>
      <c r="J239" s="4">
        <f t="shared" si="15"/>
        <v>1</v>
      </c>
      <c r="K239" s="5">
        <f t="shared" si="16"/>
        <v>1.3333333333333333</v>
      </c>
      <c r="L239" s="2">
        <v>1325000</v>
      </c>
      <c r="M239" s="2">
        <v>2758000</v>
      </c>
      <c r="N239" s="6">
        <f t="shared" si="17"/>
        <v>1</v>
      </c>
      <c r="O239" s="9">
        <f t="shared" si="18"/>
        <v>2.081509433962264</v>
      </c>
      <c r="P239" s="10">
        <v>6</v>
      </c>
      <c r="Q239" s="1">
        <f t="shared" si="19"/>
        <v>1</v>
      </c>
      <c r="R239" s="10">
        <v>3</v>
      </c>
      <c r="S239" s="10">
        <v>6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3</v>
      </c>
      <c r="J240" s="1">
        <f t="shared" si="15"/>
        <v>1</v>
      </c>
      <c r="K240" s="5">
        <f t="shared" si="16"/>
        <v>1</v>
      </c>
      <c r="L240" s="2">
        <v>2262000</v>
      </c>
      <c r="M240" s="2">
        <v>877000</v>
      </c>
      <c r="N240" s="6">
        <f t="shared" si="17"/>
        <v>1</v>
      </c>
      <c r="O240" s="9">
        <f t="shared" si="18"/>
        <v>0.38770999115826704</v>
      </c>
      <c r="P240" s="10">
        <v>1</v>
      </c>
      <c r="Q240" s="1">
        <f t="shared" si="19"/>
        <v>0</v>
      </c>
      <c r="R240" s="10">
        <v>3</v>
      </c>
      <c r="S240" s="10">
        <v>1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2585000</v>
      </c>
      <c r="M241" s="2">
        <v>3891000</v>
      </c>
      <c r="N241" s="6">
        <f t="shared" si="17"/>
        <v>1</v>
      </c>
      <c r="O241" s="9">
        <f t="shared" si="18"/>
        <v>1.5052224371373308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3</v>
      </c>
      <c r="J242" s="4">
        <f t="shared" si="15"/>
        <v>1</v>
      </c>
      <c r="K242" s="5">
        <f t="shared" si="16"/>
        <v>1</v>
      </c>
      <c r="L242" s="2">
        <v>1745000</v>
      </c>
      <c r="M242" s="2">
        <v>511000</v>
      </c>
      <c r="N242" s="6">
        <f t="shared" si="17"/>
        <v>1</v>
      </c>
      <c r="O242" s="9">
        <f t="shared" si="18"/>
        <v>0.29283667621776505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15</v>
      </c>
      <c r="I243" s="1">
        <v>17</v>
      </c>
      <c r="J243" s="4">
        <f t="shared" si="15"/>
        <v>1</v>
      </c>
      <c r="K243" s="5">
        <f t="shared" si="16"/>
        <v>1.1333333333333333</v>
      </c>
      <c r="L243" s="2">
        <v>2826000</v>
      </c>
      <c r="M243" s="2">
        <v>655000</v>
      </c>
      <c r="N243" s="6">
        <f t="shared" si="17"/>
        <v>1</v>
      </c>
      <c r="O243" s="9">
        <f t="shared" si="18"/>
        <v>0.23177636234961077</v>
      </c>
      <c r="P243" s="10">
        <v>40</v>
      </c>
      <c r="Q243" s="1">
        <f t="shared" si="19"/>
        <v>1</v>
      </c>
      <c r="R243" s="10">
        <v>56</v>
      </c>
      <c r="S243" s="10">
        <v>53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33</v>
      </c>
      <c r="J244" s="4">
        <f t="shared" si="15"/>
        <v>1</v>
      </c>
      <c r="K244" s="5">
        <f t="shared" si="16"/>
        <v>11</v>
      </c>
      <c r="L244" s="2">
        <v>11690000</v>
      </c>
      <c r="M244" s="2">
        <v>1397000</v>
      </c>
      <c r="N244" s="6">
        <f t="shared" si="17"/>
        <v>1</v>
      </c>
      <c r="O244" s="9">
        <f t="shared" si="18"/>
        <v>0.1195038494439692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4696500</v>
      </c>
      <c r="M245" s="2">
        <v>4031000</v>
      </c>
      <c r="N245" s="6">
        <f t="shared" si="17"/>
        <v>1</v>
      </c>
      <c r="O245" s="9">
        <f t="shared" si="18"/>
        <v>0.85829873309911642</v>
      </c>
      <c r="P245" s="10">
        <v>5</v>
      </c>
      <c r="Q245" s="1">
        <f t="shared" si="19"/>
        <v>1</v>
      </c>
      <c r="R245" s="10">
        <v>3</v>
      </c>
      <c r="S245" s="10">
        <v>5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19</v>
      </c>
      <c r="J246" s="1">
        <f t="shared" si="15"/>
        <v>1</v>
      </c>
      <c r="K246" s="5">
        <f t="shared" si="16"/>
        <v>3.1666666666666665</v>
      </c>
      <c r="L246" s="2">
        <v>6933500</v>
      </c>
      <c r="M246" s="2">
        <v>4065000</v>
      </c>
      <c r="N246" s="6">
        <f t="shared" si="17"/>
        <v>1</v>
      </c>
      <c r="O246" s="9">
        <f t="shared" si="18"/>
        <v>0.58628398355808753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15</v>
      </c>
      <c r="J247" s="4">
        <f t="shared" si="15"/>
        <v>1</v>
      </c>
      <c r="K247" s="5">
        <f t="shared" si="16"/>
        <v>5</v>
      </c>
      <c r="L247" s="2">
        <v>3325000</v>
      </c>
      <c r="M247" s="2">
        <v>3654000</v>
      </c>
      <c r="N247" s="6">
        <f t="shared" si="17"/>
        <v>1</v>
      </c>
      <c r="O247" s="9">
        <f t="shared" si="18"/>
        <v>1.0989473684210527</v>
      </c>
      <c r="P247" s="10">
        <v>5</v>
      </c>
      <c r="Q247" s="1">
        <f t="shared" si="19"/>
        <v>1</v>
      </c>
      <c r="R247" s="10">
        <v>3</v>
      </c>
      <c r="S247" s="10">
        <v>0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14</v>
      </c>
      <c r="J248" s="1">
        <f t="shared" si="15"/>
        <v>1</v>
      </c>
      <c r="K248" s="5">
        <f t="shared" si="16"/>
        <v>4.666666666666667</v>
      </c>
      <c r="L248" s="2">
        <v>4482500</v>
      </c>
      <c r="M248" s="2">
        <v>913000</v>
      </c>
      <c r="N248" s="6">
        <f t="shared" si="17"/>
        <v>1</v>
      </c>
      <c r="O248" s="9">
        <f t="shared" si="18"/>
        <v>0.20368098159509201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16</v>
      </c>
      <c r="J249" s="4">
        <f t="shared" si="15"/>
        <v>1</v>
      </c>
      <c r="K249" s="5">
        <f t="shared" si="16"/>
        <v>2.6666666666666665</v>
      </c>
      <c r="L249" s="2">
        <v>7686500</v>
      </c>
      <c r="M249" s="2">
        <v>2344000</v>
      </c>
      <c r="N249" s="6">
        <f t="shared" si="17"/>
        <v>1</v>
      </c>
      <c r="O249" s="9">
        <f t="shared" si="18"/>
        <v>0.30495023742925909</v>
      </c>
      <c r="P249" s="10">
        <v>10</v>
      </c>
      <c r="Q249" s="1">
        <f t="shared" si="19"/>
        <v>1</v>
      </c>
      <c r="R249" s="10">
        <v>19</v>
      </c>
      <c r="S249" s="10">
        <v>11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19</v>
      </c>
      <c r="J250" s="1">
        <f t="shared" si="15"/>
        <v>1</v>
      </c>
      <c r="K250" s="5">
        <f t="shared" si="16"/>
        <v>3.1666666666666665</v>
      </c>
      <c r="L250" s="2">
        <v>6169000</v>
      </c>
      <c r="M250" s="2">
        <v>4166500</v>
      </c>
      <c r="N250" s="6">
        <f t="shared" si="17"/>
        <v>1</v>
      </c>
      <c r="O250" s="9">
        <f t="shared" si="18"/>
        <v>0.67539309450478202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23</v>
      </c>
      <c r="J251" s="4">
        <f t="shared" si="15"/>
        <v>1</v>
      </c>
      <c r="K251" s="5">
        <f t="shared" si="16"/>
        <v>7.666666666666667</v>
      </c>
      <c r="L251" s="2">
        <v>6035000</v>
      </c>
      <c r="M251" s="2">
        <v>4413000</v>
      </c>
      <c r="N251" s="6">
        <f t="shared" si="17"/>
        <v>1</v>
      </c>
      <c r="O251" s="9">
        <f t="shared" si="18"/>
        <v>0.73123446561723282</v>
      </c>
      <c r="P251" s="10">
        <v>3</v>
      </c>
      <c r="Q251" s="1">
        <f t="shared" si="19"/>
        <v>1</v>
      </c>
      <c r="R251" s="10">
        <v>3</v>
      </c>
      <c r="S251" s="10">
        <v>3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19</v>
      </c>
      <c r="J252" s="4">
        <f t="shared" si="15"/>
        <v>1</v>
      </c>
      <c r="K252" s="5">
        <f t="shared" si="16"/>
        <v>2.375</v>
      </c>
      <c r="L252" s="2">
        <v>4184000</v>
      </c>
      <c r="M252" s="2">
        <v>4598500</v>
      </c>
      <c r="N252" s="6">
        <f t="shared" si="17"/>
        <v>1</v>
      </c>
      <c r="O252" s="9">
        <f t="shared" si="18"/>
        <v>1.099067877629063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5</v>
      </c>
      <c r="J253" s="4">
        <f t="shared" si="15"/>
        <v>1</v>
      </c>
      <c r="K253" s="5">
        <f t="shared" si="16"/>
        <v>1.6666666666666667</v>
      </c>
      <c r="L253" s="2">
        <v>1825000</v>
      </c>
      <c r="M253" s="2">
        <v>150000</v>
      </c>
      <c r="N253" s="6">
        <f t="shared" si="17"/>
        <v>0</v>
      </c>
      <c r="O253" s="9">
        <f t="shared" si="18"/>
        <v>8.2191780821917804E-2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3</v>
      </c>
      <c r="J254" s="1">
        <f t="shared" si="15"/>
        <v>1</v>
      </c>
      <c r="K254" s="5">
        <f t="shared" si="16"/>
        <v>1</v>
      </c>
      <c r="L254" s="2">
        <v>3850000</v>
      </c>
      <c r="M254" s="2">
        <v>90000</v>
      </c>
      <c r="N254" s="6">
        <f t="shared" si="17"/>
        <v>0</v>
      </c>
      <c r="O254" s="9">
        <f t="shared" si="18"/>
        <v>2.3376623376623377E-2</v>
      </c>
      <c r="P254" s="10">
        <v>6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4</v>
      </c>
      <c r="I255" s="1">
        <v>6</v>
      </c>
      <c r="J255" s="4">
        <f t="shared" si="15"/>
        <v>1</v>
      </c>
      <c r="K255" s="5">
        <f t="shared" si="16"/>
        <v>1.5</v>
      </c>
      <c r="L255" s="2">
        <v>9474000</v>
      </c>
      <c r="M255" s="2">
        <v>982000</v>
      </c>
      <c r="N255" s="6">
        <f t="shared" si="17"/>
        <v>1</v>
      </c>
      <c r="O255" s="9">
        <f t="shared" si="18"/>
        <v>0.10365210048553937</v>
      </c>
      <c r="P255" s="10">
        <v>0</v>
      </c>
      <c r="Q255" s="1">
        <f t="shared" si="19"/>
        <v>0</v>
      </c>
      <c r="R255" s="10">
        <v>3</v>
      </c>
      <c r="S255" s="10">
        <v>1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11</v>
      </c>
      <c r="J256" s="1">
        <f t="shared" si="15"/>
        <v>1</v>
      </c>
      <c r="K256" s="5">
        <f t="shared" si="16"/>
        <v>1.375</v>
      </c>
      <c r="L256" s="2">
        <v>9904800</v>
      </c>
      <c r="M256" s="2">
        <v>3720200</v>
      </c>
      <c r="N256" s="6">
        <f t="shared" si="17"/>
        <v>1</v>
      </c>
      <c r="O256" s="9">
        <f t="shared" si="18"/>
        <v>0.37559567078588157</v>
      </c>
      <c r="P256" s="10">
        <v>2</v>
      </c>
      <c r="Q256" s="1">
        <f t="shared" si="19"/>
        <v>0</v>
      </c>
      <c r="R256" s="10">
        <v>3</v>
      </c>
      <c r="S256" s="10">
        <v>6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18</v>
      </c>
      <c r="I257" s="1">
        <v>0</v>
      </c>
      <c r="J257" s="4">
        <f t="shared" si="15"/>
        <v>0</v>
      </c>
      <c r="K257" s="5">
        <f t="shared" si="16"/>
        <v>0</v>
      </c>
      <c r="L257" s="2">
        <v>6628000</v>
      </c>
      <c r="M257" s="2">
        <v>351000</v>
      </c>
      <c r="N257" s="6">
        <f t="shared" si="17"/>
        <v>1</v>
      </c>
      <c r="O257" s="9">
        <f t="shared" si="18"/>
        <v>5.2957151478575742E-2</v>
      </c>
      <c r="P257" s="10">
        <v>1</v>
      </c>
      <c r="Q257" s="1">
        <f t="shared" si="19"/>
        <v>0</v>
      </c>
      <c r="R257" s="10">
        <v>3</v>
      </c>
      <c r="S257" s="10">
        <v>1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23</v>
      </c>
      <c r="J258" s="1">
        <f t="shared" si="15"/>
        <v>1</v>
      </c>
      <c r="K258" s="5">
        <f t="shared" si="16"/>
        <v>7.666666666666667</v>
      </c>
      <c r="L258" s="2">
        <v>4554000</v>
      </c>
      <c r="M258" s="2">
        <v>1841000</v>
      </c>
      <c r="N258" s="6">
        <f t="shared" si="17"/>
        <v>1</v>
      </c>
      <c r="O258" s="9">
        <f t="shared" si="18"/>
        <v>0.40425999121651296</v>
      </c>
      <c r="P258" s="10">
        <v>0</v>
      </c>
      <c r="Q258" s="1">
        <f t="shared" si="19"/>
        <v>0</v>
      </c>
      <c r="R258" s="10">
        <v>62</v>
      </c>
      <c r="S258" s="10">
        <v>3</v>
      </c>
      <c r="T258" s="10">
        <v>1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13</v>
      </c>
      <c r="J259" s="1">
        <f t="shared" si="15"/>
        <v>1</v>
      </c>
      <c r="K259" s="5">
        <f t="shared" si="16"/>
        <v>1.4444444444444444</v>
      </c>
      <c r="L259" s="2">
        <v>4326000</v>
      </c>
      <c r="M259" s="2">
        <v>960000</v>
      </c>
      <c r="N259" s="6">
        <f t="shared" si="17"/>
        <v>1</v>
      </c>
      <c r="O259" s="9">
        <f t="shared" si="18"/>
        <v>0.22191400832177532</v>
      </c>
      <c r="P259" s="10">
        <v>0</v>
      </c>
      <c r="Q259" s="1">
        <f t="shared" si="19"/>
        <v>0</v>
      </c>
      <c r="R259" s="10">
        <v>3</v>
      </c>
      <c r="S259" s="10">
        <v>0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4090000</v>
      </c>
      <c r="M260" s="2">
        <v>826200</v>
      </c>
      <c r="N260" s="6">
        <f t="shared" si="17"/>
        <v>1</v>
      </c>
      <c r="O260" s="9">
        <f t="shared" si="18"/>
        <v>0.20200488997555013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3</v>
      </c>
      <c r="J261" s="4">
        <f t="shared" si="15"/>
        <v>1</v>
      </c>
      <c r="K261" s="5">
        <f t="shared" si="16"/>
        <v>0.13043478260869565</v>
      </c>
      <c r="L261" s="2">
        <v>1873600</v>
      </c>
      <c r="M261" s="2">
        <v>784800</v>
      </c>
      <c r="N261" s="6">
        <f t="shared" si="17"/>
        <v>1</v>
      </c>
      <c r="O261" s="9">
        <f t="shared" si="18"/>
        <v>0.4188727583262169</v>
      </c>
      <c r="P261" s="10">
        <v>8</v>
      </c>
      <c r="Q261" s="1">
        <f t="shared" si="19"/>
        <v>1</v>
      </c>
      <c r="R261" s="10">
        <v>20</v>
      </c>
      <c r="S261" s="10">
        <v>8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6</v>
      </c>
      <c r="J262" s="1">
        <f t="shared" ref="J262:J315" si="20">IF(I262&gt;=3,1,0)</f>
        <v>1</v>
      </c>
      <c r="K262" s="5">
        <f t="shared" ref="K262:K315" si="21">I262/H262</f>
        <v>2</v>
      </c>
      <c r="L262" s="2">
        <v>1840000</v>
      </c>
      <c r="M262" s="2">
        <v>1103400</v>
      </c>
      <c r="N262" s="6">
        <f t="shared" ref="N262:N315" si="22">IF(M262&gt;=300000,1,0)</f>
        <v>1</v>
      </c>
      <c r="O262" s="9">
        <f t="shared" ref="O262:O315" si="23">M262/L262</f>
        <v>0.59967391304347828</v>
      </c>
      <c r="P262" s="10">
        <v>4</v>
      </c>
      <c r="Q262" s="1">
        <f t="shared" ref="Q262:Q315" si="24">IF(P262&gt;=3,1,0)</f>
        <v>1</v>
      </c>
      <c r="R262" s="10">
        <v>3</v>
      </c>
      <c r="S262" s="10">
        <v>4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3</v>
      </c>
      <c r="J263" s="4">
        <f t="shared" si="20"/>
        <v>1</v>
      </c>
      <c r="K263" s="5">
        <f t="shared" si="21"/>
        <v>1</v>
      </c>
      <c r="L263" s="2">
        <v>1840000</v>
      </c>
      <c r="M263" s="2">
        <v>745200</v>
      </c>
      <c r="N263" s="6">
        <f t="shared" si="22"/>
        <v>1</v>
      </c>
      <c r="O263" s="9">
        <f t="shared" si="23"/>
        <v>0.40500000000000003</v>
      </c>
      <c r="P263" s="10">
        <v>0</v>
      </c>
      <c r="Q263" s="1">
        <f t="shared" si="24"/>
        <v>0</v>
      </c>
      <c r="R263" s="10">
        <v>3</v>
      </c>
      <c r="S263" s="10">
        <v>0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0</v>
      </c>
      <c r="J264" s="4">
        <f t="shared" si="20"/>
        <v>0</v>
      </c>
      <c r="K264" s="5">
        <f t="shared" si="21"/>
        <v>0</v>
      </c>
      <c r="L264" s="2">
        <v>1820000</v>
      </c>
      <c r="M264" s="2">
        <v>761100</v>
      </c>
      <c r="N264" s="6">
        <f t="shared" si="22"/>
        <v>1</v>
      </c>
      <c r="O264" s="9">
        <f t="shared" si="23"/>
        <v>0.41818681318681317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6</v>
      </c>
      <c r="J265" s="1">
        <f t="shared" si="20"/>
        <v>1</v>
      </c>
      <c r="K265" s="5">
        <f t="shared" si="21"/>
        <v>0.2608695652173913</v>
      </c>
      <c r="L265" s="2">
        <v>2549200</v>
      </c>
      <c r="M265" s="2">
        <v>1695100</v>
      </c>
      <c r="N265" s="6">
        <f t="shared" si="22"/>
        <v>1</v>
      </c>
      <c r="O265" s="9">
        <f t="shared" si="23"/>
        <v>0.66495371096814682</v>
      </c>
      <c r="P265" s="10">
        <v>5</v>
      </c>
      <c r="Q265" s="1">
        <f t="shared" si="24"/>
        <v>1</v>
      </c>
      <c r="R265" s="10">
        <v>20</v>
      </c>
      <c r="S265" s="10">
        <v>5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4785200</v>
      </c>
      <c r="M266" s="2">
        <v>1023000</v>
      </c>
      <c r="N266" s="6">
        <f t="shared" si="22"/>
        <v>1</v>
      </c>
      <c r="O266" s="9">
        <f t="shared" si="23"/>
        <v>0.21378416785087354</v>
      </c>
      <c r="P266" s="10">
        <v>0</v>
      </c>
      <c r="Q266" s="1">
        <f t="shared" si="24"/>
        <v>0</v>
      </c>
      <c r="R266" s="10">
        <v>3</v>
      </c>
      <c r="S266" s="10">
        <v>0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6</v>
      </c>
      <c r="J267" s="4">
        <f t="shared" si="20"/>
        <v>1</v>
      </c>
      <c r="K267" s="5">
        <f t="shared" si="21"/>
        <v>2</v>
      </c>
      <c r="L267" s="2">
        <v>2918800</v>
      </c>
      <c r="M267" s="2">
        <v>1596400</v>
      </c>
      <c r="N267" s="6">
        <f t="shared" si="22"/>
        <v>1</v>
      </c>
      <c r="O267" s="9">
        <f t="shared" si="23"/>
        <v>0.54693709743730301</v>
      </c>
      <c r="P267" s="10">
        <v>0</v>
      </c>
      <c r="Q267" s="1">
        <f t="shared" si="24"/>
        <v>0</v>
      </c>
      <c r="R267" s="10">
        <v>3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10595000</v>
      </c>
      <c r="M268" s="2">
        <v>2435000</v>
      </c>
      <c r="N268" s="6">
        <f t="shared" si="22"/>
        <v>1</v>
      </c>
      <c r="O268" s="9">
        <f t="shared" si="23"/>
        <v>0.22982538933459179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6865000</v>
      </c>
      <c r="M269" s="2">
        <v>3035000</v>
      </c>
      <c r="N269" s="6">
        <f t="shared" si="22"/>
        <v>1</v>
      </c>
      <c r="O269" s="9">
        <f t="shared" si="23"/>
        <v>0.44209759650400582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7607500</v>
      </c>
      <c r="M270" s="2">
        <v>2350000</v>
      </c>
      <c r="N270" s="6">
        <f t="shared" si="22"/>
        <v>1</v>
      </c>
      <c r="O270" s="9">
        <f t="shared" si="23"/>
        <v>0.30890568517909955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17267500</v>
      </c>
      <c r="M271" s="2">
        <v>300000</v>
      </c>
      <c r="N271" s="6">
        <f t="shared" si="22"/>
        <v>1</v>
      </c>
      <c r="O271" s="9">
        <f t="shared" si="23"/>
        <v>1.73736788765021E-2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23</v>
      </c>
      <c r="J272" s="1">
        <f t="shared" si="20"/>
        <v>1</v>
      </c>
      <c r="K272" s="5">
        <f t="shared" si="21"/>
        <v>0.38983050847457629</v>
      </c>
      <c r="L272" s="2">
        <v>19453000</v>
      </c>
      <c r="M272" s="2">
        <v>4479000</v>
      </c>
      <c r="N272" s="6">
        <f t="shared" si="22"/>
        <v>1</v>
      </c>
      <c r="O272" s="9">
        <f t="shared" si="23"/>
        <v>0.2302472626330129</v>
      </c>
      <c r="P272" s="10">
        <v>3</v>
      </c>
      <c r="Q272" s="1">
        <f t="shared" si="24"/>
        <v>1</v>
      </c>
      <c r="R272" s="10">
        <v>3</v>
      </c>
      <c r="S272" s="10">
        <v>5</v>
      </c>
      <c r="T272" s="10">
        <v>2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4</v>
      </c>
      <c r="J273" s="4">
        <f t="shared" si="20"/>
        <v>1</v>
      </c>
      <c r="K273" s="5">
        <f t="shared" si="21"/>
        <v>0.66666666666666663</v>
      </c>
      <c r="L273" s="2">
        <v>9640000</v>
      </c>
      <c r="M273" s="2">
        <v>873000</v>
      </c>
      <c r="N273" s="6">
        <f t="shared" si="22"/>
        <v>1</v>
      </c>
      <c r="O273" s="9">
        <f t="shared" si="23"/>
        <v>9.0560165975103732E-2</v>
      </c>
      <c r="P273" s="10">
        <v>12</v>
      </c>
      <c r="Q273" s="1">
        <f t="shared" si="24"/>
        <v>1</v>
      </c>
      <c r="R273" s="10">
        <v>23</v>
      </c>
      <c r="S273" s="10">
        <v>12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3</v>
      </c>
      <c r="J274" s="1">
        <f t="shared" si="20"/>
        <v>1</v>
      </c>
      <c r="K274" s="5">
        <f t="shared" si="21"/>
        <v>1</v>
      </c>
      <c r="L274" s="2">
        <v>5819000</v>
      </c>
      <c r="M274" s="2">
        <v>2993000</v>
      </c>
      <c r="N274" s="6">
        <f t="shared" si="22"/>
        <v>1</v>
      </c>
      <c r="O274" s="9">
        <f t="shared" si="23"/>
        <v>0.51434954459529125</v>
      </c>
      <c r="P274" s="10">
        <v>5</v>
      </c>
      <c r="Q274" s="1">
        <f t="shared" si="24"/>
        <v>1</v>
      </c>
      <c r="R274" s="10">
        <v>5</v>
      </c>
      <c r="S274" s="10">
        <v>6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3</v>
      </c>
      <c r="J276" s="1">
        <f t="shared" si="20"/>
        <v>1</v>
      </c>
      <c r="K276" s="5">
        <f t="shared" si="21"/>
        <v>1</v>
      </c>
      <c r="L276" s="2">
        <v>3850000</v>
      </c>
      <c r="M276" s="2">
        <v>119000</v>
      </c>
      <c r="N276" s="6">
        <f t="shared" si="22"/>
        <v>0</v>
      </c>
      <c r="O276" s="9">
        <f t="shared" si="23"/>
        <v>3.090909090909091E-2</v>
      </c>
      <c r="P276" s="10">
        <v>7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5654000</v>
      </c>
      <c r="M277" s="2">
        <v>304200</v>
      </c>
      <c r="N277" s="6">
        <f t="shared" si="22"/>
        <v>1</v>
      </c>
      <c r="O277" s="9">
        <f t="shared" si="23"/>
        <v>5.380261761584719E-2</v>
      </c>
      <c r="P277" s="10">
        <v>1</v>
      </c>
      <c r="Q277" s="1">
        <f t="shared" si="24"/>
        <v>0</v>
      </c>
      <c r="R277" s="10">
        <v>3</v>
      </c>
      <c r="S277" s="10">
        <v>4</v>
      </c>
      <c r="T277" s="10">
        <v>1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1</v>
      </c>
      <c r="J278" s="1">
        <f t="shared" si="20"/>
        <v>0</v>
      </c>
      <c r="K278" s="5">
        <f t="shared" si="21"/>
        <v>7.6923076923076927E-2</v>
      </c>
      <c r="L278" s="2">
        <v>4600000</v>
      </c>
      <c r="M278" s="2">
        <v>304200</v>
      </c>
      <c r="N278" s="6">
        <f t="shared" si="22"/>
        <v>1</v>
      </c>
      <c r="O278" s="9">
        <f t="shared" si="23"/>
        <v>6.6130434782608702E-2</v>
      </c>
      <c r="P278" s="10">
        <v>8</v>
      </c>
      <c r="Q278" s="1">
        <f t="shared" si="24"/>
        <v>1</v>
      </c>
      <c r="R278" s="10">
        <v>5</v>
      </c>
      <c r="S278" s="10">
        <v>8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6190000</v>
      </c>
      <c r="M279" s="2">
        <v>304200</v>
      </c>
      <c r="N279" s="6">
        <f t="shared" si="22"/>
        <v>1</v>
      </c>
      <c r="O279" s="9">
        <f t="shared" si="23"/>
        <v>4.9143780290791597E-2</v>
      </c>
      <c r="P279" s="10">
        <v>4</v>
      </c>
      <c r="Q279" s="1">
        <f t="shared" si="24"/>
        <v>1</v>
      </c>
      <c r="R279" s="10">
        <v>5</v>
      </c>
      <c r="S279" s="10">
        <v>4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8</v>
      </c>
      <c r="J280" s="4">
        <f t="shared" si="20"/>
        <v>1</v>
      </c>
      <c r="K280" s="5">
        <f t="shared" si="21"/>
        <v>1.1428571428571428</v>
      </c>
      <c r="L280" s="2">
        <v>9806500</v>
      </c>
      <c r="M280" s="2">
        <v>1801000</v>
      </c>
      <c r="N280" s="6">
        <f t="shared" si="22"/>
        <v>1</v>
      </c>
      <c r="O280" s="9">
        <f t="shared" si="23"/>
        <v>0.18365369907714271</v>
      </c>
      <c r="P280" s="10">
        <v>3</v>
      </c>
      <c r="Q280" s="1">
        <f t="shared" si="24"/>
        <v>1</v>
      </c>
      <c r="R280" s="10">
        <v>11</v>
      </c>
      <c r="S280" s="10">
        <v>3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13</v>
      </c>
      <c r="J281" s="1">
        <f t="shared" si="20"/>
        <v>1</v>
      </c>
      <c r="K281" s="5">
        <f t="shared" si="21"/>
        <v>1.625</v>
      </c>
      <c r="L281" s="2">
        <v>6498000</v>
      </c>
      <c r="M281" s="2">
        <v>1951000</v>
      </c>
      <c r="N281" s="6">
        <f t="shared" si="22"/>
        <v>1</v>
      </c>
      <c r="O281" s="9">
        <f t="shared" si="23"/>
        <v>0.30024622960911052</v>
      </c>
      <c r="P281" s="10">
        <v>3</v>
      </c>
      <c r="Q281" s="1">
        <f t="shared" si="24"/>
        <v>1</v>
      </c>
      <c r="R281" s="10">
        <v>3</v>
      </c>
      <c r="S281" s="10">
        <v>3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3</v>
      </c>
      <c r="J282" s="1">
        <f t="shared" si="20"/>
        <v>1</v>
      </c>
      <c r="K282" s="5">
        <f t="shared" si="21"/>
        <v>0.375</v>
      </c>
      <c r="L282" s="2">
        <v>5349000</v>
      </c>
      <c r="M282" s="2">
        <v>4551000</v>
      </c>
      <c r="N282" s="6">
        <f t="shared" si="22"/>
        <v>1</v>
      </c>
      <c r="O282" s="9">
        <f t="shared" si="23"/>
        <v>0.8508132361189007</v>
      </c>
      <c r="P282" s="10">
        <v>3</v>
      </c>
      <c r="Q282" s="1">
        <f t="shared" si="24"/>
        <v>1</v>
      </c>
      <c r="R282" s="10">
        <v>3</v>
      </c>
      <c r="S282" s="10">
        <v>3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3655000</v>
      </c>
      <c r="M283" s="2">
        <v>4551000</v>
      </c>
      <c r="N283" s="6">
        <f t="shared" si="22"/>
        <v>1</v>
      </c>
      <c r="O283" s="9">
        <f t="shared" si="23"/>
        <v>1.2451436388508892</v>
      </c>
      <c r="P283" s="10">
        <v>3</v>
      </c>
      <c r="Q283" s="1">
        <f t="shared" si="24"/>
        <v>1</v>
      </c>
      <c r="R283" s="10">
        <v>3</v>
      </c>
      <c r="S283" s="10">
        <v>3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3</v>
      </c>
      <c r="J284" s="4">
        <f t="shared" si="20"/>
        <v>1</v>
      </c>
      <c r="K284" s="5">
        <f t="shared" si="21"/>
        <v>0.375</v>
      </c>
      <c r="L284" s="2">
        <v>4830000</v>
      </c>
      <c r="M284" s="2">
        <v>3161000</v>
      </c>
      <c r="N284" s="6">
        <f t="shared" si="22"/>
        <v>1</v>
      </c>
      <c r="O284" s="9">
        <f t="shared" si="23"/>
        <v>0.65445134575569364</v>
      </c>
      <c r="P284" s="10">
        <v>3</v>
      </c>
      <c r="Q284" s="1">
        <f t="shared" si="24"/>
        <v>1</v>
      </c>
      <c r="R284" s="10">
        <v>3</v>
      </c>
      <c r="S284" s="10">
        <v>3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3</v>
      </c>
      <c r="J285" s="4">
        <f t="shared" si="20"/>
        <v>1</v>
      </c>
      <c r="K285" s="5">
        <f t="shared" si="21"/>
        <v>0.375</v>
      </c>
      <c r="L285" s="2">
        <v>12053000</v>
      </c>
      <c r="M285" s="2">
        <v>1566000</v>
      </c>
      <c r="N285" s="6">
        <f t="shared" si="22"/>
        <v>1</v>
      </c>
      <c r="O285" s="9">
        <f t="shared" si="23"/>
        <v>0.12992615946237451</v>
      </c>
      <c r="P285" s="10">
        <v>3</v>
      </c>
      <c r="Q285" s="1">
        <f t="shared" si="24"/>
        <v>1</v>
      </c>
      <c r="R285" s="10">
        <v>3</v>
      </c>
      <c r="S285" s="10">
        <v>3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3</v>
      </c>
      <c r="J286" s="1">
        <f t="shared" si="20"/>
        <v>1</v>
      </c>
      <c r="K286" s="5">
        <f t="shared" si="21"/>
        <v>0.375</v>
      </c>
      <c r="L286" s="2">
        <v>4509000</v>
      </c>
      <c r="M286" s="2">
        <v>3869000</v>
      </c>
      <c r="N286" s="6">
        <f t="shared" si="22"/>
        <v>1</v>
      </c>
      <c r="O286" s="9">
        <f t="shared" si="23"/>
        <v>0.85806165446884008</v>
      </c>
      <c r="P286" s="10">
        <v>3</v>
      </c>
      <c r="Q286" s="1">
        <f t="shared" si="24"/>
        <v>1</v>
      </c>
      <c r="R286" s="10">
        <v>3</v>
      </c>
      <c r="S286" s="10">
        <v>3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3850000</v>
      </c>
      <c r="M287" s="2">
        <v>148000</v>
      </c>
      <c r="N287" s="6">
        <f t="shared" si="22"/>
        <v>0</v>
      </c>
      <c r="O287" s="9">
        <f t="shared" si="23"/>
        <v>3.8441558441558443E-2</v>
      </c>
      <c r="P287" s="10">
        <v>6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3</v>
      </c>
      <c r="J288" s="4">
        <f t="shared" si="20"/>
        <v>1</v>
      </c>
      <c r="K288" s="5">
        <f t="shared" si="21"/>
        <v>0.75</v>
      </c>
      <c r="L288" s="2">
        <v>1790000</v>
      </c>
      <c r="M288" s="2">
        <v>502000</v>
      </c>
      <c r="N288" s="6">
        <f t="shared" si="22"/>
        <v>1</v>
      </c>
      <c r="O288" s="9">
        <f t="shared" si="23"/>
        <v>0.28044692737430166</v>
      </c>
      <c r="P288" s="10">
        <v>2</v>
      </c>
      <c r="Q288" s="1">
        <f t="shared" si="24"/>
        <v>0</v>
      </c>
      <c r="R288" s="10">
        <v>4</v>
      </c>
      <c r="S288" s="10">
        <v>2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3</v>
      </c>
      <c r="J289" s="4">
        <f t="shared" si="20"/>
        <v>1</v>
      </c>
      <c r="K289" s="5">
        <f t="shared" si="21"/>
        <v>1</v>
      </c>
      <c r="L289" s="2">
        <v>3098000</v>
      </c>
      <c r="M289" s="2">
        <v>1126000</v>
      </c>
      <c r="N289" s="6">
        <f t="shared" si="22"/>
        <v>1</v>
      </c>
      <c r="O289" s="9">
        <f t="shared" si="23"/>
        <v>0.36346029696578436</v>
      </c>
      <c r="P289" s="10">
        <v>5</v>
      </c>
      <c r="Q289" s="1">
        <f t="shared" si="24"/>
        <v>1</v>
      </c>
      <c r="R289" s="10">
        <v>6</v>
      </c>
      <c r="S289" s="10">
        <v>5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3</v>
      </c>
      <c r="J290" s="1">
        <f t="shared" si="20"/>
        <v>1</v>
      </c>
      <c r="K290" s="5">
        <f t="shared" si="21"/>
        <v>0.375</v>
      </c>
      <c r="L290" s="2">
        <v>1535000</v>
      </c>
      <c r="M290" s="2">
        <v>560000</v>
      </c>
      <c r="N290" s="6">
        <f t="shared" si="22"/>
        <v>1</v>
      </c>
      <c r="O290" s="9">
        <f t="shared" si="23"/>
        <v>0.36482084690553745</v>
      </c>
      <c r="P290" s="10">
        <v>4</v>
      </c>
      <c r="Q290" s="1">
        <f t="shared" si="24"/>
        <v>1</v>
      </c>
      <c r="R290" s="10">
        <v>5</v>
      </c>
      <c r="S290" s="10">
        <v>4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3</v>
      </c>
      <c r="J291" s="4">
        <f t="shared" si="20"/>
        <v>1</v>
      </c>
      <c r="K291" s="5">
        <f t="shared" si="21"/>
        <v>1</v>
      </c>
      <c r="L291" s="2">
        <v>2016000</v>
      </c>
      <c r="M291" s="2">
        <v>626000</v>
      </c>
      <c r="N291" s="6">
        <f t="shared" si="22"/>
        <v>1</v>
      </c>
      <c r="O291" s="9">
        <f t="shared" si="23"/>
        <v>0.31051587301587302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3</v>
      </c>
      <c r="J292" s="1">
        <f t="shared" si="20"/>
        <v>1</v>
      </c>
      <c r="K292" s="5">
        <f t="shared" si="21"/>
        <v>0.6</v>
      </c>
      <c r="L292" s="2">
        <v>3575000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4</v>
      </c>
      <c r="Q292" s="1">
        <f t="shared" si="24"/>
        <v>1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4</v>
      </c>
      <c r="J293" s="4">
        <f t="shared" si="20"/>
        <v>1</v>
      </c>
      <c r="K293" s="5">
        <f t="shared" si="21"/>
        <v>0.8</v>
      </c>
      <c r="L293" s="2">
        <v>3575000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4</v>
      </c>
      <c r="Q293" s="1">
        <f t="shared" si="24"/>
        <v>1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4740000</v>
      </c>
      <c r="M294" s="2">
        <v>1266000</v>
      </c>
      <c r="N294" s="6">
        <f t="shared" si="22"/>
        <v>1</v>
      </c>
      <c r="O294" s="9">
        <f t="shared" si="23"/>
        <v>0.26708860759493669</v>
      </c>
      <c r="P294" s="10">
        <v>3</v>
      </c>
      <c r="Q294" s="1">
        <f t="shared" si="24"/>
        <v>1</v>
      </c>
      <c r="R294" s="10">
        <v>3</v>
      </c>
      <c r="S294" s="10">
        <v>3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13</v>
      </c>
      <c r="J295" s="1">
        <f t="shared" si="20"/>
        <v>1</v>
      </c>
      <c r="K295" s="5">
        <f t="shared" si="21"/>
        <v>4.333333333333333</v>
      </c>
      <c r="L295" s="2">
        <v>4765000</v>
      </c>
      <c r="M295" s="2">
        <v>1951000</v>
      </c>
      <c r="N295" s="6">
        <f t="shared" si="22"/>
        <v>1</v>
      </c>
      <c r="O295" s="9">
        <f t="shared" si="23"/>
        <v>0.40944386149003148</v>
      </c>
      <c r="P295" s="10">
        <v>3</v>
      </c>
      <c r="Q295" s="1">
        <f t="shared" si="24"/>
        <v>1</v>
      </c>
      <c r="R295" s="10">
        <v>3</v>
      </c>
      <c r="S295" s="10">
        <v>3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7115000</v>
      </c>
      <c r="M296" s="2">
        <v>1266000</v>
      </c>
      <c r="N296" s="6">
        <f t="shared" si="22"/>
        <v>1</v>
      </c>
      <c r="O296" s="9">
        <f t="shared" si="23"/>
        <v>0.17793394237526353</v>
      </c>
      <c r="P296" s="10">
        <v>9</v>
      </c>
      <c r="Q296" s="1">
        <f t="shared" si="24"/>
        <v>1</v>
      </c>
      <c r="R296" s="10">
        <v>3</v>
      </c>
      <c r="S296" s="10">
        <v>9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6062500</v>
      </c>
      <c r="M297" s="2">
        <v>2385000</v>
      </c>
      <c r="N297" s="6">
        <f t="shared" si="22"/>
        <v>1</v>
      </c>
      <c r="O297" s="9">
        <f t="shared" si="23"/>
        <v>0.39340206185567012</v>
      </c>
      <c r="P297" s="10">
        <v>1</v>
      </c>
      <c r="Q297" s="1">
        <f t="shared" si="24"/>
        <v>0</v>
      </c>
      <c r="R297" s="10">
        <v>3</v>
      </c>
      <c r="S297" s="10">
        <v>1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12213500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21</v>
      </c>
      <c r="I299" s="1">
        <v>0</v>
      </c>
      <c r="J299" s="4">
        <f t="shared" si="20"/>
        <v>0</v>
      </c>
      <c r="K299" s="5">
        <f t="shared" si="21"/>
        <v>0</v>
      </c>
      <c r="L299" s="2">
        <v>6672500</v>
      </c>
      <c r="M299" s="2">
        <v>2735000</v>
      </c>
      <c r="N299" s="6">
        <f t="shared" si="22"/>
        <v>1</v>
      </c>
      <c r="O299" s="9">
        <f t="shared" si="23"/>
        <v>0.40989134507306108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3</v>
      </c>
      <c r="J300" s="4">
        <f t="shared" si="20"/>
        <v>1</v>
      </c>
      <c r="K300" s="5">
        <f t="shared" si="21"/>
        <v>0.375</v>
      </c>
      <c r="L300" s="2">
        <v>5434500</v>
      </c>
      <c r="M300" s="2">
        <v>522000</v>
      </c>
      <c r="N300" s="6">
        <f t="shared" si="22"/>
        <v>1</v>
      </c>
      <c r="O300" s="9">
        <f t="shared" si="23"/>
        <v>9.6052994755727303E-2</v>
      </c>
      <c r="P300" s="10">
        <v>5</v>
      </c>
      <c r="Q300" s="1">
        <f t="shared" si="24"/>
        <v>1</v>
      </c>
      <c r="R300" s="10">
        <v>21</v>
      </c>
      <c r="S300" s="10">
        <v>5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3</v>
      </c>
      <c r="J301" s="4">
        <f t="shared" si="20"/>
        <v>1</v>
      </c>
      <c r="K301" s="5">
        <f t="shared" si="21"/>
        <v>0.375</v>
      </c>
      <c r="L301" s="2">
        <v>3493000</v>
      </c>
      <c r="M301" s="2">
        <v>654000</v>
      </c>
      <c r="N301" s="6">
        <f t="shared" si="22"/>
        <v>1</v>
      </c>
      <c r="O301" s="9">
        <f t="shared" si="23"/>
        <v>0.18723160606928141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3</v>
      </c>
      <c r="J302" s="1">
        <f t="shared" si="20"/>
        <v>1</v>
      </c>
      <c r="K302" s="5">
        <f t="shared" si="21"/>
        <v>1</v>
      </c>
      <c r="L302" s="2">
        <v>2219000</v>
      </c>
      <c r="M302" s="2">
        <v>522000</v>
      </c>
      <c r="N302" s="6">
        <f t="shared" si="22"/>
        <v>1</v>
      </c>
      <c r="O302" s="9">
        <f t="shared" si="23"/>
        <v>0.23524109959441189</v>
      </c>
      <c r="P302" s="10">
        <v>2</v>
      </c>
      <c r="Q302" s="1">
        <f t="shared" si="24"/>
        <v>0</v>
      </c>
      <c r="R302" s="10">
        <v>3</v>
      </c>
      <c r="S302" s="10">
        <v>2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3054400</v>
      </c>
      <c r="M303" s="2">
        <v>528600</v>
      </c>
      <c r="N303" s="6">
        <f t="shared" si="22"/>
        <v>1</v>
      </c>
      <c r="O303" s="9">
        <f t="shared" si="23"/>
        <v>0.17306181246726035</v>
      </c>
      <c r="P303" s="10">
        <v>7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1325000</v>
      </c>
      <c r="M304" s="2">
        <v>436200</v>
      </c>
      <c r="N304" s="6">
        <f t="shared" si="22"/>
        <v>1</v>
      </c>
      <c r="O304" s="9">
        <f t="shared" si="23"/>
        <v>0.32920754716981132</v>
      </c>
      <c r="P304" s="10">
        <v>7</v>
      </c>
      <c r="Q304" s="1">
        <f t="shared" si="24"/>
        <v>1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3</v>
      </c>
      <c r="I305" s="1">
        <v>23</v>
      </c>
      <c r="J305" s="4">
        <f t="shared" si="20"/>
        <v>1</v>
      </c>
      <c r="K305" s="5">
        <f t="shared" si="21"/>
        <v>7.666666666666667</v>
      </c>
      <c r="L305" s="2">
        <v>1662000</v>
      </c>
      <c r="M305" s="2">
        <v>673000</v>
      </c>
      <c r="N305" s="6">
        <f t="shared" si="22"/>
        <v>1</v>
      </c>
      <c r="O305" s="9">
        <f t="shared" si="23"/>
        <v>0.40493381468110712</v>
      </c>
      <c r="P305" s="10">
        <v>8</v>
      </c>
      <c r="Q305" s="1">
        <f t="shared" si="24"/>
        <v>1</v>
      </c>
      <c r="R305" s="10">
        <v>20</v>
      </c>
      <c r="S305" s="10">
        <v>49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3</v>
      </c>
      <c r="I306" s="1">
        <v>3</v>
      </c>
      <c r="J306" s="4">
        <f t="shared" si="20"/>
        <v>1</v>
      </c>
      <c r="K306" s="5">
        <f t="shared" si="21"/>
        <v>1</v>
      </c>
      <c r="L306" s="2">
        <v>1656000</v>
      </c>
      <c r="M306" s="2">
        <v>560000</v>
      </c>
      <c r="N306" s="6">
        <f t="shared" si="22"/>
        <v>1</v>
      </c>
      <c r="O306" s="9">
        <f t="shared" si="23"/>
        <v>0.33816425120772947</v>
      </c>
      <c r="P306" s="10">
        <v>4</v>
      </c>
      <c r="Q306" s="1">
        <f t="shared" si="24"/>
        <v>1</v>
      </c>
      <c r="R306" s="10">
        <v>15</v>
      </c>
      <c r="S306" s="10">
        <v>4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3</v>
      </c>
      <c r="I307" s="1">
        <v>6</v>
      </c>
      <c r="J307" s="1">
        <f t="shared" si="20"/>
        <v>1</v>
      </c>
      <c r="K307" s="5">
        <f t="shared" si="21"/>
        <v>2</v>
      </c>
      <c r="L307" s="2">
        <v>2532000</v>
      </c>
      <c r="M307" s="2">
        <v>1616000</v>
      </c>
      <c r="N307" s="6">
        <f t="shared" si="22"/>
        <v>1</v>
      </c>
      <c r="O307" s="9">
        <f t="shared" si="23"/>
        <v>0.6382306477093207</v>
      </c>
      <c r="P307" s="10">
        <v>0</v>
      </c>
      <c r="Q307" s="1">
        <f t="shared" si="24"/>
        <v>0</v>
      </c>
      <c r="R307" s="10">
        <v>3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3</v>
      </c>
      <c r="I308" s="1">
        <v>6</v>
      </c>
      <c r="J308" s="1">
        <f t="shared" si="20"/>
        <v>1</v>
      </c>
      <c r="K308" s="5">
        <f t="shared" si="21"/>
        <v>2</v>
      </c>
      <c r="L308" s="2">
        <v>2457000</v>
      </c>
      <c r="M308" s="2">
        <v>1536000</v>
      </c>
      <c r="N308" s="6">
        <f t="shared" si="22"/>
        <v>1</v>
      </c>
      <c r="O308" s="9">
        <f t="shared" si="23"/>
        <v>0.62515262515262515</v>
      </c>
      <c r="P308" s="10">
        <v>2</v>
      </c>
      <c r="Q308" s="1">
        <f t="shared" si="24"/>
        <v>0</v>
      </c>
      <c r="R308" s="10">
        <v>3</v>
      </c>
      <c r="S308" s="10">
        <v>2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6</v>
      </c>
      <c r="J309" s="4">
        <f t="shared" si="20"/>
        <v>1</v>
      </c>
      <c r="K309" s="5">
        <f t="shared" si="21"/>
        <v>2</v>
      </c>
      <c r="L309" s="2">
        <v>2932000</v>
      </c>
      <c r="M309" s="2">
        <v>1635000</v>
      </c>
      <c r="N309" s="6">
        <f t="shared" si="22"/>
        <v>1</v>
      </c>
      <c r="O309" s="9">
        <f t="shared" si="23"/>
        <v>0.55763983628922242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3</v>
      </c>
      <c r="J310" s="1">
        <f t="shared" si="20"/>
        <v>1</v>
      </c>
      <c r="K310" s="5">
        <f t="shared" si="21"/>
        <v>1</v>
      </c>
      <c r="L310" s="2">
        <v>1711000</v>
      </c>
      <c r="M310" s="2">
        <v>577000</v>
      </c>
      <c r="N310" s="6">
        <f t="shared" si="22"/>
        <v>1</v>
      </c>
      <c r="O310" s="9">
        <f t="shared" si="23"/>
        <v>0.33722969023962596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24</v>
      </c>
      <c r="I311" s="1">
        <v>19</v>
      </c>
      <c r="J311" s="4">
        <f t="shared" si="20"/>
        <v>1</v>
      </c>
      <c r="K311" s="5">
        <f t="shared" si="21"/>
        <v>0.79166666666666663</v>
      </c>
      <c r="L311" s="2">
        <v>10083500</v>
      </c>
      <c r="M311" s="2">
        <v>6988000</v>
      </c>
      <c r="N311" s="6">
        <f t="shared" si="22"/>
        <v>1</v>
      </c>
      <c r="O311" s="9">
        <f t="shared" si="23"/>
        <v>0.69301333862250214</v>
      </c>
      <c r="P311" s="10">
        <v>4</v>
      </c>
      <c r="Q311" s="1">
        <f t="shared" si="24"/>
        <v>1</v>
      </c>
      <c r="R311" s="10">
        <v>5</v>
      </c>
      <c r="S311" s="10">
        <v>43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3</v>
      </c>
      <c r="J312" s="4">
        <f t="shared" si="20"/>
        <v>1</v>
      </c>
      <c r="K312" s="5">
        <f t="shared" si="21"/>
        <v>1</v>
      </c>
      <c r="L312" s="2">
        <v>12120600</v>
      </c>
      <c r="M312" s="2">
        <v>2135000</v>
      </c>
      <c r="N312" s="6">
        <f t="shared" si="22"/>
        <v>1</v>
      </c>
      <c r="O312" s="9">
        <f t="shared" si="23"/>
        <v>0.17614639539296734</v>
      </c>
      <c r="P312" s="10">
        <v>2</v>
      </c>
      <c r="Q312" s="1">
        <f t="shared" si="24"/>
        <v>0</v>
      </c>
      <c r="R312" s="10">
        <v>5</v>
      </c>
      <c r="S312" s="10">
        <v>2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3</v>
      </c>
      <c r="J313" s="4">
        <f t="shared" si="20"/>
        <v>1</v>
      </c>
      <c r="K313" s="5">
        <f t="shared" si="21"/>
        <v>1</v>
      </c>
      <c r="L313" s="2">
        <v>1325000</v>
      </c>
      <c r="M313" s="2">
        <v>90000</v>
      </c>
      <c r="N313" s="6">
        <f t="shared" si="22"/>
        <v>0</v>
      </c>
      <c r="O313" s="9">
        <f t="shared" si="23"/>
        <v>6.7924528301886791E-2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4586500</v>
      </c>
      <c r="M314" s="2">
        <v>851000</v>
      </c>
      <c r="N314" s="6">
        <f t="shared" si="22"/>
        <v>1</v>
      </c>
      <c r="O314" s="9">
        <f t="shared" si="23"/>
        <v>0.18554453286820016</v>
      </c>
      <c r="P314" s="10">
        <v>3</v>
      </c>
      <c r="Q314" s="1">
        <f t="shared" si="24"/>
        <v>1</v>
      </c>
      <c r="R314" s="10">
        <v>3</v>
      </c>
      <c r="S314" s="10">
        <v>3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4560000</v>
      </c>
      <c r="M315" s="2">
        <v>626000</v>
      </c>
      <c r="N315" s="6">
        <f t="shared" si="22"/>
        <v>1</v>
      </c>
      <c r="O315" s="9">
        <f t="shared" si="23"/>
        <v>0.13728070175438598</v>
      </c>
      <c r="P315" s="10">
        <v>3</v>
      </c>
      <c r="Q315" s="1">
        <f t="shared" si="24"/>
        <v>1</v>
      </c>
      <c r="R315" s="10">
        <v>3</v>
      </c>
      <c r="S315" s="10">
        <v>3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U6:Z315 P7:P315 I7:I315 L7:M315 R7:T315">
    <cfRule type="cellIs" dxfId="0" priority="8" operator="lessThan">
      <formula>1</formula>
    </cfRule>
  </conditionalFormatting>
  <conditionalFormatting sqref="J304:K313 N304:O313 Q304:Q313 U304:Z313">
    <cfRule type="cellIs" dxfId="4" priority="6" operator="lessThan">
      <formula>1</formula>
    </cfRule>
  </conditionalFormatting>
  <conditionalFormatting sqref="J314:K314 N314:O314 U314:Z314 Q314">
    <cfRule type="cellIs" dxfId="3" priority="4" operator="lessThan">
      <formula>1</formula>
    </cfRule>
  </conditionalFormatting>
  <conditionalFormatting sqref="E315">
    <cfRule type="cellIs" dxfId="2" priority="1" operator="equal">
      <formula>"NO"</formula>
    </cfRule>
  </conditionalFormatting>
  <conditionalFormatting sqref="J315:K315 N315:O315 U315:Z315 Q315">
    <cfRule type="cellIs" dxfId="1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2026-09-21T11:13:53Z</dcterms:modified>
</cp:coreProperties>
</file>