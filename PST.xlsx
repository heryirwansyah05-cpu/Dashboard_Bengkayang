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esktop\UPDATE RGUGA&amp; DSE VPN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G6" i="1"/>
  <c r="F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Z16" i="1" l="1"/>
  <c r="Z20" i="1"/>
  <c r="Z22" i="1"/>
  <c r="Z10" i="1"/>
  <c r="Z18" i="1"/>
  <c r="Z15" i="1"/>
  <c r="Z9" i="1"/>
  <c r="T20" i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T15" i="1"/>
  <c r="T17" i="1"/>
  <c r="Z17" i="1" l="1"/>
  <c r="Z11" i="1"/>
  <c r="Z6" i="1"/>
  <c r="Z21" i="1"/>
  <c r="Z19" i="1"/>
  <c r="Z8" i="1"/>
  <c r="Z7" i="1"/>
  <c r="Z12" i="1"/>
  <c r="Z14" i="1"/>
  <c r="Z13" i="1"/>
  <c r="T14" i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</calcChain>
</file>

<file path=xl/sharedStrings.xml><?xml version="1.0" encoding="utf-8"?>
<sst xmlns="http://schemas.openxmlformats.org/spreadsheetml/2006/main" count="1243" uniqueCount="681">
  <si>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</si>
  <si>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</si>
  <si>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</si>
  <si>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</si>
  <si>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</si>
  <si>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</si>
  <si>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</si>
  <si>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</si>
  <si>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</si>
  <si>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</si>
  <si>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</si>
  <si>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</si>
  <si>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</si>
  <si>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</si>
  <si>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</si>
  <si>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</si>
  <si>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</si>
  <si>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</si>
  <si>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</si>
  <si>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</si>
  <si>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</si>
  <si>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</si>
  <si>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</si>
  <si>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</si>
  <si>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</si>
  <si>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</si>
  <si>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</si>
  <si>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</si>
  <si>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</si>
  <si>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</si>
  <si>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</si>
  <si>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</si>
  <si>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</si>
  <si>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</si>
  <si>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</si>
  <si>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</si>
  <si>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</si>
  <si>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</si>
  <si>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</si>
  <si>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</si>
  <si>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</si>
  <si>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</si>
  <si>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</si>
  <si>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</si>
  <si>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</si>
  <si>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</si>
  <si>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</si>
  <si>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</si>
  <si>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</si>
  <si>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</si>
  <si>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</si>
  <si>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</si>
  <si>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</si>
  <si>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</si>
  <si>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</si>
  <si>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</si>
  <si>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</si>
  <si>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</si>
  <si>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</si>
  <si>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</si>
  <si>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</si>
  <si>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</si>
  <si>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</si>
  <si>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</si>
  <si>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</si>
  <si>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</si>
  <si>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</si>
  <si>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</si>
  <si>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</si>
  <si>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</si>
  <si>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</si>
  <si>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</si>
  <si>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</si>
  <si>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</si>
  <si>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</si>
  <si>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</si>
  <si>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</si>
  <si>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</si>
  <si>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</si>
  <si>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</si>
  <si>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</si>
  <si>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</si>
  <si>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</si>
  <si>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</si>
  <si>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</si>
  <si>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</si>
  <si>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</si>
  <si>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</si>
  <si>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</si>
  <si>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</si>
  <si>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</si>
  <si>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</si>
  <si>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</si>
  <si>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</si>
  <si>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</si>
  <si>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</si>
  <si>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</si>
  <si>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</si>
  <si>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</si>
  <si>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</si>
  <si>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</si>
  <si>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</si>
  <si>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</si>
  <si>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</si>
  <si>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</si>
  <si>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</si>
  <si>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</si>
  <si>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</si>
  <si>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</si>
  <si>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</si>
  <si>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</si>
  <si>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</si>
  <si>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</si>
  <si>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</si>
  <si>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</si>
  <si>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</si>
  <si>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</si>
  <si>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</si>
  <si>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</si>
  <si>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</si>
  <si>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</si>
  <si>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</si>
  <si>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</si>
  <si>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</si>
  <si>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</si>
  <si>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</si>
  <si>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</si>
  <si>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</si>
  <si>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</si>
  <si>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</si>
  <si>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</si>
  <si>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</si>
  <si>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</si>
  <si>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</si>
  <si>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</si>
  <si>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</si>
  <si>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</si>
  <si>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</si>
  <si>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</si>
  <si>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</si>
  <si>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</si>
  <si>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</si>
  <si>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</si>
  <si>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</si>
  <si>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</si>
  <si>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</si>
  <si>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</si>
  <si>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</si>
  <si>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</si>
  <si>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</si>
  <si>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</si>
  <si>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</si>
  <si>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</si>
  <si>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</si>
  <si>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</si>
  <si>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</si>
  <si>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</si>
  <si>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</si>
  <si>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</si>
  <si>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</si>
  <si>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</si>
  <si>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</si>
  <si>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</si>
  <si>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</si>
  <si>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</si>
  <si>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</si>
  <si>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</si>
  <si>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</si>
  <si>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</si>
  <si>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</si>
  <si>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</si>
  <si>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</si>
  <si>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</si>
  <si>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</si>
  <si>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</si>
  <si>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</si>
  <si>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</si>
  <si>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</si>
  <si>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</si>
  <si>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</si>
  <si>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</si>
  <si>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</si>
  <si>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</si>
  <si>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</si>
  <si>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</si>
  <si>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</si>
  <si>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</si>
  <si>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</si>
  <si>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</si>
  <si>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</si>
  <si>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</si>
  <si>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</si>
  <si>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</si>
  <si>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</si>
  <si>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</si>
  <si>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</si>
  <si>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</si>
  <si>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</si>
  <si>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</si>
  <si>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</si>
  <si>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</si>
  <si>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</si>
  <si>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</si>
  <si>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</si>
  <si>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</si>
  <si>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</si>
  <si>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</si>
  <si>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</si>
  <si>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</si>
  <si>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</si>
  <si>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</si>
  <si>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</si>
  <si>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</si>
  <si>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</si>
  <si>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</si>
  <si>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</si>
  <si>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</si>
  <si>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</si>
  <si>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</si>
  <si>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</si>
  <si>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</si>
  <si>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</si>
  <si>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</si>
  <si>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</si>
  <si>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</si>
  <si>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</si>
  <si>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</si>
  <si>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</si>
  <si>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</si>
  <si>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</si>
  <si>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</si>
  <si>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</si>
  <si>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</si>
  <si>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</si>
  <si>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</si>
  <si>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</si>
  <si>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</si>
  <si>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</si>
  <si>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</si>
  <si>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</si>
  <si>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</si>
  <si>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</si>
  <si>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</si>
  <si>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</si>
  <si>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</si>
  <si>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</si>
  <si>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</si>
  <si>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</si>
  <si>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</si>
  <si>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</si>
  <si>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</si>
  <si>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</si>
  <si>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</si>
  <si>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</si>
  <si>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</si>
  <si>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</si>
  <si>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</si>
  <si>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</si>
  <si>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</si>
  <si>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</si>
  <si>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</si>
  <si>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</si>
  <si>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</si>
  <si>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</si>
  <si>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</si>
  <si>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</si>
  <si>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</si>
  <si>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</si>
  <si>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</si>
  <si>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</si>
  <si>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</si>
  <si>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</si>
  <si>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</si>
  <si>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</si>
  <si>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</si>
  <si>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</si>
  <si>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</si>
  <si>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</si>
  <si>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</si>
  <si>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</si>
  <si>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</si>
  <si>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</si>
  <si>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</si>
  <si>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</si>
  <si>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</si>
  <si>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</si>
  <si>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</si>
  <si>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</si>
  <si>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</si>
  <si>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</si>
  <si>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</si>
  <si>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</si>
  <si>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</si>
  <si>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</si>
  <si>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</si>
  <si>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</si>
  <si>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</si>
  <si>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</si>
  <si>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</si>
  <si>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</si>
  <si>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</si>
  <si>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</si>
  <si>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</si>
  <si>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</si>
  <si>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</si>
  <si>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</si>
  <si>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</si>
  <si>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</si>
  <si>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</si>
  <si>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</si>
  <si>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</si>
  <si>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</si>
  <si>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</si>
  <si>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</si>
  <si>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</si>
  <si>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</si>
  <si>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</si>
  <si>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</si>
  <si>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</si>
  <si>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</si>
  <si>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</si>
  <si>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</si>
  <si>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</si>
  <si>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</si>
  <si>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</si>
  <si>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</si>
  <si>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</si>
  <si>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</si>
  <si>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</si>
  <si>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</si>
  <si>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</si>
  <si>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</si>
  <si>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</si>
  <si>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</si>
  <si>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</si>
  <si>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</si>
  <si>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</si>
  <si>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</si>
  <si>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</si>
  <si>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</si>
  <si>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</si>
  <si>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</si>
  <si>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</si>
  <si>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</si>
  <si>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</si>
  <si>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</si>
  <si>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</si>
  <si>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</si>
  <si>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</si>
  <si>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</si>
  <si>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</si>
  <si>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</si>
  <si>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</si>
  <si>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</si>
  <si>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</si>
  <si>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</si>
  <si>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</si>
  <si>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</si>
  <si>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</si>
  <si>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</si>
  <si>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</si>
  <si>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</si>
  <si>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</si>
  <si>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</si>
  <si>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</si>
  <si>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</si>
  <si>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</si>
  <si>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</si>
  <si>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</si>
  <si>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</si>
  <si>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</si>
  <si>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</si>
  <si>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</si>
  <si>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</si>
  <si>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</si>
  <si>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</si>
  <si>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</si>
  <si>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</si>
  <si>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</si>
  <si>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</si>
  <si>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</si>
  <si>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</si>
  <si>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</si>
  <si>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</si>
  <si>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</si>
  <si>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</si>
  <si>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</si>
  <si>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</si>
  <si>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</si>
  <si>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</si>
  <si>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</si>
  <si>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</si>
  <si>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</si>
  <si>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</si>
  <si>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</si>
  <si>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</si>
  <si>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</si>
  <si>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</si>
  <si>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</si>
  <si>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</si>
  <si>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</si>
  <si>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</si>
  <si>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</si>
  <si>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</si>
  <si>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</si>
  <si>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</si>
  <si>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</si>
  <si>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</si>
  <si>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</si>
  <si>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</si>
  <si>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</si>
  <si>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</si>
  <si>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</si>
  <si>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</si>
  <si>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</si>
  <si>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</si>
  <si>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</si>
  <si>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</si>
  <si>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</si>
  <si>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</si>
  <si>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</si>
  <si>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</si>
  <si>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</si>
  <si>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</si>
  <si>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</si>
  <si>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</si>
  <si>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</si>
  <si>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</si>
  <si>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</si>
  <si>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</si>
  <si>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</si>
  <si>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</si>
  <si>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</si>
  <si>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</si>
  <si>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</si>
  <si>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</si>
  <si>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</si>
  <si>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</si>
  <si>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</si>
  <si>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</si>
  <si>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</si>
  <si>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</si>
  <si>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</si>
  <si>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</si>
  <si>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</si>
  <si>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</si>
  <si>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</si>
  <si>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</si>
  <si>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</si>
  <si>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</si>
  <si>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</si>
  <si>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</si>
  <si>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</si>
  <si>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</si>
  <si>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</si>
  <si>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</si>
  <si>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</si>
  <si>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</si>
  <si>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</si>
  <si>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</si>
  <si>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</si>
  <si>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</si>
  <si>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</si>
  <si>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</si>
  <si>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</si>
  <si>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</si>
  <si>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</si>
  <si>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</si>
  <si>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</si>
  <si>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</si>
  <si>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</si>
  <si>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</si>
  <si>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</si>
  <si>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</si>
  <si>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</si>
  <si>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</si>
  <si>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</si>
  <si>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</si>
  <si>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</si>
  <si>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</si>
  <si>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</si>
  <si>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</si>
  <si>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</si>
  <si>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</si>
  <si>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</si>
  <si>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</si>
  <si>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</si>
  <si>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</si>
  <si>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</si>
  <si>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</si>
  <si>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</si>
  <si>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</si>
  <si>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</si>
  <si>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</si>
  <si>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</si>
  <si>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</si>
  <si>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</si>
  <si>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</si>
  <si>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</si>
  <si>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</si>
  <si>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</si>
  <si>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</si>
  <si>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</si>
  <si>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</si>
  <si>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</si>
  <si>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</si>
  <si>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</si>
  <si>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</si>
  <si>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</si>
  <si>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</si>
  <si>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</si>
  <si>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</si>
  <si>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</si>
  <si>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</si>
  <si>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</si>
  <si>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</si>
  <si>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</si>
  <si>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</si>
  <si>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</si>
  <si>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</si>
  <si>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</si>
  <si>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</si>
  <si>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</si>
  <si>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</si>
  <si>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</si>
  <si>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</si>
  <si>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</si>
  <si>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</si>
  <si>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</si>
  <si>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</si>
  <si>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</si>
  <si>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</si>
  <si>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</si>
  <si>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</si>
  <si>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</si>
  <si>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</si>
  <si>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</si>
  <si>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</si>
  <si>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</si>
  <si>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</si>
  <si>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</si>
  <si>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</si>
  <si>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</si>
  <si>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</si>
  <si>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</si>
  <si>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</si>
  <si>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</si>
  <si>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</si>
  <si>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</si>
  <si>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</si>
  <si>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</si>
  <si>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</si>
  <si>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</si>
  <si>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</si>
  <si>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</si>
  <si>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</si>
  <si>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</si>
  <si>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</si>
  <si>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</si>
  <si>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</si>
  <si>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</si>
  <si>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</si>
  <si>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</si>
  <si>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</si>
  <si>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</si>
  <si>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</si>
  <si>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</si>
  <si>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</si>
  <si>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</si>
  <si>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</si>
  <si>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</si>
  <si>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</si>
  <si>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</si>
  <si>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</si>
  <si>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</si>
  <si>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</si>
  <si>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</si>
  <si>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</si>
  <si>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</si>
  <si>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</si>
  <si>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</si>
  <si>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</si>
  <si>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</si>
  <si>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</si>
  <si>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</si>
  <si>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</si>
  <si>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</si>
  <si>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</si>
  <si>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</si>
  <si>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</si>
  <si>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</si>
  <si>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</si>
  <si>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</si>
  <si>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</si>
  <si>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</si>
  <si>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</si>
  <si>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</si>
  <si>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</si>
  <si>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</si>
  <si>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</si>
  <si>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</si>
  <si>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</si>
  <si>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</si>
  <si>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</si>
  <si>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</si>
  <si>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</si>
  <si>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</si>
  <si>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</si>
  <si>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</si>
  <si>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</si>
  <si>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</si>
  <si>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</si>
  <si>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</si>
  <si>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</si>
  <si>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</si>
  <si>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</si>
  <si>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</si>
  <si>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</si>
  <si>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</si>
  <si>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</si>
  <si>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</si>
  <si>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</si>
  <si>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</si>
  <si>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</si>
  <si>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</si>
  <si>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</si>
  <si>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</si>
  <si>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</si>
  <si>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</si>
  <si>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</si>
  <si>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</si>
  <si>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</si>
  <si>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</si>
  <si>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</si>
  <si>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</si>
  <si>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</si>
  <si>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</si>
  <si>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</si>
  <si>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</si>
  <si>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</si>
  <si>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</si>
  <si>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</si>
  <si>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</si>
  <si>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</si>
  <si>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</si>
  <si>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</si>
  <si>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</si>
  <si>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</si>
  <si>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</si>
  <si>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</si>
  <si>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</si>
  <si>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</si>
  <si>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</si>
  <si>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</si>
  <si>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</si>
  <si>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</si>
  <si>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</si>
  <si>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</si>
  <si>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</si>
  <si>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</si>
  <si>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</si>
  <si>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</si>
  <si>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</si>
  <si>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</si>
  <si>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</si>
  <si>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</si>
  <si>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HAMPANG|KOTABARU</t>
  </si>
  <si>
    <t>LAMANDAU|LAMANDAU</t>
  </si>
  <si>
    <t>MURUK RIAN|TANA TIDUNG</t>
  </si>
  <si>
    <t>BUKIT SANTUAI|KOTAWARINGIN TIMUR</t>
  </si>
  <si>
    <t>KAHAYAN HULU UTARA|GUNUNG MAS</t>
  </si>
  <si>
    <t>KRAYAN TENGAH|NUNUKAN</t>
  </si>
  <si>
    <t>MERANTI|LANDAK</t>
  </si>
  <si>
    <t>PESO|BULUNGAN</t>
  </si>
  <si>
    <t>PURING KENCANA|KAPUAS HULU</t>
  </si>
  <si>
    <t>SADANIANG|MEMPAWAH</t>
  </si>
  <si>
    <t>SP SELL IN MTD</t>
  </si>
  <si>
    <t>SP SELL IN LMTD</t>
  </si>
  <si>
    <t>DD</t>
  </si>
  <si>
    <t>RETTAG_3GB</t>
  </si>
  <si>
    <t>SELLIN_3GB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</si>
</sst>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8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22"/>
  <sheetViews>
    <sheetView tabSelected="1" zoomScale="44" workbookViewId="0">
      <pane xSplit="1" ySplit="5" topLeftCell="T18" activePane="bottomRight" state="frozen"/>
      <selection pane="topRight" activeCell="B1" sqref="B1"/>
      <selection pane="bottomLeft" activeCell="A6" sqref="A6"/>
      <selection pane="bottomRight" activeCell="Y6" sqref="X6:Y22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6" ht="64.5" customHeight="1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  <c r="X5" s="3" t="s">
        <v>676</v>
      </c>
      <c r="Y5" s="3" t="s">
        <v>677</v>
      </c>
      <c r="Z5" s="3" t="s">
        <v>33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303172605.00727689</v>
      </c>
      <c r="D6" s="4">
        <f>IFERROR(VLOOKUP(A:A,MASTER!A:D,4,0),0)</f>
        <v>300094635.04880136</v>
      </c>
      <c r="E6" s="8">
        <f>IFERROR(C6/D6-1,0)</f>
        <v>1.0256664395133175E-2</v>
      </c>
      <c r="F6" s="4">
        <f>IFERROR(VLOOKUP(A6,MASTER!A:E,5,0),0)</f>
        <v>559009.00900901202</v>
      </c>
      <c r="G6" s="4">
        <f>IFERROR(VLOOKUP(A6,MASTER!A:F,6,0),0)</f>
        <v>1527027.02702703</v>
      </c>
      <c r="H6" s="8">
        <f>IFERROR(F6/G6-1,0)</f>
        <v>-0.63392330383480699</v>
      </c>
      <c r="I6" s="4">
        <f>IFERROR(VLOOKUP(A6,MASTER!A:O,15,0),0)</f>
        <v>30212342.342342343</v>
      </c>
      <c r="J6" s="4">
        <f>IFERROR(VLOOKUP(A6,MASTER!A:P,16,0),0)</f>
        <v>35382432.432432435</v>
      </c>
      <c r="K6" s="8">
        <f>IFERROR(I6/J6-1,0)</f>
        <v>-0.14612025614584534</v>
      </c>
      <c r="L6" s="4">
        <f>IFERROR(VLOOKUP(A6,MASTER!A:S,19,0),0)</f>
        <v>139583827.02702701</v>
      </c>
      <c r="M6" s="4">
        <f>IFERROR(VLOOKUP(A6,MASTER!A:T,20,0),0)</f>
        <v>144144909.90990993</v>
      </c>
      <c r="N6" s="8">
        <f>IFERROR(L6/M6-1,0)</f>
        <v>-3.1642344400045652E-2</v>
      </c>
      <c r="O6" s="4">
        <f>IFERROR(VLOOKUP(A6,MASTER!A:U,21,0),0)</f>
        <v>30603603.603603609</v>
      </c>
      <c r="P6" s="4">
        <f>IFERROR(VLOOKUP(A6,MASTER!A:V,22,0),0)</f>
        <v>33595585.585585587</v>
      </c>
      <c r="Q6" s="8">
        <f>IFERROR(O6/P6-1,0)</f>
        <v>-8.9058783463078162E-2</v>
      </c>
      <c r="R6" s="4">
        <f>IFERROR(VLOOKUP(A6,MASTER!A:W,23,0),0)</f>
        <v>6880</v>
      </c>
      <c r="S6" s="4">
        <f>IFERROR(VLOOKUP(A6,MASTER!A:X,24,0),0)</f>
        <v>8955</v>
      </c>
      <c r="T6" s="8">
        <f>IFERROR(R6/S6-1,0)</f>
        <v>-0.23171412618648801</v>
      </c>
      <c r="U6" s="11">
        <f>IFERROR(VLOOKUP(A6,MASTER!A:M,13,0),0)</f>
        <v>439</v>
      </c>
      <c r="V6" s="11">
        <f>IFERROR(VLOOKUP(A6,MASTER!A:N,14,0),0)</f>
        <v>151</v>
      </c>
      <c r="W6" s="8">
        <f>IFERROR(U6/V6-1,0)</f>
        <v>1.9072847682119205</v>
      </c>
      <c r="X6" s="11">
        <f>IFERROR(VLOOKUP(A6,MASTER!A:Q,17,0),0)</f>
        <v>138</v>
      </c>
      <c r="Y6" s="11">
        <f>IFERROR(VLOOKUP(A6,MASTER!A:R,18,0),0)</f>
        <v>58</v>
      </c>
      <c r="Z6" s="8">
        <f>IFERROR(X6/Y6-1,0)</f>
        <v>1.3793103448275863</v>
      </c>
    </row>
    <row r="7" spans="1:26" ht="64.5" customHeight="1">
      <c r="A7" s="9" t="s">
        <v>2</v>
      </c>
      <c r="B7" s="1" t="s">
        <v>17</v>
      </c>
      <c r="C7" s="4">
        <f>IFERROR(VLOOKUP(A:A,MASTER!A:C,3,0),0)</f>
        <v>37189318.951083601</v>
      </c>
      <c r="D7" s="4">
        <f>IFERROR(VLOOKUP(A:A,MASTER!A:D,4,0),0)</f>
        <v>27139179.224301364</v>
      </c>
      <c r="E7" s="8">
        <f t="shared" ref="E7:E22" si="0">IFERROR(C7/D7-1,0)</f>
        <v>0.37031848471611073</v>
      </c>
      <c r="F7" s="4">
        <f>IFERROR(VLOOKUP(A7,MASTER!A:E,5,0),0)</f>
        <v>57657.657657657001</v>
      </c>
      <c r="G7" s="4">
        <f>IFERROR(VLOOKUP(A7,MASTER!A:F,6,0),0)</f>
        <v>40540.540540542002</v>
      </c>
      <c r="H7" s="8">
        <f t="shared" ref="H7:H22" si="1">IFERROR(F7/G7-1,0)</f>
        <v>0.42222222222215477</v>
      </c>
      <c r="I7" s="4">
        <f>IFERROR(VLOOKUP(A7,MASTER!A:O,15,0),0)</f>
        <v>324324.32432432403</v>
      </c>
      <c r="J7" s="4">
        <f>IFERROR(VLOOKUP(A7,MASTER!A:P,16,0),0)</f>
        <v>40540.540540542002</v>
      </c>
      <c r="K7" s="8">
        <f t="shared" ref="K7:K22" si="2">IFERROR(I7/J7-1,0)</f>
        <v>6.9999999999997042</v>
      </c>
      <c r="L7" s="4">
        <f>IFERROR(VLOOKUP(A7,MASTER!A:S,19,0),0)</f>
        <v>19415720.72072072</v>
      </c>
      <c r="M7" s="4">
        <f>IFERROR(VLOOKUP(A7,MASTER!A:T,20,0),0)</f>
        <v>15655351.351351352</v>
      </c>
      <c r="N7" s="8">
        <f t="shared" ref="N7:N22" si="3">IFERROR(L7/M7-1,0)</f>
        <v>0.24019706009630859</v>
      </c>
      <c r="O7" s="4">
        <f>IFERROR(VLOOKUP(A7,MASTER!A:U,21,0),0)</f>
        <v>266666.66666666698</v>
      </c>
      <c r="P7" s="4">
        <f>IFERROR(VLOOKUP(A7,MASTER!A:V,22,0),0)</f>
        <v>157657.65765765801</v>
      </c>
      <c r="Q7" s="8">
        <f t="shared" ref="Q7:Q22" si="4">IFERROR(O7/P7-1,0)</f>
        <v>0.69142857142856951</v>
      </c>
      <c r="R7" s="4">
        <f>IFERROR(VLOOKUP(A7,MASTER!A:W,23,0),0)</f>
        <v>1345</v>
      </c>
      <c r="S7" s="4">
        <f>IFERROR(VLOOKUP(A7,MASTER!A:X,24,0),0)</f>
        <v>1064</v>
      </c>
      <c r="T7" s="8">
        <f t="shared" ref="T7:T22" si="5">IFERROR(R7/S7-1,0)</f>
        <v>0.26409774436090228</v>
      </c>
      <c r="U7" s="11">
        <f>IFERROR(VLOOKUP(A7,MASTER!A:M,13,0),0)</f>
        <v>8</v>
      </c>
      <c r="V7" s="11">
        <f>IFERROR(VLOOKUP(A7,MASTER!A:N,14,0),0)</f>
        <v>4</v>
      </c>
      <c r="W7" s="8">
        <f t="shared" ref="W7:W22" si="6">IFERROR(U7/V7-1,0)</f>
        <v>1</v>
      </c>
      <c r="X7" s="11">
        <f>IFERROR(VLOOKUP(A7,MASTER!A:Q,17,0),0)</f>
        <v>6</v>
      </c>
      <c r="Y7" s="11">
        <f>IFERROR(VLOOKUP(A7,MASTER!A:R,18,0),0)</f>
        <v>0</v>
      </c>
      <c r="Z7" s="8">
        <f t="shared" ref="Z7:Z22" si="7">IFERROR(X7/Y7-1,0)</f>
        <v>0</v>
      </c>
    </row>
    <row r="8" spans="1:26" ht="64.5" customHeight="1">
      <c r="A8" s="9" t="s">
        <v>3</v>
      </c>
      <c r="B8" s="1" t="s">
        <v>16</v>
      </c>
      <c r="C8" s="4">
        <f>IFERROR(VLOOKUP(A:A,MASTER!A:C,3,0),0)</f>
        <v>230230985.0633488</v>
      </c>
      <c r="D8" s="4">
        <f>IFERROR(VLOOKUP(A:A,MASTER!A:D,4,0),0)</f>
        <v>223411111.86073783</v>
      </c>
      <c r="E8" s="8">
        <f t="shared" si="0"/>
        <v>3.0526114595688103E-2</v>
      </c>
      <c r="F8" s="4">
        <f>IFERROR(VLOOKUP(A8,MASTER!A:E,5,0),0)</f>
        <v>2412387.3873873889</v>
      </c>
      <c r="G8" s="4">
        <f>IFERROR(VLOOKUP(A8,MASTER!A:F,6,0),0)</f>
        <v>2914414.4144144161</v>
      </c>
      <c r="H8" s="8">
        <f t="shared" si="1"/>
        <v>-0.17225656877897988</v>
      </c>
      <c r="I8" s="4">
        <f>IFERROR(VLOOKUP(A8,MASTER!A:O,15,0),0)</f>
        <v>46714864.864864863</v>
      </c>
      <c r="J8" s="4">
        <f>IFERROR(VLOOKUP(A8,MASTER!A:P,16,0),0)</f>
        <v>39959459.459459454</v>
      </c>
      <c r="K8" s="8">
        <f t="shared" si="2"/>
        <v>0.16905647615826869</v>
      </c>
      <c r="L8" s="4">
        <f>IFERROR(VLOOKUP(A8,MASTER!A:S,19,0),0)</f>
        <v>58209279.279279277</v>
      </c>
      <c r="M8" s="4">
        <f>IFERROR(VLOOKUP(A8,MASTER!A:T,20,0),0)</f>
        <v>63552099.0990991</v>
      </c>
      <c r="N8" s="8">
        <f t="shared" si="3"/>
        <v>-8.4069918941443111E-2</v>
      </c>
      <c r="O8" s="4">
        <f>IFERROR(VLOOKUP(A8,MASTER!A:U,21,0),0)</f>
        <v>43093153.153153151</v>
      </c>
      <c r="P8" s="4">
        <f>IFERROR(VLOOKUP(A8,MASTER!A:V,22,0),0)</f>
        <v>38943963.963963971</v>
      </c>
      <c r="Q8" s="8">
        <f t="shared" si="4"/>
        <v>0.10654254900781424</v>
      </c>
      <c r="R8" s="4">
        <f>IFERROR(VLOOKUP(A8,MASTER!A:W,23,0),0)</f>
        <v>3628</v>
      </c>
      <c r="S8" s="4">
        <f>IFERROR(VLOOKUP(A8,MASTER!A:X,24,0),0)</f>
        <v>3640</v>
      </c>
      <c r="T8" s="8">
        <f t="shared" si="5"/>
        <v>-3.296703296703285E-3</v>
      </c>
      <c r="U8" s="11">
        <f>IFERROR(VLOOKUP(A8,MASTER!A:M,13,0),0)</f>
        <v>36</v>
      </c>
      <c r="V8" s="11">
        <f>IFERROR(VLOOKUP(A8,MASTER!A:N,14,0),0)</f>
        <v>38</v>
      </c>
      <c r="W8" s="8">
        <f t="shared" si="6"/>
        <v>-5.2631578947368474E-2</v>
      </c>
      <c r="X8" s="11">
        <f>IFERROR(VLOOKUP(A8,MASTER!A:Q,17,0),0)</f>
        <v>120</v>
      </c>
      <c r="Y8" s="11">
        <f>IFERROR(VLOOKUP(A8,MASTER!A:R,18,0),0)</f>
        <v>55</v>
      </c>
      <c r="Z8" s="8">
        <f t="shared" si="7"/>
        <v>1.1818181818181817</v>
      </c>
    </row>
    <row r="9" spans="1:26" ht="64.5" customHeight="1">
      <c r="A9" s="9" t="s">
        <v>4</v>
      </c>
      <c r="B9" s="1" t="s">
        <v>16</v>
      </c>
      <c r="C9" s="4">
        <f>IFERROR(VLOOKUP(A:A,MASTER!A:C,3,0),0)</f>
        <v>135351071.06328657</v>
      </c>
      <c r="D9" s="4">
        <f>IFERROR(VLOOKUP(A:A,MASTER!A:D,4,0),0)</f>
        <v>134681404.74296871</v>
      </c>
      <c r="E9" s="8">
        <f t="shared" si="0"/>
        <v>4.9722255391966286E-3</v>
      </c>
      <c r="F9" s="4">
        <f>IFERROR(VLOOKUP(A9,MASTER!A:E,5,0),0)</f>
        <v>942342.34234234202</v>
      </c>
      <c r="G9" s="4">
        <f>IFERROR(VLOOKUP(A9,MASTER!A:F,6,0),0)</f>
        <v>1796396.396396399</v>
      </c>
      <c r="H9" s="8">
        <f t="shared" si="1"/>
        <v>-0.47542627883651045</v>
      </c>
      <c r="I9" s="4">
        <f>IFERROR(VLOOKUP(A9,MASTER!A:O,15,0),0)</f>
        <v>18759909.909909911</v>
      </c>
      <c r="J9" s="4">
        <f>IFERROR(VLOOKUP(A9,MASTER!A:P,16,0),0)</f>
        <v>26195495.495495494</v>
      </c>
      <c r="K9" s="8">
        <f t="shared" si="2"/>
        <v>-0.28384977817518997</v>
      </c>
      <c r="L9" s="4">
        <f>IFERROR(VLOOKUP(A9,MASTER!A:S,19,0),0)</f>
        <v>48879279.279279277</v>
      </c>
      <c r="M9" s="4">
        <f>IFERROR(VLOOKUP(A9,MASTER!A:T,20,0),0)</f>
        <v>47552783.783783786</v>
      </c>
      <c r="N9" s="8">
        <f t="shared" si="3"/>
        <v>2.7895222738733683E-2</v>
      </c>
      <c r="O9" s="4">
        <f>IFERROR(VLOOKUP(A9,MASTER!A:U,21,0),0)</f>
        <v>22987657.657657657</v>
      </c>
      <c r="P9" s="4">
        <f>IFERROR(VLOOKUP(A9,MASTER!A:V,22,0),0)</f>
        <v>30560540.540540539</v>
      </c>
      <c r="Q9" s="8">
        <f t="shared" si="4"/>
        <v>-0.24779937621970272</v>
      </c>
      <c r="R9" s="4">
        <f>IFERROR(VLOOKUP(A9,MASTER!A:W,23,0),0)</f>
        <v>3869</v>
      </c>
      <c r="S9" s="4">
        <f>IFERROR(VLOOKUP(A9,MASTER!A:X,24,0),0)</f>
        <v>3637</v>
      </c>
      <c r="T9" s="8">
        <f t="shared" si="5"/>
        <v>6.3788836953533101E-2</v>
      </c>
      <c r="U9" s="11">
        <f>IFERROR(VLOOKUP(A9,MASTER!A:M,13,0),0)</f>
        <v>12</v>
      </c>
      <c r="V9" s="11">
        <f>IFERROR(VLOOKUP(A9,MASTER!A:N,14,0),0)</f>
        <v>14</v>
      </c>
      <c r="W9" s="8">
        <f t="shared" si="6"/>
        <v>-0.1428571428571429</v>
      </c>
      <c r="X9" s="11">
        <f>IFERROR(VLOOKUP(A9,MASTER!A:Q,17,0),0)</f>
        <v>112</v>
      </c>
      <c r="Y9" s="11">
        <f>IFERROR(VLOOKUP(A9,MASTER!A:R,18,0),0)</f>
        <v>30</v>
      </c>
      <c r="Z9" s="8">
        <f t="shared" si="7"/>
        <v>2.7333333333333334</v>
      </c>
    </row>
    <row r="10" spans="1:26" ht="64.5" customHeight="1">
      <c r="A10" s="9" t="s">
        <v>34</v>
      </c>
      <c r="B10" s="1" t="s">
        <v>17</v>
      </c>
      <c r="C10" s="4">
        <f>IFERROR(VLOOKUP(A:A,MASTER!A:C,3,0),0)</f>
        <v>0</v>
      </c>
      <c r="D10" s="4">
        <f>IFERROR(VLOOKUP(A:A,MASTER!A:D,4,0),0)</f>
        <v>0</v>
      </c>
      <c r="E10" s="8">
        <f t="shared" si="0"/>
        <v>0</v>
      </c>
      <c r="F10" s="4">
        <f>IFERROR(VLOOKUP(A10,MASTER!A:E,5,0),0)</f>
        <v>145752481.98198199</v>
      </c>
      <c r="G10" s="4">
        <f>IFERROR(VLOOKUP(A10,MASTER!A:F,6,0),0)</f>
        <v>302693544.14414412</v>
      </c>
      <c r="H10" s="8">
        <f t="shared" si="1"/>
        <v>-0.51848169608607853</v>
      </c>
      <c r="I10" s="4">
        <f>IFERROR(VLOOKUP(A10,MASTER!A:O,15,0),0)</f>
        <v>0</v>
      </c>
      <c r="J10" s="4">
        <f>IFERROR(VLOOKUP(A10,MASTER!A:P,16,0),0)</f>
        <v>0</v>
      </c>
      <c r="K10" s="8">
        <f t="shared" si="2"/>
        <v>0</v>
      </c>
      <c r="L10" s="4">
        <f>IFERROR(VLOOKUP(A10,MASTER!A:S,19,0),0)</f>
        <v>0</v>
      </c>
      <c r="M10" s="4">
        <f>IFERROR(VLOOKUP(A10,MASTER!A:T,20,0),0)</f>
        <v>0</v>
      </c>
      <c r="N10" s="8">
        <f t="shared" si="3"/>
        <v>0</v>
      </c>
      <c r="O10" s="4">
        <f>IFERROR(VLOOKUP(A10,MASTER!A:U,21,0),0)</f>
        <v>0</v>
      </c>
      <c r="P10" s="4">
        <f>IFERROR(VLOOKUP(A10,MASTER!A:V,22,0),0)</f>
        <v>0</v>
      </c>
      <c r="Q10" s="8">
        <f t="shared" si="4"/>
        <v>0</v>
      </c>
      <c r="R10" s="4">
        <f>IFERROR(VLOOKUP(A10,MASTER!A:W,23,0),0)</f>
        <v>0</v>
      </c>
      <c r="S10" s="4">
        <f>IFERROR(VLOOKUP(A10,MASTER!A:X,24,0),0)</f>
        <v>0</v>
      </c>
      <c r="T10" s="8">
        <f t="shared" si="5"/>
        <v>0</v>
      </c>
      <c r="U10" s="11">
        <f>IFERROR(VLOOKUP(A10,MASTER!A:M,13,0),0)</f>
        <v>0</v>
      </c>
      <c r="V10" s="11">
        <f>IFERROR(VLOOKUP(A10,MASTER!A:N,14,0),0)</f>
        <v>0</v>
      </c>
      <c r="W10" s="8">
        <f t="shared" si="6"/>
        <v>0</v>
      </c>
      <c r="X10" s="11">
        <f>IFERROR(VLOOKUP(A10,MASTER!A:Q,17,0),0)</f>
        <v>0</v>
      </c>
      <c r="Y10" s="11">
        <f>IFERROR(VLOOKUP(A10,MASTER!A:R,18,0),0)</f>
        <v>0</v>
      </c>
      <c r="Z10" s="8">
        <f t="shared" si="7"/>
        <v>0</v>
      </c>
    </row>
    <row r="11" spans="1:26" ht="64.5" customHeight="1">
      <c r="A11" s="9" t="s">
        <v>5</v>
      </c>
      <c r="B11" s="1" t="s">
        <v>16</v>
      </c>
      <c r="C11" s="4">
        <f>IFERROR(VLOOKUP(A:A,MASTER!A:C,3,0),0)</f>
        <v>136456609.75608432</v>
      </c>
      <c r="D11" s="4">
        <f>IFERROR(VLOOKUP(A:A,MASTER!A:D,4,0),0)</f>
        <v>139577639.04671359</v>
      </c>
      <c r="E11" s="8">
        <f t="shared" si="0"/>
        <v>-2.236052502352992E-2</v>
      </c>
      <c r="F11" s="4">
        <f>IFERROR(VLOOKUP(A11,MASTER!A:E,5,0),0)</f>
        <v>1783333.333333334</v>
      </c>
      <c r="G11" s="4">
        <f>IFERROR(VLOOKUP(A11,MASTER!A:F,6,0),0)</f>
        <v>489189.18918918999</v>
      </c>
      <c r="H11" s="8">
        <f t="shared" si="1"/>
        <v>2.6454880294659255</v>
      </c>
      <c r="I11" s="4">
        <f>IFERROR(VLOOKUP(A11,MASTER!A:O,15,0),0)</f>
        <v>9314144.1441441439</v>
      </c>
      <c r="J11" s="4">
        <f>IFERROR(VLOOKUP(A11,MASTER!A:P,16,0),0)</f>
        <v>11784684.684684686</v>
      </c>
      <c r="K11" s="8">
        <f t="shared" si="2"/>
        <v>-0.20963993578472606</v>
      </c>
      <c r="L11" s="4">
        <f>IFERROR(VLOOKUP(A11,MASTER!A:S,19,0),0)</f>
        <v>59585720.720720723</v>
      </c>
      <c r="M11" s="4">
        <f>IFERROR(VLOOKUP(A11,MASTER!A:T,20,0),0)</f>
        <v>59824630.630630635</v>
      </c>
      <c r="N11" s="8">
        <f t="shared" si="3"/>
        <v>-3.9935041368661661E-3</v>
      </c>
      <c r="O11" s="4">
        <f>IFERROR(VLOOKUP(A11,MASTER!A:U,21,0),0)</f>
        <v>8650630.6306306291</v>
      </c>
      <c r="P11" s="4">
        <f>IFERROR(VLOOKUP(A11,MASTER!A:V,22,0),0)</f>
        <v>10665135.135135135</v>
      </c>
      <c r="Q11" s="8">
        <f t="shared" si="4"/>
        <v>-0.18888691788516943</v>
      </c>
      <c r="R11" s="4">
        <f>IFERROR(VLOOKUP(A11,MASTER!A:W,23,0),0)</f>
        <v>3049</v>
      </c>
      <c r="S11" s="4">
        <f>IFERROR(VLOOKUP(A11,MASTER!A:X,24,0),0)</f>
        <v>2984</v>
      </c>
      <c r="T11" s="8">
        <f t="shared" si="5"/>
        <v>2.1782841823056343E-2</v>
      </c>
      <c r="U11" s="11">
        <f>IFERROR(VLOOKUP(A11,MASTER!A:M,13,0),0)</f>
        <v>13</v>
      </c>
      <c r="V11" s="11">
        <f>IFERROR(VLOOKUP(A11,MASTER!A:N,14,0),0)</f>
        <v>20</v>
      </c>
      <c r="W11" s="8">
        <f t="shared" si="6"/>
        <v>-0.35</v>
      </c>
      <c r="X11" s="11">
        <f>IFERROR(VLOOKUP(A11,MASTER!A:Q,17,0),0)</f>
        <v>14</v>
      </c>
      <c r="Y11" s="11">
        <f>IFERROR(VLOOKUP(A11,MASTER!A:R,18,0),0)</f>
        <v>22</v>
      </c>
      <c r="Z11" s="8">
        <f t="shared" si="7"/>
        <v>-0.36363636363636365</v>
      </c>
    </row>
    <row r="12" spans="1:26" ht="64.5" customHeight="1">
      <c r="A12" s="9" t="s">
        <v>6</v>
      </c>
      <c r="B12" s="1" t="s">
        <v>17</v>
      </c>
      <c r="C12" s="4">
        <f>IFERROR(VLOOKUP(A:A,MASTER!A:C,3,0),0)</f>
        <v>528030777.55955201</v>
      </c>
      <c r="D12" s="4">
        <f>IFERROR(VLOOKUP(A:A,MASTER!A:D,4,0),0)</f>
        <v>508515419.60515672</v>
      </c>
      <c r="E12" s="8">
        <f t="shared" si="0"/>
        <v>3.8377121326130581E-2</v>
      </c>
      <c r="F12" s="4">
        <f>IFERROR(VLOOKUP(A12,MASTER!A:E,5,0),0)</f>
        <v>6329279.2792792721</v>
      </c>
      <c r="G12" s="4">
        <f>IFERROR(VLOOKUP(A12,MASTER!A:F,6,0),0)</f>
        <v>6112276.576576585</v>
      </c>
      <c r="H12" s="8">
        <f t="shared" si="1"/>
        <v>3.550276234787586E-2</v>
      </c>
      <c r="I12" s="4">
        <f>IFERROR(VLOOKUP(A12,MASTER!A:O,15,0),0)</f>
        <v>214487837.83783782</v>
      </c>
      <c r="J12" s="4">
        <f>IFERROR(VLOOKUP(A12,MASTER!A:P,16,0),0)</f>
        <v>193685706.3063063</v>
      </c>
      <c r="K12" s="8">
        <f t="shared" si="2"/>
        <v>0.10740148010010486</v>
      </c>
      <c r="L12" s="4">
        <f>IFERROR(VLOOKUP(A12,MASTER!A:S,19,0),0)</f>
        <v>347461531.53153151</v>
      </c>
      <c r="M12" s="4">
        <f>IFERROR(VLOOKUP(A12,MASTER!A:T,20,0),0)</f>
        <v>347946261.26126122</v>
      </c>
      <c r="N12" s="8">
        <f t="shared" si="3"/>
        <v>-1.3931166496016223E-3</v>
      </c>
      <c r="O12" s="4">
        <f>IFERROR(VLOOKUP(A12,MASTER!A:U,21,0),0)</f>
        <v>177607837.83783782</v>
      </c>
      <c r="P12" s="4">
        <f>IFERROR(VLOOKUP(A12,MASTER!A:V,22,0),0)</f>
        <v>163051441.44144145</v>
      </c>
      <c r="Q12" s="8">
        <f t="shared" si="4"/>
        <v>8.9274870971466802E-2</v>
      </c>
      <c r="R12" s="4">
        <f>IFERROR(VLOOKUP(A12,MASTER!A:W,23,0),0)</f>
        <v>13328</v>
      </c>
      <c r="S12" s="4">
        <f>IFERROR(VLOOKUP(A12,MASTER!A:X,24,0),0)</f>
        <v>12986</v>
      </c>
      <c r="T12" s="8">
        <f t="shared" si="5"/>
        <v>2.6336054212228621E-2</v>
      </c>
      <c r="U12" s="11">
        <f>IFERROR(VLOOKUP(A12,MASTER!A:M,13,0),0)</f>
        <v>674</v>
      </c>
      <c r="V12" s="11">
        <f>IFERROR(VLOOKUP(A12,MASTER!A:N,14,0),0)</f>
        <v>720</v>
      </c>
      <c r="W12" s="8">
        <f t="shared" si="6"/>
        <v>-6.3888888888888884E-2</v>
      </c>
      <c r="X12" s="11">
        <f>IFERROR(VLOOKUP(A12,MASTER!A:Q,17,0),0)</f>
        <v>287</v>
      </c>
      <c r="Y12" s="11">
        <f>IFERROR(VLOOKUP(A12,MASTER!A:R,18,0),0)</f>
        <v>475</v>
      </c>
      <c r="Z12" s="8">
        <f t="shared" si="7"/>
        <v>-0.39578947368421058</v>
      </c>
    </row>
    <row r="13" spans="1:26" ht="64.5" customHeight="1">
      <c r="A13" s="9" t="s">
        <v>7</v>
      </c>
      <c r="B13" s="1" t="s">
        <v>17</v>
      </c>
      <c r="C13" s="4">
        <f>IFERROR(VLOOKUP(A:A,MASTER!A:C,3,0),0)</f>
        <v>113324046.06796649</v>
      </c>
      <c r="D13" s="4">
        <f>IFERROR(VLOOKUP(A:A,MASTER!A:D,4,0),0)</f>
        <v>121494129.77258219</v>
      </c>
      <c r="E13" s="8">
        <f t="shared" si="0"/>
        <v>-6.7246736281899366E-2</v>
      </c>
      <c r="F13" s="4">
        <f>IFERROR(VLOOKUP(A13,MASTER!A:E,5,0),0)</f>
        <v>39189.189189188997</v>
      </c>
      <c r="G13" s="4">
        <f>IFERROR(VLOOKUP(A13,MASTER!A:F,6,0),0)</f>
        <v>248648.64864865001</v>
      </c>
      <c r="H13" s="8">
        <f t="shared" si="1"/>
        <v>-0.84239130434782772</v>
      </c>
      <c r="I13" s="4">
        <f>IFERROR(VLOOKUP(A13,MASTER!A:O,15,0),0)</f>
        <v>26419369.369369373</v>
      </c>
      <c r="J13" s="4">
        <f>IFERROR(VLOOKUP(A13,MASTER!A:P,16,0),0)</f>
        <v>18212612.612612613</v>
      </c>
      <c r="K13" s="8">
        <f t="shared" si="2"/>
        <v>0.45060842896715503</v>
      </c>
      <c r="L13" s="4">
        <f>IFERROR(VLOOKUP(A13,MASTER!A:S,19,0),0)</f>
        <v>77407567.567567572</v>
      </c>
      <c r="M13" s="4">
        <f>IFERROR(VLOOKUP(A13,MASTER!A:T,20,0),0)</f>
        <v>85093027.027027026</v>
      </c>
      <c r="N13" s="8">
        <f t="shared" si="3"/>
        <v>-9.0318322522695338E-2</v>
      </c>
      <c r="O13" s="4">
        <f>IFERROR(VLOOKUP(A13,MASTER!A:U,21,0),0)</f>
        <v>27493423.423423428</v>
      </c>
      <c r="P13" s="4">
        <f>IFERROR(VLOOKUP(A13,MASTER!A:V,22,0),0)</f>
        <v>21324504.504504506</v>
      </c>
      <c r="Q13" s="8">
        <f t="shared" si="4"/>
        <v>0.28928779646982306</v>
      </c>
      <c r="R13" s="4">
        <f>IFERROR(VLOOKUP(A13,MASTER!A:W,23,0),0)</f>
        <v>4476</v>
      </c>
      <c r="S13" s="4">
        <f>IFERROR(VLOOKUP(A13,MASTER!A:X,24,0),0)</f>
        <v>5139</v>
      </c>
      <c r="T13" s="8">
        <f t="shared" si="5"/>
        <v>-0.12901342673671923</v>
      </c>
      <c r="U13" s="11">
        <f>IFERROR(VLOOKUP(A13,MASTER!A:M,13,0),0)</f>
        <v>34</v>
      </c>
      <c r="V13" s="11">
        <f>IFERROR(VLOOKUP(A13,MASTER!A:N,14,0),0)</f>
        <v>47</v>
      </c>
      <c r="W13" s="8">
        <f t="shared" si="6"/>
        <v>-0.27659574468085102</v>
      </c>
      <c r="X13" s="11">
        <f>IFERROR(VLOOKUP(A13,MASTER!A:Q,17,0),0)</f>
        <v>133</v>
      </c>
      <c r="Y13" s="11">
        <f>IFERROR(VLOOKUP(A13,MASTER!A:R,18,0),0)</f>
        <v>52</v>
      </c>
      <c r="Z13" s="8">
        <f t="shared" si="7"/>
        <v>1.5576923076923075</v>
      </c>
    </row>
    <row r="14" spans="1:26" ht="64.5" customHeight="1">
      <c r="A14" s="9" t="s">
        <v>8</v>
      </c>
      <c r="B14" s="1" t="s">
        <v>16</v>
      </c>
      <c r="C14" s="4">
        <f>IFERROR(VLOOKUP(A:A,MASTER!A:C,3,0),0)</f>
        <v>169360033.31337118</v>
      </c>
      <c r="D14" s="4">
        <f>IFERROR(VLOOKUP(A:A,MASTER!A:D,4,0),0)</f>
        <v>167688893.39585996</v>
      </c>
      <c r="E14" s="8">
        <f t="shared" si="0"/>
        <v>9.9657161763611057E-3</v>
      </c>
      <c r="F14" s="4">
        <f>IFERROR(VLOOKUP(A14,MASTER!A:E,5,0),0)</f>
        <v>1923423.423423426</v>
      </c>
      <c r="G14" s="4">
        <f>IFERROR(VLOOKUP(A14,MASTER!A:F,6,0),0)</f>
        <v>2946846.8468468478</v>
      </c>
      <c r="H14" s="8">
        <f t="shared" si="1"/>
        <v>-0.34729440538061684</v>
      </c>
      <c r="I14" s="4">
        <f>IFERROR(VLOOKUP(A14,MASTER!A:O,15,0),0)</f>
        <v>24527477.477477476</v>
      </c>
      <c r="J14" s="4">
        <f>IFERROR(VLOOKUP(A14,MASTER!A:P,16,0),0)</f>
        <v>22742342.342342343</v>
      </c>
      <c r="K14" s="8">
        <f t="shared" si="2"/>
        <v>7.8493899540484691E-2</v>
      </c>
      <c r="L14" s="4">
        <f>IFERROR(VLOOKUP(A14,MASTER!A:S,19,0),0)</f>
        <v>49857792.79279279</v>
      </c>
      <c r="M14" s="4">
        <f>IFERROR(VLOOKUP(A14,MASTER!A:T,20,0),0)</f>
        <v>49197045.045045048</v>
      </c>
      <c r="N14" s="8">
        <f t="shared" si="3"/>
        <v>1.3430638916275495E-2</v>
      </c>
      <c r="O14" s="4">
        <f>IFERROR(VLOOKUP(A14,MASTER!A:U,21,0),0)</f>
        <v>22489009.009009007</v>
      </c>
      <c r="P14" s="4">
        <f>IFERROR(VLOOKUP(A14,MASTER!A:V,22,0),0)</f>
        <v>20846936.936936937</v>
      </c>
      <c r="Q14" s="8">
        <f t="shared" si="4"/>
        <v>7.8768026067302932E-2</v>
      </c>
      <c r="R14" s="4">
        <f>IFERROR(VLOOKUP(A14,MASTER!A:W,23,0),0)</f>
        <v>3886</v>
      </c>
      <c r="S14" s="4">
        <f>IFERROR(VLOOKUP(A14,MASTER!A:X,24,0),0)</f>
        <v>3836</v>
      </c>
      <c r="T14" s="8">
        <f t="shared" si="5"/>
        <v>1.3034410844629862E-2</v>
      </c>
      <c r="U14" s="11">
        <f>IFERROR(VLOOKUP(A14,MASTER!A:M,13,0),0)</f>
        <v>17</v>
      </c>
      <c r="V14" s="11">
        <f>IFERROR(VLOOKUP(A14,MASTER!A:N,14,0),0)</f>
        <v>8</v>
      </c>
      <c r="W14" s="8">
        <f t="shared" si="6"/>
        <v>1.125</v>
      </c>
      <c r="X14" s="11">
        <f>IFERROR(VLOOKUP(A14,MASTER!A:Q,17,0),0)</f>
        <v>53</v>
      </c>
      <c r="Y14" s="11">
        <f>IFERROR(VLOOKUP(A14,MASTER!A:R,18,0),0)</f>
        <v>61</v>
      </c>
      <c r="Z14" s="8">
        <f t="shared" si="7"/>
        <v>-0.13114754098360659</v>
      </c>
    </row>
    <row r="15" spans="1:26" ht="64.5" customHeight="1">
      <c r="A15" s="9" t="s">
        <v>9</v>
      </c>
      <c r="B15" s="1" t="s">
        <v>16</v>
      </c>
      <c r="C15" s="4">
        <f>IFERROR(VLOOKUP(A:A,MASTER!A:C,3,0),0)</f>
        <v>344900485.11662245</v>
      </c>
      <c r="D15" s="4">
        <f>IFERROR(VLOOKUP(A:A,MASTER!A:D,4,0),0)</f>
        <v>328556290.0803979</v>
      </c>
      <c r="E15" s="8">
        <f t="shared" si="0"/>
        <v>4.974549424156538E-2</v>
      </c>
      <c r="F15" s="4">
        <f>IFERROR(VLOOKUP(A15,MASTER!A:E,5,0),0)</f>
        <v>7246534.234234239</v>
      </c>
      <c r="G15" s="4">
        <f>IFERROR(VLOOKUP(A15,MASTER!A:F,6,0),0)</f>
        <v>3738086.486486488</v>
      </c>
      <c r="H15" s="8">
        <f t="shared" si="1"/>
        <v>0.93856783689491907</v>
      </c>
      <c r="I15" s="4">
        <f>IFERROR(VLOOKUP(A15,MASTER!A:O,15,0),0)</f>
        <v>547843663.06306303</v>
      </c>
      <c r="J15" s="4">
        <f>IFERROR(VLOOKUP(A15,MASTER!A:P,16,0),0)</f>
        <v>455008274.77477479</v>
      </c>
      <c r="K15" s="8">
        <f t="shared" si="2"/>
        <v>0.20403010985732273</v>
      </c>
      <c r="L15" s="4">
        <f>IFERROR(VLOOKUP(A15,MASTER!A:S,19,0),0)</f>
        <v>121917018.01801802</v>
      </c>
      <c r="M15" s="4">
        <f>IFERROR(VLOOKUP(A15,MASTER!A:T,20,0),0)</f>
        <v>119819378.37837839</v>
      </c>
      <c r="N15" s="8">
        <f t="shared" si="3"/>
        <v>1.7506681039651806E-2</v>
      </c>
      <c r="O15" s="4">
        <f>IFERROR(VLOOKUP(A15,MASTER!A:U,21,0),0)</f>
        <v>461690810.8108108</v>
      </c>
      <c r="P15" s="4">
        <f>IFERROR(VLOOKUP(A15,MASTER!A:V,22,0),0)</f>
        <v>368538108.1081081</v>
      </c>
      <c r="Q15" s="8">
        <f t="shared" si="4"/>
        <v>0.25276274190721404</v>
      </c>
      <c r="R15" s="4">
        <f>IFERROR(VLOOKUP(A15,MASTER!A:W,23,0),0)</f>
        <v>7293</v>
      </c>
      <c r="S15" s="4">
        <f>IFERROR(VLOOKUP(A15,MASTER!A:X,24,0),0)</f>
        <v>7163</v>
      </c>
      <c r="T15" s="8">
        <f t="shared" si="5"/>
        <v>1.8148820326678861E-2</v>
      </c>
      <c r="U15" s="11">
        <f>IFERROR(VLOOKUP(A15,MASTER!A:M,13,0),0)</f>
        <v>70</v>
      </c>
      <c r="V15" s="11">
        <f>IFERROR(VLOOKUP(A15,MASTER!A:N,14,0),0)</f>
        <v>57</v>
      </c>
      <c r="W15" s="8">
        <f t="shared" si="6"/>
        <v>0.22807017543859653</v>
      </c>
      <c r="X15" s="11">
        <f>IFERROR(VLOOKUP(A15,MASTER!A:Q,17,0),0)</f>
        <v>172</v>
      </c>
      <c r="Y15" s="11">
        <f>IFERROR(VLOOKUP(A15,MASTER!A:R,18,0),0)</f>
        <v>140</v>
      </c>
      <c r="Z15" s="8">
        <f t="shared" si="7"/>
        <v>0.22857142857142865</v>
      </c>
    </row>
    <row r="16" spans="1:26" ht="64.5" customHeight="1">
      <c r="A16" s="9" t="s">
        <v>35</v>
      </c>
      <c r="B16" s="1" t="s">
        <v>16</v>
      </c>
      <c r="C16" s="4">
        <f>IFERROR(VLOOKUP(A:A,MASTER!A:C,3,0),0)</f>
        <v>0</v>
      </c>
      <c r="D16" s="4">
        <f>IFERROR(VLOOKUP(A:A,MASTER!A:D,4,0),0)</f>
        <v>0</v>
      </c>
      <c r="E16" s="8">
        <f t="shared" si="0"/>
        <v>0</v>
      </c>
      <c r="F16" s="4">
        <f>IFERROR(VLOOKUP(A16,MASTER!A:E,5,0),0)</f>
        <v>0</v>
      </c>
      <c r="G16" s="4">
        <f>IFERROR(VLOOKUP(A16,MASTER!A:F,6,0),0)</f>
        <v>0</v>
      </c>
      <c r="H16" s="8">
        <f t="shared" si="1"/>
        <v>0</v>
      </c>
      <c r="I16" s="4">
        <f>IFERROR(VLOOKUP(A16,MASTER!A:O,15,0),0)</f>
        <v>0</v>
      </c>
      <c r="J16" s="4">
        <f>IFERROR(VLOOKUP(A16,MASTER!A:P,16,0),0)</f>
        <v>0</v>
      </c>
      <c r="K16" s="8">
        <f t="shared" si="2"/>
        <v>0</v>
      </c>
      <c r="L16" s="4">
        <f>IFERROR(VLOOKUP(A16,MASTER!A:S,19,0),0)</f>
        <v>0</v>
      </c>
      <c r="M16" s="4">
        <f>IFERROR(VLOOKUP(A16,MASTER!A:T,20,0),0)</f>
        <v>0</v>
      </c>
      <c r="N16" s="8">
        <f t="shared" si="3"/>
        <v>0</v>
      </c>
      <c r="O16" s="4">
        <f>IFERROR(VLOOKUP(A16,MASTER!A:U,21,0),0)</f>
        <v>0</v>
      </c>
      <c r="P16" s="4">
        <f>IFERROR(VLOOKUP(A16,MASTER!A:V,22,0),0)</f>
        <v>0</v>
      </c>
      <c r="Q16" s="8">
        <f t="shared" si="4"/>
        <v>0</v>
      </c>
      <c r="R16" s="4">
        <f>IFERROR(VLOOKUP(A16,MASTER!A:W,23,0),0)</f>
        <v>0</v>
      </c>
      <c r="S16" s="4">
        <f>IFERROR(VLOOKUP(A16,MASTER!A:X,24,0),0)</f>
        <v>0</v>
      </c>
      <c r="T16" s="8">
        <f t="shared" si="5"/>
        <v>0</v>
      </c>
      <c r="U16" s="11">
        <f>IFERROR(VLOOKUP(A16,MASTER!A:M,13,0),0)</f>
        <v>0</v>
      </c>
      <c r="V16" s="11">
        <f>IFERROR(VLOOKUP(A16,MASTER!A:N,14,0),0)</f>
        <v>0</v>
      </c>
      <c r="W16" s="8">
        <f t="shared" si="6"/>
        <v>0</v>
      </c>
      <c r="X16" s="11">
        <f>IFERROR(VLOOKUP(A16,MASTER!A:Q,17,0),0)</f>
        <v>0</v>
      </c>
      <c r="Y16" s="11">
        <f>IFERROR(VLOOKUP(A16,MASTER!A:R,18,0),0)</f>
        <v>0</v>
      </c>
      <c r="Z16" s="8">
        <f t="shared" si="7"/>
        <v>0</v>
      </c>
    </row>
    <row r="17" spans="1:26" ht="64.5" customHeight="1">
      <c r="A17" s="9" t="s">
        <v>10</v>
      </c>
      <c r="B17" s="1" t="s">
        <v>17</v>
      </c>
      <c r="C17" s="4">
        <f>IFERROR(VLOOKUP(A:A,MASTER!A:C,3,0),0)</f>
        <v>143750506.58803564</v>
      </c>
      <c r="D17" s="4">
        <f>IFERROR(VLOOKUP(A:A,MASTER!A:D,4,0),0)</f>
        <v>137913546.39254794</v>
      </c>
      <c r="E17" s="8">
        <f t="shared" si="0"/>
        <v>4.2323327535018107E-2</v>
      </c>
      <c r="F17" s="4">
        <f>IFERROR(VLOOKUP(A17,MASTER!A:E,5,0),0)</f>
        <v>0</v>
      </c>
      <c r="G17" s="4">
        <f>IFERROR(VLOOKUP(A17,MASTER!A:F,6,0),0)</f>
        <v>0</v>
      </c>
      <c r="H17" s="8">
        <f t="shared" si="1"/>
        <v>0</v>
      </c>
      <c r="I17" s="4">
        <f>IFERROR(VLOOKUP(A17,MASTER!A:O,15,0),0)</f>
        <v>0</v>
      </c>
      <c r="J17" s="4">
        <f>IFERROR(VLOOKUP(A17,MASTER!A:P,16,0),0)</f>
        <v>0</v>
      </c>
      <c r="K17" s="8">
        <f t="shared" si="2"/>
        <v>0</v>
      </c>
      <c r="L17" s="4">
        <f>IFERROR(VLOOKUP(A17,MASTER!A:S,19,0),0)</f>
        <v>82946441.441441447</v>
      </c>
      <c r="M17" s="4">
        <f>IFERROR(VLOOKUP(A17,MASTER!A:T,20,0),0)</f>
        <v>83313709.909909904</v>
      </c>
      <c r="N17" s="8">
        <f t="shared" si="3"/>
        <v>-4.4082596833774357E-3</v>
      </c>
      <c r="O17" s="4">
        <f>IFERROR(VLOOKUP(A17,MASTER!A:U,21,0),0)</f>
        <v>0</v>
      </c>
      <c r="P17" s="4">
        <f>IFERROR(VLOOKUP(A17,MASTER!A:V,22,0),0)</f>
        <v>19639.639639640001</v>
      </c>
      <c r="Q17" s="8">
        <f t="shared" si="4"/>
        <v>-1</v>
      </c>
      <c r="R17" s="4">
        <f>IFERROR(VLOOKUP(A17,MASTER!A:W,23,0),0)</f>
        <v>3991</v>
      </c>
      <c r="S17" s="4">
        <f>IFERROR(VLOOKUP(A17,MASTER!A:X,24,0),0)</f>
        <v>3663</v>
      </c>
      <c r="T17" s="8">
        <f t="shared" si="5"/>
        <v>8.9544089544089545E-2</v>
      </c>
      <c r="U17" s="11">
        <f>IFERROR(VLOOKUP(A17,MASTER!A:M,13,0),0)</f>
        <v>9</v>
      </c>
      <c r="V17" s="11">
        <f>IFERROR(VLOOKUP(A17,MASTER!A:N,14,0),0)</f>
        <v>19</v>
      </c>
      <c r="W17" s="8">
        <f t="shared" si="6"/>
        <v>-0.52631578947368429</v>
      </c>
      <c r="X17" s="11">
        <f>IFERROR(VLOOKUP(A17,MASTER!A:Q,17,0),0)</f>
        <v>0</v>
      </c>
      <c r="Y17" s="11">
        <f>IFERROR(VLOOKUP(A17,MASTER!A:R,18,0),0)</f>
        <v>0</v>
      </c>
      <c r="Z17" s="8">
        <f t="shared" si="7"/>
        <v>0</v>
      </c>
    </row>
    <row r="18" spans="1:26" ht="64.5" customHeight="1">
      <c r="A18" s="9" t="s">
        <v>11</v>
      </c>
      <c r="B18" s="1" t="s">
        <v>17</v>
      </c>
      <c r="C18" s="4">
        <f>IFERROR(VLOOKUP(A:A,MASTER!A:C,3,0),0)</f>
        <v>113151292.38975427</v>
      </c>
      <c r="D18" s="4">
        <f>IFERROR(VLOOKUP(A:A,MASTER!A:D,4,0),0)</f>
        <v>118968605.62736063</v>
      </c>
      <c r="E18" s="8">
        <f t="shared" si="0"/>
        <v>-4.8897885344875269E-2</v>
      </c>
      <c r="F18" s="4">
        <f>IFERROR(VLOOKUP(A18,MASTER!A:E,5,0),0)</f>
        <v>342342.34234234103</v>
      </c>
      <c r="G18" s="4">
        <f>IFERROR(VLOOKUP(A18,MASTER!A:F,6,0),0)</f>
        <v>112612.612612615</v>
      </c>
      <c r="H18" s="8">
        <f t="shared" si="1"/>
        <v>2.0399999999999237</v>
      </c>
      <c r="I18" s="4">
        <f>IFERROR(VLOOKUP(A18,MASTER!A:O,15,0),0)</f>
        <v>3324324.3243243229</v>
      </c>
      <c r="J18" s="4">
        <f>IFERROR(VLOOKUP(A18,MASTER!A:P,16,0),0)</f>
        <v>2545045.0450450471</v>
      </c>
      <c r="K18" s="8">
        <f t="shared" si="2"/>
        <v>0.30619469026548507</v>
      </c>
      <c r="L18" s="4">
        <f>IFERROR(VLOOKUP(A18,MASTER!A:S,19,0),0)</f>
        <v>37479324.324324317</v>
      </c>
      <c r="M18" s="4">
        <f>IFERROR(VLOOKUP(A18,MASTER!A:T,20,0),0)</f>
        <v>40399326.576576576</v>
      </c>
      <c r="N18" s="8">
        <f t="shared" si="3"/>
        <v>-7.2278488274239439E-2</v>
      </c>
      <c r="O18" s="4">
        <f>IFERROR(VLOOKUP(A18,MASTER!A:U,21,0),0)</f>
        <v>4160720.7207207181</v>
      </c>
      <c r="P18" s="4">
        <f>IFERROR(VLOOKUP(A18,MASTER!A:V,22,0),0)</f>
        <v>2436126.1261261259</v>
      </c>
      <c r="Q18" s="8">
        <f t="shared" si="4"/>
        <v>0.70792500277356507</v>
      </c>
      <c r="R18" s="4">
        <f>IFERROR(VLOOKUP(A18,MASTER!A:W,23,0),0)</f>
        <v>3891</v>
      </c>
      <c r="S18" s="4">
        <f>IFERROR(VLOOKUP(A18,MASTER!A:X,24,0),0)</f>
        <v>3959</v>
      </c>
      <c r="T18" s="8">
        <f t="shared" si="5"/>
        <v>-1.7176054559232101E-2</v>
      </c>
      <c r="U18" s="11">
        <f>IFERROR(VLOOKUP(A18,MASTER!A:M,13,0),0)</f>
        <v>43</v>
      </c>
      <c r="V18" s="11">
        <f>IFERROR(VLOOKUP(A18,MASTER!A:N,14,0),0)</f>
        <v>33</v>
      </c>
      <c r="W18" s="8">
        <f t="shared" si="6"/>
        <v>0.30303030303030298</v>
      </c>
      <c r="X18" s="11">
        <f>IFERROR(VLOOKUP(A18,MASTER!A:Q,17,0),0)</f>
        <v>44</v>
      </c>
      <c r="Y18" s="11">
        <f>IFERROR(VLOOKUP(A18,MASTER!A:R,18,0),0)</f>
        <v>0</v>
      </c>
      <c r="Z18" s="8">
        <f t="shared" si="7"/>
        <v>0</v>
      </c>
    </row>
    <row r="19" spans="1:26" ht="64.5" customHeight="1">
      <c r="A19" s="9" t="s">
        <v>12</v>
      </c>
      <c r="B19" s="1" t="s">
        <v>17</v>
      </c>
      <c r="C19" s="4">
        <f>IFERROR(VLOOKUP(A:A,MASTER!A:C,3,0),0)</f>
        <v>79444907.40513283</v>
      </c>
      <c r="D19" s="4">
        <f>IFERROR(VLOOKUP(A:A,MASTER!A:D,4,0),0)</f>
        <v>77108406.95339261</v>
      </c>
      <c r="E19" s="8">
        <f t="shared" si="0"/>
        <v>3.030150075791993E-2</v>
      </c>
      <c r="F19" s="4">
        <f>IFERROR(VLOOKUP(A19,MASTER!A:E,5,0),0)</f>
        <v>55513738.738738738</v>
      </c>
      <c r="G19" s="4">
        <f>IFERROR(VLOOKUP(A19,MASTER!A:F,6,0),0)</f>
        <v>25871171.171171177</v>
      </c>
      <c r="H19" s="8">
        <f t="shared" si="1"/>
        <v>1.1457760211721273</v>
      </c>
      <c r="I19" s="4">
        <f>IFERROR(VLOOKUP(A19,MASTER!A:O,15,0),0)</f>
        <v>10494819.819819819</v>
      </c>
      <c r="J19" s="4">
        <f>IFERROR(VLOOKUP(A19,MASTER!A:P,16,0),0)</f>
        <v>7357882.8828828838</v>
      </c>
      <c r="K19" s="8">
        <f t="shared" si="2"/>
        <v>0.42633689430346777</v>
      </c>
      <c r="L19" s="4">
        <f>IFERROR(VLOOKUP(A19,MASTER!A:S,19,0),0)</f>
        <v>31092423.423423424</v>
      </c>
      <c r="M19" s="4">
        <f>IFERROR(VLOOKUP(A19,MASTER!A:T,20,0),0)</f>
        <v>30368216.216216218</v>
      </c>
      <c r="N19" s="8">
        <f t="shared" si="3"/>
        <v>2.384753855975541E-2</v>
      </c>
      <c r="O19" s="4">
        <f>IFERROR(VLOOKUP(A19,MASTER!A:U,21,0),0)</f>
        <v>4866216.2162162149</v>
      </c>
      <c r="P19" s="4">
        <f>IFERROR(VLOOKUP(A19,MASTER!A:V,22,0),0)</f>
        <v>8173153.1531531531</v>
      </c>
      <c r="Q19" s="8">
        <f t="shared" si="4"/>
        <v>-0.4046096867353014</v>
      </c>
      <c r="R19" s="4">
        <f>IFERROR(VLOOKUP(A19,MASTER!A:W,23,0),0)</f>
        <v>2837</v>
      </c>
      <c r="S19" s="4">
        <f>IFERROR(VLOOKUP(A19,MASTER!A:X,24,0),0)</f>
        <v>2860</v>
      </c>
      <c r="T19" s="8">
        <f t="shared" si="5"/>
        <v>-8.0419580419580639E-3</v>
      </c>
      <c r="U19" s="11">
        <f>IFERROR(VLOOKUP(A19,MASTER!A:M,13,0),0)</f>
        <v>27</v>
      </c>
      <c r="V19" s="11">
        <f>IFERROR(VLOOKUP(A19,MASTER!A:N,14,0),0)</f>
        <v>12</v>
      </c>
      <c r="W19" s="8">
        <f t="shared" si="6"/>
        <v>1.25</v>
      </c>
      <c r="X19" s="11">
        <f>IFERROR(VLOOKUP(A19,MASTER!A:Q,17,0),0)</f>
        <v>70</v>
      </c>
      <c r="Y19" s="11">
        <f>IFERROR(VLOOKUP(A19,MASTER!A:R,18,0),0)</f>
        <v>0</v>
      </c>
      <c r="Z19" s="8">
        <f t="shared" si="7"/>
        <v>0</v>
      </c>
    </row>
    <row r="20" spans="1:26" ht="64.5" customHeight="1">
      <c r="A20" s="9" t="s">
        <v>36</v>
      </c>
      <c r="B20" s="1" t="s">
        <v>16</v>
      </c>
      <c r="C20" s="4">
        <f>IFERROR(VLOOKUP(A:A,MASTER!A:C,3,0),0)</f>
        <v>0</v>
      </c>
      <c r="D20" s="4">
        <f>IFERROR(VLOOKUP(A:A,MASTER!A:D,4,0),0)</f>
        <v>0</v>
      </c>
      <c r="E20" s="8">
        <f t="shared" si="0"/>
        <v>0</v>
      </c>
      <c r="F20" s="4">
        <f>IFERROR(VLOOKUP(A20,MASTER!A:E,5,0),0)</f>
        <v>0</v>
      </c>
      <c r="G20" s="4">
        <f>IFERROR(VLOOKUP(A20,MASTER!A:F,6,0),0)</f>
        <v>0</v>
      </c>
      <c r="H20" s="8">
        <f t="shared" si="1"/>
        <v>0</v>
      </c>
      <c r="I20" s="4">
        <f>IFERROR(VLOOKUP(A20,MASTER!A:O,15,0),0)</f>
        <v>0</v>
      </c>
      <c r="J20" s="4">
        <f>IFERROR(VLOOKUP(A20,MASTER!A:P,16,0),0)</f>
        <v>0</v>
      </c>
      <c r="K20" s="8">
        <f t="shared" si="2"/>
        <v>0</v>
      </c>
      <c r="L20" s="4">
        <f>IFERROR(VLOOKUP(A20,MASTER!A:S,19,0),0)</f>
        <v>0</v>
      </c>
      <c r="M20" s="4">
        <f>IFERROR(VLOOKUP(A20,MASTER!A:T,20,0),0)</f>
        <v>0</v>
      </c>
      <c r="N20" s="8">
        <f t="shared" si="3"/>
        <v>0</v>
      </c>
      <c r="O20" s="4">
        <f>IFERROR(VLOOKUP(A20,MASTER!A:U,21,0),0)</f>
        <v>0</v>
      </c>
      <c r="P20" s="4">
        <f>IFERROR(VLOOKUP(A20,MASTER!A:V,22,0),0)</f>
        <v>0</v>
      </c>
      <c r="Q20" s="8">
        <f t="shared" si="4"/>
        <v>0</v>
      </c>
      <c r="R20" s="4">
        <f>IFERROR(VLOOKUP(A20,MASTER!A:W,23,0),0)</f>
        <v>0</v>
      </c>
      <c r="S20" s="4">
        <f>IFERROR(VLOOKUP(A20,MASTER!A:X,24,0),0)</f>
        <v>0</v>
      </c>
      <c r="T20" s="8">
        <f t="shared" si="5"/>
        <v>0</v>
      </c>
      <c r="U20" s="11">
        <f>IFERROR(VLOOKUP(A20,MASTER!A:M,13,0),0)</f>
        <v>0</v>
      </c>
      <c r="V20" s="11">
        <f>IFERROR(VLOOKUP(A20,MASTER!A:N,14,0),0)</f>
        <v>0</v>
      </c>
      <c r="W20" s="8">
        <f t="shared" si="6"/>
        <v>0</v>
      </c>
      <c r="X20" s="11">
        <f>IFERROR(VLOOKUP(A20,MASTER!A:Q,17,0),0)</f>
        <v>0</v>
      </c>
      <c r="Y20" s="11">
        <f>IFERROR(VLOOKUP(A20,MASTER!A:R,18,0),0)</f>
        <v>0</v>
      </c>
      <c r="Z20" s="8">
        <f t="shared" si="7"/>
        <v>0</v>
      </c>
    </row>
    <row r="21" spans="1:26" ht="64.5" customHeight="1">
      <c r="A21" s="9" t="s">
        <v>13</v>
      </c>
      <c r="B21" s="1" t="s">
        <v>16</v>
      </c>
      <c r="C21" s="4">
        <f>IFERROR(VLOOKUP(A:A,MASTER!A:C,3,0),0)</f>
        <v>289750591.00224584</v>
      </c>
      <c r="D21" s="4">
        <f>IFERROR(VLOOKUP(A:A,MASTER!A:D,4,0),0)</f>
        <v>271950972.88308817</v>
      </c>
      <c r="E21" s="8">
        <f t="shared" si="0"/>
        <v>6.545156992988499E-2</v>
      </c>
      <c r="F21" s="4">
        <f>IFERROR(VLOOKUP(A21,MASTER!A:E,5,0),0)</f>
        <v>633713212.61261261</v>
      </c>
      <c r="G21" s="4">
        <f>IFERROR(VLOOKUP(A21,MASTER!A:F,6,0),0)</f>
        <v>717539560.36036026</v>
      </c>
      <c r="H21" s="8">
        <f t="shared" si="1"/>
        <v>-0.11682470539415091</v>
      </c>
      <c r="I21" s="4">
        <f>IFERROR(VLOOKUP(A21,MASTER!A:O,15,0),0)</f>
        <v>117272662.16216215</v>
      </c>
      <c r="J21" s="4">
        <f>IFERROR(VLOOKUP(A21,MASTER!A:P,16,0),0)</f>
        <v>112699369.36936937</v>
      </c>
      <c r="K21" s="8">
        <f t="shared" si="2"/>
        <v>4.0579577493498942E-2</v>
      </c>
      <c r="L21" s="4">
        <f>IFERROR(VLOOKUP(A21,MASTER!A:S,19,0),0)</f>
        <v>166227166.66666666</v>
      </c>
      <c r="M21" s="4">
        <f>IFERROR(VLOOKUP(A21,MASTER!A:T,20,0),0)</f>
        <v>158033405.4054054</v>
      </c>
      <c r="N21" s="8">
        <f t="shared" si="3"/>
        <v>5.1848286381234843E-2</v>
      </c>
      <c r="O21" s="4">
        <f>IFERROR(VLOOKUP(A21,MASTER!A:U,21,0),0)</f>
        <v>54109459.459459454</v>
      </c>
      <c r="P21" s="4">
        <f>IFERROR(VLOOKUP(A21,MASTER!A:V,22,0),0)</f>
        <v>56049953.153153151</v>
      </c>
      <c r="Q21" s="8">
        <f t="shared" si="4"/>
        <v>-3.4620790643507093E-2</v>
      </c>
      <c r="R21" s="4">
        <f>IFERROR(VLOOKUP(A21,MASTER!A:W,23,0),0)</f>
        <v>8265</v>
      </c>
      <c r="S21" s="4">
        <f>IFERROR(VLOOKUP(A21,MASTER!A:X,24,0),0)</f>
        <v>6752</v>
      </c>
      <c r="T21" s="8">
        <f t="shared" si="5"/>
        <v>0.22408175355450233</v>
      </c>
      <c r="U21" s="11">
        <f>IFERROR(VLOOKUP(A21,MASTER!A:M,13,0),0)</f>
        <v>345</v>
      </c>
      <c r="V21" s="11">
        <f>IFERROR(VLOOKUP(A21,MASTER!A:N,14,0),0)</f>
        <v>128</v>
      </c>
      <c r="W21" s="8">
        <f t="shared" si="6"/>
        <v>1.6953125</v>
      </c>
      <c r="X21" s="11">
        <f>IFERROR(VLOOKUP(A21,MASTER!A:Q,17,0),0)</f>
        <v>224</v>
      </c>
      <c r="Y21" s="11">
        <f>IFERROR(VLOOKUP(A21,MASTER!A:R,18,0),0)</f>
        <v>143</v>
      </c>
      <c r="Z21" s="8">
        <f t="shared" si="7"/>
        <v>0.56643356643356646</v>
      </c>
    </row>
    <row r="22" spans="1:26" ht="64.5" customHeight="1">
      <c r="A22" s="9" t="s">
        <v>14</v>
      </c>
      <c r="B22" s="1" t="s">
        <v>16</v>
      </c>
      <c r="C22" s="4">
        <f>IFERROR(VLOOKUP(A:A,MASTER!A:C,3,0),0)</f>
        <v>149050211.64888573</v>
      </c>
      <c r="D22" s="4">
        <f>IFERROR(VLOOKUP(A:A,MASTER!A:D,4,0),0)</f>
        <v>140165412.50251746</v>
      </c>
      <c r="E22" s="8">
        <f t="shared" si="0"/>
        <v>6.3387957041175724E-2</v>
      </c>
      <c r="F22" s="4">
        <f>IFERROR(VLOOKUP(A22,MASTER!A:E,5,0),0)</f>
        <v>92792.792792795997</v>
      </c>
      <c r="G22" s="4">
        <f>IFERROR(VLOOKUP(A22,MASTER!A:F,6,0),0)</f>
        <v>840540.54054054304</v>
      </c>
      <c r="H22" s="8">
        <f t="shared" si="1"/>
        <v>-0.88960342979635232</v>
      </c>
      <c r="I22" s="4">
        <f>IFERROR(VLOOKUP(A22,MASTER!A:O,15,0),0)</f>
        <v>13674594.594594594</v>
      </c>
      <c r="J22" s="4">
        <f>IFERROR(VLOOKUP(A22,MASTER!A:P,16,0),0)</f>
        <v>30045045.045045048</v>
      </c>
      <c r="K22" s="8">
        <f t="shared" si="2"/>
        <v>-0.5448635682158921</v>
      </c>
      <c r="L22" s="4">
        <f>IFERROR(VLOOKUP(A22,MASTER!A:S,19,0),0)</f>
        <v>48284135.135135137</v>
      </c>
      <c r="M22" s="4">
        <f>IFERROR(VLOOKUP(A22,MASTER!A:T,20,0),0)</f>
        <v>47640720.720720723</v>
      </c>
      <c r="N22" s="8">
        <f t="shared" si="3"/>
        <v>1.3505555849715911E-2</v>
      </c>
      <c r="O22" s="4">
        <f>IFERROR(VLOOKUP(A22,MASTER!A:U,21,0),0)</f>
        <v>14661531.53153153</v>
      </c>
      <c r="P22" s="4">
        <f>IFERROR(VLOOKUP(A22,MASTER!A:V,22,0),0)</f>
        <v>32784594.594594598</v>
      </c>
      <c r="Q22" s="8">
        <f t="shared" si="4"/>
        <v>-0.55279204416488747</v>
      </c>
      <c r="R22" s="4">
        <f>IFERROR(VLOOKUP(A22,MASTER!A:W,23,0),0)</f>
        <v>3933</v>
      </c>
      <c r="S22" s="4">
        <f>IFERROR(VLOOKUP(A22,MASTER!A:X,24,0),0)</f>
        <v>3909</v>
      </c>
      <c r="T22" s="8">
        <f t="shared" si="5"/>
        <v>6.1396776669224717E-3</v>
      </c>
      <c r="U22" s="11">
        <f>IFERROR(VLOOKUP(A22,MASTER!A:M,13,0),0)</f>
        <v>14</v>
      </c>
      <c r="V22" s="11">
        <f>IFERROR(VLOOKUP(A22,MASTER!A:N,14,0),0)</f>
        <v>22</v>
      </c>
      <c r="W22" s="8">
        <f t="shared" si="6"/>
        <v>-0.36363636363636365</v>
      </c>
      <c r="X22" s="11">
        <f>IFERROR(VLOOKUP(A22,MASTER!A:Q,17,0),0)</f>
        <v>55</v>
      </c>
      <c r="Y22" s="11">
        <f>IFERROR(VLOOKUP(A22,MASTER!A:R,18,0),0)</f>
        <v>0</v>
      </c>
      <c r="Z22" s="8">
        <f t="shared" si="7"/>
        <v>0</v>
      </c>
    </row>
  </sheetData>
  <autoFilter ref="A5:T22"/>
  <conditionalFormatting sqref="E6:E22">
    <cfRule type="cellIs" dxfId="8" priority="14" operator="lessThan">
      <formula>0</formula>
    </cfRule>
  </conditionalFormatting>
  <conditionalFormatting sqref="H6:H22">
    <cfRule type="cellIs" dxfId="7" priority="8" operator="lessThan">
      <formula>0</formula>
    </cfRule>
  </conditionalFormatting>
  <conditionalFormatting sqref="K6:K22">
    <cfRule type="cellIs" dxfId="6" priority="7" operator="lessThan">
      <formula>0</formula>
    </cfRule>
  </conditionalFormatting>
  <conditionalFormatting sqref="N6:N22">
    <cfRule type="cellIs" dxfId="5" priority="6" operator="lessThan">
      <formula>0</formula>
    </cfRule>
  </conditionalFormatting>
  <conditionalFormatting sqref="Q6:Q22">
    <cfRule type="cellIs" dxfId="4" priority="5" operator="lessThan">
      <formula>0</formula>
    </cfRule>
  </conditionalFormatting>
  <conditionalFormatting sqref="T6:T22">
    <cfRule type="cellIs" dxfId="3" priority="4" operator="lessThan">
      <formula>0</formula>
    </cfRule>
  </conditionalFormatting>
  <conditionalFormatting sqref="W6:W22">
    <cfRule type="cellIs" dxfId="2" priority="3" operator="lessThan">
      <formula>0</formula>
    </cfRule>
  </conditionalFormatting>
  <conditionalFormatting sqref="Z7:Z22">
    <cfRule type="cellIs" dxfId="1" priority="2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71"/>
  <sheetViews>
    <sheetView workbookViewId="0">
      <pane xSplit="1" ySplit="3" topLeftCell="J4" activePane="bottomRight" state="frozen"/>
      <selection pane="topRight" activeCell="B1" sqref="B1"/>
      <selection pane="bottomLeft" activeCell="A4" sqref="A4"/>
      <selection pane="bottomRight" activeCell="C4" sqref="C4"/>
    </sheetView>
  </sheetViews>
  <sheetFormatPr defaultRowHeight="14.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4">
      <c r="L1" s="7"/>
      <c r="M1" s="7"/>
    </row>
    <row r="2" spans="1:24">
      <c r="A2" s="7" t="s">
        <v>37</v>
      </c>
      <c r="B2" s="10" t="s">
        <v>678</v>
      </c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679</v>
      </c>
      <c r="J2" s="7" t="s">
        <v>679</v>
      </c>
      <c r="K2" s="7" t="s">
        <v>664</v>
      </c>
      <c r="L2" s="7" t="s">
        <v>664</v>
      </c>
      <c r="M2" s="7" t="s">
        <v>41</v>
      </c>
      <c r="N2" s="7" t="s">
        <v>41</v>
      </c>
      <c r="O2" s="7" t="s">
        <v>42</v>
      </c>
      <c r="P2" s="7" t="s">
        <v>42</v>
      </c>
      <c r="Q2" s="7" t="s">
        <v>680</v>
      </c>
      <c r="R2" s="7" t="s">
        <v>680</v>
      </c>
      <c r="S2" s="7" t="s">
        <v>43</v>
      </c>
      <c r="T2" s="7" t="s">
        <v>43</v>
      </c>
      <c r="U2" s="7" t="s">
        <v>44</v>
      </c>
      <c r="V2" s="7" t="s">
        <v>44</v>
      </c>
      <c r="W2" s="7" t="s">
        <v>30</v>
      </c>
      <c r="X2" s="7" t="s">
        <v>30</v>
      </c>
    </row>
    <row r="3" spans="1:24">
      <c r="A3" s="15" t="s">
        <v>45</v>
      </c>
      <c r="B3" s="15" t="s">
        <v>46</v>
      </c>
      <c r="C3" s="15" t="s">
        <v>31</v>
      </c>
      <c r="D3" s="15" t="s">
        <v>32</v>
      </c>
      <c r="E3" s="15" t="s">
        <v>31</v>
      </c>
      <c r="F3" s="15" t="s">
        <v>32</v>
      </c>
      <c r="G3" s="15" t="s">
        <v>31</v>
      </c>
      <c r="H3" s="15" t="s">
        <v>32</v>
      </c>
      <c r="I3" s="15" t="s">
        <v>31</v>
      </c>
      <c r="J3" s="15" t="s">
        <v>32</v>
      </c>
      <c r="K3" s="15" t="s">
        <v>31</v>
      </c>
      <c r="L3" s="15" t="s">
        <v>32</v>
      </c>
      <c r="M3" s="15" t="s">
        <v>31</v>
      </c>
      <c r="N3" s="15" t="s">
        <v>32</v>
      </c>
      <c r="O3" s="15" t="s">
        <v>31</v>
      </c>
      <c r="P3" s="15" t="s">
        <v>32</v>
      </c>
      <c r="Q3" s="15" t="s">
        <v>31</v>
      </c>
      <c r="R3" s="15" t="s">
        <v>32</v>
      </c>
      <c r="S3" s="15" t="s">
        <v>31</v>
      </c>
      <c r="T3" s="15" t="s">
        <v>32</v>
      </c>
      <c r="U3" s="15" t="s">
        <v>31</v>
      </c>
      <c r="V3" s="15" t="s">
        <v>32</v>
      </c>
      <c r="W3" s="15" t="s">
        <v>31</v>
      </c>
      <c r="X3" s="15" t="s">
        <v>32</v>
      </c>
    </row>
    <row r="4" spans="1:24">
      <c r="A4" s="7" t="s">
        <v>47</v>
      </c>
      <c r="B4" s="16" t="s">
        <v>48</v>
      </c>
      <c r="C4">
        <v>401394216.18399078</v>
      </c>
      <c r="D4">
        <v>433809457.82825333</v>
      </c>
      <c r="E4">
        <v>1487162.1621621619</v>
      </c>
      <c r="F4">
        <v>1684459.4594594601</v>
      </c>
      <c r="G4">
        <v>17</v>
      </c>
      <c r="H4">
        <v>46</v>
      </c>
      <c r="I4">
        <v>5</v>
      </c>
      <c r="J4">
        <v>4</v>
      </c>
      <c r="M4">
        <v>24</v>
      </c>
      <c r="N4">
        <v>78</v>
      </c>
      <c r="O4">
        <v>10790630.630630627</v>
      </c>
      <c r="P4">
        <v>31963963.963963963</v>
      </c>
      <c r="S4">
        <v>48658423.423423424</v>
      </c>
      <c r="T4">
        <v>53561818.018018015</v>
      </c>
      <c r="U4">
        <v>6879369.3693693662</v>
      </c>
      <c r="V4">
        <v>29962162.162162159</v>
      </c>
      <c r="W4">
        <v>8306</v>
      </c>
      <c r="X4">
        <v>8236</v>
      </c>
    </row>
    <row r="5" spans="1:24">
      <c r="A5" s="7" t="s">
        <v>49</v>
      </c>
      <c r="B5" s="16" t="s">
        <v>50</v>
      </c>
      <c r="C5">
        <v>687367814.24063861</v>
      </c>
      <c r="D5">
        <v>651273415.88976324</v>
      </c>
      <c r="E5">
        <v>204361590.990991</v>
      </c>
      <c r="F5">
        <v>197711567.56756759</v>
      </c>
      <c r="G5">
        <v>387</v>
      </c>
      <c r="H5">
        <v>418</v>
      </c>
      <c r="I5">
        <v>36</v>
      </c>
      <c r="J5">
        <v>25</v>
      </c>
      <c r="K5">
        <v>10</v>
      </c>
      <c r="M5">
        <v>434</v>
      </c>
      <c r="N5">
        <v>722</v>
      </c>
      <c r="O5">
        <v>219956355.85585585</v>
      </c>
      <c r="P5">
        <v>189968108.1081081</v>
      </c>
      <c r="Q5">
        <v>348</v>
      </c>
      <c r="R5">
        <v>759</v>
      </c>
      <c r="S5">
        <v>206274148.64864865</v>
      </c>
      <c r="T5">
        <v>207712779.27927926</v>
      </c>
      <c r="U5">
        <v>141065045.04504505</v>
      </c>
      <c r="V5">
        <v>102165225.22522523</v>
      </c>
      <c r="W5">
        <v>20467</v>
      </c>
      <c r="X5">
        <v>19813</v>
      </c>
    </row>
    <row r="6" spans="1:24">
      <c r="A6" s="7" t="s">
        <v>51</v>
      </c>
      <c r="B6" s="16" t="s">
        <v>52</v>
      </c>
      <c r="C6">
        <v>161865842.09835401</v>
      </c>
      <c r="D6">
        <v>164759672.44130522</v>
      </c>
      <c r="E6">
        <v>1952027.027027027</v>
      </c>
      <c r="F6">
        <v>4022522.522522524</v>
      </c>
      <c r="G6">
        <v>30</v>
      </c>
      <c r="H6">
        <v>89</v>
      </c>
      <c r="I6">
        <v>6</v>
      </c>
      <c r="J6">
        <v>9</v>
      </c>
      <c r="M6">
        <v>31</v>
      </c>
      <c r="N6">
        <v>99</v>
      </c>
      <c r="O6">
        <v>27053603.603603601</v>
      </c>
      <c r="P6">
        <v>50213963.963963971</v>
      </c>
      <c r="Q6">
        <v>173</v>
      </c>
      <c r="R6">
        <v>46</v>
      </c>
      <c r="S6">
        <v>57177009.009009011</v>
      </c>
      <c r="T6">
        <v>55387783.783783786</v>
      </c>
      <c r="U6">
        <v>13973243.243243242</v>
      </c>
      <c r="V6">
        <v>45315675.675675683</v>
      </c>
      <c r="W6">
        <v>4561</v>
      </c>
      <c r="X6">
        <v>4392</v>
      </c>
    </row>
    <row r="7" spans="1:24">
      <c r="A7" s="7" t="s">
        <v>53</v>
      </c>
      <c r="B7" s="16" t="s">
        <v>54</v>
      </c>
      <c r="C7">
        <v>89504278.861774966</v>
      </c>
      <c r="D7">
        <v>89192139.533527911</v>
      </c>
      <c r="E7">
        <v>862612.61261261394</v>
      </c>
      <c r="F7">
        <v>728828.82882883004</v>
      </c>
      <c r="G7">
        <v>24</v>
      </c>
      <c r="H7">
        <v>24</v>
      </c>
      <c r="I7">
        <v>3</v>
      </c>
      <c r="J7">
        <v>3</v>
      </c>
      <c r="M7">
        <v>25</v>
      </c>
      <c r="N7">
        <v>40</v>
      </c>
      <c r="O7">
        <v>10186486.486486483</v>
      </c>
      <c r="P7">
        <v>7574234.2342342343</v>
      </c>
      <c r="Q7">
        <v>88</v>
      </c>
      <c r="R7">
        <v>59</v>
      </c>
      <c r="S7">
        <v>30075954.954954956</v>
      </c>
      <c r="T7">
        <v>28638146.396396395</v>
      </c>
      <c r="U7">
        <v>10212882.882882884</v>
      </c>
      <c r="V7">
        <v>8373783.7837837851</v>
      </c>
      <c r="W7">
        <v>3723</v>
      </c>
      <c r="X7">
        <v>3661</v>
      </c>
    </row>
    <row r="8" spans="1:24">
      <c r="A8" s="7" t="s">
        <v>55</v>
      </c>
      <c r="B8" s="16" t="s">
        <v>54</v>
      </c>
      <c r="C8">
        <v>148507419.82814103</v>
      </c>
      <c r="D8">
        <v>145892430.10666227</v>
      </c>
      <c r="E8">
        <v>570720.72072072304</v>
      </c>
      <c r="F8">
        <v>2845045.0450450471</v>
      </c>
      <c r="G8">
        <v>50</v>
      </c>
      <c r="H8">
        <v>55</v>
      </c>
      <c r="I8">
        <v>8</v>
      </c>
      <c r="J8">
        <v>12</v>
      </c>
      <c r="M8">
        <v>74</v>
      </c>
      <c r="N8">
        <v>119</v>
      </c>
      <c r="O8">
        <v>33041891.891891889</v>
      </c>
      <c r="P8">
        <v>23960360.360360365</v>
      </c>
      <c r="Q8">
        <v>129</v>
      </c>
      <c r="R8">
        <v>104</v>
      </c>
      <c r="S8">
        <v>38403675.675675683</v>
      </c>
      <c r="T8">
        <v>41810648.648648649</v>
      </c>
      <c r="U8">
        <v>33615225.225225225</v>
      </c>
      <c r="V8">
        <v>47171351.351351351</v>
      </c>
      <c r="W8">
        <v>4315</v>
      </c>
      <c r="X8">
        <v>4401</v>
      </c>
    </row>
    <row r="9" spans="1:24">
      <c r="A9" s="7" t="s">
        <v>56</v>
      </c>
      <c r="B9" s="16" t="s">
        <v>54</v>
      </c>
      <c r="C9">
        <v>74714829.335381106</v>
      </c>
      <c r="D9">
        <v>71528666.660139978</v>
      </c>
      <c r="E9">
        <v>552432.43243243301</v>
      </c>
      <c r="F9">
        <v>1112612.612612613</v>
      </c>
      <c r="G9">
        <v>12</v>
      </c>
      <c r="H9">
        <v>17</v>
      </c>
      <c r="I9">
        <v>3</v>
      </c>
      <c r="J9">
        <v>1</v>
      </c>
      <c r="M9">
        <v>15</v>
      </c>
      <c r="N9">
        <v>20</v>
      </c>
      <c r="O9">
        <v>5940720.7207207177</v>
      </c>
      <c r="P9">
        <v>7614234.2342342352</v>
      </c>
      <c r="Q9">
        <v>51</v>
      </c>
      <c r="R9">
        <v>46</v>
      </c>
      <c r="S9">
        <v>22426306.306306306</v>
      </c>
      <c r="T9">
        <v>21982369.369369369</v>
      </c>
      <c r="U9">
        <v>5183423.4234234234</v>
      </c>
      <c r="V9">
        <v>6171801.8018018026</v>
      </c>
      <c r="W9">
        <v>2046</v>
      </c>
      <c r="X9">
        <v>2020</v>
      </c>
    </row>
    <row r="10" spans="1:24">
      <c r="A10" s="7" t="s">
        <v>57</v>
      </c>
      <c r="B10" s="16" t="s">
        <v>58</v>
      </c>
      <c r="C10">
        <v>193266314.30544955</v>
      </c>
      <c r="D10">
        <v>195092005.69189492</v>
      </c>
      <c r="E10">
        <v>1809009.0090090099</v>
      </c>
      <c r="F10">
        <v>148648.648648651</v>
      </c>
      <c r="G10">
        <v>56</v>
      </c>
      <c r="H10">
        <v>65</v>
      </c>
      <c r="I10">
        <v>1</v>
      </c>
      <c r="J10">
        <v>2</v>
      </c>
      <c r="M10">
        <v>65</v>
      </c>
      <c r="N10">
        <v>73</v>
      </c>
      <c r="O10">
        <v>4529729.7297297297</v>
      </c>
      <c r="P10">
        <v>3572072.072072072</v>
      </c>
      <c r="Q10">
        <v>2</v>
      </c>
      <c r="R10">
        <v>6</v>
      </c>
      <c r="S10">
        <v>34666396.396396399</v>
      </c>
      <c r="T10">
        <v>36575864.864864863</v>
      </c>
      <c r="U10">
        <v>4263153.153153155</v>
      </c>
      <c r="V10">
        <v>3449099.0990990992</v>
      </c>
      <c r="W10">
        <v>5670</v>
      </c>
      <c r="X10">
        <v>5472</v>
      </c>
    </row>
    <row r="11" spans="1:24">
      <c r="A11" s="7" t="s">
        <v>59</v>
      </c>
      <c r="B11" s="16" t="s">
        <v>60</v>
      </c>
      <c r="C11">
        <v>82196436.86038214</v>
      </c>
      <c r="D11">
        <v>82079759.473494753</v>
      </c>
      <c r="E11">
        <v>203243.24324324401</v>
      </c>
      <c r="F11">
        <v>550450.45045045204</v>
      </c>
      <c r="G11">
        <v>14</v>
      </c>
      <c r="H11">
        <v>37</v>
      </c>
      <c r="I11">
        <v>2</v>
      </c>
      <c r="J11">
        <v>3</v>
      </c>
      <c r="M11">
        <v>17</v>
      </c>
      <c r="N11">
        <v>75</v>
      </c>
      <c r="O11">
        <v>9969009.0090090055</v>
      </c>
      <c r="P11">
        <v>12613513.513513513</v>
      </c>
      <c r="Q11">
        <v>87</v>
      </c>
      <c r="R11">
        <v>64</v>
      </c>
      <c r="S11">
        <v>38605621.621621624</v>
      </c>
      <c r="T11">
        <v>39097486.486486487</v>
      </c>
      <c r="U11">
        <v>8374864.8648648635</v>
      </c>
      <c r="V11">
        <v>8949819.8198198192</v>
      </c>
      <c r="W11">
        <v>2805</v>
      </c>
      <c r="X11">
        <v>2729</v>
      </c>
    </row>
    <row r="12" spans="1:24">
      <c r="A12" s="7" t="s">
        <v>61</v>
      </c>
      <c r="B12" s="16" t="s">
        <v>62</v>
      </c>
      <c r="C12">
        <v>390737546.76935571</v>
      </c>
      <c r="D12">
        <v>377916764.62007302</v>
      </c>
      <c r="E12">
        <v>74774.774774778998</v>
      </c>
      <c r="F12">
        <v>3526576.576576585</v>
      </c>
      <c r="G12">
        <v>85</v>
      </c>
      <c r="H12">
        <v>44</v>
      </c>
      <c r="I12">
        <v>7</v>
      </c>
      <c r="J12">
        <v>20</v>
      </c>
      <c r="M12">
        <v>95</v>
      </c>
      <c r="N12">
        <v>50</v>
      </c>
      <c r="O12">
        <v>10208468.468468472</v>
      </c>
      <c r="P12">
        <v>57278378.378378384</v>
      </c>
      <c r="Q12">
        <v>64</v>
      </c>
      <c r="R12">
        <v>121</v>
      </c>
      <c r="S12">
        <v>42355180.180180177</v>
      </c>
      <c r="T12">
        <v>39658322.522522517</v>
      </c>
      <c r="U12">
        <v>10328828.828828832</v>
      </c>
      <c r="V12">
        <v>53466306.306306295</v>
      </c>
      <c r="W12">
        <v>8880</v>
      </c>
      <c r="X12">
        <v>8782</v>
      </c>
    </row>
    <row r="13" spans="1:24">
      <c r="A13" s="7" t="s">
        <v>63</v>
      </c>
      <c r="B13" s="16" t="s">
        <v>50</v>
      </c>
      <c r="C13">
        <v>199647437.26309156</v>
      </c>
      <c r="D13">
        <v>202580114.27182591</v>
      </c>
      <c r="E13">
        <v>677477.47747747903</v>
      </c>
      <c r="F13">
        <v>2230630.6306306338</v>
      </c>
      <c r="G13">
        <v>34</v>
      </c>
      <c r="H13">
        <v>71</v>
      </c>
      <c r="I13">
        <v>11</v>
      </c>
      <c r="J13">
        <v>23</v>
      </c>
      <c r="M13">
        <v>42</v>
      </c>
      <c r="N13">
        <v>108</v>
      </c>
      <c r="O13">
        <v>73693423.423423424</v>
      </c>
      <c r="P13">
        <v>47950990.990990989</v>
      </c>
      <c r="Q13">
        <v>73</v>
      </c>
      <c r="R13">
        <v>216</v>
      </c>
      <c r="S13">
        <v>75666369.369369373</v>
      </c>
      <c r="T13">
        <v>77260639.639639631</v>
      </c>
      <c r="U13">
        <v>73855405.405405402</v>
      </c>
      <c r="V13">
        <v>47155045.045045041</v>
      </c>
      <c r="W13">
        <v>5327</v>
      </c>
      <c r="X13">
        <v>5500</v>
      </c>
    </row>
    <row r="14" spans="1:24">
      <c r="A14" s="7" t="s">
        <v>64</v>
      </c>
      <c r="B14" s="16" t="s">
        <v>50</v>
      </c>
      <c r="C14">
        <v>208361186.37769577</v>
      </c>
      <c r="D14">
        <v>206228520.31292874</v>
      </c>
      <c r="E14">
        <v>1603153.1531531529</v>
      </c>
      <c r="F14">
        <v>2936936.9369369391</v>
      </c>
      <c r="G14">
        <v>31</v>
      </c>
      <c r="H14">
        <v>49</v>
      </c>
      <c r="I14">
        <v>3</v>
      </c>
      <c r="J14">
        <v>13</v>
      </c>
      <c r="M14">
        <v>38</v>
      </c>
      <c r="N14">
        <v>67</v>
      </c>
      <c r="O14">
        <v>52530090.090090089</v>
      </c>
      <c r="P14">
        <v>18820720.72072072</v>
      </c>
      <c r="Q14">
        <v>231</v>
      </c>
      <c r="R14">
        <v>75</v>
      </c>
      <c r="S14">
        <v>79839792.792792797</v>
      </c>
      <c r="T14">
        <v>78792891.891891882</v>
      </c>
      <c r="U14">
        <v>50581531.531531535</v>
      </c>
      <c r="V14">
        <v>18561981.981981985</v>
      </c>
      <c r="W14">
        <v>5587</v>
      </c>
      <c r="X14">
        <v>5393</v>
      </c>
    </row>
    <row r="15" spans="1:24">
      <c r="A15" s="7" t="s">
        <v>65</v>
      </c>
      <c r="B15" s="16" t="s">
        <v>66</v>
      </c>
      <c r="C15">
        <v>216223183.45261729</v>
      </c>
      <c r="D15">
        <v>209421573.03376955</v>
      </c>
      <c r="E15">
        <v>1610900.9009009029</v>
      </c>
      <c r="F15">
        <v>2942342.342342345</v>
      </c>
      <c r="G15">
        <v>93</v>
      </c>
      <c r="H15">
        <v>54</v>
      </c>
      <c r="I15">
        <v>13</v>
      </c>
      <c r="J15">
        <v>7</v>
      </c>
      <c r="M15">
        <v>104</v>
      </c>
      <c r="N15">
        <v>68</v>
      </c>
      <c r="O15">
        <v>46008108.108108103</v>
      </c>
      <c r="P15">
        <v>83412162.162162155</v>
      </c>
      <c r="Q15">
        <v>401</v>
      </c>
      <c r="R15">
        <v>66</v>
      </c>
      <c r="S15">
        <v>106878234.23423424</v>
      </c>
      <c r="T15">
        <v>106678108.10810812</v>
      </c>
      <c r="U15">
        <v>40034414.414414413</v>
      </c>
      <c r="V15">
        <v>58051081.081081077</v>
      </c>
      <c r="W15">
        <v>5651</v>
      </c>
      <c r="X15">
        <v>5461</v>
      </c>
    </row>
    <row r="16" spans="1:24">
      <c r="A16" s="7" t="s">
        <v>67</v>
      </c>
      <c r="B16" s="16" t="s">
        <v>68</v>
      </c>
      <c r="C16">
        <v>125499248.84048595</v>
      </c>
      <c r="D16">
        <v>120526735.95880665</v>
      </c>
      <c r="E16">
        <v>313063.06306306401</v>
      </c>
      <c r="F16">
        <v>1161261.2612612611</v>
      </c>
      <c r="G16">
        <v>50</v>
      </c>
      <c r="H16">
        <v>48</v>
      </c>
      <c r="I16">
        <v>3</v>
      </c>
      <c r="J16">
        <v>4</v>
      </c>
      <c r="M16">
        <v>57</v>
      </c>
      <c r="N16">
        <v>56</v>
      </c>
      <c r="O16">
        <v>17067972.97297297</v>
      </c>
      <c r="P16">
        <v>21640540.540540539</v>
      </c>
      <c r="Q16">
        <v>43</v>
      </c>
      <c r="R16">
        <v>72</v>
      </c>
      <c r="S16">
        <v>32927657.657657657</v>
      </c>
      <c r="T16">
        <v>33785963.963963963</v>
      </c>
      <c r="U16">
        <v>15909999.999999998</v>
      </c>
      <c r="V16">
        <v>14745405.405405404</v>
      </c>
      <c r="W16">
        <v>3538</v>
      </c>
      <c r="X16">
        <v>3257</v>
      </c>
    </row>
    <row r="17" spans="1:24">
      <c r="A17" s="7" t="s">
        <v>69</v>
      </c>
      <c r="B17" s="16" t="s">
        <v>70</v>
      </c>
      <c r="C17">
        <v>9372792.3539542723</v>
      </c>
      <c r="D17">
        <v>9622068.3688685093</v>
      </c>
      <c r="E17">
        <v>25675.675675676001</v>
      </c>
      <c r="F17">
        <v>94594.594594595997</v>
      </c>
      <c r="G17">
        <v>2</v>
      </c>
      <c r="H17">
        <v>2</v>
      </c>
      <c r="J17">
        <v>2</v>
      </c>
      <c r="M17">
        <v>2</v>
      </c>
      <c r="N17">
        <v>2</v>
      </c>
      <c r="O17">
        <v>302702.70270270301</v>
      </c>
      <c r="P17">
        <v>382882.88288288401</v>
      </c>
      <c r="Q17">
        <v>2</v>
      </c>
      <c r="R17">
        <v>4</v>
      </c>
      <c r="S17">
        <v>1911981.981981982</v>
      </c>
      <c r="T17">
        <v>2672963.963963964</v>
      </c>
      <c r="U17">
        <v>298828.828828828</v>
      </c>
      <c r="V17">
        <v>302702.70270270301</v>
      </c>
      <c r="W17">
        <v>442</v>
      </c>
      <c r="X17">
        <v>271</v>
      </c>
    </row>
    <row r="18" spans="1:24">
      <c r="A18" s="7" t="s">
        <v>71</v>
      </c>
      <c r="B18" s="16" t="s">
        <v>72</v>
      </c>
      <c r="C18">
        <v>1713320107.780139</v>
      </c>
      <c r="D18">
        <v>1664865289.3535633</v>
      </c>
      <c r="E18">
        <v>476292688.2882883</v>
      </c>
      <c r="F18">
        <v>473299205.40540546</v>
      </c>
      <c r="G18">
        <v>514</v>
      </c>
      <c r="H18">
        <v>486</v>
      </c>
      <c r="I18">
        <v>103</v>
      </c>
      <c r="J18">
        <v>111</v>
      </c>
      <c r="K18">
        <v>22</v>
      </c>
      <c r="M18">
        <v>777</v>
      </c>
      <c r="N18">
        <v>802</v>
      </c>
      <c r="O18">
        <v>191255772.97297296</v>
      </c>
      <c r="P18">
        <v>176383340.54054055</v>
      </c>
      <c r="Q18">
        <v>736</v>
      </c>
      <c r="R18">
        <v>1689</v>
      </c>
      <c r="S18">
        <v>326299167.56756753</v>
      </c>
      <c r="T18">
        <v>339036198.1981982</v>
      </c>
      <c r="U18">
        <v>167488828.82882884</v>
      </c>
      <c r="V18">
        <v>155251124.32432431</v>
      </c>
      <c r="W18">
        <v>45577</v>
      </c>
      <c r="X18">
        <v>45218</v>
      </c>
    </row>
    <row r="19" spans="1:24">
      <c r="A19" s="7" t="s">
        <v>73</v>
      </c>
      <c r="B19" s="16" t="s">
        <v>72</v>
      </c>
      <c r="C19">
        <v>173116355.54102454</v>
      </c>
      <c r="D19">
        <v>157915462.00157171</v>
      </c>
      <c r="E19">
        <v>3603.603603604</v>
      </c>
      <c r="F19">
        <v>109909.909909911</v>
      </c>
      <c r="G19">
        <v>42</v>
      </c>
      <c r="H19">
        <v>41</v>
      </c>
      <c r="I19">
        <v>3</v>
      </c>
      <c r="J19">
        <v>1</v>
      </c>
      <c r="M19">
        <v>45</v>
      </c>
      <c r="N19">
        <v>44</v>
      </c>
      <c r="O19">
        <v>3327927.9279279271</v>
      </c>
      <c r="P19">
        <v>4299099.0990990987</v>
      </c>
      <c r="Q19">
        <v>18</v>
      </c>
      <c r="R19">
        <v>20</v>
      </c>
      <c r="S19">
        <v>22440810.810810812</v>
      </c>
      <c r="T19">
        <v>23324972.972972974</v>
      </c>
      <c r="U19">
        <v>3214414.4144144142</v>
      </c>
      <c r="V19">
        <v>4315675.6756756762</v>
      </c>
      <c r="W19">
        <v>3797</v>
      </c>
      <c r="X19">
        <v>3646</v>
      </c>
    </row>
    <row r="20" spans="1:24">
      <c r="A20" s="7" t="s">
        <v>74</v>
      </c>
      <c r="B20" s="16" t="s">
        <v>70</v>
      </c>
      <c r="C20">
        <v>169675198.333168</v>
      </c>
      <c r="D20">
        <v>168105717.75515908</v>
      </c>
      <c r="E20">
        <v>1461351.3513513531</v>
      </c>
      <c r="F20">
        <v>4131531.531531536</v>
      </c>
      <c r="G20">
        <v>45</v>
      </c>
      <c r="H20">
        <v>54</v>
      </c>
      <c r="I20">
        <v>6</v>
      </c>
      <c r="J20">
        <v>21</v>
      </c>
      <c r="M20">
        <v>54</v>
      </c>
      <c r="N20">
        <v>71</v>
      </c>
      <c r="O20">
        <v>32391531.531531535</v>
      </c>
      <c r="P20">
        <v>37465765.765765779</v>
      </c>
      <c r="Q20">
        <v>30</v>
      </c>
      <c r="R20">
        <v>189</v>
      </c>
      <c r="S20">
        <v>57891603.603603601</v>
      </c>
      <c r="T20">
        <v>60660252.252252258</v>
      </c>
      <c r="U20">
        <v>43386036.036036037</v>
      </c>
      <c r="V20">
        <v>34529099.0990991</v>
      </c>
      <c r="W20">
        <v>4386</v>
      </c>
      <c r="X20">
        <v>4444</v>
      </c>
    </row>
    <row r="21" spans="1:24">
      <c r="A21" s="7" t="s">
        <v>75</v>
      </c>
      <c r="B21" s="16" t="s">
        <v>76</v>
      </c>
      <c r="C21">
        <v>47945822.530657999</v>
      </c>
      <c r="D21">
        <v>48673569.483066648</v>
      </c>
      <c r="E21">
        <v>79279.279279280003</v>
      </c>
      <c r="F21">
        <v>421621.62162162201</v>
      </c>
      <c r="G21">
        <v>12</v>
      </c>
      <c r="H21">
        <v>10</v>
      </c>
      <c r="I21">
        <v>1</v>
      </c>
      <c r="J21">
        <v>2</v>
      </c>
      <c r="M21">
        <v>12</v>
      </c>
      <c r="N21">
        <v>11</v>
      </c>
      <c r="O21">
        <v>5402702.7027027039</v>
      </c>
      <c r="P21">
        <v>7309369.3693693681</v>
      </c>
      <c r="Q21">
        <v>28</v>
      </c>
      <c r="R21">
        <v>6</v>
      </c>
      <c r="S21">
        <v>11997387.387387387</v>
      </c>
      <c r="T21">
        <v>12781810.810810812</v>
      </c>
      <c r="U21">
        <v>4654414.4144144151</v>
      </c>
      <c r="V21">
        <v>4216126.1261261255</v>
      </c>
      <c r="W21">
        <v>1461</v>
      </c>
      <c r="X21">
        <v>1420</v>
      </c>
    </row>
    <row r="22" spans="1:24">
      <c r="A22" s="7" t="s">
        <v>77</v>
      </c>
      <c r="B22" s="16" t="s">
        <v>78</v>
      </c>
      <c r="C22">
        <v>111651114.16737245</v>
      </c>
      <c r="D22">
        <v>102794672.60937481</v>
      </c>
      <c r="E22">
        <v>465855.85585585498</v>
      </c>
      <c r="F22">
        <v>1545945.9459459451</v>
      </c>
      <c r="G22">
        <v>24</v>
      </c>
      <c r="H22">
        <v>21</v>
      </c>
      <c r="I22">
        <v>2</v>
      </c>
      <c r="J22">
        <v>5</v>
      </c>
      <c r="M22">
        <v>25</v>
      </c>
      <c r="N22">
        <v>24</v>
      </c>
      <c r="O22">
        <v>12968558.558558555</v>
      </c>
      <c r="P22">
        <v>10942342.342342339</v>
      </c>
      <c r="Q22">
        <v>73</v>
      </c>
      <c r="R22">
        <v>4</v>
      </c>
      <c r="S22">
        <v>34460936.936936937</v>
      </c>
      <c r="T22">
        <v>33516603.603603605</v>
      </c>
      <c r="U22">
        <v>11276216.216216216</v>
      </c>
      <c r="V22">
        <v>12521261.261261264</v>
      </c>
      <c r="W22">
        <v>2429</v>
      </c>
      <c r="X22">
        <v>2458</v>
      </c>
    </row>
    <row r="23" spans="1:24">
      <c r="A23" s="7" t="s">
        <v>79</v>
      </c>
      <c r="B23" s="16" t="s">
        <v>80</v>
      </c>
      <c r="C23">
        <v>1006494168.5903858</v>
      </c>
      <c r="D23">
        <v>971132047.55765128</v>
      </c>
      <c r="E23">
        <v>3196171.1711711772</v>
      </c>
      <c r="F23">
        <v>5649549.549549561</v>
      </c>
      <c r="G23">
        <v>333</v>
      </c>
      <c r="H23">
        <v>654</v>
      </c>
      <c r="I23">
        <v>38</v>
      </c>
      <c r="J23">
        <v>32</v>
      </c>
      <c r="K23">
        <v>3</v>
      </c>
      <c r="M23">
        <v>411</v>
      </c>
      <c r="N23">
        <v>811</v>
      </c>
      <c r="O23">
        <v>411734504.5045045</v>
      </c>
      <c r="P23">
        <v>96920270.270270273</v>
      </c>
      <c r="Q23">
        <v>244</v>
      </c>
      <c r="R23">
        <v>417</v>
      </c>
      <c r="S23">
        <v>244063292.7927928</v>
      </c>
      <c r="T23">
        <v>253123686.93693691</v>
      </c>
      <c r="U23">
        <v>85014054.054054052</v>
      </c>
      <c r="V23">
        <v>84593333.333333328</v>
      </c>
      <c r="W23">
        <v>26087</v>
      </c>
      <c r="X23">
        <v>26481</v>
      </c>
    </row>
    <row r="24" spans="1:24">
      <c r="A24" s="7" t="s">
        <v>81</v>
      </c>
      <c r="B24" s="16" t="s">
        <v>54</v>
      </c>
      <c r="C24">
        <v>29360121.740635779</v>
      </c>
      <c r="D24">
        <v>30256586.538473006</v>
      </c>
      <c r="E24">
        <v>141441.441441442</v>
      </c>
      <c r="F24">
        <v>333333.333333335</v>
      </c>
      <c r="G24">
        <v>8</v>
      </c>
      <c r="H24">
        <v>9</v>
      </c>
      <c r="I24">
        <v>0</v>
      </c>
      <c r="J24">
        <v>2</v>
      </c>
      <c r="M24">
        <v>10</v>
      </c>
      <c r="N24">
        <v>16</v>
      </c>
      <c r="O24">
        <v>3087837.8378378358</v>
      </c>
      <c r="P24">
        <v>2058558.55855856</v>
      </c>
      <c r="Q24">
        <v>40</v>
      </c>
      <c r="R24">
        <v>27</v>
      </c>
      <c r="S24">
        <v>6573558.5585585581</v>
      </c>
      <c r="T24">
        <v>6997702.702702703</v>
      </c>
      <c r="U24">
        <v>2952072.072072071</v>
      </c>
      <c r="V24">
        <v>1770270.270270271</v>
      </c>
      <c r="W24">
        <v>1400</v>
      </c>
      <c r="X24">
        <v>1312</v>
      </c>
    </row>
    <row r="25" spans="1:24">
      <c r="A25" s="7" t="s">
        <v>82</v>
      </c>
      <c r="B25" s="16" t="s">
        <v>83</v>
      </c>
      <c r="C25">
        <v>696894559.03572059</v>
      </c>
      <c r="D25">
        <v>697925304.92363513</v>
      </c>
      <c r="E25">
        <v>73278468.468468487</v>
      </c>
      <c r="F25">
        <v>38980405.40540541</v>
      </c>
      <c r="G25">
        <v>119</v>
      </c>
      <c r="H25">
        <v>126</v>
      </c>
      <c r="I25">
        <v>15</v>
      </c>
      <c r="J25">
        <v>21</v>
      </c>
      <c r="K25">
        <v>1</v>
      </c>
      <c r="M25">
        <v>137</v>
      </c>
      <c r="N25">
        <v>154</v>
      </c>
      <c r="O25">
        <v>131122837.83783785</v>
      </c>
      <c r="P25">
        <v>152436261.26126125</v>
      </c>
      <c r="Q25">
        <v>405</v>
      </c>
      <c r="R25">
        <v>378</v>
      </c>
      <c r="S25">
        <v>196330115.31531534</v>
      </c>
      <c r="T25">
        <v>203869952.7027027</v>
      </c>
      <c r="U25">
        <v>109267567.56756757</v>
      </c>
      <c r="V25">
        <v>107451531.53153154</v>
      </c>
      <c r="W25">
        <v>15205</v>
      </c>
      <c r="X25">
        <v>15132</v>
      </c>
    </row>
    <row r="26" spans="1:24">
      <c r="A26" s="7" t="s">
        <v>84</v>
      </c>
      <c r="B26" s="16" t="s">
        <v>85</v>
      </c>
      <c r="C26">
        <v>73568891.180532783</v>
      </c>
      <c r="D26">
        <v>64126592.143590942</v>
      </c>
      <c r="E26">
        <v>280630.63063063199</v>
      </c>
      <c r="F26">
        <v>1322297.297297298</v>
      </c>
      <c r="G26">
        <v>29</v>
      </c>
      <c r="H26">
        <v>35</v>
      </c>
      <c r="I26">
        <v>11</v>
      </c>
      <c r="J26">
        <v>10</v>
      </c>
      <c r="M26">
        <v>37</v>
      </c>
      <c r="N26">
        <v>44</v>
      </c>
      <c r="O26">
        <v>69596846.846846849</v>
      </c>
      <c r="P26">
        <v>99301801.801801786</v>
      </c>
      <c r="Q26">
        <v>243</v>
      </c>
      <c r="R26">
        <v>197</v>
      </c>
      <c r="S26">
        <v>24443738.738738742</v>
      </c>
      <c r="T26">
        <v>23068243.243243244</v>
      </c>
      <c r="U26">
        <v>52287297.297297299</v>
      </c>
      <c r="V26">
        <v>81955855.855855852</v>
      </c>
      <c r="W26">
        <v>2352</v>
      </c>
      <c r="X26">
        <v>2169</v>
      </c>
    </row>
    <row r="27" spans="1:24">
      <c r="A27" s="7" t="s">
        <v>86</v>
      </c>
      <c r="B27" s="16" t="s">
        <v>87</v>
      </c>
      <c r="C27">
        <v>2880911.4111302751</v>
      </c>
      <c r="D27">
        <v>2381108.487684397</v>
      </c>
      <c r="G27">
        <v>2</v>
      </c>
      <c r="H27">
        <v>1</v>
      </c>
      <c r="M27">
        <v>3</v>
      </c>
      <c r="N27">
        <v>1</v>
      </c>
      <c r="S27">
        <v>896081.08108108095</v>
      </c>
      <c r="T27">
        <v>996855.85585585597</v>
      </c>
      <c r="W27">
        <v>152</v>
      </c>
      <c r="X27">
        <v>161</v>
      </c>
    </row>
    <row r="28" spans="1:24">
      <c r="A28" s="7" t="s">
        <v>88</v>
      </c>
      <c r="B28" s="16" t="s">
        <v>89</v>
      </c>
      <c r="C28">
        <v>142965064.75415823</v>
      </c>
      <c r="D28">
        <v>140773567.55381623</v>
      </c>
      <c r="E28">
        <v>551126.12612612802</v>
      </c>
      <c r="F28">
        <v>1559459.459459462</v>
      </c>
      <c r="G28">
        <v>17</v>
      </c>
      <c r="H28">
        <v>17</v>
      </c>
      <c r="I28">
        <v>15</v>
      </c>
      <c r="J28">
        <v>5</v>
      </c>
      <c r="M28">
        <v>19</v>
      </c>
      <c r="N28">
        <v>23</v>
      </c>
      <c r="O28">
        <v>12898738.73873874</v>
      </c>
      <c r="P28">
        <v>17877477.477477476</v>
      </c>
      <c r="Q28">
        <v>167</v>
      </c>
      <c r="R28">
        <v>63</v>
      </c>
      <c r="S28">
        <v>49391621.621621624</v>
      </c>
      <c r="T28">
        <v>49776810.810810804</v>
      </c>
      <c r="U28">
        <v>10833603.6036036</v>
      </c>
      <c r="V28">
        <v>17697747.747747745</v>
      </c>
      <c r="W28">
        <v>3342</v>
      </c>
      <c r="X28">
        <v>3430</v>
      </c>
    </row>
    <row r="29" spans="1:24">
      <c r="A29" s="7" t="s">
        <v>90</v>
      </c>
      <c r="B29" s="16" t="s">
        <v>60</v>
      </c>
      <c r="C29">
        <v>46110377.086827621</v>
      </c>
      <c r="D29">
        <v>50997641.431454077</v>
      </c>
      <c r="E29">
        <v>61261.261261262</v>
      </c>
      <c r="F29">
        <v>98198.198198198996</v>
      </c>
      <c r="G29">
        <v>20</v>
      </c>
      <c r="H29">
        <v>10</v>
      </c>
      <c r="I29">
        <v>1</v>
      </c>
      <c r="J29">
        <v>1</v>
      </c>
      <c r="M29">
        <v>85</v>
      </c>
      <c r="N29">
        <v>104</v>
      </c>
      <c r="O29">
        <v>4664864.8648648635</v>
      </c>
      <c r="P29">
        <v>3359459.4594594599</v>
      </c>
      <c r="Q29">
        <v>88</v>
      </c>
      <c r="R29">
        <v>38</v>
      </c>
      <c r="S29">
        <v>27382072.072072074</v>
      </c>
      <c r="T29">
        <v>30694144.144144144</v>
      </c>
      <c r="U29">
        <v>5236036.036036036</v>
      </c>
      <c r="V29">
        <v>3650900.9009008999</v>
      </c>
      <c r="W29">
        <v>1613</v>
      </c>
      <c r="X29">
        <v>1548</v>
      </c>
    </row>
    <row r="30" spans="1:24">
      <c r="A30" s="7" t="s">
        <v>91</v>
      </c>
      <c r="B30" s="16" t="s">
        <v>92</v>
      </c>
      <c r="C30">
        <v>42760218.587575153</v>
      </c>
      <c r="D30">
        <v>42419306.702064954</v>
      </c>
      <c r="E30">
        <v>414189.18918919098</v>
      </c>
      <c r="F30">
        <v>1957657.657657658</v>
      </c>
      <c r="G30">
        <v>15</v>
      </c>
      <c r="H30">
        <v>11</v>
      </c>
      <c r="I30">
        <v>4</v>
      </c>
      <c r="J30">
        <v>2</v>
      </c>
      <c r="M30">
        <v>16</v>
      </c>
      <c r="N30">
        <v>14</v>
      </c>
      <c r="O30">
        <v>758378.37837837799</v>
      </c>
      <c r="P30">
        <v>11155855.855855856</v>
      </c>
      <c r="Q30">
        <v>22</v>
      </c>
      <c r="R30">
        <v>2</v>
      </c>
      <c r="S30">
        <v>14315585.585585587</v>
      </c>
      <c r="T30">
        <v>13856360.36036036</v>
      </c>
      <c r="U30">
        <v>552972.97297297302</v>
      </c>
      <c r="V30">
        <v>11574324.324324325</v>
      </c>
      <c r="W30">
        <v>1128</v>
      </c>
      <c r="X30">
        <v>1077</v>
      </c>
    </row>
    <row r="31" spans="1:24">
      <c r="A31" s="7" t="s">
        <v>93</v>
      </c>
      <c r="B31" s="16" t="s">
        <v>94</v>
      </c>
      <c r="C31">
        <v>190076187.45310274</v>
      </c>
      <c r="D31">
        <v>185428657.80774179</v>
      </c>
      <c r="E31">
        <v>59435135.135135137</v>
      </c>
      <c r="F31">
        <v>35423423.423423424</v>
      </c>
      <c r="G31">
        <v>44</v>
      </c>
      <c r="H31">
        <v>32</v>
      </c>
      <c r="I31">
        <v>8</v>
      </c>
      <c r="J31">
        <v>4</v>
      </c>
      <c r="M31">
        <v>48</v>
      </c>
      <c r="N31">
        <v>39</v>
      </c>
      <c r="O31">
        <v>28131081.081081081</v>
      </c>
      <c r="P31">
        <v>26846396.396396395</v>
      </c>
      <c r="Q31">
        <v>63</v>
      </c>
      <c r="R31">
        <v>65</v>
      </c>
      <c r="S31">
        <v>26524090.090090089</v>
      </c>
      <c r="T31">
        <v>26518673.873873871</v>
      </c>
      <c r="U31">
        <v>20659639.639639638</v>
      </c>
      <c r="V31">
        <v>17627567.567567568</v>
      </c>
      <c r="W31">
        <v>4385</v>
      </c>
      <c r="X31">
        <v>4468</v>
      </c>
    </row>
    <row r="32" spans="1:24">
      <c r="A32" s="7" t="s">
        <v>95</v>
      </c>
      <c r="B32" s="16" t="s">
        <v>96</v>
      </c>
      <c r="C32">
        <v>195444086.58732972</v>
      </c>
      <c r="D32">
        <v>191906848.56163949</v>
      </c>
      <c r="E32">
        <v>218018.01801801901</v>
      </c>
      <c r="F32">
        <v>872972.97297297604</v>
      </c>
      <c r="G32">
        <v>49</v>
      </c>
      <c r="H32">
        <v>43</v>
      </c>
      <c r="I32">
        <v>5</v>
      </c>
      <c r="J32">
        <v>4</v>
      </c>
      <c r="M32">
        <v>55</v>
      </c>
      <c r="N32">
        <v>48</v>
      </c>
      <c r="O32">
        <v>26806576.576576576</v>
      </c>
      <c r="P32">
        <v>38194594.59459459</v>
      </c>
      <c r="Q32">
        <v>220</v>
      </c>
      <c r="R32">
        <v>44</v>
      </c>
      <c r="S32">
        <v>93031567.567567572</v>
      </c>
      <c r="T32">
        <v>96773072.072072074</v>
      </c>
      <c r="U32">
        <v>32027927.927927926</v>
      </c>
      <c r="V32">
        <v>32498288.288288288</v>
      </c>
      <c r="W32">
        <v>6074</v>
      </c>
      <c r="X32">
        <v>9403</v>
      </c>
    </row>
    <row r="33" spans="1:24">
      <c r="A33" s="7" t="s">
        <v>97</v>
      </c>
      <c r="B33" s="16" t="s">
        <v>98</v>
      </c>
      <c r="C33">
        <v>674561520.96766746</v>
      </c>
      <c r="D33">
        <v>669388622.7144649</v>
      </c>
      <c r="E33">
        <v>128819009.009009</v>
      </c>
      <c r="F33">
        <v>51649909.909909911</v>
      </c>
      <c r="G33">
        <v>315</v>
      </c>
      <c r="H33">
        <v>264</v>
      </c>
      <c r="I33">
        <v>24</v>
      </c>
      <c r="J33">
        <v>33</v>
      </c>
      <c r="M33">
        <v>359</v>
      </c>
      <c r="N33">
        <v>356</v>
      </c>
      <c r="O33">
        <v>129761981.98198198</v>
      </c>
      <c r="P33">
        <v>143902027.02702704</v>
      </c>
      <c r="Q33">
        <v>883</v>
      </c>
      <c r="R33">
        <v>124</v>
      </c>
      <c r="S33">
        <v>174667070.27027026</v>
      </c>
      <c r="T33">
        <v>173260453.6036036</v>
      </c>
      <c r="U33">
        <v>109937117.11711712</v>
      </c>
      <c r="V33">
        <v>83936486.48648648</v>
      </c>
      <c r="W33">
        <v>22288</v>
      </c>
      <c r="X33">
        <v>22509</v>
      </c>
    </row>
    <row r="34" spans="1:24">
      <c r="A34" s="7" t="s">
        <v>99</v>
      </c>
      <c r="B34" s="16" t="s">
        <v>98</v>
      </c>
      <c r="C34">
        <v>1120130914.6769655</v>
      </c>
      <c r="D34">
        <v>1084554545.5896826</v>
      </c>
      <c r="E34">
        <v>948126.12612613302</v>
      </c>
      <c r="F34">
        <v>4557900.900900906</v>
      </c>
      <c r="G34">
        <v>318</v>
      </c>
      <c r="H34">
        <v>322</v>
      </c>
      <c r="I34">
        <v>27</v>
      </c>
      <c r="J34">
        <v>38</v>
      </c>
      <c r="M34">
        <v>405</v>
      </c>
      <c r="N34">
        <v>553</v>
      </c>
      <c r="O34">
        <v>67449864.864864871</v>
      </c>
      <c r="P34">
        <v>58431531.531531535</v>
      </c>
      <c r="Q34">
        <v>470</v>
      </c>
      <c r="R34">
        <v>103</v>
      </c>
      <c r="S34">
        <v>212039274.77477479</v>
      </c>
      <c r="T34">
        <v>209896934.68468466</v>
      </c>
      <c r="U34">
        <v>67121306.306306317</v>
      </c>
      <c r="V34">
        <v>54746666.666666672</v>
      </c>
      <c r="W34">
        <v>27823</v>
      </c>
      <c r="X34">
        <v>27957</v>
      </c>
    </row>
    <row r="35" spans="1:24">
      <c r="A35" s="7" t="s">
        <v>100</v>
      </c>
      <c r="B35" s="16" t="s">
        <v>98</v>
      </c>
      <c r="C35">
        <v>1429578173.090409</v>
      </c>
      <c r="D35">
        <v>1245788554.059607</v>
      </c>
      <c r="E35">
        <v>6824954.9549549567</v>
      </c>
      <c r="F35">
        <v>11535135.135135146</v>
      </c>
      <c r="G35">
        <v>250</v>
      </c>
      <c r="H35">
        <v>270</v>
      </c>
      <c r="I35">
        <v>34</v>
      </c>
      <c r="J35">
        <v>65</v>
      </c>
      <c r="K35">
        <v>8</v>
      </c>
      <c r="M35">
        <v>412</v>
      </c>
      <c r="N35">
        <v>709</v>
      </c>
      <c r="O35">
        <v>770412837.83783782</v>
      </c>
      <c r="P35">
        <v>276046621.62162161</v>
      </c>
      <c r="Q35">
        <v>982</v>
      </c>
      <c r="R35">
        <v>248</v>
      </c>
      <c r="S35">
        <v>571235953.15315318</v>
      </c>
      <c r="T35">
        <v>446545731.98198193</v>
      </c>
      <c r="U35">
        <v>583565043.24324322</v>
      </c>
      <c r="V35">
        <v>88529324.324324325</v>
      </c>
      <c r="W35">
        <v>33359</v>
      </c>
      <c r="X35">
        <v>32634</v>
      </c>
    </row>
    <row r="36" spans="1:24">
      <c r="A36" s="7" t="s">
        <v>101</v>
      </c>
      <c r="B36" s="16" t="s">
        <v>98</v>
      </c>
      <c r="C36">
        <v>640791080.54225039</v>
      </c>
      <c r="D36">
        <v>623007446.369017</v>
      </c>
      <c r="E36">
        <v>924099.09909910103</v>
      </c>
      <c r="F36">
        <v>3229729.7297297311</v>
      </c>
      <c r="G36">
        <v>210</v>
      </c>
      <c r="H36">
        <v>180</v>
      </c>
      <c r="I36">
        <v>16</v>
      </c>
      <c r="J36">
        <v>24</v>
      </c>
      <c r="K36">
        <v>1</v>
      </c>
      <c r="M36">
        <v>256</v>
      </c>
      <c r="N36">
        <v>226</v>
      </c>
      <c r="O36">
        <v>37928288.288288288</v>
      </c>
      <c r="P36">
        <v>48563963.963963963</v>
      </c>
      <c r="Q36">
        <v>81</v>
      </c>
      <c r="R36">
        <v>142</v>
      </c>
      <c r="S36">
        <v>138077836.03603604</v>
      </c>
      <c r="T36">
        <v>138285450.45045045</v>
      </c>
      <c r="U36">
        <v>41715855.855855852</v>
      </c>
      <c r="V36">
        <v>44002522.522522517</v>
      </c>
      <c r="W36">
        <v>21981</v>
      </c>
      <c r="X36">
        <v>21069</v>
      </c>
    </row>
    <row r="37" spans="1:24">
      <c r="A37" s="7" t="s">
        <v>102</v>
      </c>
      <c r="B37" s="16" t="s">
        <v>98</v>
      </c>
      <c r="C37">
        <v>706823297.08635664</v>
      </c>
      <c r="D37">
        <v>708450414.59171176</v>
      </c>
      <c r="E37">
        <v>4541036.0360360369</v>
      </c>
      <c r="F37">
        <v>6224324.3243243266</v>
      </c>
      <c r="G37">
        <v>137</v>
      </c>
      <c r="H37">
        <v>164</v>
      </c>
      <c r="I37">
        <v>13</v>
      </c>
      <c r="J37">
        <v>23</v>
      </c>
      <c r="K37">
        <v>2</v>
      </c>
      <c r="M37">
        <v>160</v>
      </c>
      <c r="N37">
        <v>229</v>
      </c>
      <c r="O37">
        <v>102189279.27927928</v>
      </c>
      <c r="P37">
        <v>92621621.621621639</v>
      </c>
      <c r="Q37">
        <v>609</v>
      </c>
      <c r="R37">
        <v>121</v>
      </c>
      <c r="S37">
        <v>200453583.78378376</v>
      </c>
      <c r="T37">
        <v>206515878.37837836</v>
      </c>
      <c r="U37">
        <v>90933243.243243232</v>
      </c>
      <c r="V37">
        <v>113688468.46846846</v>
      </c>
      <c r="W37">
        <v>24744</v>
      </c>
      <c r="X37">
        <v>25183</v>
      </c>
    </row>
    <row r="38" spans="1:24">
      <c r="A38" s="7" t="s">
        <v>103</v>
      </c>
      <c r="B38" s="16" t="s">
        <v>98</v>
      </c>
      <c r="C38">
        <v>1829120620.4620388</v>
      </c>
      <c r="D38">
        <v>1816215489.2946308</v>
      </c>
      <c r="E38">
        <v>844777838.73873866</v>
      </c>
      <c r="F38">
        <v>889554999.09909916</v>
      </c>
      <c r="G38">
        <v>558</v>
      </c>
      <c r="H38">
        <v>506</v>
      </c>
      <c r="I38">
        <v>50</v>
      </c>
      <c r="J38">
        <v>58</v>
      </c>
      <c r="K38">
        <v>17</v>
      </c>
      <c r="M38">
        <v>676</v>
      </c>
      <c r="N38">
        <v>744</v>
      </c>
      <c r="O38">
        <v>371014324.32432431</v>
      </c>
      <c r="P38">
        <v>171769672.97297296</v>
      </c>
      <c r="Q38">
        <v>1377</v>
      </c>
      <c r="R38">
        <v>223</v>
      </c>
      <c r="S38">
        <v>371691646.84684682</v>
      </c>
      <c r="T38">
        <v>391053592.7927928</v>
      </c>
      <c r="U38">
        <v>181213466.66666666</v>
      </c>
      <c r="V38">
        <v>166361081.08108109</v>
      </c>
      <c r="W38">
        <v>55025</v>
      </c>
      <c r="X38">
        <v>55802</v>
      </c>
    </row>
    <row r="39" spans="1:24">
      <c r="A39" s="7" t="s">
        <v>104</v>
      </c>
      <c r="B39" s="16" t="s">
        <v>105</v>
      </c>
      <c r="C39">
        <v>140325643.97394827</v>
      </c>
      <c r="D39">
        <v>128541416.91224086</v>
      </c>
      <c r="E39">
        <v>371171.17117117101</v>
      </c>
      <c r="F39">
        <v>809909.90990991006</v>
      </c>
      <c r="G39">
        <v>37</v>
      </c>
      <c r="H39">
        <v>21</v>
      </c>
      <c r="I39">
        <v>1</v>
      </c>
      <c r="M39">
        <v>39</v>
      </c>
      <c r="N39">
        <v>22</v>
      </c>
      <c r="O39">
        <v>1213513.5135135129</v>
      </c>
      <c r="P39">
        <v>1260360.36036036</v>
      </c>
      <c r="Q39">
        <v>1</v>
      </c>
      <c r="R39">
        <v>50</v>
      </c>
      <c r="S39">
        <v>27145900.9009009</v>
      </c>
      <c r="T39">
        <v>26683450.450450446</v>
      </c>
      <c r="U39">
        <v>1254414.414414414</v>
      </c>
      <c r="V39">
        <v>638288.28828828898</v>
      </c>
      <c r="W39">
        <v>2542</v>
      </c>
      <c r="X39">
        <v>2328</v>
      </c>
    </row>
    <row r="40" spans="1:24">
      <c r="A40" s="7" t="s">
        <v>106</v>
      </c>
      <c r="B40" s="16" t="s">
        <v>54</v>
      </c>
      <c r="C40">
        <v>44916564.835877404</v>
      </c>
      <c r="D40">
        <v>42448335.039165862</v>
      </c>
      <c r="E40">
        <v>140540.540540541</v>
      </c>
      <c r="F40">
        <v>35135.135135135999</v>
      </c>
      <c r="G40">
        <v>35</v>
      </c>
      <c r="H40">
        <v>26</v>
      </c>
      <c r="I40">
        <v>0</v>
      </c>
      <c r="J40">
        <v>0</v>
      </c>
      <c r="M40">
        <v>53</v>
      </c>
      <c r="N40">
        <v>29</v>
      </c>
      <c r="O40">
        <v>2478828.8288288279</v>
      </c>
      <c r="P40">
        <v>970630.630630631</v>
      </c>
      <c r="Q40">
        <v>18</v>
      </c>
      <c r="R40">
        <v>18</v>
      </c>
      <c r="S40">
        <v>11470720.72072072</v>
      </c>
      <c r="T40">
        <v>10938405.405405404</v>
      </c>
      <c r="U40">
        <v>2324054.0540540549</v>
      </c>
      <c r="V40">
        <v>1350180.1801801799</v>
      </c>
      <c r="W40">
        <v>1386</v>
      </c>
      <c r="X40">
        <v>1355</v>
      </c>
    </row>
    <row r="41" spans="1:24">
      <c r="A41" s="7" t="s">
        <v>107</v>
      </c>
      <c r="B41" s="16" t="s">
        <v>108</v>
      </c>
      <c r="C41">
        <v>369227519.46202415</v>
      </c>
      <c r="D41">
        <v>349530719.21558893</v>
      </c>
      <c r="E41">
        <v>1297477.4774774781</v>
      </c>
      <c r="F41">
        <v>3807207.2072072108</v>
      </c>
      <c r="G41">
        <v>103</v>
      </c>
      <c r="H41">
        <v>100</v>
      </c>
      <c r="I41">
        <v>11</v>
      </c>
      <c r="J41">
        <v>12</v>
      </c>
      <c r="M41">
        <v>127</v>
      </c>
      <c r="N41">
        <v>117</v>
      </c>
      <c r="O41">
        <v>46366396.396396391</v>
      </c>
      <c r="P41">
        <v>49515495.495495498</v>
      </c>
      <c r="Q41">
        <v>325</v>
      </c>
      <c r="R41">
        <v>690</v>
      </c>
      <c r="S41">
        <v>75949771.171171173</v>
      </c>
      <c r="T41">
        <v>78394450.45045045</v>
      </c>
      <c r="U41">
        <v>38588108.108108103</v>
      </c>
      <c r="V41">
        <v>42372522.522522517</v>
      </c>
      <c r="W41">
        <v>10431</v>
      </c>
      <c r="X41">
        <v>10089</v>
      </c>
    </row>
    <row r="42" spans="1:24">
      <c r="A42" s="7" t="s">
        <v>109</v>
      </c>
      <c r="B42" s="16" t="s">
        <v>108</v>
      </c>
      <c r="C42">
        <v>501352880.22071075</v>
      </c>
      <c r="D42">
        <v>497255518.8877176</v>
      </c>
      <c r="E42">
        <v>4692342.342342346</v>
      </c>
      <c r="F42">
        <v>4099317.1171171232</v>
      </c>
      <c r="G42">
        <v>121</v>
      </c>
      <c r="H42">
        <v>167</v>
      </c>
      <c r="I42">
        <v>12</v>
      </c>
      <c r="J42">
        <v>21</v>
      </c>
      <c r="K42">
        <v>1</v>
      </c>
      <c r="M42">
        <v>229</v>
      </c>
      <c r="N42">
        <v>258</v>
      </c>
      <c r="O42">
        <v>266798648.64864865</v>
      </c>
      <c r="P42">
        <v>33222524.324324325</v>
      </c>
      <c r="Q42">
        <v>547</v>
      </c>
      <c r="R42">
        <v>164</v>
      </c>
      <c r="S42">
        <v>126118445.94594595</v>
      </c>
      <c r="T42">
        <v>147811459.45945945</v>
      </c>
      <c r="U42">
        <v>217652702.7027027</v>
      </c>
      <c r="V42">
        <v>124399189.18918918</v>
      </c>
      <c r="W42">
        <v>14223</v>
      </c>
      <c r="X42">
        <v>13928</v>
      </c>
    </row>
    <row r="43" spans="1:24">
      <c r="A43" s="7" t="s">
        <v>110</v>
      </c>
      <c r="B43" s="16" t="s">
        <v>111</v>
      </c>
      <c r="C43">
        <v>604123991.33376706</v>
      </c>
      <c r="D43">
        <v>563460043.45678115</v>
      </c>
      <c r="E43">
        <v>4776216.2162162168</v>
      </c>
      <c r="F43">
        <v>7697297.2972972998</v>
      </c>
      <c r="G43">
        <v>95</v>
      </c>
      <c r="H43">
        <v>167</v>
      </c>
      <c r="I43">
        <v>11</v>
      </c>
      <c r="J43">
        <v>33</v>
      </c>
      <c r="K43">
        <v>1</v>
      </c>
      <c r="M43">
        <v>116</v>
      </c>
      <c r="N43">
        <v>418</v>
      </c>
      <c r="O43">
        <v>48730270.270270273</v>
      </c>
      <c r="P43">
        <v>53726871.171171166</v>
      </c>
      <c r="Q43">
        <v>318</v>
      </c>
      <c r="R43">
        <v>1072</v>
      </c>
      <c r="S43">
        <v>191331324.32432431</v>
      </c>
      <c r="T43">
        <v>199629369.36936939</v>
      </c>
      <c r="U43">
        <v>47208018.018018015</v>
      </c>
      <c r="V43">
        <v>48577027.027027026</v>
      </c>
      <c r="W43">
        <v>20557</v>
      </c>
      <c r="X43">
        <v>19102</v>
      </c>
    </row>
    <row r="44" spans="1:24">
      <c r="A44" s="7" t="s">
        <v>112</v>
      </c>
      <c r="B44" s="16" t="s">
        <v>111</v>
      </c>
      <c r="C44">
        <v>748003930.37824333</v>
      </c>
      <c r="D44">
        <v>738579385.01612508</v>
      </c>
      <c r="E44">
        <v>36221981.981981985</v>
      </c>
      <c r="F44">
        <v>91450360.360360369</v>
      </c>
      <c r="G44">
        <v>150</v>
      </c>
      <c r="H44">
        <v>301</v>
      </c>
      <c r="I44">
        <v>11</v>
      </c>
      <c r="J44">
        <v>42</v>
      </c>
      <c r="K44">
        <v>3</v>
      </c>
      <c r="M44">
        <v>176</v>
      </c>
      <c r="N44">
        <v>468</v>
      </c>
      <c r="O44">
        <v>59310180.180180177</v>
      </c>
      <c r="P44">
        <v>59000463.063063055</v>
      </c>
      <c r="Q44">
        <v>1375</v>
      </c>
      <c r="R44">
        <v>1912</v>
      </c>
      <c r="S44">
        <v>255654603.6036036</v>
      </c>
      <c r="T44">
        <v>274163319.81981981</v>
      </c>
      <c r="U44">
        <v>55345225.225225225</v>
      </c>
      <c r="V44">
        <v>59663873.873873875</v>
      </c>
      <c r="W44">
        <v>27450</v>
      </c>
      <c r="X44">
        <v>27783</v>
      </c>
    </row>
    <row r="45" spans="1:24">
      <c r="A45" s="7" t="s">
        <v>113</v>
      </c>
      <c r="B45" s="16" t="s">
        <v>111</v>
      </c>
      <c r="C45">
        <v>507139727.3383339</v>
      </c>
      <c r="D45">
        <v>928311815.90299916</v>
      </c>
      <c r="E45">
        <v>12533243.243243247</v>
      </c>
      <c r="F45">
        <v>5590765.7657657731</v>
      </c>
      <c r="G45">
        <v>144</v>
      </c>
      <c r="H45">
        <v>235</v>
      </c>
      <c r="I45">
        <v>11</v>
      </c>
      <c r="J45">
        <v>41</v>
      </c>
      <c r="K45">
        <v>6</v>
      </c>
      <c r="M45">
        <v>175</v>
      </c>
      <c r="N45">
        <v>493</v>
      </c>
      <c r="O45">
        <v>493116036.03603601</v>
      </c>
      <c r="P45">
        <v>482473889.1891892</v>
      </c>
      <c r="Q45">
        <v>249</v>
      </c>
      <c r="R45">
        <v>1401</v>
      </c>
      <c r="S45">
        <v>154138558.55855855</v>
      </c>
      <c r="T45">
        <v>592273088.28828824</v>
      </c>
      <c r="U45">
        <v>43637477.477477469</v>
      </c>
      <c r="V45">
        <v>30243693.693693697</v>
      </c>
      <c r="W45">
        <v>14348</v>
      </c>
      <c r="X45">
        <v>13586</v>
      </c>
    </row>
    <row r="46" spans="1:24">
      <c r="A46" s="7" t="s">
        <v>114</v>
      </c>
      <c r="B46" s="16" t="s">
        <v>111</v>
      </c>
      <c r="C46">
        <v>586573900.14805591</v>
      </c>
      <c r="D46">
        <v>590864599.5573715</v>
      </c>
      <c r="E46">
        <v>4370270.2702702712</v>
      </c>
      <c r="F46">
        <v>6439414.4144144226</v>
      </c>
      <c r="G46">
        <v>639</v>
      </c>
      <c r="H46">
        <v>243</v>
      </c>
      <c r="I46">
        <v>15</v>
      </c>
      <c r="J46">
        <v>52</v>
      </c>
      <c r="K46">
        <v>19</v>
      </c>
      <c r="M46">
        <v>1729</v>
      </c>
      <c r="N46">
        <v>613</v>
      </c>
      <c r="O46">
        <v>51375225.225225225</v>
      </c>
      <c r="P46">
        <v>52785765.765765779</v>
      </c>
      <c r="Q46">
        <v>284</v>
      </c>
      <c r="R46">
        <v>370</v>
      </c>
      <c r="S46">
        <v>178343729.72972974</v>
      </c>
      <c r="T46">
        <v>172995864.86486486</v>
      </c>
      <c r="U46">
        <v>51034054.054054052</v>
      </c>
      <c r="V46">
        <v>46862162.162162162</v>
      </c>
      <c r="W46">
        <v>21041</v>
      </c>
      <c r="X46">
        <v>20063</v>
      </c>
    </row>
    <row r="47" spans="1:24">
      <c r="A47" s="7" t="s">
        <v>115</v>
      </c>
      <c r="B47" s="16" t="s">
        <v>111</v>
      </c>
      <c r="C47">
        <v>781466860.53121841</v>
      </c>
      <c r="D47">
        <v>725624022.03822279</v>
      </c>
      <c r="E47">
        <v>918714883.78378379</v>
      </c>
      <c r="F47">
        <v>1231483337.8378379</v>
      </c>
      <c r="G47">
        <v>266</v>
      </c>
      <c r="H47">
        <v>318</v>
      </c>
      <c r="I47">
        <v>17</v>
      </c>
      <c r="J47">
        <v>53</v>
      </c>
      <c r="K47">
        <v>1</v>
      </c>
      <c r="M47">
        <v>315</v>
      </c>
      <c r="N47">
        <v>531</v>
      </c>
      <c r="O47">
        <v>630799445.94594598</v>
      </c>
      <c r="P47">
        <v>648664333.33333337</v>
      </c>
      <c r="Q47">
        <v>875</v>
      </c>
      <c r="R47">
        <v>1887</v>
      </c>
      <c r="S47">
        <v>193604990.990991</v>
      </c>
      <c r="T47">
        <v>223403845.4954955</v>
      </c>
      <c r="U47">
        <v>126257567.56756757</v>
      </c>
      <c r="V47">
        <v>124651077.47747748</v>
      </c>
      <c r="W47">
        <v>23911</v>
      </c>
      <c r="X47">
        <v>23737</v>
      </c>
    </row>
    <row r="48" spans="1:24">
      <c r="A48" s="7" t="s">
        <v>116</v>
      </c>
      <c r="B48" s="16" t="s">
        <v>54</v>
      </c>
      <c r="C48">
        <v>40526340.45732788</v>
      </c>
      <c r="D48">
        <v>39400779.316882595</v>
      </c>
      <c r="E48">
        <v>23297522.52252252</v>
      </c>
      <c r="F48">
        <v>52405630.630630635</v>
      </c>
      <c r="G48">
        <v>5</v>
      </c>
      <c r="H48">
        <v>11</v>
      </c>
      <c r="I48">
        <v>2</v>
      </c>
      <c r="J48">
        <v>3</v>
      </c>
      <c r="M48">
        <v>5</v>
      </c>
      <c r="N48">
        <v>12</v>
      </c>
      <c r="O48">
        <v>5818018.0180180185</v>
      </c>
      <c r="P48">
        <v>3899099.0990990978</v>
      </c>
      <c r="Q48">
        <v>28</v>
      </c>
      <c r="R48">
        <v>15</v>
      </c>
      <c r="S48">
        <v>9346522.522522524</v>
      </c>
      <c r="T48">
        <v>9771189.1891891882</v>
      </c>
      <c r="U48">
        <v>3945045.0450450452</v>
      </c>
      <c r="V48">
        <v>3364684.684684685</v>
      </c>
      <c r="W48">
        <v>1001</v>
      </c>
      <c r="X48">
        <v>1009</v>
      </c>
    </row>
    <row r="49" spans="1:24">
      <c r="A49" s="7" t="s">
        <v>118</v>
      </c>
      <c r="B49" s="16" t="s">
        <v>78</v>
      </c>
      <c r="C49">
        <v>355971307.98721731</v>
      </c>
      <c r="D49">
        <v>336420621.46367013</v>
      </c>
      <c r="E49">
        <v>265523345.94594595</v>
      </c>
      <c r="F49">
        <v>268678276.57657659</v>
      </c>
      <c r="G49">
        <v>112</v>
      </c>
      <c r="H49">
        <v>120</v>
      </c>
      <c r="I49">
        <v>14</v>
      </c>
      <c r="J49">
        <v>20</v>
      </c>
      <c r="K49">
        <v>1</v>
      </c>
      <c r="M49">
        <v>146</v>
      </c>
      <c r="N49">
        <v>157</v>
      </c>
      <c r="O49">
        <v>58339369.369369365</v>
      </c>
      <c r="P49">
        <v>73868018.018018022</v>
      </c>
      <c r="Q49">
        <v>375</v>
      </c>
      <c r="R49">
        <v>2506</v>
      </c>
      <c r="S49">
        <v>132697998.19819821</v>
      </c>
      <c r="T49">
        <v>135050497.74774775</v>
      </c>
      <c r="U49">
        <v>60054457.657657653</v>
      </c>
      <c r="V49">
        <v>71806576.576576576</v>
      </c>
      <c r="W49">
        <v>11644</v>
      </c>
      <c r="X49">
        <v>11399</v>
      </c>
    </row>
    <row r="50" spans="1:24">
      <c r="A50" s="7" t="s">
        <v>119</v>
      </c>
      <c r="B50" s="16" t="s">
        <v>50</v>
      </c>
      <c r="C50">
        <v>111285846.66302341</v>
      </c>
      <c r="D50">
        <v>107033054.33772719</v>
      </c>
      <c r="E50">
        <v>421846.84684684803</v>
      </c>
      <c r="F50">
        <v>2124324.3243243252</v>
      </c>
      <c r="G50">
        <v>52</v>
      </c>
      <c r="H50">
        <v>38</v>
      </c>
      <c r="I50">
        <v>10</v>
      </c>
      <c r="J50">
        <v>10</v>
      </c>
      <c r="M50">
        <v>52</v>
      </c>
      <c r="N50">
        <v>40</v>
      </c>
      <c r="O50">
        <v>70493963.963963971</v>
      </c>
      <c r="P50">
        <v>40539099.0990991</v>
      </c>
      <c r="Q50">
        <v>247</v>
      </c>
      <c r="R50">
        <v>321</v>
      </c>
      <c r="S50">
        <v>38680765.765765771</v>
      </c>
      <c r="T50">
        <v>39086009.009009011</v>
      </c>
      <c r="U50">
        <v>70115495.495495498</v>
      </c>
      <c r="V50">
        <v>37519459.459459461</v>
      </c>
      <c r="W50">
        <v>2424</v>
      </c>
      <c r="X50">
        <v>2425</v>
      </c>
    </row>
    <row r="51" spans="1:24">
      <c r="A51" s="7" t="s">
        <v>120</v>
      </c>
      <c r="B51" s="16" t="s">
        <v>121</v>
      </c>
      <c r="C51">
        <v>400344484.01904047</v>
      </c>
      <c r="D51">
        <v>363244383.50279391</v>
      </c>
      <c r="E51">
        <v>1104729.729729729</v>
      </c>
      <c r="F51">
        <v>2641666.6666666698</v>
      </c>
      <c r="G51">
        <v>156</v>
      </c>
      <c r="H51">
        <v>132</v>
      </c>
      <c r="I51">
        <v>11</v>
      </c>
      <c r="J51">
        <v>11</v>
      </c>
      <c r="M51">
        <v>171</v>
      </c>
      <c r="N51">
        <v>154</v>
      </c>
      <c r="O51">
        <v>15745945.945945945</v>
      </c>
      <c r="P51">
        <v>14509909.909909911</v>
      </c>
      <c r="Q51">
        <v>144</v>
      </c>
      <c r="R51">
        <v>77</v>
      </c>
      <c r="S51">
        <v>27044072.072072074</v>
      </c>
      <c r="T51">
        <v>29826909.909909908</v>
      </c>
      <c r="U51">
        <v>14561441.441441439</v>
      </c>
      <c r="V51">
        <v>12410630.630630627</v>
      </c>
      <c r="W51">
        <v>8045</v>
      </c>
      <c r="X51">
        <v>8112</v>
      </c>
    </row>
    <row r="52" spans="1:24">
      <c r="A52" s="7" t="s">
        <v>122</v>
      </c>
      <c r="B52" s="16" t="s">
        <v>123</v>
      </c>
      <c r="C52">
        <v>180308962.80200231</v>
      </c>
      <c r="D52">
        <v>189874993.68616071</v>
      </c>
      <c r="E52">
        <v>346396.39639639598</v>
      </c>
      <c r="F52">
        <v>773648.64864864899</v>
      </c>
      <c r="G52">
        <v>18</v>
      </c>
      <c r="H52">
        <v>25</v>
      </c>
      <c r="I52">
        <v>2</v>
      </c>
      <c r="J52">
        <v>3</v>
      </c>
      <c r="M52">
        <v>22</v>
      </c>
      <c r="N52">
        <v>37</v>
      </c>
      <c r="O52">
        <v>37384414.414414413</v>
      </c>
      <c r="P52">
        <v>34149729.729729727</v>
      </c>
      <c r="Q52">
        <v>54</v>
      </c>
      <c r="R52">
        <v>42</v>
      </c>
      <c r="S52">
        <v>80472115.315315306</v>
      </c>
      <c r="T52">
        <v>84986040.540540546</v>
      </c>
      <c r="U52">
        <v>36777747.747747742</v>
      </c>
      <c r="V52">
        <v>35172432.432432435</v>
      </c>
      <c r="W52">
        <v>4424</v>
      </c>
      <c r="X52">
        <v>4479</v>
      </c>
    </row>
    <row r="53" spans="1:24">
      <c r="A53" s="7" t="s">
        <v>124</v>
      </c>
      <c r="B53" s="16" t="s">
        <v>125</v>
      </c>
      <c r="C53">
        <v>264973468.26567066</v>
      </c>
      <c r="D53">
        <v>250044265.13230002</v>
      </c>
      <c r="E53">
        <v>321486.48648648697</v>
      </c>
      <c r="F53">
        <v>2464414.4144144198</v>
      </c>
      <c r="G53">
        <v>43</v>
      </c>
      <c r="H53">
        <v>52</v>
      </c>
      <c r="I53">
        <v>8</v>
      </c>
      <c r="J53">
        <v>5</v>
      </c>
      <c r="M53">
        <v>49</v>
      </c>
      <c r="N53">
        <v>70</v>
      </c>
      <c r="O53">
        <v>65360360.360360362</v>
      </c>
      <c r="P53">
        <v>76029909.909909919</v>
      </c>
      <c r="Q53">
        <v>98</v>
      </c>
      <c r="R53">
        <v>191</v>
      </c>
      <c r="S53">
        <v>77556655.855855852</v>
      </c>
      <c r="T53">
        <v>78748244.144144148</v>
      </c>
      <c r="U53">
        <v>68481171.171171173</v>
      </c>
      <c r="V53">
        <v>86371754.954954967</v>
      </c>
      <c r="W53">
        <v>6370</v>
      </c>
      <c r="X53">
        <v>6370</v>
      </c>
    </row>
    <row r="54" spans="1:24">
      <c r="A54" s="7" t="s">
        <v>126</v>
      </c>
      <c r="B54" s="16" t="s">
        <v>78</v>
      </c>
      <c r="C54">
        <v>169237965.03489235</v>
      </c>
      <c r="D54">
        <v>161597076.7275326</v>
      </c>
      <c r="E54">
        <v>2284414.4144144151</v>
      </c>
      <c r="F54">
        <v>3553153.153153155</v>
      </c>
      <c r="G54">
        <v>35</v>
      </c>
      <c r="H54">
        <v>46</v>
      </c>
      <c r="I54">
        <v>4</v>
      </c>
      <c r="J54">
        <v>2</v>
      </c>
      <c r="M54">
        <v>38</v>
      </c>
      <c r="N54">
        <v>55</v>
      </c>
      <c r="O54">
        <v>33788918.918918923</v>
      </c>
      <c r="P54">
        <v>27674774.774774775</v>
      </c>
      <c r="Q54">
        <v>134</v>
      </c>
      <c r="R54">
        <v>49</v>
      </c>
      <c r="S54">
        <v>66664918.918918923</v>
      </c>
      <c r="T54">
        <v>66163819.819819823</v>
      </c>
      <c r="U54">
        <v>34824414.414414413</v>
      </c>
      <c r="V54">
        <v>25425855.855855856</v>
      </c>
      <c r="W54">
        <v>4913</v>
      </c>
      <c r="X54">
        <v>5105</v>
      </c>
    </row>
    <row r="55" spans="1:24">
      <c r="A55" s="7" t="s">
        <v>127</v>
      </c>
      <c r="B55" s="16" t="s">
        <v>78</v>
      </c>
      <c r="C55">
        <v>30192818.140282903</v>
      </c>
      <c r="D55">
        <v>27215987.881792761</v>
      </c>
      <c r="E55">
        <v>13063.063063064001</v>
      </c>
      <c r="F55">
        <v>490090.09009009099</v>
      </c>
      <c r="G55">
        <v>13</v>
      </c>
      <c r="H55">
        <v>10</v>
      </c>
      <c r="I55">
        <v>2</v>
      </c>
      <c r="J55">
        <v>4</v>
      </c>
      <c r="K55">
        <v>1</v>
      </c>
      <c r="M55">
        <v>13</v>
      </c>
      <c r="N55">
        <v>11</v>
      </c>
      <c r="O55">
        <v>7004054.0540540544</v>
      </c>
      <c r="P55">
        <v>8147747.7477477491</v>
      </c>
      <c r="Q55">
        <v>18</v>
      </c>
      <c r="R55">
        <v>15</v>
      </c>
      <c r="S55">
        <v>15848108.108108109</v>
      </c>
      <c r="T55">
        <v>15752432.432432432</v>
      </c>
      <c r="U55">
        <v>6697657.6576576568</v>
      </c>
      <c r="V55">
        <v>9566666.666666666</v>
      </c>
      <c r="W55">
        <v>1232</v>
      </c>
      <c r="X55">
        <v>1165</v>
      </c>
    </row>
    <row r="56" spans="1:24">
      <c r="A56" s="7" t="s">
        <v>128</v>
      </c>
      <c r="B56" s="16" t="s">
        <v>78</v>
      </c>
      <c r="C56">
        <v>163343204.46540624</v>
      </c>
      <c r="D56">
        <v>156129809.37685731</v>
      </c>
      <c r="E56">
        <v>1215540.5405405411</v>
      </c>
      <c r="F56">
        <v>1608108.1081081131</v>
      </c>
      <c r="G56">
        <v>64</v>
      </c>
      <c r="H56">
        <v>110</v>
      </c>
      <c r="I56">
        <v>6</v>
      </c>
      <c r="J56">
        <v>11</v>
      </c>
      <c r="K56">
        <v>1</v>
      </c>
      <c r="M56">
        <v>73</v>
      </c>
      <c r="N56">
        <v>152</v>
      </c>
      <c r="O56">
        <v>20317117.117117114</v>
      </c>
      <c r="P56">
        <v>20283783.783783782</v>
      </c>
      <c r="Q56">
        <v>94</v>
      </c>
      <c r="R56">
        <v>106</v>
      </c>
      <c r="S56">
        <v>61337711.711711712</v>
      </c>
      <c r="T56">
        <v>62043639.639639638</v>
      </c>
      <c r="U56">
        <v>19230540.540540539</v>
      </c>
      <c r="V56">
        <v>16685765.765765766</v>
      </c>
      <c r="W56">
        <v>5879</v>
      </c>
      <c r="X56">
        <v>5864</v>
      </c>
    </row>
    <row r="57" spans="1:24">
      <c r="A57" s="7" t="s">
        <v>129</v>
      </c>
      <c r="B57" s="16" t="s">
        <v>85</v>
      </c>
      <c r="C57">
        <v>52632360.210467443</v>
      </c>
      <c r="D57">
        <v>45695892.767530285</v>
      </c>
      <c r="E57">
        <v>41441.441441442003</v>
      </c>
      <c r="F57">
        <v>136936.93693693701</v>
      </c>
      <c r="G57">
        <v>17</v>
      </c>
      <c r="H57">
        <v>11</v>
      </c>
      <c r="I57">
        <v>3</v>
      </c>
      <c r="J57">
        <v>2</v>
      </c>
      <c r="M57">
        <v>17</v>
      </c>
      <c r="N57">
        <v>12</v>
      </c>
      <c r="O57">
        <v>24428828.828828827</v>
      </c>
      <c r="P57">
        <v>43198378.378378376</v>
      </c>
      <c r="Q57">
        <v>54</v>
      </c>
      <c r="R57">
        <v>36</v>
      </c>
      <c r="S57">
        <v>22612477.477477476</v>
      </c>
      <c r="T57">
        <v>22040882.882882878</v>
      </c>
      <c r="U57">
        <v>17822612.612612613</v>
      </c>
      <c r="V57">
        <v>27061441.441441439</v>
      </c>
      <c r="W57">
        <v>1225</v>
      </c>
      <c r="X57">
        <v>1427</v>
      </c>
    </row>
    <row r="58" spans="1:24">
      <c r="A58" s="7" t="s">
        <v>130</v>
      </c>
      <c r="B58" s="16" t="s">
        <v>89</v>
      </c>
      <c r="C58">
        <v>435858159.43519634</v>
      </c>
      <c r="D58">
        <v>424620518.06816238</v>
      </c>
      <c r="E58">
        <v>1839864.8648648669</v>
      </c>
      <c r="F58">
        <v>3154504.504504513</v>
      </c>
      <c r="G58">
        <v>55</v>
      </c>
      <c r="H58">
        <v>57</v>
      </c>
      <c r="I58">
        <v>10</v>
      </c>
      <c r="J58">
        <v>30</v>
      </c>
      <c r="M58">
        <v>59</v>
      </c>
      <c r="N58">
        <v>84</v>
      </c>
      <c r="O58">
        <v>28519819.819819819</v>
      </c>
      <c r="P58">
        <v>25456486.486486487</v>
      </c>
      <c r="Q58">
        <v>289</v>
      </c>
      <c r="R58">
        <v>226</v>
      </c>
      <c r="S58">
        <v>128732511.7117117</v>
      </c>
      <c r="T58">
        <v>134643153.15315315</v>
      </c>
      <c r="U58">
        <v>27964998.198198196</v>
      </c>
      <c r="V58">
        <v>25757657.657657661</v>
      </c>
      <c r="W58">
        <v>10773</v>
      </c>
      <c r="X58">
        <v>10632</v>
      </c>
    </row>
    <row r="59" spans="1:24">
      <c r="A59" s="7" t="s">
        <v>131</v>
      </c>
      <c r="B59" s="16" t="s">
        <v>132</v>
      </c>
      <c r="C59">
        <v>256675147.05006796</v>
      </c>
      <c r="D59">
        <v>229027013.84359255</v>
      </c>
      <c r="E59">
        <v>52850326.126126125</v>
      </c>
      <c r="F59">
        <v>45069802.702702701</v>
      </c>
      <c r="G59">
        <v>103</v>
      </c>
      <c r="H59">
        <v>127</v>
      </c>
      <c r="I59">
        <v>4</v>
      </c>
      <c r="J59">
        <v>7</v>
      </c>
      <c r="K59">
        <v>1</v>
      </c>
      <c r="M59">
        <v>110</v>
      </c>
      <c r="N59">
        <v>140</v>
      </c>
      <c r="O59">
        <v>23111711.711711712</v>
      </c>
      <c r="P59">
        <v>25142342.342342343</v>
      </c>
      <c r="Q59">
        <v>29</v>
      </c>
      <c r="R59">
        <v>78</v>
      </c>
      <c r="S59">
        <v>78706963.963963971</v>
      </c>
      <c r="T59">
        <v>71797898.648648649</v>
      </c>
      <c r="U59">
        <v>16150720.720720723</v>
      </c>
      <c r="V59">
        <v>22772612.612612613</v>
      </c>
      <c r="W59">
        <v>7220</v>
      </c>
      <c r="X59">
        <v>7258</v>
      </c>
    </row>
    <row r="60" spans="1:24">
      <c r="A60" s="7" t="s">
        <v>133</v>
      </c>
      <c r="B60" s="16" t="s">
        <v>134</v>
      </c>
      <c r="C60">
        <v>40275218.958805144</v>
      </c>
      <c r="D60">
        <v>22263226.945344307</v>
      </c>
      <c r="G60">
        <v>8</v>
      </c>
      <c r="H60">
        <v>1</v>
      </c>
      <c r="M60">
        <v>9</v>
      </c>
      <c r="N60">
        <v>1</v>
      </c>
      <c r="S60">
        <v>5042648.6486486476</v>
      </c>
      <c r="T60">
        <v>4247151.3513513505</v>
      </c>
      <c r="W60">
        <v>2191</v>
      </c>
      <c r="X60">
        <v>2205</v>
      </c>
    </row>
    <row r="61" spans="1:24">
      <c r="A61" s="7" t="s">
        <v>135</v>
      </c>
      <c r="B61" s="16" t="s">
        <v>136</v>
      </c>
      <c r="C61">
        <v>211751690.55064309</v>
      </c>
      <c r="D61">
        <v>195902356.76837367</v>
      </c>
      <c r="E61">
        <v>35659459.459459461</v>
      </c>
      <c r="F61">
        <v>13547747.747747753</v>
      </c>
      <c r="G61">
        <v>75</v>
      </c>
      <c r="H61">
        <v>55</v>
      </c>
      <c r="I61">
        <v>5</v>
      </c>
      <c r="J61">
        <v>4</v>
      </c>
      <c r="M61">
        <v>80</v>
      </c>
      <c r="N61">
        <v>60</v>
      </c>
      <c r="O61">
        <v>20195495.495495494</v>
      </c>
      <c r="P61">
        <v>16209909.90990991</v>
      </c>
      <c r="Q61">
        <v>6</v>
      </c>
      <c r="R61">
        <v>1</v>
      </c>
      <c r="S61">
        <v>36014810.810810804</v>
      </c>
      <c r="T61">
        <v>30832819.819819819</v>
      </c>
      <c r="U61">
        <v>19097297.297297295</v>
      </c>
      <c r="V61">
        <v>13964954.954954954</v>
      </c>
      <c r="W61">
        <v>3544</v>
      </c>
      <c r="X61">
        <v>3488</v>
      </c>
    </row>
    <row r="62" spans="1:24">
      <c r="A62" s="7" t="s">
        <v>137</v>
      </c>
      <c r="B62" s="16" t="s">
        <v>89</v>
      </c>
      <c r="C62">
        <v>220548827.26703069</v>
      </c>
      <c r="D62">
        <v>207557927.05811819</v>
      </c>
      <c r="E62">
        <v>323648.648648653</v>
      </c>
      <c r="F62">
        <v>1801576.5765765831</v>
      </c>
      <c r="G62">
        <v>22</v>
      </c>
      <c r="H62">
        <v>42</v>
      </c>
      <c r="I62">
        <v>17</v>
      </c>
      <c r="J62">
        <v>14</v>
      </c>
      <c r="K62">
        <v>4</v>
      </c>
      <c r="M62">
        <v>84</v>
      </c>
      <c r="N62">
        <v>118</v>
      </c>
      <c r="O62">
        <v>30255045.045045044</v>
      </c>
      <c r="P62">
        <v>24144504.504504502</v>
      </c>
      <c r="Q62">
        <v>328</v>
      </c>
      <c r="R62">
        <v>243</v>
      </c>
      <c r="S62">
        <v>75235135.135135129</v>
      </c>
      <c r="T62">
        <v>73963250.45045045</v>
      </c>
      <c r="U62">
        <v>30675855.855855856</v>
      </c>
      <c r="V62">
        <v>24187657.657657661</v>
      </c>
      <c r="W62">
        <v>4804</v>
      </c>
      <c r="X62">
        <v>4859</v>
      </c>
    </row>
    <row r="63" spans="1:24">
      <c r="A63" s="7" t="s">
        <v>138</v>
      </c>
      <c r="B63" s="16" t="s">
        <v>78</v>
      </c>
      <c r="C63">
        <v>158700504.34100544</v>
      </c>
      <c r="D63">
        <v>152150067.62965542</v>
      </c>
      <c r="E63">
        <v>1992522.5225225231</v>
      </c>
      <c r="F63">
        <v>3916216.2162162191</v>
      </c>
      <c r="G63">
        <v>64</v>
      </c>
      <c r="H63">
        <v>69</v>
      </c>
      <c r="I63">
        <v>4</v>
      </c>
      <c r="J63">
        <v>10</v>
      </c>
      <c r="K63">
        <v>3</v>
      </c>
      <c r="M63">
        <v>74</v>
      </c>
      <c r="N63">
        <v>81</v>
      </c>
      <c r="O63">
        <v>21177207.207207203</v>
      </c>
      <c r="P63">
        <v>19267567.567567568</v>
      </c>
      <c r="Q63">
        <v>48</v>
      </c>
      <c r="R63">
        <v>79</v>
      </c>
      <c r="S63">
        <v>65783873.873873875</v>
      </c>
      <c r="T63">
        <v>66230164.414414413</v>
      </c>
      <c r="U63">
        <v>18554594.59459459</v>
      </c>
      <c r="V63">
        <v>17266756.75675676</v>
      </c>
      <c r="W63">
        <v>5332</v>
      </c>
      <c r="X63">
        <v>5214</v>
      </c>
    </row>
    <row r="64" spans="1:24">
      <c r="A64" s="7" t="s">
        <v>139</v>
      </c>
      <c r="B64" s="16" t="s">
        <v>140</v>
      </c>
      <c r="C64">
        <v>204307052.37517902</v>
      </c>
      <c r="D64">
        <v>211985144.65465963</v>
      </c>
      <c r="E64">
        <v>76520945.945945948</v>
      </c>
      <c r="F64">
        <v>57042342.342342347</v>
      </c>
      <c r="G64">
        <v>22</v>
      </c>
      <c r="H64">
        <v>21</v>
      </c>
      <c r="I64">
        <v>1</v>
      </c>
      <c r="J64">
        <v>3</v>
      </c>
      <c r="M64">
        <v>24</v>
      </c>
      <c r="N64">
        <v>21</v>
      </c>
      <c r="O64">
        <v>22700675.675675675</v>
      </c>
      <c r="P64">
        <v>21364684.684684683</v>
      </c>
      <c r="Q64">
        <v>10</v>
      </c>
      <c r="R64">
        <v>36</v>
      </c>
      <c r="S64">
        <v>35707747.747747742</v>
      </c>
      <c r="T64">
        <v>39627513.513513513</v>
      </c>
      <c r="U64">
        <v>17691711.711711712</v>
      </c>
      <c r="V64">
        <v>17487117.117117118</v>
      </c>
      <c r="W64">
        <v>4440</v>
      </c>
      <c r="X64">
        <v>5416</v>
      </c>
    </row>
    <row r="65" spans="1:24">
      <c r="A65" s="7" t="s">
        <v>141</v>
      </c>
      <c r="B65" s="16" t="s">
        <v>62</v>
      </c>
      <c r="C65">
        <v>143407896.32596695</v>
      </c>
      <c r="D65">
        <v>141209678.67037198</v>
      </c>
      <c r="E65">
        <v>326811672.07207209</v>
      </c>
      <c r="F65">
        <v>510682198.1981982</v>
      </c>
      <c r="G65">
        <v>48</v>
      </c>
      <c r="H65">
        <v>63</v>
      </c>
      <c r="I65">
        <v>6</v>
      </c>
      <c r="J65">
        <v>7</v>
      </c>
      <c r="M65">
        <v>55</v>
      </c>
      <c r="N65">
        <v>77</v>
      </c>
      <c r="O65">
        <v>118260604.50450452</v>
      </c>
      <c r="P65">
        <v>119990485.58558558</v>
      </c>
      <c r="Q65">
        <v>17</v>
      </c>
      <c r="R65">
        <v>58</v>
      </c>
      <c r="S65">
        <v>30877432.432432432</v>
      </c>
      <c r="T65">
        <v>30814306.306306303</v>
      </c>
      <c r="U65">
        <v>85225045.045045033</v>
      </c>
      <c r="V65">
        <v>74865675.675675675</v>
      </c>
      <c r="W65">
        <v>3941</v>
      </c>
      <c r="X65">
        <v>3815</v>
      </c>
    </row>
    <row r="66" spans="1:24">
      <c r="A66" s="7" t="s">
        <v>142</v>
      </c>
      <c r="B66" s="16" t="s">
        <v>143</v>
      </c>
      <c r="C66">
        <v>1696162.313043921</v>
      </c>
      <c r="D66">
        <v>1359060.9892870451</v>
      </c>
      <c r="E66">
        <v>117806132.43243243</v>
      </c>
      <c r="F66">
        <v>74444790.990990996</v>
      </c>
      <c r="H66">
        <v>1</v>
      </c>
      <c r="N66">
        <v>1</v>
      </c>
      <c r="O66">
        <v>7675675.6756756762</v>
      </c>
      <c r="P66">
        <v>7207207.2072072066</v>
      </c>
      <c r="S66">
        <v>127927.927927928</v>
      </c>
      <c r="T66">
        <v>108198.19819819801</v>
      </c>
      <c r="W66">
        <v>143</v>
      </c>
      <c r="X66">
        <v>96</v>
      </c>
    </row>
    <row r="67" spans="1:24">
      <c r="A67" s="7" t="s">
        <v>144</v>
      </c>
      <c r="B67" s="16" t="s">
        <v>140</v>
      </c>
      <c r="C67">
        <v>303213103.19852823</v>
      </c>
      <c r="D67">
        <v>302726549.10431874</v>
      </c>
      <c r="E67">
        <v>111531.531531534</v>
      </c>
      <c r="F67">
        <v>1398648.6486486499</v>
      </c>
      <c r="G67">
        <v>54</v>
      </c>
      <c r="H67">
        <v>64</v>
      </c>
      <c r="I67">
        <v>9</v>
      </c>
      <c r="J67">
        <v>6</v>
      </c>
      <c r="K67">
        <v>1</v>
      </c>
      <c r="M67">
        <v>62</v>
      </c>
      <c r="N67">
        <v>85</v>
      </c>
      <c r="O67">
        <v>37896216.216216214</v>
      </c>
      <c r="P67">
        <v>35368828.828828827</v>
      </c>
      <c r="Q67">
        <v>195</v>
      </c>
      <c r="R67">
        <v>80</v>
      </c>
      <c r="S67">
        <v>56340405.40540541</v>
      </c>
      <c r="T67">
        <v>56575612.612612605</v>
      </c>
      <c r="U67">
        <v>33277837.837837841</v>
      </c>
      <c r="V67">
        <v>32143333.333333332</v>
      </c>
      <c r="W67">
        <v>7444</v>
      </c>
      <c r="X67">
        <v>7647</v>
      </c>
    </row>
    <row r="68" spans="1:24">
      <c r="A68" s="7" t="s">
        <v>145</v>
      </c>
      <c r="B68" s="16" t="s">
        <v>78</v>
      </c>
      <c r="C68">
        <v>213995193.44642255</v>
      </c>
      <c r="D68">
        <v>213116695.56890351</v>
      </c>
      <c r="E68">
        <v>1569189.18918919</v>
      </c>
      <c r="F68">
        <v>2563063.0630630641</v>
      </c>
      <c r="G68">
        <v>45</v>
      </c>
      <c r="H68">
        <v>67</v>
      </c>
      <c r="I68">
        <v>7</v>
      </c>
      <c r="J68">
        <v>3</v>
      </c>
      <c r="M68">
        <v>51</v>
      </c>
      <c r="N68">
        <v>74</v>
      </c>
      <c r="O68">
        <v>25055675.675675675</v>
      </c>
      <c r="P68">
        <v>19157657.657657661</v>
      </c>
      <c r="Q68">
        <v>71</v>
      </c>
      <c r="R68">
        <v>7</v>
      </c>
      <c r="S68">
        <v>56059243.24324324</v>
      </c>
      <c r="T68">
        <v>61021009.009009011</v>
      </c>
      <c r="U68">
        <v>24454954.954954952</v>
      </c>
      <c r="V68">
        <v>21240810.810810808</v>
      </c>
      <c r="W68">
        <v>6399</v>
      </c>
      <c r="X68">
        <v>6364</v>
      </c>
    </row>
    <row r="69" spans="1:24">
      <c r="A69" s="7" t="s">
        <v>146</v>
      </c>
      <c r="B69" s="16" t="s">
        <v>147</v>
      </c>
      <c r="C69">
        <v>152167359.5703418</v>
      </c>
      <c r="D69">
        <v>139915197.65717015</v>
      </c>
      <c r="E69">
        <v>47769594.59459459</v>
      </c>
      <c r="F69">
        <v>89319819.819819823</v>
      </c>
      <c r="G69">
        <v>34</v>
      </c>
      <c r="H69">
        <v>27</v>
      </c>
      <c r="I69">
        <v>3</v>
      </c>
      <c r="J69">
        <v>2</v>
      </c>
      <c r="M69">
        <v>37</v>
      </c>
      <c r="N69">
        <v>36</v>
      </c>
      <c r="O69">
        <v>20771351.351351351</v>
      </c>
      <c r="P69">
        <v>51315399.0990991</v>
      </c>
      <c r="Q69">
        <v>63</v>
      </c>
      <c r="R69">
        <v>18</v>
      </c>
      <c r="S69">
        <v>40950306.306306303</v>
      </c>
      <c r="T69">
        <v>45388306.306306303</v>
      </c>
      <c r="U69">
        <v>14380720.720720718</v>
      </c>
      <c r="V69">
        <v>43060270.270270273</v>
      </c>
      <c r="W69">
        <v>3777</v>
      </c>
      <c r="X69">
        <v>3748</v>
      </c>
    </row>
    <row r="70" spans="1:24">
      <c r="A70" s="7" t="s">
        <v>148</v>
      </c>
      <c r="B70" s="16" t="s">
        <v>94</v>
      </c>
      <c r="D70">
        <v>17.531949365999999</v>
      </c>
      <c r="X70">
        <v>32</v>
      </c>
    </row>
    <row r="71" spans="1:24">
      <c r="A71" s="7" t="s">
        <v>149</v>
      </c>
      <c r="B71" s="16" t="s">
        <v>50</v>
      </c>
      <c r="C71">
        <v>120986677.53812891</v>
      </c>
      <c r="D71">
        <v>123924845.67317596</v>
      </c>
      <c r="E71">
        <v>232432.43243243301</v>
      </c>
      <c r="F71">
        <v>239639.63963964101</v>
      </c>
      <c r="G71">
        <v>26</v>
      </c>
      <c r="H71">
        <v>25</v>
      </c>
      <c r="I71">
        <v>6</v>
      </c>
      <c r="J71">
        <v>1</v>
      </c>
      <c r="M71">
        <v>32</v>
      </c>
      <c r="N71">
        <v>29</v>
      </c>
      <c r="O71">
        <v>14720180.180180181</v>
      </c>
      <c r="P71">
        <v>6910720.7207207223</v>
      </c>
      <c r="Q71">
        <v>17</v>
      </c>
      <c r="R71">
        <v>3</v>
      </c>
      <c r="S71">
        <v>54453558.558558561</v>
      </c>
      <c r="T71">
        <v>55603468.468468472</v>
      </c>
      <c r="U71">
        <v>15364504.504504504</v>
      </c>
      <c r="V71">
        <v>6910900.9009009004</v>
      </c>
      <c r="W71">
        <v>3473</v>
      </c>
      <c r="X71">
        <v>3592</v>
      </c>
    </row>
    <row r="72" spans="1:24">
      <c r="A72" s="7" t="s">
        <v>150</v>
      </c>
      <c r="B72" s="16" t="s">
        <v>151</v>
      </c>
      <c r="C72">
        <v>37854790.419342175</v>
      </c>
      <c r="D72">
        <v>38649083.941662803</v>
      </c>
      <c r="E72">
        <v>170655303.6036036</v>
      </c>
      <c r="F72">
        <v>546741658.55855858</v>
      </c>
      <c r="G72">
        <v>12</v>
      </c>
      <c r="H72">
        <v>7</v>
      </c>
      <c r="I72">
        <v>9</v>
      </c>
      <c r="J72">
        <v>1</v>
      </c>
      <c r="M72">
        <v>13</v>
      </c>
      <c r="N72">
        <v>8</v>
      </c>
      <c r="O72">
        <v>85691351.351351351</v>
      </c>
      <c r="P72">
        <v>57606306.306306303</v>
      </c>
      <c r="Q72">
        <v>27</v>
      </c>
      <c r="S72">
        <v>8890090.0900900904</v>
      </c>
      <c r="T72">
        <v>9991027.0270270277</v>
      </c>
      <c r="U72">
        <v>41703873.873873875</v>
      </c>
      <c r="V72">
        <v>10364324.324324325</v>
      </c>
      <c r="W72">
        <v>678</v>
      </c>
      <c r="X72">
        <v>689</v>
      </c>
    </row>
    <row r="73" spans="1:24">
      <c r="A73" s="7" t="s">
        <v>152</v>
      </c>
      <c r="B73" s="16" t="s">
        <v>151</v>
      </c>
      <c r="C73">
        <v>374008825.55360824</v>
      </c>
      <c r="D73">
        <v>369081063.79789323</v>
      </c>
      <c r="E73">
        <v>1350450.4504504499</v>
      </c>
      <c r="F73">
        <v>6693018.0180180212</v>
      </c>
      <c r="G73">
        <v>147</v>
      </c>
      <c r="H73">
        <v>183</v>
      </c>
      <c r="I73">
        <v>28</v>
      </c>
      <c r="J73">
        <v>17</v>
      </c>
      <c r="M73">
        <v>161</v>
      </c>
      <c r="N73">
        <v>218</v>
      </c>
      <c r="O73">
        <v>411124684.68468469</v>
      </c>
      <c r="P73">
        <v>238471243.24324322</v>
      </c>
      <c r="Q73">
        <v>173</v>
      </c>
      <c r="R73">
        <v>111</v>
      </c>
      <c r="S73">
        <v>127497962.16216215</v>
      </c>
      <c r="T73">
        <v>128885711.7117117</v>
      </c>
      <c r="U73">
        <v>360164183.78378379</v>
      </c>
      <c r="V73">
        <v>196924767.56756756</v>
      </c>
      <c r="W73">
        <v>8263</v>
      </c>
      <c r="X73">
        <v>7982</v>
      </c>
    </row>
    <row r="74" spans="1:24">
      <c r="A74" s="7" t="s">
        <v>153</v>
      </c>
      <c r="B74" s="16" t="s">
        <v>154</v>
      </c>
      <c r="C74">
        <v>338668656.1218195</v>
      </c>
      <c r="D74">
        <v>326125399.07515639</v>
      </c>
      <c r="E74">
        <v>2747747.7477477482</v>
      </c>
      <c r="F74">
        <v>343018.01801801898</v>
      </c>
      <c r="G74">
        <v>19</v>
      </c>
      <c r="H74">
        <v>45</v>
      </c>
      <c r="I74">
        <v>0</v>
      </c>
      <c r="J74">
        <v>1</v>
      </c>
      <c r="M74">
        <v>21</v>
      </c>
      <c r="N74">
        <v>52</v>
      </c>
      <c r="O74">
        <v>42721081.081081077</v>
      </c>
      <c r="P74">
        <v>44277477.477477483</v>
      </c>
      <c r="Q74">
        <v>55</v>
      </c>
      <c r="R74">
        <v>88</v>
      </c>
      <c r="S74">
        <v>146756890.09009007</v>
      </c>
      <c r="T74">
        <v>134270918.91891891</v>
      </c>
      <c r="U74">
        <v>42392072.072072074</v>
      </c>
      <c r="V74">
        <v>38882972.972972974</v>
      </c>
      <c r="W74">
        <v>6971</v>
      </c>
      <c r="X74">
        <v>7052</v>
      </c>
    </row>
    <row r="75" spans="1:24">
      <c r="A75" s="7" t="s">
        <v>155</v>
      </c>
      <c r="B75" s="16" t="s">
        <v>154</v>
      </c>
      <c r="C75">
        <v>48995331.56165038</v>
      </c>
      <c r="D75">
        <v>37883409.360224374</v>
      </c>
      <c r="E75">
        <v>27927.927927928002</v>
      </c>
      <c r="F75">
        <v>13513.513513514001</v>
      </c>
      <c r="G75">
        <v>12</v>
      </c>
      <c r="H75">
        <v>8</v>
      </c>
      <c r="I75">
        <v>3</v>
      </c>
      <c r="J75">
        <v>2</v>
      </c>
      <c r="M75">
        <v>14</v>
      </c>
      <c r="N75">
        <v>10</v>
      </c>
      <c r="O75">
        <v>298198.19819819799</v>
      </c>
      <c r="P75">
        <v>4279279.2792792786</v>
      </c>
      <c r="Q75">
        <v>19</v>
      </c>
      <c r="R75">
        <v>30</v>
      </c>
      <c r="S75">
        <v>13022657.657657659</v>
      </c>
      <c r="T75">
        <v>9506837.8378378376</v>
      </c>
      <c r="U75">
        <v>631531.53153153195</v>
      </c>
      <c r="V75">
        <v>2764864.8648648639</v>
      </c>
      <c r="W75">
        <v>1990</v>
      </c>
      <c r="X75">
        <v>1974</v>
      </c>
    </row>
    <row r="76" spans="1:24">
      <c r="A76" s="7" t="s">
        <v>156</v>
      </c>
      <c r="B76" s="16" t="s">
        <v>154</v>
      </c>
      <c r="C76">
        <v>440308015.17495167</v>
      </c>
      <c r="D76">
        <v>358227854.02886236</v>
      </c>
      <c r="E76">
        <v>129313233.33333333</v>
      </c>
      <c r="F76">
        <v>183962493.6936937</v>
      </c>
      <c r="G76">
        <v>78</v>
      </c>
      <c r="H76">
        <v>21</v>
      </c>
      <c r="I76">
        <v>7</v>
      </c>
      <c r="J76">
        <v>5</v>
      </c>
      <c r="M76">
        <v>132</v>
      </c>
      <c r="N76">
        <v>25</v>
      </c>
      <c r="O76">
        <v>104653450.45045045</v>
      </c>
      <c r="P76">
        <v>81582882.882882878</v>
      </c>
      <c r="Q76">
        <v>120</v>
      </c>
      <c r="R76">
        <v>184</v>
      </c>
      <c r="S76">
        <v>167082693.6936937</v>
      </c>
      <c r="T76">
        <v>138720117.11711711</v>
      </c>
      <c r="U76">
        <v>81806846.846846849</v>
      </c>
      <c r="V76">
        <v>67232432.432432428</v>
      </c>
      <c r="W76">
        <v>7459</v>
      </c>
      <c r="X76">
        <v>7926</v>
      </c>
    </row>
    <row r="77" spans="1:24">
      <c r="A77" s="7" t="s">
        <v>157</v>
      </c>
      <c r="B77" s="16" t="s">
        <v>134</v>
      </c>
      <c r="C77">
        <v>168490570.03315753</v>
      </c>
      <c r="D77">
        <v>168528434.91814041</v>
      </c>
      <c r="E77">
        <v>454054.054054056</v>
      </c>
      <c r="F77">
        <v>556756.75675675902</v>
      </c>
      <c r="G77">
        <v>39</v>
      </c>
      <c r="H77">
        <v>33</v>
      </c>
      <c r="I77">
        <v>12</v>
      </c>
      <c r="J77">
        <v>6</v>
      </c>
      <c r="K77">
        <v>1</v>
      </c>
      <c r="M77">
        <v>46</v>
      </c>
      <c r="N77">
        <v>39</v>
      </c>
      <c r="O77">
        <v>20796396.396396399</v>
      </c>
      <c r="P77">
        <v>15534242.342342343</v>
      </c>
      <c r="Q77">
        <v>144</v>
      </c>
      <c r="R77">
        <v>2</v>
      </c>
      <c r="S77">
        <v>14763648.648648648</v>
      </c>
      <c r="T77">
        <v>17818207.207207207</v>
      </c>
      <c r="U77">
        <v>7908918.9189189188</v>
      </c>
      <c r="V77">
        <v>5533513.5135135138</v>
      </c>
      <c r="W77">
        <v>4427</v>
      </c>
      <c r="X77">
        <v>4474</v>
      </c>
    </row>
    <row r="78" spans="1:24">
      <c r="A78" s="7" t="s">
        <v>1</v>
      </c>
      <c r="B78" s="16" t="s">
        <v>158</v>
      </c>
      <c r="C78">
        <v>303172605.00727689</v>
      </c>
      <c r="D78">
        <v>300094635.04880136</v>
      </c>
      <c r="E78">
        <v>559009.00900901202</v>
      </c>
      <c r="F78">
        <v>1527027.02702703</v>
      </c>
      <c r="G78">
        <v>181</v>
      </c>
      <c r="H78">
        <v>53</v>
      </c>
      <c r="I78">
        <v>12</v>
      </c>
      <c r="J78">
        <v>10</v>
      </c>
      <c r="K78">
        <v>2</v>
      </c>
      <c r="M78">
        <v>439</v>
      </c>
      <c r="N78">
        <v>151</v>
      </c>
      <c r="O78">
        <v>30212342.342342343</v>
      </c>
      <c r="P78">
        <v>35382432.432432435</v>
      </c>
      <c r="Q78">
        <v>138</v>
      </c>
      <c r="R78">
        <v>58</v>
      </c>
      <c r="S78">
        <v>139583827.02702701</v>
      </c>
      <c r="T78">
        <v>144144909.90990993</v>
      </c>
      <c r="U78">
        <v>30603603.603603609</v>
      </c>
      <c r="V78">
        <v>33595585.585585587</v>
      </c>
      <c r="W78">
        <v>6880</v>
      </c>
      <c r="X78">
        <v>8955</v>
      </c>
    </row>
    <row r="79" spans="1:24">
      <c r="A79" s="7" t="s">
        <v>159</v>
      </c>
      <c r="B79" s="16" t="s">
        <v>121</v>
      </c>
      <c r="C79">
        <v>12403721.717041688</v>
      </c>
      <c r="D79">
        <v>11643853.883836633</v>
      </c>
      <c r="G79">
        <v>3</v>
      </c>
      <c r="H79">
        <v>5</v>
      </c>
      <c r="M79">
        <v>3</v>
      </c>
      <c r="N79">
        <v>6</v>
      </c>
      <c r="O79">
        <v>972972.97297297302</v>
      </c>
      <c r="Q79">
        <v>8</v>
      </c>
      <c r="S79">
        <v>1362027.027027027</v>
      </c>
      <c r="T79">
        <v>1123468.4684684679</v>
      </c>
      <c r="U79">
        <v>348468.468468468</v>
      </c>
      <c r="V79">
        <v>29729.729729729999</v>
      </c>
      <c r="W79">
        <v>624</v>
      </c>
      <c r="X79">
        <v>510</v>
      </c>
    </row>
    <row r="80" spans="1:24">
      <c r="A80" s="7" t="s">
        <v>160</v>
      </c>
      <c r="B80" s="16" t="s">
        <v>161</v>
      </c>
      <c r="C80">
        <v>153733061.08427614</v>
      </c>
      <c r="D80">
        <v>159072854.14636439</v>
      </c>
      <c r="E80">
        <v>38287432.432432443</v>
      </c>
      <c r="F80">
        <v>32400000.000000011</v>
      </c>
      <c r="G80">
        <v>78</v>
      </c>
      <c r="H80">
        <v>100</v>
      </c>
      <c r="I80">
        <v>32</v>
      </c>
      <c r="J80">
        <v>19</v>
      </c>
      <c r="M80">
        <v>100</v>
      </c>
      <c r="N80">
        <v>201</v>
      </c>
      <c r="O80">
        <v>45729421.621621616</v>
      </c>
      <c r="P80">
        <v>32453783.783783793</v>
      </c>
      <c r="Q80">
        <v>260</v>
      </c>
      <c r="R80">
        <v>123</v>
      </c>
      <c r="S80">
        <v>64652432.432432435</v>
      </c>
      <c r="T80">
        <v>69133738.738738745</v>
      </c>
      <c r="U80">
        <v>45917567.567567565</v>
      </c>
      <c r="V80">
        <v>31206126.126126133</v>
      </c>
      <c r="W80">
        <v>5907</v>
      </c>
      <c r="X80">
        <v>6100</v>
      </c>
    </row>
    <row r="81" spans="1:24">
      <c r="A81" s="7" t="s">
        <v>162</v>
      </c>
      <c r="B81" s="16" t="s">
        <v>76</v>
      </c>
      <c r="C81">
        <v>72532700.942486256</v>
      </c>
      <c r="D81">
        <v>69191311.351219654</v>
      </c>
      <c r="E81">
        <v>191891.89189189201</v>
      </c>
      <c r="F81">
        <v>298198.19819819898</v>
      </c>
      <c r="G81">
        <v>15</v>
      </c>
      <c r="H81">
        <v>12</v>
      </c>
      <c r="I81">
        <v>1</v>
      </c>
      <c r="J81">
        <v>0</v>
      </c>
      <c r="M81">
        <v>17</v>
      </c>
      <c r="N81">
        <v>13</v>
      </c>
      <c r="O81">
        <v>1106306.306306306</v>
      </c>
      <c r="P81">
        <v>1262162.1621621619</v>
      </c>
      <c r="Q81">
        <v>10</v>
      </c>
      <c r="R81">
        <v>9</v>
      </c>
      <c r="S81">
        <v>4139909.9099099091</v>
      </c>
      <c r="T81">
        <v>3302297.297297298</v>
      </c>
      <c r="U81">
        <v>1218648.6486486481</v>
      </c>
      <c r="V81">
        <v>1166036.036036036</v>
      </c>
      <c r="W81">
        <v>979</v>
      </c>
      <c r="X81">
        <v>878</v>
      </c>
    </row>
    <row r="82" spans="1:24">
      <c r="A82" s="7" t="s">
        <v>163</v>
      </c>
      <c r="B82" s="16" t="s">
        <v>52</v>
      </c>
      <c r="C82">
        <v>55070288.457739927</v>
      </c>
      <c r="D82">
        <v>55707726.381834559</v>
      </c>
      <c r="E82">
        <v>808783.78378378402</v>
      </c>
      <c r="F82">
        <v>742342.34234234202</v>
      </c>
      <c r="G82">
        <v>9</v>
      </c>
      <c r="H82">
        <v>25</v>
      </c>
      <c r="I82">
        <v>1</v>
      </c>
      <c r="J82">
        <v>2</v>
      </c>
      <c r="M82">
        <v>11</v>
      </c>
      <c r="N82">
        <v>28</v>
      </c>
      <c r="O82">
        <v>1731531.5315315321</v>
      </c>
      <c r="P82">
        <v>904504.50450450403</v>
      </c>
      <c r="Q82">
        <v>1</v>
      </c>
      <c r="S82">
        <v>26920765.765765768</v>
      </c>
      <c r="T82">
        <v>27132387.387387387</v>
      </c>
      <c r="U82">
        <v>1398108.1081081091</v>
      </c>
      <c r="V82">
        <v>997297.29729729798</v>
      </c>
      <c r="W82">
        <v>1534</v>
      </c>
      <c r="X82">
        <v>1556</v>
      </c>
    </row>
    <row r="83" spans="1:24">
      <c r="A83" s="7" t="s">
        <v>164</v>
      </c>
      <c r="B83" s="16" t="s">
        <v>87</v>
      </c>
      <c r="C83">
        <v>47470519.256017461</v>
      </c>
      <c r="D83">
        <v>28338304.936896343</v>
      </c>
      <c r="E83">
        <v>43243.243243243</v>
      </c>
      <c r="F83">
        <v>54054.054054054002</v>
      </c>
      <c r="G83">
        <v>73</v>
      </c>
      <c r="H83">
        <v>9</v>
      </c>
      <c r="I83">
        <v>1</v>
      </c>
      <c r="J83">
        <v>1</v>
      </c>
      <c r="M83">
        <v>78</v>
      </c>
      <c r="N83">
        <v>10</v>
      </c>
      <c r="O83">
        <v>1908108.1081081079</v>
      </c>
      <c r="P83">
        <v>264864.86486486398</v>
      </c>
      <c r="Q83">
        <v>32</v>
      </c>
      <c r="S83">
        <v>4844594.594594595</v>
      </c>
      <c r="T83">
        <v>2577027.0270270272</v>
      </c>
      <c r="U83">
        <v>2334594.594594595</v>
      </c>
      <c r="V83">
        <v>258918.918918918</v>
      </c>
      <c r="W83">
        <v>1244</v>
      </c>
      <c r="X83">
        <v>1098</v>
      </c>
    </row>
    <row r="84" spans="1:24">
      <c r="A84" s="7" t="s">
        <v>165</v>
      </c>
      <c r="B84" s="16" t="s">
        <v>143</v>
      </c>
      <c r="C84">
        <v>8958481.0733702667</v>
      </c>
      <c r="D84">
        <v>9878173.2963388674</v>
      </c>
      <c r="E84">
        <v>14414.414414413999</v>
      </c>
      <c r="F84">
        <v>94594.594594594993</v>
      </c>
      <c r="G84">
        <v>5</v>
      </c>
      <c r="H84">
        <v>8</v>
      </c>
      <c r="I84">
        <v>3</v>
      </c>
      <c r="J84">
        <v>2</v>
      </c>
      <c r="M84">
        <v>8</v>
      </c>
      <c r="N84">
        <v>8</v>
      </c>
      <c r="O84">
        <v>1924324.324324324</v>
      </c>
      <c r="P84">
        <v>995495.49549549504</v>
      </c>
      <c r="Q84">
        <v>25</v>
      </c>
      <c r="R84">
        <v>2</v>
      </c>
      <c r="S84">
        <v>1023468.4684684681</v>
      </c>
      <c r="T84">
        <v>1179882.8828828831</v>
      </c>
      <c r="U84">
        <v>1531531.5315315309</v>
      </c>
      <c r="V84">
        <v>274954.95495495503</v>
      </c>
      <c r="W84">
        <v>308</v>
      </c>
      <c r="X84">
        <v>327</v>
      </c>
    </row>
    <row r="85" spans="1:24">
      <c r="A85" s="7" t="s">
        <v>166</v>
      </c>
      <c r="B85" s="16" t="s">
        <v>167</v>
      </c>
      <c r="C85">
        <v>35999327.185788855</v>
      </c>
      <c r="D85">
        <v>39882028.130921409</v>
      </c>
      <c r="E85">
        <v>11711.711711712</v>
      </c>
      <c r="F85">
        <v>631531.53153153195</v>
      </c>
      <c r="G85">
        <v>23</v>
      </c>
      <c r="H85">
        <v>9</v>
      </c>
      <c r="I85">
        <v>3</v>
      </c>
      <c r="J85">
        <v>2</v>
      </c>
      <c r="M85">
        <v>26</v>
      </c>
      <c r="N85">
        <v>9</v>
      </c>
      <c r="O85">
        <v>4307387.3873873902</v>
      </c>
      <c r="P85">
        <v>3425675.6756756762</v>
      </c>
      <c r="Q85">
        <v>10</v>
      </c>
      <c r="R85">
        <v>32</v>
      </c>
      <c r="S85">
        <v>17201846.846846849</v>
      </c>
      <c r="T85">
        <v>18843926.126126129</v>
      </c>
      <c r="U85">
        <v>4233423.4234234262</v>
      </c>
      <c r="V85">
        <v>3416216.2162162159</v>
      </c>
      <c r="W85">
        <v>1381</v>
      </c>
      <c r="X85">
        <v>1433</v>
      </c>
    </row>
    <row r="86" spans="1:24">
      <c r="A86" s="7" t="s">
        <v>168</v>
      </c>
      <c r="B86" s="16" t="s">
        <v>169</v>
      </c>
      <c r="C86">
        <v>174235527.16411626</v>
      </c>
      <c r="D86">
        <v>180740045.72590986</v>
      </c>
      <c r="E86">
        <v>337387.38738738699</v>
      </c>
      <c r="F86">
        <v>1220720.7207207221</v>
      </c>
      <c r="G86">
        <v>36</v>
      </c>
      <c r="H86">
        <v>40</v>
      </c>
      <c r="I86">
        <v>3</v>
      </c>
      <c r="J86">
        <v>3</v>
      </c>
      <c r="K86">
        <v>1</v>
      </c>
      <c r="M86">
        <v>47</v>
      </c>
      <c r="N86">
        <v>45</v>
      </c>
      <c r="O86">
        <v>24544594.59459459</v>
      </c>
      <c r="P86">
        <v>27338087.387387384</v>
      </c>
      <c r="Q86">
        <v>125</v>
      </c>
      <c r="R86">
        <v>25</v>
      </c>
      <c r="S86">
        <v>49004576.576576576</v>
      </c>
      <c r="T86">
        <v>56881209.459459454</v>
      </c>
      <c r="U86">
        <v>22098918.918918919</v>
      </c>
      <c r="V86">
        <v>26717747.747747745</v>
      </c>
      <c r="W86">
        <v>6550</v>
      </c>
      <c r="X86">
        <v>7411</v>
      </c>
    </row>
    <row r="87" spans="1:24">
      <c r="A87" s="7" t="s">
        <v>170</v>
      </c>
      <c r="B87" s="16" t="s">
        <v>54</v>
      </c>
      <c r="C87">
        <v>26943673.582914557</v>
      </c>
      <c r="D87">
        <v>26859565.614044737</v>
      </c>
      <c r="E87">
        <v>42342.342342342999</v>
      </c>
      <c r="F87">
        <v>367567.56756756798</v>
      </c>
      <c r="G87">
        <v>1</v>
      </c>
      <c r="H87">
        <v>1</v>
      </c>
      <c r="I87">
        <v>1</v>
      </c>
      <c r="J87">
        <v>1</v>
      </c>
      <c r="M87">
        <v>3</v>
      </c>
      <c r="N87">
        <v>2</v>
      </c>
      <c r="O87">
        <v>4344144.1441441448</v>
      </c>
      <c r="P87">
        <v>1718918.9189189191</v>
      </c>
      <c r="Q87">
        <v>15</v>
      </c>
      <c r="R87">
        <v>6</v>
      </c>
      <c r="S87">
        <v>4225135.1351351356</v>
      </c>
      <c r="T87">
        <v>4261081.0810810812</v>
      </c>
      <c r="U87">
        <v>3414594.5945945941</v>
      </c>
      <c r="V87">
        <v>2797117.1171171172</v>
      </c>
      <c r="W87">
        <v>698</v>
      </c>
      <c r="X87">
        <v>685</v>
      </c>
    </row>
    <row r="88" spans="1:24">
      <c r="A88" s="7" t="s">
        <v>171</v>
      </c>
      <c r="B88" s="16" t="s">
        <v>60</v>
      </c>
      <c r="C88">
        <v>579662289.57400382</v>
      </c>
      <c r="D88">
        <v>562064313.53080451</v>
      </c>
      <c r="E88">
        <v>3788513.5135135138</v>
      </c>
      <c r="F88">
        <v>6952252.2522522537</v>
      </c>
      <c r="G88">
        <v>128</v>
      </c>
      <c r="H88">
        <v>136</v>
      </c>
      <c r="I88">
        <v>24</v>
      </c>
      <c r="J88">
        <v>25</v>
      </c>
      <c r="M88">
        <v>140</v>
      </c>
      <c r="N88">
        <v>157</v>
      </c>
      <c r="O88">
        <v>34874774.774774775</v>
      </c>
      <c r="P88">
        <v>26471171.17117117</v>
      </c>
      <c r="Q88">
        <v>256</v>
      </c>
      <c r="R88">
        <v>128</v>
      </c>
      <c r="S88">
        <v>197818040.54054055</v>
      </c>
      <c r="T88">
        <v>207548351.35135135</v>
      </c>
      <c r="U88">
        <v>35141081.081081077</v>
      </c>
      <c r="V88">
        <v>27779279.279279277</v>
      </c>
      <c r="W88">
        <v>11838</v>
      </c>
      <c r="X88">
        <v>13148</v>
      </c>
    </row>
    <row r="89" spans="1:24">
      <c r="A89" s="7" t="s">
        <v>172</v>
      </c>
      <c r="B89" s="16" t="s">
        <v>121</v>
      </c>
      <c r="C89">
        <v>236465633.37080374</v>
      </c>
      <c r="D89">
        <v>231629233.86442435</v>
      </c>
      <c r="E89">
        <v>15563963.963963967</v>
      </c>
      <c r="F89">
        <v>6885585.5855855858</v>
      </c>
      <c r="G89">
        <v>143</v>
      </c>
      <c r="H89">
        <v>88</v>
      </c>
      <c r="I89">
        <v>15</v>
      </c>
      <c r="J89">
        <v>13</v>
      </c>
      <c r="M89">
        <v>162</v>
      </c>
      <c r="N89">
        <v>100</v>
      </c>
      <c r="O89">
        <v>17105405.405405402</v>
      </c>
      <c r="P89">
        <v>13477477.477477476</v>
      </c>
      <c r="Q89">
        <v>94</v>
      </c>
      <c r="R89">
        <v>10</v>
      </c>
      <c r="S89">
        <v>33484639.639639638</v>
      </c>
      <c r="T89">
        <v>32028727.477477476</v>
      </c>
      <c r="U89">
        <v>12396756.756756756</v>
      </c>
      <c r="V89">
        <v>9801441.4414414391</v>
      </c>
      <c r="W89">
        <v>5891</v>
      </c>
      <c r="X89">
        <v>5621</v>
      </c>
    </row>
    <row r="90" spans="1:24">
      <c r="A90" s="7" t="s">
        <v>173</v>
      </c>
      <c r="B90" s="16" t="s">
        <v>174</v>
      </c>
      <c r="C90">
        <v>174372324.14772671</v>
      </c>
      <c r="D90">
        <v>167809781.34921449</v>
      </c>
      <c r="E90">
        <v>13280405.405405408</v>
      </c>
      <c r="F90">
        <v>13977252.252252253</v>
      </c>
      <c r="G90">
        <v>55</v>
      </c>
      <c r="H90">
        <v>80</v>
      </c>
      <c r="I90">
        <v>16</v>
      </c>
      <c r="J90">
        <v>10</v>
      </c>
      <c r="K90">
        <v>5</v>
      </c>
      <c r="M90">
        <v>64</v>
      </c>
      <c r="N90">
        <v>143</v>
      </c>
      <c r="O90">
        <v>25374324.324324325</v>
      </c>
      <c r="P90">
        <v>19049099.099099096</v>
      </c>
      <c r="Q90">
        <v>394</v>
      </c>
      <c r="R90">
        <v>35</v>
      </c>
      <c r="S90">
        <v>20759972.972972974</v>
      </c>
      <c r="T90">
        <v>20444873.873873875</v>
      </c>
      <c r="U90">
        <v>19377477.47747748</v>
      </c>
      <c r="V90">
        <v>19099909.909909908</v>
      </c>
      <c r="W90">
        <v>4819</v>
      </c>
      <c r="X90">
        <v>4498</v>
      </c>
    </row>
    <row r="91" spans="1:24">
      <c r="A91" s="7" t="s">
        <v>175</v>
      </c>
      <c r="B91" s="16" t="s">
        <v>174</v>
      </c>
      <c r="C91">
        <v>262138168.48565805</v>
      </c>
      <c r="D91">
        <v>264262928.60515991</v>
      </c>
      <c r="E91">
        <v>677477.47747748299</v>
      </c>
      <c r="F91">
        <v>1558333.3333333349</v>
      </c>
      <c r="G91">
        <v>110</v>
      </c>
      <c r="H91">
        <v>107</v>
      </c>
      <c r="I91">
        <v>24</v>
      </c>
      <c r="J91">
        <v>6</v>
      </c>
      <c r="K91">
        <v>1</v>
      </c>
      <c r="M91">
        <v>135</v>
      </c>
      <c r="N91">
        <v>153</v>
      </c>
      <c r="O91">
        <v>45905405.40540541</v>
      </c>
      <c r="P91">
        <v>31090540.540540535</v>
      </c>
      <c r="Q91">
        <v>366</v>
      </c>
      <c r="R91">
        <v>3</v>
      </c>
      <c r="S91">
        <v>47032726.126126125</v>
      </c>
      <c r="T91">
        <v>44100144.144144148</v>
      </c>
      <c r="U91">
        <v>38943509.909909911</v>
      </c>
      <c r="V91">
        <v>25285765.765765764</v>
      </c>
      <c r="W91">
        <v>8484</v>
      </c>
      <c r="X91">
        <v>8552</v>
      </c>
    </row>
    <row r="92" spans="1:24">
      <c r="A92" s="7" t="s">
        <v>176</v>
      </c>
      <c r="B92" s="16" t="s">
        <v>174</v>
      </c>
      <c r="C92">
        <v>356750581.68443757</v>
      </c>
      <c r="D92">
        <v>357687455.43321472</v>
      </c>
      <c r="E92">
        <v>117163489.18918918</v>
      </c>
      <c r="F92">
        <v>81007702.702702701</v>
      </c>
      <c r="G92">
        <v>173</v>
      </c>
      <c r="H92">
        <v>162</v>
      </c>
      <c r="I92">
        <v>18</v>
      </c>
      <c r="J92">
        <v>11</v>
      </c>
      <c r="K92">
        <v>4</v>
      </c>
      <c r="M92">
        <v>234</v>
      </c>
      <c r="N92">
        <v>219</v>
      </c>
      <c r="O92">
        <v>62230187.387387387</v>
      </c>
      <c r="P92">
        <v>49937837.837837838</v>
      </c>
      <c r="Q92">
        <v>372</v>
      </c>
      <c r="R92">
        <v>7</v>
      </c>
      <c r="S92">
        <v>61466725.225225225</v>
      </c>
      <c r="T92">
        <v>53708509.009009011</v>
      </c>
      <c r="U92">
        <v>35828918.918918923</v>
      </c>
      <c r="V92">
        <v>28691261.261261258</v>
      </c>
      <c r="W92">
        <v>11234</v>
      </c>
      <c r="X92">
        <v>11824</v>
      </c>
    </row>
    <row r="93" spans="1:24">
      <c r="A93" s="7" t="s">
        <v>177</v>
      </c>
      <c r="B93" s="16" t="s">
        <v>178</v>
      </c>
      <c r="C93">
        <v>126036652.34127395</v>
      </c>
      <c r="D93">
        <v>118846916.91086964</v>
      </c>
      <c r="E93">
        <v>541441.441441442</v>
      </c>
      <c r="F93">
        <v>252252.25225225301</v>
      </c>
      <c r="G93">
        <v>39</v>
      </c>
      <c r="H93">
        <v>17</v>
      </c>
      <c r="I93">
        <v>0</v>
      </c>
      <c r="J93">
        <v>4</v>
      </c>
      <c r="M93">
        <v>47</v>
      </c>
      <c r="N93">
        <v>23</v>
      </c>
      <c r="O93">
        <v>6184770.2702702694</v>
      </c>
      <c r="P93">
        <v>9368693.6936936919</v>
      </c>
      <c r="Q93">
        <v>6</v>
      </c>
      <c r="R93">
        <v>12</v>
      </c>
      <c r="S93">
        <v>43309684.684684686</v>
      </c>
      <c r="T93">
        <v>48861836.036036029</v>
      </c>
      <c r="U93">
        <v>4510270.2702702703</v>
      </c>
      <c r="V93">
        <v>8779054.0540540535</v>
      </c>
      <c r="W93">
        <v>3561</v>
      </c>
      <c r="X93">
        <v>3710</v>
      </c>
    </row>
    <row r="94" spans="1:24">
      <c r="A94" s="7" t="s">
        <v>179</v>
      </c>
      <c r="B94" s="16" t="s">
        <v>167</v>
      </c>
      <c r="C94">
        <v>161558333.66369206</v>
      </c>
      <c r="D94">
        <v>138783207.54089123</v>
      </c>
      <c r="E94">
        <v>341441.441441442</v>
      </c>
      <c r="F94">
        <v>1774549.5495495501</v>
      </c>
      <c r="G94">
        <v>57</v>
      </c>
      <c r="H94">
        <v>22</v>
      </c>
      <c r="I94">
        <v>1</v>
      </c>
      <c r="J94">
        <v>3</v>
      </c>
      <c r="M94">
        <v>69</v>
      </c>
      <c r="N94">
        <v>35</v>
      </c>
      <c r="O94">
        <v>6049909.9099099096</v>
      </c>
      <c r="P94">
        <v>3296396.396396399</v>
      </c>
      <c r="Q94">
        <v>43</v>
      </c>
      <c r="S94">
        <v>39762234.234234229</v>
      </c>
      <c r="T94">
        <v>35434738.738738738</v>
      </c>
      <c r="U94">
        <v>7575585.5855855877</v>
      </c>
      <c r="V94">
        <v>1393513.513513515</v>
      </c>
      <c r="W94">
        <v>4613</v>
      </c>
      <c r="X94">
        <v>4388</v>
      </c>
    </row>
    <row r="95" spans="1:24">
      <c r="A95" s="7" t="s">
        <v>180</v>
      </c>
      <c r="B95" s="16" t="s">
        <v>181</v>
      </c>
      <c r="C95">
        <v>120767635.50192386</v>
      </c>
      <c r="D95">
        <v>113943937.89924735</v>
      </c>
      <c r="E95">
        <v>4504.5045045050001</v>
      </c>
      <c r="F95">
        <v>297297.29729729798</v>
      </c>
      <c r="G95">
        <v>15</v>
      </c>
      <c r="H95">
        <v>22</v>
      </c>
      <c r="I95">
        <v>1</v>
      </c>
      <c r="J95">
        <v>1</v>
      </c>
      <c r="M95">
        <v>16</v>
      </c>
      <c r="N95">
        <v>23</v>
      </c>
      <c r="O95">
        <v>8532882.8828828838</v>
      </c>
      <c r="P95">
        <v>4009009.0090090078</v>
      </c>
      <c r="Q95">
        <v>44</v>
      </c>
      <c r="R95">
        <v>55</v>
      </c>
      <c r="S95">
        <v>25150270.270270273</v>
      </c>
      <c r="T95">
        <v>28637750</v>
      </c>
      <c r="U95">
        <v>9584684.6846846845</v>
      </c>
      <c r="V95">
        <v>7456936.9369369363</v>
      </c>
      <c r="W95">
        <v>3042</v>
      </c>
      <c r="X95">
        <v>3103</v>
      </c>
    </row>
    <row r="96" spans="1:24">
      <c r="A96" s="7" t="s">
        <v>669</v>
      </c>
      <c r="B96" s="16" t="s">
        <v>68</v>
      </c>
      <c r="X96">
        <v>1</v>
      </c>
    </row>
    <row r="97" spans="1:24">
      <c r="A97" s="7" t="s">
        <v>182</v>
      </c>
      <c r="B97" s="16" t="s">
        <v>94</v>
      </c>
      <c r="C97">
        <v>100378646.96610956</v>
      </c>
      <c r="D97">
        <v>113748730.64327689</v>
      </c>
      <c r="E97">
        <v>141441.44144144101</v>
      </c>
      <c r="F97">
        <v>27027.027027028002</v>
      </c>
      <c r="G97">
        <v>37</v>
      </c>
      <c r="H97">
        <v>36</v>
      </c>
      <c r="I97">
        <v>0</v>
      </c>
      <c r="J97">
        <v>0</v>
      </c>
      <c r="M97">
        <v>43</v>
      </c>
      <c r="N97">
        <v>46</v>
      </c>
      <c r="O97">
        <v>141441.44144144101</v>
      </c>
      <c r="P97">
        <v>4450450.4504504493</v>
      </c>
      <c r="R97">
        <v>17</v>
      </c>
      <c r="S97">
        <v>8756666.6666666679</v>
      </c>
      <c r="T97">
        <v>12300711.711711712</v>
      </c>
      <c r="U97">
        <v>594594.59459459502</v>
      </c>
      <c r="V97">
        <v>1382522.5225225231</v>
      </c>
      <c r="W97">
        <v>3735</v>
      </c>
      <c r="X97">
        <v>3697</v>
      </c>
    </row>
    <row r="98" spans="1:24">
      <c r="A98" s="7" t="s">
        <v>183</v>
      </c>
      <c r="B98" s="16" t="s">
        <v>94</v>
      </c>
      <c r="C98">
        <v>723323498.66180313</v>
      </c>
      <c r="D98">
        <v>694161262.45730436</v>
      </c>
      <c r="E98">
        <v>544079278.37837839</v>
      </c>
      <c r="F98">
        <v>961823898.1981982</v>
      </c>
      <c r="G98">
        <v>167</v>
      </c>
      <c r="H98">
        <v>136</v>
      </c>
      <c r="I98">
        <v>27</v>
      </c>
      <c r="J98">
        <v>22</v>
      </c>
      <c r="K98">
        <v>1</v>
      </c>
      <c r="M98">
        <v>196</v>
      </c>
      <c r="N98">
        <v>178</v>
      </c>
      <c r="O98">
        <v>40503153.153153151</v>
      </c>
      <c r="P98">
        <v>44199549.549549542</v>
      </c>
      <c r="Q98">
        <v>88</v>
      </c>
      <c r="R98">
        <v>528</v>
      </c>
      <c r="S98">
        <v>82403445.945945948</v>
      </c>
      <c r="T98">
        <v>85710006.756756753</v>
      </c>
      <c r="U98">
        <v>33662342.342342347</v>
      </c>
      <c r="V98">
        <v>39650810.810810819</v>
      </c>
      <c r="W98">
        <v>16187</v>
      </c>
      <c r="X98">
        <v>16295</v>
      </c>
    </row>
    <row r="99" spans="1:24">
      <c r="A99" s="7" t="s">
        <v>184</v>
      </c>
      <c r="B99" s="16" t="s">
        <v>89</v>
      </c>
      <c r="C99">
        <v>63821716.916944705</v>
      </c>
      <c r="D99">
        <v>61662645.483079962</v>
      </c>
      <c r="E99">
        <v>731981.98198198201</v>
      </c>
      <c r="F99">
        <v>629504.50450450496</v>
      </c>
      <c r="G99">
        <v>10</v>
      </c>
      <c r="H99">
        <v>16</v>
      </c>
      <c r="I99">
        <v>2</v>
      </c>
      <c r="J99">
        <v>4</v>
      </c>
      <c r="M99">
        <v>12</v>
      </c>
      <c r="N99">
        <v>18</v>
      </c>
      <c r="O99">
        <v>2520270.2702702698</v>
      </c>
      <c r="P99">
        <v>3092252.2522522509</v>
      </c>
      <c r="Q99">
        <v>31</v>
      </c>
      <c r="R99">
        <v>37</v>
      </c>
      <c r="S99">
        <v>19976081.081081081</v>
      </c>
      <c r="T99">
        <v>20649036.036036037</v>
      </c>
      <c r="U99">
        <v>2479909.909909911</v>
      </c>
      <c r="V99">
        <v>2645495.4954954968</v>
      </c>
      <c r="W99">
        <v>1802</v>
      </c>
      <c r="X99">
        <v>1595</v>
      </c>
    </row>
    <row r="100" spans="1:24">
      <c r="A100" s="7" t="s">
        <v>185</v>
      </c>
      <c r="B100" s="16" t="s">
        <v>60</v>
      </c>
      <c r="C100">
        <v>35287337.592702463</v>
      </c>
      <c r="D100">
        <v>36714484.258591339</v>
      </c>
      <c r="E100">
        <v>360360.36036036001</v>
      </c>
      <c r="F100">
        <v>248648.64864865001</v>
      </c>
      <c r="G100">
        <v>5</v>
      </c>
      <c r="H100">
        <v>10</v>
      </c>
      <c r="I100">
        <v>1</v>
      </c>
      <c r="J100">
        <v>3</v>
      </c>
      <c r="M100">
        <v>5</v>
      </c>
      <c r="N100">
        <v>11</v>
      </c>
      <c r="O100">
        <v>2125675.6756756762</v>
      </c>
      <c r="P100">
        <v>924324.32432432601</v>
      </c>
      <c r="Q100">
        <v>13</v>
      </c>
      <c r="S100">
        <v>12828333.333333332</v>
      </c>
      <c r="T100">
        <v>12708443.693693694</v>
      </c>
      <c r="U100">
        <v>1686486.486486485</v>
      </c>
      <c r="V100">
        <v>574774.77477477503</v>
      </c>
      <c r="W100">
        <v>398</v>
      </c>
      <c r="X100">
        <v>1533</v>
      </c>
    </row>
    <row r="101" spans="1:24">
      <c r="A101" s="7" t="s">
        <v>186</v>
      </c>
      <c r="B101" s="16" t="s">
        <v>167</v>
      </c>
      <c r="C101">
        <v>86589280.634511203</v>
      </c>
      <c r="D101">
        <v>92494192.572075099</v>
      </c>
      <c r="E101">
        <v>7207.207207208</v>
      </c>
      <c r="F101">
        <v>1630405.4054054059</v>
      </c>
      <c r="G101">
        <v>16</v>
      </c>
      <c r="H101">
        <v>3</v>
      </c>
      <c r="I101">
        <v>2</v>
      </c>
      <c r="J101">
        <v>5</v>
      </c>
      <c r="M101">
        <v>26</v>
      </c>
      <c r="N101">
        <v>5</v>
      </c>
      <c r="O101">
        <v>268468.468468468</v>
      </c>
      <c r="P101">
        <v>1671171.1711711721</v>
      </c>
      <c r="S101">
        <v>21859369.369369369</v>
      </c>
      <c r="T101">
        <v>24823630.630630631</v>
      </c>
      <c r="U101">
        <v>396396.39639639598</v>
      </c>
      <c r="V101">
        <v>268828.82882882899</v>
      </c>
      <c r="W101">
        <v>2723</v>
      </c>
      <c r="X101">
        <v>2708</v>
      </c>
    </row>
    <row r="102" spans="1:24">
      <c r="A102" s="7" t="s">
        <v>187</v>
      </c>
      <c r="B102" s="16" t="s">
        <v>167</v>
      </c>
      <c r="C102">
        <v>259960486.44395927</v>
      </c>
      <c r="D102">
        <v>244222540.21287853</v>
      </c>
      <c r="E102">
        <v>20720.720720722002</v>
      </c>
      <c r="F102">
        <v>433333.33333333698</v>
      </c>
      <c r="G102">
        <v>68</v>
      </c>
      <c r="H102">
        <v>26</v>
      </c>
      <c r="I102">
        <v>3</v>
      </c>
      <c r="J102">
        <v>6</v>
      </c>
      <c r="M102">
        <v>75</v>
      </c>
      <c r="N102">
        <v>27</v>
      </c>
      <c r="O102">
        <v>7110810.8108108127</v>
      </c>
      <c r="P102">
        <v>9803184.6846846864</v>
      </c>
      <c r="Q102">
        <v>30</v>
      </c>
      <c r="R102">
        <v>15</v>
      </c>
      <c r="S102">
        <v>51349243.24324324</v>
      </c>
      <c r="T102">
        <v>49616450.45045045</v>
      </c>
      <c r="U102">
        <v>7139819.8198198192</v>
      </c>
      <c r="V102">
        <v>6906396.3963964013</v>
      </c>
      <c r="W102">
        <v>5740</v>
      </c>
      <c r="X102">
        <v>5069</v>
      </c>
    </row>
    <row r="103" spans="1:24">
      <c r="A103" s="7" t="s">
        <v>188</v>
      </c>
      <c r="B103" s="16" t="s">
        <v>189</v>
      </c>
      <c r="C103">
        <v>113816291.21942666</v>
      </c>
      <c r="D103">
        <v>109172888.69440627</v>
      </c>
      <c r="E103">
        <v>630630.630630631</v>
      </c>
      <c r="F103">
        <v>270270.27027027</v>
      </c>
      <c r="G103">
        <v>14</v>
      </c>
      <c r="H103">
        <v>19</v>
      </c>
      <c r="M103">
        <v>16</v>
      </c>
      <c r="N103">
        <v>19</v>
      </c>
      <c r="O103">
        <v>1981981.981981982</v>
      </c>
      <c r="P103">
        <v>1621621.621621622</v>
      </c>
      <c r="S103">
        <v>9218558.5585585572</v>
      </c>
      <c r="T103">
        <v>7572738.7387387389</v>
      </c>
      <c r="U103">
        <v>2075225.2252252251</v>
      </c>
      <c r="V103">
        <v>1169819.8198198201</v>
      </c>
      <c r="W103">
        <v>1724</v>
      </c>
      <c r="X103">
        <v>1704</v>
      </c>
    </row>
    <row r="104" spans="1:24">
      <c r="A104" s="7" t="s">
        <v>190</v>
      </c>
      <c r="B104" s="16" t="s">
        <v>134</v>
      </c>
      <c r="C104">
        <v>25018253.736542132</v>
      </c>
      <c r="D104">
        <v>26290485.416296791</v>
      </c>
      <c r="F104">
        <v>13513.513513514001</v>
      </c>
      <c r="G104">
        <v>13</v>
      </c>
      <c r="H104">
        <v>17</v>
      </c>
      <c r="J104">
        <v>0</v>
      </c>
      <c r="M104">
        <v>13</v>
      </c>
      <c r="N104">
        <v>18</v>
      </c>
      <c r="O104">
        <v>45045.045045045001</v>
      </c>
      <c r="P104">
        <v>13513.513513514001</v>
      </c>
      <c r="Q104">
        <v>5</v>
      </c>
      <c r="R104">
        <v>1</v>
      </c>
      <c r="S104">
        <v>2351306.3063063058</v>
      </c>
      <c r="T104">
        <v>2034594.5945945941</v>
      </c>
      <c r="U104">
        <v>45045.045045045001</v>
      </c>
      <c r="V104">
        <v>121621.62162162201</v>
      </c>
      <c r="W104">
        <v>1288</v>
      </c>
      <c r="X104">
        <v>952</v>
      </c>
    </row>
    <row r="105" spans="1:24">
      <c r="A105" s="7" t="s">
        <v>191</v>
      </c>
      <c r="B105" s="16" t="s">
        <v>60</v>
      </c>
      <c r="C105">
        <v>163936466.79850221</v>
      </c>
      <c r="D105">
        <v>154437876.62061155</v>
      </c>
      <c r="E105">
        <v>37344144.144144148</v>
      </c>
      <c r="F105">
        <v>31017792.792792793</v>
      </c>
      <c r="G105">
        <v>40</v>
      </c>
      <c r="H105">
        <v>18</v>
      </c>
      <c r="I105">
        <v>3</v>
      </c>
      <c r="J105">
        <v>10</v>
      </c>
      <c r="M105">
        <v>61</v>
      </c>
      <c r="N105">
        <v>49</v>
      </c>
      <c r="O105">
        <v>15867567.567567568</v>
      </c>
      <c r="P105">
        <v>13378378.37837838</v>
      </c>
      <c r="Q105">
        <v>72</v>
      </c>
      <c r="R105">
        <v>71</v>
      </c>
      <c r="S105">
        <v>54179261.261261262</v>
      </c>
      <c r="T105">
        <v>51080657.657657653</v>
      </c>
      <c r="U105">
        <v>13230090.090090089</v>
      </c>
      <c r="V105">
        <v>12322702.702702705</v>
      </c>
      <c r="W105">
        <v>3983</v>
      </c>
      <c r="X105">
        <v>3849</v>
      </c>
    </row>
    <row r="106" spans="1:24">
      <c r="A106" s="7" t="s">
        <v>192</v>
      </c>
      <c r="B106" s="16" t="s">
        <v>60</v>
      </c>
      <c r="C106">
        <v>280196591.96708202</v>
      </c>
      <c r="D106">
        <v>264012578.96943885</v>
      </c>
      <c r="E106">
        <v>2080180.1801801799</v>
      </c>
      <c r="F106">
        <v>2111711.7117117131</v>
      </c>
      <c r="G106">
        <v>51</v>
      </c>
      <c r="H106">
        <v>25</v>
      </c>
      <c r="I106">
        <v>3</v>
      </c>
      <c r="J106">
        <v>6</v>
      </c>
      <c r="M106">
        <v>56</v>
      </c>
      <c r="N106">
        <v>32</v>
      </c>
      <c r="O106">
        <v>11697297.297297295</v>
      </c>
      <c r="P106">
        <v>15327927.927927928</v>
      </c>
      <c r="Q106">
        <v>56</v>
      </c>
      <c r="R106">
        <v>51</v>
      </c>
      <c r="S106">
        <v>64916621.621621616</v>
      </c>
      <c r="T106">
        <v>65575072.072072074</v>
      </c>
      <c r="U106">
        <v>10948378.37837838</v>
      </c>
      <c r="V106">
        <v>13736756.756756758</v>
      </c>
      <c r="W106">
        <v>6542</v>
      </c>
      <c r="X106">
        <v>6573</v>
      </c>
    </row>
    <row r="107" spans="1:24">
      <c r="A107" s="7" t="s">
        <v>2</v>
      </c>
      <c r="B107" s="16" t="s">
        <v>193</v>
      </c>
      <c r="C107">
        <v>37189318.951083601</v>
      </c>
      <c r="D107">
        <v>27139179.224301364</v>
      </c>
      <c r="E107">
        <v>57657.657657657001</v>
      </c>
      <c r="F107">
        <v>40540.540540542002</v>
      </c>
      <c r="G107">
        <v>8</v>
      </c>
      <c r="H107">
        <v>4</v>
      </c>
      <c r="I107">
        <v>3</v>
      </c>
      <c r="J107">
        <v>0</v>
      </c>
      <c r="M107">
        <v>8</v>
      </c>
      <c r="N107">
        <v>4</v>
      </c>
      <c r="O107">
        <v>324324.32432432403</v>
      </c>
      <c r="P107">
        <v>40540.540540542002</v>
      </c>
      <c r="Q107">
        <v>6</v>
      </c>
      <c r="S107">
        <v>19415720.72072072</v>
      </c>
      <c r="T107">
        <v>15655351.351351352</v>
      </c>
      <c r="U107">
        <v>266666.66666666698</v>
      </c>
      <c r="V107">
        <v>157657.65765765801</v>
      </c>
      <c r="W107">
        <v>1345</v>
      </c>
      <c r="X107">
        <v>1064</v>
      </c>
    </row>
    <row r="108" spans="1:24">
      <c r="A108" s="7" t="s">
        <v>194</v>
      </c>
      <c r="B108" s="16" t="s">
        <v>195</v>
      </c>
      <c r="C108">
        <v>930132307.06775856</v>
      </c>
      <c r="D108">
        <v>949561692.96130288</v>
      </c>
      <c r="E108">
        <v>30592567.567567568</v>
      </c>
      <c r="F108">
        <v>6353828.8288288303</v>
      </c>
      <c r="G108">
        <v>204</v>
      </c>
      <c r="H108">
        <v>241</v>
      </c>
      <c r="I108">
        <v>3</v>
      </c>
      <c r="J108">
        <v>10</v>
      </c>
      <c r="M108">
        <v>237</v>
      </c>
      <c r="N108">
        <v>323</v>
      </c>
      <c r="O108">
        <v>35504504.504504502</v>
      </c>
      <c r="P108">
        <v>41043243.24324324</v>
      </c>
      <c r="Q108">
        <v>87</v>
      </c>
      <c r="R108">
        <v>21</v>
      </c>
      <c r="S108">
        <v>166202693.6936937</v>
      </c>
      <c r="T108">
        <v>184898756.75675678</v>
      </c>
      <c r="U108">
        <v>36689009.009009011</v>
      </c>
      <c r="V108">
        <v>34016846.846846849</v>
      </c>
      <c r="W108">
        <v>17999</v>
      </c>
      <c r="X108">
        <v>19155</v>
      </c>
    </row>
    <row r="109" spans="1:24">
      <c r="A109" s="7" t="s">
        <v>196</v>
      </c>
      <c r="B109" s="16" t="s">
        <v>80</v>
      </c>
      <c r="C109">
        <v>291083932.09852284</v>
      </c>
      <c r="D109">
        <v>288968443.96793252</v>
      </c>
      <c r="E109">
        <v>229729.729729732</v>
      </c>
      <c r="F109">
        <v>1525225.225225226</v>
      </c>
      <c r="G109">
        <v>72</v>
      </c>
      <c r="H109">
        <v>65</v>
      </c>
      <c r="I109">
        <v>13</v>
      </c>
      <c r="J109">
        <v>10</v>
      </c>
      <c r="M109">
        <v>77</v>
      </c>
      <c r="N109">
        <v>72</v>
      </c>
      <c r="O109">
        <v>38728828.828828834</v>
      </c>
      <c r="P109">
        <v>35714414.414414413</v>
      </c>
      <c r="Q109">
        <v>123</v>
      </c>
      <c r="R109">
        <v>278</v>
      </c>
      <c r="S109">
        <v>75756836.036036029</v>
      </c>
      <c r="T109">
        <v>78907279.279279277</v>
      </c>
      <c r="U109">
        <v>38574637.837837838</v>
      </c>
      <c r="V109">
        <v>38526036.036036029</v>
      </c>
      <c r="W109">
        <v>6719</v>
      </c>
      <c r="X109">
        <v>6543</v>
      </c>
    </row>
    <row r="110" spans="1:24">
      <c r="A110" s="7" t="s">
        <v>197</v>
      </c>
      <c r="B110" s="16" t="s">
        <v>108</v>
      </c>
      <c r="C110">
        <v>221246232.595007</v>
      </c>
      <c r="D110">
        <v>231669489.76623744</v>
      </c>
      <c r="E110">
        <v>923693.69369369606</v>
      </c>
      <c r="F110">
        <v>2073873.8738738729</v>
      </c>
      <c r="G110">
        <v>63</v>
      </c>
      <c r="H110">
        <v>79</v>
      </c>
      <c r="I110">
        <v>2</v>
      </c>
      <c r="J110">
        <v>6</v>
      </c>
      <c r="M110">
        <v>75</v>
      </c>
      <c r="N110">
        <v>92</v>
      </c>
      <c r="O110">
        <v>16196216.216216216</v>
      </c>
      <c r="P110">
        <v>12840540.540540539</v>
      </c>
      <c r="Q110">
        <v>178</v>
      </c>
      <c r="R110">
        <v>68</v>
      </c>
      <c r="S110">
        <v>64339819.819819815</v>
      </c>
      <c r="T110">
        <v>72042270.270270273</v>
      </c>
      <c r="U110">
        <v>15767837.837837836</v>
      </c>
      <c r="V110">
        <v>11569639.639639638</v>
      </c>
      <c r="W110">
        <v>7025</v>
      </c>
      <c r="X110">
        <v>7183</v>
      </c>
    </row>
    <row r="111" spans="1:24">
      <c r="A111" s="7" t="s">
        <v>198</v>
      </c>
      <c r="B111" s="16" t="s">
        <v>92</v>
      </c>
      <c r="C111">
        <v>126201092.71021754</v>
      </c>
      <c r="D111">
        <v>123266776.16954769</v>
      </c>
      <c r="E111">
        <v>2764144.1441441458</v>
      </c>
      <c r="F111">
        <v>4040540.540540542</v>
      </c>
      <c r="G111">
        <v>28</v>
      </c>
      <c r="H111">
        <v>151</v>
      </c>
      <c r="I111">
        <v>6</v>
      </c>
      <c r="J111">
        <v>4</v>
      </c>
      <c r="M111">
        <v>28</v>
      </c>
      <c r="N111">
        <v>238</v>
      </c>
      <c r="O111">
        <v>16944684.684684683</v>
      </c>
      <c r="P111">
        <v>32659909.909909908</v>
      </c>
      <c r="Q111">
        <v>59</v>
      </c>
      <c r="R111">
        <v>144</v>
      </c>
      <c r="S111">
        <v>32527612.612612613</v>
      </c>
      <c r="T111">
        <v>33852666.666666664</v>
      </c>
      <c r="U111">
        <v>16919369.369369369</v>
      </c>
      <c r="V111">
        <v>32166666.666666664</v>
      </c>
      <c r="W111">
        <v>2865</v>
      </c>
      <c r="X111">
        <v>2762</v>
      </c>
    </row>
    <row r="112" spans="1:24">
      <c r="A112" s="7" t="s">
        <v>199</v>
      </c>
      <c r="B112" s="16" t="s">
        <v>123</v>
      </c>
      <c r="C112">
        <v>124443318.30926037</v>
      </c>
      <c r="D112">
        <v>113117534.92161936</v>
      </c>
      <c r="E112">
        <v>490090.09009009099</v>
      </c>
      <c r="F112">
        <v>105405.405405406</v>
      </c>
      <c r="G112">
        <v>55</v>
      </c>
      <c r="H112">
        <v>23</v>
      </c>
      <c r="I112">
        <v>2</v>
      </c>
      <c r="J112">
        <v>1</v>
      </c>
      <c r="M112">
        <v>58</v>
      </c>
      <c r="N112">
        <v>25</v>
      </c>
      <c r="O112">
        <v>6864864.8648648653</v>
      </c>
      <c r="P112">
        <v>2332612.612612613</v>
      </c>
      <c r="Q112">
        <v>10</v>
      </c>
      <c r="R112">
        <v>4</v>
      </c>
      <c r="S112">
        <v>25406621.621621624</v>
      </c>
      <c r="T112">
        <v>20077171.171171173</v>
      </c>
      <c r="U112">
        <v>4963063.0630630627</v>
      </c>
      <c r="V112">
        <v>3317207.2072072071</v>
      </c>
      <c r="W112">
        <v>2588</v>
      </c>
      <c r="X112">
        <v>2532</v>
      </c>
    </row>
    <row r="113" spans="1:24">
      <c r="A113" s="7" t="s">
        <v>200</v>
      </c>
      <c r="B113" s="16" t="s">
        <v>60</v>
      </c>
      <c r="C113">
        <v>83720671.279887229</v>
      </c>
      <c r="D113">
        <v>81542561.849578634</v>
      </c>
      <c r="E113">
        <v>53153.153153154002</v>
      </c>
      <c r="F113">
        <v>1395495.4954954961</v>
      </c>
      <c r="G113">
        <v>20</v>
      </c>
      <c r="H113">
        <v>16</v>
      </c>
      <c r="I113">
        <v>2</v>
      </c>
      <c r="J113">
        <v>2</v>
      </c>
      <c r="M113">
        <v>28</v>
      </c>
      <c r="N113">
        <v>17</v>
      </c>
      <c r="O113">
        <v>10179279.279279277</v>
      </c>
      <c r="P113">
        <v>10278378.37837838</v>
      </c>
      <c r="Q113">
        <v>105</v>
      </c>
      <c r="R113">
        <v>76</v>
      </c>
      <c r="S113">
        <v>13825531.531531531</v>
      </c>
      <c r="T113">
        <v>15354743.243243244</v>
      </c>
      <c r="U113">
        <v>7906756.7567567546</v>
      </c>
      <c r="V113">
        <v>6093783.7837837851</v>
      </c>
      <c r="W113">
        <v>3532</v>
      </c>
      <c r="X113">
        <v>3556</v>
      </c>
    </row>
    <row r="114" spans="1:24">
      <c r="A114" s="7" t="s">
        <v>201</v>
      </c>
      <c r="B114" s="16" t="s">
        <v>60</v>
      </c>
      <c r="C114">
        <v>28217596.140605506</v>
      </c>
      <c r="D114">
        <v>27423058.952644039</v>
      </c>
      <c r="E114">
        <v>222702.70270270301</v>
      </c>
      <c r="F114">
        <v>5405.4054054050002</v>
      </c>
      <c r="G114">
        <v>9</v>
      </c>
      <c r="H114">
        <v>8</v>
      </c>
      <c r="I114">
        <v>2</v>
      </c>
      <c r="J114">
        <v>0</v>
      </c>
      <c r="M114">
        <v>9</v>
      </c>
      <c r="N114">
        <v>10</v>
      </c>
      <c r="O114">
        <v>2060540.5405405411</v>
      </c>
      <c r="P114">
        <v>1527927.9279279271</v>
      </c>
      <c r="Q114">
        <v>23</v>
      </c>
      <c r="R114">
        <v>19</v>
      </c>
      <c r="S114">
        <v>5733558.558558559</v>
      </c>
      <c r="T114">
        <v>5063135.1351351347</v>
      </c>
      <c r="U114">
        <v>1463963.963963964</v>
      </c>
      <c r="V114">
        <v>443243.24324324302</v>
      </c>
      <c r="W114">
        <v>1090</v>
      </c>
      <c r="X114">
        <v>1139</v>
      </c>
    </row>
    <row r="115" spans="1:24">
      <c r="A115" s="7" t="s">
        <v>202</v>
      </c>
      <c r="B115" s="16" t="s">
        <v>121</v>
      </c>
      <c r="C115">
        <v>57414970.10828685</v>
      </c>
      <c r="D115">
        <v>53540702.10510163</v>
      </c>
      <c r="E115">
        <v>118918.91891891899</v>
      </c>
      <c r="F115">
        <v>288288.28828828898</v>
      </c>
      <c r="G115">
        <v>37</v>
      </c>
      <c r="H115">
        <v>33</v>
      </c>
      <c r="I115">
        <v>5</v>
      </c>
      <c r="J115">
        <v>3</v>
      </c>
      <c r="M115">
        <v>42</v>
      </c>
      <c r="N115">
        <v>38</v>
      </c>
      <c r="O115">
        <v>317117.11711711698</v>
      </c>
      <c r="P115">
        <v>630630.630630631</v>
      </c>
      <c r="Q115">
        <v>6</v>
      </c>
      <c r="S115">
        <v>5461576.5765765756</v>
      </c>
      <c r="T115">
        <v>5000207.2072072066</v>
      </c>
      <c r="U115">
        <v>317747.74774774798</v>
      </c>
      <c r="V115">
        <v>337837.83783783799</v>
      </c>
      <c r="W115">
        <v>1509</v>
      </c>
      <c r="X115">
        <v>1441</v>
      </c>
    </row>
    <row r="116" spans="1:24">
      <c r="A116" s="7" t="s">
        <v>203</v>
      </c>
      <c r="B116" s="16" t="s">
        <v>54</v>
      </c>
      <c r="C116">
        <v>88493003.434647158</v>
      </c>
      <c r="D116">
        <v>84763544.609646186</v>
      </c>
      <c r="E116">
        <v>457657.65765765798</v>
      </c>
      <c r="F116">
        <v>343243.24324324401</v>
      </c>
      <c r="G116">
        <v>19</v>
      </c>
      <c r="H116">
        <v>22</v>
      </c>
      <c r="I116">
        <v>2</v>
      </c>
      <c r="J116">
        <v>3</v>
      </c>
      <c r="M116">
        <v>22</v>
      </c>
      <c r="N116">
        <v>22</v>
      </c>
      <c r="O116">
        <v>5232432.4324324317</v>
      </c>
      <c r="P116">
        <v>5149549.5495495489</v>
      </c>
      <c r="Q116">
        <v>37</v>
      </c>
      <c r="R116">
        <v>45</v>
      </c>
      <c r="S116">
        <v>22791666.666666664</v>
      </c>
      <c r="T116">
        <v>21511027.02702703</v>
      </c>
      <c r="U116">
        <v>4846576.5765765766</v>
      </c>
      <c r="V116">
        <v>4336576.5765765766</v>
      </c>
      <c r="W116">
        <v>3813</v>
      </c>
      <c r="X116">
        <v>3841</v>
      </c>
    </row>
    <row r="117" spans="1:24">
      <c r="A117" s="7" t="s">
        <v>204</v>
      </c>
      <c r="B117" s="16" t="s">
        <v>136</v>
      </c>
      <c r="C117">
        <v>343370012.16939986</v>
      </c>
      <c r="D117">
        <v>305705496.90825802</v>
      </c>
      <c r="E117">
        <v>267117.11711711698</v>
      </c>
      <c r="F117">
        <v>555855.85585585702</v>
      </c>
      <c r="G117">
        <v>83</v>
      </c>
      <c r="H117">
        <v>38</v>
      </c>
      <c r="I117">
        <v>8</v>
      </c>
      <c r="J117">
        <v>9</v>
      </c>
      <c r="M117">
        <v>89</v>
      </c>
      <c r="N117">
        <v>44</v>
      </c>
      <c r="O117">
        <v>36952882.882882886</v>
      </c>
      <c r="P117">
        <v>26015315.315315314</v>
      </c>
      <c r="Q117">
        <v>77</v>
      </c>
      <c r="R117">
        <v>95</v>
      </c>
      <c r="S117">
        <v>56908873.873873875</v>
      </c>
      <c r="T117">
        <v>54454684.684684686</v>
      </c>
      <c r="U117">
        <v>31563153.153153159</v>
      </c>
      <c r="V117">
        <v>22699639.639639635</v>
      </c>
      <c r="W117">
        <v>5910</v>
      </c>
      <c r="X117">
        <v>5874</v>
      </c>
    </row>
    <row r="118" spans="1:24">
      <c r="A118" s="7" t="s">
        <v>205</v>
      </c>
      <c r="B118" s="16" t="s">
        <v>136</v>
      </c>
      <c r="C118">
        <v>165744401.76048839</v>
      </c>
      <c r="D118">
        <v>156585218.38383159</v>
      </c>
      <c r="E118">
        <v>277477.47747747699</v>
      </c>
      <c r="F118">
        <v>358558.55855855899</v>
      </c>
      <c r="G118">
        <v>44</v>
      </c>
      <c r="H118">
        <v>24</v>
      </c>
      <c r="I118">
        <v>5</v>
      </c>
      <c r="J118">
        <v>1</v>
      </c>
      <c r="M118">
        <v>52</v>
      </c>
      <c r="N118">
        <v>31</v>
      </c>
      <c r="O118">
        <v>7256756.7567567574</v>
      </c>
      <c r="P118">
        <v>5025225.2252252242</v>
      </c>
      <c r="Q118">
        <v>52</v>
      </c>
      <c r="R118">
        <v>26</v>
      </c>
      <c r="S118">
        <v>28568378.37837838</v>
      </c>
      <c r="T118">
        <v>30435025.225225225</v>
      </c>
      <c r="U118">
        <v>5710090.0900900913</v>
      </c>
      <c r="V118">
        <v>2971981.981981982</v>
      </c>
      <c r="W118">
        <v>3208</v>
      </c>
      <c r="X118">
        <v>3069</v>
      </c>
    </row>
    <row r="119" spans="1:24">
      <c r="A119" s="7" t="s">
        <v>206</v>
      </c>
      <c r="B119" s="16" t="s">
        <v>169</v>
      </c>
      <c r="C119">
        <v>356693750.6060515</v>
      </c>
      <c r="D119">
        <v>359838799.42436391</v>
      </c>
      <c r="E119">
        <v>340540.540540541</v>
      </c>
      <c r="F119">
        <v>1254954.954954956</v>
      </c>
      <c r="G119">
        <v>39</v>
      </c>
      <c r="H119">
        <v>14</v>
      </c>
      <c r="I119">
        <v>0</v>
      </c>
      <c r="J119">
        <v>1</v>
      </c>
      <c r="M119">
        <v>41</v>
      </c>
      <c r="N119">
        <v>16</v>
      </c>
      <c r="O119">
        <v>2728494414.4144144</v>
      </c>
      <c r="P119">
        <v>2450443085.5855856</v>
      </c>
      <c r="Q119">
        <v>1507</v>
      </c>
      <c r="R119">
        <v>3</v>
      </c>
      <c r="S119">
        <v>168610666.66666666</v>
      </c>
      <c r="T119">
        <v>168735945.94594595</v>
      </c>
      <c r="U119">
        <v>1006866418.018018</v>
      </c>
      <c r="V119">
        <v>613772475.67567563</v>
      </c>
      <c r="W119">
        <v>7379</v>
      </c>
      <c r="X119">
        <v>7676</v>
      </c>
    </row>
    <row r="120" spans="1:24">
      <c r="A120" s="7" t="s">
        <v>207</v>
      </c>
      <c r="B120" s="16" t="s">
        <v>161</v>
      </c>
      <c r="C120">
        <v>393305985.57382977</v>
      </c>
      <c r="D120">
        <v>400124077.82328105</v>
      </c>
      <c r="E120">
        <v>61440802.702702709</v>
      </c>
      <c r="F120">
        <v>45338897.297297306</v>
      </c>
      <c r="G120">
        <v>186</v>
      </c>
      <c r="H120">
        <v>278</v>
      </c>
      <c r="I120">
        <v>30</v>
      </c>
      <c r="J120">
        <v>17</v>
      </c>
      <c r="M120">
        <v>259</v>
      </c>
      <c r="N120">
        <v>477</v>
      </c>
      <c r="O120">
        <v>53321313.513513505</v>
      </c>
      <c r="P120">
        <v>47107108.108108111</v>
      </c>
      <c r="Q120">
        <v>193</v>
      </c>
      <c r="R120">
        <v>56</v>
      </c>
      <c r="S120">
        <v>112537594.5945946</v>
      </c>
      <c r="T120">
        <v>115706878.37837839</v>
      </c>
      <c r="U120">
        <v>48223055.855855845</v>
      </c>
      <c r="V120">
        <v>39277924.324324325</v>
      </c>
      <c r="W120">
        <v>12065</v>
      </c>
      <c r="X120">
        <v>12040</v>
      </c>
    </row>
    <row r="121" spans="1:24">
      <c r="A121" s="7" t="s">
        <v>208</v>
      </c>
      <c r="B121" s="16" t="s">
        <v>76</v>
      </c>
      <c r="C121">
        <v>16486396.003938897</v>
      </c>
      <c r="D121">
        <v>11718585.752012789</v>
      </c>
      <c r="G121">
        <v>4</v>
      </c>
      <c r="I121">
        <v>0</v>
      </c>
      <c r="J121">
        <v>0</v>
      </c>
      <c r="M121">
        <v>4</v>
      </c>
      <c r="S121">
        <v>768423.42342342401</v>
      </c>
      <c r="T121">
        <v>867432.43243243196</v>
      </c>
      <c r="W121">
        <v>527</v>
      </c>
      <c r="X121">
        <v>583</v>
      </c>
    </row>
    <row r="122" spans="1:24">
      <c r="A122" s="7" t="s">
        <v>209</v>
      </c>
      <c r="B122" s="16" t="s">
        <v>76</v>
      </c>
      <c r="C122">
        <v>188007562.85315576</v>
      </c>
      <c r="D122">
        <v>172260572.02640632</v>
      </c>
      <c r="E122">
        <v>132250736.03603603</v>
      </c>
      <c r="F122">
        <v>33099158.558558565</v>
      </c>
      <c r="G122">
        <v>59</v>
      </c>
      <c r="H122">
        <v>75</v>
      </c>
      <c r="I122">
        <v>5</v>
      </c>
      <c r="J122">
        <v>8</v>
      </c>
      <c r="K122">
        <v>5</v>
      </c>
      <c r="M122">
        <v>75</v>
      </c>
      <c r="N122">
        <v>88</v>
      </c>
      <c r="O122">
        <v>18724234.234234236</v>
      </c>
      <c r="P122">
        <v>19207747.747747745</v>
      </c>
      <c r="Q122">
        <v>205</v>
      </c>
      <c r="R122">
        <v>226</v>
      </c>
      <c r="S122">
        <v>24600000</v>
      </c>
      <c r="T122">
        <v>26679045.045045044</v>
      </c>
      <c r="U122">
        <v>19611981.981981985</v>
      </c>
      <c r="V122">
        <v>18640000</v>
      </c>
      <c r="W122">
        <v>4634</v>
      </c>
      <c r="X122">
        <v>4440</v>
      </c>
    </row>
    <row r="123" spans="1:24">
      <c r="A123" s="7" t="s">
        <v>210</v>
      </c>
      <c r="B123" s="16" t="s">
        <v>76</v>
      </c>
      <c r="C123">
        <v>228968884.53022027</v>
      </c>
      <c r="D123">
        <v>220984584.79609895</v>
      </c>
      <c r="E123">
        <v>1288513.513513515</v>
      </c>
      <c r="F123">
        <v>2454954.9549549608</v>
      </c>
      <c r="G123">
        <v>104</v>
      </c>
      <c r="H123">
        <v>135</v>
      </c>
      <c r="I123">
        <v>18</v>
      </c>
      <c r="J123">
        <v>11</v>
      </c>
      <c r="K123">
        <v>7</v>
      </c>
      <c r="M123">
        <v>131</v>
      </c>
      <c r="N123">
        <v>169</v>
      </c>
      <c r="O123">
        <v>78708108.108108118</v>
      </c>
      <c r="P123">
        <v>71261081.081081077</v>
      </c>
      <c r="Q123">
        <v>188</v>
      </c>
      <c r="R123">
        <v>524</v>
      </c>
      <c r="S123">
        <v>68856690.090090081</v>
      </c>
      <c r="T123">
        <v>68053846.846846849</v>
      </c>
      <c r="U123">
        <v>59466032.432432435</v>
      </c>
      <c r="V123">
        <v>56918648.648648649</v>
      </c>
      <c r="W123">
        <v>6907</v>
      </c>
      <c r="X123">
        <v>6952</v>
      </c>
    </row>
    <row r="124" spans="1:24">
      <c r="A124" s="7" t="s">
        <v>211</v>
      </c>
      <c r="B124" s="16" t="s">
        <v>76</v>
      </c>
      <c r="C124">
        <v>155401122.36266804</v>
      </c>
      <c r="D124">
        <v>162323981.99202377</v>
      </c>
      <c r="E124">
        <v>1316891.8918918939</v>
      </c>
      <c r="F124">
        <v>2104279.279279286</v>
      </c>
      <c r="G124">
        <v>66</v>
      </c>
      <c r="H124">
        <v>72</v>
      </c>
      <c r="I124">
        <v>8</v>
      </c>
      <c r="J124">
        <v>12</v>
      </c>
      <c r="M124">
        <v>77</v>
      </c>
      <c r="N124">
        <v>82</v>
      </c>
      <c r="O124">
        <v>12894144.144144144</v>
      </c>
      <c r="P124">
        <v>12003063.063063065</v>
      </c>
      <c r="Q124">
        <v>62</v>
      </c>
      <c r="R124">
        <v>27</v>
      </c>
      <c r="S124">
        <v>21727954.954954956</v>
      </c>
      <c r="T124">
        <v>24872939.189189188</v>
      </c>
      <c r="U124">
        <v>12882972.972972972</v>
      </c>
      <c r="V124">
        <v>12359189.189189192</v>
      </c>
      <c r="W124">
        <v>3978</v>
      </c>
      <c r="X124">
        <v>4005</v>
      </c>
    </row>
    <row r="125" spans="1:24">
      <c r="A125" s="7" t="s">
        <v>212</v>
      </c>
      <c r="B125" s="16" t="s">
        <v>76</v>
      </c>
      <c r="C125">
        <v>63546075.800945312</v>
      </c>
      <c r="D125">
        <v>59169636.210700847</v>
      </c>
      <c r="E125">
        <v>71774099.0990991</v>
      </c>
      <c r="F125">
        <v>65624324.324324317</v>
      </c>
      <c r="G125">
        <v>17</v>
      </c>
      <c r="H125">
        <v>8</v>
      </c>
      <c r="I125">
        <v>1</v>
      </c>
      <c r="J125">
        <v>0</v>
      </c>
      <c r="M125">
        <v>19</v>
      </c>
      <c r="N125">
        <v>9</v>
      </c>
      <c r="O125">
        <v>1010360.3603603611</v>
      </c>
      <c r="P125">
        <v>1427207.207207205</v>
      </c>
      <c r="Q125">
        <v>5</v>
      </c>
      <c r="R125">
        <v>5</v>
      </c>
      <c r="S125">
        <v>8933378.3783783782</v>
      </c>
      <c r="T125">
        <v>8812756.7567567565</v>
      </c>
      <c r="U125">
        <v>777207.20720720699</v>
      </c>
      <c r="V125">
        <v>1587837.8378378381</v>
      </c>
      <c r="W125">
        <v>1776</v>
      </c>
      <c r="X125">
        <v>2080</v>
      </c>
    </row>
    <row r="126" spans="1:24">
      <c r="A126" s="7" t="s">
        <v>213</v>
      </c>
      <c r="B126" s="16" t="s">
        <v>214</v>
      </c>
      <c r="C126">
        <v>74273447.641481623</v>
      </c>
      <c r="D126">
        <v>84601001.399184287</v>
      </c>
      <c r="E126">
        <v>213963.96396396399</v>
      </c>
      <c r="F126">
        <v>627927.92792792805</v>
      </c>
      <c r="G126">
        <v>17</v>
      </c>
      <c r="H126">
        <v>30</v>
      </c>
      <c r="I126">
        <v>4</v>
      </c>
      <c r="J126">
        <v>2</v>
      </c>
      <c r="M126">
        <v>18</v>
      </c>
      <c r="N126">
        <v>31</v>
      </c>
      <c r="O126">
        <v>12638468.468468472</v>
      </c>
      <c r="P126">
        <v>11492360.36036036</v>
      </c>
      <c r="Q126">
        <v>26</v>
      </c>
      <c r="R126">
        <v>21</v>
      </c>
      <c r="S126">
        <v>35615900.9009009</v>
      </c>
      <c r="T126">
        <v>37588909.909909911</v>
      </c>
      <c r="U126">
        <v>10702342.342342343</v>
      </c>
      <c r="V126">
        <v>7764414.4144144142</v>
      </c>
      <c r="W126">
        <v>2297</v>
      </c>
      <c r="X126">
        <v>2189</v>
      </c>
    </row>
    <row r="127" spans="1:24">
      <c r="A127" s="7" t="s">
        <v>215</v>
      </c>
      <c r="B127" s="16" t="s">
        <v>167</v>
      </c>
      <c r="C127">
        <v>66776336.595519207</v>
      </c>
      <c r="D127">
        <v>94029348.265483201</v>
      </c>
      <c r="E127">
        <v>8108.1081081089997</v>
      </c>
      <c r="F127">
        <v>986486.48648648697</v>
      </c>
      <c r="G127">
        <v>8</v>
      </c>
      <c r="H127">
        <v>7</v>
      </c>
      <c r="I127">
        <v>1</v>
      </c>
      <c r="J127">
        <v>3</v>
      </c>
      <c r="M127">
        <v>9</v>
      </c>
      <c r="N127">
        <v>7</v>
      </c>
      <c r="O127">
        <v>332432.43243243301</v>
      </c>
      <c r="P127">
        <v>1436936.936936937</v>
      </c>
      <c r="Q127">
        <v>12</v>
      </c>
      <c r="S127">
        <v>12086396.396396397</v>
      </c>
      <c r="T127">
        <v>16712387.387387387</v>
      </c>
      <c r="U127">
        <v>1071621.6216216229</v>
      </c>
      <c r="V127">
        <v>61711.711711712</v>
      </c>
      <c r="W127">
        <v>1908</v>
      </c>
      <c r="X127">
        <v>1878</v>
      </c>
    </row>
    <row r="128" spans="1:24">
      <c r="A128" s="7" t="s">
        <v>216</v>
      </c>
      <c r="B128" s="16" t="s">
        <v>85</v>
      </c>
      <c r="C128">
        <v>16580568.583216649</v>
      </c>
      <c r="D128">
        <v>21660301.108046327</v>
      </c>
      <c r="E128">
        <v>9909.9099099110008</v>
      </c>
      <c r="F128">
        <v>211711.71171171201</v>
      </c>
      <c r="G128">
        <v>2</v>
      </c>
      <c r="H128">
        <v>7</v>
      </c>
      <c r="I128">
        <v>3</v>
      </c>
      <c r="J128">
        <v>2</v>
      </c>
      <c r="M128">
        <v>2</v>
      </c>
      <c r="N128">
        <v>9</v>
      </c>
      <c r="O128">
        <v>40298198.198198199</v>
      </c>
      <c r="P128">
        <v>25677477.477477476</v>
      </c>
      <c r="Q128">
        <v>24</v>
      </c>
      <c r="R128">
        <v>117</v>
      </c>
      <c r="S128">
        <v>5017828.8288288293</v>
      </c>
      <c r="T128">
        <v>6407882.8828828828</v>
      </c>
      <c r="U128">
        <v>29380000</v>
      </c>
      <c r="V128">
        <v>19561081.081081081</v>
      </c>
      <c r="W128">
        <v>642</v>
      </c>
      <c r="X128">
        <v>669</v>
      </c>
    </row>
    <row r="129" spans="1:24">
      <c r="A129" s="7" t="s">
        <v>217</v>
      </c>
      <c r="B129" s="16" t="s">
        <v>85</v>
      </c>
      <c r="C129">
        <v>85497566.13490583</v>
      </c>
      <c r="D129">
        <v>82514004.47797747</v>
      </c>
      <c r="E129">
        <v>38020045.045045048</v>
      </c>
      <c r="F129">
        <v>136272972.97297299</v>
      </c>
      <c r="G129">
        <v>41</v>
      </c>
      <c r="H129">
        <v>28</v>
      </c>
      <c r="I129">
        <v>4</v>
      </c>
      <c r="J129">
        <v>4</v>
      </c>
      <c r="M129">
        <v>50</v>
      </c>
      <c r="N129">
        <v>30</v>
      </c>
      <c r="O129">
        <v>26714414.414414417</v>
      </c>
      <c r="P129">
        <v>13841621.621621622</v>
      </c>
      <c r="Q129">
        <v>52</v>
      </c>
      <c r="R129">
        <v>4</v>
      </c>
      <c r="S129">
        <v>15340945.945945946</v>
      </c>
      <c r="T129">
        <v>16352963.963963963</v>
      </c>
      <c r="U129">
        <v>17453513.513513513</v>
      </c>
      <c r="V129">
        <v>12439819.819819819</v>
      </c>
      <c r="W129">
        <v>2463</v>
      </c>
      <c r="X129">
        <v>2404</v>
      </c>
    </row>
    <row r="130" spans="1:24">
      <c r="A130" s="7" t="s">
        <v>218</v>
      </c>
      <c r="B130" s="16" t="s">
        <v>147</v>
      </c>
      <c r="C130">
        <v>82893210.513467073</v>
      </c>
      <c r="D130">
        <v>79255527.98223269</v>
      </c>
      <c r="E130">
        <v>571171.17117117206</v>
      </c>
      <c r="F130">
        <v>4649549.5495495489</v>
      </c>
      <c r="G130">
        <v>19</v>
      </c>
      <c r="H130">
        <v>66</v>
      </c>
      <c r="I130">
        <v>0</v>
      </c>
      <c r="J130">
        <v>8</v>
      </c>
      <c r="M130">
        <v>22</v>
      </c>
      <c r="N130">
        <v>84</v>
      </c>
      <c r="O130">
        <v>3423063.0630630599</v>
      </c>
      <c r="P130">
        <v>39875431.531531528</v>
      </c>
      <c r="Q130">
        <v>41</v>
      </c>
      <c r="R130">
        <v>308</v>
      </c>
      <c r="S130">
        <v>21761513.513513513</v>
      </c>
      <c r="T130">
        <v>26977360.360360362</v>
      </c>
      <c r="U130">
        <v>5090270.2702702666</v>
      </c>
      <c r="V130">
        <v>39877837.837837838</v>
      </c>
      <c r="W130">
        <v>2494</v>
      </c>
      <c r="X130">
        <v>2540</v>
      </c>
    </row>
    <row r="131" spans="1:24">
      <c r="A131" s="7" t="s">
        <v>219</v>
      </c>
      <c r="B131" s="16" t="s">
        <v>220</v>
      </c>
      <c r="C131">
        <v>161608647.27758715</v>
      </c>
      <c r="D131">
        <v>158000045.72021073</v>
      </c>
      <c r="E131">
        <v>3687973.873873875</v>
      </c>
      <c r="F131">
        <v>1808108.1081081091</v>
      </c>
      <c r="G131">
        <v>58</v>
      </c>
      <c r="H131">
        <v>48</v>
      </c>
      <c r="I131">
        <v>6</v>
      </c>
      <c r="J131">
        <v>8</v>
      </c>
      <c r="M131">
        <v>73</v>
      </c>
      <c r="N131">
        <v>61</v>
      </c>
      <c r="O131">
        <v>200186402.7027027</v>
      </c>
      <c r="P131">
        <v>131181171.17117117</v>
      </c>
      <c r="Q131">
        <v>317</v>
      </c>
      <c r="R131">
        <v>106</v>
      </c>
      <c r="S131">
        <v>43509549.54954955</v>
      </c>
      <c r="T131">
        <v>40277200.45045045</v>
      </c>
      <c r="U131">
        <v>298409729.72972971</v>
      </c>
      <c r="V131">
        <v>219223783.78378376</v>
      </c>
      <c r="W131">
        <v>6402</v>
      </c>
      <c r="X131">
        <v>6222</v>
      </c>
    </row>
    <row r="132" spans="1:24">
      <c r="A132" s="7" t="s">
        <v>221</v>
      </c>
      <c r="B132" s="16" t="s">
        <v>52</v>
      </c>
      <c r="C132">
        <v>387923518.70813793</v>
      </c>
      <c r="D132">
        <v>365164985.3054384</v>
      </c>
      <c r="E132">
        <v>2204279.2792792809</v>
      </c>
      <c r="F132">
        <v>3305405.4054054068</v>
      </c>
      <c r="G132">
        <v>76</v>
      </c>
      <c r="H132">
        <v>87</v>
      </c>
      <c r="I132">
        <v>6</v>
      </c>
      <c r="J132">
        <v>21</v>
      </c>
      <c r="M132">
        <v>108</v>
      </c>
      <c r="N132">
        <v>115</v>
      </c>
      <c r="O132">
        <v>26850270.270270269</v>
      </c>
      <c r="P132">
        <v>26530630.630630631</v>
      </c>
      <c r="Q132">
        <v>229</v>
      </c>
      <c r="R132">
        <v>990</v>
      </c>
      <c r="S132">
        <v>123525801.8018018</v>
      </c>
      <c r="T132">
        <v>118790567.56756757</v>
      </c>
      <c r="U132">
        <v>23184954.954954956</v>
      </c>
      <c r="V132">
        <v>32427657.657657657</v>
      </c>
      <c r="W132">
        <v>10803</v>
      </c>
      <c r="X132">
        <v>10580</v>
      </c>
    </row>
    <row r="133" spans="1:24">
      <c r="A133" s="7" t="s">
        <v>222</v>
      </c>
      <c r="B133" s="16" t="s">
        <v>76</v>
      </c>
      <c r="C133">
        <v>298182382.88692027</v>
      </c>
      <c r="D133">
        <v>284109133.9013353</v>
      </c>
      <c r="E133">
        <v>135000.00000000099</v>
      </c>
      <c r="F133">
        <v>827927.92792793398</v>
      </c>
      <c r="G133">
        <v>79</v>
      </c>
      <c r="H133">
        <v>79</v>
      </c>
      <c r="I133">
        <v>7</v>
      </c>
      <c r="J133">
        <v>10</v>
      </c>
      <c r="K133">
        <v>5</v>
      </c>
      <c r="M133">
        <v>87</v>
      </c>
      <c r="N133">
        <v>85</v>
      </c>
      <c r="O133">
        <v>19829369.369369369</v>
      </c>
      <c r="P133">
        <v>19197837.837837838</v>
      </c>
      <c r="Q133">
        <v>43</v>
      </c>
      <c r="R133">
        <v>58</v>
      </c>
      <c r="S133">
        <v>55141331.531531528</v>
      </c>
      <c r="T133">
        <v>54198390.090090089</v>
      </c>
      <c r="U133">
        <v>16598288.28828829</v>
      </c>
      <c r="V133">
        <v>16356306.306306304</v>
      </c>
      <c r="W133">
        <v>7119</v>
      </c>
      <c r="X133">
        <v>6990</v>
      </c>
    </row>
    <row r="134" spans="1:24">
      <c r="A134" s="7" t="s">
        <v>223</v>
      </c>
      <c r="B134" s="16" t="s">
        <v>224</v>
      </c>
      <c r="C134">
        <v>30184224.521374736</v>
      </c>
      <c r="D134">
        <v>26213505.34194662</v>
      </c>
      <c r="G134">
        <v>26</v>
      </c>
      <c r="H134">
        <v>1</v>
      </c>
      <c r="M134">
        <v>27</v>
      </c>
      <c r="N134">
        <v>1</v>
      </c>
      <c r="O134">
        <v>400000</v>
      </c>
      <c r="Q134">
        <v>6</v>
      </c>
      <c r="S134">
        <v>7363603.6036036042</v>
      </c>
      <c r="T134">
        <v>6336063.0630630627</v>
      </c>
      <c r="U134">
        <v>1244954.954954955</v>
      </c>
      <c r="V134">
        <v>504504.50450450502</v>
      </c>
      <c r="W134">
        <v>872</v>
      </c>
      <c r="X134">
        <v>840</v>
      </c>
    </row>
    <row r="135" spans="1:24">
      <c r="A135" s="7" t="s">
        <v>225</v>
      </c>
      <c r="B135" s="16" t="s">
        <v>143</v>
      </c>
      <c r="C135">
        <v>244911596.97845697</v>
      </c>
      <c r="D135">
        <v>237042762.27611494</v>
      </c>
      <c r="E135">
        <v>451351.35135135398</v>
      </c>
      <c r="F135">
        <v>2595495.4954954991</v>
      </c>
      <c r="G135">
        <v>57</v>
      </c>
      <c r="H135">
        <v>84</v>
      </c>
      <c r="I135">
        <v>14</v>
      </c>
      <c r="J135">
        <v>6</v>
      </c>
      <c r="M135">
        <v>69</v>
      </c>
      <c r="N135">
        <v>97</v>
      </c>
      <c r="O135">
        <v>11739639.639639638</v>
      </c>
      <c r="P135">
        <v>12040540.540540542</v>
      </c>
      <c r="Q135">
        <v>76</v>
      </c>
      <c r="R135">
        <v>19</v>
      </c>
      <c r="S135">
        <v>25859648.648648649</v>
      </c>
      <c r="T135">
        <v>30860131.981981985</v>
      </c>
      <c r="U135">
        <v>8416756.7567567546</v>
      </c>
      <c r="V135">
        <v>7999729.7297297278</v>
      </c>
      <c r="W135">
        <v>5517</v>
      </c>
      <c r="X135">
        <v>7432</v>
      </c>
    </row>
    <row r="136" spans="1:24">
      <c r="A136" s="7" t="s">
        <v>226</v>
      </c>
      <c r="B136" s="16" t="s">
        <v>224</v>
      </c>
      <c r="C136">
        <v>29074584.763150636</v>
      </c>
      <c r="D136">
        <v>26709889.786545467</v>
      </c>
      <c r="E136">
        <v>4504.5045045050001</v>
      </c>
      <c r="F136">
        <v>121621.62162162201</v>
      </c>
      <c r="G136">
        <v>6</v>
      </c>
      <c r="H136">
        <v>10</v>
      </c>
      <c r="I136">
        <v>2</v>
      </c>
      <c r="J136">
        <v>2</v>
      </c>
      <c r="M136">
        <v>8</v>
      </c>
      <c r="N136">
        <v>12</v>
      </c>
      <c r="O136">
        <v>3726306.3063063058</v>
      </c>
      <c r="P136">
        <v>3539639.6396396402</v>
      </c>
      <c r="Q136">
        <v>32</v>
      </c>
      <c r="R136">
        <v>29</v>
      </c>
      <c r="S136">
        <v>6194459.4594594594</v>
      </c>
      <c r="T136">
        <v>7882238.7387387389</v>
      </c>
      <c r="U136">
        <v>2647657.6576576568</v>
      </c>
      <c r="V136">
        <v>2876846.8468468469</v>
      </c>
      <c r="W136">
        <v>856</v>
      </c>
      <c r="X136">
        <v>770</v>
      </c>
    </row>
    <row r="137" spans="1:24">
      <c r="A137" s="7" t="s">
        <v>227</v>
      </c>
      <c r="B137" s="16" t="s">
        <v>78</v>
      </c>
      <c r="C137">
        <v>229221962.97452164</v>
      </c>
      <c r="D137">
        <v>219232742.38374308</v>
      </c>
      <c r="E137">
        <v>1024324.3243243271</v>
      </c>
      <c r="F137">
        <v>2441441.4414414442</v>
      </c>
      <c r="G137">
        <v>32</v>
      </c>
      <c r="H137">
        <v>42</v>
      </c>
      <c r="I137">
        <v>4</v>
      </c>
      <c r="J137">
        <v>8</v>
      </c>
      <c r="M137">
        <v>36</v>
      </c>
      <c r="N137">
        <v>45</v>
      </c>
      <c r="O137">
        <v>21688198.198198199</v>
      </c>
      <c r="P137">
        <v>25740900.9009009</v>
      </c>
      <c r="Q137">
        <v>146</v>
      </c>
      <c r="R137">
        <v>70</v>
      </c>
      <c r="S137">
        <v>86331926.126126125</v>
      </c>
      <c r="T137">
        <v>88220828.828828827</v>
      </c>
      <c r="U137">
        <v>18354547.747747749</v>
      </c>
      <c r="V137">
        <v>18646036.036036037</v>
      </c>
      <c r="W137">
        <v>5013</v>
      </c>
      <c r="X137">
        <v>4872</v>
      </c>
    </row>
    <row r="138" spans="1:24">
      <c r="A138" s="7" t="s">
        <v>666</v>
      </c>
      <c r="B138" s="16" t="s">
        <v>283</v>
      </c>
      <c r="E138">
        <v>33738063.063063063</v>
      </c>
      <c r="F138">
        <v>72927927.927927941</v>
      </c>
      <c r="O138">
        <v>17258783.783783782</v>
      </c>
      <c r="P138">
        <v>416216.21621621598</v>
      </c>
    </row>
    <row r="139" spans="1:24">
      <c r="A139" s="7" t="s">
        <v>228</v>
      </c>
      <c r="B139" s="16" t="s">
        <v>136</v>
      </c>
      <c r="C139">
        <v>316816238.90588981</v>
      </c>
      <c r="D139">
        <v>294902227.37883282</v>
      </c>
      <c r="E139">
        <v>706531.53153153195</v>
      </c>
      <c r="F139">
        <v>2158108.1081081112</v>
      </c>
      <c r="G139">
        <v>78</v>
      </c>
      <c r="H139">
        <v>69</v>
      </c>
      <c r="I139">
        <v>9</v>
      </c>
      <c r="J139">
        <v>10</v>
      </c>
      <c r="M139">
        <v>88</v>
      </c>
      <c r="N139">
        <v>86</v>
      </c>
      <c r="O139">
        <v>44999909.909909911</v>
      </c>
      <c r="P139">
        <v>34263063.063063063</v>
      </c>
      <c r="Q139">
        <v>102</v>
      </c>
      <c r="R139">
        <v>148</v>
      </c>
      <c r="S139">
        <v>67027014.414414413</v>
      </c>
      <c r="T139">
        <v>69485959.459459454</v>
      </c>
      <c r="U139">
        <v>39034324.324324317</v>
      </c>
      <c r="V139">
        <v>27766936.936936937</v>
      </c>
      <c r="W139">
        <v>7649</v>
      </c>
      <c r="X139">
        <v>7550</v>
      </c>
    </row>
    <row r="140" spans="1:24">
      <c r="A140" s="7" t="s">
        <v>229</v>
      </c>
      <c r="B140" s="16" t="s">
        <v>78</v>
      </c>
      <c r="C140">
        <v>81876699.276288629</v>
      </c>
      <c r="D140">
        <v>83988741.749736845</v>
      </c>
      <c r="E140">
        <v>2215765.7657657652</v>
      </c>
      <c r="F140">
        <v>2665315.315315315</v>
      </c>
      <c r="G140">
        <v>21</v>
      </c>
      <c r="H140">
        <v>30</v>
      </c>
      <c r="I140">
        <v>1</v>
      </c>
      <c r="J140">
        <v>2</v>
      </c>
      <c r="M140">
        <v>22</v>
      </c>
      <c r="N140">
        <v>36</v>
      </c>
      <c r="O140">
        <v>14549099.0990991</v>
      </c>
      <c r="P140">
        <v>16758558.558558557</v>
      </c>
      <c r="Q140">
        <v>21</v>
      </c>
      <c r="R140">
        <v>11</v>
      </c>
      <c r="S140">
        <v>36340990.990990989</v>
      </c>
      <c r="T140">
        <v>41442171.171171166</v>
      </c>
      <c r="U140">
        <v>13629729.729729732</v>
      </c>
      <c r="V140">
        <v>17963693.693693697</v>
      </c>
      <c r="W140">
        <v>2472</v>
      </c>
      <c r="X140">
        <v>2391</v>
      </c>
    </row>
    <row r="141" spans="1:24">
      <c r="A141" s="7" t="s">
        <v>230</v>
      </c>
      <c r="B141" s="16" t="s">
        <v>54</v>
      </c>
      <c r="C141">
        <v>250180952.15967605</v>
      </c>
      <c r="D141">
        <v>238463870.53484353</v>
      </c>
      <c r="E141">
        <v>622747.74774774897</v>
      </c>
      <c r="F141">
        <v>900900.90090090199</v>
      </c>
      <c r="G141">
        <v>35</v>
      </c>
      <c r="H141">
        <v>26</v>
      </c>
      <c r="I141">
        <v>4</v>
      </c>
      <c r="J141">
        <v>7</v>
      </c>
      <c r="M141">
        <v>43</v>
      </c>
      <c r="N141">
        <v>38</v>
      </c>
      <c r="O141">
        <v>7932432.4324324317</v>
      </c>
      <c r="P141">
        <v>18328828.828828827</v>
      </c>
      <c r="Q141">
        <v>81</v>
      </c>
      <c r="R141">
        <v>2660</v>
      </c>
      <c r="S141">
        <v>56803783.783783786</v>
      </c>
      <c r="T141">
        <v>59504800</v>
      </c>
      <c r="U141">
        <v>8228198.1981981983</v>
      </c>
      <c r="V141">
        <v>22094864.864864863</v>
      </c>
      <c r="W141">
        <v>6898</v>
      </c>
      <c r="X141">
        <v>6760</v>
      </c>
    </row>
    <row r="142" spans="1:24">
      <c r="A142" s="7" t="s">
        <v>231</v>
      </c>
      <c r="B142" s="16" t="s">
        <v>78</v>
      </c>
      <c r="C142">
        <v>95067140.105424643</v>
      </c>
      <c r="D142">
        <v>90792173.956795871</v>
      </c>
      <c r="E142">
        <v>316216.21621621703</v>
      </c>
      <c r="F142">
        <v>2256756.7567567602</v>
      </c>
      <c r="G142">
        <v>42</v>
      </c>
      <c r="H142">
        <v>42</v>
      </c>
      <c r="I142">
        <v>5</v>
      </c>
      <c r="J142">
        <v>10</v>
      </c>
      <c r="M142">
        <v>50</v>
      </c>
      <c r="N142">
        <v>62</v>
      </c>
      <c r="O142">
        <v>25232432.432432432</v>
      </c>
      <c r="P142">
        <v>19097297.297297295</v>
      </c>
      <c r="Q142">
        <v>37</v>
      </c>
      <c r="R142">
        <v>68</v>
      </c>
      <c r="S142">
        <v>43990945.945945941</v>
      </c>
      <c r="T142">
        <v>43179702.702702701</v>
      </c>
      <c r="U142">
        <v>24699459.459459465</v>
      </c>
      <c r="V142">
        <v>22021981.981981982</v>
      </c>
      <c r="W142">
        <v>3937</v>
      </c>
      <c r="X142">
        <v>4063</v>
      </c>
    </row>
    <row r="143" spans="1:24">
      <c r="A143" s="7" t="s">
        <v>232</v>
      </c>
      <c r="B143" s="16" t="s">
        <v>60</v>
      </c>
      <c r="C143">
        <v>82343219.381060928</v>
      </c>
      <c r="D143">
        <v>83823114.698118553</v>
      </c>
      <c r="G143">
        <v>29</v>
      </c>
      <c r="H143">
        <v>24</v>
      </c>
      <c r="I143">
        <v>0</v>
      </c>
      <c r="M143">
        <v>30</v>
      </c>
      <c r="N143">
        <v>26</v>
      </c>
      <c r="O143">
        <v>81081.081081081007</v>
      </c>
      <c r="Q143">
        <v>3</v>
      </c>
      <c r="S143">
        <v>32363063.063063063</v>
      </c>
      <c r="T143">
        <v>35560180.180180177</v>
      </c>
      <c r="U143">
        <v>81081.081081081007</v>
      </c>
      <c r="W143">
        <v>1983</v>
      </c>
      <c r="X143">
        <v>1842</v>
      </c>
    </row>
    <row r="144" spans="1:24">
      <c r="A144" s="7" t="s">
        <v>233</v>
      </c>
      <c r="B144" s="16" t="s">
        <v>54</v>
      </c>
      <c r="C144">
        <v>40150795.118532263</v>
      </c>
      <c r="D144">
        <v>40062902.089871868</v>
      </c>
      <c r="E144">
        <v>573873.87387387396</v>
      </c>
      <c r="F144">
        <v>86486.486486487003</v>
      </c>
      <c r="G144">
        <v>20</v>
      </c>
      <c r="H144">
        <v>20</v>
      </c>
      <c r="I144">
        <v>1</v>
      </c>
      <c r="J144">
        <v>0</v>
      </c>
      <c r="M144">
        <v>43</v>
      </c>
      <c r="N144">
        <v>60</v>
      </c>
      <c r="O144">
        <v>1983783.783783783</v>
      </c>
      <c r="P144">
        <v>1780540.5405405399</v>
      </c>
      <c r="Q144">
        <v>21</v>
      </c>
      <c r="R144">
        <v>23</v>
      </c>
      <c r="S144">
        <v>8553513.5135135129</v>
      </c>
      <c r="T144">
        <v>8349504.5045045046</v>
      </c>
      <c r="U144">
        <v>2607027.0270270258</v>
      </c>
      <c r="V144">
        <v>1803513.5135135129</v>
      </c>
      <c r="W144">
        <v>1048</v>
      </c>
      <c r="X144">
        <v>1110</v>
      </c>
    </row>
    <row r="145" spans="1:24">
      <c r="A145" s="7" t="s">
        <v>234</v>
      </c>
      <c r="B145" s="16" t="s">
        <v>167</v>
      </c>
      <c r="C145">
        <v>200444519.10561112</v>
      </c>
      <c r="D145">
        <v>187554626.27208</v>
      </c>
      <c r="E145">
        <v>27927.927927928002</v>
      </c>
      <c r="F145">
        <v>373873.87387387402</v>
      </c>
      <c r="G145">
        <v>50</v>
      </c>
      <c r="H145">
        <v>15</v>
      </c>
      <c r="I145">
        <v>1</v>
      </c>
      <c r="J145">
        <v>1</v>
      </c>
      <c r="M145">
        <v>58</v>
      </c>
      <c r="N145">
        <v>17</v>
      </c>
      <c r="O145">
        <v>15845945.945945948</v>
      </c>
      <c r="P145">
        <v>12021069.369369367</v>
      </c>
      <c r="Q145">
        <v>9</v>
      </c>
      <c r="R145">
        <v>2</v>
      </c>
      <c r="S145">
        <v>53496846.846846849</v>
      </c>
      <c r="T145">
        <v>52626770.270270273</v>
      </c>
      <c r="U145">
        <v>11277700.900900902</v>
      </c>
      <c r="V145">
        <v>8749909.9099099096</v>
      </c>
      <c r="W145">
        <v>5000</v>
      </c>
      <c r="X145">
        <v>5132</v>
      </c>
    </row>
    <row r="146" spans="1:24">
      <c r="A146" s="7" t="s">
        <v>235</v>
      </c>
      <c r="B146" s="16" t="s">
        <v>236</v>
      </c>
      <c r="C146">
        <v>6185.0602862180003</v>
      </c>
      <c r="D146">
        <v>99.329792749000006</v>
      </c>
      <c r="T146">
        <v>9009.0090090089998</v>
      </c>
      <c r="X146">
        <v>43</v>
      </c>
    </row>
    <row r="147" spans="1:24">
      <c r="A147" s="7" t="s">
        <v>237</v>
      </c>
      <c r="B147" s="16" t="s">
        <v>105</v>
      </c>
      <c r="C147">
        <v>115581343.34264708</v>
      </c>
      <c r="D147">
        <v>110066189.6914342</v>
      </c>
      <c r="E147">
        <v>264324.32432432403</v>
      </c>
      <c r="F147">
        <v>410810.810810811</v>
      </c>
      <c r="G147">
        <v>24</v>
      </c>
      <c r="H147">
        <v>14</v>
      </c>
      <c r="I147">
        <v>1</v>
      </c>
      <c r="J147">
        <v>0</v>
      </c>
      <c r="M147">
        <v>27</v>
      </c>
      <c r="N147">
        <v>16</v>
      </c>
      <c r="O147">
        <v>15818648.648648648</v>
      </c>
      <c r="P147">
        <v>14990990.990990993</v>
      </c>
      <c r="Q147">
        <v>6</v>
      </c>
      <c r="R147">
        <v>51</v>
      </c>
      <c r="S147">
        <v>32689225.225225225</v>
      </c>
      <c r="T147">
        <v>32201756.756756756</v>
      </c>
      <c r="U147">
        <v>13535405.405405406</v>
      </c>
      <c r="V147">
        <v>15736666.666666666</v>
      </c>
      <c r="W147">
        <v>2105</v>
      </c>
      <c r="X147">
        <v>1901</v>
      </c>
    </row>
    <row r="148" spans="1:24">
      <c r="A148" s="7" t="s">
        <v>3</v>
      </c>
      <c r="B148" s="16" t="s">
        <v>158</v>
      </c>
      <c r="C148">
        <v>230230985.0633488</v>
      </c>
      <c r="D148">
        <v>223411111.86073783</v>
      </c>
      <c r="E148">
        <v>2412387.3873873889</v>
      </c>
      <c r="F148">
        <v>2914414.4144144161</v>
      </c>
      <c r="G148">
        <v>30</v>
      </c>
      <c r="H148">
        <v>34</v>
      </c>
      <c r="I148">
        <v>12</v>
      </c>
      <c r="J148">
        <v>8</v>
      </c>
      <c r="M148">
        <v>36</v>
      </c>
      <c r="N148">
        <v>38</v>
      </c>
      <c r="O148">
        <v>46714864.864864863</v>
      </c>
      <c r="P148">
        <v>39959459.459459454</v>
      </c>
      <c r="Q148">
        <v>120</v>
      </c>
      <c r="R148">
        <v>55</v>
      </c>
      <c r="S148">
        <v>58209279.279279277</v>
      </c>
      <c r="T148">
        <v>63552099.0990991</v>
      </c>
      <c r="U148">
        <v>43093153.153153151</v>
      </c>
      <c r="V148">
        <v>38943963.963963971</v>
      </c>
      <c r="W148">
        <v>3628</v>
      </c>
      <c r="X148">
        <v>3640</v>
      </c>
    </row>
    <row r="149" spans="1:24">
      <c r="A149" s="7" t="s">
        <v>238</v>
      </c>
      <c r="B149" s="16" t="s">
        <v>178</v>
      </c>
      <c r="C149">
        <v>199015174.10269877</v>
      </c>
      <c r="D149">
        <v>175468245.80321842</v>
      </c>
      <c r="E149">
        <v>2749549.5495495498</v>
      </c>
      <c r="F149">
        <v>468468.46846846899</v>
      </c>
      <c r="G149">
        <v>32</v>
      </c>
      <c r="H149">
        <v>34</v>
      </c>
      <c r="I149">
        <v>3</v>
      </c>
      <c r="J149">
        <v>3</v>
      </c>
      <c r="M149">
        <v>41</v>
      </c>
      <c r="N149">
        <v>69</v>
      </c>
      <c r="O149">
        <v>21354655.855855856</v>
      </c>
      <c r="P149">
        <v>30018018.018018015</v>
      </c>
      <c r="R149">
        <v>5</v>
      </c>
      <c r="S149">
        <v>59885648.648648649</v>
      </c>
      <c r="T149">
        <v>56503450.45045045</v>
      </c>
      <c r="U149">
        <v>16056576.576576576</v>
      </c>
      <c r="V149">
        <v>22778288.288288288</v>
      </c>
      <c r="W149">
        <v>5556</v>
      </c>
      <c r="X149">
        <v>5312</v>
      </c>
    </row>
    <row r="150" spans="1:24">
      <c r="A150" s="7" t="s">
        <v>239</v>
      </c>
      <c r="B150" s="16" t="s">
        <v>54</v>
      </c>
      <c r="C150">
        <v>134370134.69768313</v>
      </c>
      <c r="D150">
        <v>124012563.68201201</v>
      </c>
      <c r="E150">
        <v>1229144.1441441439</v>
      </c>
      <c r="F150">
        <v>3200000.0000000009</v>
      </c>
      <c r="G150">
        <v>12</v>
      </c>
      <c r="H150">
        <v>23</v>
      </c>
      <c r="I150">
        <v>2</v>
      </c>
      <c r="J150">
        <v>4</v>
      </c>
      <c r="M150">
        <v>16</v>
      </c>
      <c r="N150">
        <v>23</v>
      </c>
      <c r="O150">
        <v>16717657.657657657</v>
      </c>
      <c r="P150">
        <v>15867027.027027028</v>
      </c>
      <c r="Q150">
        <v>63</v>
      </c>
      <c r="R150">
        <v>23</v>
      </c>
      <c r="S150">
        <v>36701023.423423424</v>
      </c>
      <c r="T150">
        <v>34185023.423423424</v>
      </c>
      <c r="U150">
        <v>15625899.099099096</v>
      </c>
      <c r="V150">
        <v>14816482.882882884</v>
      </c>
      <c r="W150">
        <v>3491</v>
      </c>
      <c r="X150">
        <v>3486</v>
      </c>
    </row>
    <row r="151" spans="1:24">
      <c r="A151" s="7" t="s">
        <v>240</v>
      </c>
      <c r="B151" s="16" t="s">
        <v>241</v>
      </c>
      <c r="C151">
        <v>114151249.1836606</v>
      </c>
      <c r="D151">
        <v>107073519.39078084</v>
      </c>
      <c r="E151">
        <v>167744493.6936937</v>
      </c>
      <c r="F151">
        <v>105186829.72972973</v>
      </c>
      <c r="G151">
        <v>58</v>
      </c>
      <c r="H151">
        <v>50</v>
      </c>
      <c r="I151">
        <v>6</v>
      </c>
      <c r="J151">
        <v>5</v>
      </c>
      <c r="M151">
        <v>67</v>
      </c>
      <c r="N151">
        <v>53</v>
      </c>
      <c r="O151">
        <v>99978971.171171173</v>
      </c>
      <c r="P151">
        <v>22235315.315315321</v>
      </c>
      <c r="Q151">
        <v>58</v>
      </c>
      <c r="R151">
        <v>2</v>
      </c>
      <c r="S151">
        <v>27968378.378378376</v>
      </c>
      <c r="T151">
        <v>25441664.864864863</v>
      </c>
      <c r="U151">
        <v>69577927.927927926</v>
      </c>
      <c r="V151">
        <v>7424684.6846846873</v>
      </c>
      <c r="W151">
        <v>2773</v>
      </c>
      <c r="X151">
        <v>2859</v>
      </c>
    </row>
    <row r="152" spans="1:24">
      <c r="A152" s="7" t="s">
        <v>242</v>
      </c>
      <c r="B152" s="16" t="s">
        <v>241</v>
      </c>
      <c r="C152">
        <v>294790909.97758967</v>
      </c>
      <c r="D152">
        <v>280276937.28743237</v>
      </c>
      <c r="E152">
        <v>770270.27027027099</v>
      </c>
      <c r="F152">
        <v>2563963.9639639659</v>
      </c>
      <c r="G152">
        <v>148</v>
      </c>
      <c r="H152">
        <v>114</v>
      </c>
      <c r="I152">
        <v>20</v>
      </c>
      <c r="J152">
        <v>15</v>
      </c>
      <c r="K152">
        <v>1</v>
      </c>
      <c r="M152">
        <v>164</v>
      </c>
      <c r="N152">
        <v>125</v>
      </c>
      <c r="O152">
        <v>81339459.459459454</v>
      </c>
      <c r="P152">
        <v>67270630.630630627</v>
      </c>
      <c r="Q152">
        <v>288</v>
      </c>
      <c r="R152">
        <v>87</v>
      </c>
      <c r="S152">
        <v>90190495.495495483</v>
      </c>
      <c r="T152">
        <v>84108540.540540546</v>
      </c>
      <c r="U152">
        <v>80285855.855855852</v>
      </c>
      <c r="V152">
        <v>60533963.963963971</v>
      </c>
      <c r="W152">
        <v>6941</v>
      </c>
      <c r="X152">
        <v>7285</v>
      </c>
    </row>
    <row r="153" spans="1:24">
      <c r="A153" s="7" t="s">
        <v>243</v>
      </c>
      <c r="B153" s="16" t="s">
        <v>50</v>
      </c>
      <c r="C153">
        <v>54021569.237655558</v>
      </c>
      <c r="D153">
        <v>48036092.617899261</v>
      </c>
      <c r="E153">
        <v>3503378.3783783792</v>
      </c>
      <c r="F153">
        <v>1096396.3963963969</v>
      </c>
      <c r="G153">
        <v>13</v>
      </c>
      <c r="H153">
        <v>9</v>
      </c>
      <c r="I153">
        <v>6</v>
      </c>
      <c r="J153">
        <v>3</v>
      </c>
      <c r="M153">
        <v>13</v>
      </c>
      <c r="N153">
        <v>9</v>
      </c>
      <c r="O153">
        <v>9012612.6126126125</v>
      </c>
      <c r="P153">
        <v>3710090.0900900899</v>
      </c>
      <c r="Q153">
        <v>9</v>
      </c>
      <c r="R153">
        <v>23</v>
      </c>
      <c r="S153">
        <v>19325495.495495494</v>
      </c>
      <c r="T153">
        <v>15370954.954954956</v>
      </c>
      <c r="U153">
        <v>7955495.4954954954</v>
      </c>
      <c r="V153">
        <v>3515855.855855858</v>
      </c>
      <c r="W153">
        <v>1197</v>
      </c>
      <c r="X153">
        <v>1209</v>
      </c>
    </row>
    <row r="154" spans="1:24">
      <c r="A154" s="7" t="s">
        <v>244</v>
      </c>
      <c r="B154" s="16" t="s">
        <v>181</v>
      </c>
      <c r="C154">
        <v>1639343400.1629093</v>
      </c>
      <c r="D154">
        <v>1522782388.8144238</v>
      </c>
      <c r="E154">
        <v>294339952.25225228</v>
      </c>
      <c r="F154">
        <v>86911708.108108118</v>
      </c>
      <c r="G154">
        <v>710</v>
      </c>
      <c r="H154">
        <v>635</v>
      </c>
      <c r="I154">
        <v>84</v>
      </c>
      <c r="J154">
        <v>77</v>
      </c>
      <c r="K154">
        <v>16</v>
      </c>
      <c r="M154">
        <v>860</v>
      </c>
      <c r="N154">
        <v>1221</v>
      </c>
      <c r="O154">
        <v>170584054.05405405</v>
      </c>
      <c r="P154">
        <v>172458558.55855852</v>
      </c>
      <c r="Q154">
        <v>1162</v>
      </c>
      <c r="R154">
        <v>1013</v>
      </c>
      <c r="S154">
        <v>323427230.63063067</v>
      </c>
      <c r="T154">
        <v>344796300</v>
      </c>
      <c r="U154">
        <v>157739549.54954955</v>
      </c>
      <c r="V154">
        <v>164575675.67567569</v>
      </c>
      <c r="W154">
        <v>44310</v>
      </c>
      <c r="X154">
        <v>44062</v>
      </c>
    </row>
    <row r="155" spans="1:24">
      <c r="A155" s="7" t="s">
        <v>245</v>
      </c>
      <c r="B155" s="16" t="s">
        <v>48</v>
      </c>
      <c r="C155">
        <v>71405273.700575709</v>
      </c>
      <c r="D155">
        <v>65962156.267059818</v>
      </c>
      <c r="E155">
        <v>271171.17117117101</v>
      </c>
      <c r="F155">
        <v>1205630.630630631</v>
      </c>
      <c r="G155">
        <v>5</v>
      </c>
      <c r="H155">
        <v>3</v>
      </c>
      <c r="I155">
        <v>2</v>
      </c>
      <c r="J155">
        <v>4</v>
      </c>
      <c r="M155">
        <v>6</v>
      </c>
      <c r="N155">
        <v>6</v>
      </c>
      <c r="O155">
        <v>8787207.2072072085</v>
      </c>
      <c r="P155">
        <v>17667747.747747749</v>
      </c>
      <c r="S155">
        <v>16799090.090090089</v>
      </c>
      <c r="T155">
        <v>14931333.333333334</v>
      </c>
      <c r="U155">
        <v>9214504.5045045074</v>
      </c>
      <c r="V155">
        <v>19618378.378378376</v>
      </c>
      <c r="W155">
        <v>1809</v>
      </c>
      <c r="X155">
        <v>1759</v>
      </c>
    </row>
    <row r="156" spans="1:24">
      <c r="A156" s="7" t="s">
        <v>246</v>
      </c>
      <c r="B156" s="16" t="s">
        <v>94</v>
      </c>
      <c r="C156">
        <v>29747801.217669491</v>
      </c>
      <c r="D156">
        <v>18452945.90799224</v>
      </c>
      <c r="G156">
        <v>4</v>
      </c>
      <c r="H156">
        <v>1</v>
      </c>
      <c r="J156">
        <v>0</v>
      </c>
      <c r="M156">
        <v>4</v>
      </c>
      <c r="N156">
        <v>1</v>
      </c>
      <c r="S156">
        <v>5031711.7117117122</v>
      </c>
      <c r="T156">
        <v>3523639.6396396402</v>
      </c>
      <c r="W156">
        <v>705</v>
      </c>
      <c r="X156">
        <v>663</v>
      </c>
    </row>
    <row r="157" spans="1:24">
      <c r="A157" s="7" t="s">
        <v>247</v>
      </c>
      <c r="B157" s="16" t="s">
        <v>117</v>
      </c>
      <c r="C157">
        <v>61073041.278918169</v>
      </c>
      <c r="D157">
        <v>62469422.953876644</v>
      </c>
      <c r="E157">
        <v>711135.13513513701</v>
      </c>
      <c r="F157">
        <v>1005066.666666667</v>
      </c>
      <c r="G157">
        <v>20</v>
      </c>
      <c r="H157">
        <v>8</v>
      </c>
      <c r="I157">
        <v>7</v>
      </c>
      <c r="J157">
        <v>2</v>
      </c>
      <c r="M157">
        <v>26</v>
      </c>
      <c r="N157">
        <v>10</v>
      </c>
      <c r="O157">
        <v>12830917.117117118</v>
      </c>
      <c r="P157">
        <v>9395156.7567567602</v>
      </c>
      <c r="Q157">
        <v>56</v>
      </c>
      <c r="R157">
        <v>35</v>
      </c>
      <c r="S157">
        <v>28790090.090090089</v>
      </c>
      <c r="T157">
        <v>29976378.378378376</v>
      </c>
      <c r="U157">
        <v>12770090.09009009</v>
      </c>
      <c r="V157">
        <v>10561171.171171172</v>
      </c>
      <c r="W157">
        <v>1725</v>
      </c>
      <c r="X157">
        <v>1766</v>
      </c>
    </row>
    <row r="158" spans="1:24">
      <c r="A158" s="7" t="s">
        <v>248</v>
      </c>
      <c r="B158" s="16" t="s">
        <v>121</v>
      </c>
      <c r="C158">
        <v>102709172.5416816</v>
      </c>
      <c r="D158">
        <v>104103348.27803852</v>
      </c>
      <c r="E158">
        <v>100450.450450451</v>
      </c>
      <c r="F158">
        <v>764864.86486486497</v>
      </c>
      <c r="G158">
        <v>78</v>
      </c>
      <c r="H158">
        <v>66</v>
      </c>
      <c r="I158">
        <v>3</v>
      </c>
      <c r="J158">
        <v>5</v>
      </c>
      <c r="M158">
        <v>89</v>
      </c>
      <c r="N158">
        <v>76</v>
      </c>
      <c r="O158">
        <v>4571171.1711711697</v>
      </c>
      <c r="P158">
        <v>3972972.9729729728</v>
      </c>
      <c r="Q158">
        <v>78</v>
      </c>
      <c r="S158">
        <v>11502423.423423424</v>
      </c>
      <c r="T158">
        <v>12077396.396396397</v>
      </c>
      <c r="U158">
        <v>4903153.1531531522</v>
      </c>
      <c r="V158">
        <v>3379819.8198198192</v>
      </c>
      <c r="W158">
        <v>2371</v>
      </c>
      <c r="X158">
        <v>2325</v>
      </c>
    </row>
    <row r="159" spans="1:24">
      <c r="A159" s="7" t="s">
        <v>249</v>
      </c>
      <c r="B159" s="16" t="s">
        <v>76</v>
      </c>
      <c r="C159">
        <v>49106510.653195411</v>
      </c>
      <c r="D159">
        <v>43260839.054874033</v>
      </c>
      <c r="G159">
        <v>7</v>
      </c>
      <c r="H159">
        <v>5</v>
      </c>
      <c r="I159">
        <v>0</v>
      </c>
      <c r="J159">
        <v>0</v>
      </c>
      <c r="M159">
        <v>9</v>
      </c>
      <c r="N159">
        <v>5</v>
      </c>
      <c r="S159">
        <v>5078675.6756756753</v>
      </c>
      <c r="T159">
        <v>4179459.4594594599</v>
      </c>
      <c r="W159">
        <v>1635</v>
      </c>
      <c r="X159">
        <v>1624</v>
      </c>
    </row>
    <row r="160" spans="1:24">
      <c r="A160" s="7" t="s">
        <v>250</v>
      </c>
      <c r="B160" s="16" t="s">
        <v>167</v>
      </c>
      <c r="C160">
        <v>151200460.60197425</v>
      </c>
      <c r="D160">
        <v>143112213.0263764</v>
      </c>
      <c r="G160">
        <v>20</v>
      </c>
      <c r="H160">
        <v>33</v>
      </c>
      <c r="M160">
        <v>24</v>
      </c>
      <c r="N160">
        <v>42</v>
      </c>
      <c r="O160">
        <v>5194594.594594595</v>
      </c>
      <c r="P160">
        <v>1828828.8288288291</v>
      </c>
      <c r="Q160">
        <v>9</v>
      </c>
      <c r="S160">
        <v>27213063.063063063</v>
      </c>
      <c r="T160">
        <v>27645765.765765764</v>
      </c>
      <c r="U160">
        <v>2251171.1711711721</v>
      </c>
      <c r="V160">
        <v>1268378.3783783789</v>
      </c>
      <c r="W160">
        <v>3736</v>
      </c>
      <c r="X160">
        <v>3687</v>
      </c>
    </row>
    <row r="161" spans="1:24">
      <c r="A161" s="7" t="s">
        <v>251</v>
      </c>
      <c r="B161" s="16" t="s">
        <v>89</v>
      </c>
      <c r="C161">
        <v>427713606.02079815</v>
      </c>
      <c r="D161">
        <v>424615159.09175617</v>
      </c>
      <c r="E161">
        <v>5640900.9009009087</v>
      </c>
      <c r="F161">
        <v>1931531.5315315339</v>
      </c>
      <c r="G161">
        <v>49</v>
      </c>
      <c r="H161">
        <v>76</v>
      </c>
      <c r="I161">
        <v>21</v>
      </c>
      <c r="J161">
        <v>5</v>
      </c>
      <c r="M161">
        <v>55</v>
      </c>
      <c r="N161">
        <v>86</v>
      </c>
      <c r="O161">
        <v>35437657.657657653</v>
      </c>
      <c r="P161">
        <v>30935315.315315314</v>
      </c>
      <c r="Q161">
        <v>423</v>
      </c>
      <c r="R161">
        <v>245</v>
      </c>
      <c r="S161">
        <v>101483452.25225225</v>
      </c>
      <c r="T161">
        <v>104624594.5945946</v>
      </c>
      <c r="U161">
        <v>38635135.135135137</v>
      </c>
      <c r="V161">
        <v>29774504.504504506</v>
      </c>
      <c r="W161">
        <v>10355</v>
      </c>
      <c r="X161">
        <v>10471</v>
      </c>
    </row>
    <row r="162" spans="1:24">
      <c r="A162" s="7" t="s">
        <v>252</v>
      </c>
      <c r="B162" s="16" t="s">
        <v>78</v>
      </c>
      <c r="C162">
        <v>126995365.84792405</v>
      </c>
      <c r="D162">
        <v>122529227.2984442</v>
      </c>
      <c r="E162">
        <v>421621.62162162201</v>
      </c>
      <c r="F162">
        <v>1402702.702702705</v>
      </c>
      <c r="G162">
        <v>28</v>
      </c>
      <c r="H162">
        <v>22</v>
      </c>
      <c r="I162">
        <v>3</v>
      </c>
      <c r="J162">
        <v>4</v>
      </c>
      <c r="M162">
        <v>31</v>
      </c>
      <c r="N162">
        <v>24</v>
      </c>
      <c r="O162">
        <v>15728738.738738738</v>
      </c>
      <c r="P162">
        <v>19992342.342342339</v>
      </c>
      <c r="Q162">
        <v>27</v>
      </c>
      <c r="R162">
        <v>8</v>
      </c>
      <c r="S162">
        <v>34906072.072072074</v>
      </c>
      <c r="T162">
        <v>35461900.9009009</v>
      </c>
      <c r="U162">
        <v>13632522.522522524</v>
      </c>
      <c r="V162">
        <v>19464144.144144148</v>
      </c>
      <c r="W162">
        <v>2939</v>
      </c>
      <c r="X162">
        <v>3521</v>
      </c>
    </row>
    <row r="163" spans="1:24">
      <c r="A163" s="7" t="s">
        <v>253</v>
      </c>
      <c r="B163" s="16" t="s">
        <v>105</v>
      </c>
      <c r="C163">
        <v>248206375.19914287</v>
      </c>
      <c r="D163">
        <v>245351523.5971072</v>
      </c>
      <c r="E163">
        <v>45241889.189189196</v>
      </c>
      <c r="F163">
        <v>89020412.61261262</v>
      </c>
      <c r="G163">
        <v>57</v>
      </c>
      <c r="H163">
        <v>70</v>
      </c>
      <c r="I163">
        <v>9</v>
      </c>
      <c r="J163">
        <v>10</v>
      </c>
      <c r="K163">
        <v>1</v>
      </c>
      <c r="M163">
        <v>62</v>
      </c>
      <c r="N163">
        <v>102</v>
      </c>
      <c r="O163">
        <v>34934279.279279277</v>
      </c>
      <c r="P163">
        <v>36950810.810810819</v>
      </c>
      <c r="Q163">
        <v>72</v>
      </c>
      <c r="R163">
        <v>377</v>
      </c>
      <c r="S163">
        <v>72645117.117117122</v>
      </c>
      <c r="T163">
        <v>69967774.774774775</v>
      </c>
      <c r="U163">
        <v>32811711.711711716</v>
      </c>
      <c r="V163">
        <v>38878288.288288288</v>
      </c>
      <c r="W163">
        <v>5423</v>
      </c>
      <c r="X163">
        <v>5299</v>
      </c>
    </row>
    <row r="164" spans="1:24">
      <c r="A164" s="7" t="s">
        <v>670</v>
      </c>
      <c r="B164" s="16" t="s">
        <v>181</v>
      </c>
      <c r="E164">
        <v>78288288.288288295</v>
      </c>
      <c r="F164">
        <v>41148648.648648649</v>
      </c>
      <c r="O164">
        <v>11207657.657657657</v>
      </c>
      <c r="P164">
        <v>2197297.297297298</v>
      </c>
    </row>
    <row r="165" spans="1:24">
      <c r="A165" s="7" t="s">
        <v>254</v>
      </c>
      <c r="B165" s="16" t="s">
        <v>105</v>
      </c>
      <c r="C165">
        <v>159797269.31452706</v>
      </c>
      <c r="D165">
        <v>155507879.15729371</v>
      </c>
      <c r="E165">
        <v>1478378.3783783789</v>
      </c>
      <c r="F165">
        <v>1693693.6936936949</v>
      </c>
      <c r="G165">
        <v>19</v>
      </c>
      <c r="H165">
        <v>15</v>
      </c>
      <c r="I165">
        <v>0</v>
      </c>
      <c r="J165">
        <v>0</v>
      </c>
      <c r="M165">
        <v>21</v>
      </c>
      <c r="N165">
        <v>18</v>
      </c>
      <c r="O165">
        <v>11504864.864864862</v>
      </c>
      <c r="P165">
        <v>10861621.62162162</v>
      </c>
      <c r="Q165">
        <v>12</v>
      </c>
      <c r="R165">
        <v>47</v>
      </c>
      <c r="S165">
        <v>47679277.477477483</v>
      </c>
      <c r="T165">
        <v>48352018.018018015</v>
      </c>
      <c r="U165">
        <v>9312702.7027027048</v>
      </c>
      <c r="V165">
        <v>9920720.7207207195</v>
      </c>
      <c r="W165">
        <v>3910</v>
      </c>
      <c r="X165">
        <v>3841</v>
      </c>
    </row>
    <row r="166" spans="1:24">
      <c r="A166" s="7" t="s">
        <v>255</v>
      </c>
      <c r="B166" s="16" t="s">
        <v>105</v>
      </c>
      <c r="C166">
        <v>133546254.6675266</v>
      </c>
      <c r="D166">
        <v>135561477.4804863</v>
      </c>
      <c r="E166">
        <v>983783.78378378402</v>
      </c>
      <c r="F166">
        <v>103603.603603604</v>
      </c>
      <c r="G166">
        <v>17</v>
      </c>
      <c r="H166">
        <v>19</v>
      </c>
      <c r="I166">
        <v>0</v>
      </c>
      <c r="J166">
        <v>0</v>
      </c>
      <c r="M166">
        <v>18</v>
      </c>
      <c r="N166">
        <v>24</v>
      </c>
      <c r="O166">
        <v>2019819.8198198201</v>
      </c>
      <c r="P166">
        <v>1454954.954954955</v>
      </c>
      <c r="Q166">
        <v>1</v>
      </c>
      <c r="S166">
        <v>27418963.963963963</v>
      </c>
      <c r="T166">
        <v>28933619.819819819</v>
      </c>
      <c r="U166">
        <v>1408828.8288288291</v>
      </c>
      <c r="V166">
        <v>1169819.8198198201</v>
      </c>
      <c r="W166">
        <v>2155</v>
      </c>
      <c r="X166">
        <v>2088</v>
      </c>
    </row>
    <row r="167" spans="1:24">
      <c r="A167" s="7" t="s">
        <v>256</v>
      </c>
      <c r="B167" s="16" t="s">
        <v>134</v>
      </c>
      <c r="C167">
        <v>212348282.27351129</v>
      </c>
      <c r="D167">
        <v>207166306.08321512</v>
      </c>
      <c r="E167">
        <v>197171877.47747746</v>
      </c>
      <c r="F167">
        <v>217597054.95495495</v>
      </c>
      <c r="G167">
        <v>24</v>
      </c>
      <c r="H167">
        <v>20</v>
      </c>
      <c r="I167">
        <v>1</v>
      </c>
      <c r="J167">
        <v>2</v>
      </c>
      <c r="M167">
        <v>25</v>
      </c>
      <c r="N167">
        <v>20</v>
      </c>
      <c r="O167">
        <v>28290990.990990993</v>
      </c>
      <c r="P167">
        <v>39036036.036036029</v>
      </c>
      <c r="Q167">
        <v>170</v>
      </c>
      <c r="S167">
        <v>14369990.990990993</v>
      </c>
      <c r="T167">
        <v>14581018.018018017</v>
      </c>
      <c r="U167">
        <v>5703963.963963964</v>
      </c>
      <c r="V167">
        <v>4125495.4954954959</v>
      </c>
      <c r="W167">
        <v>4044</v>
      </c>
      <c r="X167">
        <v>4170</v>
      </c>
    </row>
    <row r="168" spans="1:24">
      <c r="A168" s="7" t="s">
        <v>257</v>
      </c>
      <c r="B168" s="16" t="s">
        <v>167</v>
      </c>
      <c r="C168">
        <v>80897549.365350768</v>
      </c>
      <c r="D168">
        <v>70390732.327584103</v>
      </c>
      <c r="E168">
        <v>2027027.027027027</v>
      </c>
      <c r="F168">
        <v>6801801.8018018017</v>
      </c>
      <c r="G168">
        <v>46</v>
      </c>
      <c r="H168">
        <v>19</v>
      </c>
      <c r="I168">
        <v>0</v>
      </c>
      <c r="J168">
        <v>0</v>
      </c>
      <c r="M168">
        <v>52</v>
      </c>
      <c r="N168">
        <v>22</v>
      </c>
      <c r="O168">
        <v>5145945.9459459474</v>
      </c>
      <c r="P168">
        <v>4429521.6216216208</v>
      </c>
      <c r="Q168">
        <v>12</v>
      </c>
      <c r="S168">
        <v>28635225.225225225</v>
      </c>
      <c r="T168">
        <v>24560148.648648649</v>
      </c>
      <c r="U168">
        <v>5188468.4684684714</v>
      </c>
      <c r="V168">
        <v>3993423.423423423</v>
      </c>
      <c r="W168">
        <v>2469</v>
      </c>
      <c r="X168">
        <v>2420</v>
      </c>
    </row>
    <row r="169" spans="1:24">
      <c r="A169" s="7" t="s">
        <v>258</v>
      </c>
      <c r="B169" s="16" t="s">
        <v>60</v>
      </c>
      <c r="C169">
        <v>31900477.618191373</v>
      </c>
      <c r="D169">
        <v>28241782.960289925</v>
      </c>
      <c r="E169">
        <v>15765.765765766</v>
      </c>
      <c r="F169">
        <v>261261.261261262</v>
      </c>
      <c r="G169">
        <v>11</v>
      </c>
      <c r="H169">
        <v>16</v>
      </c>
      <c r="I169">
        <v>1</v>
      </c>
      <c r="J169">
        <v>5</v>
      </c>
      <c r="K169">
        <v>2</v>
      </c>
      <c r="M169">
        <v>32</v>
      </c>
      <c r="N169">
        <v>22</v>
      </c>
      <c r="O169">
        <v>7547297.297297297</v>
      </c>
      <c r="P169">
        <v>4846846.8468468478</v>
      </c>
      <c r="Q169">
        <v>7</v>
      </c>
      <c r="R169">
        <v>19</v>
      </c>
      <c r="S169">
        <v>12171081.081081079</v>
      </c>
      <c r="T169">
        <v>9914180.1801801808</v>
      </c>
      <c r="U169">
        <v>5878198.1981981993</v>
      </c>
      <c r="V169">
        <v>6849459.4594594603</v>
      </c>
      <c r="W169">
        <v>720</v>
      </c>
      <c r="X169">
        <v>886</v>
      </c>
    </row>
    <row r="170" spans="1:24">
      <c r="A170" s="7" t="s">
        <v>259</v>
      </c>
      <c r="B170" s="16" t="s">
        <v>260</v>
      </c>
      <c r="C170">
        <v>15926800.894209053</v>
      </c>
      <c r="D170">
        <v>17568279.193396237</v>
      </c>
      <c r="E170">
        <v>1801801.8018018019</v>
      </c>
      <c r="F170">
        <v>10810.810810810999</v>
      </c>
      <c r="G170">
        <v>10</v>
      </c>
      <c r="H170">
        <v>5</v>
      </c>
      <c r="M170">
        <v>10</v>
      </c>
      <c r="N170">
        <v>6</v>
      </c>
      <c r="O170">
        <v>2702702.702702703</v>
      </c>
      <c r="P170">
        <v>4098648.648648649</v>
      </c>
      <c r="S170">
        <v>3254504.5045045051</v>
      </c>
      <c r="T170">
        <v>3038720.72072072</v>
      </c>
      <c r="U170">
        <v>4242432.4324324327</v>
      </c>
      <c r="V170">
        <v>1760180.1801801799</v>
      </c>
      <c r="W170">
        <v>585</v>
      </c>
      <c r="X170">
        <v>516</v>
      </c>
    </row>
    <row r="171" spans="1:24">
      <c r="A171" s="7" t="s">
        <v>261</v>
      </c>
      <c r="B171" s="16" t="s">
        <v>60</v>
      </c>
      <c r="C171">
        <v>268877807.5774861</v>
      </c>
      <c r="D171">
        <v>269378614.51525509</v>
      </c>
      <c r="E171">
        <v>148373554.95495495</v>
      </c>
      <c r="F171">
        <v>234356518.91891891</v>
      </c>
      <c r="G171">
        <v>122</v>
      </c>
      <c r="H171">
        <v>221</v>
      </c>
      <c r="I171">
        <v>20</v>
      </c>
      <c r="J171">
        <v>43</v>
      </c>
      <c r="K171">
        <v>12</v>
      </c>
      <c r="M171">
        <v>175</v>
      </c>
      <c r="N171">
        <v>298</v>
      </c>
      <c r="O171">
        <v>52878468.468468465</v>
      </c>
      <c r="P171">
        <v>56579729.729729727</v>
      </c>
      <c r="Q171">
        <v>534</v>
      </c>
      <c r="R171">
        <v>2073</v>
      </c>
      <c r="S171">
        <v>94179261.261261269</v>
      </c>
      <c r="T171">
        <v>99413781.531531543</v>
      </c>
      <c r="U171">
        <v>52042522.522522517</v>
      </c>
      <c r="V171">
        <v>64739549.54954955</v>
      </c>
      <c r="W171">
        <v>6268</v>
      </c>
      <c r="X171">
        <v>6165</v>
      </c>
    </row>
    <row r="172" spans="1:24">
      <c r="A172" s="7" t="s">
        <v>262</v>
      </c>
      <c r="B172" s="16" t="s">
        <v>123</v>
      </c>
      <c r="C172">
        <v>216798198.6336906</v>
      </c>
      <c r="D172">
        <v>207347935.32433572</v>
      </c>
      <c r="E172">
        <v>304054.05405405501</v>
      </c>
      <c r="F172">
        <v>307207.20720720798</v>
      </c>
      <c r="G172">
        <v>35</v>
      </c>
      <c r="H172">
        <v>42</v>
      </c>
      <c r="I172">
        <v>0</v>
      </c>
      <c r="J172">
        <v>2</v>
      </c>
      <c r="K172">
        <v>1</v>
      </c>
      <c r="M172">
        <v>40</v>
      </c>
      <c r="N172">
        <v>58</v>
      </c>
      <c r="O172">
        <v>10874864.864864863</v>
      </c>
      <c r="P172">
        <v>11654774.774774777</v>
      </c>
      <c r="Q172">
        <v>15</v>
      </c>
      <c r="R172">
        <v>27</v>
      </c>
      <c r="S172">
        <v>82130981.981981978</v>
      </c>
      <c r="T172">
        <v>81594117.117117122</v>
      </c>
      <c r="U172">
        <v>10049279.27927928</v>
      </c>
      <c r="V172">
        <v>10676396.396396397</v>
      </c>
      <c r="W172">
        <v>5572</v>
      </c>
      <c r="X172">
        <v>5604</v>
      </c>
    </row>
    <row r="173" spans="1:24">
      <c r="A173" s="7" t="s">
        <v>263</v>
      </c>
      <c r="B173" s="16" t="s">
        <v>123</v>
      </c>
      <c r="C173">
        <v>93850997.372626096</v>
      </c>
      <c r="D173">
        <v>87956439.381867677</v>
      </c>
      <c r="E173">
        <v>396396.39639639598</v>
      </c>
      <c r="F173">
        <v>929054.05405405501</v>
      </c>
      <c r="G173">
        <v>33</v>
      </c>
      <c r="H173">
        <v>30</v>
      </c>
      <c r="I173">
        <v>5</v>
      </c>
      <c r="J173">
        <v>4</v>
      </c>
      <c r="K173">
        <v>2</v>
      </c>
      <c r="M173">
        <v>38</v>
      </c>
      <c r="N173">
        <v>94</v>
      </c>
      <c r="O173">
        <v>18114684.684684683</v>
      </c>
      <c r="P173">
        <v>19838828.828828827</v>
      </c>
      <c r="Q173">
        <v>21</v>
      </c>
      <c r="R173">
        <v>444</v>
      </c>
      <c r="S173">
        <v>38926072.072072074</v>
      </c>
      <c r="T173">
        <v>36544900.9009009</v>
      </c>
      <c r="U173">
        <v>20924054.054054055</v>
      </c>
      <c r="V173">
        <v>18490270.270270269</v>
      </c>
      <c r="W173">
        <v>2403</v>
      </c>
      <c r="X173">
        <v>2576</v>
      </c>
    </row>
    <row r="174" spans="1:24">
      <c r="A174" s="7" t="s">
        <v>264</v>
      </c>
      <c r="B174" s="16" t="s">
        <v>125</v>
      </c>
      <c r="C174">
        <v>217663295.37995857</v>
      </c>
      <c r="D174">
        <v>220829577.99253553</v>
      </c>
      <c r="E174">
        <v>21006076.576576576</v>
      </c>
      <c r="F174">
        <v>43004818.018018015</v>
      </c>
      <c r="G174">
        <v>27</v>
      </c>
      <c r="H174">
        <v>61</v>
      </c>
      <c r="I174">
        <v>3</v>
      </c>
      <c r="J174">
        <v>4</v>
      </c>
      <c r="M174">
        <v>29</v>
      </c>
      <c r="N174">
        <v>63</v>
      </c>
      <c r="O174">
        <v>26760810.810810812</v>
      </c>
      <c r="P174">
        <v>26935135.135135137</v>
      </c>
      <c r="Q174">
        <v>24</v>
      </c>
      <c r="R174">
        <v>7</v>
      </c>
      <c r="S174">
        <v>75957387.387387395</v>
      </c>
      <c r="T174">
        <v>80118654.054054052</v>
      </c>
      <c r="U174">
        <v>21500990.990990993</v>
      </c>
      <c r="V174">
        <v>16349819.819819819</v>
      </c>
      <c r="W174">
        <v>4411</v>
      </c>
      <c r="X174">
        <v>4455</v>
      </c>
    </row>
    <row r="175" spans="1:24">
      <c r="A175" s="7" t="s">
        <v>265</v>
      </c>
      <c r="B175" s="16" t="s">
        <v>123</v>
      </c>
      <c r="C175">
        <v>223290777.84059069</v>
      </c>
      <c r="D175">
        <v>211543350.40442097</v>
      </c>
      <c r="E175">
        <v>330630.63063063001</v>
      </c>
      <c r="F175">
        <v>1457657.6576576589</v>
      </c>
      <c r="G175">
        <v>64</v>
      </c>
      <c r="H175">
        <v>25</v>
      </c>
      <c r="I175">
        <v>6</v>
      </c>
      <c r="J175">
        <v>4</v>
      </c>
      <c r="M175">
        <v>69</v>
      </c>
      <c r="N175">
        <v>28</v>
      </c>
      <c r="O175">
        <v>17789729.729729727</v>
      </c>
      <c r="P175">
        <v>18170630.630630631</v>
      </c>
      <c r="Q175">
        <v>46</v>
      </c>
      <c r="R175">
        <v>42</v>
      </c>
      <c r="S175">
        <v>77812837.837837845</v>
      </c>
      <c r="T175">
        <v>74039482.882882878</v>
      </c>
      <c r="U175">
        <v>17735225.225225225</v>
      </c>
      <c r="V175">
        <v>18993423.423423424</v>
      </c>
      <c r="W175">
        <v>4737</v>
      </c>
      <c r="X175">
        <v>4796</v>
      </c>
    </row>
    <row r="176" spans="1:24">
      <c r="A176" s="7" t="s">
        <v>266</v>
      </c>
      <c r="B176" s="16" t="s">
        <v>123</v>
      </c>
      <c r="C176">
        <v>219025590.3654044</v>
      </c>
      <c r="D176">
        <v>222764603.68719953</v>
      </c>
      <c r="E176">
        <v>1571171.1711711721</v>
      </c>
      <c r="F176">
        <v>2460810.8108108109</v>
      </c>
      <c r="G176">
        <v>29</v>
      </c>
      <c r="H176">
        <v>42</v>
      </c>
      <c r="I176">
        <v>1</v>
      </c>
      <c r="J176">
        <v>4</v>
      </c>
      <c r="M176">
        <v>30</v>
      </c>
      <c r="N176">
        <v>48</v>
      </c>
      <c r="O176">
        <v>25690810.810810808</v>
      </c>
      <c r="P176">
        <v>24109549.549549554</v>
      </c>
      <c r="Q176">
        <v>89</v>
      </c>
      <c r="R176">
        <v>134</v>
      </c>
      <c r="S176">
        <v>85084765.765765756</v>
      </c>
      <c r="T176">
        <v>90842448.648648635</v>
      </c>
      <c r="U176">
        <v>24176216.216216218</v>
      </c>
      <c r="V176">
        <v>23756666.666666668</v>
      </c>
      <c r="W176">
        <v>5483</v>
      </c>
      <c r="X176">
        <v>5531</v>
      </c>
    </row>
    <row r="177" spans="1:24">
      <c r="A177" s="7" t="s">
        <v>267</v>
      </c>
      <c r="B177" s="16" t="s">
        <v>178</v>
      </c>
      <c r="C177">
        <v>1172311137.1429038</v>
      </c>
      <c r="D177">
        <v>1125068617.5001552</v>
      </c>
      <c r="E177">
        <v>891381343.24324322</v>
      </c>
      <c r="F177">
        <v>983761717.11711717</v>
      </c>
      <c r="G177">
        <v>556</v>
      </c>
      <c r="H177">
        <v>527</v>
      </c>
      <c r="I177">
        <v>41</v>
      </c>
      <c r="J177">
        <v>79</v>
      </c>
      <c r="K177">
        <v>4</v>
      </c>
      <c r="M177">
        <v>833</v>
      </c>
      <c r="N177">
        <v>1053</v>
      </c>
      <c r="O177">
        <v>174335492.7927928</v>
      </c>
      <c r="P177">
        <v>155543446.84684685</v>
      </c>
      <c r="Q177">
        <v>653</v>
      </c>
      <c r="R177">
        <v>749</v>
      </c>
      <c r="S177">
        <v>330549900.9009009</v>
      </c>
      <c r="T177">
        <v>342686263.96396399</v>
      </c>
      <c r="U177">
        <v>163751351.35135135</v>
      </c>
      <c r="V177">
        <v>143429279.27927929</v>
      </c>
      <c r="W177">
        <v>31991</v>
      </c>
      <c r="X177">
        <v>32755</v>
      </c>
    </row>
    <row r="178" spans="1:24">
      <c r="A178" s="7" t="s">
        <v>268</v>
      </c>
      <c r="B178" s="16" t="s">
        <v>62</v>
      </c>
      <c r="C178">
        <v>175366300.94444734</v>
      </c>
      <c r="D178">
        <v>184608544.37716421</v>
      </c>
      <c r="E178">
        <v>1656846.8468468499</v>
      </c>
      <c r="F178">
        <v>3754054.0540540572</v>
      </c>
      <c r="G178">
        <v>33</v>
      </c>
      <c r="H178">
        <v>57</v>
      </c>
      <c r="I178">
        <v>10</v>
      </c>
      <c r="J178">
        <v>21</v>
      </c>
      <c r="M178">
        <v>39</v>
      </c>
      <c r="N178">
        <v>69</v>
      </c>
      <c r="O178">
        <v>15841351.351351351</v>
      </c>
      <c r="P178">
        <v>60510000</v>
      </c>
      <c r="Q178">
        <v>59</v>
      </c>
      <c r="R178">
        <v>79</v>
      </c>
      <c r="S178">
        <v>58059684.684684686</v>
      </c>
      <c r="T178">
        <v>59510675.675675675</v>
      </c>
      <c r="U178">
        <v>15290360.36036036</v>
      </c>
      <c r="V178">
        <v>48053063.063063055</v>
      </c>
      <c r="W178">
        <v>4687</v>
      </c>
      <c r="X178">
        <v>4728</v>
      </c>
    </row>
    <row r="179" spans="1:24">
      <c r="A179" s="7" t="s">
        <v>269</v>
      </c>
      <c r="B179" s="16" t="s">
        <v>70</v>
      </c>
      <c r="C179">
        <v>234842799.58064324</v>
      </c>
      <c r="D179">
        <v>239026975.87020376</v>
      </c>
      <c r="E179">
        <v>146594310.8108108</v>
      </c>
      <c r="F179">
        <v>131851581.98198198</v>
      </c>
      <c r="G179">
        <v>56</v>
      </c>
      <c r="H179">
        <v>79</v>
      </c>
      <c r="I179">
        <v>4</v>
      </c>
      <c r="J179">
        <v>26</v>
      </c>
      <c r="M179">
        <v>58</v>
      </c>
      <c r="N179">
        <v>150</v>
      </c>
      <c r="O179">
        <v>84437202.702702701</v>
      </c>
      <c r="P179">
        <v>78714874.77477479</v>
      </c>
      <c r="Q179">
        <v>108</v>
      </c>
      <c r="R179">
        <v>168</v>
      </c>
      <c r="S179">
        <v>105346603.6036036</v>
      </c>
      <c r="T179">
        <v>108774981.98198198</v>
      </c>
      <c r="U179">
        <v>33010225.225225229</v>
      </c>
      <c r="V179">
        <v>19894954.954954959</v>
      </c>
      <c r="W179">
        <v>6916</v>
      </c>
      <c r="X179">
        <v>6871</v>
      </c>
    </row>
    <row r="180" spans="1:24">
      <c r="A180" s="7" t="s">
        <v>270</v>
      </c>
      <c r="B180" s="16" t="s">
        <v>134</v>
      </c>
      <c r="C180">
        <v>3022622.6038092519</v>
      </c>
      <c r="D180">
        <v>3703472.435166643</v>
      </c>
      <c r="G180">
        <v>2</v>
      </c>
      <c r="M180">
        <v>3</v>
      </c>
      <c r="S180">
        <v>183783.783783783</v>
      </c>
      <c r="T180">
        <v>242882.88288288299</v>
      </c>
      <c r="W180">
        <v>244</v>
      </c>
      <c r="X180">
        <v>260</v>
      </c>
    </row>
    <row r="181" spans="1:24">
      <c r="A181" s="7" t="s">
        <v>271</v>
      </c>
      <c r="B181" s="16" t="s">
        <v>76</v>
      </c>
      <c r="C181">
        <v>113680566.15776956</v>
      </c>
      <c r="D181">
        <v>111859809.17333347</v>
      </c>
      <c r="E181">
        <v>9009.0090090089998</v>
      </c>
      <c r="F181">
        <v>67567.567567567996</v>
      </c>
      <c r="G181">
        <v>29</v>
      </c>
      <c r="H181">
        <v>15</v>
      </c>
      <c r="I181">
        <v>0</v>
      </c>
      <c r="J181">
        <v>0</v>
      </c>
      <c r="M181">
        <v>34</v>
      </c>
      <c r="N181">
        <v>17</v>
      </c>
      <c r="O181">
        <v>99099.099099098996</v>
      </c>
      <c r="P181">
        <v>157657.65765765801</v>
      </c>
      <c r="S181">
        <v>6884639.6396396402</v>
      </c>
      <c r="T181">
        <v>7163959.4594594594</v>
      </c>
      <c r="U181">
        <v>261261.26126126101</v>
      </c>
      <c r="V181">
        <v>210360.36036036001</v>
      </c>
      <c r="W181">
        <v>2361</v>
      </c>
      <c r="X181">
        <v>2476</v>
      </c>
    </row>
    <row r="182" spans="1:24">
      <c r="A182" s="7" t="s">
        <v>272</v>
      </c>
      <c r="B182" s="16" t="s">
        <v>76</v>
      </c>
      <c r="C182">
        <v>40934373.234420739</v>
      </c>
      <c r="D182">
        <v>37655229.247029819</v>
      </c>
      <c r="E182">
        <v>56306.306306306004</v>
      </c>
      <c r="F182">
        <v>150450.450450451</v>
      </c>
      <c r="G182">
        <v>15</v>
      </c>
      <c r="H182">
        <v>3</v>
      </c>
      <c r="I182">
        <v>1</v>
      </c>
      <c r="J182">
        <v>1</v>
      </c>
      <c r="M182">
        <v>17</v>
      </c>
      <c r="N182">
        <v>4</v>
      </c>
      <c r="O182">
        <v>11497747.747747747</v>
      </c>
      <c r="P182">
        <v>10073153.153153151</v>
      </c>
      <c r="Q182">
        <v>24</v>
      </c>
      <c r="R182">
        <v>23</v>
      </c>
      <c r="S182">
        <v>12209819.819819819</v>
      </c>
      <c r="T182">
        <v>10266045.045045044</v>
      </c>
      <c r="U182">
        <v>8558648.6486486495</v>
      </c>
      <c r="V182">
        <v>8231801.8018018007</v>
      </c>
      <c r="W182">
        <v>858</v>
      </c>
      <c r="X182">
        <v>761</v>
      </c>
    </row>
    <row r="183" spans="1:24">
      <c r="A183" s="7" t="s">
        <v>273</v>
      </c>
      <c r="B183" s="16" t="s">
        <v>260</v>
      </c>
      <c r="C183">
        <v>852059662.74081171</v>
      </c>
      <c r="D183">
        <v>797941591.37797225</v>
      </c>
      <c r="E183">
        <v>25006756.75675676</v>
      </c>
      <c r="F183">
        <v>75666666.666666672</v>
      </c>
      <c r="G183">
        <v>148</v>
      </c>
      <c r="H183">
        <v>227</v>
      </c>
      <c r="I183">
        <v>20</v>
      </c>
      <c r="J183">
        <v>26</v>
      </c>
      <c r="K183">
        <v>1</v>
      </c>
      <c r="M183">
        <v>177</v>
      </c>
      <c r="N183">
        <v>322</v>
      </c>
      <c r="O183">
        <v>144574549.54954955</v>
      </c>
      <c r="P183">
        <v>161486036.03603604</v>
      </c>
      <c r="Q183">
        <v>95</v>
      </c>
      <c r="R183">
        <v>31</v>
      </c>
      <c r="S183">
        <v>236410558.55855855</v>
      </c>
      <c r="T183">
        <v>245314472.97297296</v>
      </c>
      <c r="U183">
        <v>137689549.54954955</v>
      </c>
      <c r="V183">
        <v>137474234.23423424</v>
      </c>
      <c r="W183">
        <v>19556</v>
      </c>
      <c r="X183">
        <v>18428</v>
      </c>
    </row>
    <row r="184" spans="1:24">
      <c r="A184" s="7" t="s">
        <v>274</v>
      </c>
      <c r="B184" s="16" t="s">
        <v>260</v>
      </c>
      <c r="C184">
        <v>196492248.22188252</v>
      </c>
      <c r="D184">
        <v>173332420.13919231</v>
      </c>
      <c r="E184">
        <v>1675675.6756756769</v>
      </c>
      <c r="F184">
        <v>1236486.486486489</v>
      </c>
      <c r="G184">
        <v>19</v>
      </c>
      <c r="H184">
        <v>9</v>
      </c>
      <c r="I184">
        <v>2</v>
      </c>
      <c r="J184">
        <v>2</v>
      </c>
      <c r="M184">
        <v>20</v>
      </c>
      <c r="N184">
        <v>11</v>
      </c>
      <c r="O184">
        <v>9836936.9369369354</v>
      </c>
      <c r="P184">
        <v>13355405.405405404</v>
      </c>
      <c r="Q184">
        <v>4</v>
      </c>
      <c r="S184">
        <v>35382783.783783786</v>
      </c>
      <c r="T184">
        <v>35401603.603603601</v>
      </c>
      <c r="U184">
        <v>8568828.8288288284</v>
      </c>
      <c r="V184">
        <v>11209639.639639638</v>
      </c>
      <c r="W184">
        <v>3777</v>
      </c>
      <c r="X184">
        <v>3889</v>
      </c>
    </row>
    <row r="185" spans="1:24">
      <c r="A185" s="7" t="s">
        <v>275</v>
      </c>
      <c r="B185" s="16" t="s">
        <v>260</v>
      </c>
      <c r="C185">
        <v>205028328.47483361</v>
      </c>
      <c r="D185">
        <v>194380821.7941809</v>
      </c>
      <c r="E185">
        <v>6277387.3873873875</v>
      </c>
      <c r="F185">
        <v>4938288.2882882887</v>
      </c>
      <c r="G185">
        <v>28</v>
      </c>
      <c r="H185">
        <v>21</v>
      </c>
      <c r="I185">
        <v>4</v>
      </c>
      <c r="J185">
        <v>5</v>
      </c>
      <c r="M185">
        <v>31</v>
      </c>
      <c r="N185">
        <v>26</v>
      </c>
      <c r="O185">
        <v>35220720.720720723</v>
      </c>
      <c r="P185">
        <v>36135135.135135137</v>
      </c>
      <c r="Q185">
        <v>300</v>
      </c>
      <c r="R185">
        <v>21</v>
      </c>
      <c r="S185">
        <v>46109864.864864863</v>
      </c>
      <c r="T185">
        <v>43106018.018018015</v>
      </c>
      <c r="U185">
        <v>35260270.270270266</v>
      </c>
      <c r="V185">
        <v>33622342.342342347</v>
      </c>
      <c r="W185">
        <v>5908</v>
      </c>
      <c r="X185">
        <v>8689</v>
      </c>
    </row>
    <row r="186" spans="1:24">
      <c r="A186" s="7" t="s">
        <v>276</v>
      </c>
      <c r="B186" s="16" t="s">
        <v>134</v>
      </c>
      <c r="C186">
        <v>243163091.31641939</v>
      </c>
      <c r="D186">
        <v>248015025.94133729</v>
      </c>
      <c r="E186">
        <v>27027.027027027001</v>
      </c>
      <c r="F186">
        <v>306306.30630630802</v>
      </c>
      <c r="G186">
        <v>41</v>
      </c>
      <c r="H186">
        <v>53</v>
      </c>
      <c r="I186">
        <v>4</v>
      </c>
      <c r="J186">
        <v>5</v>
      </c>
      <c r="M186">
        <v>43</v>
      </c>
      <c r="N186">
        <v>60</v>
      </c>
      <c r="O186">
        <v>9576576.5765765756</v>
      </c>
      <c r="P186">
        <v>14270270.270270271</v>
      </c>
      <c r="Q186">
        <v>12</v>
      </c>
      <c r="S186">
        <v>21592594.59459459</v>
      </c>
      <c r="T186">
        <v>20875238.738738742</v>
      </c>
      <c r="U186">
        <v>6744414.4144144142</v>
      </c>
      <c r="V186">
        <v>5570540.5405405406</v>
      </c>
      <c r="W186">
        <v>5344</v>
      </c>
      <c r="X186">
        <v>5427</v>
      </c>
    </row>
    <row r="187" spans="1:24">
      <c r="A187" s="7" t="s">
        <v>277</v>
      </c>
      <c r="B187" s="16" t="s">
        <v>169</v>
      </c>
      <c r="C187">
        <v>188060050.15175903</v>
      </c>
      <c r="D187">
        <v>150658112.62343949</v>
      </c>
      <c r="E187">
        <v>69164864.864864871</v>
      </c>
      <c r="F187">
        <v>75416216.216216221</v>
      </c>
      <c r="G187">
        <v>32</v>
      </c>
      <c r="H187">
        <v>27</v>
      </c>
      <c r="I187">
        <v>1</v>
      </c>
      <c r="J187">
        <v>1</v>
      </c>
      <c r="M187">
        <v>32</v>
      </c>
      <c r="N187">
        <v>43</v>
      </c>
      <c r="O187">
        <v>21700450.45045045</v>
      </c>
      <c r="P187">
        <v>17371441.441441443</v>
      </c>
      <c r="Q187">
        <v>12</v>
      </c>
      <c r="R187">
        <v>2</v>
      </c>
      <c r="S187">
        <v>75984171.171171173</v>
      </c>
      <c r="T187">
        <v>67860403.153153151</v>
      </c>
      <c r="U187">
        <v>12396036.036036037</v>
      </c>
      <c r="V187">
        <v>8906666.6666666679</v>
      </c>
      <c r="W187">
        <v>3265</v>
      </c>
      <c r="X187">
        <v>3305</v>
      </c>
    </row>
    <row r="188" spans="1:24">
      <c r="A188" s="7" t="s">
        <v>278</v>
      </c>
      <c r="B188" s="16" t="s">
        <v>169</v>
      </c>
      <c r="C188">
        <v>80582859.863128141</v>
      </c>
      <c r="D188">
        <v>82995371.618334085</v>
      </c>
      <c r="E188">
        <v>900.900900901</v>
      </c>
      <c r="F188">
        <v>3603.603603604</v>
      </c>
      <c r="G188">
        <v>4</v>
      </c>
      <c r="H188">
        <v>11</v>
      </c>
      <c r="M188">
        <v>4</v>
      </c>
      <c r="N188">
        <v>12</v>
      </c>
      <c r="O188">
        <v>2253153.1531531531</v>
      </c>
      <c r="P188">
        <v>3369932.4324324322</v>
      </c>
      <c r="S188">
        <v>30283621.62162162</v>
      </c>
      <c r="T188">
        <v>36650022.522522517</v>
      </c>
      <c r="U188">
        <v>3472162.1621621628</v>
      </c>
      <c r="V188">
        <v>4259459.4594594594</v>
      </c>
      <c r="W188">
        <v>1997</v>
      </c>
      <c r="X188">
        <v>2109</v>
      </c>
    </row>
    <row r="189" spans="1:24">
      <c r="A189" s="7" t="s">
        <v>279</v>
      </c>
      <c r="B189" s="16" t="s">
        <v>87</v>
      </c>
      <c r="C189">
        <v>2184110.0520810792</v>
      </c>
      <c r="D189">
        <v>2025060.042199081</v>
      </c>
      <c r="G189">
        <v>4</v>
      </c>
      <c r="H189">
        <v>4</v>
      </c>
      <c r="M189">
        <v>5</v>
      </c>
      <c r="N189">
        <v>4</v>
      </c>
      <c r="S189">
        <v>1193917.1171171169</v>
      </c>
      <c r="T189">
        <v>739018.01801801799</v>
      </c>
      <c r="W189">
        <v>198</v>
      </c>
      <c r="X189">
        <v>149</v>
      </c>
    </row>
    <row r="190" spans="1:24">
      <c r="A190" s="7" t="s">
        <v>280</v>
      </c>
      <c r="B190" s="16" t="s">
        <v>169</v>
      </c>
      <c r="C190">
        <v>143628146.23753259</v>
      </c>
      <c r="D190">
        <v>143862085.48820704</v>
      </c>
      <c r="E190">
        <v>894819.81981981895</v>
      </c>
      <c r="F190">
        <v>601801.80180180201</v>
      </c>
      <c r="G190">
        <v>23</v>
      </c>
      <c r="H190">
        <v>31</v>
      </c>
      <c r="I190">
        <v>4</v>
      </c>
      <c r="J190">
        <v>3</v>
      </c>
      <c r="M190">
        <v>27</v>
      </c>
      <c r="N190">
        <v>33</v>
      </c>
      <c r="O190">
        <v>15962612.612612613</v>
      </c>
      <c r="P190">
        <v>18198918.918918919</v>
      </c>
      <c r="Q190">
        <v>84</v>
      </c>
      <c r="R190">
        <v>54</v>
      </c>
      <c r="S190">
        <v>54996396.396396399</v>
      </c>
      <c r="T190">
        <v>59118189.189189196</v>
      </c>
      <c r="U190">
        <v>14750000</v>
      </c>
      <c r="V190">
        <v>17357657.657657657</v>
      </c>
      <c r="W190">
        <v>4191</v>
      </c>
      <c r="X190">
        <v>4116</v>
      </c>
    </row>
    <row r="191" spans="1:24">
      <c r="A191" s="7" t="s">
        <v>281</v>
      </c>
      <c r="B191" s="16" t="s">
        <v>54</v>
      </c>
      <c r="C191">
        <v>111522123.52767508</v>
      </c>
      <c r="D191">
        <v>107248422.44137295</v>
      </c>
      <c r="E191">
        <v>585810.81081081298</v>
      </c>
      <c r="F191">
        <v>1224324.324324328</v>
      </c>
      <c r="G191">
        <v>41</v>
      </c>
      <c r="H191">
        <v>33</v>
      </c>
      <c r="I191">
        <v>5</v>
      </c>
      <c r="J191">
        <v>10</v>
      </c>
      <c r="K191">
        <v>3</v>
      </c>
      <c r="M191">
        <v>49</v>
      </c>
      <c r="N191">
        <v>42</v>
      </c>
      <c r="O191">
        <v>11961711.71171171</v>
      </c>
      <c r="P191">
        <v>11159459.459459459</v>
      </c>
      <c r="Q191">
        <v>100</v>
      </c>
      <c r="R191">
        <v>39</v>
      </c>
      <c r="S191">
        <v>23008990.990990993</v>
      </c>
      <c r="T191">
        <v>23017864.864864863</v>
      </c>
      <c r="U191">
        <v>12062432.432432434</v>
      </c>
      <c r="V191">
        <v>10966756.756756755</v>
      </c>
      <c r="W191">
        <v>3735</v>
      </c>
      <c r="X191">
        <v>3742</v>
      </c>
    </row>
    <row r="192" spans="1:24">
      <c r="A192" s="7" t="s">
        <v>282</v>
      </c>
      <c r="B192" s="16" t="s">
        <v>283</v>
      </c>
      <c r="C192">
        <v>181441985.38078204</v>
      </c>
      <c r="D192">
        <v>141866158.69275144</v>
      </c>
      <c r="E192">
        <v>952702.70270270295</v>
      </c>
      <c r="F192">
        <v>312612.612612614</v>
      </c>
      <c r="G192">
        <v>83</v>
      </c>
      <c r="H192">
        <v>41</v>
      </c>
      <c r="I192">
        <v>2</v>
      </c>
      <c r="J192">
        <v>2</v>
      </c>
      <c r="M192">
        <v>85</v>
      </c>
      <c r="N192">
        <v>69</v>
      </c>
      <c r="O192">
        <v>6033783.7837837841</v>
      </c>
      <c r="P192">
        <v>7483783.783783786</v>
      </c>
      <c r="Q192">
        <v>3</v>
      </c>
      <c r="R192">
        <v>2</v>
      </c>
      <c r="S192">
        <v>21731126.126126129</v>
      </c>
      <c r="T192">
        <v>23067648.648648649</v>
      </c>
      <c r="U192">
        <v>6185945.9459459484</v>
      </c>
      <c r="V192">
        <v>7706396.3963963967</v>
      </c>
      <c r="W192">
        <v>3398</v>
      </c>
      <c r="X192">
        <v>3209</v>
      </c>
    </row>
    <row r="193" spans="1:24">
      <c r="A193" s="7" t="s">
        <v>284</v>
      </c>
      <c r="B193" s="16" t="s">
        <v>283</v>
      </c>
      <c r="C193">
        <v>295932489.73626262</v>
      </c>
      <c r="D193">
        <v>307563015.14332026</v>
      </c>
      <c r="E193">
        <v>101732406.3063063</v>
      </c>
      <c r="F193">
        <v>214564881.08108109</v>
      </c>
      <c r="G193">
        <v>75</v>
      </c>
      <c r="H193">
        <v>55</v>
      </c>
      <c r="I193">
        <v>7</v>
      </c>
      <c r="J193">
        <v>3</v>
      </c>
      <c r="M193">
        <v>81</v>
      </c>
      <c r="N193">
        <v>89</v>
      </c>
      <c r="O193">
        <v>44196216.216216214</v>
      </c>
      <c r="P193">
        <v>52582316.216216214</v>
      </c>
      <c r="Q193">
        <v>34</v>
      </c>
      <c r="R193">
        <v>49</v>
      </c>
      <c r="S193">
        <v>57857954.954954959</v>
      </c>
      <c r="T193">
        <v>64706081.081081077</v>
      </c>
      <c r="U193">
        <v>29356126.126126125</v>
      </c>
      <c r="V193">
        <v>31224594.594594598</v>
      </c>
      <c r="W193">
        <v>8077</v>
      </c>
      <c r="X193">
        <v>8118</v>
      </c>
    </row>
    <row r="194" spans="1:24">
      <c r="A194" s="7" t="s">
        <v>285</v>
      </c>
      <c r="B194" s="16" t="s">
        <v>283</v>
      </c>
      <c r="C194">
        <v>157781644.42517099</v>
      </c>
      <c r="D194">
        <v>162380684.20657033</v>
      </c>
      <c r="E194">
        <v>1377477.477477479</v>
      </c>
      <c r="F194">
        <v>1195495.4954954991</v>
      </c>
      <c r="G194">
        <v>58</v>
      </c>
      <c r="H194">
        <v>32</v>
      </c>
      <c r="I194">
        <v>8</v>
      </c>
      <c r="J194">
        <v>5</v>
      </c>
      <c r="M194">
        <v>59</v>
      </c>
      <c r="N194">
        <v>54</v>
      </c>
      <c r="O194">
        <v>38641441.441441439</v>
      </c>
      <c r="P194">
        <v>39635135.135135137</v>
      </c>
      <c r="Q194">
        <v>21</v>
      </c>
      <c r="R194">
        <v>41</v>
      </c>
      <c r="S194">
        <v>51243900.900900893</v>
      </c>
      <c r="T194">
        <v>50955396.396396399</v>
      </c>
      <c r="U194">
        <v>33981171.171171166</v>
      </c>
      <c r="V194">
        <v>35423603.603603601</v>
      </c>
      <c r="W194">
        <v>4692</v>
      </c>
      <c r="X194">
        <v>4618</v>
      </c>
    </row>
    <row r="195" spans="1:24">
      <c r="A195" s="7" t="s">
        <v>286</v>
      </c>
      <c r="B195" s="16" t="s">
        <v>283</v>
      </c>
      <c r="C195">
        <v>113058733.61330715</v>
      </c>
      <c r="D195">
        <v>120901370.47759506</v>
      </c>
      <c r="E195">
        <v>71846.846846847999</v>
      </c>
      <c r="F195">
        <v>361261.26126126398</v>
      </c>
      <c r="G195">
        <v>17</v>
      </c>
      <c r="H195">
        <v>8</v>
      </c>
      <c r="I195">
        <v>4</v>
      </c>
      <c r="J195">
        <v>1</v>
      </c>
      <c r="M195">
        <v>18</v>
      </c>
      <c r="N195">
        <v>10</v>
      </c>
      <c r="O195">
        <v>4617117.1171171181</v>
      </c>
      <c r="P195">
        <v>29712612.612612616</v>
      </c>
      <c r="Q195">
        <v>55</v>
      </c>
      <c r="S195">
        <v>18656207.207207207</v>
      </c>
      <c r="T195">
        <v>23753837.837837838</v>
      </c>
      <c r="U195">
        <v>4258198.1981981974</v>
      </c>
      <c r="V195">
        <v>28973783.783783782</v>
      </c>
      <c r="W195">
        <v>2475</v>
      </c>
      <c r="X195">
        <v>2514</v>
      </c>
    </row>
    <row r="196" spans="1:24">
      <c r="A196" s="7" t="s">
        <v>287</v>
      </c>
      <c r="B196" s="16" t="s">
        <v>283</v>
      </c>
      <c r="C196">
        <v>56640398.69903627</v>
      </c>
      <c r="D196">
        <v>61174256.79876186</v>
      </c>
      <c r="E196">
        <v>77477.477477477994</v>
      </c>
      <c r="F196">
        <v>451351.35135135398</v>
      </c>
      <c r="G196">
        <v>5</v>
      </c>
      <c r="H196">
        <v>1</v>
      </c>
      <c r="I196">
        <v>1</v>
      </c>
      <c r="J196">
        <v>1</v>
      </c>
      <c r="M196">
        <v>5</v>
      </c>
      <c r="N196">
        <v>2</v>
      </c>
      <c r="O196">
        <v>77477.477477477994</v>
      </c>
      <c r="P196">
        <v>12397297.297297295</v>
      </c>
      <c r="R196">
        <v>1</v>
      </c>
      <c r="S196">
        <v>10238153.153153153</v>
      </c>
      <c r="T196">
        <v>11117495.495495496</v>
      </c>
      <c r="V196">
        <v>12069189.18918919</v>
      </c>
      <c r="W196">
        <v>1345</v>
      </c>
      <c r="X196">
        <v>1384</v>
      </c>
    </row>
    <row r="197" spans="1:24">
      <c r="A197" s="7" t="s">
        <v>288</v>
      </c>
      <c r="B197" s="16" t="s">
        <v>283</v>
      </c>
      <c r="C197">
        <v>9581534.0818061046</v>
      </c>
      <c r="D197">
        <v>9924196.2608580012</v>
      </c>
      <c r="E197">
        <v>5180.1801801800002</v>
      </c>
      <c r="F197">
        <v>193693.69369369399</v>
      </c>
      <c r="G197">
        <v>3</v>
      </c>
      <c r="M197">
        <v>3</v>
      </c>
      <c r="O197">
        <v>793693.69369369396</v>
      </c>
      <c r="P197">
        <v>19671171.171171173</v>
      </c>
      <c r="Q197">
        <v>40</v>
      </c>
      <c r="S197">
        <v>1472072.072072072</v>
      </c>
      <c r="T197">
        <v>1382936.936936937</v>
      </c>
      <c r="U197">
        <v>788288.28828828805</v>
      </c>
      <c r="V197">
        <v>18126126.126126129</v>
      </c>
      <c r="W197">
        <v>278</v>
      </c>
      <c r="X197">
        <v>324</v>
      </c>
    </row>
    <row r="198" spans="1:24">
      <c r="A198" s="7" t="s">
        <v>289</v>
      </c>
      <c r="B198" s="16" t="s">
        <v>290</v>
      </c>
      <c r="C198">
        <v>125467602.8830474</v>
      </c>
      <c r="D198">
        <v>125589418.05823618</v>
      </c>
      <c r="E198">
        <v>31531.531531532</v>
      </c>
      <c r="F198">
        <v>115315.31531531599</v>
      </c>
      <c r="G198">
        <v>46</v>
      </c>
      <c r="H198">
        <v>30</v>
      </c>
      <c r="I198">
        <v>2</v>
      </c>
      <c r="J198">
        <v>1</v>
      </c>
      <c r="M198">
        <v>54</v>
      </c>
      <c r="N198">
        <v>35</v>
      </c>
      <c r="O198">
        <v>1518018.0180180189</v>
      </c>
      <c r="P198">
        <v>621621.62162162201</v>
      </c>
      <c r="Q198">
        <v>16</v>
      </c>
      <c r="S198">
        <v>11089228.828828828</v>
      </c>
      <c r="T198">
        <v>11515172.972972972</v>
      </c>
      <c r="U198">
        <v>1160450.4504504511</v>
      </c>
      <c r="V198">
        <v>704144.14414414496</v>
      </c>
      <c r="W198">
        <v>4017</v>
      </c>
      <c r="X198">
        <v>4266</v>
      </c>
    </row>
    <row r="199" spans="1:24">
      <c r="A199" s="7" t="s">
        <v>291</v>
      </c>
      <c r="B199" s="16" t="s">
        <v>147</v>
      </c>
      <c r="C199">
        <v>292077922.13324344</v>
      </c>
      <c r="D199">
        <v>291192102.98651308</v>
      </c>
      <c r="E199">
        <v>720720.72072072304</v>
      </c>
      <c r="F199">
        <v>4556756.7567567583</v>
      </c>
      <c r="G199">
        <v>49</v>
      </c>
      <c r="H199">
        <v>73</v>
      </c>
      <c r="I199">
        <v>8</v>
      </c>
      <c r="J199">
        <v>7</v>
      </c>
      <c r="K199">
        <v>1</v>
      </c>
      <c r="M199">
        <v>60</v>
      </c>
      <c r="N199">
        <v>86</v>
      </c>
      <c r="O199">
        <v>40713153.153153151</v>
      </c>
      <c r="P199">
        <v>105681857.65765765</v>
      </c>
      <c r="Q199">
        <v>88</v>
      </c>
      <c r="R199">
        <v>133</v>
      </c>
      <c r="S199">
        <v>97084774.774774775</v>
      </c>
      <c r="T199">
        <v>116368450.45045045</v>
      </c>
      <c r="U199">
        <v>37207207.207207203</v>
      </c>
      <c r="V199">
        <v>98352162.162162155</v>
      </c>
      <c r="W199">
        <v>7565</v>
      </c>
      <c r="X199">
        <v>8297</v>
      </c>
    </row>
    <row r="200" spans="1:24">
      <c r="A200" s="7" t="s">
        <v>292</v>
      </c>
      <c r="B200" s="16" t="s">
        <v>293</v>
      </c>
      <c r="C200">
        <v>149671223.49425068</v>
      </c>
      <c r="D200">
        <v>138257492.10036299</v>
      </c>
      <c r="E200">
        <v>101965081.98198198</v>
      </c>
      <c r="F200">
        <v>96491505.405405402</v>
      </c>
      <c r="G200">
        <v>14</v>
      </c>
      <c r="H200">
        <v>11</v>
      </c>
      <c r="I200">
        <v>14</v>
      </c>
      <c r="J200">
        <v>6</v>
      </c>
      <c r="M200">
        <v>22</v>
      </c>
      <c r="N200">
        <v>14</v>
      </c>
      <c r="O200">
        <v>24630630.630630627</v>
      </c>
      <c r="P200">
        <v>37899549.549549542</v>
      </c>
      <c r="R200">
        <v>51</v>
      </c>
      <c r="S200">
        <v>18071522.522522524</v>
      </c>
      <c r="T200">
        <v>18872018.018018015</v>
      </c>
      <c r="U200">
        <v>20202072.072072066</v>
      </c>
      <c r="V200">
        <v>31661711.711711712</v>
      </c>
      <c r="W200">
        <v>3733</v>
      </c>
      <c r="X200">
        <v>3479</v>
      </c>
    </row>
    <row r="201" spans="1:24">
      <c r="A201" s="7" t="s">
        <v>294</v>
      </c>
      <c r="B201" s="16" t="s">
        <v>290</v>
      </c>
      <c r="C201">
        <v>42462215.068470903</v>
      </c>
      <c r="D201">
        <v>29932345.552778129</v>
      </c>
      <c r="E201">
        <v>433333.33333333302</v>
      </c>
      <c r="F201">
        <v>648648.64864864899</v>
      </c>
      <c r="G201">
        <v>19</v>
      </c>
      <c r="H201">
        <v>8</v>
      </c>
      <c r="I201">
        <v>1</v>
      </c>
      <c r="J201">
        <v>2</v>
      </c>
      <c r="M201">
        <v>20</v>
      </c>
      <c r="N201">
        <v>8</v>
      </c>
      <c r="O201">
        <v>1334234.2342342341</v>
      </c>
      <c r="P201">
        <v>2496396.3963963962</v>
      </c>
      <c r="Q201">
        <v>1</v>
      </c>
      <c r="S201">
        <v>4646036.036036036</v>
      </c>
      <c r="T201">
        <v>4470178.3783783782</v>
      </c>
      <c r="U201">
        <v>1470270.2702702701</v>
      </c>
      <c r="V201">
        <v>1817567.567567568</v>
      </c>
      <c r="W201">
        <v>1246</v>
      </c>
      <c r="X201">
        <v>1202</v>
      </c>
    </row>
    <row r="202" spans="1:24">
      <c r="A202" s="7" t="s">
        <v>295</v>
      </c>
      <c r="B202" s="16" t="s">
        <v>52</v>
      </c>
      <c r="C202">
        <v>404788679.72481948</v>
      </c>
      <c r="D202">
        <v>400791426.64816475</v>
      </c>
      <c r="E202">
        <v>41346570.270270273</v>
      </c>
      <c r="F202">
        <v>163504504.5045045</v>
      </c>
      <c r="G202">
        <v>76</v>
      </c>
      <c r="H202">
        <v>113</v>
      </c>
      <c r="I202">
        <v>9</v>
      </c>
      <c r="J202">
        <v>15</v>
      </c>
      <c r="M202">
        <v>97</v>
      </c>
      <c r="N202">
        <v>170</v>
      </c>
      <c r="O202">
        <v>282319152.25225228</v>
      </c>
      <c r="P202">
        <v>241333153.15315315</v>
      </c>
      <c r="Q202">
        <v>217</v>
      </c>
      <c r="R202">
        <v>252</v>
      </c>
      <c r="S202">
        <v>106590990.990991</v>
      </c>
      <c r="T202">
        <v>108879486.48648648</v>
      </c>
      <c r="U202">
        <v>289365135.13513511</v>
      </c>
      <c r="V202">
        <v>238069729.72972974</v>
      </c>
      <c r="W202">
        <v>11756</v>
      </c>
      <c r="X202">
        <v>11537</v>
      </c>
    </row>
    <row r="203" spans="1:24">
      <c r="A203" s="7" t="s">
        <v>296</v>
      </c>
      <c r="B203" s="16" t="s">
        <v>169</v>
      </c>
      <c r="C203">
        <v>129720361.44070691</v>
      </c>
      <c r="D203">
        <v>113854359.80723141</v>
      </c>
      <c r="E203">
        <v>1801.801801802</v>
      </c>
      <c r="F203">
        <v>13513.513513514001</v>
      </c>
      <c r="G203">
        <v>17</v>
      </c>
      <c r="H203">
        <v>19</v>
      </c>
      <c r="I203">
        <v>0</v>
      </c>
      <c r="J203">
        <v>0</v>
      </c>
      <c r="K203">
        <v>1</v>
      </c>
      <c r="M203">
        <v>19</v>
      </c>
      <c r="N203">
        <v>24</v>
      </c>
      <c r="O203">
        <v>3920720.7207207209</v>
      </c>
      <c r="P203">
        <v>8752252.2522522528</v>
      </c>
      <c r="S203">
        <v>26959387.387387387</v>
      </c>
      <c r="T203">
        <v>26801207.207207207</v>
      </c>
      <c r="U203">
        <v>4824594.5945945941</v>
      </c>
      <c r="V203">
        <v>7003423.4234234244</v>
      </c>
      <c r="W203">
        <v>4077</v>
      </c>
      <c r="X203">
        <v>4481</v>
      </c>
    </row>
    <row r="204" spans="1:24">
      <c r="A204" s="7" t="s">
        <v>297</v>
      </c>
      <c r="B204" s="16" t="s">
        <v>169</v>
      </c>
      <c r="C204">
        <v>119686043.4304738</v>
      </c>
      <c r="D204">
        <v>156815285.94453374</v>
      </c>
      <c r="E204">
        <v>900.900900901</v>
      </c>
      <c r="F204">
        <v>103603.603603604</v>
      </c>
      <c r="G204">
        <v>14</v>
      </c>
      <c r="H204">
        <v>26</v>
      </c>
      <c r="J204">
        <v>0</v>
      </c>
      <c r="M204">
        <v>14</v>
      </c>
      <c r="N204">
        <v>43</v>
      </c>
      <c r="O204">
        <v>984694594.5945946</v>
      </c>
      <c r="P204">
        <v>1829015597.2972975</v>
      </c>
      <c r="S204">
        <v>41734315.315315314</v>
      </c>
      <c r="T204">
        <v>57656315.315315314</v>
      </c>
      <c r="U204">
        <v>963091293.69369364</v>
      </c>
      <c r="V204">
        <v>1825115938.7387388</v>
      </c>
      <c r="W204">
        <v>2900</v>
      </c>
      <c r="X204">
        <v>2907</v>
      </c>
    </row>
    <row r="205" spans="1:24">
      <c r="A205" s="7" t="s">
        <v>298</v>
      </c>
      <c r="B205" s="16" t="s">
        <v>89</v>
      </c>
      <c r="C205">
        <v>472527409.29975444</v>
      </c>
      <c r="D205">
        <v>456475203.41474164</v>
      </c>
      <c r="E205">
        <v>1745360.360360367</v>
      </c>
      <c r="F205">
        <v>2331418.018018024</v>
      </c>
      <c r="G205">
        <v>77</v>
      </c>
      <c r="H205">
        <v>89</v>
      </c>
      <c r="I205">
        <v>24</v>
      </c>
      <c r="J205">
        <v>22</v>
      </c>
      <c r="K205">
        <v>2</v>
      </c>
      <c r="M205">
        <v>88</v>
      </c>
      <c r="N205">
        <v>147</v>
      </c>
      <c r="O205">
        <v>33120180.180180177</v>
      </c>
      <c r="P205">
        <v>25242459.459459461</v>
      </c>
      <c r="Q205">
        <v>449</v>
      </c>
      <c r="R205">
        <v>211</v>
      </c>
      <c r="S205">
        <v>87305225.225225225</v>
      </c>
      <c r="T205">
        <v>90282171.171171173</v>
      </c>
      <c r="U205">
        <v>33452702.702702701</v>
      </c>
      <c r="V205">
        <v>29115855.855855856</v>
      </c>
      <c r="W205">
        <v>10970</v>
      </c>
      <c r="X205">
        <v>10782</v>
      </c>
    </row>
    <row r="206" spans="1:24">
      <c r="A206" s="7" t="s">
        <v>299</v>
      </c>
      <c r="B206" s="16" t="s">
        <v>134</v>
      </c>
      <c r="C206">
        <v>234662856.90126067</v>
      </c>
      <c r="D206">
        <v>254750252.33234417</v>
      </c>
      <c r="E206">
        <v>1422747.747747754</v>
      </c>
      <c r="F206">
        <v>1745945.9459459479</v>
      </c>
      <c r="G206">
        <v>97</v>
      </c>
      <c r="H206">
        <v>60</v>
      </c>
      <c r="I206">
        <v>27</v>
      </c>
      <c r="J206">
        <v>10</v>
      </c>
      <c r="M206">
        <v>146</v>
      </c>
      <c r="N206">
        <v>79</v>
      </c>
      <c r="O206">
        <v>27025225.225225225</v>
      </c>
      <c r="P206">
        <v>17223423.423423421</v>
      </c>
      <c r="Q206">
        <v>323</v>
      </c>
      <c r="R206">
        <v>2</v>
      </c>
      <c r="S206">
        <v>33148899.0990991</v>
      </c>
      <c r="T206">
        <v>30788360.360360362</v>
      </c>
      <c r="U206">
        <v>22250403.603603605</v>
      </c>
      <c r="V206">
        <v>15138018.01801802</v>
      </c>
      <c r="W206">
        <v>6668</v>
      </c>
      <c r="X206">
        <v>6967</v>
      </c>
    </row>
    <row r="207" spans="1:24">
      <c r="A207" s="7" t="s">
        <v>300</v>
      </c>
      <c r="B207" s="16" t="s">
        <v>290</v>
      </c>
      <c r="C207">
        <v>189123496.87909228</v>
      </c>
      <c r="D207">
        <v>174191063.533788</v>
      </c>
      <c r="E207">
        <v>19778828.82882883</v>
      </c>
      <c r="F207">
        <v>8812612.6126126144</v>
      </c>
      <c r="G207">
        <v>91</v>
      </c>
      <c r="H207">
        <v>60</v>
      </c>
      <c r="I207">
        <v>18</v>
      </c>
      <c r="J207">
        <v>15</v>
      </c>
      <c r="M207">
        <v>95</v>
      </c>
      <c r="N207">
        <v>69</v>
      </c>
      <c r="O207">
        <v>19609459.459459461</v>
      </c>
      <c r="P207">
        <v>12553153.153153153</v>
      </c>
      <c r="Q207">
        <v>94</v>
      </c>
      <c r="R207">
        <v>1</v>
      </c>
      <c r="S207">
        <v>25566621.62162162</v>
      </c>
      <c r="T207">
        <v>24098011.711711712</v>
      </c>
      <c r="U207">
        <v>17502612.612612613</v>
      </c>
      <c r="V207">
        <v>12909819.819819819</v>
      </c>
      <c r="W207">
        <v>4466</v>
      </c>
      <c r="X207">
        <v>4337</v>
      </c>
    </row>
    <row r="208" spans="1:24">
      <c r="A208" s="7" t="s">
        <v>301</v>
      </c>
      <c r="B208" s="16" t="s">
        <v>80</v>
      </c>
      <c r="C208">
        <v>275001662.41892719</v>
      </c>
      <c r="D208">
        <v>255143556.79746467</v>
      </c>
      <c r="E208">
        <v>100789639.63963965</v>
      </c>
      <c r="F208">
        <v>38514189.189189196</v>
      </c>
      <c r="G208">
        <v>77</v>
      </c>
      <c r="H208">
        <v>44</v>
      </c>
      <c r="I208">
        <v>8</v>
      </c>
      <c r="J208">
        <v>5</v>
      </c>
      <c r="M208">
        <v>82</v>
      </c>
      <c r="N208">
        <v>50</v>
      </c>
      <c r="O208">
        <v>27581261.261261258</v>
      </c>
      <c r="P208">
        <v>26422522.52252252</v>
      </c>
      <c r="Q208">
        <v>109</v>
      </c>
      <c r="R208">
        <v>130</v>
      </c>
      <c r="S208">
        <v>60367527.027027026</v>
      </c>
      <c r="T208">
        <v>53703439.639639638</v>
      </c>
      <c r="U208">
        <v>24660000</v>
      </c>
      <c r="V208">
        <v>22449729.729729727</v>
      </c>
      <c r="W208">
        <v>5763</v>
      </c>
      <c r="X208">
        <v>5630</v>
      </c>
    </row>
    <row r="209" spans="1:24">
      <c r="A209" s="7" t="s">
        <v>302</v>
      </c>
      <c r="B209" s="16" t="s">
        <v>72</v>
      </c>
      <c r="C209">
        <v>398494326.30238837</v>
      </c>
      <c r="D209">
        <v>394852861.76463383</v>
      </c>
      <c r="E209">
        <v>192792.792792794</v>
      </c>
      <c r="F209">
        <v>1254954.954954956</v>
      </c>
      <c r="G209">
        <v>78</v>
      </c>
      <c r="H209">
        <v>101</v>
      </c>
      <c r="I209">
        <v>13</v>
      </c>
      <c r="J209">
        <v>14</v>
      </c>
      <c r="K209">
        <v>3</v>
      </c>
      <c r="M209">
        <v>81</v>
      </c>
      <c r="N209">
        <v>111</v>
      </c>
      <c r="O209">
        <v>29119279.27927928</v>
      </c>
      <c r="P209">
        <v>20662162.162162162</v>
      </c>
      <c r="Q209">
        <v>86</v>
      </c>
      <c r="R209">
        <v>31</v>
      </c>
      <c r="S209">
        <v>53584810.810810804</v>
      </c>
      <c r="T209">
        <v>60187558.558558561</v>
      </c>
      <c r="U209">
        <v>21574864.864864863</v>
      </c>
      <c r="V209">
        <v>21114594.59459459</v>
      </c>
      <c r="W209">
        <v>9154</v>
      </c>
      <c r="X209">
        <v>9062</v>
      </c>
    </row>
    <row r="210" spans="1:24">
      <c r="A210" s="7" t="s">
        <v>303</v>
      </c>
      <c r="B210" s="16" t="s">
        <v>304</v>
      </c>
      <c r="C210">
        <v>1357420.366819235</v>
      </c>
      <c r="D210">
        <v>1404638.8812361669</v>
      </c>
      <c r="S210">
        <v>651576.57657657703</v>
      </c>
      <c r="T210">
        <v>651441.44144144095</v>
      </c>
      <c r="W210">
        <v>68</v>
      </c>
      <c r="X210">
        <v>71</v>
      </c>
    </row>
    <row r="211" spans="1:24">
      <c r="A211" s="7" t="s">
        <v>671</v>
      </c>
      <c r="B211" s="16" t="s">
        <v>304</v>
      </c>
      <c r="E211">
        <v>9009009.0090090074</v>
      </c>
      <c r="F211">
        <v>7207207.2072072066</v>
      </c>
      <c r="P211">
        <v>44594.594594595001</v>
      </c>
    </row>
    <row r="212" spans="1:24">
      <c r="A212" s="7" t="s">
        <v>305</v>
      </c>
      <c r="B212" s="16" t="s">
        <v>117</v>
      </c>
      <c r="C212">
        <v>59041321.419169024</v>
      </c>
      <c r="D212">
        <v>50499373.717278175</v>
      </c>
      <c r="E212">
        <v>16216.216216217999</v>
      </c>
      <c r="F212">
        <v>308108.10810810601</v>
      </c>
      <c r="G212">
        <v>11</v>
      </c>
      <c r="H212">
        <v>8</v>
      </c>
      <c r="I212">
        <v>6</v>
      </c>
      <c r="J212">
        <v>7</v>
      </c>
      <c r="M212">
        <v>12</v>
      </c>
      <c r="N212">
        <v>9</v>
      </c>
      <c r="O212">
        <v>2134324.3243243229</v>
      </c>
      <c r="P212">
        <v>2950270.270270268</v>
      </c>
      <c r="Q212">
        <v>33</v>
      </c>
      <c r="R212">
        <v>21</v>
      </c>
      <c r="S212">
        <v>23075315.315315317</v>
      </c>
      <c r="T212">
        <v>21751756.756756756</v>
      </c>
      <c r="U212">
        <v>2649639.639639637</v>
      </c>
      <c r="V212">
        <v>2667837.8378378372</v>
      </c>
      <c r="W212">
        <v>1907</v>
      </c>
      <c r="X212">
        <v>1685</v>
      </c>
    </row>
    <row r="213" spans="1:24">
      <c r="A213" s="7" t="s">
        <v>306</v>
      </c>
      <c r="B213" s="16" t="s">
        <v>307</v>
      </c>
      <c r="C213">
        <v>65055240.07427974</v>
      </c>
      <c r="D213">
        <v>64754455.999021262</v>
      </c>
      <c r="E213">
        <v>43243.243243243996</v>
      </c>
      <c r="F213">
        <v>271171.17117117101</v>
      </c>
      <c r="G213">
        <v>30</v>
      </c>
      <c r="H213">
        <v>35</v>
      </c>
      <c r="M213">
        <v>34</v>
      </c>
      <c r="N213">
        <v>45</v>
      </c>
      <c r="O213">
        <v>1184144.144144143</v>
      </c>
      <c r="P213">
        <v>969369.369369369</v>
      </c>
      <c r="Q213">
        <v>25</v>
      </c>
      <c r="R213">
        <v>24</v>
      </c>
      <c r="S213">
        <v>32362702.702702705</v>
      </c>
      <c r="T213">
        <v>34218972.972972974</v>
      </c>
      <c r="U213">
        <v>899099.09909909801</v>
      </c>
      <c r="V213">
        <v>953333.33333333302</v>
      </c>
      <c r="W213">
        <v>4505</v>
      </c>
      <c r="X213">
        <v>4280</v>
      </c>
    </row>
    <row r="214" spans="1:24">
      <c r="A214" s="7" t="s">
        <v>308</v>
      </c>
      <c r="B214" s="16" t="s">
        <v>140</v>
      </c>
      <c r="C214">
        <v>401646629.48414242</v>
      </c>
      <c r="D214">
        <v>411880725.36993617</v>
      </c>
      <c r="E214">
        <v>553513.513513515</v>
      </c>
      <c r="F214">
        <v>1867117.1171171239</v>
      </c>
      <c r="G214">
        <v>35</v>
      </c>
      <c r="H214">
        <v>68</v>
      </c>
      <c r="I214">
        <v>9</v>
      </c>
      <c r="J214">
        <v>13</v>
      </c>
      <c r="M214">
        <v>49</v>
      </c>
      <c r="N214">
        <v>82</v>
      </c>
      <c r="O214">
        <v>65669819.819819815</v>
      </c>
      <c r="P214">
        <v>77381531.531531543</v>
      </c>
      <c r="Q214">
        <v>22</v>
      </c>
      <c r="R214">
        <v>106</v>
      </c>
      <c r="S214">
        <v>84567700.9009009</v>
      </c>
      <c r="T214">
        <v>91598729.729729727</v>
      </c>
      <c r="U214">
        <v>39751531.531531528</v>
      </c>
      <c r="V214">
        <v>43353423.423423424</v>
      </c>
      <c r="W214">
        <v>7946</v>
      </c>
      <c r="X214">
        <v>8165</v>
      </c>
    </row>
    <row r="215" spans="1:24">
      <c r="A215" s="7" t="s">
        <v>309</v>
      </c>
      <c r="B215" s="16" t="s">
        <v>132</v>
      </c>
      <c r="C215">
        <v>479964147.59046638</v>
      </c>
      <c r="D215">
        <v>401268800.9032855</v>
      </c>
      <c r="E215">
        <v>2642342.3423423441</v>
      </c>
      <c r="F215">
        <v>2761261.2612612629</v>
      </c>
      <c r="G215">
        <v>142</v>
      </c>
      <c r="H215">
        <v>123</v>
      </c>
      <c r="I215">
        <v>3</v>
      </c>
      <c r="J215">
        <v>3</v>
      </c>
      <c r="M215">
        <v>165</v>
      </c>
      <c r="N215">
        <v>145</v>
      </c>
      <c r="O215">
        <v>28352252.252252251</v>
      </c>
      <c r="P215">
        <v>16463963.963963963</v>
      </c>
      <c r="Q215">
        <v>108</v>
      </c>
      <c r="R215">
        <v>8</v>
      </c>
      <c r="S215">
        <v>129447414.41441442</v>
      </c>
      <c r="T215">
        <v>107658234.23423424</v>
      </c>
      <c r="U215">
        <v>23504954.954954959</v>
      </c>
      <c r="V215">
        <v>13704234.234234236</v>
      </c>
      <c r="W215">
        <v>12255</v>
      </c>
      <c r="X215">
        <v>11867</v>
      </c>
    </row>
    <row r="216" spans="1:24">
      <c r="A216" s="7" t="s">
        <v>310</v>
      </c>
      <c r="B216" s="16" t="s">
        <v>72</v>
      </c>
      <c r="C216">
        <v>697312938.5584681</v>
      </c>
      <c r="D216">
        <v>671936994.1140753</v>
      </c>
      <c r="E216">
        <v>58791306.30630631</v>
      </c>
      <c r="F216">
        <v>37624009.009009019</v>
      </c>
      <c r="G216">
        <v>163</v>
      </c>
      <c r="H216">
        <v>148</v>
      </c>
      <c r="I216">
        <v>40</v>
      </c>
      <c r="J216">
        <v>51</v>
      </c>
      <c r="M216">
        <v>193</v>
      </c>
      <c r="N216">
        <v>185</v>
      </c>
      <c r="O216">
        <v>104273558.55855855</v>
      </c>
      <c r="P216">
        <v>96342342.342342332</v>
      </c>
      <c r="Q216">
        <v>200</v>
      </c>
      <c r="R216">
        <v>148</v>
      </c>
      <c r="S216">
        <v>164779493.6936937</v>
      </c>
      <c r="T216">
        <v>166901822.52252254</v>
      </c>
      <c r="U216">
        <v>83912162.162162155</v>
      </c>
      <c r="V216">
        <v>83407207.207207218</v>
      </c>
      <c r="W216">
        <v>17167</v>
      </c>
      <c r="X216">
        <v>16598</v>
      </c>
    </row>
    <row r="217" spans="1:24">
      <c r="A217" s="7" t="s">
        <v>311</v>
      </c>
      <c r="B217" s="16" t="s">
        <v>62</v>
      </c>
      <c r="C217">
        <v>119065003.20325337</v>
      </c>
      <c r="D217">
        <v>115901532.49044853</v>
      </c>
      <c r="E217">
        <v>207207.207207208</v>
      </c>
      <c r="F217">
        <v>584684.68468468694</v>
      </c>
      <c r="G217">
        <v>16</v>
      </c>
      <c r="H217">
        <v>15</v>
      </c>
      <c r="I217">
        <v>5</v>
      </c>
      <c r="J217">
        <v>5</v>
      </c>
      <c r="M217">
        <v>19</v>
      </c>
      <c r="N217">
        <v>16</v>
      </c>
      <c r="O217">
        <v>22276216.216216218</v>
      </c>
      <c r="P217">
        <v>22095855.855855856</v>
      </c>
      <c r="Q217">
        <v>56</v>
      </c>
      <c r="R217">
        <v>75</v>
      </c>
      <c r="S217">
        <v>31738684.684684683</v>
      </c>
      <c r="T217">
        <v>31926333.333333332</v>
      </c>
      <c r="U217">
        <v>19005495.495495491</v>
      </c>
      <c r="V217">
        <v>19556846.846846849</v>
      </c>
      <c r="W217">
        <v>2326</v>
      </c>
      <c r="X217">
        <v>2282</v>
      </c>
    </row>
    <row r="218" spans="1:24">
      <c r="A218" s="7" t="s">
        <v>312</v>
      </c>
      <c r="B218" s="16" t="s">
        <v>89</v>
      </c>
      <c r="C218">
        <v>39007670.773554198</v>
      </c>
      <c r="D218">
        <v>39445029.656888969</v>
      </c>
      <c r="E218">
        <v>65712612.612612613</v>
      </c>
      <c r="F218">
        <v>134906306.3063063</v>
      </c>
      <c r="G218">
        <v>8</v>
      </c>
      <c r="H218">
        <v>10</v>
      </c>
      <c r="I218">
        <v>6</v>
      </c>
      <c r="J218">
        <v>8</v>
      </c>
      <c r="M218">
        <v>9</v>
      </c>
      <c r="N218">
        <v>13</v>
      </c>
      <c r="O218">
        <v>2679279.2792792791</v>
      </c>
      <c r="P218">
        <v>6011531.5315315304</v>
      </c>
      <c r="Q218">
        <v>73</v>
      </c>
      <c r="R218">
        <v>84</v>
      </c>
      <c r="S218">
        <v>11350315.315315315</v>
      </c>
      <c r="T218">
        <v>13915567.567567568</v>
      </c>
      <c r="U218">
        <v>1845495.495495494</v>
      </c>
      <c r="V218">
        <v>5613423.4234234234</v>
      </c>
      <c r="W218">
        <v>1160</v>
      </c>
      <c r="X218">
        <v>1208</v>
      </c>
    </row>
    <row r="219" spans="1:24">
      <c r="A219" s="7" t="s">
        <v>313</v>
      </c>
      <c r="B219" s="16" t="s">
        <v>92</v>
      </c>
      <c r="C219">
        <v>18424681.868813783</v>
      </c>
      <c r="D219">
        <v>17595494.762944002</v>
      </c>
      <c r="F219">
        <v>54054.054054054002</v>
      </c>
      <c r="G219">
        <v>4</v>
      </c>
      <c r="H219">
        <v>3</v>
      </c>
      <c r="I219">
        <v>0</v>
      </c>
      <c r="M219">
        <v>4</v>
      </c>
      <c r="N219">
        <v>3</v>
      </c>
      <c r="O219">
        <v>27027.027027027001</v>
      </c>
      <c r="P219">
        <v>54054.054054054002</v>
      </c>
      <c r="Q219">
        <v>1</v>
      </c>
      <c r="S219">
        <v>1459549.5495495501</v>
      </c>
      <c r="T219">
        <v>1274639.63963964</v>
      </c>
      <c r="U219">
        <v>27027.027027027001</v>
      </c>
      <c r="V219">
        <v>145045.045045045</v>
      </c>
      <c r="W219">
        <v>503</v>
      </c>
      <c r="X219">
        <v>514</v>
      </c>
    </row>
    <row r="220" spans="1:24">
      <c r="A220" s="7" t="s">
        <v>314</v>
      </c>
      <c r="B220" s="16" t="s">
        <v>315</v>
      </c>
      <c r="C220">
        <v>145604899.09255168</v>
      </c>
      <c r="D220">
        <v>135321342.02807486</v>
      </c>
      <c r="E220">
        <v>56756.756756757</v>
      </c>
      <c r="F220">
        <v>641891.89189189102</v>
      </c>
      <c r="G220">
        <v>42</v>
      </c>
      <c r="H220">
        <v>28</v>
      </c>
      <c r="I220">
        <v>1</v>
      </c>
      <c r="J220">
        <v>3</v>
      </c>
      <c r="M220">
        <v>47</v>
      </c>
      <c r="N220">
        <v>31</v>
      </c>
      <c r="O220">
        <v>6385585.585585583</v>
      </c>
      <c r="P220">
        <v>18637837.837837841</v>
      </c>
      <c r="S220">
        <v>22860018.018018015</v>
      </c>
      <c r="T220">
        <v>20825225.225225225</v>
      </c>
      <c r="U220">
        <v>5846306.3063063053</v>
      </c>
      <c r="V220">
        <v>15951261.26126126</v>
      </c>
      <c r="W220">
        <v>3462</v>
      </c>
      <c r="X220">
        <v>3431</v>
      </c>
    </row>
    <row r="221" spans="1:24">
      <c r="A221" s="7" t="s">
        <v>316</v>
      </c>
      <c r="B221" s="16" t="s">
        <v>62</v>
      </c>
      <c r="C221">
        <v>221784457.65356693</v>
      </c>
      <c r="D221">
        <v>229315947.33579218</v>
      </c>
      <c r="E221">
        <v>1036486.486486491</v>
      </c>
      <c r="F221">
        <v>4262162.1621621689</v>
      </c>
      <c r="G221">
        <v>77</v>
      </c>
      <c r="H221">
        <v>95</v>
      </c>
      <c r="I221">
        <v>7</v>
      </c>
      <c r="J221">
        <v>14</v>
      </c>
      <c r="M221">
        <v>125</v>
      </c>
      <c r="N221">
        <v>152</v>
      </c>
      <c r="O221">
        <v>15053693.693693692</v>
      </c>
      <c r="P221">
        <v>36792612.612612605</v>
      </c>
      <c r="Q221">
        <v>58</v>
      </c>
      <c r="R221">
        <v>165</v>
      </c>
      <c r="S221">
        <v>79541837.837837845</v>
      </c>
      <c r="T221">
        <v>79752774.774774775</v>
      </c>
      <c r="U221">
        <v>14984054.054054052</v>
      </c>
      <c r="V221">
        <v>35468018.018018015</v>
      </c>
      <c r="W221">
        <v>8704</v>
      </c>
      <c r="X221">
        <v>9373</v>
      </c>
    </row>
    <row r="222" spans="1:24">
      <c r="A222" s="7" t="s">
        <v>317</v>
      </c>
      <c r="B222" s="16" t="s">
        <v>62</v>
      </c>
      <c r="C222">
        <v>224716558.28750488</v>
      </c>
      <c r="D222">
        <v>212143370.36880165</v>
      </c>
      <c r="E222">
        <v>872522.52252252598</v>
      </c>
      <c r="F222">
        <v>1447747.74774775</v>
      </c>
      <c r="G222">
        <v>91</v>
      </c>
      <c r="H222">
        <v>37</v>
      </c>
      <c r="I222">
        <v>14</v>
      </c>
      <c r="J222">
        <v>10</v>
      </c>
      <c r="M222">
        <v>119</v>
      </c>
      <c r="N222">
        <v>44</v>
      </c>
      <c r="O222">
        <v>21185495.495495494</v>
      </c>
      <c r="P222">
        <v>30175495.495495494</v>
      </c>
      <c r="Q222">
        <v>10</v>
      </c>
      <c r="R222">
        <v>69</v>
      </c>
      <c r="S222">
        <v>75011756.756756753</v>
      </c>
      <c r="T222">
        <v>74155873.873873875</v>
      </c>
      <c r="U222">
        <v>21482972.97297297</v>
      </c>
      <c r="V222">
        <v>28220360.360360354</v>
      </c>
      <c r="W222">
        <v>5572</v>
      </c>
      <c r="X222">
        <v>5474</v>
      </c>
    </row>
    <row r="223" spans="1:24">
      <c r="A223" s="7" t="s">
        <v>318</v>
      </c>
      <c r="B223" s="16" t="s">
        <v>78</v>
      </c>
      <c r="C223">
        <v>232292166.15005836</v>
      </c>
      <c r="D223">
        <v>220715269.41089082</v>
      </c>
      <c r="E223">
        <v>2943108.1081081121</v>
      </c>
      <c r="F223">
        <v>4534234.234234238</v>
      </c>
      <c r="G223">
        <v>68</v>
      </c>
      <c r="H223">
        <v>77</v>
      </c>
      <c r="I223">
        <v>12</v>
      </c>
      <c r="J223">
        <v>20</v>
      </c>
      <c r="M223">
        <v>80</v>
      </c>
      <c r="N223">
        <v>124</v>
      </c>
      <c r="O223">
        <v>48814954.954954952</v>
      </c>
      <c r="P223">
        <v>53053153.153153151</v>
      </c>
      <c r="Q223">
        <v>176</v>
      </c>
      <c r="R223">
        <v>114</v>
      </c>
      <c r="S223">
        <v>96280315.315315306</v>
      </c>
      <c r="T223">
        <v>97374554.054054052</v>
      </c>
      <c r="U223">
        <v>48959369.369369365</v>
      </c>
      <c r="V223">
        <v>54244864.864864863</v>
      </c>
      <c r="W223">
        <v>8766</v>
      </c>
      <c r="X223">
        <v>8715</v>
      </c>
    </row>
    <row r="224" spans="1:24">
      <c r="A224" s="7" t="s">
        <v>319</v>
      </c>
      <c r="B224" s="16" t="s">
        <v>78</v>
      </c>
      <c r="C224">
        <v>137847428.62930205</v>
      </c>
      <c r="D224">
        <v>131836951.05217081</v>
      </c>
      <c r="E224">
        <v>2315495.4954954968</v>
      </c>
      <c r="F224">
        <v>2463963.963963965</v>
      </c>
      <c r="G224">
        <v>21</v>
      </c>
      <c r="H224">
        <v>45</v>
      </c>
      <c r="I224">
        <v>0</v>
      </c>
      <c r="J224">
        <v>2</v>
      </c>
      <c r="K224">
        <v>1</v>
      </c>
      <c r="M224">
        <v>28</v>
      </c>
      <c r="N224">
        <v>89</v>
      </c>
      <c r="O224">
        <v>17292972.972972974</v>
      </c>
      <c r="P224">
        <v>12743243.243243242</v>
      </c>
      <c r="Q224">
        <v>149</v>
      </c>
      <c r="R224">
        <v>94</v>
      </c>
      <c r="S224">
        <v>48005783.783783786</v>
      </c>
      <c r="T224">
        <v>50651207.20720721</v>
      </c>
      <c r="U224">
        <v>14821621.62162162</v>
      </c>
      <c r="V224">
        <v>11042252.252252253</v>
      </c>
      <c r="W224">
        <v>5763</v>
      </c>
      <c r="X224">
        <v>5569</v>
      </c>
    </row>
    <row r="225" spans="1:24">
      <c r="A225" s="7" t="s">
        <v>320</v>
      </c>
      <c r="B225" s="16" t="s">
        <v>121</v>
      </c>
      <c r="C225">
        <v>1010851.666524415</v>
      </c>
      <c r="D225">
        <v>983088.421508856</v>
      </c>
      <c r="E225">
        <v>37690269.369369365</v>
      </c>
      <c r="F225">
        <v>55275337.837837838</v>
      </c>
      <c r="G225">
        <v>1</v>
      </c>
      <c r="M225">
        <v>3</v>
      </c>
      <c r="O225">
        <v>3180440.5405405411</v>
      </c>
      <c r="P225">
        <v>13364937.837837838</v>
      </c>
      <c r="S225">
        <v>281081.08108108101</v>
      </c>
      <c r="T225">
        <v>72837.837837838</v>
      </c>
      <c r="W225">
        <v>62</v>
      </c>
      <c r="X225">
        <v>138</v>
      </c>
    </row>
    <row r="226" spans="1:24">
      <c r="A226" s="7" t="s">
        <v>321</v>
      </c>
      <c r="B226" s="16" t="s">
        <v>224</v>
      </c>
      <c r="C226">
        <v>176100461.93177435</v>
      </c>
      <c r="D226">
        <v>149233744.56667581</v>
      </c>
      <c r="E226">
        <v>1801.801801802</v>
      </c>
      <c r="F226">
        <v>28828.828828828999</v>
      </c>
      <c r="G226">
        <v>45</v>
      </c>
      <c r="H226">
        <v>30</v>
      </c>
      <c r="I226">
        <v>0</v>
      </c>
      <c r="J226">
        <v>0</v>
      </c>
      <c r="M226">
        <v>47</v>
      </c>
      <c r="N226">
        <v>42</v>
      </c>
      <c r="O226">
        <v>5096936.9369369363</v>
      </c>
      <c r="P226">
        <v>3640360.3603603588</v>
      </c>
      <c r="Q226">
        <v>33</v>
      </c>
      <c r="R226">
        <v>51</v>
      </c>
      <c r="S226">
        <v>64560270.270270273</v>
      </c>
      <c r="T226">
        <v>60783673.873873875</v>
      </c>
      <c r="U226">
        <v>4729009.0090090092</v>
      </c>
      <c r="V226">
        <v>4184774.774774773</v>
      </c>
      <c r="W226">
        <v>3904</v>
      </c>
      <c r="X226">
        <v>3862</v>
      </c>
    </row>
    <row r="227" spans="1:24">
      <c r="A227" s="7" t="s">
        <v>322</v>
      </c>
      <c r="B227" s="16" t="s">
        <v>224</v>
      </c>
      <c r="C227">
        <v>125184661.00902005</v>
      </c>
      <c r="D227">
        <v>106225185.30045965</v>
      </c>
      <c r="E227">
        <v>300000.00000000099</v>
      </c>
      <c r="F227">
        <v>44144.144144145997</v>
      </c>
      <c r="G227">
        <v>16</v>
      </c>
      <c r="H227">
        <v>7</v>
      </c>
      <c r="I227">
        <v>4</v>
      </c>
      <c r="J227">
        <v>0</v>
      </c>
      <c r="M227">
        <v>17</v>
      </c>
      <c r="N227">
        <v>8</v>
      </c>
      <c r="O227">
        <v>13428648.648648648</v>
      </c>
      <c r="P227">
        <v>9684864.8648648635</v>
      </c>
      <c r="Q227">
        <v>47</v>
      </c>
      <c r="R227">
        <v>101</v>
      </c>
      <c r="S227">
        <v>34896216.216216214</v>
      </c>
      <c r="T227">
        <v>32481936.936936937</v>
      </c>
      <c r="U227">
        <v>10586126.126126124</v>
      </c>
      <c r="V227">
        <v>7296576.5765765756</v>
      </c>
      <c r="W227">
        <v>2268</v>
      </c>
      <c r="X227">
        <v>2179</v>
      </c>
    </row>
    <row r="228" spans="1:24">
      <c r="A228" s="7" t="s">
        <v>667</v>
      </c>
      <c r="B228" s="16" t="s">
        <v>94</v>
      </c>
      <c r="X228">
        <v>4</v>
      </c>
    </row>
    <row r="229" spans="1:24">
      <c r="A229" s="7" t="s">
        <v>323</v>
      </c>
      <c r="B229" s="16" t="s">
        <v>78</v>
      </c>
      <c r="C229">
        <v>167914417.43937024</v>
      </c>
      <c r="D229">
        <v>166691117.4578613</v>
      </c>
      <c r="E229">
        <v>771621.62162162398</v>
      </c>
      <c r="F229">
        <v>862162.16216216399</v>
      </c>
      <c r="G229">
        <v>65</v>
      </c>
      <c r="H229">
        <v>103</v>
      </c>
      <c r="I229">
        <v>8</v>
      </c>
      <c r="J229">
        <v>7</v>
      </c>
      <c r="M229">
        <v>80</v>
      </c>
      <c r="N229">
        <v>139</v>
      </c>
      <c r="O229">
        <v>19163513.513513513</v>
      </c>
      <c r="P229">
        <v>17934234.234234236</v>
      </c>
      <c r="Q229">
        <v>79</v>
      </c>
      <c r="R229">
        <v>49</v>
      </c>
      <c r="S229">
        <v>47765608.108108111</v>
      </c>
      <c r="T229">
        <v>49771342.342342347</v>
      </c>
      <c r="U229">
        <v>16087387.387387387</v>
      </c>
      <c r="V229">
        <v>17096486.486486483</v>
      </c>
      <c r="W229">
        <v>4575</v>
      </c>
      <c r="X229">
        <v>4633</v>
      </c>
    </row>
    <row r="230" spans="1:24">
      <c r="A230" s="7" t="s">
        <v>324</v>
      </c>
      <c r="B230" s="16" t="s">
        <v>108</v>
      </c>
      <c r="C230">
        <v>786306238.82375205</v>
      </c>
      <c r="D230">
        <v>1207077974.0231917</v>
      </c>
      <c r="E230">
        <v>1603532145.0450449</v>
      </c>
      <c r="F230">
        <v>1432815275.6756756</v>
      </c>
      <c r="G230">
        <v>185</v>
      </c>
      <c r="H230">
        <v>218</v>
      </c>
      <c r="I230">
        <v>23</v>
      </c>
      <c r="J230">
        <v>35</v>
      </c>
      <c r="K230">
        <v>1</v>
      </c>
      <c r="M230">
        <v>292</v>
      </c>
      <c r="N230">
        <v>342</v>
      </c>
      <c r="O230">
        <v>521398288.28828824</v>
      </c>
      <c r="P230">
        <v>542641441.44144142</v>
      </c>
      <c r="Q230">
        <v>509</v>
      </c>
      <c r="R230">
        <v>2140</v>
      </c>
      <c r="S230">
        <v>189397572.07207206</v>
      </c>
      <c r="T230">
        <v>647766315.31531537</v>
      </c>
      <c r="U230">
        <v>71499819.819819823</v>
      </c>
      <c r="V230">
        <v>88871081.081081092</v>
      </c>
      <c r="W230">
        <v>21915</v>
      </c>
      <c r="X230">
        <v>22315</v>
      </c>
    </row>
    <row r="231" spans="1:24">
      <c r="A231" s="7" t="s">
        <v>325</v>
      </c>
      <c r="B231" s="16" t="s">
        <v>224</v>
      </c>
      <c r="C231">
        <v>180611226.2950424</v>
      </c>
      <c r="D231">
        <v>157604580.30848992</v>
      </c>
      <c r="E231">
        <v>541081.08108108002</v>
      </c>
      <c r="F231">
        <v>454954.95495495503</v>
      </c>
      <c r="G231">
        <v>46</v>
      </c>
      <c r="H231">
        <v>23</v>
      </c>
      <c r="I231">
        <v>4</v>
      </c>
      <c r="J231">
        <v>1</v>
      </c>
      <c r="M231">
        <v>49</v>
      </c>
      <c r="N231">
        <v>24</v>
      </c>
      <c r="O231">
        <v>16908648.648648649</v>
      </c>
      <c r="P231">
        <v>14061801.801801801</v>
      </c>
      <c r="Q231">
        <v>68</v>
      </c>
      <c r="R231">
        <v>33</v>
      </c>
      <c r="S231">
        <v>34788081.081081077</v>
      </c>
      <c r="T231">
        <v>32557684.684684683</v>
      </c>
      <c r="U231">
        <v>12974324.324324325</v>
      </c>
      <c r="V231">
        <v>13274054.054054054</v>
      </c>
      <c r="W231">
        <v>4285</v>
      </c>
      <c r="X231">
        <v>4309</v>
      </c>
    </row>
    <row r="232" spans="1:24">
      <c r="A232" s="7" t="s">
        <v>4</v>
      </c>
      <c r="B232" s="16" t="s">
        <v>158</v>
      </c>
      <c r="C232">
        <v>135351071.06328657</v>
      </c>
      <c r="D232">
        <v>134681404.74296871</v>
      </c>
      <c r="E232">
        <v>942342.34234234202</v>
      </c>
      <c r="F232">
        <v>1796396.396396399</v>
      </c>
      <c r="G232">
        <v>12</v>
      </c>
      <c r="H232">
        <v>10</v>
      </c>
      <c r="I232">
        <v>6</v>
      </c>
      <c r="J232">
        <v>7</v>
      </c>
      <c r="M232">
        <v>12</v>
      </c>
      <c r="N232">
        <v>14</v>
      </c>
      <c r="O232">
        <v>18759909.909909911</v>
      </c>
      <c r="P232">
        <v>26195495.495495494</v>
      </c>
      <c r="Q232">
        <v>112</v>
      </c>
      <c r="R232">
        <v>30</v>
      </c>
      <c r="S232">
        <v>48879279.279279277</v>
      </c>
      <c r="T232">
        <v>47552783.783783786</v>
      </c>
      <c r="U232">
        <v>22987657.657657657</v>
      </c>
      <c r="V232">
        <v>30560540.540540539</v>
      </c>
      <c r="W232">
        <v>3869</v>
      </c>
      <c r="X232">
        <v>3637</v>
      </c>
    </row>
    <row r="233" spans="1:24">
      <c r="A233" s="7" t="s">
        <v>34</v>
      </c>
      <c r="B233" s="16" t="s">
        <v>193</v>
      </c>
      <c r="E233">
        <v>145752481.98198199</v>
      </c>
      <c r="F233">
        <v>302693544.14414412</v>
      </c>
    </row>
    <row r="234" spans="1:24">
      <c r="A234" s="7" t="s">
        <v>326</v>
      </c>
      <c r="B234" s="16" t="s">
        <v>108</v>
      </c>
      <c r="C234">
        <v>620890645.25937653</v>
      </c>
      <c r="D234">
        <v>625433816.92974508</v>
      </c>
      <c r="E234">
        <v>18874370.270270277</v>
      </c>
      <c r="F234">
        <v>6421846.8468468562</v>
      </c>
      <c r="G234">
        <v>247</v>
      </c>
      <c r="H234">
        <v>189</v>
      </c>
      <c r="I234">
        <v>29</v>
      </c>
      <c r="J234">
        <v>29</v>
      </c>
      <c r="M234">
        <v>433</v>
      </c>
      <c r="N234">
        <v>283</v>
      </c>
      <c r="O234">
        <v>554045486.48648643</v>
      </c>
      <c r="P234">
        <v>533816576.57657659</v>
      </c>
      <c r="Q234">
        <v>713</v>
      </c>
      <c r="R234">
        <v>1241</v>
      </c>
      <c r="S234">
        <v>181123333.33333334</v>
      </c>
      <c r="T234">
        <v>194763768.01801801</v>
      </c>
      <c r="U234">
        <v>85504504.504504502</v>
      </c>
      <c r="V234">
        <v>81900900.9009009</v>
      </c>
      <c r="W234">
        <v>19727</v>
      </c>
      <c r="X234">
        <v>19565</v>
      </c>
    </row>
    <row r="235" spans="1:24">
      <c r="A235" s="7" t="s">
        <v>327</v>
      </c>
      <c r="B235" s="16" t="s">
        <v>78</v>
      </c>
      <c r="C235">
        <v>64704237.450106829</v>
      </c>
      <c r="D235">
        <v>65690972.362828895</v>
      </c>
      <c r="E235">
        <v>154954.95495495599</v>
      </c>
      <c r="F235">
        <v>467567.56756756903</v>
      </c>
      <c r="G235">
        <v>36</v>
      </c>
      <c r="H235">
        <v>24</v>
      </c>
      <c r="I235">
        <v>3</v>
      </c>
      <c r="J235">
        <v>4</v>
      </c>
      <c r="M235">
        <v>37</v>
      </c>
      <c r="N235">
        <v>26</v>
      </c>
      <c r="O235">
        <v>4506306.3063063053</v>
      </c>
      <c r="P235">
        <v>5332432.4324324336</v>
      </c>
      <c r="Q235">
        <v>46</v>
      </c>
      <c r="R235">
        <v>7</v>
      </c>
      <c r="S235">
        <v>19684099.0990991</v>
      </c>
      <c r="T235">
        <v>22185675.675675675</v>
      </c>
      <c r="U235">
        <v>5113873.8738738727</v>
      </c>
      <c r="V235">
        <v>5085225.2252252251</v>
      </c>
      <c r="W235">
        <v>2006</v>
      </c>
      <c r="X235">
        <v>2047</v>
      </c>
    </row>
    <row r="236" spans="1:24">
      <c r="A236" s="7" t="s">
        <v>328</v>
      </c>
      <c r="B236" s="16" t="s">
        <v>121</v>
      </c>
      <c r="C236">
        <v>184014887.30407473</v>
      </c>
      <c r="D236">
        <v>171420296.66616136</v>
      </c>
      <c r="E236">
        <v>453153.15315315302</v>
      </c>
      <c r="F236">
        <v>754729.72972973005</v>
      </c>
      <c r="G236">
        <v>65</v>
      </c>
      <c r="H236">
        <v>55</v>
      </c>
      <c r="I236">
        <v>8</v>
      </c>
      <c r="J236">
        <v>5</v>
      </c>
      <c r="M236">
        <v>76</v>
      </c>
      <c r="N236">
        <v>61</v>
      </c>
      <c r="O236">
        <v>9735135.1351351365</v>
      </c>
      <c r="P236">
        <v>13490990.990990993</v>
      </c>
      <c r="Q236">
        <v>55</v>
      </c>
      <c r="R236">
        <v>13</v>
      </c>
      <c r="S236">
        <v>25453207.207207207</v>
      </c>
      <c r="T236">
        <v>26382909.909909911</v>
      </c>
      <c r="U236">
        <v>8536306.3063063081</v>
      </c>
      <c r="V236">
        <v>10856756.756756756</v>
      </c>
      <c r="W236">
        <v>4016</v>
      </c>
      <c r="X236">
        <v>3996</v>
      </c>
    </row>
    <row r="237" spans="1:24">
      <c r="A237" s="7" t="s">
        <v>329</v>
      </c>
      <c r="B237" s="16" t="s">
        <v>330</v>
      </c>
      <c r="C237">
        <v>425731687.46400744</v>
      </c>
      <c r="D237">
        <v>406116480.41971278</v>
      </c>
      <c r="E237">
        <v>2704279.27927928</v>
      </c>
      <c r="F237">
        <v>4283108.1081081089</v>
      </c>
      <c r="G237">
        <v>164</v>
      </c>
      <c r="H237">
        <v>165</v>
      </c>
      <c r="I237">
        <v>18</v>
      </c>
      <c r="J237">
        <v>20</v>
      </c>
      <c r="K237">
        <v>7</v>
      </c>
      <c r="M237">
        <v>209</v>
      </c>
      <c r="N237">
        <v>183</v>
      </c>
      <c r="O237">
        <v>33531981.981981982</v>
      </c>
      <c r="P237">
        <v>56442342.342342347</v>
      </c>
      <c r="Q237">
        <v>444</v>
      </c>
      <c r="R237">
        <v>106</v>
      </c>
      <c r="S237">
        <v>89593054.054054052</v>
      </c>
      <c r="T237">
        <v>86128930.180180177</v>
      </c>
      <c r="U237">
        <v>34576666.666666664</v>
      </c>
      <c r="V237">
        <v>53560270.270270273</v>
      </c>
      <c r="W237">
        <v>14121</v>
      </c>
      <c r="X237">
        <v>14042</v>
      </c>
    </row>
    <row r="238" spans="1:24">
      <c r="A238" s="7" t="s">
        <v>331</v>
      </c>
      <c r="B238" s="16" t="s">
        <v>290</v>
      </c>
      <c r="C238">
        <v>619683126.87816811</v>
      </c>
      <c r="D238">
        <v>605611703.17156446</v>
      </c>
      <c r="E238">
        <v>1167567.5675675699</v>
      </c>
      <c r="F238">
        <v>3169819.8198198248</v>
      </c>
      <c r="G238">
        <v>192</v>
      </c>
      <c r="H238">
        <v>205</v>
      </c>
      <c r="I238">
        <v>27</v>
      </c>
      <c r="J238">
        <v>24</v>
      </c>
      <c r="K238">
        <v>6</v>
      </c>
      <c r="M238">
        <v>222</v>
      </c>
      <c r="N238">
        <v>238</v>
      </c>
      <c r="O238">
        <v>54781981.981981985</v>
      </c>
      <c r="P238">
        <v>51871171.171171166</v>
      </c>
      <c r="Q238">
        <v>229</v>
      </c>
      <c r="R238">
        <v>51</v>
      </c>
      <c r="S238">
        <v>114100450.45045045</v>
      </c>
      <c r="T238">
        <v>109176466.66666667</v>
      </c>
      <c r="U238">
        <v>61631304.504504502</v>
      </c>
      <c r="V238">
        <v>50373243.243243247</v>
      </c>
      <c r="W238">
        <v>17203</v>
      </c>
      <c r="X238">
        <v>16965</v>
      </c>
    </row>
    <row r="239" spans="1:24">
      <c r="A239" s="7" t="s">
        <v>332</v>
      </c>
      <c r="B239" s="16" t="s">
        <v>290</v>
      </c>
      <c r="C239">
        <v>457554147.03427529</v>
      </c>
      <c r="D239">
        <v>459339782.14530909</v>
      </c>
      <c r="E239">
        <v>2748198.1981982039</v>
      </c>
      <c r="F239">
        <v>4842342.3423423488</v>
      </c>
      <c r="G239">
        <v>137</v>
      </c>
      <c r="H239">
        <v>122</v>
      </c>
      <c r="I239">
        <v>18</v>
      </c>
      <c r="J239">
        <v>27</v>
      </c>
      <c r="K239">
        <v>2</v>
      </c>
      <c r="M239">
        <v>159</v>
      </c>
      <c r="N239">
        <v>193</v>
      </c>
      <c r="O239">
        <v>56296846.846846849</v>
      </c>
      <c r="P239">
        <v>62807207.20720721</v>
      </c>
      <c r="Q239">
        <v>239</v>
      </c>
      <c r="R239">
        <v>2</v>
      </c>
      <c r="S239">
        <v>114724135.13513513</v>
      </c>
      <c r="T239">
        <v>123036072.07207206</v>
      </c>
      <c r="U239">
        <v>58432702.702702701</v>
      </c>
      <c r="V239">
        <v>60510630.630630635</v>
      </c>
      <c r="W239">
        <v>14727</v>
      </c>
      <c r="X239">
        <v>15856</v>
      </c>
    </row>
    <row r="240" spans="1:24">
      <c r="A240" s="7" t="s">
        <v>333</v>
      </c>
      <c r="B240" s="16" t="s">
        <v>60</v>
      </c>
      <c r="C240">
        <v>62925925.135572657</v>
      </c>
      <c r="D240">
        <v>62585948.391413234</v>
      </c>
      <c r="E240">
        <v>1107882.882882884</v>
      </c>
      <c r="F240">
        <v>1668468.4684684691</v>
      </c>
      <c r="G240">
        <v>27</v>
      </c>
      <c r="H240">
        <v>66</v>
      </c>
      <c r="I240">
        <v>3</v>
      </c>
      <c r="J240">
        <v>5</v>
      </c>
      <c r="M240">
        <v>53</v>
      </c>
      <c r="N240">
        <v>104</v>
      </c>
      <c r="O240">
        <v>18636936.936936937</v>
      </c>
      <c r="P240">
        <v>21250450.45045045</v>
      </c>
      <c r="Q240">
        <v>121</v>
      </c>
      <c r="R240">
        <v>143</v>
      </c>
      <c r="S240">
        <v>22005495.495495494</v>
      </c>
      <c r="T240">
        <v>22298450.45045045</v>
      </c>
      <c r="U240">
        <v>17746396.396396395</v>
      </c>
      <c r="V240">
        <v>19563513.513513513</v>
      </c>
      <c r="W240">
        <v>2010</v>
      </c>
      <c r="X240">
        <v>1928</v>
      </c>
    </row>
    <row r="241" spans="1:24">
      <c r="A241" s="7" t="s">
        <v>334</v>
      </c>
      <c r="B241" s="16" t="s">
        <v>60</v>
      </c>
      <c r="C241">
        <v>8696876.8515355196</v>
      </c>
      <c r="D241">
        <v>12680880.052006304</v>
      </c>
      <c r="E241">
        <v>127927.927927928</v>
      </c>
      <c r="F241">
        <v>236936.93693693701</v>
      </c>
      <c r="G241">
        <v>5</v>
      </c>
      <c r="H241">
        <v>6</v>
      </c>
      <c r="I241">
        <v>1</v>
      </c>
      <c r="J241">
        <v>4</v>
      </c>
      <c r="M241">
        <v>5</v>
      </c>
      <c r="N241">
        <v>7</v>
      </c>
      <c r="O241">
        <v>841441.44144144095</v>
      </c>
      <c r="P241">
        <v>625675.67567567597</v>
      </c>
      <c r="Q241">
        <v>13</v>
      </c>
      <c r="R241">
        <v>12</v>
      </c>
      <c r="S241">
        <v>5404684.6846846854</v>
      </c>
      <c r="T241">
        <v>6956126.1261261264</v>
      </c>
      <c r="U241">
        <v>671171.17117117101</v>
      </c>
      <c r="V241">
        <v>790810.810810811</v>
      </c>
      <c r="W241">
        <v>962</v>
      </c>
      <c r="X241">
        <v>835</v>
      </c>
    </row>
    <row r="242" spans="1:24">
      <c r="A242" s="7" t="s">
        <v>335</v>
      </c>
      <c r="B242" s="16" t="s">
        <v>121</v>
      </c>
      <c r="C242">
        <v>58275.100712061998</v>
      </c>
      <c r="D242">
        <v>1440931.785921193</v>
      </c>
      <c r="N242">
        <v>1</v>
      </c>
      <c r="S242">
        <v>34234.234234233998</v>
      </c>
      <c r="T242">
        <v>97747.747747747999</v>
      </c>
      <c r="X242">
        <v>139</v>
      </c>
    </row>
    <row r="243" spans="1:24">
      <c r="A243" s="7" t="s">
        <v>336</v>
      </c>
      <c r="B243" s="16" t="s">
        <v>121</v>
      </c>
      <c r="C243">
        <v>2352068.8923960789</v>
      </c>
      <c r="D243">
        <v>2274662.9509075051</v>
      </c>
      <c r="G243">
        <v>2</v>
      </c>
      <c r="H243">
        <v>1</v>
      </c>
      <c r="M243">
        <v>3</v>
      </c>
      <c r="N243">
        <v>1</v>
      </c>
      <c r="S243">
        <v>492612.61261261301</v>
      </c>
      <c r="T243">
        <v>429549.54954954999</v>
      </c>
      <c r="W243">
        <v>122</v>
      </c>
      <c r="X243">
        <v>101</v>
      </c>
    </row>
    <row r="244" spans="1:24">
      <c r="A244" s="7" t="s">
        <v>337</v>
      </c>
      <c r="B244" s="16" t="s">
        <v>121</v>
      </c>
      <c r="C244">
        <v>1946508.0499882919</v>
      </c>
      <c r="D244">
        <v>1807961.7230878221</v>
      </c>
      <c r="G244">
        <v>2</v>
      </c>
      <c r="H244">
        <v>1</v>
      </c>
      <c r="M244">
        <v>2</v>
      </c>
      <c r="N244">
        <v>1</v>
      </c>
      <c r="S244">
        <v>99774.774774774996</v>
      </c>
      <c r="T244">
        <v>18918.918918919</v>
      </c>
      <c r="W244">
        <v>151</v>
      </c>
      <c r="X244">
        <v>145</v>
      </c>
    </row>
    <row r="245" spans="1:24">
      <c r="A245" s="7" t="s">
        <v>338</v>
      </c>
      <c r="B245" s="16" t="s">
        <v>140</v>
      </c>
      <c r="C245">
        <v>700218668.61325896</v>
      </c>
      <c r="D245">
        <v>686325642.82944727</v>
      </c>
      <c r="E245">
        <v>1057792.792792798</v>
      </c>
      <c r="F245">
        <v>2536036.036036043</v>
      </c>
      <c r="G245">
        <v>161</v>
      </c>
      <c r="H245">
        <v>184</v>
      </c>
      <c r="I245">
        <v>31</v>
      </c>
      <c r="J245">
        <v>26</v>
      </c>
      <c r="K245">
        <v>1</v>
      </c>
      <c r="M245">
        <v>184</v>
      </c>
      <c r="N245">
        <v>215</v>
      </c>
      <c r="O245">
        <v>73886404.504504517</v>
      </c>
      <c r="P245">
        <v>63257477.477477483</v>
      </c>
      <c r="Q245">
        <v>353</v>
      </c>
      <c r="R245">
        <v>89</v>
      </c>
      <c r="S245">
        <v>134947286.48648649</v>
      </c>
      <c r="T245">
        <v>138382405.4054054</v>
      </c>
      <c r="U245">
        <v>62236396.396396399</v>
      </c>
      <c r="V245">
        <v>58477927.927927926</v>
      </c>
      <c r="W245">
        <v>16177</v>
      </c>
      <c r="X245">
        <v>16046</v>
      </c>
    </row>
    <row r="246" spans="1:24">
      <c r="A246" s="7" t="s">
        <v>339</v>
      </c>
      <c r="B246" s="16" t="s">
        <v>121</v>
      </c>
      <c r="C246">
        <v>115296491.01380715</v>
      </c>
      <c r="D246">
        <v>107835575.694148</v>
      </c>
      <c r="E246">
        <v>3603.603603604</v>
      </c>
      <c r="G246">
        <v>66</v>
      </c>
      <c r="H246">
        <v>34</v>
      </c>
      <c r="I246">
        <v>0</v>
      </c>
      <c r="J246">
        <v>1</v>
      </c>
      <c r="M246">
        <v>71</v>
      </c>
      <c r="N246">
        <v>37</v>
      </c>
      <c r="O246">
        <v>165765.765765766</v>
      </c>
      <c r="Q246">
        <v>18</v>
      </c>
      <c r="S246">
        <v>7793234.2342342343</v>
      </c>
      <c r="T246">
        <v>7609792.7927927934</v>
      </c>
      <c r="U246">
        <v>162162.16216216201</v>
      </c>
      <c r="W246">
        <v>2486</v>
      </c>
      <c r="X246">
        <v>2521</v>
      </c>
    </row>
    <row r="247" spans="1:24">
      <c r="A247" s="7" t="s">
        <v>340</v>
      </c>
      <c r="B247" s="16" t="s">
        <v>140</v>
      </c>
      <c r="C247">
        <v>350911252.63736719</v>
      </c>
      <c r="D247">
        <v>367336206.23237449</v>
      </c>
      <c r="E247">
        <v>627702.70270270202</v>
      </c>
      <c r="F247">
        <v>1840990.9909909931</v>
      </c>
      <c r="G247">
        <v>45</v>
      </c>
      <c r="H247">
        <v>74</v>
      </c>
      <c r="I247">
        <v>6</v>
      </c>
      <c r="J247">
        <v>10</v>
      </c>
      <c r="K247">
        <v>5</v>
      </c>
      <c r="M247">
        <v>79</v>
      </c>
      <c r="N247">
        <v>82</v>
      </c>
      <c r="O247">
        <v>61342792.79279279</v>
      </c>
      <c r="P247">
        <v>63133873.873873875</v>
      </c>
      <c r="Q247">
        <v>70</v>
      </c>
      <c r="R247">
        <v>58</v>
      </c>
      <c r="S247">
        <v>97607225.22522521</v>
      </c>
      <c r="T247">
        <v>109455153.6036036</v>
      </c>
      <c r="U247">
        <v>57444234.234234229</v>
      </c>
      <c r="V247">
        <v>59843063.063063063</v>
      </c>
      <c r="W247">
        <v>8634</v>
      </c>
      <c r="X247">
        <v>8816</v>
      </c>
    </row>
    <row r="248" spans="1:24">
      <c r="A248" s="7" t="s">
        <v>341</v>
      </c>
      <c r="B248" s="16" t="s">
        <v>134</v>
      </c>
      <c r="C248">
        <v>45919523.447295576</v>
      </c>
      <c r="D248">
        <v>40238548.157429859</v>
      </c>
      <c r="E248">
        <v>5405.4054054059998</v>
      </c>
      <c r="F248">
        <v>54054.054054054002</v>
      </c>
      <c r="G248">
        <v>18</v>
      </c>
      <c r="H248">
        <v>8</v>
      </c>
      <c r="I248">
        <v>1</v>
      </c>
      <c r="J248">
        <v>1</v>
      </c>
      <c r="M248">
        <v>20</v>
      </c>
      <c r="N248">
        <v>10</v>
      </c>
      <c r="O248">
        <v>1762162.1621621619</v>
      </c>
      <c r="P248">
        <v>1495495.4954954961</v>
      </c>
      <c r="Q248">
        <v>17</v>
      </c>
      <c r="S248">
        <v>3997972.9729729719</v>
      </c>
      <c r="T248">
        <v>3955909.9099099101</v>
      </c>
      <c r="U248">
        <v>1427837.8378378381</v>
      </c>
      <c r="V248">
        <v>1096126.1261261259</v>
      </c>
      <c r="W248">
        <v>1276</v>
      </c>
      <c r="X248">
        <v>1404</v>
      </c>
    </row>
    <row r="249" spans="1:24">
      <c r="A249" s="7" t="s">
        <v>342</v>
      </c>
      <c r="B249" s="16" t="s">
        <v>121</v>
      </c>
      <c r="C249">
        <v>2132343.2206551419</v>
      </c>
      <c r="D249">
        <v>1473327.4794650769</v>
      </c>
      <c r="G249">
        <v>4</v>
      </c>
      <c r="H249">
        <v>7</v>
      </c>
      <c r="M249">
        <v>6</v>
      </c>
      <c r="N249">
        <v>11</v>
      </c>
      <c r="S249">
        <v>964459.45945945894</v>
      </c>
      <c r="T249">
        <v>676126.12612612604</v>
      </c>
      <c r="W249">
        <v>392</v>
      </c>
      <c r="X249">
        <v>384</v>
      </c>
    </row>
    <row r="250" spans="1:24">
      <c r="A250" s="7" t="s">
        <v>5</v>
      </c>
      <c r="B250" s="16" t="s">
        <v>158</v>
      </c>
      <c r="C250">
        <v>136456609.75608432</v>
      </c>
      <c r="D250">
        <v>139577639.04671359</v>
      </c>
      <c r="E250">
        <v>1783333.333333334</v>
      </c>
      <c r="F250">
        <v>489189.18918918999</v>
      </c>
      <c r="G250">
        <v>12</v>
      </c>
      <c r="H250">
        <v>20</v>
      </c>
      <c r="I250">
        <v>2</v>
      </c>
      <c r="J250">
        <v>2</v>
      </c>
      <c r="K250">
        <v>2</v>
      </c>
      <c r="M250">
        <v>13</v>
      </c>
      <c r="N250">
        <v>20</v>
      </c>
      <c r="O250">
        <v>9314144.1441441439</v>
      </c>
      <c r="P250">
        <v>11784684.684684686</v>
      </c>
      <c r="Q250">
        <v>14</v>
      </c>
      <c r="R250">
        <v>22</v>
      </c>
      <c r="S250">
        <v>59585720.720720723</v>
      </c>
      <c r="T250">
        <v>59824630.630630635</v>
      </c>
      <c r="U250">
        <v>8650630.6306306291</v>
      </c>
      <c r="V250">
        <v>10665135.135135135</v>
      </c>
      <c r="W250">
        <v>3049</v>
      </c>
      <c r="X250">
        <v>2984</v>
      </c>
    </row>
    <row r="251" spans="1:24">
      <c r="A251" s="7" t="s">
        <v>343</v>
      </c>
      <c r="B251" s="16" t="s">
        <v>304</v>
      </c>
      <c r="C251">
        <v>13547664.915701967</v>
      </c>
      <c r="D251">
        <v>14588429.618159145</v>
      </c>
      <c r="E251">
        <v>1801.801801802</v>
      </c>
      <c r="F251">
        <v>900900.90090090095</v>
      </c>
      <c r="G251">
        <v>20</v>
      </c>
      <c r="H251">
        <v>7</v>
      </c>
      <c r="I251">
        <v>0</v>
      </c>
      <c r="M251">
        <v>25</v>
      </c>
      <c r="N251">
        <v>10</v>
      </c>
      <c r="O251">
        <v>452252.25225225202</v>
      </c>
      <c r="P251">
        <v>900900.90090090095</v>
      </c>
      <c r="S251">
        <v>3155000</v>
      </c>
      <c r="T251">
        <v>2391855.8558558561</v>
      </c>
      <c r="U251">
        <v>328108.10810810799</v>
      </c>
      <c r="V251">
        <v>218018.01801801799</v>
      </c>
      <c r="W251">
        <v>365</v>
      </c>
      <c r="X251">
        <v>500</v>
      </c>
    </row>
    <row r="252" spans="1:24">
      <c r="A252" s="7" t="s">
        <v>344</v>
      </c>
      <c r="B252" s="16" t="s">
        <v>105</v>
      </c>
      <c r="C252">
        <v>290507426.3117913</v>
      </c>
      <c r="D252">
        <v>283870830.22249532</v>
      </c>
      <c r="E252">
        <v>240315.31531531599</v>
      </c>
      <c r="F252">
        <v>1418468.46846847</v>
      </c>
      <c r="G252">
        <v>71</v>
      </c>
      <c r="H252">
        <v>50</v>
      </c>
      <c r="I252">
        <v>6</v>
      </c>
      <c r="J252">
        <v>5</v>
      </c>
      <c r="K252">
        <v>1</v>
      </c>
      <c r="M252">
        <v>76</v>
      </c>
      <c r="N252">
        <v>66</v>
      </c>
      <c r="O252">
        <v>38289009.009009011</v>
      </c>
      <c r="P252">
        <v>37010990.990990989</v>
      </c>
      <c r="Q252">
        <v>66</v>
      </c>
      <c r="R252">
        <v>322</v>
      </c>
      <c r="S252">
        <v>71282153.153153151</v>
      </c>
      <c r="T252">
        <v>69660486.486486495</v>
      </c>
      <c r="U252">
        <v>37615585.585585587</v>
      </c>
      <c r="V252">
        <v>34920630.630630635</v>
      </c>
      <c r="W252">
        <v>5768</v>
      </c>
      <c r="X252">
        <v>5937</v>
      </c>
    </row>
    <row r="253" spans="1:24">
      <c r="A253" s="7" t="s">
        <v>345</v>
      </c>
      <c r="B253" s="16" t="s">
        <v>87</v>
      </c>
      <c r="C253">
        <v>87029491.197037071</v>
      </c>
      <c r="D253">
        <v>85576211.45200555</v>
      </c>
      <c r="E253">
        <v>340540.540540541</v>
      </c>
      <c r="F253">
        <v>621621.62162162201</v>
      </c>
      <c r="G253">
        <v>51</v>
      </c>
      <c r="H253">
        <v>34</v>
      </c>
      <c r="I253">
        <v>7</v>
      </c>
      <c r="J253">
        <v>5</v>
      </c>
      <c r="K253">
        <v>1</v>
      </c>
      <c r="M253">
        <v>55</v>
      </c>
      <c r="N253">
        <v>38</v>
      </c>
      <c r="O253">
        <v>21128828.828828827</v>
      </c>
      <c r="P253">
        <v>22531531.531531531</v>
      </c>
      <c r="Q253">
        <v>28</v>
      </c>
      <c r="S253">
        <v>20499211.711711712</v>
      </c>
      <c r="T253">
        <v>21848173.873873871</v>
      </c>
      <c r="U253">
        <v>13951171.171171172</v>
      </c>
      <c r="V253">
        <v>16629052.252252253</v>
      </c>
      <c r="W253">
        <v>2195</v>
      </c>
      <c r="X253">
        <v>2187</v>
      </c>
    </row>
    <row r="254" spans="1:24">
      <c r="A254" s="7" t="s">
        <v>346</v>
      </c>
      <c r="B254" s="16" t="s">
        <v>87</v>
      </c>
      <c r="C254">
        <v>272582394.01667058</v>
      </c>
      <c r="D254">
        <v>236880000.56948867</v>
      </c>
      <c r="E254">
        <v>653378.37837837799</v>
      </c>
      <c r="F254">
        <v>2868468.468468471</v>
      </c>
      <c r="G254">
        <v>217</v>
      </c>
      <c r="H254">
        <v>147</v>
      </c>
      <c r="I254">
        <v>15</v>
      </c>
      <c r="J254">
        <v>17</v>
      </c>
      <c r="K254">
        <v>1</v>
      </c>
      <c r="M254">
        <v>249</v>
      </c>
      <c r="N254">
        <v>184</v>
      </c>
      <c r="O254">
        <v>21721621.62162162</v>
      </c>
      <c r="P254">
        <v>23944144.144144144</v>
      </c>
      <c r="Q254">
        <v>138</v>
      </c>
      <c r="R254">
        <v>60</v>
      </c>
      <c r="S254">
        <v>42842689.189189196</v>
      </c>
      <c r="T254">
        <v>40439070.270270273</v>
      </c>
      <c r="U254">
        <v>18249729.729729734</v>
      </c>
      <c r="V254">
        <v>17970810.810810812</v>
      </c>
      <c r="W254">
        <v>6800</v>
      </c>
      <c r="X254">
        <v>6164</v>
      </c>
    </row>
    <row r="255" spans="1:24">
      <c r="A255" s="7" t="s">
        <v>347</v>
      </c>
      <c r="B255" s="16" t="s">
        <v>87</v>
      </c>
      <c r="C255">
        <v>6381812.3158481102</v>
      </c>
      <c r="D255">
        <v>7437553.9123948077</v>
      </c>
      <c r="G255">
        <v>3</v>
      </c>
      <c r="H255">
        <v>18</v>
      </c>
      <c r="M255">
        <v>7</v>
      </c>
      <c r="N255">
        <v>20</v>
      </c>
      <c r="S255">
        <v>3312207.2072072071</v>
      </c>
      <c r="T255">
        <v>2803909.9099099101</v>
      </c>
      <c r="W255">
        <v>739</v>
      </c>
      <c r="X255">
        <v>830</v>
      </c>
    </row>
    <row r="256" spans="1:24">
      <c r="A256" s="7" t="s">
        <v>348</v>
      </c>
      <c r="B256" s="16" t="s">
        <v>87</v>
      </c>
      <c r="C256">
        <v>2956164.9435725021</v>
      </c>
      <c r="D256">
        <v>3349697.772485306</v>
      </c>
      <c r="G256">
        <v>1</v>
      </c>
      <c r="H256">
        <v>1</v>
      </c>
      <c r="M256">
        <v>1</v>
      </c>
      <c r="N256">
        <v>1</v>
      </c>
      <c r="S256">
        <v>573603.60360360402</v>
      </c>
      <c r="T256">
        <v>1225450.4504504511</v>
      </c>
      <c r="W256">
        <v>397</v>
      </c>
      <c r="X256">
        <v>195</v>
      </c>
    </row>
    <row r="257" spans="1:24">
      <c r="A257" s="7" t="s">
        <v>349</v>
      </c>
      <c r="B257" s="16" t="s">
        <v>87</v>
      </c>
      <c r="C257">
        <v>2810453.3948998461</v>
      </c>
      <c r="D257">
        <v>2865685.6636361852</v>
      </c>
      <c r="G257">
        <v>1</v>
      </c>
      <c r="H257">
        <v>5</v>
      </c>
      <c r="M257">
        <v>2</v>
      </c>
      <c r="N257">
        <v>9</v>
      </c>
      <c r="S257">
        <v>1143558.5585585581</v>
      </c>
      <c r="T257">
        <v>1697126.1261261259</v>
      </c>
      <c r="W257">
        <v>651</v>
      </c>
      <c r="X257">
        <v>685</v>
      </c>
    </row>
    <row r="258" spans="1:24">
      <c r="A258" s="7" t="s">
        <v>350</v>
      </c>
      <c r="B258" s="16" t="s">
        <v>87</v>
      </c>
      <c r="C258">
        <v>71214180.531433508</v>
      </c>
      <c r="D258">
        <v>78476406.081955492</v>
      </c>
      <c r="E258">
        <v>9009.0090090100002</v>
      </c>
      <c r="F258">
        <v>128828.82882883</v>
      </c>
      <c r="G258">
        <v>50</v>
      </c>
      <c r="H258">
        <v>56</v>
      </c>
      <c r="I258">
        <v>3</v>
      </c>
      <c r="J258">
        <v>3</v>
      </c>
      <c r="M258">
        <v>57</v>
      </c>
      <c r="N258">
        <v>66</v>
      </c>
      <c r="O258">
        <v>6775675.6756756771</v>
      </c>
      <c r="P258">
        <v>5034234.2342342362</v>
      </c>
      <c r="Q258">
        <v>25</v>
      </c>
      <c r="S258">
        <v>13689864.864864863</v>
      </c>
      <c r="T258">
        <v>15809279.27927928</v>
      </c>
      <c r="U258">
        <v>4951621.6216216218</v>
      </c>
      <c r="V258">
        <v>4908018.0180180166</v>
      </c>
      <c r="W258">
        <v>2029</v>
      </c>
      <c r="X258">
        <v>2084</v>
      </c>
    </row>
    <row r="259" spans="1:24">
      <c r="A259" s="7" t="s">
        <v>351</v>
      </c>
      <c r="B259" s="16" t="s">
        <v>50</v>
      </c>
      <c r="C259">
        <v>197940817.16925898</v>
      </c>
      <c r="D259">
        <v>209712190.60410097</v>
      </c>
      <c r="E259">
        <v>397747.747747752</v>
      </c>
      <c r="F259">
        <v>2381081.0810810849</v>
      </c>
      <c r="G259">
        <v>26</v>
      </c>
      <c r="H259">
        <v>57</v>
      </c>
      <c r="I259">
        <v>13</v>
      </c>
      <c r="J259">
        <v>12</v>
      </c>
      <c r="M259">
        <v>33</v>
      </c>
      <c r="N259">
        <v>64</v>
      </c>
      <c r="O259">
        <v>33785135.135135137</v>
      </c>
      <c r="P259">
        <v>24526306.306306306</v>
      </c>
      <c r="Q259">
        <v>77</v>
      </c>
      <c r="R259">
        <v>313</v>
      </c>
      <c r="S259">
        <v>78095945.945945948</v>
      </c>
      <c r="T259">
        <v>82222184.684684694</v>
      </c>
      <c r="U259">
        <v>33507747.747747753</v>
      </c>
      <c r="V259">
        <v>24246846.846846849</v>
      </c>
      <c r="W259">
        <v>5481</v>
      </c>
      <c r="X259">
        <v>5274</v>
      </c>
    </row>
    <row r="260" spans="1:24">
      <c r="A260" s="7" t="s">
        <v>352</v>
      </c>
      <c r="B260" s="16" t="s">
        <v>123</v>
      </c>
      <c r="C260">
        <v>1136660.725249693</v>
      </c>
      <c r="D260">
        <v>1281825.981775943</v>
      </c>
      <c r="E260">
        <v>103423423.42342342</v>
      </c>
      <c r="F260">
        <v>135611531.53153154</v>
      </c>
      <c r="H260">
        <v>1</v>
      </c>
      <c r="M260">
        <v>1</v>
      </c>
      <c r="N260">
        <v>1</v>
      </c>
      <c r="O260">
        <v>5141216.2162162159</v>
      </c>
      <c r="P260">
        <v>343243.24324324302</v>
      </c>
      <c r="S260">
        <v>418288.28828828799</v>
      </c>
      <c r="T260">
        <v>543333.33333333302</v>
      </c>
      <c r="W260">
        <v>88</v>
      </c>
      <c r="X260">
        <v>112</v>
      </c>
    </row>
    <row r="261" spans="1:24">
      <c r="A261" s="7" t="s">
        <v>353</v>
      </c>
      <c r="B261" s="16" t="s">
        <v>354</v>
      </c>
      <c r="C261">
        <v>385590178.28874201</v>
      </c>
      <c r="D261">
        <v>363832147.40452141</v>
      </c>
      <c r="E261">
        <v>2327927.927927928</v>
      </c>
      <c r="F261">
        <v>7777477.4774774788</v>
      </c>
      <c r="G261">
        <v>160</v>
      </c>
      <c r="H261">
        <v>316</v>
      </c>
      <c r="I261">
        <v>37</v>
      </c>
      <c r="J261">
        <v>15</v>
      </c>
      <c r="M261">
        <v>238</v>
      </c>
      <c r="N261">
        <v>535</v>
      </c>
      <c r="O261">
        <v>170424414.41441441</v>
      </c>
      <c r="P261">
        <v>234217927.92792794</v>
      </c>
      <c r="Q261">
        <v>328</v>
      </c>
      <c r="R261">
        <v>410</v>
      </c>
      <c r="S261">
        <v>222062971.17117116</v>
      </c>
      <c r="T261">
        <v>217524405.4054054</v>
      </c>
      <c r="U261">
        <v>155145675.67567569</v>
      </c>
      <c r="V261">
        <v>243462342.34234235</v>
      </c>
      <c r="W261">
        <v>10102</v>
      </c>
      <c r="X261">
        <v>9829</v>
      </c>
    </row>
    <row r="262" spans="1:24">
      <c r="A262" s="7" t="s">
        <v>355</v>
      </c>
      <c r="B262" s="16" t="s">
        <v>48</v>
      </c>
      <c r="C262">
        <v>249154727.97804186</v>
      </c>
      <c r="D262">
        <v>247693460.0596599</v>
      </c>
      <c r="E262">
        <v>216216.21621621799</v>
      </c>
      <c r="F262">
        <v>495495.49549549603</v>
      </c>
      <c r="G262">
        <v>56</v>
      </c>
      <c r="H262">
        <v>17</v>
      </c>
      <c r="I262">
        <v>4</v>
      </c>
      <c r="J262">
        <v>2</v>
      </c>
      <c r="M262">
        <v>60</v>
      </c>
      <c r="N262">
        <v>21</v>
      </c>
      <c r="O262">
        <v>1748828.828828827</v>
      </c>
      <c r="P262">
        <v>513513.51351351402</v>
      </c>
      <c r="Q262">
        <v>50</v>
      </c>
      <c r="S262">
        <v>18407774.774774775</v>
      </c>
      <c r="T262">
        <v>18604162.162162162</v>
      </c>
      <c r="U262">
        <v>1013603.603603601</v>
      </c>
      <c r="V262">
        <v>415765.76576576498</v>
      </c>
      <c r="W262">
        <v>5558</v>
      </c>
      <c r="X262">
        <v>5744</v>
      </c>
    </row>
    <row r="263" spans="1:24">
      <c r="A263" s="7" t="s">
        <v>356</v>
      </c>
      <c r="B263" s="16" t="s">
        <v>123</v>
      </c>
      <c r="C263">
        <v>282163661.51907033</v>
      </c>
      <c r="D263">
        <v>261598675.94359797</v>
      </c>
      <c r="E263">
        <v>67567.567567567996</v>
      </c>
      <c r="F263">
        <v>126126.126126127</v>
      </c>
      <c r="G263">
        <v>68</v>
      </c>
      <c r="H263">
        <v>53</v>
      </c>
      <c r="I263">
        <v>3</v>
      </c>
      <c r="J263">
        <v>3</v>
      </c>
      <c r="M263">
        <v>72</v>
      </c>
      <c r="N263">
        <v>55</v>
      </c>
      <c r="O263">
        <v>8733873.8738738727</v>
      </c>
      <c r="P263">
        <v>12854504.504504504</v>
      </c>
      <c r="Q263">
        <v>23</v>
      </c>
      <c r="R263">
        <v>167</v>
      </c>
      <c r="S263">
        <v>61605079.279279277</v>
      </c>
      <c r="T263">
        <v>59085716.216216214</v>
      </c>
      <c r="U263">
        <v>8748468.4684684686</v>
      </c>
      <c r="V263">
        <v>11146306.306306306</v>
      </c>
      <c r="W263">
        <v>5793</v>
      </c>
      <c r="X263">
        <v>5587</v>
      </c>
    </row>
    <row r="264" spans="1:24">
      <c r="A264" s="7" t="s">
        <v>357</v>
      </c>
      <c r="B264" s="16" t="s">
        <v>62</v>
      </c>
      <c r="C264">
        <v>152715232.03440204</v>
      </c>
      <c r="D264">
        <v>148650515.31757843</v>
      </c>
      <c r="E264">
        <v>679279.27927927801</v>
      </c>
      <c r="F264">
        <v>1774774.7747747761</v>
      </c>
      <c r="G264">
        <v>29</v>
      </c>
      <c r="H264">
        <v>24</v>
      </c>
      <c r="I264">
        <v>1</v>
      </c>
      <c r="J264">
        <v>10</v>
      </c>
      <c r="M264">
        <v>33</v>
      </c>
      <c r="N264">
        <v>30</v>
      </c>
      <c r="O264">
        <v>12316756.756756756</v>
      </c>
      <c r="P264">
        <v>27689909.909909908</v>
      </c>
      <c r="Q264">
        <v>21</v>
      </c>
      <c r="R264">
        <v>51</v>
      </c>
      <c r="S264">
        <v>40637837.837837838</v>
      </c>
      <c r="T264">
        <v>41556333.333333328</v>
      </c>
      <c r="U264">
        <v>13688648.648648648</v>
      </c>
      <c r="V264">
        <v>25091891.891891889</v>
      </c>
      <c r="W264">
        <v>3909</v>
      </c>
      <c r="X264">
        <v>3768</v>
      </c>
    </row>
    <row r="265" spans="1:24">
      <c r="A265" s="7" t="s">
        <v>358</v>
      </c>
      <c r="B265" s="16" t="s">
        <v>315</v>
      </c>
      <c r="C265">
        <v>7375824.9683858622</v>
      </c>
      <c r="D265">
        <v>5665717.623574554</v>
      </c>
      <c r="E265">
        <v>121564680.18018018</v>
      </c>
      <c r="F265">
        <v>130390261.26126127</v>
      </c>
      <c r="G265">
        <v>14</v>
      </c>
      <c r="H265">
        <v>10</v>
      </c>
      <c r="M265">
        <v>14</v>
      </c>
      <c r="N265">
        <v>11</v>
      </c>
      <c r="O265">
        <v>32432432.432432432</v>
      </c>
      <c r="P265">
        <v>691441.44144144095</v>
      </c>
      <c r="S265">
        <v>4399189.1891891891</v>
      </c>
      <c r="T265">
        <v>2291846.8468468469</v>
      </c>
      <c r="W265">
        <v>683</v>
      </c>
      <c r="X265">
        <v>305</v>
      </c>
    </row>
    <row r="266" spans="1:24">
      <c r="A266" s="7" t="s">
        <v>359</v>
      </c>
      <c r="B266" s="16" t="s">
        <v>315</v>
      </c>
      <c r="C266">
        <v>175645008.16051057</v>
      </c>
      <c r="D266">
        <v>147824865.34757179</v>
      </c>
      <c r="E266">
        <v>82882.882882883001</v>
      </c>
      <c r="F266">
        <v>1003603.6036036049</v>
      </c>
      <c r="G266">
        <v>43</v>
      </c>
      <c r="H266">
        <v>36</v>
      </c>
      <c r="I266">
        <v>4</v>
      </c>
      <c r="J266">
        <v>8</v>
      </c>
      <c r="M266">
        <v>45</v>
      </c>
      <c r="N266">
        <v>44</v>
      </c>
      <c r="O266">
        <v>35854774.774774775</v>
      </c>
      <c r="P266">
        <v>26400720.72072072</v>
      </c>
      <c r="R266">
        <v>6</v>
      </c>
      <c r="S266">
        <v>63274144.144144148</v>
      </c>
      <c r="T266">
        <v>55010621.621621624</v>
      </c>
      <c r="U266">
        <v>36739459.459459454</v>
      </c>
      <c r="V266">
        <v>25154504.504504506</v>
      </c>
      <c r="W266">
        <v>2998</v>
      </c>
      <c r="X266">
        <v>3268</v>
      </c>
    </row>
    <row r="267" spans="1:24">
      <c r="A267" s="7" t="s">
        <v>360</v>
      </c>
      <c r="B267" s="16" t="s">
        <v>92</v>
      </c>
      <c r="C267">
        <v>279668906.57455391</v>
      </c>
      <c r="D267">
        <v>272827505.70665598</v>
      </c>
      <c r="E267">
        <v>71267022.522522524</v>
      </c>
      <c r="F267">
        <v>163861958.55855855</v>
      </c>
      <c r="G267">
        <v>88</v>
      </c>
      <c r="H267">
        <v>162</v>
      </c>
      <c r="I267">
        <v>6</v>
      </c>
      <c r="J267">
        <v>8</v>
      </c>
      <c r="M267">
        <v>129</v>
      </c>
      <c r="N267">
        <v>207</v>
      </c>
      <c r="O267">
        <v>48020450.45045045</v>
      </c>
      <c r="P267">
        <v>60852252.252252251</v>
      </c>
      <c r="Q267">
        <v>93</v>
      </c>
      <c r="R267">
        <v>178</v>
      </c>
      <c r="S267">
        <v>81612513.51351352</v>
      </c>
      <c r="T267">
        <v>83679556.756756753</v>
      </c>
      <c r="U267">
        <v>30039549.549549554</v>
      </c>
      <c r="V267">
        <v>48542205.40540541</v>
      </c>
      <c r="W267">
        <v>6786</v>
      </c>
      <c r="X267">
        <v>6739</v>
      </c>
    </row>
    <row r="268" spans="1:24">
      <c r="A268" s="7" t="s">
        <v>361</v>
      </c>
      <c r="B268" s="16" t="s">
        <v>58</v>
      </c>
      <c r="C268">
        <v>570262990.10830259</v>
      </c>
      <c r="D268">
        <v>542871324.64828622</v>
      </c>
      <c r="E268">
        <v>23447747.747747749</v>
      </c>
      <c r="F268">
        <v>1379279.2792792821</v>
      </c>
      <c r="G268">
        <v>83</v>
      </c>
      <c r="H268">
        <v>97</v>
      </c>
      <c r="I268">
        <v>6</v>
      </c>
      <c r="J268">
        <v>19</v>
      </c>
      <c r="M268">
        <v>91</v>
      </c>
      <c r="N268">
        <v>108</v>
      </c>
      <c r="O268">
        <v>34814414.414414413</v>
      </c>
      <c r="P268">
        <v>25519819.819819823</v>
      </c>
      <c r="Q268">
        <v>486</v>
      </c>
      <c r="R268">
        <v>24</v>
      </c>
      <c r="S268">
        <v>85435171.171171173</v>
      </c>
      <c r="T268">
        <v>85300860.360360354</v>
      </c>
      <c r="U268">
        <v>25123063.063063066</v>
      </c>
      <c r="V268">
        <v>21649999.999999996</v>
      </c>
      <c r="W268">
        <v>13025</v>
      </c>
      <c r="X268">
        <v>13396</v>
      </c>
    </row>
    <row r="269" spans="1:24">
      <c r="A269" s="7" t="s">
        <v>362</v>
      </c>
      <c r="B269" s="16" t="s">
        <v>48</v>
      </c>
      <c r="C269">
        <v>198554878.94858828</v>
      </c>
      <c r="D269">
        <v>191173416.94806841</v>
      </c>
      <c r="E269">
        <v>95369826.126126125</v>
      </c>
      <c r="F269">
        <v>130015163.96396397</v>
      </c>
      <c r="G269">
        <v>9</v>
      </c>
      <c r="H269">
        <v>9</v>
      </c>
      <c r="I269">
        <v>8</v>
      </c>
      <c r="J269">
        <v>1</v>
      </c>
      <c r="M269">
        <v>13</v>
      </c>
      <c r="N269">
        <v>26</v>
      </c>
      <c r="O269">
        <v>15479819.819819819</v>
      </c>
      <c r="P269">
        <v>44138790.090090089</v>
      </c>
      <c r="R269">
        <v>2</v>
      </c>
      <c r="S269">
        <v>33703774.774774775</v>
      </c>
      <c r="T269">
        <v>31626657.657657657</v>
      </c>
      <c r="U269">
        <v>15014234.234234234</v>
      </c>
      <c r="V269">
        <v>26502432.432432432</v>
      </c>
      <c r="W269">
        <v>3339</v>
      </c>
      <c r="X269">
        <v>3782</v>
      </c>
    </row>
    <row r="270" spans="1:24">
      <c r="A270" s="7" t="s">
        <v>363</v>
      </c>
      <c r="B270" s="16" t="s">
        <v>52</v>
      </c>
      <c r="C270">
        <v>77686093.535038665</v>
      </c>
      <c r="D270">
        <v>81188842.200053021</v>
      </c>
      <c r="E270">
        <v>362702.70270270301</v>
      </c>
      <c r="F270">
        <v>190990.99099099101</v>
      </c>
      <c r="G270">
        <v>9</v>
      </c>
      <c r="H270">
        <v>57</v>
      </c>
      <c r="I270">
        <v>3</v>
      </c>
      <c r="J270">
        <v>3</v>
      </c>
      <c r="M270">
        <v>11</v>
      </c>
      <c r="N270">
        <v>63</v>
      </c>
      <c r="O270">
        <v>6859999.9999999981</v>
      </c>
      <c r="P270">
        <v>1785585.585585586</v>
      </c>
      <c r="Q270">
        <v>76</v>
      </c>
      <c r="R270">
        <v>48</v>
      </c>
      <c r="S270">
        <v>37836081.081081077</v>
      </c>
      <c r="T270">
        <v>39347027.027027026</v>
      </c>
      <c r="U270">
        <v>6265855.8558558561</v>
      </c>
      <c r="V270">
        <v>1984504.5045045039</v>
      </c>
      <c r="W270">
        <v>2393</v>
      </c>
      <c r="X270">
        <v>2308</v>
      </c>
    </row>
    <row r="271" spans="1:24">
      <c r="A271" s="7" t="s">
        <v>364</v>
      </c>
      <c r="B271" s="16" t="s">
        <v>52</v>
      </c>
      <c r="C271">
        <v>63038640.580791064</v>
      </c>
      <c r="D271">
        <v>62620290.385127723</v>
      </c>
      <c r="E271">
        <v>2006081.0810810821</v>
      </c>
      <c r="F271">
        <v>2363963.9639639659</v>
      </c>
      <c r="G271">
        <v>43</v>
      </c>
      <c r="H271">
        <v>74</v>
      </c>
      <c r="I271">
        <v>3</v>
      </c>
      <c r="J271">
        <v>9</v>
      </c>
      <c r="M271">
        <v>83</v>
      </c>
      <c r="N271">
        <v>174</v>
      </c>
      <c r="O271">
        <v>10450900.9009009</v>
      </c>
      <c r="P271">
        <v>5508108.1081081098</v>
      </c>
      <c r="Q271">
        <v>89</v>
      </c>
      <c r="R271">
        <v>389</v>
      </c>
      <c r="S271">
        <v>34724126.126126125</v>
      </c>
      <c r="T271">
        <v>34784405.405405402</v>
      </c>
      <c r="U271">
        <v>9822342.3423423413</v>
      </c>
      <c r="V271">
        <v>10616216.216216216</v>
      </c>
      <c r="W271">
        <v>2431</v>
      </c>
      <c r="X271">
        <v>2368</v>
      </c>
    </row>
    <row r="272" spans="1:24">
      <c r="A272" s="7" t="s">
        <v>365</v>
      </c>
      <c r="B272" s="16" t="s">
        <v>52</v>
      </c>
      <c r="C272">
        <v>673574909.01699042</v>
      </c>
      <c r="D272">
        <v>707890590.47731984</v>
      </c>
      <c r="E272">
        <v>171721118.01801801</v>
      </c>
      <c r="F272">
        <v>163499194.5945946</v>
      </c>
      <c r="G272">
        <v>159</v>
      </c>
      <c r="H272">
        <v>265</v>
      </c>
      <c r="I272">
        <v>20</v>
      </c>
      <c r="J272">
        <v>50</v>
      </c>
      <c r="M272">
        <v>197</v>
      </c>
      <c r="N272">
        <v>436</v>
      </c>
      <c r="O272">
        <v>54826306.306306303</v>
      </c>
      <c r="P272">
        <v>36363063.06306307</v>
      </c>
      <c r="Q272">
        <v>618</v>
      </c>
      <c r="R272">
        <v>4070</v>
      </c>
      <c r="S272">
        <v>240045923.42342341</v>
      </c>
      <c r="T272">
        <v>260009656.75675678</v>
      </c>
      <c r="U272">
        <v>51480180.180180177</v>
      </c>
      <c r="V272">
        <v>58500090.090090089</v>
      </c>
      <c r="W272">
        <v>20708</v>
      </c>
      <c r="X272">
        <v>22138</v>
      </c>
    </row>
    <row r="273" spans="1:24">
      <c r="A273" s="7" t="s">
        <v>366</v>
      </c>
      <c r="B273" s="16" t="s">
        <v>293</v>
      </c>
      <c r="C273">
        <v>443863573.39749831</v>
      </c>
      <c r="D273">
        <v>403839282.26840317</v>
      </c>
      <c r="E273">
        <v>884684.68468469102</v>
      </c>
      <c r="F273">
        <v>3336936.9369369349</v>
      </c>
      <c r="G273">
        <v>98</v>
      </c>
      <c r="H273">
        <v>128</v>
      </c>
      <c r="I273">
        <v>20</v>
      </c>
      <c r="J273">
        <v>22</v>
      </c>
      <c r="K273">
        <v>2</v>
      </c>
      <c r="M273">
        <v>123</v>
      </c>
      <c r="N273">
        <v>349</v>
      </c>
      <c r="O273">
        <v>44570810.810810804</v>
      </c>
      <c r="P273">
        <v>40932162.162162162</v>
      </c>
      <c r="Q273">
        <v>27</v>
      </c>
      <c r="R273">
        <v>50</v>
      </c>
      <c r="S273">
        <v>137451034.23423424</v>
      </c>
      <c r="T273">
        <v>133906184.68468469</v>
      </c>
      <c r="U273">
        <v>36678018.018018015</v>
      </c>
      <c r="V273">
        <v>46215315.315315314</v>
      </c>
      <c r="W273">
        <v>11247</v>
      </c>
      <c r="X273">
        <v>11447</v>
      </c>
    </row>
    <row r="274" spans="1:24">
      <c r="A274" s="7" t="s">
        <v>367</v>
      </c>
      <c r="B274" s="16" t="s">
        <v>368</v>
      </c>
      <c r="C274">
        <v>186940090.41480243</v>
      </c>
      <c r="D274">
        <v>170830678.21338043</v>
      </c>
      <c r="E274">
        <v>53313243.24324324</v>
      </c>
      <c r="F274">
        <v>31858558.558558561</v>
      </c>
      <c r="G274">
        <v>25</v>
      </c>
      <c r="H274">
        <v>35</v>
      </c>
      <c r="I274">
        <v>7</v>
      </c>
      <c r="J274">
        <v>6</v>
      </c>
      <c r="K274">
        <v>1</v>
      </c>
      <c r="M274">
        <v>28</v>
      </c>
      <c r="N274">
        <v>41</v>
      </c>
      <c r="O274">
        <v>24526306.306306303</v>
      </c>
      <c r="P274">
        <v>39283693.693693697</v>
      </c>
      <c r="Q274">
        <v>169</v>
      </c>
      <c r="R274">
        <v>95</v>
      </c>
      <c r="S274">
        <v>76792682.882882878</v>
      </c>
      <c r="T274">
        <v>72028099.0990991</v>
      </c>
      <c r="U274">
        <v>23279819.819819815</v>
      </c>
      <c r="V274">
        <v>42312702.702702701</v>
      </c>
      <c r="W274">
        <v>3953</v>
      </c>
      <c r="X274">
        <v>3973</v>
      </c>
    </row>
    <row r="275" spans="1:24">
      <c r="A275" s="7" t="s">
        <v>369</v>
      </c>
      <c r="B275" s="16" t="s">
        <v>70</v>
      </c>
      <c r="C275">
        <v>48761656.594168507</v>
      </c>
      <c r="D275">
        <v>49774659.165576413</v>
      </c>
      <c r="E275">
        <v>1215990.990990991</v>
      </c>
      <c r="F275">
        <v>2038738.7387387401</v>
      </c>
      <c r="G275">
        <v>15</v>
      </c>
      <c r="H275">
        <v>35</v>
      </c>
      <c r="I275">
        <v>1</v>
      </c>
      <c r="J275">
        <v>6</v>
      </c>
      <c r="M275">
        <v>16</v>
      </c>
      <c r="N275">
        <v>46</v>
      </c>
      <c r="O275">
        <v>9127027.0270270277</v>
      </c>
      <c r="P275">
        <v>9593693.6936936937</v>
      </c>
      <c r="R275">
        <v>6</v>
      </c>
      <c r="S275">
        <v>15829909.90990991</v>
      </c>
      <c r="T275">
        <v>17005414.414414417</v>
      </c>
      <c r="U275">
        <v>7719009.0090090102</v>
      </c>
      <c r="V275">
        <v>8455585.5855855867</v>
      </c>
      <c r="W275">
        <v>1192</v>
      </c>
      <c r="X275">
        <v>1195</v>
      </c>
    </row>
    <row r="276" spans="1:24">
      <c r="A276" s="7" t="s">
        <v>370</v>
      </c>
      <c r="B276" s="16" t="s">
        <v>50</v>
      </c>
      <c r="C276">
        <v>103569406.29593562</v>
      </c>
      <c r="D276">
        <v>104768243.12068354</v>
      </c>
      <c r="E276">
        <v>486486.48648648697</v>
      </c>
      <c r="F276">
        <v>1056756.756756759</v>
      </c>
      <c r="G276">
        <v>16</v>
      </c>
      <c r="H276">
        <v>22</v>
      </c>
      <c r="I276">
        <v>1</v>
      </c>
      <c r="J276">
        <v>7</v>
      </c>
      <c r="M276">
        <v>17</v>
      </c>
      <c r="N276">
        <v>25</v>
      </c>
      <c r="O276">
        <v>8350630.630630631</v>
      </c>
      <c r="P276">
        <v>7202792.7927927924</v>
      </c>
      <c r="Q276">
        <v>10</v>
      </c>
      <c r="R276">
        <v>3</v>
      </c>
      <c r="S276">
        <v>47389765.765765771</v>
      </c>
      <c r="T276">
        <v>47347486.486486487</v>
      </c>
      <c r="U276">
        <v>8377477.4774774788</v>
      </c>
      <c r="V276">
        <v>7095315.3153153146</v>
      </c>
      <c r="W276">
        <v>2751</v>
      </c>
      <c r="X276">
        <v>2782</v>
      </c>
    </row>
    <row r="277" spans="1:24">
      <c r="A277" s="7" t="s">
        <v>371</v>
      </c>
      <c r="B277" s="16" t="s">
        <v>121</v>
      </c>
      <c r="C277">
        <v>109186919.62601064</v>
      </c>
      <c r="D277">
        <v>104124754.76407251</v>
      </c>
      <c r="E277">
        <v>132432.43243243301</v>
      </c>
      <c r="F277">
        <v>736936.93693693797</v>
      </c>
      <c r="G277">
        <v>41</v>
      </c>
      <c r="H277">
        <v>45</v>
      </c>
      <c r="I277">
        <v>6</v>
      </c>
      <c r="J277">
        <v>5</v>
      </c>
      <c r="M277">
        <v>46</v>
      </c>
      <c r="N277">
        <v>53</v>
      </c>
      <c r="O277">
        <v>3042342.3423423418</v>
      </c>
      <c r="P277">
        <v>5616216.2162162159</v>
      </c>
      <c r="Q277">
        <v>69</v>
      </c>
      <c r="R277">
        <v>9</v>
      </c>
      <c r="S277">
        <v>9874324.3243243247</v>
      </c>
      <c r="T277">
        <v>11208765.765765766</v>
      </c>
      <c r="U277">
        <v>1496396.3963963969</v>
      </c>
      <c r="V277">
        <v>3876216.2162162159</v>
      </c>
      <c r="W277">
        <v>2741</v>
      </c>
      <c r="X277">
        <v>2740</v>
      </c>
    </row>
    <row r="278" spans="1:24">
      <c r="A278" s="7" t="s">
        <v>372</v>
      </c>
      <c r="B278" s="16" t="s">
        <v>373</v>
      </c>
      <c r="C278">
        <v>278193758.90046924</v>
      </c>
      <c r="D278">
        <v>234353735.58138689</v>
      </c>
      <c r="E278">
        <v>47697763.963963971</v>
      </c>
      <c r="F278">
        <v>31087771.171171173</v>
      </c>
      <c r="G278">
        <v>411</v>
      </c>
      <c r="H278">
        <v>35</v>
      </c>
      <c r="I278">
        <v>21</v>
      </c>
      <c r="J278">
        <v>6</v>
      </c>
      <c r="K278">
        <v>1</v>
      </c>
      <c r="M278">
        <v>438</v>
      </c>
      <c r="N278">
        <v>41</v>
      </c>
      <c r="O278">
        <v>42456036.036036029</v>
      </c>
      <c r="P278">
        <v>40810810.810810804</v>
      </c>
      <c r="Q278">
        <v>34</v>
      </c>
      <c r="R278">
        <v>42</v>
      </c>
      <c r="S278">
        <v>109832912.61261261</v>
      </c>
      <c r="T278">
        <v>88325828.828828827</v>
      </c>
      <c r="U278">
        <v>51864097.297297299</v>
      </c>
      <c r="V278">
        <v>38811531.531531528</v>
      </c>
      <c r="W278">
        <v>9789</v>
      </c>
      <c r="X278">
        <v>10114</v>
      </c>
    </row>
    <row r="279" spans="1:24">
      <c r="A279" s="7" t="s">
        <v>374</v>
      </c>
      <c r="B279" s="16" t="s">
        <v>66</v>
      </c>
      <c r="C279">
        <v>171245044.10999796</v>
      </c>
      <c r="D279">
        <v>174356629.18933812</v>
      </c>
      <c r="E279">
        <v>1240990.9909909919</v>
      </c>
      <c r="F279">
        <v>6768468.4684684724</v>
      </c>
      <c r="G279">
        <v>71</v>
      </c>
      <c r="H279">
        <v>54</v>
      </c>
      <c r="I279">
        <v>9</v>
      </c>
      <c r="J279">
        <v>10</v>
      </c>
      <c r="M279">
        <v>89</v>
      </c>
      <c r="N279">
        <v>72</v>
      </c>
      <c r="O279">
        <v>32858738.738738742</v>
      </c>
      <c r="P279">
        <v>175630630.63063061</v>
      </c>
      <c r="Q279">
        <v>495</v>
      </c>
      <c r="R279">
        <v>1107</v>
      </c>
      <c r="S279">
        <v>62041648.648648649</v>
      </c>
      <c r="T279">
        <v>63235882.882882878</v>
      </c>
      <c r="U279">
        <v>29580180.180180181</v>
      </c>
      <c r="V279">
        <v>98043963.963963971</v>
      </c>
      <c r="W279">
        <v>6981</v>
      </c>
      <c r="X279">
        <v>7160</v>
      </c>
    </row>
    <row r="280" spans="1:24">
      <c r="A280" s="7" t="s">
        <v>375</v>
      </c>
      <c r="B280" s="16" t="s">
        <v>354</v>
      </c>
      <c r="C280">
        <v>271460635.06331557</v>
      </c>
      <c r="D280">
        <v>261928177.39289621</v>
      </c>
      <c r="E280">
        <v>144966477.47747746</v>
      </c>
      <c r="F280">
        <v>241013045.04504505</v>
      </c>
      <c r="G280">
        <v>484</v>
      </c>
      <c r="H280">
        <v>407</v>
      </c>
      <c r="I280">
        <v>7</v>
      </c>
      <c r="J280">
        <v>7</v>
      </c>
      <c r="M280">
        <v>500</v>
      </c>
      <c r="N280">
        <v>417</v>
      </c>
      <c r="O280">
        <v>48433513.513513513</v>
      </c>
      <c r="P280">
        <v>45327837.837837838</v>
      </c>
      <c r="Q280">
        <v>160</v>
      </c>
      <c r="R280">
        <v>170</v>
      </c>
      <c r="S280">
        <v>161199270.27027026</v>
      </c>
      <c r="T280">
        <v>162599342.34234235</v>
      </c>
      <c r="U280">
        <v>51482792.79279279</v>
      </c>
      <c r="V280">
        <v>48954954.954954959</v>
      </c>
      <c r="W280">
        <v>7050</v>
      </c>
      <c r="X280">
        <v>7053</v>
      </c>
    </row>
    <row r="281" spans="1:24">
      <c r="A281" s="7" t="s">
        <v>376</v>
      </c>
      <c r="B281" s="16" t="s">
        <v>66</v>
      </c>
      <c r="C281">
        <v>93154965.726312071</v>
      </c>
      <c r="D281">
        <v>100766521.88028227</v>
      </c>
      <c r="E281">
        <v>40540.540540542002</v>
      </c>
      <c r="F281">
        <v>1014414.414414416</v>
      </c>
      <c r="G281">
        <v>33</v>
      </c>
      <c r="H281">
        <v>42</v>
      </c>
      <c r="I281">
        <v>4</v>
      </c>
      <c r="J281">
        <v>4</v>
      </c>
      <c r="M281">
        <v>42</v>
      </c>
      <c r="N281">
        <v>51</v>
      </c>
      <c r="O281">
        <v>7873963.9639639631</v>
      </c>
      <c r="P281">
        <v>7704504.5045045046</v>
      </c>
      <c r="Q281">
        <v>124</v>
      </c>
      <c r="R281">
        <v>93</v>
      </c>
      <c r="S281">
        <v>41061682.882882878</v>
      </c>
      <c r="T281">
        <v>47671680.180180177</v>
      </c>
      <c r="U281">
        <v>12707567.567567568</v>
      </c>
      <c r="V281">
        <v>10553963.963963967</v>
      </c>
      <c r="W281">
        <v>4750</v>
      </c>
      <c r="X281">
        <v>5060</v>
      </c>
    </row>
    <row r="282" spans="1:24">
      <c r="A282" s="7" t="s">
        <v>377</v>
      </c>
      <c r="B282" s="16" t="s">
        <v>260</v>
      </c>
      <c r="C282">
        <v>90758095.310418099</v>
      </c>
      <c r="D282">
        <v>84709066.816363797</v>
      </c>
      <c r="E282">
        <v>181981.98198198201</v>
      </c>
      <c r="F282">
        <v>13513.513513514001</v>
      </c>
      <c r="G282">
        <v>3</v>
      </c>
      <c r="H282">
        <v>7</v>
      </c>
      <c r="I282">
        <v>1</v>
      </c>
      <c r="J282">
        <v>0</v>
      </c>
      <c r="M282">
        <v>4</v>
      </c>
      <c r="N282">
        <v>7</v>
      </c>
      <c r="O282">
        <v>3605405.4054054059</v>
      </c>
      <c r="P282">
        <v>3752252.2522522518</v>
      </c>
      <c r="Q282">
        <v>2</v>
      </c>
      <c r="S282">
        <v>14409054.054054054</v>
      </c>
      <c r="T282">
        <v>14009072.072072072</v>
      </c>
      <c r="U282">
        <v>6636666.666666666</v>
      </c>
      <c r="V282">
        <v>2799819.8198198201</v>
      </c>
      <c r="W282">
        <v>1719</v>
      </c>
      <c r="X282">
        <v>1652</v>
      </c>
    </row>
    <row r="283" spans="1:24">
      <c r="A283" s="7" t="s">
        <v>378</v>
      </c>
      <c r="B283" s="16" t="s">
        <v>354</v>
      </c>
      <c r="C283">
        <v>228653749.69472879</v>
      </c>
      <c r="D283">
        <v>217712904.68467581</v>
      </c>
      <c r="E283">
        <v>130899774.77477479</v>
      </c>
      <c r="F283">
        <v>25047747.747747753</v>
      </c>
      <c r="G283">
        <v>48</v>
      </c>
      <c r="H283">
        <v>51</v>
      </c>
      <c r="I283">
        <v>3</v>
      </c>
      <c r="J283">
        <v>6</v>
      </c>
      <c r="M283">
        <v>50</v>
      </c>
      <c r="N283">
        <v>54</v>
      </c>
      <c r="O283">
        <v>62058603.603603601</v>
      </c>
      <c r="P283">
        <v>50579864.864864863</v>
      </c>
      <c r="Q283">
        <v>131</v>
      </c>
      <c r="R283">
        <v>30</v>
      </c>
      <c r="S283">
        <v>116655045.04504503</v>
      </c>
      <c r="T283">
        <v>121563124.32432432</v>
      </c>
      <c r="U283">
        <v>51756576.576576576</v>
      </c>
      <c r="V283">
        <v>40965045.045045041</v>
      </c>
      <c r="W283">
        <v>4806</v>
      </c>
      <c r="X283">
        <v>4641</v>
      </c>
    </row>
    <row r="284" spans="1:24">
      <c r="A284" s="7" t="s">
        <v>379</v>
      </c>
      <c r="B284" s="16" t="s">
        <v>87</v>
      </c>
      <c r="C284">
        <v>4568727.927902556</v>
      </c>
      <c r="D284">
        <v>6194758.5784894321</v>
      </c>
      <c r="H284">
        <v>2</v>
      </c>
      <c r="N284">
        <v>3</v>
      </c>
      <c r="S284">
        <v>144819.81981982</v>
      </c>
      <c r="T284">
        <v>330090.09009009</v>
      </c>
      <c r="W284">
        <v>146</v>
      </c>
      <c r="X284">
        <v>183</v>
      </c>
    </row>
    <row r="285" spans="1:24">
      <c r="A285" s="7" t="s">
        <v>380</v>
      </c>
      <c r="B285" s="16" t="s">
        <v>87</v>
      </c>
      <c r="C285">
        <v>19164479.46863148</v>
      </c>
      <c r="D285">
        <v>8510949.6436783671</v>
      </c>
      <c r="E285">
        <v>14414.414414413999</v>
      </c>
      <c r="G285">
        <v>170</v>
      </c>
      <c r="H285">
        <v>15</v>
      </c>
      <c r="I285">
        <v>1</v>
      </c>
      <c r="M285">
        <v>172</v>
      </c>
      <c r="N285">
        <v>18</v>
      </c>
      <c r="O285">
        <v>81981.981981981997</v>
      </c>
      <c r="Q285">
        <v>29</v>
      </c>
      <c r="S285">
        <v>3836036.036036036</v>
      </c>
      <c r="T285">
        <v>994648.64864864899</v>
      </c>
      <c r="U285">
        <v>67567.567567567996</v>
      </c>
      <c r="W285">
        <v>503</v>
      </c>
      <c r="X285">
        <v>379</v>
      </c>
    </row>
    <row r="286" spans="1:24">
      <c r="A286" s="7" t="s">
        <v>381</v>
      </c>
      <c r="B286" s="16" t="s">
        <v>80</v>
      </c>
      <c r="C286">
        <v>1509345697.695992</v>
      </c>
      <c r="D286">
        <v>1482015113.8216376</v>
      </c>
      <c r="E286">
        <v>1244896854.0540543</v>
      </c>
      <c r="F286">
        <v>597643743.24324322</v>
      </c>
      <c r="G286">
        <v>427</v>
      </c>
      <c r="H286">
        <v>481</v>
      </c>
      <c r="I286">
        <v>56</v>
      </c>
      <c r="J286">
        <v>55</v>
      </c>
      <c r="K286">
        <v>1</v>
      </c>
      <c r="M286">
        <v>506</v>
      </c>
      <c r="N286">
        <v>639</v>
      </c>
      <c r="O286">
        <v>185225225.22522521</v>
      </c>
      <c r="P286">
        <v>176878378.37837836</v>
      </c>
      <c r="Q286">
        <v>492</v>
      </c>
      <c r="R286">
        <v>596</v>
      </c>
      <c r="S286">
        <v>365719870.27027029</v>
      </c>
      <c r="T286">
        <v>382793077.02702701</v>
      </c>
      <c r="U286">
        <v>156605675.67567569</v>
      </c>
      <c r="V286">
        <v>149810180.18018019</v>
      </c>
      <c r="W286">
        <v>36494</v>
      </c>
      <c r="X286">
        <v>36952</v>
      </c>
    </row>
    <row r="287" spans="1:24">
      <c r="A287" s="7" t="s">
        <v>382</v>
      </c>
      <c r="B287" s="16" t="s">
        <v>80</v>
      </c>
      <c r="C287">
        <v>403190617.87819636</v>
      </c>
      <c r="D287">
        <v>405771890.22952443</v>
      </c>
      <c r="E287">
        <v>2927927.927927928</v>
      </c>
      <c r="F287">
        <v>4752477.4774774816</v>
      </c>
      <c r="G287">
        <v>100</v>
      </c>
      <c r="H287">
        <v>110</v>
      </c>
      <c r="I287">
        <v>14</v>
      </c>
      <c r="J287">
        <v>11</v>
      </c>
      <c r="K287">
        <v>1</v>
      </c>
      <c r="M287">
        <v>117</v>
      </c>
      <c r="N287">
        <v>180</v>
      </c>
      <c r="O287">
        <v>81547117.117117122</v>
      </c>
      <c r="P287">
        <v>75007207.207207203</v>
      </c>
      <c r="Q287">
        <v>191</v>
      </c>
      <c r="R287">
        <v>132</v>
      </c>
      <c r="S287">
        <v>164451059.45945945</v>
      </c>
      <c r="T287">
        <v>166170095.94594595</v>
      </c>
      <c r="U287">
        <v>74317027.027027026</v>
      </c>
      <c r="V287">
        <v>68520309.909909919</v>
      </c>
      <c r="W287">
        <v>9751</v>
      </c>
      <c r="X287">
        <v>9876</v>
      </c>
    </row>
    <row r="288" spans="1:24">
      <c r="A288" s="7" t="s">
        <v>383</v>
      </c>
      <c r="B288" s="16" t="s">
        <v>80</v>
      </c>
      <c r="C288">
        <v>566673533.97316408</v>
      </c>
      <c r="D288">
        <v>514647680.47774863</v>
      </c>
      <c r="E288">
        <v>67792.792792794004</v>
      </c>
      <c r="F288">
        <v>534303.60360360495</v>
      </c>
      <c r="G288">
        <v>112</v>
      </c>
      <c r="H288">
        <v>70</v>
      </c>
      <c r="I288">
        <v>2</v>
      </c>
      <c r="J288">
        <v>3</v>
      </c>
      <c r="M288">
        <v>126</v>
      </c>
      <c r="N288">
        <v>81</v>
      </c>
      <c r="O288">
        <v>26223603.603603605</v>
      </c>
      <c r="P288">
        <v>19392391.891891893</v>
      </c>
      <c r="Q288">
        <v>33</v>
      </c>
      <c r="R288">
        <v>8</v>
      </c>
      <c r="S288">
        <v>103097652.25225225</v>
      </c>
      <c r="T288">
        <v>103010576.57657658</v>
      </c>
      <c r="U288">
        <v>23226036.036036037</v>
      </c>
      <c r="V288">
        <v>27986936.936936937</v>
      </c>
      <c r="W288">
        <v>10026</v>
      </c>
      <c r="X288">
        <v>9299</v>
      </c>
    </row>
    <row r="289" spans="1:24">
      <c r="A289" s="7" t="s">
        <v>384</v>
      </c>
      <c r="B289" s="16" t="s">
        <v>68</v>
      </c>
      <c r="C289">
        <v>228132776.998999</v>
      </c>
      <c r="D289">
        <v>225899883.44944352</v>
      </c>
      <c r="E289">
        <v>17070585.585585587</v>
      </c>
      <c r="F289">
        <v>15100900.900900902</v>
      </c>
      <c r="G289">
        <v>66</v>
      </c>
      <c r="H289">
        <v>50</v>
      </c>
      <c r="I289">
        <v>4</v>
      </c>
      <c r="J289">
        <v>1</v>
      </c>
      <c r="M289">
        <v>73</v>
      </c>
      <c r="N289">
        <v>55</v>
      </c>
      <c r="O289">
        <v>13286666.666666668</v>
      </c>
      <c r="P289">
        <v>9250900.9009009004</v>
      </c>
      <c r="Q289">
        <v>68</v>
      </c>
      <c r="R289">
        <v>40</v>
      </c>
      <c r="S289">
        <v>30359351.351351351</v>
      </c>
      <c r="T289">
        <v>32395396.396396395</v>
      </c>
      <c r="U289">
        <v>10350900.9009009</v>
      </c>
      <c r="V289">
        <v>7801801.8018018017</v>
      </c>
      <c r="W289">
        <v>5010</v>
      </c>
      <c r="X289">
        <v>5042</v>
      </c>
    </row>
    <row r="290" spans="1:24">
      <c r="A290" s="7" t="s">
        <v>385</v>
      </c>
      <c r="B290" s="16" t="s">
        <v>167</v>
      </c>
      <c r="C290">
        <v>80522876.392739877</v>
      </c>
      <c r="D290">
        <v>84457034.307076588</v>
      </c>
      <c r="E290">
        <v>24324.324324326</v>
      </c>
      <c r="F290">
        <v>1588288.2882882899</v>
      </c>
      <c r="G290">
        <v>32</v>
      </c>
      <c r="H290">
        <v>29</v>
      </c>
      <c r="I290">
        <v>5</v>
      </c>
      <c r="J290">
        <v>7</v>
      </c>
      <c r="M290">
        <v>41</v>
      </c>
      <c r="N290">
        <v>35</v>
      </c>
      <c r="O290">
        <v>8674774.7747747749</v>
      </c>
      <c r="P290">
        <v>21573038.738738734</v>
      </c>
      <c r="Q290">
        <v>48</v>
      </c>
      <c r="R290">
        <v>15</v>
      </c>
      <c r="S290">
        <v>33216034.234234232</v>
      </c>
      <c r="T290">
        <v>35415423.423423424</v>
      </c>
      <c r="U290">
        <v>10694954.954954956</v>
      </c>
      <c r="V290">
        <v>15018828.828828828</v>
      </c>
      <c r="W290">
        <v>2440</v>
      </c>
      <c r="X290">
        <v>2370</v>
      </c>
    </row>
    <row r="291" spans="1:24">
      <c r="A291" s="7" t="s">
        <v>386</v>
      </c>
      <c r="B291" s="16" t="s">
        <v>94</v>
      </c>
      <c r="C291">
        <v>446684536.53178346</v>
      </c>
      <c r="D291">
        <v>462358593.01719403</v>
      </c>
      <c r="E291">
        <v>1260360.36036036</v>
      </c>
      <c r="F291">
        <v>644144.14414414496</v>
      </c>
      <c r="G291">
        <v>97</v>
      </c>
      <c r="H291">
        <v>102</v>
      </c>
      <c r="I291">
        <v>4</v>
      </c>
      <c r="J291">
        <v>8</v>
      </c>
      <c r="K291">
        <v>1</v>
      </c>
      <c r="M291">
        <v>106</v>
      </c>
      <c r="N291">
        <v>113</v>
      </c>
      <c r="O291">
        <v>16082882.882882882</v>
      </c>
      <c r="P291">
        <v>17698198.198198199</v>
      </c>
      <c r="Q291">
        <v>33</v>
      </c>
      <c r="R291">
        <v>144</v>
      </c>
      <c r="S291">
        <v>47905401.801801801</v>
      </c>
      <c r="T291">
        <v>56743063.063063063</v>
      </c>
      <c r="U291">
        <v>11163513.513513513</v>
      </c>
      <c r="V291">
        <v>14450990.990990993</v>
      </c>
      <c r="W291">
        <v>8311</v>
      </c>
      <c r="X291">
        <v>8422</v>
      </c>
    </row>
    <row r="292" spans="1:24">
      <c r="A292" s="7" t="s">
        <v>387</v>
      </c>
      <c r="B292" s="16" t="s">
        <v>214</v>
      </c>
      <c r="C292">
        <v>76564178.087683454</v>
      </c>
      <c r="D292">
        <v>79967878.601478562</v>
      </c>
      <c r="E292">
        <v>11503603.603603603</v>
      </c>
      <c r="F292">
        <v>3129729.7297297302</v>
      </c>
      <c r="G292">
        <v>26</v>
      </c>
      <c r="H292">
        <v>36</v>
      </c>
      <c r="I292">
        <v>0</v>
      </c>
      <c r="J292">
        <v>1</v>
      </c>
      <c r="M292">
        <v>26</v>
      </c>
      <c r="N292">
        <v>39</v>
      </c>
      <c r="O292">
        <v>350450.45045045001</v>
      </c>
      <c r="P292">
        <v>2473873.8738738741</v>
      </c>
      <c r="R292">
        <v>4</v>
      </c>
      <c r="S292">
        <v>35626576.576576576</v>
      </c>
      <c r="T292">
        <v>37918459.459459454</v>
      </c>
      <c r="U292">
        <v>22072.072072071998</v>
      </c>
      <c r="V292">
        <v>1603153.1531531529</v>
      </c>
      <c r="W292">
        <v>2339</v>
      </c>
      <c r="X292">
        <v>2934</v>
      </c>
    </row>
    <row r="293" spans="1:24">
      <c r="A293" s="7" t="s">
        <v>388</v>
      </c>
      <c r="B293" s="16" t="s">
        <v>117</v>
      </c>
      <c r="C293">
        <v>33807221.536665849</v>
      </c>
      <c r="D293">
        <v>33341221.866411682</v>
      </c>
      <c r="E293">
        <v>48648.64864865</v>
      </c>
      <c r="F293">
        <v>520720.72072072001</v>
      </c>
      <c r="G293">
        <v>23</v>
      </c>
      <c r="H293">
        <v>17</v>
      </c>
      <c r="I293">
        <v>6</v>
      </c>
      <c r="J293">
        <v>8</v>
      </c>
      <c r="M293">
        <v>27</v>
      </c>
      <c r="N293">
        <v>27</v>
      </c>
      <c r="O293">
        <v>2271480.180180179</v>
      </c>
      <c r="P293">
        <v>9124439.6396396402</v>
      </c>
      <c r="Q293">
        <v>10</v>
      </c>
      <c r="R293">
        <v>16</v>
      </c>
      <c r="S293">
        <v>15542837.837837838</v>
      </c>
      <c r="T293">
        <v>15338252.252252253</v>
      </c>
      <c r="U293">
        <v>1702702.7027026999</v>
      </c>
      <c r="V293">
        <v>6807117.1171171172</v>
      </c>
      <c r="W293">
        <v>1867</v>
      </c>
      <c r="X293">
        <v>1790</v>
      </c>
    </row>
    <row r="294" spans="1:24">
      <c r="A294" s="7" t="s">
        <v>672</v>
      </c>
      <c r="B294" s="16" t="s">
        <v>117</v>
      </c>
      <c r="E294">
        <v>16328828.828828828</v>
      </c>
      <c r="F294">
        <v>4617117.1171171172</v>
      </c>
      <c r="O294">
        <v>4702252.2522522518</v>
      </c>
      <c r="P294">
        <v>1890540.5405405411</v>
      </c>
    </row>
    <row r="295" spans="1:24">
      <c r="A295" s="7" t="s">
        <v>389</v>
      </c>
      <c r="B295" s="16" t="s">
        <v>315</v>
      </c>
      <c r="C295">
        <v>146316941.18609333</v>
      </c>
      <c r="D295">
        <v>141411957.0968613</v>
      </c>
      <c r="E295">
        <v>2890540.5405405411</v>
      </c>
      <c r="F295">
        <v>381081.08108108101</v>
      </c>
      <c r="G295">
        <v>17</v>
      </c>
      <c r="H295">
        <v>14</v>
      </c>
      <c r="I295">
        <v>0</v>
      </c>
      <c r="J295">
        <v>1</v>
      </c>
      <c r="M295">
        <v>20</v>
      </c>
      <c r="N295">
        <v>15</v>
      </c>
      <c r="O295">
        <v>9331981.9819819797</v>
      </c>
      <c r="P295">
        <v>4435135.1351351347</v>
      </c>
      <c r="R295">
        <v>4</v>
      </c>
      <c r="S295">
        <v>29366306.306306303</v>
      </c>
      <c r="T295">
        <v>28968477.47747748</v>
      </c>
      <c r="U295">
        <v>6842432.4324324317</v>
      </c>
      <c r="V295">
        <v>5729369.3693693699</v>
      </c>
      <c r="W295">
        <v>2803</v>
      </c>
      <c r="X295">
        <v>2516</v>
      </c>
    </row>
    <row r="296" spans="1:24">
      <c r="A296" s="7" t="s">
        <v>390</v>
      </c>
      <c r="B296" s="16" t="s">
        <v>224</v>
      </c>
      <c r="C296">
        <v>76120094.937392727</v>
      </c>
      <c r="D296">
        <v>60589531.220309496</v>
      </c>
      <c r="G296">
        <v>48</v>
      </c>
      <c r="H296">
        <v>6</v>
      </c>
      <c r="M296">
        <v>49</v>
      </c>
      <c r="N296">
        <v>6</v>
      </c>
      <c r="S296">
        <v>14292018.018018018</v>
      </c>
      <c r="T296">
        <v>11498423.423423424</v>
      </c>
      <c r="W296">
        <v>1490</v>
      </c>
      <c r="X296">
        <v>1460</v>
      </c>
    </row>
    <row r="297" spans="1:24">
      <c r="A297" s="7" t="s">
        <v>6</v>
      </c>
      <c r="B297" s="16" t="s">
        <v>193</v>
      </c>
      <c r="C297">
        <v>528030777.55955201</v>
      </c>
      <c r="D297">
        <v>508515419.60515672</v>
      </c>
      <c r="E297">
        <v>6329279.2792792721</v>
      </c>
      <c r="F297">
        <v>6112276.576576585</v>
      </c>
      <c r="G297">
        <v>325</v>
      </c>
      <c r="H297">
        <v>256</v>
      </c>
      <c r="I297">
        <v>23</v>
      </c>
      <c r="J297">
        <v>14</v>
      </c>
      <c r="K297">
        <v>2</v>
      </c>
      <c r="M297">
        <v>674</v>
      </c>
      <c r="N297">
        <v>720</v>
      </c>
      <c r="O297">
        <v>214487837.83783782</v>
      </c>
      <c r="P297">
        <v>193685706.3063063</v>
      </c>
      <c r="Q297">
        <v>287</v>
      </c>
      <c r="R297">
        <v>475</v>
      </c>
      <c r="S297">
        <v>347461531.53153151</v>
      </c>
      <c r="T297">
        <v>347946261.26126122</v>
      </c>
      <c r="U297">
        <v>177607837.83783782</v>
      </c>
      <c r="V297">
        <v>163051441.44144145</v>
      </c>
      <c r="W297">
        <v>13328</v>
      </c>
      <c r="X297">
        <v>12986</v>
      </c>
    </row>
    <row r="298" spans="1:24">
      <c r="A298" s="7" t="s">
        <v>391</v>
      </c>
      <c r="B298" s="16" t="s">
        <v>121</v>
      </c>
      <c r="C298">
        <v>18234746.510224599</v>
      </c>
      <c r="D298">
        <v>23336269.544338465</v>
      </c>
      <c r="E298">
        <v>9009.0090090089998</v>
      </c>
      <c r="G298">
        <v>12</v>
      </c>
      <c r="H298">
        <v>8</v>
      </c>
      <c r="M298">
        <v>13</v>
      </c>
      <c r="N298">
        <v>9</v>
      </c>
      <c r="O298">
        <v>90090.090090090001</v>
      </c>
      <c r="Q298">
        <v>9</v>
      </c>
      <c r="S298">
        <v>1186486.4864864859</v>
      </c>
      <c r="T298">
        <v>1085585.585585586</v>
      </c>
      <c r="U298">
        <v>81081.081081081007</v>
      </c>
      <c r="W298">
        <v>563</v>
      </c>
      <c r="X298">
        <v>496</v>
      </c>
    </row>
    <row r="299" spans="1:24">
      <c r="A299" s="7" t="s">
        <v>392</v>
      </c>
      <c r="B299" s="16" t="s">
        <v>134</v>
      </c>
      <c r="C299">
        <v>69906522.695787221</v>
      </c>
      <c r="D299">
        <v>68098047.257276148</v>
      </c>
      <c r="E299">
        <v>19823423.423423424</v>
      </c>
      <c r="F299">
        <v>14018018.01801802</v>
      </c>
      <c r="G299">
        <v>22</v>
      </c>
      <c r="H299">
        <v>20</v>
      </c>
      <c r="I299">
        <v>1</v>
      </c>
      <c r="J299">
        <v>1</v>
      </c>
      <c r="M299">
        <v>24</v>
      </c>
      <c r="N299">
        <v>24</v>
      </c>
      <c r="O299">
        <v>6958558.5585585572</v>
      </c>
      <c r="P299">
        <v>4468468.4684684677</v>
      </c>
      <c r="Q299">
        <v>130</v>
      </c>
      <c r="R299">
        <v>1</v>
      </c>
      <c r="S299">
        <v>13508403.603603603</v>
      </c>
      <c r="T299">
        <v>13554331.531531531</v>
      </c>
      <c r="U299">
        <v>2757207.207207208</v>
      </c>
      <c r="V299">
        <v>1159279.27927928</v>
      </c>
      <c r="W299">
        <v>3445</v>
      </c>
      <c r="X299">
        <v>3523</v>
      </c>
    </row>
    <row r="300" spans="1:24">
      <c r="A300" s="7" t="s">
        <v>393</v>
      </c>
      <c r="B300" s="16" t="s">
        <v>58</v>
      </c>
      <c r="C300">
        <v>348480945.97181988</v>
      </c>
      <c r="D300">
        <v>334492958.8815462</v>
      </c>
      <c r="E300">
        <v>9804279.2792792805</v>
      </c>
      <c r="F300">
        <v>9529504.5045045074</v>
      </c>
      <c r="G300">
        <v>144</v>
      </c>
      <c r="H300">
        <v>110</v>
      </c>
      <c r="I300">
        <v>17</v>
      </c>
      <c r="J300">
        <v>18</v>
      </c>
      <c r="K300">
        <v>1</v>
      </c>
      <c r="M300">
        <v>170</v>
      </c>
      <c r="N300">
        <v>153</v>
      </c>
      <c r="O300">
        <v>47959909.909909904</v>
      </c>
      <c r="P300">
        <v>32497297.297297299</v>
      </c>
      <c r="Q300">
        <v>261</v>
      </c>
      <c r="R300">
        <v>1</v>
      </c>
      <c r="S300">
        <v>53344612.612612613</v>
      </c>
      <c r="T300">
        <v>53671621.621621624</v>
      </c>
      <c r="U300">
        <v>39378738.738738745</v>
      </c>
      <c r="V300">
        <v>30974234.234234232</v>
      </c>
      <c r="W300">
        <v>9075</v>
      </c>
      <c r="X300">
        <v>9007</v>
      </c>
    </row>
    <row r="301" spans="1:24">
      <c r="A301" s="7" t="s">
        <v>394</v>
      </c>
      <c r="B301" s="16" t="s">
        <v>134</v>
      </c>
      <c r="C301">
        <v>123499502.47442977</v>
      </c>
      <c r="D301">
        <v>114409457.39102188</v>
      </c>
      <c r="E301">
        <v>40765.765765766999</v>
      </c>
      <c r="F301">
        <v>436936.93693693698</v>
      </c>
      <c r="G301">
        <v>25</v>
      </c>
      <c r="H301">
        <v>24</v>
      </c>
      <c r="I301">
        <v>6</v>
      </c>
      <c r="J301">
        <v>6</v>
      </c>
      <c r="M301">
        <v>27</v>
      </c>
      <c r="N301">
        <v>28</v>
      </c>
      <c r="O301">
        <v>12951351.351351352</v>
      </c>
      <c r="P301">
        <v>14779279.279279279</v>
      </c>
      <c r="Q301">
        <v>168</v>
      </c>
      <c r="R301">
        <v>3</v>
      </c>
      <c r="S301">
        <v>21980151.351351351</v>
      </c>
      <c r="T301">
        <v>21451819.819819819</v>
      </c>
      <c r="U301">
        <v>9243963.9639639631</v>
      </c>
      <c r="V301">
        <v>9098378.3783783782</v>
      </c>
      <c r="W301">
        <v>3857</v>
      </c>
      <c r="X301">
        <v>3918</v>
      </c>
    </row>
    <row r="302" spans="1:24">
      <c r="A302" s="7" t="s">
        <v>395</v>
      </c>
      <c r="B302" s="16" t="s">
        <v>54</v>
      </c>
      <c r="C302">
        <v>50880068.120382205</v>
      </c>
      <c r="D302">
        <v>48360100.796857417</v>
      </c>
      <c r="E302">
        <v>274774.77477477503</v>
      </c>
      <c r="F302">
        <v>41441.441441440998</v>
      </c>
      <c r="G302">
        <v>9</v>
      </c>
      <c r="H302">
        <v>13</v>
      </c>
      <c r="I302">
        <v>1</v>
      </c>
      <c r="J302">
        <v>2</v>
      </c>
      <c r="M302">
        <v>10</v>
      </c>
      <c r="N302">
        <v>15</v>
      </c>
      <c r="O302">
        <v>3635135.1351351351</v>
      </c>
      <c r="P302">
        <v>2194594.594594595</v>
      </c>
      <c r="Q302">
        <v>24</v>
      </c>
      <c r="R302">
        <v>3</v>
      </c>
      <c r="S302">
        <v>8406036.0360360369</v>
      </c>
      <c r="T302">
        <v>8155342.3423423432</v>
      </c>
      <c r="U302">
        <v>2992432.4324324322</v>
      </c>
      <c r="V302">
        <v>2871981.9819819811</v>
      </c>
      <c r="W302">
        <v>1536</v>
      </c>
      <c r="X302">
        <v>1608</v>
      </c>
    </row>
    <row r="303" spans="1:24">
      <c r="A303" s="7" t="s">
        <v>396</v>
      </c>
      <c r="B303" s="16" t="s">
        <v>397</v>
      </c>
      <c r="C303">
        <v>353422675.27948511</v>
      </c>
      <c r="D303">
        <v>341353050.13556683</v>
      </c>
      <c r="E303">
        <v>68940270.270270273</v>
      </c>
      <c r="F303">
        <v>54240540.540540546</v>
      </c>
      <c r="G303">
        <v>170</v>
      </c>
      <c r="H303">
        <v>142</v>
      </c>
      <c r="I303">
        <v>10</v>
      </c>
      <c r="J303">
        <v>19</v>
      </c>
      <c r="M303">
        <v>202</v>
      </c>
      <c r="N303">
        <v>265</v>
      </c>
      <c r="O303">
        <v>40644369.369369365</v>
      </c>
      <c r="P303">
        <v>40317117.117117122</v>
      </c>
      <c r="Q303">
        <v>209</v>
      </c>
      <c r="R303">
        <v>260</v>
      </c>
      <c r="S303">
        <v>66647628.828828834</v>
      </c>
      <c r="T303">
        <v>67578966.666666657</v>
      </c>
      <c r="U303">
        <v>37106351.351351351</v>
      </c>
      <c r="V303">
        <v>37499639.639639638</v>
      </c>
      <c r="W303">
        <v>9396</v>
      </c>
      <c r="X303">
        <v>9442</v>
      </c>
    </row>
    <row r="304" spans="1:24">
      <c r="A304" s="7" t="s">
        <v>398</v>
      </c>
      <c r="B304" s="16" t="s">
        <v>399</v>
      </c>
      <c r="C304">
        <v>405476304.17713255</v>
      </c>
      <c r="D304">
        <v>373404372.37577665</v>
      </c>
      <c r="E304">
        <v>4171621.6216216218</v>
      </c>
      <c r="F304">
        <v>20021396.396396399</v>
      </c>
      <c r="G304">
        <v>113</v>
      </c>
      <c r="H304">
        <v>83</v>
      </c>
      <c r="I304">
        <v>11</v>
      </c>
      <c r="J304">
        <v>18</v>
      </c>
      <c r="K304">
        <v>1</v>
      </c>
      <c r="M304">
        <v>126</v>
      </c>
      <c r="N304">
        <v>91</v>
      </c>
      <c r="O304">
        <v>116846846.84684685</v>
      </c>
      <c r="P304">
        <v>45367567.567567565</v>
      </c>
      <c r="Q304">
        <v>306</v>
      </c>
      <c r="R304">
        <v>244</v>
      </c>
      <c r="S304">
        <v>73774070.270270273</v>
      </c>
      <c r="T304">
        <v>69865216.216216221</v>
      </c>
      <c r="U304">
        <v>109328108.10810812</v>
      </c>
      <c r="V304">
        <v>41634414.414414413</v>
      </c>
      <c r="W304">
        <v>11592</v>
      </c>
      <c r="X304">
        <v>12013</v>
      </c>
    </row>
    <row r="305" spans="1:24">
      <c r="A305" s="7" t="s">
        <v>400</v>
      </c>
      <c r="B305" s="16" t="s">
        <v>140</v>
      </c>
      <c r="C305">
        <v>127867895.68727869</v>
      </c>
      <c r="D305">
        <v>119036488.84135747</v>
      </c>
      <c r="E305">
        <v>701801.80180180201</v>
      </c>
      <c r="F305">
        <v>1781081.0810810821</v>
      </c>
      <c r="G305">
        <v>35</v>
      </c>
      <c r="H305">
        <v>39</v>
      </c>
      <c r="I305">
        <v>3</v>
      </c>
      <c r="J305">
        <v>8</v>
      </c>
      <c r="M305">
        <v>42</v>
      </c>
      <c r="N305">
        <v>41</v>
      </c>
      <c r="O305">
        <v>27651351.351351351</v>
      </c>
      <c r="P305">
        <v>22643423.423423424</v>
      </c>
      <c r="Q305">
        <v>29</v>
      </c>
      <c r="R305">
        <v>5</v>
      </c>
      <c r="S305">
        <v>37139054.054054059</v>
      </c>
      <c r="T305">
        <v>37862000</v>
      </c>
      <c r="U305">
        <v>21380990.990990993</v>
      </c>
      <c r="V305">
        <v>24455495.495495494</v>
      </c>
      <c r="W305">
        <v>3329</v>
      </c>
      <c r="X305">
        <v>3205</v>
      </c>
    </row>
    <row r="306" spans="1:24">
      <c r="A306" s="7" t="s">
        <v>401</v>
      </c>
      <c r="B306" s="16" t="s">
        <v>121</v>
      </c>
      <c r="C306">
        <v>37092879.112687781</v>
      </c>
      <c r="D306">
        <v>32156174.264534671</v>
      </c>
      <c r="E306">
        <v>2702.7027027029999</v>
      </c>
      <c r="F306">
        <v>387387.38738738699</v>
      </c>
      <c r="G306">
        <v>24</v>
      </c>
      <c r="H306">
        <v>14</v>
      </c>
      <c r="I306">
        <v>0</v>
      </c>
      <c r="J306">
        <v>0</v>
      </c>
      <c r="M306">
        <v>28</v>
      </c>
      <c r="N306">
        <v>20</v>
      </c>
      <c r="O306">
        <v>56756.756756757</v>
      </c>
      <c r="P306">
        <v>5637408.1081081079</v>
      </c>
      <c r="Q306">
        <v>12</v>
      </c>
      <c r="R306">
        <v>1</v>
      </c>
      <c r="S306">
        <v>2638378.3783783782</v>
      </c>
      <c r="T306">
        <v>3372218.4684684682</v>
      </c>
      <c r="U306">
        <v>1020720.72072072</v>
      </c>
      <c r="V306">
        <v>871081.08108108095</v>
      </c>
      <c r="W306">
        <v>1141</v>
      </c>
      <c r="X306">
        <v>1077</v>
      </c>
    </row>
    <row r="307" spans="1:24">
      <c r="A307" s="7" t="s">
        <v>402</v>
      </c>
      <c r="B307" s="16" t="s">
        <v>290</v>
      </c>
      <c r="C307">
        <v>69630666.845365524</v>
      </c>
      <c r="D307">
        <v>51355238.004501171</v>
      </c>
      <c r="E307">
        <v>70270.270270270994</v>
      </c>
      <c r="F307">
        <v>334684.68468468601</v>
      </c>
      <c r="G307">
        <v>46</v>
      </c>
      <c r="H307">
        <v>8</v>
      </c>
      <c r="I307">
        <v>5</v>
      </c>
      <c r="J307">
        <v>2</v>
      </c>
      <c r="M307">
        <v>49</v>
      </c>
      <c r="N307">
        <v>10</v>
      </c>
      <c r="O307">
        <v>4754954.9549549548</v>
      </c>
      <c r="P307">
        <v>1159459.4594594589</v>
      </c>
      <c r="Q307">
        <v>120</v>
      </c>
      <c r="R307">
        <v>2</v>
      </c>
      <c r="S307">
        <v>8941981.9819819815</v>
      </c>
      <c r="T307">
        <v>6672558.5585585581</v>
      </c>
      <c r="U307">
        <v>4580090.0900900904</v>
      </c>
      <c r="V307">
        <v>2163603.6036036029</v>
      </c>
      <c r="W307">
        <v>1738</v>
      </c>
      <c r="X307">
        <v>1611</v>
      </c>
    </row>
    <row r="308" spans="1:24">
      <c r="A308" s="7" t="s">
        <v>403</v>
      </c>
      <c r="B308" s="16" t="s">
        <v>121</v>
      </c>
      <c r="C308">
        <v>61421668.582350843</v>
      </c>
      <c r="D308">
        <v>59108190.882887237</v>
      </c>
      <c r="F308">
        <v>55630.630630631</v>
      </c>
      <c r="G308">
        <v>8</v>
      </c>
      <c r="H308">
        <v>12</v>
      </c>
      <c r="I308">
        <v>0</v>
      </c>
      <c r="J308">
        <v>0</v>
      </c>
      <c r="M308">
        <v>10</v>
      </c>
      <c r="N308">
        <v>13</v>
      </c>
      <c r="O308">
        <v>162162.16216216201</v>
      </c>
      <c r="P308">
        <v>58558.558558559002</v>
      </c>
      <c r="Q308">
        <v>20</v>
      </c>
      <c r="S308">
        <v>4670675.6756756762</v>
      </c>
      <c r="T308">
        <v>4806387.3873873875</v>
      </c>
      <c r="U308">
        <v>198198.19819819799</v>
      </c>
      <c r="W308">
        <v>1023</v>
      </c>
      <c r="X308">
        <v>1111</v>
      </c>
    </row>
    <row r="309" spans="1:24">
      <c r="A309" s="7" t="s">
        <v>404</v>
      </c>
      <c r="B309" s="16" t="s">
        <v>368</v>
      </c>
      <c r="C309">
        <v>147677533.4923951</v>
      </c>
      <c r="D309">
        <v>128806276.07323758</v>
      </c>
      <c r="E309">
        <v>50532445.045045048</v>
      </c>
      <c r="F309">
        <v>33381370.270270269</v>
      </c>
      <c r="G309">
        <v>34</v>
      </c>
      <c r="H309">
        <v>93</v>
      </c>
      <c r="I309">
        <v>7</v>
      </c>
      <c r="J309">
        <v>9</v>
      </c>
      <c r="K309">
        <v>1</v>
      </c>
      <c r="M309">
        <v>42</v>
      </c>
      <c r="N309">
        <v>150</v>
      </c>
      <c r="O309">
        <v>7058558.5585585581</v>
      </c>
      <c r="P309">
        <v>27343693.693693694</v>
      </c>
      <c r="Q309">
        <v>70</v>
      </c>
      <c r="R309">
        <v>71</v>
      </c>
      <c r="S309">
        <v>44845743.24324324</v>
      </c>
      <c r="T309">
        <v>46414333.333333328</v>
      </c>
      <c r="U309">
        <v>5149099.0990990987</v>
      </c>
      <c r="V309">
        <v>24346846.846846845</v>
      </c>
      <c r="W309">
        <v>4402</v>
      </c>
      <c r="X309">
        <v>4514</v>
      </c>
    </row>
    <row r="310" spans="1:24">
      <c r="A310" s="7" t="s">
        <v>405</v>
      </c>
      <c r="B310" s="16" t="s">
        <v>140</v>
      </c>
      <c r="C310">
        <v>59090535.257812783</v>
      </c>
      <c r="D310">
        <v>62303688.928312913</v>
      </c>
      <c r="E310">
        <v>13963.963963964001</v>
      </c>
      <c r="F310">
        <v>203378.37837837799</v>
      </c>
      <c r="G310">
        <v>3</v>
      </c>
      <c r="H310">
        <v>14</v>
      </c>
      <c r="I310">
        <v>0</v>
      </c>
      <c r="J310">
        <v>1</v>
      </c>
      <c r="M310">
        <v>4</v>
      </c>
      <c r="N310">
        <v>16</v>
      </c>
      <c r="O310">
        <v>7617567.5675675673</v>
      </c>
      <c r="P310">
        <v>7592252.2522522518</v>
      </c>
      <c r="Q310">
        <v>15</v>
      </c>
      <c r="R310">
        <v>15</v>
      </c>
      <c r="S310">
        <v>15452882.882882884</v>
      </c>
      <c r="T310">
        <v>17253909.909909911</v>
      </c>
      <c r="U310">
        <v>9574594.5945945941</v>
      </c>
      <c r="V310">
        <v>9262162.1621621605</v>
      </c>
      <c r="W310">
        <v>1403</v>
      </c>
      <c r="X310">
        <v>1950</v>
      </c>
    </row>
    <row r="311" spans="1:24">
      <c r="A311" s="7" t="s">
        <v>406</v>
      </c>
      <c r="B311" s="16" t="s">
        <v>54</v>
      </c>
      <c r="C311">
        <v>90005560.701469585</v>
      </c>
      <c r="D311">
        <v>86199653.750867143</v>
      </c>
      <c r="E311">
        <v>665900.90090090095</v>
      </c>
      <c r="F311">
        <v>1732432.4324324341</v>
      </c>
      <c r="G311">
        <v>4</v>
      </c>
      <c r="H311">
        <v>107</v>
      </c>
      <c r="I311">
        <v>1</v>
      </c>
      <c r="J311">
        <v>8</v>
      </c>
      <c r="M311">
        <v>4</v>
      </c>
      <c r="N311">
        <v>190</v>
      </c>
      <c r="O311">
        <v>6016396.3963963939</v>
      </c>
      <c r="P311">
        <v>8790990.9909909926</v>
      </c>
      <c r="Q311">
        <v>75</v>
      </c>
      <c r="R311">
        <v>27</v>
      </c>
      <c r="S311">
        <v>18343963.963963963</v>
      </c>
      <c r="T311">
        <v>20139270.270270273</v>
      </c>
      <c r="U311">
        <v>5948828.8288288293</v>
      </c>
      <c r="V311">
        <v>9352522.5225225221</v>
      </c>
      <c r="W311">
        <v>2158</v>
      </c>
      <c r="X311">
        <v>2165</v>
      </c>
    </row>
    <row r="312" spans="1:24">
      <c r="A312" s="7" t="s">
        <v>407</v>
      </c>
      <c r="B312" s="16" t="s">
        <v>134</v>
      </c>
      <c r="C312">
        <v>36629651.364835955</v>
      </c>
      <c r="D312">
        <v>39278278.593541622</v>
      </c>
      <c r="E312">
        <v>17117.117117117999</v>
      </c>
      <c r="F312">
        <v>27027.027027027001</v>
      </c>
      <c r="G312">
        <v>11</v>
      </c>
      <c r="H312">
        <v>6</v>
      </c>
      <c r="I312">
        <v>2</v>
      </c>
      <c r="J312">
        <v>1</v>
      </c>
      <c r="M312">
        <v>12</v>
      </c>
      <c r="N312">
        <v>6</v>
      </c>
      <c r="O312">
        <v>1827927.927927928</v>
      </c>
      <c r="P312">
        <v>1594594.5945945941</v>
      </c>
      <c r="Q312">
        <v>4</v>
      </c>
      <c r="S312">
        <v>4545900.9009009004</v>
      </c>
      <c r="T312">
        <v>3747450.4504504502</v>
      </c>
      <c r="U312">
        <v>1687477.4774774769</v>
      </c>
      <c r="V312">
        <v>1011351.35135135</v>
      </c>
      <c r="W312">
        <v>1425</v>
      </c>
      <c r="X312">
        <v>931</v>
      </c>
    </row>
    <row r="313" spans="1:24">
      <c r="A313" s="7" t="s">
        <v>408</v>
      </c>
      <c r="B313" s="16" t="s">
        <v>290</v>
      </c>
      <c r="C313">
        <v>25075918.702036563</v>
      </c>
      <c r="D313">
        <v>21471129.493215553</v>
      </c>
      <c r="E313">
        <v>109009.00900900899</v>
      </c>
      <c r="F313">
        <v>334234.23423423502</v>
      </c>
      <c r="G313">
        <v>19</v>
      </c>
      <c r="H313">
        <v>8</v>
      </c>
      <c r="I313">
        <v>3</v>
      </c>
      <c r="J313">
        <v>3</v>
      </c>
      <c r="M313">
        <v>21</v>
      </c>
      <c r="N313">
        <v>9</v>
      </c>
      <c r="O313">
        <v>4325225.2252252251</v>
      </c>
      <c r="P313">
        <v>5075675.6756756762</v>
      </c>
      <c r="Q313">
        <v>10</v>
      </c>
      <c r="S313">
        <v>5341342.3423423423</v>
      </c>
      <c r="T313">
        <v>4146090.090090089</v>
      </c>
      <c r="U313">
        <v>2078558.558558559</v>
      </c>
      <c r="V313">
        <v>2522342.3423423418</v>
      </c>
      <c r="W313">
        <v>818</v>
      </c>
      <c r="X313">
        <v>912</v>
      </c>
    </row>
    <row r="314" spans="1:24">
      <c r="A314" s="7" t="s">
        <v>409</v>
      </c>
      <c r="B314" s="16" t="s">
        <v>178</v>
      </c>
      <c r="C314">
        <v>421297273.65203333</v>
      </c>
      <c r="D314">
        <v>388965742.43206537</v>
      </c>
      <c r="E314">
        <v>2462387.3873873879</v>
      </c>
      <c r="F314">
        <v>1467567.5675675711</v>
      </c>
      <c r="G314">
        <v>125</v>
      </c>
      <c r="H314">
        <v>109</v>
      </c>
      <c r="I314">
        <v>5</v>
      </c>
      <c r="J314">
        <v>6</v>
      </c>
      <c r="M314">
        <v>142</v>
      </c>
      <c r="N314">
        <v>268</v>
      </c>
      <c r="O314">
        <v>33113963.963963963</v>
      </c>
      <c r="P314">
        <v>37844225.225225225</v>
      </c>
      <c r="Q314">
        <v>35</v>
      </c>
      <c r="R314">
        <v>36</v>
      </c>
      <c r="S314">
        <v>136068863.06306306</v>
      </c>
      <c r="T314">
        <v>136134108.1081081</v>
      </c>
      <c r="U314">
        <v>34066846.846846849</v>
      </c>
      <c r="V314">
        <v>33028288.288288288</v>
      </c>
      <c r="W314">
        <v>9889</v>
      </c>
      <c r="X314">
        <v>9450</v>
      </c>
    </row>
    <row r="315" spans="1:24">
      <c r="A315" s="7" t="s">
        <v>668</v>
      </c>
      <c r="B315" s="16" t="s">
        <v>87</v>
      </c>
      <c r="W315">
        <v>2</v>
      </c>
    </row>
    <row r="316" spans="1:24">
      <c r="A316" s="7" t="s">
        <v>410</v>
      </c>
      <c r="B316" s="16" t="s">
        <v>54</v>
      </c>
      <c r="C316">
        <v>712294456.91083777</v>
      </c>
      <c r="D316">
        <v>708270065.87905562</v>
      </c>
      <c r="E316">
        <v>62603505.40540541</v>
      </c>
      <c r="F316">
        <v>113517743.24324325</v>
      </c>
      <c r="G316">
        <v>145</v>
      </c>
      <c r="H316">
        <v>261</v>
      </c>
      <c r="I316">
        <v>19</v>
      </c>
      <c r="J316">
        <v>30</v>
      </c>
      <c r="K316">
        <v>1</v>
      </c>
      <c r="M316">
        <v>177</v>
      </c>
      <c r="N316">
        <v>341</v>
      </c>
      <c r="O316">
        <v>50877297.297297299</v>
      </c>
      <c r="P316">
        <v>50754054.054054059</v>
      </c>
      <c r="Q316">
        <v>349</v>
      </c>
      <c r="R316">
        <v>159</v>
      </c>
      <c r="S316">
        <v>136171736.93693694</v>
      </c>
      <c r="T316">
        <v>147465396.3963964</v>
      </c>
      <c r="U316">
        <v>45185448.648648649</v>
      </c>
      <c r="V316">
        <v>44179459.459459461</v>
      </c>
      <c r="W316">
        <v>19059</v>
      </c>
      <c r="X316">
        <v>19312</v>
      </c>
    </row>
    <row r="317" spans="1:24">
      <c r="A317" s="7" t="s">
        <v>411</v>
      </c>
      <c r="B317" s="16" t="s">
        <v>224</v>
      </c>
      <c r="C317">
        <v>430945541.49048704</v>
      </c>
      <c r="D317">
        <v>365955530.10869998</v>
      </c>
      <c r="E317">
        <v>769729.72972973203</v>
      </c>
      <c r="F317">
        <v>1220720.7207207249</v>
      </c>
      <c r="G317">
        <v>126</v>
      </c>
      <c r="H317">
        <v>131</v>
      </c>
      <c r="I317">
        <v>9</v>
      </c>
      <c r="J317">
        <v>5</v>
      </c>
      <c r="M317">
        <v>143</v>
      </c>
      <c r="N317">
        <v>149</v>
      </c>
      <c r="O317">
        <v>48328648.648648649</v>
      </c>
      <c r="P317">
        <v>33627567.567567565</v>
      </c>
      <c r="Q317">
        <v>123</v>
      </c>
      <c r="R317">
        <v>188</v>
      </c>
      <c r="S317">
        <v>112471813.51351352</v>
      </c>
      <c r="T317">
        <v>106370906.3063063</v>
      </c>
      <c r="U317">
        <v>44935315.315315314</v>
      </c>
      <c r="V317">
        <v>41125809.009009011</v>
      </c>
      <c r="W317">
        <v>12574</v>
      </c>
      <c r="X317">
        <v>12734</v>
      </c>
    </row>
    <row r="318" spans="1:24">
      <c r="A318" s="7" t="s">
        <v>412</v>
      </c>
      <c r="B318" s="16" t="s">
        <v>413</v>
      </c>
      <c r="C318">
        <v>138842567.82015792</v>
      </c>
      <c r="D318">
        <v>141572335.34683567</v>
      </c>
      <c r="E318">
        <v>117117.117117118</v>
      </c>
      <c r="F318">
        <v>274324.32432432799</v>
      </c>
      <c r="G318">
        <v>38</v>
      </c>
      <c r="H318">
        <v>10</v>
      </c>
      <c r="I318">
        <v>1</v>
      </c>
      <c r="J318">
        <v>4</v>
      </c>
      <c r="M318">
        <v>47</v>
      </c>
      <c r="N318">
        <v>11</v>
      </c>
      <c r="O318">
        <v>3936936.9369369359</v>
      </c>
      <c r="P318">
        <v>3202702.7027027071</v>
      </c>
      <c r="Q318">
        <v>14</v>
      </c>
      <c r="R318">
        <v>39</v>
      </c>
      <c r="S318">
        <v>59697297.297297299</v>
      </c>
      <c r="T318">
        <v>59307954.954954959</v>
      </c>
      <c r="U318">
        <v>2991621.6216216208</v>
      </c>
      <c r="V318">
        <v>3079369.369369369</v>
      </c>
      <c r="W318">
        <v>4110</v>
      </c>
      <c r="X318">
        <v>4252</v>
      </c>
    </row>
    <row r="319" spans="1:24">
      <c r="A319" s="7" t="s">
        <v>414</v>
      </c>
      <c r="B319" s="16" t="s">
        <v>214</v>
      </c>
      <c r="C319">
        <v>850315177.61431932</v>
      </c>
      <c r="D319">
        <v>914116638.73558676</v>
      </c>
      <c r="E319">
        <v>545560547.74774778</v>
      </c>
      <c r="F319">
        <v>611175615.31531537</v>
      </c>
      <c r="G319">
        <v>399</v>
      </c>
      <c r="H319">
        <v>977</v>
      </c>
      <c r="I319">
        <v>22</v>
      </c>
      <c r="J319">
        <v>25</v>
      </c>
      <c r="M319">
        <v>468</v>
      </c>
      <c r="N319">
        <v>1091</v>
      </c>
      <c r="O319">
        <v>114402792.7927928</v>
      </c>
      <c r="P319">
        <v>129453288.2882883</v>
      </c>
      <c r="Q319">
        <v>503</v>
      </c>
      <c r="R319">
        <v>178</v>
      </c>
      <c r="S319">
        <v>361893500.9009009</v>
      </c>
      <c r="T319">
        <v>412268416.21621621</v>
      </c>
      <c r="U319">
        <v>108798198.19819821</v>
      </c>
      <c r="V319">
        <v>115913153.15315315</v>
      </c>
      <c r="W319">
        <v>23740</v>
      </c>
      <c r="X319">
        <v>24165</v>
      </c>
    </row>
    <row r="320" spans="1:24">
      <c r="A320" s="7" t="s">
        <v>415</v>
      </c>
      <c r="B320" s="16" t="s">
        <v>413</v>
      </c>
      <c r="C320">
        <v>80648940.038046956</v>
      </c>
      <c r="D320">
        <v>79131479.633225709</v>
      </c>
      <c r="E320">
        <v>302702.70270270301</v>
      </c>
      <c r="F320">
        <v>656306.30630630802</v>
      </c>
      <c r="G320">
        <v>23</v>
      </c>
      <c r="H320">
        <v>24</v>
      </c>
      <c r="I320">
        <v>1</v>
      </c>
      <c r="J320">
        <v>3</v>
      </c>
      <c r="M320">
        <v>25</v>
      </c>
      <c r="N320">
        <v>30</v>
      </c>
      <c r="O320">
        <v>15749189.189189188</v>
      </c>
      <c r="P320">
        <v>14090308.108108109</v>
      </c>
      <c r="Q320">
        <v>103</v>
      </c>
      <c r="R320">
        <v>32</v>
      </c>
      <c r="S320">
        <v>26274234.234234232</v>
      </c>
      <c r="T320">
        <v>30311957.207207207</v>
      </c>
      <c r="U320">
        <v>10622612.612612613</v>
      </c>
      <c r="V320">
        <v>11205135.135135137</v>
      </c>
      <c r="W320">
        <v>3004</v>
      </c>
      <c r="X320">
        <v>3146</v>
      </c>
    </row>
    <row r="321" spans="1:24">
      <c r="A321" s="7" t="s">
        <v>416</v>
      </c>
      <c r="B321" s="16" t="s">
        <v>236</v>
      </c>
      <c r="C321">
        <v>603665953.05832195</v>
      </c>
      <c r="D321">
        <v>570385870.92528832</v>
      </c>
      <c r="E321">
        <v>46249928.828828834</v>
      </c>
      <c r="F321">
        <v>30490830.630630635</v>
      </c>
      <c r="G321">
        <v>217</v>
      </c>
      <c r="H321">
        <v>216</v>
      </c>
      <c r="I321">
        <v>13</v>
      </c>
      <c r="J321">
        <v>17</v>
      </c>
      <c r="K321">
        <v>3</v>
      </c>
      <c r="M321">
        <v>263</v>
      </c>
      <c r="N321">
        <v>346</v>
      </c>
      <c r="O321">
        <v>103540630.63063063</v>
      </c>
      <c r="P321">
        <v>88253153.153153151</v>
      </c>
      <c r="Q321">
        <v>57</v>
      </c>
      <c r="R321">
        <v>53</v>
      </c>
      <c r="S321">
        <v>137203990.990991</v>
      </c>
      <c r="T321">
        <v>135668000</v>
      </c>
      <c r="U321">
        <v>65152342.342342347</v>
      </c>
      <c r="V321">
        <v>61969099.099099107</v>
      </c>
      <c r="W321">
        <v>10763</v>
      </c>
      <c r="X321">
        <v>10870</v>
      </c>
    </row>
    <row r="322" spans="1:24">
      <c r="A322" s="7" t="s">
        <v>417</v>
      </c>
      <c r="B322" s="16" t="s">
        <v>117</v>
      </c>
      <c r="C322">
        <v>577117429.71844697</v>
      </c>
      <c r="D322">
        <v>557687183.57140017</v>
      </c>
      <c r="E322">
        <v>824183209.009009</v>
      </c>
      <c r="F322">
        <v>642888058.55855858</v>
      </c>
      <c r="G322">
        <v>406</v>
      </c>
      <c r="H322">
        <v>386</v>
      </c>
      <c r="I322">
        <v>57</v>
      </c>
      <c r="J322">
        <v>51</v>
      </c>
      <c r="K322">
        <v>3</v>
      </c>
      <c r="M322">
        <v>681</v>
      </c>
      <c r="N322">
        <v>727</v>
      </c>
      <c r="O322">
        <v>116243311.7117117</v>
      </c>
      <c r="P322">
        <v>124232942.34234235</v>
      </c>
      <c r="Q322">
        <v>388</v>
      </c>
      <c r="R322">
        <v>306</v>
      </c>
      <c r="S322">
        <v>251448774.77477479</v>
      </c>
      <c r="T322">
        <v>252118309.00900903</v>
      </c>
      <c r="U322">
        <v>113046846.84684685</v>
      </c>
      <c r="V322">
        <v>125224774.77477479</v>
      </c>
      <c r="W322">
        <v>17632</v>
      </c>
      <c r="X322">
        <v>17626</v>
      </c>
    </row>
    <row r="323" spans="1:24">
      <c r="A323" s="7" t="s">
        <v>418</v>
      </c>
      <c r="B323" s="16" t="s">
        <v>147</v>
      </c>
      <c r="C323">
        <v>15505731.858234407</v>
      </c>
      <c r="D323">
        <v>13122494.20261688</v>
      </c>
      <c r="G323">
        <v>3</v>
      </c>
      <c r="H323">
        <v>3</v>
      </c>
      <c r="M323">
        <v>3</v>
      </c>
      <c r="N323">
        <v>3</v>
      </c>
      <c r="S323">
        <v>5070360.3603603598</v>
      </c>
      <c r="T323">
        <v>4876207.2072072066</v>
      </c>
      <c r="W323">
        <v>510</v>
      </c>
      <c r="X323">
        <v>469</v>
      </c>
    </row>
    <row r="324" spans="1:24">
      <c r="A324" s="7" t="s">
        <v>419</v>
      </c>
      <c r="B324" s="16" t="s">
        <v>304</v>
      </c>
      <c r="C324">
        <v>121107087.46449207</v>
      </c>
      <c r="D324">
        <v>121060362.34010915</v>
      </c>
      <c r="E324">
        <v>950900.90090090304</v>
      </c>
      <c r="F324">
        <v>2240765.7657657638</v>
      </c>
      <c r="G324">
        <v>52</v>
      </c>
      <c r="H324">
        <v>65</v>
      </c>
      <c r="I324">
        <v>13</v>
      </c>
      <c r="J324">
        <v>11</v>
      </c>
      <c r="M324">
        <v>61</v>
      </c>
      <c r="N324">
        <v>98</v>
      </c>
      <c r="O324">
        <v>22111711.711711708</v>
      </c>
      <c r="P324">
        <v>20338738.738738734</v>
      </c>
      <c r="Q324">
        <v>192</v>
      </c>
      <c r="R324">
        <v>86</v>
      </c>
      <c r="S324">
        <v>23489729.729729727</v>
      </c>
      <c r="T324">
        <v>25620637.837837841</v>
      </c>
      <c r="U324">
        <v>26382162.162162159</v>
      </c>
      <c r="V324">
        <v>19263963.963963959</v>
      </c>
      <c r="W324">
        <v>2423</v>
      </c>
      <c r="X324">
        <v>3202</v>
      </c>
    </row>
    <row r="325" spans="1:24">
      <c r="A325" s="7" t="s">
        <v>420</v>
      </c>
      <c r="B325" s="16" t="s">
        <v>304</v>
      </c>
      <c r="C325">
        <v>142605660.77988651</v>
      </c>
      <c r="D325">
        <v>138974475.78652436</v>
      </c>
      <c r="E325">
        <v>56949863.963963971</v>
      </c>
      <c r="F325">
        <v>91138938.738738731</v>
      </c>
      <c r="G325">
        <v>165</v>
      </c>
      <c r="H325">
        <v>92</v>
      </c>
      <c r="I325">
        <v>11</v>
      </c>
      <c r="J325">
        <v>8</v>
      </c>
      <c r="K325">
        <v>7</v>
      </c>
      <c r="M325">
        <v>203</v>
      </c>
      <c r="N325">
        <v>891</v>
      </c>
      <c r="O325">
        <v>52330630.630630627</v>
      </c>
      <c r="P325">
        <v>25407207.207207203</v>
      </c>
      <c r="Q325">
        <v>446</v>
      </c>
      <c r="R325">
        <v>178</v>
      </c>
      <c r="S325">
        <v>32546800</v>
      </c>
      <c r="T325">
        <v>48696702.702702701</v>
      </c>
      <c r="U325">
        <v>24212072.072072066</v>
      </c>
      <c r="V325">
        <v>21012072.072072066</v>
      </c>
      <c r="W325">
        <v>3125</v>
      </c>
      <c r="X325">
        <v>3006</v>
      </c>
    </row>
    <row r="326" spans="1:24">
      <c r="A326" s="7" t="s">
        <v>421</v>
      </c>
      <c r="B326" s="16" t="s">
        <v>121</v>
      </c>
      <c r="C326">
        <v>10649068.163437979</v>
      </c>
      <c r="D326">
        <v>5135688.2564692106</v>
      </c>
      <c r="E326">
        <v>12612.612612613</v>
      </c>
      <c r="F326">
        <v>13513.513513514001</v>
      </c>
      <c r="G326">
        <v>1</v>
      </c>
      <c r="H326">
        <v>2</v>
      </c>
      <c r="I326">
        <v>0</v>
      </c>
      <c r="J326">
        <v>0</v>
      </c>
      <c r="M326">
        <v>1</v>
      </c>
      <c r="N326">
        <v>3</v>
      </c>
      <c r="O326">
        <v>1418018.018018018</v>
      </c>
      <c r="P326">
        <v>13513.513513514001</v>
      </c>
      <c r="Q326">
        <v>21</v>
      </c>
      <c r="S326">
        <v>1129774.7747747749</v>
      </c>
      <c r="T326">
        <v>454630.630630631</v>
      </c>
      <c r="U326">
        <v>1405405.405405405</v>
      </c>
      <c r="W326">
        <v>375</v>
      </c>
      <c r="X326">
        <v>302</v>
      </c>
    </row>
    <row r="327" spans="1:24">
      <c r="A327" s="7" t="s">
        <v>422</v>
      </c>
      <c r="B327" s="16" t="s">
        <v>60</v>
      </c>
      <c r="C327">
        <v>70111642.572709098</v>
      </c>
      <c r="D327">
        <v>70543852.805253491</v>
      </c>
      <c r="E327">
        <v>276576.57657657698</v>
      </c>
      <c r="F327">
        <v>860360.36036036198</v>
      </c>
      <c r="G327">
        <v>29</v>
      </c>
      <c r="H327">
        <v>41</v>
      </c>
      <c r="I327">
        <v>4</v>
      </c>
      <c r="J327">
        <v>7</v>
      </c>
      <c r="M327">
        <v>32</v>
      </c>
      <c r="N327">
        <v>44</v>
      </c>
      <c r="O327">
        <v>9370270.2702702694</v>
      </c>
      <c r="P327">
        <v>14564864.864864865</v>
      </c>
      <c r="Q327">
        <v>43</v>
      </c>
      <c r="R327">
        <v>29</v>
      </c>
      <c r="S327">
        <v>23045765.765765768</v>
      </c>
      <c r="T327">
        <v>24786675.675675675</v>
      </c>
      <c r="U327">
        <v>12637657.657657657</v>
      </c>
      <c r="V327">
        <v>13525135.135135133</v>
      </c>
      <c r="W327">
        <v>2058</v>
      </c>
      <c r="X327">
        <v>2118</v>
      </c>
    </row>
    <row r="328" spans="1:24">
      <c r="A328" s="7" t="s">
        <v>423</v>
      </c>
      <c r="B328" s="16" t="s">
        <v>181</v>
      </c>
      <c r="C328">
        <v>727935446.13590634</v>
      </c>
      <c r="D328">
        <v>697981378.4102242</v>
      </c>
      <c r="E328">
        <v>2477477.4774774839</v>
      </c>
      <c r="F328">
        <v>7115315.315315322</v>
      </c>
      <c r="G328">
        <v>289</v>
      </c>
      <c r="H328">
        <v>262</v>
      </c>
      <c r="I328">
        <v>51</v>
      </c>
      <c r="J328">
        <v>36</v>
      </c>
      <c r="K328">
        <v>14</v>
      </c>
      <c r="M328">
        <v>384</v>
      </c>
      <c r="N328">
        <v>360</v>
      </c>
      <c r="O328">
        <v>76620630.630630627</v>
      </c>
      <c r="P328">
        <v>84375675.67567566</v>
      </c>
      <c r="Q328">
        <v>681</v>
      </c>
      <c r="R328">
        <v>1377</v>
      </c>
      <c r="S328">
        <v>194909747.74774775</v>
      </c>
      <c r="T328">
        <v>204911583.78378376</v>
      </c>
      <c r="U328">
        <v>77585495.495495483</v>
      </c>
      <c r="V328">
        <v>81183333.333333328</v>
      </c>
      <c r="W328">
        <v>22389</v>
      </c>
      <c r="X328">
        <v>21745</v>
      </c>
    </row>
    <row r="329" spans="1:24">
      <c r="A329" s="7" t="s">
        <v>424</v>
      </c>
      <c r="B329" s="16" t="s">
        <v>76</v>
      </c>
      <c r="C329">
        <v>30889547.810796201</v>
      </c>
      <c r="D329">
        <v>20577939.240927275</v>
      </c>
      <c r="E329">
        <v>2702.7027027029999</v>
      </c>
      <c r="F329">
        <v>27027.027027028002</v>
      </c>
      <c r="G329">
        <v>8</v>
      </c>
      <c r="I329">
        <v>2</v>
      </c>
      <c r="J329">
        <v>0</v>
      </c>
      <c r="M329">
        <v>8</v>
      </c>
      <c r="N329">
        <v>1</v>
      </c>
      <c r="O329">
        <v>3065765.7657657661</v>
      </c>
      <c r="P329">
        <v>1603603.603603604</v>
      </c>
      <c r="R329">
        <v>1</v>
      </c>
      <c r="S329">
        <v>2776837.8378378381</v>
      </c>
      <c r="T329">
        <v>1961504.5045045051</v>
      </c>
      <c r="U329">
        <v>2547207.2072072071</v>
      </c>
      <c r="V329">
        <v>1768828.8288288279</v>
      </c>
      <c r="W329">
        <v>967</v>
      </c>
      <c r="X329">
        <v>868</v>
      </c>
    </row>
    <row r="330" spans="1:24">
      <c r="A330" s="7" t="s">
        <v>425</v>
      </c>
      <c r="B330" s="16" t="s">
        <v>76</v>
      </c>
      <c r="C330">
        <v>84498568.984088957</v>
      </c>
      <c r="D330">
        <v>80730535.024676919</v>
      </c>
      <c r="E330">
        <v>145945.94594594699</v>
      </c>
      <c r="F330">
        <v>139639.63963964101</v>
      </c>
      <c r="G330">
        <v>27</v>
      </c>
      <c r="H330">
        <v>18</v>
      </c>
      <c r="I330">
        <v>1</v>
      </c>
      <c r="J330">
        <v>1</v>
      </c>
      <c r="M330">
        <v>31</v>
      </c>
      <c r="N330">
        <v>20</v>
      </c>
      <c r="O330">
        <v>9811711.7117117122</v>
      </c>
      <c r="P330">
        <v>8986216.2162162159</v>
      </c>
      <c r="Q330">
        <v>22</v>
      </c>
      <c r="R330">
        <v>27</v>
      </c>
      <c r="S330">
        <v>19005315.315315317</v>
      </c>
      <c r="T330">
        <v>18084837.837837841</v>
      </c>
      <c r="U330">
        <v>7128108.108108107</v>
      </c>
      <c r="V330">
        <v>7861891.8918918921</v>
      </c>
      <c r="W330">
        <v>1467</v>
      </c>
      <c r="X330">
        <v>1436</v>
      </c>
    </row>
    <row r="331" spans="1:24">
      <c r="A331" s="7" t="s">
        <v>426</v>
      </c>
      <c r="B331" s="16" t="s">
        <v>330</v>
      </c>
      <c r="C331">
        <v>402097816.08538753</v>
      </c>
      <c r="D331">
        <v>415510689.4288553</v>
      </c>
      <c r="E331">
        <v>73885090.090090096</v>
      </c>
      <c r="F331">
        <v>187814189.1891892</v>
      </c>
      <c r="G331">
        <v>132</v>
      </c>
      <c r="H331">
        <v>150</v>
      </c>
      <c r="I331">
        <v>18</v>
      </c>
      <c r="J331">
        <v>17</v>
      </c>
      <c r="M331">
        <v>163</v>
      </c>
      <c r="N331">
        <v>177</v>
      </c>
      <c r="O331">
        <v>15394774.774774775</v>
      </c>
      <c r="P331">
        <v>21629729.729729727</v>
      </c>
      <c r="Q331">
        <v>51</v>
      </c>
      <c r="R331">
        <v>154</v>
      </c>
      <c r="S331">
        <v>67713430.630630627</v>
      </c>
      <c r="T331">
        <v>72542290.540540546</v>
      </c>
      <c r="U331">
        <v>12595765.765765766</v>
      </c>
      <c r="V331">
        <v>19859189.189189188</v>
      </c>
      <c r="W331">
        <v>11751</v>
      </c>
      <c r="X331">
        <v>11594</v>
      </c>
    </row>
    <row r="332" spans="1:24">
      <c r="A332" s="7" t="s">
        <v>427</v>
      </c>
      <c r="B332" s="16" t="s">
        <v>241</v>
      </c>
      <c r="C332">
        <v>105523866.54943396</v>
      </c>
      <c r="D332">
        <v>107327574.07625967</v>
      </c>
      <c r="E332">
        <v>1254054.0540540549</v>
      </c>
      <c r="F332">
        <v>727027.02702702896</v>
      </c>
      <c r="G332">
        <v>46</v>
      </c>
      <c r="H332">
        <v>36</v>
      </c>
      <c r="I332">
        <v>3</v>
      </c>
      <c r="J332">
        <v>3</v>
      </c>
      <c r="K332">
        <v>1</v>
      </c>
      <c r="M332">
        <v>56</v>
      </c>
      <c r="N332">
        <v>40</v>
      </c>
      <c r="O332">
        <v>18571711.711711712</v>
      </c>
      <c r="P332">
        <v>9057567.5675675664</v>
      </c>
      <c r="Q332">
        <v>108</v>
      </c>
      <c r="R332">
        <v>46</v>
      </c>
      <c r="S332">
        <v>40800414.414414413</v>
      </c>
      <c r="T332">
        <v>40961702.702702701</v>
      </c>
      <c r="U332">
        <v>18929279.27927928</v>
      </c>
      <c r="V332">
        <v>10189189.189189184</v>
      </c>
      <c r="W332">
        <v>5222</v>
      </c>
      <c r="X332">
        <v>5375</v>
      </c>
    </row>
    <row r="333" spans="1:24">
      <c r="A333" s="7" t="s">
        <v>428</v>
      </c>
      <c r="B333" s="16" t="s">
        <v>283</v>
      </c>
      <c r="C333">
        <v>45416509.615706354</v>
      </c>
      <c r="D333">
        <v>45320017.122765683</v>
      </c>
      <c r="E333">
        <v>52477.477477478002</v>
      </c>
      <c r="F333">
        <v>534234.23423423595</v>
      </c>
      <c r="G333">
        <v>17</v>
      </c>
      <c r="H333">
        <v>5</v>
      </c>
      <c r="I333">
        <v>2</v>
      </c>
      <c r="J333">
        <v>2</v>
      </c>
      <c r="M333">
        <v>18</v>
      </c>
      <c r="N333">
        <v>34</v>
      </c>
      <c r="O333">
        <v>2224324.3243243252</v>
      </c>
      <c r="P333">
        <v>25074774.774774775</v>
      </c>
      <c r="R333">
        <v>46</v>
      </c>
      <c r="S333">
        <v>7894189.1891891891</v>
      </c>
      <c r="T333">
        <v>8912774.7747747749</v>
      </c>
      <c r="U333">
        <v>2703603.6036036029</v>
      </c>
      <c r="V333">
        <v>26316036.036036037</v>
      </c>
      <c r="W333">
        <v>1285</v>
      </c>
      <c r="X333">
        <v>1242</v>
      </c>
    </row>
    <row r="334" spans="1:24">
      <c r="A334" s="7" t="s">
        <v>429</v>
      </c>
      <c r="B334" s="16" t="s">
        <v>283</v>
      </c>
      <c r="C334">
        <v>14118586.84958634</v>
      </c>
      <c r="D334">
        <v>14669539.039029559</v>
      </c>
      <c r="E334">
        <v>9909.9099099100004</v>
      </c>
      <c r="F334">
        <v>207207.20720720699</v>
      </c>
      <c r="G334">
        <v>1</v>
      </c>
      <c r="M334">
        <v>2</v>
      </c>
      <c r="O334">
        <v>190090.09009009</v>
      </c>
      <c r="P334">
        <v>3090090.090090089</v>
      </c>
      <c r="S334">
        <v>1407837.8378378381</v>
      </c>
      <c r="T334">
        <v>1051756.7567567569</v>
      </c>
      <c r="U334">
        <v>163513.51351351399</v>
      </c>
      <c r="V334">
        <v>2885855.8558558552</v>
      </c>
      <c r="W334">
        <v>490</v>
      </c>
      <c r="X334">
        <v>511</v>
      </c>
    </row>
    <row r="335" spans="1:24">
      <c r="A335" s="7" t="s">
        <v>430</v>
      </c>
      <c r="B335" s="16" t="s">
        <v>283</v>
      </c>
      <c r="C335">
        <v>26635648.813918956</v>
      </c>
      <c r="D335">
        <v>31419160.750623394</v>
      </c>
      <c r="E335">
        <v>9009.0090090089998</v>
      </c>
      <c r="F335">
        <v>198198.19819819799</v>
      </c>
      <c r="G335">
        <v>5</v>
      </c>
      <c r="H335">
        <v>4</v>
      </c>
      <c r="I335">
        <v>0</v>
      </c>
      <c r="J335">
        <v>1</v>
      </c>
      <c r="M335">
        <v>5</v>
      </c>
      <c r="N335">
        <v>4</v>
      </c>
      <c r="O335">
        <v>9009.0090090089998</v>
      </c>
      <c r="P335">
        <v>288288.28828828799</v>
      </c>
      <c r="R335">
        <v>6</v>
      </c>
      <c r="S335">
        <v>2224009.0090090092</v>
      </c>
      <c r="T335">
        <v>2737117.1171171172</v>
      </c>
      <c r="V335">
        <v>173423.423423423</v>
      </c>
      <c r="W335">
        <v>839</v>
      </c>
      <c r="X335">
        <v>742</v>
      </c>
    </row>
    <row r="336" spans="1:24">
      <c r="A336" s="7" t="s">
        <v>431</v>
      </c>
      <c r="B336" s="16" t="s">
        <v>78</v>
      </c>
      <c r="C336">
        <v>181854551.95141748</v>
      </c>
      <c r="D336">
        <v>181346822.52386507</v>
      </c>
      <c r="E336">
        <v>31353153.153153151</v>
      </c>
      <c r="F336">
        <v>64036936.936936937</v>
      </c>
      <c r="G336">
        <v>33</v>
      </c>
      <c r="H336">
        <v>139</v>
      </c>
      <c r="I336">
        <v>2</v>
      </c>
      <c r="J336">
        <v>10</v>
      </c>
      <c r="M336">
        <v>39</v>
      </c>
      <c r="N336">
        <v>245</v>
      </c>
      <c r="O336">
        <v>16060360.360360358</v>
      </c>
      <c r="P336">
        <v>14392792.792792792</v>
      </c>
      <c r="Q336">
        <v>96</v>
      </c>
      <c r="R336">
        <v>405</v>
      </c>
      <c r="S336">
        <v>76062279.279279277</v>
      </c>
      <c r="T336">
        <v>78781522.522522524</v>
      </c>
      <c r="U336">
        <v>17627747.747747749</v>
      </c>
      <c r="V336">
        <v>16120630.630630633</v>
      </c>
      <c r="W336">
        <v>6330</v>
      </c>
      <c r="X336">
        <v>6472</v>
      </c>
    </row>
    <row r="337" spans="1:24">
      <c r="A337" s="7" t="s">
        <v>432</v>
      </c>
      <c r="B337" s="16" t="s">
        <v>105</v>
      </c>
      <c r="C337">
        <v>161315871.35922304</v>
      </c>
      <c r="D337">
        <v>163046519.24518487</v>
      </c>
      <c r="E337">
        <v>81081.081081081997</v>
      </c>
      <c r="F337">
        <v>418018.01801801799</v>
      </c>
      <c r="G337">
        <v>30</v>
      </c>
      <c r="H337">
        <v>20</v>
      </c>
      <c r="I337">
        <v>3</v>
      </c>
      <c r="J337">
        <v>2</v>
      </c>
      <c r="M337">
        <v>32</v>
      </c>
      <c r="N337">
        <v>23</v>
      </c>
      <c r="O337">
        <v>19622162.162162159</v>
      </c>
      <c r="P337">
        <v>18986261.261261258</v>
      </c>
      <c r="Q337">
        <v>33</v>
      </c>
      <c r="R337">
        <v>109</v>
      </c>
      <c r="S337">
        <v>37329536.936936937</v>
      </c>
      <c r="T337">
        <v>39135018.018018015</v>
      </c>
      <c r="U337">
        <v>16376666.666666668</v>
      </c>
      <c r="V337">
        <v>21068693.693693697</v>
      </c>
      <c r="W337">
        <v>3683</v>
      </c>
      <c r="X337">
        <v>3746</v>
      </c>
    </row>
    <row r="338" spans="1:24">
      <c r="A338" s="7" t="s">
        <v>433</v>
      </c>
      <c r="B338" s="16" t="s">
        <v>72</v>
      </c>
      <c r="C338">
        <v>908951043.1089114</v>
      </c>
      <c r="D338">
        <v>889654572.3288008</v>
      </c>
      <c r="E338">
        <v>2491441.4414414498</v>
      </c>
      <c r="F338">
        <v>5547297.2972973119</v>
      </c>
      <c r="G338">
        <v>234</v>
      </c>
      <c r="H338">
        <v>222</v>
      </c>
      <c r="I338">
        <v>61</v>
      </c>
      <c r="J338">
        <v>65</v>
      </c>
      <c r="K338">
        <v>1</v>
      </c>
      <c r="M338">
        <v>343</v>
      </c>
      <c r="N338">
        <v>336</v>
      </c>
      <c r="O338">
        <v>130714864.86486487</v>
      </c>
      <c r="P338">
        <v>121806756.75675675</v>
      </c>
      <c r="Q338">
        <v>266</v>
      </c>
      <c r="R338">
        <v>772</v>
      </c>
      <c r="S338">
        <v>188439176.57657659</v>
      </c>
      <c r="T338">
        <v>188355295.04504505</v>
      </c>
      <c r="U338">
        <v>99942836.036036029</v>
      </c>
      <c r="V338">
        <v>98139279.279279277</v>
      </c>
      <c r="W338">
        <v>18144</v>
      </c>
      <c r="X338">
        <v>18618</v>
      </c>
    </row>
    <row r="339" spans="1:24">
      <c r="A339" s="7" t="s">
        <v>434</v>
      </c>
      <c r="B339" s="16" t="s">
        <v>72</v>
      </c>
      <c r="C339">
        <v>632781755.79356849</v>
      </c>
      <c r="D339">
        <v>615406394.46206105</v>
      </c>
      <c r="E339">
        <v>1936036.0360360381</v>
      </c>
      <c r="F339">
        <v>3915540.540540548</v>
      </c>
      <c r="G339">
        <v>136</v>
      </c>
      <c r="H339">
        <v>140</v>
      </c>
      <c r="I339">
        <v>14</v>
      </c>
      <c r="J339">
        <v>17</v>
      </c>
      <c r="M339">
        <v>147</v>
      </c>
      <c r="N339">
        <v>178</v>
      </c>
      <c r="O339">
        <v>79318558.558558553</v>
      </c>
      <c r="P339">
        <v>63984684.684684679</v>
      </c>
      <c r="Q339">
        <v>217</v>
      </c>
      <c r="R339">
        <v>117</v>
      </c>
      <c r="S339">
        <v>110326490.990991</v>
      </c>
      <c r="T339">
        <v>116020207.2072072</v>
      </c>
      <c r="U339">
        <v>54298738.738738738</v>
      </c>
      <c r="V339">
        <v>50265225.225225225</v>
      </c>
      <c r="W339">
        <v>13551</v>
      </c>
      <c r="X339">
        <v>14414</v>
      </c>
    </row>
    <row r="340" spans="1:24">
      <c r="A340" s="7" t="s">
        <v>435</v>
      </c>
      <c r="B340" s="16" t="s">
        <v>94</v>
      </c>
      <c r="C340">
        <v>48230038.437284149</v>
      </c>
      <c r="D340">
        <v>43215071.739036925</v>
      </c>
      <c r="E340">
        <v>900.900900901</v>
      </c>
      <c r="F340">
        <v>13513.513513514001</v>
      </c>
      <c r="G340">
        <v>7</v>
      </c>
      <c r="H340">
        <v>3</v>
      </c>
      <c r="I340">
        <v>0</v>
      </c>
      <c r="J340">
        <v>0</v>
      </c>
      <c r="M340">
        <v>7</v>
      </c>
      <c r="N340">
        <v>3</v>
      </c>
      <c r="O340">
        <v>991891.89189189195</v>
      </c>
      <c r="P340">
        <v>554054.05405405397</v>
      </c>
      <c r="S340">
        <v>11104819.819819819</v>
      </c>
      <c r="T340">
        <v>10617855.855855856</v>
      </c>
      <c r="U340">
        <v>305315.31531531498</v>
      </c>
      <c r="V340">
        <v>381801.80180180201</v>
      </c>
      <c r="W340">
        <v>924</v>
      </c>
      <c r="X340">
        <v>874</v>
      </c>
    </row>
    <row r="341" spans="1:24">
      <c r="A341" s="7" t="s">
        <v>436</v>
      </c>
      <c r="B341" s="16" t="s">
        <v>89</v>
      </c>
      <c r="C341">
        <v>217167656.51012644</v>
      </c>
      <c r="D341">
        <v>222620706.62515411</v>
      </c>
      <c r="E341">
        <v>2326981.9819819848</v>
      </c>
      <c r="F341">
        <v>2803603.6036036108</v>
      </c>
      <c r="G341">
        <v>53</v>
      </c>
      <c r="H341">
        <v>65</v>
      </c>
      <c r="I341">
        <v>14</v>
      </c>
      <c r="J341">
        <v>16</v>
      </c>
      <c r="K341">
        <v>1</v>
      </c>
      <c r="M341">
        <v>54</v>
      </c>
      <c r="N341">
        <v>72</v>
      </c>
      <c r="O341">
        <v>33401081.081081081</v>
      </c>
      <c r="P341">
        <v>25902342.342342343</v>
      </c>
      <c r="Q341">
        <v>276</v>
      </c>
      <c r="R341">
        <v>128</v>
      </c>
      <c r="S341">
        <v>91895720.720720723</v>
      </c>
      <c r="T341">
        <v>100390085.58558558</v>
      </c>
      <c r="U341">
        <v>29137117.117117114</v>
      </c>
      <c r="V341">
        <v>27432612.612612616</v>
      </c>
      <c r="W341">
        <v>5484</v>
      </c>
      <c r="X341">
        <v>5356</v>
      </c>
    </row>
    <row r="342" spans="1:24">
      <c r="A342" s="7" t="s">
        <v>437</v>
      </c>
      <c r="B342" s="16" t="s">
        <v>70</v>
      </c>
      <c r="C342">
        <v>7244691.7485392774</v>
      </c>
      <c r="D342">
        <v>6859550.5744399428</v>
      </c>
      <c r="G342">
        <v>15</v>
      </c>
      <c r="H342">
        <v>5</v>
      </c>
      <c r="M342">
        <v>16</v>
      </c>
      <c r="N342">
        <v>5</v>
      </c>
      <c r="S342">
        <v>4327027.0270270268</v>
      </c>
      <c r="T342">
        <v>4430396.3963963958</v>
      </c>
      <c r="W342">
        <v>1179</v>
      </c>
      <c r="X342">
        <v>1077</v>
      </c>
    </row>
    <row r="343" spans="1:24">
      <c r="A343" s="7" t="s">
        <v>438</v>
      </c>
      <c r="B343" s="16" t="s">
        <v>195</v>
      </c>
      <c r="C343">
        <v>1075762443.9742677</v>
      </c>
      <c r="D343">
        <v>1047322084.1360211</v>
      </c>
      <c r="E343">
        <v>116104096.3963964</v>
      </c>
      <c r="F343">
        <v>161162155.85585588</v>
      </c>
      <c r="G343">
        <v>274</v>
      </c>
      <c r="H343">
        <v>287</v>
      </c>
      <c r="I343">
        <v>21</v>
      </c>
      <c r="J343">
        <v>18</v>
      </c>
      <c r="M343">
        <v>326</v>
      </c>
      <c r="N343">
        <v>359</v>
      </c>
      <c r="O343">
        <v>92536936.93693693</v>
      </c>
      <c r="P343">
        <v>84616756.756756753</v>
      </c>
      <c r="Q343">
        <v>257</v>
      </c>
      <c r="R343">
        <v>69</v>
      </c>
      <c r="S343">
        <v>167511045.04504505</v>
      </c>
      <c r="T343">
        <v>181546675.67567569</v>
      </c>
      <c r="U343">
        <v>84500900.9009009</v>
      </c>
      <c r="V343">
        <v>80871711.711711705</v>
      </c>
      <c r="W343">
        <v>20484</v>
      </c>
      <c r="X343">
        <v>20581</v>
      </c>
    </row>
    <row r="344" spans="1:24">
      <c r="A344" s="7" t="s">
        <v>439</v>
      </c>
      <c r="B344" s="16" t="s">
        <v>178</v>
      </c>
      <c r="C344">
        <v>520735631.77637213</v>
      </c>
      <c r="D344">
        <v>524181783.40971076</v>
      </c>
      <c r="E344">
        <v>1343513.513513515</v>
      </c>
      <c r="F344">
        <v>8663963.9639639724</v>
      </c>
      <c r="G344">
        <v>119</v>
      </c>
      <c r="H344">
        <v>73</v>
      </c>
      <c r="I344">
        <v>7</v>
      </c>
      <c r="J344">
        <v>38</v>
      </c>
      <c r="K344">
        <v>1</v>
      </c>
      <c r="M344">
        <v>139</v>
      </c>
      <c r="N344">
        <v>136</v>
      </c>
      <c r="O344">
        <v>98429060.360360369</v>
      </c>
      <c r="P344">
        <v>100430890.990991</v>
      </c>
      <c r="Q344">
        <v>119</v>
      </c>
      <c r="R344">
        <v>151</v>
      </c>
      <c r="S344">
        <v>199168954.95495495</v>
      </c>
      <c r="T344">
        <v>209508833.33333334</v>
      </c>
      <c r="U344">
        <v>81444864.864864871</v>
      </c>
      <c r="V344">
        <v>80882432.432432428</v>
      </c>
      <c r="W344">
        <v>14515</v>
      </c>
      <c r="X344">
        <v>14370</v>
      </c>
    </row>
    <row r="345" spans="1:24">
      <c r="A345" s="7" t="s">
        <v>440</v>
      </c>
      <c r="B345" s="16" t="s">
        <v>78</v>
      </c>
      <c r="C345">
        <v>221253098.67244974</v>
      </c>
      <c r="D345">
        <v>223988250.04281014</v>
      </c>
      <c r="E345">
        <v>1872702.702702703</v>
      </c>
      <c r="F345">
        <v>3043243.243243244</v>
      </c>
      <c r="G345">
        <v>39</v>
      </c>
      <c r="H345">
        <v>51</v>
      </c>
      <c r="I345">
        <v>6</v>
      </c>
      <c r="J345">
        <v>7</v>
      </c>
      <c r="M345">
        <v>52</v>
      </c>
      <c r="N345">
        <v>78</v>
      </c>
      <c r="O345">
        <v>17713243.24324324</v>
      </c>
      <c r="P345">
        <v>20610810.810810808</v>
      </c>
      <c r="Q345">
        <v>88</v>
      </c>
      <c r="R345">
        <v>89</v>
      </c>
      <c r="S345">
        <v>43966882.882882878</v>
      </c>
      <c r="T345">
        <v>45463567.567567565</v>
      </c>
      <c r="U345">
        <v>19593783.783783779</v>
      </c>
      <c r="V345">
        <v>21598018.018018018</v>
      </c>
      <c r="W345">
        <v>4749</v>
      </c>
      <c r="X345">
        <v>4835</v>
      </c>
    </row>
    <row r="346" spans="1:24">
      <c r="A346" s="7" t="s">
        <v>441</v>
      </c>
      <c r="B346" s="16" t="s">
        <v>78</v>
      </c>
      <c r="C346">
        <v>99905650.167378485</v>
      </c>
      <c r="D346">
        <v>93549564.709376156</v>
      </c>
      <c r="E346">
        <v>335135.13513513701</v>
      </c>
      <c r="F346">
        <v>1370270.2702702719</v>
      </c>
      <c r="G346">
        <v>21</v>
      </c>
      <c r="H346">
        <v>20</v>
      </c>
      <c r="I346">
        <v>2</v>
      </c>
      <c r="J346">
        <v>3</v>
      </c>
      <c r="M346">
        <v>22</v>
      </c>
      <c r="N346">
        <v>26</v>
      </c>
      <c r="O346">
        <v>14371981.98198198</v>
      </c>
      <c r="P346">
        <v>16092612.612612613</v>
      </c>
      <c r="Q346">
        <v>66</v>
      </c>
      <c r="R346">
        <v>25</v>
      </c>
      <c r="S346">
        <v>19788603.603603605</v>
      </c>
      <c r="T346">
        <v>20276504.504504506</v>
      </c>
      <c r="U346">
        <v>17348738.738738742</v>
      </c>
      <c r="V346">
        <v>17056576.576576579</v>
      </c>
      <c r="W346">
        <v>2286</v>
      </c>
      <c r="X346">
        <v>2363</v>
      </c>
    </row>
    <row r="347" spans="1:24">
      <c r="A347" s="7" t="s">
        <v>442</v>
      </c>
      <c r="B347" s="16" t="s">
        <v>123</v>
      </c>
      <c r="C347">
        <v>1532085.251072468</v>
      </c>
      <c r="D347">
        <v>1736262.9371096671</v>
      </c>
      <c r="G347">
        <v>1</v>
      </c>
      <c r="M347">
        <v>2</v>
      </c>
      <c r="S347">
        <v>610405.40540540498</v>
      </c>
      <c r="T347">
        <v>697477.47747747705</v>
      </c>
      <c r="W347">
        <v>382</v>
      </c>
      <c r="X347">
        <v>317</v>
      </c>
    </row>
    <row r="348" spans="1:24">
      <c r="A348" s="7" t="s">
        <v>443</v>
      </c>
      <c r="B348" s="16" t="s">
        <v>140</v>
      </c>
      <c r="C348">
        <v>220181180.12735799</v>
      </c>
      <c r="D348">
        <v>229574376.69605717</v>
      </c>
      <c r="E348">
        <v>1757432.432432431</v>
      </c>
      <c r="F348">
        <v>1156306.306306306</v>
      </c>
      <c r="G348">
        <v>17</v>
      </c>
      <c r="H348">
        <v>38</v>
      </c>
      <c r="I348">
        <v>1</v>
      </c>
      <c r="J348">
        <v>5</v>
      </c>
      <c r="K348">
        <v>1</v>
      </c>
      <c r="M348">
        <v>24</v>
      </c>
      <c r="N348">
        <v>45</v>
      </c>
      <c r="O348">
        <v>20844594.59459459</v>
      </c>
      <c r="P348">
        <v>22885945.945945945</v>
      </c>
      <c r="Q348">
        <v>16</v>
      </c>
      <c r="R348">
        <v>56</v>
      </c>
      <c r="S348">
        <v>53562837.837837838</v>
      </c>
      <c r="T348">
        <v>63717972.972972974</v>
      </c>
      <c r="U348">
        <v>19299819.819819819</v>
      </c>
      <c r="V348">
        <v>21857117.117117114</v>
      </c>
      <c r="W348">
        <v>5735</v>
      </c>
      <c r="X348">
        <v>5778</v>
      </c>
    </row>
    <row r="349" spans="1:24">
      <c r="A349" s="7" t="s">
        <v>444</v>
      </c>
      <c r="B349" s="16" t="s">
        <v>76</v>
      </c>
      <c r="C349">
        <v>24500223.987246752</v>
      </c>
      <c r="D349">
        <v>24961083.798760679</v>
      </c>
      <c r="E349">
        <v>175675.675675676</v>
      </c>
      <c r="F349">
        <v>233333.33333333401</v>
      </c>
      <c r="G349">
        <v>7</v>
      </c>
      <c r="H349">
        <v>3</v>
      </c>
      <c r="I349">
        <v>1</v>
      </c>
      <c r="J349">
        <v>0</v>
      </c>
      <c r="M349">
        <v>8</v>
      </c>
      <c r="N349">
        <v>4</v>
      </c>
      <c r="O349">
        <v>8049549.5495495507</v>
      </c>
      <c r="P349">
        <v>5237837.8378378376</v>
      </c>
      <c r="Q349">
        <v>12</v>
      </c>
      <c r="R349">
        <v>78</v>
      </c>
      <c r="S349">
        <v>5384639.6396396402</v>
      </c>
      <c r="T349">
        <v>5795198.1981981983</v>
      </c>
      <c r="U349">
        <v>5765225.2252252251</v>
      </c>
      <c r="V349">
        <v>3913063.0630630632</v>
      </c>
      <c r="W349">
        <v>620</v>
      </c>
      <c r="X349">
        <v>614</v>
      </c>
    </row>
    <row r="350" spans="1:24">
      <c r="A350" s="7" t="s">
        <v>445</v>
      </c>
      <c r="B350" s="16" t="s">
        <v>89</v>
      </c>
      <c r="C350">
        <v>691998878.75284374</v>
      </c>
      <c r="D350">
        <v>699723734.84798324</v>
      </c>
      <c r="E350">
        <v>99628074.77477479</v>
      </c>
      <c r="F350">
        <v>408068540.54054052</v>
      </c>
      <c r="G350">
        <v>499</v>
      </c>
      <c r="H350">
        <v>283</v>
      </c>
      <c r="I350">
        <v>38</v>
      </c>
      <c r="J350">
        <v>47</v>
      </c>
      <c r="K350">
        <v>4</v>
      </c>
      <c r="M350">
        <v>568</v>
      </c>
      <c r="N350">
        <v>852</v>
      </c>
      <c r="O350">
        <v>81947477.477477476</v>
      </c>
      <c r="P350">
        <v>248526036.03603604</v>
      </c>
      <c r="Q350">
        <v>780</v>
      </c>
      <c r="R350">
        <v>432</v>
      </c>
      <c r="S350">
        <v>210444450.45045045</v>
      </c>
      <c r="T350">
        <v>230433529.72972974</v>
      </c>
      <c r="U350">
        <v>82025045.045045033</v>
      </c>
      <c r="V350">
        <v>143388648.64864865</v>
      </c>
      <c r="W350">
        <v>16083</v>
      </c>
      <c r="X350">
        <v>16174</v>
      </c>
    </row>
    <row r="351" spans="1:24">
      <c r="A351" s="7" t="s">
        <v>446</v>
      </c>
      <c r="B351" s="16" t="s">
        <v>48</v>
      </c>
      <c r="C351">
        <v>72271773.807298362</v>
      </c>
      <c r="D351">
        <v>68955536.554538757</v>
      </c>
      <c r="E351">
        <v>9713513.5135135148</v>
      </c>
      <c r="F351">
        <v>59676576.576576576</v>
      </c>
      <c r="G351">
        <v>5</v>
      </c>
      <c r="H351">
        <v>5</v>
      </c>
      <c r="I351">
        <v>1</v>
      </c>
      <c r="J351">
        <v>1</v>
      </c>
      <c r="M351">
        <v>6</v>
      </c>
      <c r="N351">
        <v>10</v>
      </c>
      <c r="O351">
        <v>13296666.666666668</v>
      </c>
      <c r="P351">
        <v>18613333.333333336</v>
      </c>
      <c r="S351">
        <v>24119414.414414417</v>
      </c>
      <c r="T351">
        <v>23442279.27927928</v>
      </c>
      <c r="U351">
        <v>8529099.0990990996</v>
      </c>
      <c r="V351">
        <v>18172612.612612616</v>
      </c>
      <c r="W351">
        <v>1101</v>
      </c>
      <c r="X351">
        <v>1099</v>
      </c>
    </row>
    <row r="352" spans="1:24">
      <c r="A352" s="7" t="s">
        <v>447</v>
      </c>
      <c r="B352" s="16" t="s">
        <v>448</v>
      </c>
      <c r="C352">
        <v>139593671.67624679</v>
      </c>
      <c r="D352">
        <v>137675453.07926124</v>
      </c>
      <c r="E352">
        <v>761936.93693693797</v>
      </c>
      <c r="F352">
        <v>3433333.3333333349</v>
      </c>
      <c r="G352">
        <v>542</v>
      </c>
      <c r="H352">
        <v>125</v>
      </c>
      <c r="I352">
        <v>7</v>
      </c>
      <c r="J352">
        <v>10</v>
      </c>
      <c r="M352">
        <v>560</v>
      </c>
      <c r="N352">
        <v>177</v>
      </c>
      <c r="O352">
        <v>17515765.765765764</v>
      </c>
      <c r="P352">
        <v>11446666.666666668</v>
      </c>
      <c r="Q352">
        <v>141</v>
      </c>
      <c r="R352">
        <v>25</v>
      </c>
      <c r="S352">
        <v>55540315.315315314</v>
      </c>
      <c r="T352">
        <v>56761630.630630635</v>
      </c>
      <c r="U352">
        <v>12371981.98198198</v>
      </c>
      <c r="V352">
        <v>12456036.036036037</v>
      </c>
      <c r="W352">
        <v>5544</v>
      </c>
      <c r="X352">
        <v>6150</v>
      </c>
    </row>
    <row r="353" spans="1:24">
      <c r="A353" s="7" t="s">
        <v>449</v>
      </c>
      <c r="B353" s="16" t="s">
        <v>76</v>
      </c>
      <c r="C353">
        <v>35853334.422084428</v>
      </c>
      <c r="D353">
        <v>32601320.025434189</v>
      </c>
      <c r="E353">
        <v>18918.918918920001</v>
      </c>
      <c r="F353">
        <v>514414.41441441601</v>
      </c>
      <c r="G353">
        <v>9</v>
      </c>
      <c r="H353">
        <v>22</v>
      </c>
      <c r="I353">
        <v>1</v>
      </c>
      <c r="J353">
        <v>5</v>
      </c>
      <c r="M353">
        <v>16</v>
      </c>
      <c r="N353">
        <v>22</v>
      </c>
      <c r="O353">
        <v>8400900.9009009022</v>
      </c>
      <c r="P353">
        <v>9080000</v>
      </c>
      <c r="Q353">
        <v>30</v>
      </c>
      <c r="R353">
        <v>16</v>
      </c>
      <c r="S353">
        <v>13085450.45045045</v>
      </c>
      <c r="T353">
        <v>11704142.342342341</v>
      </c>
      <c r="U353">
        <v>6521171.1711711707</v>
      </c>
      <c r="V353">
        <v>7706576.5765765784</v>
      </c>
      <c r="W353">
        <v>1863</v>
      </c>
      <c r="X353">
        <v>1872</v>
      </c>
    </row>
    <row r="354" spans="1:24">
      <c r="A354" s="7" t="s">
        <v>450</v>
      </c>
      <c r="B354" s="16" t="s">
        <v>83</v>
      </c>
      <c r="C354">
        <v>1252746093.1917562</v>
      </c>
      <c r="D354">
        <v>1248691890.5717673</v>
      </c>
      <c r="E354">
        <v>634221330.63063061</v>
      </c>
      <c r="F354">
        <v>267144735.13513514</v>
      </c>
      <c r="G354">
        <v>280</v>
      </c>
      <c r="H354">
        <v>298</v>
      </c>
      <c r="I354">
        <v>27</v>
      </c>
      <c r="J354">
        <v>34</v>
      </c>
      <c r="K354">
        <v>6</v>
      </c>
      <c r="M354">
        <v>392</v>
      </c>
      <c r="N354">
        <v>467</v>
      </c>
      <c r="O354">
        <v>145998378.37837836</v>
      </c>
      <c r="P354">
        <v>154198873.87387389</v>
      </c>
      <c r="Q354">
        <v>345</v>
      </c>
      <c r="R354">
        <v>542</v>
      </c>
      <c r="S354">
        <v>264686189.1891892</v>
      </c>
      <c r="T354">
        <v>272619182.43243247</v>
      </c>
      <c r="U354">
        <v>129753603.6036036</v>
      </c>
      <c r="V354">
        <v>147558423.42342341</v>
      </c>
      <c r="W354">
        <v>31233</v>
      </c>
      <c r="X354">
        <v>31333</v>
      </c>
    </row>
    <row r="355" spans="1:24">
      <c r="A355" s="7" t="s">
        <v>451</v>
      </c>
      <c r="B355" s="16" t="s">
        <v>70</v>
      </c>
      <c r="C355">
        <v>87244626.880919129</v>
      </c>
      <c r="D355">
        <v>81366842.260484204</v>
      </c>
      <c r="E355">
        <v>599324.32432432403</v>
      </c>
      <c r="F355">
        <v>375675.67567567597</v>
      </c>
      <c r="G355">
        <v>21</v>
      </c>
      <c r="H355">
        <v>19</v>
      </c>
      <c r="I355">
        <v>1</v>
      </c>
      <c r="J355">
        <v>1</v>
      </c>
      <c r="M355">
        <v>21</v>
      </c>
      <c r="N355">
        <v>20</v>
      </c>
      <c r="O355">
        <v>2021621.621621622</v>
      </c>
      <c r="P355">
        <v>2217117.1171171181</v>
      </c>
      <c r="Q355">
        <v>2</v>
      </c>
      <c r="R355">
        <v>4</v>
      </c>
      <c r="S355">
        <v>51651666.666666664</v>
      </c>
      <c r="T355">
        <v>49994000</v>
      </c>
      <c r="U355">
        <v>2554774.7747747758</v>
      </c>
      <c r="V355">
        <v>1760720.7207207209</v>
      </c>
      <c r="W355">
        <v>2980</v>
      </c>
      <c r="X355">
        <v>2836</v>
      </c>
    </row>
    <row r="356" spans="1:24">
      <c r="A356" s="7" t="s">
        <v>452</v>
      </c>
      <c r="B356" s="16" t="s">
        <v>167</v>
      </c>
      <c r="C356">
        <v>102082654.5669034</v>
      </c>
      <c r="D356">
        <v>99267961.990019619</v>
      </c>
      <c r="E356">
        <v>39639.639639640001</v>
      </c>
      <c r="F356">
        <v>1396396.396396396</v>
      </c>
      <c r="G356">
        <v>9</v>
      </c>
      <c r="H356">
        <v>4</v>
      </c>
      <c r="I356">
        <v>1</v>
      </c>
      <c r="J356">
        <v>0</v>
      </c>
      <c r="K356">
        <v>1</v>
      </c>
      <c r="M356">
        <v>12</v>
      </c>
      <c r="N356">
        <v>4</v>
      </c>
      <c r="O356">
        <v>5432072.072072072</v>
      </c>
      <c r="P356">
        <v>3661711.7117117122</v>
      </c>
      <c r="Q356">
        <v>15</v>
      </c>
      <c r="S356">
        <v>17771711.711711712</v>
      </c>
      <c r="T356">
        <v>19149243.243243244</v>
      </c>
      <c r="U356">
        <v>6603963.963963965</v>
      </c>
      <c r="V356">
        <v>4404414.4144144151</v>
      </c>
      <c r="W356">
        <v>2827</v>
      </c>
      <c r="X356">
        <v>2557</v>
      </c>
    </row>
    <row r="357" spans="1:24">
      <c r="A357" s="7" t="s">
        <v>453</v>
      </c>
      <c r="B357" s="16" t="s">
        <v>121</v>
      </c>
      <c r="C357">
        <v>6200359.1888592727</v>
      </c>
      <c r="D357">
        <v>4171124.3170142081</v>
      </c>
      <c r="E357">
        <v>14414.414414413999</v>
      </c>
      <c r="F357">
        <v>34234.234234233998</v>
      </c>
      <c r="G357">
        <v>4</v>
      </c>
      <c r="H357">
        <v>2</v>
      </c>
      <c r="I357">
        <v>1</v>
      </c>
      <c r="J357">
        <v>0</v>
      </c>
      <c r="M357">
        <v>4</v>
      </c>
      <c r="N357">
        <v>2</v>
      </c>
      <c r="O357">
        <v>158558.558558558</v>
      </c>
      <c r="P357">
        <v>36036.036036035999</v>
      </c>
      <c r="Q357">
        <v>26</v>
      </c>
      <c r="S357">
        <v>558738.73873873905</v>
      </c>
      <c r="T357">
        <v>397387.38738738699</v>
      </c>
      <c r="U357">
        <v>144144.144144144</v>
      </c>
      <c r="W357">
        <v>172</v>
      </c>
      <c r="X357">
        <v>135</v>
      </c>
    </row>
    <row r="358" spans="1:24">
      <c r="A358" s="7" t="s">
        <v>454</v>
      </c>
      <c r="B358" s="16" t="s">
        <v>224</v>
      </c>
      <c r="C358">
        <v>37628606.132097736</v>
      </c>
      <c r="D358">
        <v>33717298.296718381</v>
      </c>
      <c r="G358">
        <v>1</v>
      </c>
      <c r="M358">
        <v>1</v>
      </c>
      <c r="N358">
        <v>1</v>
      </c>
      <c r="R358">
        <v>10</v>
      </c>
      <c r="S358">
        <v>6620900.9009009013</v>
      </c>
      <c r="T358">
        <v>6573369.3693693699</v>
      </c>
      <c r="U358">
        <v>165315.31531531501</v>
      </c>
      <c r="V358">
        <v>138828.82882882899</v>
      </c>
      <c r="W358">
        <v>1173</v>
      </c>
      <c r="X358">
        <v>1308</v>
      </c>
    </row>
    <row r="359" spans="1:24">
      <c r="A359" s="7" t="s">
        <v>455</v>
      </c>
      <c r="B359" s="16" t="s">
        <v>94</v>
      </c>
      <c r="C359">
        <v>41717936.749597453</v>
      </c>
      <c r="D359">
        <v>55565792.625328429</v>
      </c>
      <c r="E359">
        <v>208108.10810810799</v>
      </c>
      <c r="F359">
        <v>463963.96396396501</v>
      </c>
      <c r="G359">
        <v>16</v>
      </c>
      <c r="H359">
        <v>15</v>
      </c>
      <c r="I359">
        <v>3</v>
      </c>
      <c r="J359">
        <v>2</v>
      </c>
      <c r="M359">
        <v>18</v>
      </c>
      <c r="N359">
        <v>16</v>
      </c>
      <c r="O359">
        <v>5186486.4864864862</v>
      </c>
      <c r="P359">
        <v>17274774.774774775</v>
      </c>
      <c r="Q359">
        <v>18</v>
      </c>
      <c r="R359">
        <v>170</v>
      </c>
      <c r="S359">
        <v>8587747.7477477472</v>
      </c>
      <c r="T359">
        <v>12961373.873873875</v>
      </c>
      <c r="U359">
        <v>6187747.7477477491</v>
      </c>
      <c r="V359">
        <v>17716396.396396395</v>
      </c>
      <c r="W359">
        <v>1933</v>
      </c>
      <c r="X359">
        <v>2007</v>
      </c>
    </row>
    <row r="360" spans="1:24">
      <c r="A360" s="7" t="s">
        <v>673</v>
      </c>
      <c r="B360" s="16" t="s">
        <v>189</v>
      </c>
      <c r="F360">
        <v>3603603.6036036038</v>
      </c>
    </row>
    <row r="361" spans="1:24">
      <c r="A361" s="7" t="s">
        <v>456</v>
      </c>
      <c r="B361" s="16" t="s">
        <v>60</v>
      </c>
      <c r="C361">
        <v>9850169.2154548708</v>
      </c>
      <c r="D361">
        <v>7379622.2033041799</v>
      </c>
      <c r="E361">
        <v>297297.29729729699</v>
      </c>
      <c r="F361">
        <v>170270.27027027</v>
      </c>
      <c r="G361">
        <v>5</v>
      </c>
      <c r="H361">
        <v>5</v>
      </c>
      <c r="I361">
        <v>2</v>
      </c>
      <c r="J361">
        <v>1</v>
      </c>
      <c r="M361">
        <v>5</v>
      </c>
      <c r="N361">
        <v>6</v>
      </c>
      <c r="O361">
        <v>2549549.5495495498</v>
      </c>
      <c r="P361">
        <v>1206306.306306307</v>
      </c>
      <c r="Q361">
        <v>1</v>
      </c>
      <c r="R361">
        <v>15</v>
      </c>
      <c r="S361">
        <v>5792567.5675675683</v>
      </c>
      <c r="T361">
        <v>3411252.2522522518</v>
      </c>
      <c r="U361">
        <v>1558018.0180180171</v>
      </c>
      <c r="V361">
        <v>620270.27027026995</v>
      </c>
      <c r="W361">
        <v>667</v>
      </c>
      <c r="X361">
        <v>604</v>
      </c>
    </row>
    <row r="362" spans="1:24">
      <c r="A362" s="7" t="s">
        <v>457</v>
      </c>
      <c r="B362" s="16" t="s">
        <v>214</v>
      </c>
      <c r="C362">
        <v>127301271.01749492</v>
      </c>
      <c r="D362">
        <v>137817937.41032708</v>
      </c>
      <c r="F362">
        <v>396396.39639639598</v>
      </c>
      <c r="G362">
        <v>24</v>
      </c>
      <c r="H362">
        <v>32</v>
      </c>
      <c r="J362">
        <v>1</v>
      </c>
      <c r="M362">
        <v>27</v>
      </c>
      <c r="N362">
        <v>40</v>
      </c>
      <c r="O362">
        <v>450450.45045045001</v>
      </c>
      <c r="P362">
        <v>936936.93693693704</v>
      </c>
      <c r="R362">
        <v>1</v>
      </c>
      <c r="S362">
        <v>65593423.423423424</v>
      </c>
      <c r="T362">
        <v>70486270.270270273</v>
      </c>
      <c r="U362">
        <v>432432.43243243202</v>
      </c>
      <c r="V362">
        <v>1726126.1261261259</v>
      </c>
      <c r="W362">
        <v>2962</v>
      </c>
      <c r="X362">
        <v>2994</v>
      </c>
    </row>
    <row r="363" spans="1:24">
      <c r="A363" s="7" t="s">
        <v>458</v>
      </c>
      <c r="B363" s="16" t="s">
        <v>459</v>
      </c>
      <c r="C363">
        <v>561343731.54115903</v>
      </c>
      <c r="D363">
        <v>533387822.66831779</v>
      </c>
      <c r="E363">
        <v>1978873.8738738759</v>
      </c>
      <c r="F363">
        <v>9954054.0540540628</v>
      </c>
      <c r="G363">
        <v>267</v>
      </c>
      <c r="H363">
        <v>338</v>
      </c>
      <c r="I363">
        <v>30</v>
      </c>
      <c r="J363">
        <v>37</v>
      </c>
      <c r="K363">
        <v>2</v>
      </c>
      <c r="M363">
        <v>362</v>
      </c>
      <c r="N363">
        <v>455</v>
      </c>
      <c r="O363">
        <v>60863513.513513513</v>
      </c>
      <c r="P363">
        <v>214367162.16216215</v>
      </c>
      <c r="Q363">
        <v>650</v>
      </c>
      <c r="R363">
        <v>519</v>
      </c>
      <c r="S363">
        <v>182063486.48648649</v>
      </c>
      <c r="T363">
        <v>191685371.62162164</v>
      </c>
      <c r="U363">
        <v>53670900.900900893</v>
      </c>
      <c r="V363">
        <v>109304909.9099099</v>
      </c>
      <c r="W363">
        <v>24899</v>
      </c>
      <c r="X363">
        <v>24219</v>
      </c>
    </row>
    <row r="364" spans="1:24">
      <c r="A364" s="7" t="s">
        <v>460</v>
      </c>
      <c r="B364" s="16" t="s">
        <v>459</v>
      </c>
      <c r="C364">
        <v>1571848496.7792139</v>
      </c>
      <c r="D364">
        <v>1504671555.9079216</v>
      </c>
      <c r="E364">
        <v>7035315.3153153192</v>
      </c>
      <c r="F364">
        <v>11964864.864864871</v>
      </c>
      <c r="G364">
        <v>518</v>
      </c>
      <c r="H364">
        <v>457</v>
      </c>
      <c r="I364">
        <v>20</v>
      </c>
      <c r="J364">
        <v>30</v>
      </c>
      <c r="K364">
        <v>2</v>
      </c>
      <c r="M364">
        <v>648</v>
      </c>
      <c r="N364">
        <v>588</v>
      </c>
      <c r="O364">
        <v>64460495.495495498</v>
      </c>
      <c r="P364">
        <v>86320855.855855837</v>
      </c>
      <c r="Q364">
        <v>246</v>
      </c>
      <c r="R364">
        <v>438</v>
      </c>
      <c r="S364">
        <v>880431232.43243241</v>
      </c>
      <c r="T364">
        <v>861384158.10810816</v>
      </c>
      <c r="U364">
        <v>58712477.477477469</v>
      </c>
      <c r="V364">
        <v>80902027.027027026</v>
      </c>
      <c r="W364">
        <v>32102</v>
      </c>
      <c r="X364">
        <v>31753</v>
      </c>
    </row>
    <row r="365" spans="1:24">
      <c r="A365" s="7" t="s">
        <v>461</v>
      </c>
      <c r="B365" s="16" t="s">
        <v>459</v>
      </c>
      <c r="C365">
        <v>827715266.8071847</v>
      </c>
      <c r="D365">
        <v>848023055.11542618</v>
      </c>
      <c r="E365">
        <v>234292809.90990993</v>
      </c>
      <c r="F365">
        <v>316883063.06306303</v>
      </c>
      <c r="G365">
        <v>379</v>
      </c>
      <c r="H365">
        <v>376</v>
      </c>
      <c r="I365">
        <v>19</v>
      </c>
      <c r="J365">
        <v>25</v>
      </c>
      <c r="K365">
        <v>5</v>
      </c>
      <c r="M365">
        <v>472</v>
      </c>
      <c r="N365">
        <v>498</v>
      </c>
      <c r="O365">
        <v>927636218.01801801</v>
      </c>
      <c r="P365">
        <v>599279594.5945946</v>
      </c>
      <c r="Q365">
        <v>1109</v>
      </c>
      <c r="R365">
        <v>1365</v>
      </c>
      <c r="S365">
        <v>213905644.14414415</v>
      </c>
      <c r="T365">
        <v>237009274.77477479</v>
      </c>
      <c r="U365">
        <v>825312972.97297287</v>
      </c>
      <c r="V365">
        <v>405486981.98198193</v>
      </c>
      <c r="W365">
        <v>24208</v>
      </c>
      <c r="X365">
        <v>23420</v>
      </c>
    </row>
    <row r="366" spans="1:24">
      <c r="A366" s="7" t="s">
        <v>462</v>
      </c>
      <c r="B366" s="16" t="s">
        <v>459</v>
      </c>
      <c r="C366">
        <v>632535877.90792751</v>
      </c>
      <c r="D366">
        <v>616219019.33935547</v>
      </c>
      <c r="E366">
        <v>508018.01801802497</v>
      </c>
      <c r="F366">
        <v>3305405.405405412</v>
      </c>
      <c r="G366">
        <v>215</v>
      </c>
      <c r="H366">
        <v>233</v>
      </c>
      <c r="I366">
        <v>22</v>
      </c>
      <c r="J366">
        <v>17</v>
      </c>
      <c r="K366">
        <v>1</v>
      </c>
      <c r="M366">
        <v>278</v>
      </c>
      <c r="N366">
        <v>282</v>
      </c>
      <c r="O366">
        <v>38336576.576576576</v>
      </c>
      <c r="P366">
        <v>126208693.6936937</v>
      </c>
      <c r="Q366">
        <v>280</v>
      </c>
      <c r="R366">
        <v>237</v>
      </c>
      <c r="S366">
        <v>138548295.4954955</v>
      </c>
      <c r="T366">
        <v>141758036.03603604</v>
      </c>
      <c r="U366">
        <v>40699819.819819815</v>
      </c>
      <c r="V366">
        <v>54449144.144144148</v>
      </c>
      <c r="W366">
        <v>19077</v>
      </c>
      <c r="X366">
        <v>18858</v>
      </c>
    </row>
    <row r="367" spans="1:24">
      <c r="A367" s="7" t="s">
        <v>463</v>
      </c>
      <c r="B367" s="16" t="s">
        <v>459</v>
      </c>
      <c r="C367">
        <v>593011647.33813357</v>
      </c>
      <c r="D367">
        <v>597506085.42848063</v>
      </c>
      <c r="E367">
        <v>1411711.7117117159</v>
      </c>
      <c r="F367">
        <v>9996621.6216216236</v>
      </c>
      <c r="G367">
        <v>257</v>
      </c>
      <c r="H367">
        <v>514</v>
      </c>
      <c r="I367">
        <v>26</v>
      </c>
      <c r="J367">
        <v>43</v>
      </c>
      <c r="M367">
        <v>319</v>
      </c>
      <c r="N367">
        <v>665</v>
      </c>
      <c r="O367">
        <v>43232702.702702694</v>
      </c>
      <c r="P367">
        <v>151988648.64864865</v>
      </c>
      <c r="Q367">
        <v>388</v>
      </c>
      <c r="R367">
        <v>534</v>
      </c>
      <c r="S367">
        <v>221012756.75675678</v>
      </c>
      <c r="T367">
        <v>240010484.23423424</v>
      </c>
      <c r="U367">
        <v>41212342.342342339</v>
      </c>
      <c r="V367">
        <v>95557207.207207218</v>
      </c>
      <c r="W367">
        <v>26603</v>
      </c>
      <c r="X367">
        <v>26306</v>
      </c>
    </row>
    <row r="368" spans="1:24">
      <c r="A368" s="7" t="s">
        <v>464</v>
      </c>
      <c r="B368" s="16" t="s">
        <v>459</v>
      </c>
      <c r="C368">
        <v>662070965.55627537</v>
      </c>
      <c r="D368">
        <v>691883425.86505079</v>
      </c>
      <c r="E368">
        <v>1197160931.5315316</v>
      </c>
      <c r="F368">
        <v>1500381053.1531532</v>
      </c>
      <c r="G368">
        <v>322</v>
      </c>
      <c r="H368">
        <v>266</v>
      </c>
      <c r="I368">
        <v>32</v>
      </c>
      <c r="J368">
        <v>38</v>
      </c>
      <c r="M368">
        <v>385</v>
      </c>
      <c r="N368">
        <v>331</v>
      </c>
      <c r="O368">
        <v>99170495.495495483</v>
      </c>
      <c r="P368">
        <v>90013184.684684694</v>
      </c>
      <c r="Q368">
        <v>1284</v>
      </c>
      <c r="R368">
        <v>513</v>
      </c>
      <c r="S368">
        <v>287997457.65765768</v>
      </c>
      <c r="T368">
        <v>297363466.21621621</v>
      </c>
      <c r="U368">
        <v>90916936.936936945</v>
      </c>
      <c r="V368">
        <v>90457657.657657653</v>
      </c>
      <c r="W368">
        <v>28036</v>
      </c>
      <c r="X368">
        <v>28198</v>
      </c>
    </row>
    <row r="369" spans="1:24">
      <c r="A369" s="7" t="s">
        <v>465</v>
      </c>
      <c r="B369" s="16" t="s">
        <v>54</v>
      </c>
      <c r="C369">
        <v>46782962.515207246</v>
      </c>
      <c r="D369">
        <v>44486191.560573138</v>
      </c>
      <c r="E369">
        <v>213738.73873873899</v>
      </c>
      <c r="F369">
        <v>166666.666666668</v>
      </c>
      <c r="G369">
        <v>5</v>
      </c>
      <c r="H369">
        <v>12</v>
      </c>
      <c r="I369">
        <v>1</v>
      </c>
      <c r="J369">
        <v>2</v>
      </c>
      <c r="M369">
        <v>6</v>
      </c>
      <c r="N369">
        <v>19</v>
      </c>
      <c r="O369">
        <v>4082882.8828828819</v>
      </c>
      <c r="P369">
        <v>4241261.261261262</v>
      </c>
      <c r="Q369">
        <v>34</v>
      </c>
      <c r="R369">
        <v>18</v>
      </c>
      <c r="S369">
        <v>9653603.6036036033</v>
      </c>
      <c r="T369">
        <v>9345711.7117117122</v>
      </c>
      <c r="U369">
        <v>4418468.4684684677</v>
      </c>
      <c r="V369">
        <v>4141801.8018018012</v>
      </c>
      <c r="W369">
        <v>1232</v>
      </c>
      <c r="X369">
        <v>1216</v>
      </c>
    </row>
    <row r="370" spans="1:24">
      <c r="A370" s="7" t="s">
        <v>466</v>
      </c>
      <c r="B370" s="16" t="s">
        <v>87</v>
      </c>
      <c r="C370">
        <v>1987280.397481875</v>
      </c>
      <c r="D370">
        <v>1698139.673734827</v>
      </c>
      <c r="F370">
        <v>3603603.6036036038</v>
      </c>
      <c r="O370">
        <v>148648.64864864899</v>
      </c>
      <c r="S370">
        <v>336486.48648648598</v>
      </c>
      <c r="T370">
        <v>295945.94594594598</v>
      </c>
      <c r="W370">
        <v>78</v>
      </c>
      <c r="X370">
        <v>98</v>
      </c>
    </row>
    <row r="371" spans="1:24">
      <c r="A371" s="7" t="s">
        <v>467</v>
      </c>
      <c r="B371" s="16" t="s">
        <v>143</v>
      </c>
      <c r="C371">
        <v>226643780.96117255</v>
      </c>
      <c r="D371">
        <v>213006585.69288579</v>
      </c>
      <c r="E371">
        <v>70270.270270270004</v>
      </c>
      <c r="F371">
        <v>248648.64864865001</v>
      </c>
      <c r="G371">
        <v>70</v>
      </c>
      <c r="H371">
        <v>62</v>
      </c>
      <c r="I371">
        <v>2</v>
      </c>
      <c r="J371">
        <v>3</v>
      </c>
      <c r="M371">
        <v>76</v>
      </c>
      <c r="N371">
        <v>70</v>
      </c>
      <c r="O371">
        <v>14700900.9009009</v>
      </c>
      <c r="P371">
        <v>9978378.3783783801</v>
      </c>
      <c r="Q371">
        <v>34</v>
      </c>
      <c r="S371">
        <v>35002378.378378376</v>
      </c>
      <c r="T371">
        <v>32621050.450450446</v>
      </c>
      <c r="U371">
        <v>12190720.72072072</v>
      </c>
      <c r="V371">
        <v>8479369.369369369</v>
      </c>
      <c r="W371">
        <v>4970</v>
      </c>
      <c r="X371">
        <v>4819</v>
      </c>
    </row>
    <row r="372" spans="1:24">
      <c r="A372" s="7" t="s">
        <v>468</v>
      </c>
      <c r="B372" s="16" t="s">
        <v>80</v>
      </c>
      <c r="C372">
        <v>199374826.92588514</v>
      </c>
      <c r="D372">
        <v>187993348.6639601</v>
      </c>
      <c r="E372">
        <v>240315.31531531599</v>
      </c>
      <c r="F372">
        <v>44594.594594595997</v>
      </c>
      <c r="G372">
        <v>33</v>
      </c>
      <c r="H372">
        <v>36</v>
      </c>
      <c r="I372">
        <v>2</v>
      </c>
      <c r="J372">
        <v>0</v>
      </c>
      <c r="M372">
        <v>37</v>
      </c>
      <c r="N372">
        <v>39</v>
      </c>
      <c r="O372">
        <v>6944954.9549549548</v>
      </c>
      <c r="P372">
        <v>3853603.6036036029</v>
      </c>
      <c r="Q372">
        <v>17</v>
      </c>
      <c r="R372">
        <v>3</v>
      </c>
      <c r="S372">
        <v>74055241.441441447</v>
      </c>
      <c r="T372">
        <v>71144702.702702701</v>
      </c>
      <c r="U372">
        <v>6771081.0810810821</v>
      </c>
      <c r="V372">
        <v>4189909.9099099101</v>
      </c>
      <c r="W372">
        <v>5194</v>
      </c>
      <c r="X372">
        <v>5097</v>
      </c>
    </row>
    <row r="373" spans="1:24">
      <c r="A373" s="7" t="s">
        <v>469</v>
      </c>
      <c r="B373" s="16" t="s">
        <v>470</v>
      </c>
      <c r="C373">
        <v>215827081.10354096</v>
      </c>
      <c r="D373">
        <v>223255611.05681467</v>
      </c>
      <c r="E373">
        <v>1055585.585585586</v>
      </c>
      <c r="F373">
        <v>1301801.8018018031</v>
      </c>
      <c r="G373">
        <v>44</v>
      </c>
      <c r="H373">
        <v>22</v>
      </c>
      <c r="I373">
        <v>1</v>
      </c>
      <c r="J373">
        <v>1</v>
      </c>
      <c r="M373">
        <v>47</v>
      </c>
      <c r="N373">
        <v>24</v>
      </c>
      <c r="O373">
        <v>9092342.3423423432</v>
      </c>
      <c r="P373">
        <v>16202702.702702705</v>
      </c>
      <c r="S373">
        <v>65556918.918918923</v>
      </c>
      <c r="T373">
        <v>69082054.054054052</v>
      </c>
      <c r="U373">
        <v>9824144.1441441476</v>
      </c>
      <c r="V373">
        <v>16322702.702702705</v>
      </c>
      <c r="W373">
        <v>5308</v>
      </c>
      <c r="X373">
        <v>5558</v>
      </c>
    </row>
    <row r="374" spans="1:24">
      <c r="A374" s="7" t="s">
        <v>471</v>
      </c>
      <c r="B374" s="16" t="s">
        <v>470</v>
      </c>
      <c r="C374">
        <v>20297022.850430325</v>
      </c>
      <c r="D374">
        <v>17716113.230335124</v>
      </c>
      <c r="E374">
        <v>32301126.126126129</v>
      </c>
      <c r="F374">
        <v>83240540.540540546</v>
      </c>
      <c r="G374">
        <v>4</v>
      </c>
      <c r="I374">
        <v>0</v>
      </c>
      <c r="J374">
        <v>1</v>
      </c>
      <c r="M374">
        <v>4</v>
      </c>
      <c r="N374">
        <v>1</v>
      </c>
      <c r="O374">
        <v>11669189.18918919</v>
      </c>
      <c r="P374">
        <v>2384684.684684685</v>
      </c>
      <c r="S374">
        <v>1569909.9099099101</v>
      </c>
      <c r="T374">
        <v>1673018.018018018</v>
      </c>
      <c r="U374">
        <v>47567.567567568003</v>
      </c>
      <c r="V374">
        <v>1836936.936936937</v>
      </c>
      <c r="W374">
        <v>632</v>
      </c>
      <c r="X374">
        <v>611</v>
      </c>
    </row>
    <row r="375" spans="1:24">
      <c r="A375" s="7" t="s">
        <v>472</v>
      </c>
      <c r="B375" s="16" t="s">
        <v>470</v>
      </c>
      <c r="C375">
        <v>2701269.6615675711</v>
      </c>
      <c r="D375">
        <v>2341141.1526179379</v>
      </c>
      <c r="E375">
        <v>1801.801801802</v>
      </c>
      <c r="F375">
        <v>260360.360360361</v>
      </c>
      <c r="H375">
        <v>1</v>
      </c>
      <c r="J375">
        <v>1</v>
      </c>
      <c r="N375">
        <v>1</v>
      </c>
      <c r="O375">
        <v>96936.936936936996</v>
      </c>
      <c r="P375">
        <v>1954054.054054054</v>
      </c>
      <c r="S375">
        <v>363513.51351351402</v>
      </c>
      <c r="T375">
        <v>502972.97297297302</v>
      </c>
      <c r="U375">
        <v>232072.072072073</v>
      </c>
      <c r="V375">
        <v>1693693.693693694</v>
      </c>
      <c r="W375">
        <v>271</v>
      </c>
      <c r="X375">
        <v>331</v>
      </c>
    </row>
    <row r="376" spans="1:24">
      <c r="A376" s="7" t="s">
        <v>473</v>
      </c>
      <c r="B376" s="16" t="s">
        <v>470</v>
      </c>
      <c r="C376">
        <v>73437910.484299541</v>
      </c>
      <c r="D376">
        <v>78425774.247758061</v>
      </c>
      <c r="E376">
        <v>370270.27027027</v>
      </c>
      <c r="F376">
        <v>295495.49549549498</v>
      </c>
      <c r="G376">
        <v>16</v>
      </c>
      <c r="H376">
        <v>11</v>
      </c>
      <c r="I376">
        <v>2</v>
      </c>
      <c r="J376">
        <v>1</v>
      </c>
      <c r="M376">
        <v>18</v>
      </c>
      <c r="N376">
        <v>12</v>
      </c>
      <c r="O376">
        <v>744684.68468468497</v>
      </c>
      <c r="P376">
        <v>24691891.891891893</v>
      </c>
      <c r="Q376">
        <v>1</v>
      </c>
      <c r="S376">
        <v>10106162.162162162</v>
      </c>
      <c r="T376">
        <v>10885666.666666668</v>
      </c>
      <c r="U376">
        <v>5171081.0810810821</v>
      </c>
      <c r="V376">
        <v>14206126.126126125</v>
      </c>
      <c r="W376">
        <v>2192</v>
      </c>
      <c r="X376">
        <v>2100</v>
      </c>
    </row>
    <row r="377" spans="1:24">
      <c r="A377" s="7" t="s">
        <v>474</v>
      </c>
      <c r="B377" s="16" t="s">
        <v>470</v>
      </c>
      <c r="C377">
        <v>105695810.98852569</v>
      </c>
      <c r="D377">
        <v>110338557.76892272</v>
      </c>
      <c r="E377">
        <v>215855.855855856</v>
      </c>
      <c r="F377">
        <v>738738.73873873998</v>
      </c>
      <c r="G377">
        <v>20</v>
      </c>
      <c r="H377">
        <v>29</v>
      </c>
      <c r="I377">
        <v>0</v>
      </c>
      <c r="J377">
        <v>3</v>
      </c>
      <c r="M377">
        <v>22</v>
      </c>
      <c r="N377">
        <v>30</v>
      </c>
      <c r="O377">
        <v>3665945.9459459479</v>
      </c>
      <c r="P377">
        <v>6279279.2792792786</v>
      </c>
      <c r="R377">
        <v>1</v>
      </c>
      <c r="S377">
        <v>24064819.819819819</v>
      </c>
      <c r="T377">
        <v>24282531.531531531</v>
      </c>
      <c r="U377">
        <v>3259009.0090090111</v>
      </c>
      <c r="V377">
        <v>6578018.0180180185</v>
      </c>
      <c r="W377">
        <v>2351</v>
      </c>
      <c r="X377">
        <v>2332</v>
      </c>
    </row>
    <row r="378" spans="1:24">
      <c r="A378" s="7" t="s">
        <v>475</v>
      </c>
      <c r="B378" s="16" t="s">
        <v>470</v>
      </c>
      <c r="C378">
        <v>41121299.116910093</v>
      </c>
      <c r="D378">
        <v>40461458.687113032</v>
      </c>
      <c r="E378">
        <v>5405.4054054050002</v>
      </c>
      <c r="F378">
        <v>319819.81981982099</v>
      </c>
      <c r="G378">
        <v>7</v>
      </c>
      <c r="H378">
        <v>4</v>
      </c>
      <c r="I378">
        <v>0</v>
      </c>
      <c r="J378">
        <v>5</v>
      </c>
      <c r="M378">
        <v>7</v>
      </c>
      <c r="N378">
        <v>4</v>
      </c>
      <c r="O378">
        <v>1463423.4234234251</v>
      </c>
      <c r="P378">
        <v>5797297.2972972989</v>
      </c>
      <c r="S378">
        <v>9169189.1891891882</v>
      </c>
      <c r="T378">
        <v>8372313.5135135129</v>
      </c>
      <c r="U378">
        <v>2849189.1891891882</v>
      </c>
      <c r="V378">
        <v>5248198.1981981974</v>
      </c>
      <c r="W378">
        <v>1359</v>
      </c>
      <c r="X378">
        <v>1387</v>
      </c>
    </row>
    <row r="379" spans="1:24">
      <c r="A379" s="7" t="s">
        <v>476</v>
      </c>
      <c r="B379" s="16" t="s">
        <v>470</v>
      </c>
      <c r="C379">
        <v>406169454.30021125</v>
      </c>
      <c r="D379">
        <v>417794122.45005387</v>
      </c>
      <c r="E379">
        <v>2252387.3873873898</v>
      </c>
      <c r="F379">
        <v>7433333.3333333395</v>
      </c>
      <c r="G379">
        <v>165</v>
      </c>
      <c r="H379">
        <v>173</v>
      </c>
      <c r="I379">
        <v>15</v>
      </c>
      <c r="J379">
        <v>40</v>
      </c>
      <c r="M379">
        <v>183</v>
      </c>
      <c r="N379">
        <v>283</v>
      </c>
      <c r="O379">
        <v>70308288.288288295</v>
      </c>
      <c r="P379">
        <v>105898288.2882883</v>
      </c>
      <c r="Q379">
        <v>115</v>
      </c>
      <c r="R379">
        <v>46</v>
      </c>
      <c r="S379">
        <v>99585661.261261269</v>
      </c>
      <c r="T379">
        <v>109240412.61261261</v>
      </c>
      <c r="U379">
        <v>70939009.009009004</v>
      </c>
      <c r="V379">
        <v>101871891.89189188</v>
      </c>
      <c r="W379">
        <v>15744</v>
      </c>
      <c r="X379">
        <v>16130</v>
      </c>
    </row>
    <row r="380" spans="1:24">
      <c r="A380" s="7" t="s">
        <v>477</v>
      </c>
      <c r="B380" s="16" t="s">
        <v>260</v>
      </c>
      <c r="C380">
        <v>503183982.55978763</v>
      </c>
      <c r="D380">
        <v>519025732.72540146</v>
      </c>
      <c r="E380">
        <v>836126.12612612697</v>
      </c>
      <c r="F380">
        <v>2097522.5225225231</v>
      </c>
      <c r="G380">
        <v>92</v>
      </c>
      <c r="H380">
        <v>101</v>
      </c>
      <c r="I380">
        <v>1</v>
      </c>
      <c r="J380">
        <v>5</v>
      </c>
      <c r="M380">
        <v>98</v>
      </c>
      <c r="N380">
        <v>118</v>
      </c>
      <c r="O380">
        <v>63799189.189189181</v>
      </c>
      <c r="P380">
        <v>57972072.072072074</v>
      </c>
      <c r="Q380">
        <v>140</v>
      </c>
      <c r="R380">
        <v>3</v>
      </c>
      <c r="S380">
        <v>125881882.88288288</v>
      </c>
      <c r="T380">
        <v>135463373.87387386</v>
      </c>
      <c r="U380">
        <v>65140270.270270273</v>
      </c>
      <c r="V380">
        <v>60985855.855855852</v>
      </c>
      <c r="W380">
        <v>11562</v>
      </c>
      <c r="X380">
        <v>11029</v>
      </c>
    </row>
    <row r="381" spans="1:24">
      <c r="A381" s="7" t="s">
        <v>478</v>
      </c>
      <c r="B381" s="16" t="s">
        <v>479</v>
      </c>
      <c r="C381">
        <v>40471401.544758759</v>
      </c>
      <c r="D381">
        <v>34371192.489271358</v>
      </c>
      <c r="E381">
        <v>534234.23423423397</v>
      </c>
      <c r="F381">
        <v>406306.30630630697</v>
      </c>
      <c r="G381">
        <v>15</v>
      </c>
      <c r="H381">
        <v>9</v>
      </c>
      <c r="I381">
        <v>1</v>
      </c>
      <c r="J381">
        <v>1</v>
      </c>
      <c r="M381">
        <v>15</v>
      </c>
      <c r="N381">
        <v>10</v>
      </c>
      <c r="O381">
        <v>20046846.846846849</v>
      </c>
      <c r="P381">
        <v>11525675.675675675</v>
      </c>
      <c r="Q381">
        <v>1</v>
      </c>
      <c r="S381">
        <v>9672747.7477477472</v>
      </c>
      <c r="T381">
        <v>8253378.3783783782</v>
      </c>
      <c r="U381">
        <v>20218918.918918919</v>
      </c>
      <c r="V381">
        <v>11554684.684684685</v>
      </c>
      <c r="W381">
        <v>908</v>
      </c>
      <c r="X381">
        <v>783</v>
      </c>
    </row>
    <row r="382" spans="1:24">
      <c r="A382" s="7" t="s">
        <v>480</v>
      </c>
      <c r="B382" s="16" t="s">
        <v>123</v>
      </c>
      <c r="C382">
        <v>271755415.47658139</v>
      </c>
      <c r="D382">
        <v>263909387.44476983</v>
      </c>
      <c r="E382">
        <v>1471621.621621622</v>
      </c>
      <c r="F382">
        <v>1656756.7567567581</v>
      </c>
      <c r="G382">
        <v>46</v>
      </c>
      <c r="H382">
        <v>56</v>
      </c>
      <c r="I382">
        <v>4</v>
      </c>
      <c r="J382">
        <v>6</v>
      </c>
      <c r="M382">
        <v>57</v>
      </c>
      <c r="N382">
        <v>60</v>
      </c>
      <c r="O382">
        <v>19070720.72072072</v>
      </c>
      <c r="P382">
        <v>14698108.108108105</v>
      </c>
      <c r="Q382">
        <v>46</v>
      </c>
      <c r="R382">
        <v>41</v>
      </c>
      <c r="S382">
        <v>101651747.74774775</v>
      </c>
      <c r="T382">
        <v>98889346.846846849</v>
      </c>
      <c r="U382">
        <v>19266846.846846849</v>
      </c>
      <c r="V382">
        <v>15581981.98198198</v>
      </c>
      <c r="W382">
        <v>5504</v>
      </c>
      <c r="X382">
        <v>5603</v>
      </c>
    </row>
    <row r="383" spans="1:24">
      <c r="A383" s="7" t="s">
        <v>481</v>
      </c>
      <c r="B383" s="16" t="s">
        <v>470</v>
      </c>
      <c r="C383">
        <v>22017713.478189927</v>
      </c>
      <c r="D383">
        <v>20892877.619565342</v>
      </c>
      <c r="E383">
        <v>61848962.162162162</v>
      </c>
      <c r="F383">
        <v>145462218.01801801</v>
      </c>
      <c r="G383">
        <v>4</v>
      </c>
      <c r="H383">
        <v>3</v>
      </c>
      <c r="I383">
        <v>1</v>
      </c>
      <c r="J383">
        <v>2</v>
      </c>
      <c r="M383">
        <v>4</v>
      </c>
      <c r="N383">
        <v>4</v>
      </c>
      <c r="O383">
        <v>16575559.459459459</v>
      </c>
      <c r="P383">
        <v>25064560.360360362</v>
      </c>
      <c r="R383">
        <v>2</v>
      </c>
      <c r="S383">
        <v>3227648.648648649</v>
      </c>
      <c r="T383">
        <v>3305081.0810810812</v>
      </c>
      <c r="U383">
        <v>748198.19819819799</v>
      </c>
      <c r="V383">
        <v>741531.53153153101</v>
      </c>
      <c r="W383">
        <v>601</v>
      </c>
      <c r="X383">
        <v>591</v>
      </c>
    </row>
    <row r="384" spans="1:24">
      <c r="A384" s="7" t="s">
        <v>674</v>
      </c>
      <c r="B384" s="16" t="s">
        <v>85</v>
      </c>
      <c r="E384">
        <v>271435039.63963968</v>
      </c>
      <c r="F384">
        <v>146728240.54054055</v>
      </c>
      <c r="P384">
        <v>31894594.594594598</v>
      </c>
    </row>
    <row r="385" spans="1:24">
      <c r="A385" s="7" t="s">
        <v>482</v>
      </c>
      <c r="B385" s="16" t="s">
        <v>167</v>
      </c>
      <c r="C385">
        <v>224142808.90986729</v>
      </c>
      <c r="D385">
        <v>217541093.52925757</v>
      </c>
      <c r="E385">
        <v>363963.96396396501</v>
      </c>
      <c r="F385">
        <v>2459459.4594594622</v>
      </c>
      <c r="G385">
        <v>139</v>
      </c>
      <c r="H385">
        <v>194</v>
      </c>
      <c r="I385">
        <v>13</v>
      </c>
      <c r="J385">
        <v>8</v>
      </c>
      <c r="M385">
        <v>172</v>
      </c>
      <c r="N385">
        <v>276</v>
      </c>
      <c r="O385">
        <v>16345945.945945945</v>
      </c>
      <c r="P385">
        <v>19448685.585585587</v>
      </c>
      <c r="Q385">
        <v>122</v>
      </c>
      <c r="R385">
        <v>2</v>
      </c>
      <c r="S385">
        <v>88072924.324324325</v>
      </c>
      <c r="T385">
        <v>90089842.342342332</v>
      </c>
      <c r="U385">
        <v>16898288.288288288</v>
      </c>
      <c r="V385">
        <v>17801081.081081085</v>
      </c>
      <c r="W385">
        <v>9127</v>
      </c>
      <c r="X385">
        <v>8537</v>
      </c>
    </row>
    <row r="386" spans="1:24">
      <c r="A386" s="7" t="s">
        <v>483</v>
      </c>
      <c r="B386" s="16" t="s">
        <v>167</v>
      </c>
      <c r="C386">
        <v>222901158.2087025</v>
      </c>
      <c r="D386">
        <v>247405772.61507732</v>
      </c>
      <c r="E386">
        <v>503441574.77477479</v>
      </c>
      <c r="F386">
        <v>475638795.4954955</v>
      </c>
      <c r="G386">
        <v>267</v>
      </c>
      <c r="H386">
        <v>439</v>
      </c>
      <c r="I386">
        <v>13</v>
      </c>
      <c r="J386">
        <v>12</v>
      </c>
      <c r="M386">
        <v>410</v>
      </c>
      <c r="N386">
        <v>888</v>
      </c>
      <c r="O386">
        <v>42850900.900900893</v>
      </c>
      <c r="P386">
        <v>39977703.603603616</v>
      </c>
      <c r="Q386">
        <v>132</v>
      </c>
      <c r="R386">
        <v>15</v>
      </c>
      <c r="S386">
        <v>87104684.684684694</v>
      </c>
      <c r="T386">
        <v>93646786.48648648</v>
      </c>
      <c r="U386">
        <v>40155675.675675675</v>
      </c>
      <c r="V386">
        <v>31526980.180180185</v>
      </c>
      <c r="W386">
        <v>9033</v>
      </c>
      <c r="X386">
        <v>9944</v>
      </c>
    </row>
    <row r="387" spans="1:24">
      <c r="A387" s="7" t="s">
        <v>484</v>
      </c>
      <c r="B387" s="16" t="s">
        <v>50</v>
      </c>
      <c r="C387">
        <v>152297877.58070526</v>
      </c>
      <c r="D387">
        <v>147953478.78018212</v>
      </c>
      <c r="E387">
        <v>916756.75675675902</v>
      </c>
      <c r="F387">
        <v>1816216.216216218</v>
      </c>
      <c r="G387">
        <v>64</v>
      </c>
      <c r="H387">
        <v>44</v>
      </c>
      <c r="I387">
        <v>7</v>
      </c>
      <c r="J387">
        <v>8</v>
      </c>
      <c r="M387">
        <v>66</v>
      </c>
      <c r="N387">
        <v>47</v>
      </c>
      <c r="O387">
        <v>38362702.702702701</v>
      </c>
      <c r="P387">
        <v>21141711.711711712</v>
      </c>
      <c r="Q387">
        <v>168</v>
      </c>
      <c r="R387">
        <v>29</v>
      </c>
      <c r="S387">
        <v>66855540.540540546</v>
      </c>
      <c r="T387">
        <v>65993304.504504502</v>
      </c>
      <c r="U387">
        <v>37599909.909909911</v>
      </c>
      <c r="V387">
        <v>19886306.306306303</v>
      </c>
      <c r="W387">
        <v>3660</v>
      </c>
      <c r="X387">
        <v>3626</v>
      </c>
    </row>
    <row r="388" spans="1:24">
      <c r="A388" s="7" t="s">
        <v>485</v>
      </c>
      <c r="B388" s="16" t="s">
        <v>134</v>
      </c>
      <c r="C388">
        <v>212062487.71643281</v>
      </c>
      <c r="D388">
        <v>198571935.31201184</v>
      </c>
      <c r="E388">
        <v>618018.01801801904</v>
      </c>
      <c r="F388">
        <v>1119819.819819821</v>
      </c>
      <c r="G388">
        <v>54</v>
      </c>
      <c r="H388">
        <v>35</v>
      </c>
      <c r="I388">
        <v>10</v>
      </c>
      <c r="J388">
        <v>4</v>
      </c>
      <c r="M388">
        <v>60</v>
      </c>
      <c r="N388">
        <v>36</v>
      </c>
      <c r="O388">
        <v>35982882.882882886</v>
      </c>
      <c r="P388">
        <v>29943243.243243244</v>
      </c>
      <c r="Q388">
        <v>132</v>
      </c>
      <c r="R388">
        <v>1</v>
      </c>
      <c r="S388">
        <v>38708153.153153151</v>
      </c>
      <c r="T388">
        <v>37876646.846846849</v>
      </c>
      <c r="U388">
        <v>21920360.360360362</v>
      </c>
      <c r="V388">
        <v>16821621.621621624</v>
      </c>
      <c r="W388">
        <v>4752</v>
      </c>
      <c r="X388">
        <v>4566</v>
      </c>
    </row>
    <row r="389" spans="1:24">
      <c r="A389" s="7" t="s">
        <v>486</v>
      </c>
      <c r="B389" s="16" t="s">
        <v>76</v>
      </c>
      <c r="C389">
        <v>52448536.095196225</v>
      </c>
      <c r="D389">
        <v>41016643.952749431</v>
      </c>
      <c r="E389">
        <v>1375675.675675676</v>
      </c>
      <c r="F389">
        <v>909909.90990991099</v>
      </c>
      <c r="G389">
        <v>10</v>
      </c>
      <c r="H389">
        <v>10</v>
      </c>
      <c r="I389">
        <v>1</v>
      </c>
      <c r="J389">
        <v>2</v>
      </c>
      <c r="M389">
        <v>12</v>
      </c>
      <c r="N389">
        <v>12</v>
      </c>
      <c r="O389">
        <v>21452252.252252255</v>
      </c>
      <c r="P389">
        <v>9911801.8018018026</v>
      </c>
      <c r="Q389">
        <v>7</v>
      </c>
      <c r="R389">
        <v>35</v>
      </c>
      <c r="S389">
        <v>20104968.468468469</v>
      </c>
      <c r="T389">
        <v>16934176.576576576</v>
      </c>
      <c r="U389">
        <v>20865855.855855856</v>
      </c>
      <c r="V389">
        <v>8995401.8018018026</v>
      </c>
      <c r="W389">
        <v>1459</v>
      </c>
      <c r="X389">
        <v>1504</v>
      </c>
    </row>
    <row r="390" spans="1:24">
      <c r="A390" s="7" t="s">
        <v>487</v>
      </c>
      <c r="B390" s="16" t="s">
        <v>307</v>
      </c>
      <c r="C390">
        <v>321430276.75199038</v>
      </c>
      <c r="D390">
        <v>341186027.11847794</v>
      </c>
      <c r="E390">
        <v>620720.72072072094</v>
      </c>
      <c r="F390">
        <v>3460360.3603603649</v>
      </c>
      <c r="G390">
        <v>130</v>
      </c>
      <c r="H390">
        <v>126</v>
      </c>
      <c r="I390">
        <v>3</v>
      </c>
      <c r="J390">
        <v>7</v>
      </c>
      <c r="M390">
        <v>147</v>
      </c>
      <c r="N390">
        <v>178</v>
      </c>
      <c r="O390">
        <v>47870855.855855845</v>
      </c>
      <c r="P390">
        <v>94929819.819819823</v>
      </c>
      <c r="Q390">
        <v>157</v>
      </c>
      <c r="R390">
        <v>262</v>
      </c>
      <c r="S390">
        <v>131956331.53153154</v>
      </c>
      <c r="T390">
        <v>145785432.43243244</v>
      </c>
      <c r="U390">
        <v>46611261.261261262</v>
      </c>
      <c r="V390">
        <v>67374594.594594598</v>
      </c>
      <c r="W390">
        <v>10928</v>
      </c>
      <c r="X390">
        <v>11587</v>
      </c>
    </row>
    <row r="391" spans="1:24">
      <c r="A391" s="7" t="s">
        <v>488</v>
      </c>
      <c r="B391" s="16" t="s">
        <v>315</v>
      </c>
      <c r="C391">
        <v>90616148.060081035</v>
      </c>
      <c r="D391">
        <v>75882695.677512005</v>
      </c>
      <c r="E391">
        <v>587387.38738738804</v>
      </c>
      <c r="F391">
        <v>1020720.720720722</v>
      </c>
      <c r="G391">
        <v>21</v>
      </c>
      <c r="H391">
        <v>5</v>
      </c>
      <c r="I391">
        <v>2</v>
      </c>
      <c r="J391">
        <v>1</v>
      </c>
      <c r="M391">
        <v>21</v>
      </c>
      <c r="N391">
        <v>6</v>
      </c>
      <c r="O391">
        <v>43058738.738738738</v>
      </c>
      <c r="P391">
        <v>36894504.504504502</v>
      </c>
      <c r="S391">
        <v>38304441.441441439</v>
      </c>
      <c r="T391">
        <v>32441936.936936937</v>
      </c>
      <c r="U391">
        <v>42337567.567567565</v>
      </c>
      <c r="V391">
        <v>34580180.180180177</v>
      </c>
      <c r="W391">
        <v>1670</v>
      </c>
      <c r="X391">
        <v>1746</v>
      </c>
    </row>
    <row r="392" spans="1:24">
      <c r="A392" s="7" t="s">
        <v>489</v>
      </c>
      <c r="B392" s="16" t="s">
        <v>181</v>
      </c>
      <c r="C392">
        <v>187278050.41648227</v>
      </c>
      <c r="D392">
        <v>178714717.76130074</v>
      </c>
      <c r="E392">
        <v>72972.972972974996</v>
      </c>
      <c r="F392">
        <v>1046396.396396397</v>
      </c>
      <c r="G392">
        <v>96</v>
      </c>
      <c r="H392">
        <v>88</v>
      </c>
      <c r="I392">
        <v>9</v>
      </c>
      <c r="J392">
        <v>8</v>
      </c>
      <c r="M392">
        <v>106</v>
      </c>
      <c r="N392">
        <v>137</v>
      </c>
      <c r="O392">
        <v>15576846.846846849</v>
      </c>
      <c r="P392">
        <v>11796036.036036037</v>
      </c>
      <c r="Q392">
        <v>143</v>
      </c>
      <c r="R392">
        <v>234</v>
      </c>
      <c r="S392">
        <v>49654126.126126125</v>
      </c>
      <c r="T392">
        <v>53390747.747747742</v>
      </c>
      <c r="U392">
        <v>14364954.954954956</v>
      </c>
      <c r="V392">
        <v>12043423.423423423</v>
      </c>
      <c r="W392">
        <v>6678</v>
      </c>
      <c r="X392">
        <v>6655</v>
      </c>
    </row>
    <row r="393" spans="1:24">
      <c r="A393" s="7" t="s">
        <v>675</v>
      </c>
      <c r="B393" s="16" t="s">
        <v>66</v>
      </c>
      <c r="E393">
        <v>135629279.27927929</v>
      </c>
      <c r="F393">
        <v>242972972.97297296</v>
      </c>
      <c r="O393">
        <v>21330180.180180181</v>
      </c>
      <c r="P393">
        <v>8827477.4774774779</v>
      </c>
    </row>
    <row r="394" spans="1:24">
      <c r="A394" s="7" t="s">
        <v>490</v>
      </c>
      <c r="B394" s="16" t="s">
        <v>220</v>
      </c>
      <c r="C394">
        <v>109173010.68577571</v>
      </c>
      <c r="D394">
        <v>102488922.26900345</v>
      </c>
      <c r="E394">
        <v>8108.1081081080001</v>
      </c>
      <c r="F394">
        <v>60360.360360359999</v>
      </c>
      <c r="G394">
        <v>37</v>
      </c>
      <c r="H394">
        <v>33</v>
      </c>
      <c r="I394">
        <v>1</v>
      </c>
      <c r="J394">
        <v>2</v>
      </c>
      <c r="M394">
        <v>46</v>
      </c>
      <c r="N394">
        <v>44</v>
      </c>
      <c r="O394">
        <v>4825405.4054054068</v>
      </c>
      <c r="P394">
        <v>2269369.3693693699</v>
      </c>
      <c r="Q394">
        <v>40</v>
      </c>
      <c r="S394">
        <v>27589657.657657661</v>
      </c>
      <c r="T394">
        <v>25396169.369369369</v>
      </c>
      <c r="U394">
        <v>3529459.4594594608</v>
      </c>
      <c r="V394">
        <v>1531981.9819819829</v>
      </c>
      <c r="W394">
        <v>3988</v>
      </c>
      <c r="X394">
        <v>3926</v>
      </c>
    </row>
    <row r="395" spans="1:24">
      <c r="A395" s="7" t="s">
        <v>491</v>
      </c>
      <c r="B395" s="16" t="s">
        <v>220</v>
      </c>
      <c r="C395">
        <v>29618441.969068579</v>
      </c>
      <c r="D395">
        <v>34715245.073281892</v>
      </c>
      <c r="E395">
        <v>430642834.23423421</v>
      </c>
      <c r="F395">
        <v>354966951.35135138</v>
      </c>
      <c r="G395">
        <v>28</v>
      </c>
      <c r="H395">
        <v>20</v>
      </c>
      <c r="I395">
        <v>2</v>
      </c>
      <c r="J395">
        <v>1</v>
      </c>
      <c r="M395">
        <v>31</v>
      </c>
      <c r="N395">
        <v>22</v>
      </c>
      <c r="O395">
        <v>22909909.909909911</v>
      </c>
      <c r="P395">
        <v>26025675.675675675</v>
      </c>
      <c r="Q395">
        <v>34</v>
      </c>
      <c r="R395">
        <v>1</v>
      </c>
      <c r="S395">
        <v>9775540.5405405406</v>
      </c>
      <c r="T395">
        <v>10300396.396396397</v>
      </c>
      <c r="U395">
        <v>8326936.9369369363</v>
      </c>
      <c r="V395">
        <v>14552432.432432432</v>
      </c>
      <c r="W395">
        <v>1266</v>
      </c>
      <c r="X395">
        <v>1200</v>
      </c>
    </row>
    <row r="396" spans="1:24">
      <c r="A396" s="7" t="s">
        <v>492</v>
      </c>
      <c r="B396" s="16" t="s">
        <v>60</v>
      </c>
      <c r="C396">
        <v>131505428.466655</v>
      </c>
      <c r="D396">
        <v>117152001.96043509</v>
      </c>
      <c r="E396">
        <v>894594.594594597</v>
      </c>
      <c r="F396">
        <v>2751351.351351358</v>
      </c>
      <c r="G396">
        <v>30</v>
      </c>
      <c r="H396">
        <v>25</v>
      </c>
      <c r="I396">
        <v>6</v>
      </c>
      <c r="J396">
        <v>20</v>
      </c>
      <c r="M396">
        <v>33</v>
      </c>
      <c r="N396">
        <v>77</v>
      </c>
      <c r="O396">
        <v>32900000</v>
      </c>
      <c r="P396">
        <v>28066396.396396395</v>
      </c>
      <c r="Q396">
        <v>134</v>
      </c>
      <c r="R396">
        <v>76</v>
      </c>
      <c r="S396">
        <v>57012927.927927926</v>
      </c>
      <c r="T396">
        <v>53352387.387387387</v>
      </c>
      <c r="U396">
        <v>28254864.864864863</v>
      </c>
      <c r="V396">
        <v>23980360.360360362</v>
      </c>
      <c r="W396">
        <v>3667</v>
      </c>
      <c r="X396">
        <v>3633</v>
      </c>
    </row>
    <row r="397" spans="1:24">
      <c r="A397" s="7" t="s">
        <v>493</v>
      </c>
      <c r="B397" s="16" t="s">
        <v>448</v>
      </c>
      <c r="C397">
        <v>156457817.24545082</v>
      </c>
      <c r="D397">
        <v>144218301.44559428</v>
      </c>
      <c r="E397">
        <v>111711.711711713</v>
      </c>
      <c r="F397">
        <v>163963.96396396399</v>
      </c>
      <c r="G397">
        <v>93</v>
      </c>
      <c r="H397">
        <v>94</v>
      </c>
      <c r="I397">
        <v>8</v>
      </c>
      <c r="J397">
        <v>2</v>
      </c>
      <c r="M397">
        <v>102</v>
      </c>
      <c r="N397">
        <v>100</v>
      </c>
      <c r="O397">
        <v>15824549.549549548</v>
      </c>
      <c r="P397">
        <v>11463963.963963963</v>
      </c>
      <c r="Q397">
        <v>85</v>
      </c>
      <c r="R397">
        <v>2</v>
      </c>
      <c r="S397">
        <v>56247153.153153151</v>
      </c>
      <c r="T397">
        <v>51941873.873873875</v>
      </c>
      <c r="U397">
        <v>16709234.234234234</v>
      </c>
      <c r="V397">
        <v>11070450.450450452</v>
      </c>
      <c r="W397">
        <v>4973</v>
      </c>
      <c r="X397">
        <v>4921</v>
      </c>
    </row>
    <row r="398" spans="1:24">
      <c r="A398" s="7" t="s">
        <v>7</v>
      </c>
      <c r="B398" s="16" t="s">
        <v>193</v>
      </c>
      <c r="C398">
        <v>113324046.06796649</v>
      </c>
      <c r="D398">
        <v>121494129.77258219</v>
      </c>
      <c r="E398">
        <v>39189.189189188997</v>
      </c>
      <c r="F398">
        <v>248648.64864865001</v>
      </c>
      <c r="G398">
        <v>31</v>
      </c>
      <c r="H398">
        <v>38</v>
      </c>
      <c r="I398">
        <v>14</v>
      </c>
      <c r="J398">
        <v>3</v>
      </c>
      <c r="M398">
        <v>34</v>
      </c>
      <c r="N398">
        <v>47</v>
      </c>
      <c r="O398">
        <v>26419369.369369373</v>
      </c>
      <c r="P398">
        <v>18212612.612612613</v>
      </c>
      <c r="Q398">
        <v>133</v>
      </c>
      <c r="R398">
        <v>52</v>
      </c>
      <c r="S398">
        <v>77407567.567567572</v>
      </c>
      <c r="T398">
        <v>85093027.027027026</v>
      </c>
      <c r="U398">
        <v>27493423.423423428</v>
      </c>
      <c r="V398">
        <v>21324504.504504506</v>
      </c>
      <c r="W398">
        <v>4476</v>
      </c>
      <c r="X398">
        <v>5139</v>
      </c>
    </row>
    <row r="399" spans="1:24">
      <c r="A399" s="7" t="s">
        <v>494</v>
      </c>
      <c r="B399" s="16" t="s">
        <v>330</v>
      </c>
      <c r="C399">
        <v>143210331.85296553</v>
      </c>
      <c r="D399">
        <v>140092136.26945946</v>
      </c>
      <c r="E399">
        <v>14414.414414413999</v>
      </c>
      <c r="F399">
        <v>213513.51351351399</v>
      </c>
      <c r="G399">
        <v>75</v>
      </c>
      <c r="H399">
        <v>60</v>
      </c>
      <c r="I399">
        <v>3</v>
      </c>
      <c r="J399">
        <v>3</v>
      </c>
      <c r="M399">
        <v>85</v>
      </c>
      <c r="N399">
        <v>75</v>
      </c>
      <c r="O399">
        <v>6969369.3693693681</v>
      </c>
      <c r="P399">
        <v>6312612.6126126125</v>
      </c>
      <c r="Q399">
        <v>120</v>
      </c>
      <c r="R399">
        <v>31</v>
      </c>
      <c r="S399">
        <v>37340675.675675683</v>
      </c>
      <c r="T399">
        <v>35179495.495495498</v>
      </c>
      <c r="U399">
        <v>6922972.9729729732</v>
      </c>
      <c r="V399">
        <v>5877027.0270270258</v>
      </c>
      <c r="W399">
        <v>5831</v>
      </c>
      <c r="X399">
        <v>6237</v>
      </c>
    </row>
    <row r="400" spans="1:24">
      <c r="A400" s="7" t="s">
        <v>495</v>
      </c>
      <c r="B400" s="16" t="s">
        <v>330</v>
      </c>
      <c r="C400">
        <v>245508087.57387272</v>
      </c>
      <c r="D400">
        <v>238116919.39550477</v>
      </c>
      <c r="E400">
        <v>56756.756756757</v>
      </c>
      <c r="F400">
        <v>973648.64864865202</v>
      </c>
      <c r="G400">
        <v>87</v>
      </c>
      <c r="H400">
        <v>111</v>
      </c>
      <c r="I400">
        <v>4</v>
      </c>
      <c r="J400">
        <v>9</v>
      </c>
      <c r="M400">
        <v>103</v>
      </c>
      <c r="N400">
        <v>132</v>
      </c>
      <c r="O400">
        <v>7773063.0630630618</v>
      </c>
      <c r="P400">
        <v>7709009.0090090092</v>
      </c>
      <c r="Q400">
        <v>163</v>
      </c>
      <c r="R400">
        <v>41</v>
      </c>
      <c r="S400">
        <v>50784981.981981985</v>
      </c>
      <c r="T400">
        <v>56324599.0990991</v>
      </c>
      <c r="U400">
        <v>7591441.44144144</v>
      </c>
      <c r="V400">
        <v>8670810.8108108118</v>
      </c>
      <c r="W400">
        <v>7812</v>
      </c>
      <c r="X400">
        <v>6841</v>
      </c>
    </row>
    <row r="401" spans="1:24">
      <c r="A401" s="7" t="s">
        <v>496</v>
      </c>
      <c r="B401" s="16" t="s">
        <v>330</v>
      </c>
      <c r="C401">
        <v>249695473.87184161</v>
      </c>
      <c r="D401">
        <v>240321528.21354985</v>
      </c>
      <c r="E401">
        <v>1170045.045045048</v>
      </c>
      <c r="F401">
        <v>3589864.8648648672</v>
      </c>
      <c r="G401">
        <v>123</v>
      </c>
      <c r="H401">
        <v>112</v>
      </c>
      <c r="I401">
        <v>14</v>
      </c>
      <c r="J401">
        <v>14</v>
      </c>
      <c r="M401">
        <v>150</v>
      </c>
      <c r="N401">
        <v>128</v>
      </c>
      <c r="O401">
        <v>24260900.9009009</v>
      </c>
      <c r="P401">
        <v>31253153.153153151</v>
      </c>
      <c r="Q401">
        <v>222</v>
      </c>
      <c r="R401">
        <v>116</v>
      </c>
      <c r="S401">
        <v>53155648.648648649</v>
      </c>
      <c r="T401">
        <v>53657693.693693697</v>
      </c>
      <c r="U401">
        <v>23612252.252252251</v>
      </c>
      <c r="V401">
        <v>31372522.522522524</v>
      </c>
      <c r="W401">
        <v>8461</v>
      </c>
      <c r="X401">
        <v>8343</v>
      </c>
    </row>
    <row r="402" spans="1:24">
      <c r="A402" s="7" t="s">
        <v>497</v>
      </c>
      <c r="B402" s="16" t="s">
        <v>330</v>
      </c>
      <c r="C402">
        <v>1078711291.469336</v>
      </c>
      <c r="D402">
        <v>923491998.85015333</v>
      </c>
      <c r="E402">
        <v>909900341.44144142</v>
      </c>
      <c r="F402">
        <v>671165293.69369364</v>
      </c>
      <c r="G402">
        <v>470</v>
      </c>
      <c r="H402">
        <v>692</v>
      </c>
      <c r="I402">
        <v>28</v>
      </c>
      <c r="J402">
        <v>39</v>
      </c>
      <c r="K402">
        <v>32</v>
      </c>
      <c r="M402">
        <v>553</v>
      </c>
      <c r="N402">
        <v>778</v>
      </c>
      <c r="O402">
        <v>241294324.32432431</v>
      </c>
      <c r="P402">
        <v>193928603.60360357</v>
      </c>
      <c r="Q402">
        <v>633</v>
      </c>
      <c r="R402">
        <v>227</v>
      </c>
      <c r="S402">
        <v>253034747.74774775</v>
      </c>
      <c r="T402">
        <v>192003990.99099097</v>
      </c>
      <c r="U402">
        <v>156233063.06306309</v>
      </c>
      <c r="V402">
        <v>141221081.08108109</v>
      </c>
      <c r="W402">
        <v>29590</v>
      </c>
      <c r="X402">
        <v>27958</v>
      </c>
    </row>
    <row r="403" spans="1:24">
      <c r="A403" s="7" t="s">
        <v>498</v>
      </c>
      <c r="B403" s="16" t="s">
        <v>330</v>
      </c>
      <c r="C403">
        <v>787383188.42073119</v>
      </c>
      <c r="D403">
        <v>729160831.98815298</v>
      </c>
      <c r="E403">
        <v>1742072.0720720759</v>
      </c>
      <c r="F403">
        <v>4374324.3243243303</v>
      </c>
      <c r="G403">
        <v>250</v>
      </c>
      <c r="H403">
        <v>294</v>
      </c>
      <c r="I403">
        <v>26</v>
      </c>
      <c r="J403">
        <v>25</v>
      </c>
      <c r="K403">
        <v>1</v>
      </c>
      <c r="M403">
        <v>296</v>
      </c>
      <c r="N403">
        <v>350</v>
      </c>
      <c r="O403">
        <v>165165495.4954955</v>
      </c>
      <c r="P403">
        <v>158359909.90990993</v>
      </c>
      <c r="Q403">
        <v>760</v>
      </c>
      <c r="R403">
        <v>163</v>
      </c>
      <c r="S403">
        <v>190831801.8018018</v>
      </c>
      <c r="T403">
        <v>183627551.8018018</v>
      </c>
      <c r="U403">
        <v>163547657.65765765</v>
      </c>
      <c r="V403">
        <v>156912612.61261261</v>
      </c>
      <c r="W403">
        <v>27220</v>
      </c>
      <c r="X403">
        <v>26870</v>
      </c>
    </row>
    <row r="404" spans="1:24">
      <c r="A404" s="7" t="s">
        <v>499</v>
      </c>
      <c r="B404" s="16" t="s">
        <v>143</v>
      </c>
      <c r="C404">
        <v>327350670.02135396</v>
      </c>
      <c r="D404">
        <v>309384042.04987007</v>
      </c>
      <c r="E404">
        <v>282657.65765766002</v>
      </c>
      <c r="F404">
        <v>1153378.3783783801</v>
      </c>
      <c r="G404">
        <v>234</v>
      </c>
      <c r="H404">
        <v>107</v>
      </c>
      <c r="I404">
        <v>18</v>
      </c>
      <c r="J404">
        <v>12</v>
      </c>
      <c r="M404">
        <v>255</v>
      </c>
      <c r="N404">
        <v>167</v>
      </c>
      <c r="O404">
        <v>26612432.432432432</v>
      </c>
      <c r="P404">
        <v>28838738.738738734</v>
      </c>
      <c r="Q404">
        <v>180</v>
      </c>
      <c r="R404">
        <v>114</v>
      </c>
      <c r="S404">
        <v>47079996.396396399</v>
      </c>
      <c r="T404">
        <v>49606628.828828834</v>
      </c>
      <c r="U404">
        <v>18089189.189189188</v>
      </c>
      <c r="V404">
        <v>19262162.162162159</v>
      </c>
      <c r="W404">
        <v>8582</v>
      </c>
      <c r="X404">
        <v>8149</v>
      </c>
    </row>
    <row r="405" spans="1:24">
      <c r="A405" s="7" t="s">
        <v>500</v>
      </c>
      <c r="B405" s="16" t="s">
        <v>220</v>
      </c>
      <c r="C405">
        <v>370821369.5201776</v>
      </c>
      <c r="D405">
        <v>365372636.45714599</v>
      </c>
      <c r="E405">
        <v>85872747.747747749</v>
      </c>
      <c r="F405">
        <v>93128153.153153151</v>
      </c>
      <c r="G405">
        <v>152</v>
      </c>
      <c r="H405">
        <v>163</v>
      </c>
      <c r="I405">
        <v>20</v>
      </c>
      <c r="J405">
        <v>14</v>
      </c>
      <c r="K405">
        <v>1</v>
      </c>
      <c r="M405">
        <v>188</v>
      </c>
      <c r="N405">
        <v>203</v>
      </c>
      <c r="O405">
        <v>139045855.85585585</v>
      </c>
      <c r="P405">
        <v>162217477.47747746</v>
      </c>
      <c r="Q405">
        <v>432</v>
      </c>
      <c r="R405">
        <v>164</v>
      </c>
      <c r="S405">
        <v>108672531.53153154</v>
      </c>
      <c r="T405">
        <v>111192243.24324325</v>
      </c>
      <c r="U405">
        <v>74964054.054054067</v>
      </c>
      <c r="V405">
        <v>158095585.58558556</v>
      </c>
      <c r="W405">
        <v>11670</v>
      </c>
      <c r="X405">
        <v>13548</v>
      </c>
    </row>
    <row r="406" spans="1:24">
      <c r="A406" s="7" t="s">
        <v>501</v>
      </c>
      <c r="B406" s="16" t="s">
        <v>397</v>
      </c>
      <c r="C406">
        <v>1008202552.3857828</v>
      </c>
      <c r="D406">
        <v>1039819896.2234174</v>
      </c>
      <c r="E406">
        <v>337196529.72972971</v>
      </c>
      <c r="F406">
        <v>8551163.0630630702</v>
      </c>
      <c r="G406">
        <v>317</v>
      </c>
      <c r="H406">
        <v>326</v>
      </c>
      <c r="I406">
        <v>24</v>
      </c>
      <c r="J406">
        <v>56</v>
      </c>
      <c r="M406">
        <v>362</v>
      </c>
      <c r="N406">
        <v>431</v>
      </c>
      <c r="O406">
        <v>133670135.13513513</v>
      </c>
      <c r="P406">
        <v>114941666.66666666</v>
      </c>
      <c r="Q406">
        <v>1009</v>
      </c>
      <c r="R406">
        <v>267</v>
      </c>
      <c r="S406">
        <v>208298113.51351351</v>
      </c>
      <c r="T406">
        <v>220574318.01801801</v>
      </c>
      <c r="U406">
        <v>122206981.98198198</v>
      </c>
      <c r="V406">
        <v>104578243.24324325</v>
      </c>
      <c r="W406">
        <v>26719</v>
      </c>
      <c r="X406">
        <v>26889</v>
      </c>
    </row>
    <row r="407" spans="1:24">
      <c r="A407" s="7" t="s">
        <v>502</v>
      </c>
      <c r="B407" s="16" t="s">
        <v>70</v>
      </c>
      <c r="C407">
        <v>15655051.096091967</v>
      </c>
      <c r="D407">
        <v>15841248.813194759</v>
      </c>
      <c r="E407">
        <v>77027.027027026998</v>
      </c>
      <c r="F407">
        <v>192792.79279279301</v>
      </c>
      <c r="G407">
        <v>6</v>
      </c>
      <c r="H407">
        <v>4</v>
      </c>
      <c r="J407">
        <v>1</v>
      </c>
      <c r="M407">
        <v>7</v>
      </c>
      <c r="N407">
        <v>6</v>
      </c>
      <c r="O407">
        <v>576576.57657657703</v>
      </c>
      <c r="P407">
        <v>792792.79279279301</v>
      </c>
      <c r="Q407">
        <v>1</v>
      </c>
      <c r="R407">
        <v>7</v>
      </c>
      <c r="S407">
        <v>11291576.576576576</v>
      </c>
      <c r="T407">
        <v>11191657.657657659</v>
      </c>
      <c r="U407">
        <v>2044594.5945945941</v>
      </c>
      <c r="V407">
        <v>635405.40540540498</v>
      </c>
      <c r="W407">
        <v>684</v>
      </c>
      <c r="X407">
        <v>655</v>
      </c>
    </row>
    <row r="408" spans="1:24">
      <c r="A408" s="7" t="s">
        <v>503</v>
      </c>
      <c r="B408" s="16" t="s">
        <v>330</v>
      </c>
      <c r="C408">
        <v>433931760.68425441</v>
      </c>
      <c r="D408">
        <v>437580721.26962656</v>
      </c>
      <c r="E408">
        <v>1823423.4234234269</v>
      </c>
      <c r="F408">
        <v>2977252.2522522542</v>
      </c>
      <c r="G408">
        <v>143</v>
      </c>
      <c r="H408">
        <v>172</v>
      </c>
      <c r="I408">
        <v>10</v>
      </c>
      <c r="J408">
        <v>17</v>
      </c>
      <c r="M408">
        <v>164</v>
      </c>
      <c r="N408">
        <v>200</v>
      </c>
      <c r="O408">
        <v>41563963.963963963</v>
      </c>
      <c r="P408">
        <v>42613513.513513513</v>
      </c>
      <c r="Q408">
        <v>409</v>
      </c>
      <c r="R408">
        <v>94</v>
      </c>
      <c r="S408">
        <v>117479457.65765767</v>
      </c>
      <c r="T408">
        <v>113856236.48648648</v>
      </c>
      <c r="U408">
        <v>39674864.864864863</v>
      </c>
      <c r="V408">
        <v>41223873.873873875</v>
      </c>
      <c r="W408">
        <v>15899</v>
      </c>
      <c r="X408">
        <v>17103</v>
      </c>
    </row>
    <row r="409" spans="1:24">
      <c r="A409" s="7" t="s">
        <v>504</v>
      </c>
      <c r="B409" s="16" t="s">
        <v>283</v>
      </c>
      <c r="C409">
        <v>135325999.05809584</v>
      </c>
      <c r="D409">
        <v>134540856.7812126</v>
      </c>
      <c r="E409">
        <v>299099.099099099</v>
      </c>
      <c r="F409">
        <v>269369.369369369</v>
      </c>
      <c r="G409">
        <v>54</v>
      </c>
      <c r="H409">
        <v>23</v>
      </c>
      <c r="I409">
        <v>1</v>
      </c>
      <c r="J409">
        <v>2</v>
      </c>
      <c r="M409">
        <v>57</v>
      </c>
      <c r="N409">
        <v>24</v>
      </c>
      <c r="O409">
        <v>8979279.2792792786</v>
      </c>
      <c r="P409">
        <v>13170270.270270271</v>
      </c>
      <c r="Q409">
        <v>50</v>
      </c>
      <c r="S409">
        <v>25028693.693693697</v>
      </c>
      <c r="T409">
        <v>24133900.9009009</v>
      </c>
      <c r="U409">
        <v>10286936.936936935</v>
      </c>
      <c r="V409">
        <v>11169909.90990991</v>
      </c>
      <c r="W409">
        <v>3162</v>
      </c>
      <c r="X409">
        <v>3015</v>
      </c>
    </row>
    <row r="410" spans="1:24">
      <c r="A410" s="7" t="s">
        <v>505</v>
      </c>
      <c r="B410" s="16" t="s">
        <v>260</v>
      </c>
      <c r="C410">
        <v>80282419.425550371</v>
      </c>
      <c r="D410">
        <v>81949288.54087767</v>
      </c>
      <c r="E410">
        <v>9009.0090090089998</v>
      </c>
      <c r="F410">
        <v>54954.954954954999</v>
      </c>
      <c r="G410">
        <v>3</v>
      </c>
      <c r="H410">
        <v>3</v>
      </c>
      <c r="I410">
        <v>1</v>
      </c>
      <c r="J410">
        <v>1</v>
      </c>
      <c r="K410">
        <v>1</v>
      </c>
      <c r="M410">
        <v>4</v>
      </c>
      <c r="N410">
        <v>5</v>
      </c>
      <c r="O410">
        <v>1360360.36036036</v>
      </c>
      <c r="P410">
        <v>1856756.7567567569</v>
      </c>
      <c r="R410">
        <v>3</v>
      </c>
      <c r="S410">
        <v>18345045.045045044</v>
      </c>
      <c r="T410">
        <v>17902603.603603605</v>
      </c>
      <c r="U410">
        <v>1118918.9189189191</v>
      </c>
      <c r="V410">
        <v>1362162.1621621619</v>
      </c>
      <c r="W410">
        <v>2187</v>
      </c>
      <c r="X410">
        <v>2135</v>
      </c>
    </row>
    <row r="411" spans="1:24">
      <c r="A411" s="7" t="s">
        <v>506</v>
      </c>
      <c r="B411" s="16" t="s">
        <v>236</v>
      </c>
      <c r="C411">
        <v>209774730.32563105</v>
      </c>
      <c r="D411">
        <v>201935800.7060225</v>
      </c>
      <c r="E411">
        <v>30744909.909909911</v>
      </c>
      <c r="F411">
        <v>80325675.675675675</v>
      </c>
      <c r="G411">
        <v>57</v>
      </c>
      <c r="H411">
        <v>27</v>
      </c>
      <c r="I411">
        <v>9</v>
      </c>
      <c r="J411">
        <v>13</v>
      </c>
      <c r="M411">
        <v>97</v>
      </c>
      <c r="N411">
        <v>86</v>
      </c>
      <c r="O411">
        <v>38277567.567567565</v>
      </c>
      <c r="P411">
        <v>42227567.567567565</v>
      </c>
      <c r="Q411">
        <v>32</v>
      </c>
      <c r="R411">
        <v>14</v>
      </c>
      <c r="S411">
        <v>46415157.657657653</v>
      </c>
      <c r="T411">
        <v>45141900.9009009</v>
      </c>
      <c r="U411">
        <v>36673423.423423424</v>
      </c>
      <c r="V411">
        <v>42268918.918918923</v>
      </c>
      <c r="W411">
        <v>4786</v>
      </c>
      <c r="X411">
        <v>4565</v>
      </c>
    </row>
    <row r="412" spans="1:24">
      <c r="A412" s="7" t="s">
        <v>507</v>
      </c>
      <c r="B412" s="16" t="s">
        <v>134</v>
      </c>
      <c r="C412">
        <v>32569426.674263671</v>
      </c>
      <c r="D412">
        <v>21556278.457088236</v>
      </c>
      <c r="G412">
        <v>1</v>
      </c>
      <c r="I412">
        <v>0</v>
      </c>
      <c r="M412">
        <v>1</v>
      </c>
      <c r="O412">
        <v>45045.045045045001</v>
      </c>
      <c r="Q412">
        <v>5</v>
      </c>
      <c r="S412">
        <v>5286261.2612612611</v>
      </c>
      <c r="T412">
        <v>3693324.3243243238</v>
      </c>
      <c r="U412">
        <v>45045.045045045001</v>
      </c>
      <c r="W412">
        <v>1274</v>
      </c>
      <c r="X412">
        <v>1262</v>
      </c>
    </row>
    <row r="413" spans="1:24">
      <c r="A413" s="7" t="s">
        <v>508</v>
      </c>
      <c r="B413" s="16" t="s">
        <v>397</v>
      </c>
      <c r="C413">
        <v>214775431.08914039</v>
      </c>
      <c r="D413">
        <v>210385340.00618935</v>
      </c>
      <c r="E413">
        <v>210360.36036036001</v>
      </c>
      <c r="F413">
        <v>889189.18918919098</v>
      </c>
      <c r="G413">
        <v>39</v>
      </c>
      <c r="H413">
        <v>33</v>
      </c>
      <c r="I413">
        <v>2</v>
      </c>
      <c r="J413">
        <v>8</v>
      </c>
      <c r="M413">
        <v>48</v>
      </c>
      <c r="N413">
        <v>62</v>
      </c>
      <c r="O413">
        <v>21731756.75675676</v>
      </c>
      <c r="P413">
        <v>24530180.180180181</v>
      </c>
      <c r="Q413">
        <v>78</v>
      </c>
      <c r="R413">
        <v>193</v>
      </c>
      <c r="S413">
        <v>30338783.783783782</v>
      </c>
      <c r="T413">
        <v>33164126.126126129</v>
      </c>
      <c r="U413">
        <v>17118063.063063063</v>
      </c>
      <c r="V413">
        <v>23407657.657657657</v>
      </c>
      <c r="W413">
        <v>4504</v>
      </c>
      <c r="X413">
        <v>4611</v>
      </c>
    </row>
    <row r="414" spans="1:24">
      <c r="A414" s="7" t="s">
        <v>509</v>
      </c>
      <c r="B414" s="16" t="s">
        <v>134</v>
      </c>
      <c r="C414">
        <v>233915597.93185902</v>
      </c>
      <c r="D414">
        <v>236024639.91009378</v>
      </c>
      <c r="E414">
        <v>1338513.5135135159</v>
      </c>
      <c r="F414">
        <v>1415315.315315319</v>
      </c>
      <c r="G414">
        <v>71</v>
      </c>
      <c r="H414">
        <v>57</v>
      </c>
      <c r="I414">
        <v>14</v>
      </c>
      <c r="J414">
        <v>9</v>
      </c>
      <c r="K414">
        <v>2</v>
      </c>
      <c r="M414">
        <v>74</v>
      </c>
      <c r="N414">
        <v>67</v>
      </c>
      <c r="O414">
        <v>28372972.97297297</v>
      </c>
      <c r="P414">
        <v>23735135.135135137</v>
      </c>
      <c r="Q414">
        <v>257</v>
      </c>
      <c r="R414">
        <v>24</v>
      </c>
      <c r="S414">
        <v>39616137.837837838</v>
      </c>
      <c r="T414">
        <v>38171691.441441439</v>
      </c>
      <c r="U414">
        <v>22404234.234234236</v>
      </c>
      <c r="V414">
        <v>19012702.702702705</v>
      </c>
      <c r="W414">
        <v>5560</v>
      </c>
      <c r="X414">
        <v>5489</v>
      </c>
    </row>
    <row r="415" spans="1:24">
      <c r="A415" s="7" t="s">
        <v>510</v>
      </c>
      <c r="B415" s="16" t="s">
        <v>134</v>
      </c>
      <c r="C415">
        <v>642913584.89065623</v>
      </c>
      <c r="D415">
        <v>646885247.03390861</v>
      </c>
      <c r="E415">
        <v>1881936.9369369431</v>
      </c>
      <c r="F415">
        <v>3461261.2612612699</v>
      </c>
      <c r="G415">
        <v>263</v>
      </c>
      <c r="H415">
        <v>137</v>
      </c>
      <c r="I415">
        <v>31</v>
      </c>
      <c r="J415">
        <v>22</v>
      </c>
      <c r="K415">
        <v>10</v>
      </c>
      <c r="M415">
        <v>316</v>
      </c>
      <c r="N415">
        <v>196</v>
      </c>
      <c r="O415">
        <v>53112882.882882878</v>
      </c>
      <c r="P415">
        <v>43496396.396396399</v>
      </c>
      <c r="Q415">
        <v>468</v>
      </c>
      <c r="R415">
        <v>8</v>
      </c>
      <c r="S415">
        <v>68991945.945945948</v>
      </c>
      <c r="T415">
        <v>67462243.243243247</v>
      </c>
      <c r="U415">
        <v>48134504.504504502</v>
      </c>
      <c r="V415">
        <v>42340360.360360362</v>
      </c>
      <c r="W415">
        <v>16353</v>
      </c>
      <c r="X415">
        <v>16479</v>
      </c>
    </row>
    <row r="416" spans="1:24">
      <c r="A416" s="7" t="s">
        <v>8</v>
      </c>
      <c r="B416" s="16" t="s">
        <v>158</v>
      </c>
      <c r="C416">
        <v>169360033.31337118</v>
      </c>
      <c r="D416">
        <v>167688893.39585996</v>
      </c>
      <c r="E416">
        <v>1923423.423423426</v>
      </c>
      <c r="F416">
        <v>2946846.8468468478</v>
      </c>
      <c r="G416">
        <v>16</v>
      </c>
      <c r="H416">
        <v>7</v>
      </c>
      <c r="I416">
        <v>9</v>
      </c>
      <c r="J416">
        <v>4</v>
      </c>
      <c r="M416">
        <v>17</v>
      </c>
      <c r="N416">
        <v>8</v>
      </c>
      <c r="O416">
        <v>24527477.477477476</v>
      </c>
      <c r="P416">
        <v>22742342.342342343</v>
      </c>
      <c r="Q416">
        <v>53</v>
      </c>
      <c r="R416">
        <v>61</v>
      </c>
      <c r="S416">
        <v>49857792.79279279</v>
      </c>
      <c r="T416">
        <v>49197045.045045048</v>
      </c>
      <c r="U416">
        <v>22489009.009009007</v>
      </c>
      <c r="V416">
        <v>20846936.936936937</v>
      </c>
      <c r="W416">
        <v>3886</v>
      </c>
      <c r="X416">
        <v>3836</v>
      </c>
    </row>
    <row r="417" spans="1:24">
      <c r="A417" s="7" t="s">
        <v>511</v>
      </c>
      <c r="B417" s="16" t="s">
        <v>134</v>
      </c>
      <c r="C417">
        <v>106782031.45154279</v>
      </c>
      <c r="D417">
        <v>123228308.92405845</v>
      </c>
      <c r="E417">
        <v>139639.63963963999</v>
      </c>
      <c r="F417">
        <v>509009.00900900998</v>
      </c>
      <c r="G417">
        <v>28</v>
      </c>
      <c r="H417">
        <v>7</v>
      </c>
      <c r="I417">
        <v>2</v>
      </c>
      <c r="J417">
        <v>2</v>
      </c>
      <c r="M417">
        <v>89</v>
      </c>
      <c r="N417">
        <v>10</v>
      </c>
      <c r="O417">
        <v>3022522.5225225231</v>
      </c>
      <c r="P417">
        <v>5914414.4144144161</v>
      </c>
      <c r="Q417">
        <v>23</v>
      </c>
      <c r="R417">
        <v>1</v>
      </c>
      <c r="S417">
        <v>14875261.261261262</v>
      </c>
      <c r="T417">
        <v>17917360.360360362</v>
      </c>
      <c r="U417">
        <v>3055585.5855855849</v>
      </c>
      <c r="V417">
        <v>3725315.315315316</v>
      </c>
      <c r="W417">
        <v>3745</v>
      </c>
      <c r="X417">
        <v>3742</v>
      </c>
    </row>
    <row r="418" spans="1:24">
      <c r="A418" s="7" t="s">
        <v>512</v>
      </c>
      <c r="B418" s="16" t="s">
        <v>62</v>
      </c>
      <c r="C418">
        <v>550588078.28526092</v>
      </c>
      <c r="D418">
        <v>533373157.39023352</v>
      </c>
      <c r="E418">
        <v>3002702.7027027039</v>
      </c>
      <c r="F418">
        <v>2825225.2252252311</v>
      </c>
      <c r="G418">
        <v>124</v>
      </c>
      <c r="H418">
        <v>135</v>
      </c>
      <c r="I418">
        <v>4</v>
      </c>
      <c r="J418">
        <v>16</v>
      </c>
      <c r="M418">
        <v>141</v>
      </c>
      <c r="N418">
        <v>182</v>
      </c>
      <c r="O418">
        <v>23535135.135135133</v>
      </c>
      <c r="P418">
        <v>34630900.9009009</v>
      </c>
      <c r="Q418">
        <v>72</v>
      </c>
      <c r="R418">
        <v>119</v>
      </c>
      <c r="S418">
        <v>103469711.7117117</v>
      </c>
      <c r="T418">
        <v>110699516.21621621</v>
      </c>
      <c r="U418">
        <v>23020720.72072072</v>
      </c>
      <c r="V418">
        <v>33480810.810810812</v>
      </c>
      <c r="W418">
        <v>14422</v>
      </c>
      <c r="X418">
        <v>14279</v>
      </c>
    </row>
    <row r="419" spans="1:24">
      <c r="A419" s="7" t="s">
        <v>513</v>
      </c>
      <c r="B419" s="16" t="s">
        <v>117</v>
      </c>
      <c r="C419">
        <v>63982520.075873747</v>
      </c>
      <c r="D419">
        <v>55172976.248860493</v>
      </c>
      <c r="E419">
        <v>13513.513513514999</v>
      </c>
      <c r="F419">
        <v>267567.56756756699</v>
      </c>
      <c r="G419">
        <v>77</v>
      </c>
      <c r="H419">
        <v>25</v>
      </c>
      <c r="I419">
        <v>4</v>
      </c>
      <c r="J419">
        <v>3</v>
      </c>
      <c r="M419">
        <v>80</v>
      </c>
      <c r="N419">
        <v>26</v>
      </c>
      <c r="O419">
        <v>3274954.9549549548</v>
      </c>
      <c r="P419">
        <v>1966756.7567567569</v>
      </c>
      <c r="Q419">
        <v>38</v>
      </c>
      <c r="S419">
        <v>30592207.207207207</v>
      </c>
      <c r="T419">
        <v>23644837.837837841</v>
      </c>
      <c r="U419">
        <v>3041171.1711711702</v>
      </c>
      <c r="V419">
        <v>1457297.2972972989</v>
      </c>
      <c r="W419">
        <v>2259</v>
      </c>
      <c r="X419">
        <v>2095</v>
      </c>
    </row>
    <row r="420" spans="1:24">
      <c r="A420" s="7" t="s">
        <v>514</v>
      </c>
      <c r="B420" s="16" t="s">
        <v>304</v>
      </c>
      <c r="C420">
        <v>107994960.42808837</v>
      </c>
      <c r="D420">
        <v>100508158.30397668</v>
      </c>
      <c r="E420">
        <v>289189.189189189</v>
      </c>
      <c r="F420">
        <v>599099.09909909999</v>
      </c>
      <c r="G420">
        <v>36</v>
      </c>
      <c r="H420">
        <v>55</v>
      </c>
      <c r="I420">
        <v>5</v>
      </c>
      <c r="J420">
        <v>5</v>
      </c>
      <c r="M420">
        <v>38</v>
      </c>
      <c r="N420">
        <v>58</v>
      </c>
      <c r="O420">
        <v>2676576.576576577</v>
      </c>
      <c r="P420">
        <v>8504054.0540540535</v>
      </c>
      <c r="Q420">
        <v>75</v>
      </c>
      <c r="R420">
        <v>21</v>
      </c>
      <c r="S420">
        <v>9305540.5405405406</v>
      </c>
      <c r="T420">
        <v>10047702.702702701</v>
      </c>
      <c r="U420">
        <v>3587477.4774774779</v>
      </c>
      <c r="V420">
        <v>9687567.5675675683</v>
      </c>
      <c r="W420">
        <v>1549</v>
      </c>
      <c r="X420">
        <v>1398</v>
      </c>
    </row>
    <row r="421" spans="1:24">
      <c r="A421" s="7" t="s">
        <v>515</v>
      </c>
      <c r="B421" s="16" t="s">
        <v>304</v>
      </c>
      <c r="C421">
        <v>30995333.862909894</v>
      </c>
      <c r="D421">
        <v>26656833.368405443</v>
      </c>
      <c r="E421">
        <v>192252.25225225199</v>
      </c>
      <c r="F421">
        <v>221621.62162162201</v>
      </c>
      <c r="G421">
        <v>8</v>
      </c>
      <c r="H421">
        <v>6</v>
      </c>
      <c r="I421">
        <v>3</v>
      </c>
      <c r="J421">
        <v>2</v>
      </c>
      <c r="M421">
        <v>8</v>
      </c>
      <c r="N421">
        <v>8</v>
      </c>
      <c r="O421">
        <v>3255315.3153153141</v>
      </c>
      <c r="P421">
        <v>3597297.2972972961</v>
      </c>
      <c r="Q421">
        <v>28</v>
      </c>
      <c r="R421">
        <v>20</v>
      </c>
      <c r="S421">
        <v>4435360.3603603598</v>
      </c>
      <c r="T421">
        <v>4149198.1981981979</v>
      </c>
      <c r="U421">
        <v>3880540.5405405401</v>
      </c>
      <c r="V421">
        <v>2409099.0990990978</v>
      </c>
      <c r="W421">
        <v>608</v>
      </c>
      <c r="X421">
        <v>576</v>
      </c>
    </row>
    <row r="422" spans="1:24">
      <c r="A422" s="7" t="s">
        <v>516</v>
      </c>
      <c r="B422" s="16" t="s">
        <v>304</v>
      </c>
      <c r="C422">
        <v>57686513.831027403</v>
      </c>
      <c r="D422">
        <v>61145947.833860442</v>
      </c>
      <c r="E422">
        <v>16756.756756757</v>
      </c>
      <c r="F422">
        <v>683783.78378378297</v>
      </c>
      <c r="G422">
        <v>24</v>
      </c>
      <c r="H422">
        <v>31</v>
      </c>
      <c r="I422">
        <v>1</v>
      </c>
      <c r="J422">
        <v>4</v>
      </c>
      <c r="M422">
        <v>28</v>
      </c>
      <c r="N422">
        <v>34</v>
      </c>
      <c r="O422">
        <v>3656396.3963963948</v>
      </c>
      <c r="P422">
        <v>3186486.4864864862</v>
      </c>
      <c r="Q422">
        <v>39</v>
      </c>
      <c r="R422">
        <v>14</v>
      </c>
      <c r="S422">
        <v>7949639.6396396393</v>
      </c>
      <c r="T422">
        <v>8945639.6396396402</v>
      </c>
      <c r="U422">
        <v>3785225.2252252251</v>
      </c>
      <c r="V422">
        <v>2676936.9369369382</v>
      </c>
      <c r="W422">
        <v>1124</v>
      </c>
      <c r="X422">
        <v>1048</v>
      </c>
    </row>
    <row r="423" spans="1:24">
      <c r="A423" s="7" t="s">
        <v>517</v>
      </c>
      <c r="B423" s="16" t="s">
        <v>304</v>
      </c>
      <c r="C423">
        <v>48791813.030747533</v>
      </c>
      <c r="D423">
        <v>47333228.884553961</v>
      </c>
      <c r="E423">
        <v>18918.918918919</v>
      </c>
      <c r="F423">
        <v>94594.594594594993</v>
      </c>
      <c r="G423">
        <v>10</v>
      </c>
      <c r="H423">
        <v>19</v>
      </c>
      <c r="I423">
        <v>2</v>
      </c>
      <c r="J423">
        <v>2</v>
      </c>
      <c r="M423">
        <v>11</v>
      </c>
      <c r="N423">
        <v>21</v>
      </c>
      <c r="O423">
        <v>2109009.0090090092</v>
      </c>
      <c r="P423">
        <v>1040540.5405405411</v>
      </c>
      <c r="Q423">
        <v>8</v>
      </c>
      <c r="R423">
        <v>8</v>
      </c>
      <c r="S423">
        <v>6184639.6396396393</v>
      </c>
      <c r="T423">
        <v>6394810.81081081</v>
      </c>
      <c r="U423">
        <v>1406756.756756756</v>
      </c>
      <c r="V423">
        <v>995405.40540540498</v>
      </c>
      <c r="W423">
        <v>798</v>
      </c>
      <c r="X423">
        <v>820</v>
      </c>
    </row>
    <row r="424" spans="1:24">
      <c r="A424" s="7" t="s">
        <v>518</v>
      </c>
      <c r="B424" s="16" t="s">
        <v>448</v>
      </c>
      <c r="C424">
        <v>49500806.77016779</v>
      </c>
      <c r="D424">
        <v>47406977.509475179</v>
      </c>
      <c r="E424">
        <v>77477.477477477994</v>
      </c>
      <c r="F424">
        <v>278378.37837837799</v>
      </c>
      <c r="G424">
        <v>26</v>
      </c>
      <c r="H424">
        <v>9</v>
      </c>
      <c r="I424">
        <v>2</v>
      </c>
      <c r="M424">
        <v>32</v>
      </c>
      <c r="N424">
        <v>11</v>
      </c>
      <c r="O424">
        <v>3976126.126126125</v>
      </c>
      <c r="P424">
        <v>2553603.6036036038</v>
      </c>
      <c r="Q424">
        <v>24</v>
      </c>
      <c r="S424">
        <v>17555162.162162162</v>
      </c>
      <c r="T424">
        <v>15770804.054054054</v>
      </c>
      <c r="U424">
        <v>3516216.2162162149</v>
      </c>
      <c r="V424">
        <v>2995945.945945947</v>
      </c>
      <c r="W424">
        <v>1753</v>
      </c>
      <c r="X424">
        <v>1748</v>
      </c>
    </row>
    <row r="425" spans="1:24">
      <c r="A425" s="7" t="s">
        <v>519</v>
      </c>
      <c r="B425" s="16" t="s">
        <v>85</v>
      </c>
      <c r="C425">
        <v>147407473.50144088</v>
      </c>
      <c r="D425">
        <v>147964736.58301815</v>
      </c>
      <c r="E425">
        <v>222522.52252252301</v>
      </c>
      <c r="F425">
        <v>1063063.0630630639</v>
      </c>
      <c r="G425">
        <v>37</v>
      </c>
      <c r="H425">
        <v>21</v>
      </c>
      <c r="I425">
        <v>4</v>
      </c>
      <c r="J425">
        <v>7</v>
      </c>
      <c r="M425">
        <v>45</v>
      </c>
      <c r="N425">
        <v>31</v>
      </c>
      <c r="O425">
        <v>25519819.819819819</v>
      </c>
      <c r="P425">
        <v>25306306.306306303</v>
      </c>
      <c r="Q425">
        <v>49</v>
      </c>
      <c r="S425">
        <v>35106306.30630631</v>
      </c>
      <c r="T425">
        <v>37397225.225225225</v>
      </c>
      <c r="U425">
        <v>17507207.207207207</v>
      </c>
      <c r="V425">
        <v>22096079.279279277</v>
      </c>
      <c r="W425">
        <v>4073</v>
      </c>
      <c r="X425">
        <v>4094</v>
      </c>
    </row>
    <row r="426" spans="1:24">
      <c r="A426" s="7" t="s">
        <v>520</v>
      </c>
      <c r="B426" s="16" t="s">
        <v>304</v>
      </c>
      <c r="C426">
        <v>75082674.659395829</v>
      </c>
      <c r="D426">
        <v>77234210.218909442</v>
      </c>
      <c r="E426">
        <v>191891.89189189201</v>
      </c>
      <c r="F426">
        <v>44144.144144143997</v>
      </c>
      <c r="G426">
        <v>34</v>
      </c>
      <c r="H426">
        <v>11</v>
      </c>
      <c r="I426">
        <v>2</v>
      </c>
      <c r="J426">
        <v>0</v>
      </c>
      <c r="M426">
        <v>40</v>
      </c>
      <c r="N426">
        <v>12</v>
      </c>
      <c r="O426">
        <v>5300000</v>
      </c>
      <c r="P426">
        <v>4225225.2252252251</v>
      </c>
      <c r="Q426">
        <v>8</v>
      </c>
      <c r="R426">
        <v>9</v>
      </c>
      <c r="S426">
        <v>13672567.567567568</v>
      </c>
      <c r="T426">
        <v>13163504.504504504</v>
      </c>
      <c r="U426">
        <v>2835225.225225226</v>
      </c>
      <c r="V426">
        <v>2353153.1531531522</v>
      </c>
      <c r="W426">
        <v>1839</v>
      </c>
      <c r="X426">
        <v>1346</v>
      </c>
    </row>
    <row r="427" spans="1:24">
      <c r="A427" s="7" t="s">
        <v>521</v>
      </c>
      <c r="B427" s="16" t="s">
        <v>399</v>
      </c>
      <c r="C427">
        <v>534118329.9718501</v>
      </c>
      <c r="D427">
        <v>523650436.68933302</v>
      </c>
      <c r="E427">
        <v>213667230.63063061</v>
      </c>
      <c r="F427">
        <v>126283343.24324325</v>
      </c>
      <c r="G427">
        <v>157</v>
      </c>
      <c r="H427">
        <v>216</v>
      </c>
      <c r="I427">
        <v>22</v>
      </c>
      <c r="J427">
        <v>42</v>
      </c>
      <c r="M427">
        <v>208</v>
      </c>
      <c r="N427">
        <v>604</v>
      </c>
      <c r="O427">
        <v>125469279.27927928</v>
      </c>
      <c r="P427">
        <v>96139639.639639631</v>
      </c>
      <c r="Q427">
        <v>592</v>
      </c>
      <c r="R427">
        <v>659</v>
      </c>
      <c r="S427">
        <v>130141441.44144145</v>
      </c>
      <c r="T427">
        <v>134261117.11711711</v>
      </c>
      <c r="U427">
        <v>101941351.35135135</v>
      </c>
      <c r="V427">
        <v>82090450.45045045</v>
      </c>
      <c r="W427">
        <v>13977</v>
      </c>
      <c r="X427">
        <v>13567</v>
      </c>
    </row>
    <row r="428" spans="1:24">
      <c r="A428" s="7" t="s">
        <v>522</v>
      </c>
      <c r="B428" s="16" t="s">
        <v>143</v>
      </c>
      <c r="C428">
        <v>153607418.14922544</v>
      </c>
      <c r="D428">
        <v>147505637.42295817</v>
      </c>
      <c r="E428">
        <v>20720.720720722002</v>
      </c>
      <c r="F428">
        <v>252252.25225225399</v>
      </c>
      <c r="G428">
        <v>32</v>
      </c>
      <c r="H428">
        <v>46</v>
      </c>
      <c r="I428">
        <v>5</v>
      </c>
      <c r="J428">
        <v>2</v>
      </c>
      <c r="M428">
        <v>38</v>
      </c>
      <c r="N428">
        <v>48</v>
      </c>
      <c r="O428">
        <v>9245945.9459459484</v>
      </c>
      <c r="P428">
        <v>9261261.2612612601</v>
      </c>
      <c r="Q428">
        <v>18</v>
      </c>
      <c r="R428">
        <v>1</v>
      </c>
      <c r="S428">
        <v>17988774.774774775</v>
      </c>
      <c r="T428">
        <v>19058738.738738742</v>
      </c>
      <c r="U428">
        <v>8678828.8288288284</v>
      </c>
      <c r="V428">
        <v>7998558.558558559</v>
      </c>
      <c r="W428">
        <v>2949</v>
      </c>
      <c r="X428">
        <v>2974</v>
      </c>
    </row>
    <row r="429" spans="1:24">
      <c r="A429" s="7" t="s">
        <v>523</v>
      </c>
      <c r="B429" s="16" t="s">
        <v>66</v>
      </c>
      <c r="C429">
        <v>100107407.71397422</v>
      </c>
      <c r="D429">
        <v>102935923.598446</v>
      </c>
      <c r="E429">
        <v>60000</v>
      </c>
      <c r="F429">
        <v>1884684.684684685</v>
      </c>
      <c r="G429">
        <v>22</v>
      </c>
      <c r="H429">
        <v>23</v>
      </c>
      <c r="I429">
        <v>3</v>
      </c>
      <c r="J429">
        <v>2</v>
      </c>
      <c r="K429">
        <v>1</v>
      </c>
      <c r="M429">
        <v>29</v>
      </c>
      <c r="N429">
        <v>27</v>
      </c>
      <c r="O429">
        <v>12240270.270270268</v>
      </c>
      <c r="P429">
        <v>57086126.126126118</v>
      </c>
      <c r="Q429">
        <v>167</v>
      </c>
      <c r="R429">
        <v>37</v>
      </c>
      <c r="S429">
        <v>47628189.189189196</v>
      </c>
      <c r="T429">
        <v>49280621.621621624</v>
      </c>
      <c r="U429">
        <v>12035045.045045044</v>
      </c>
      <c r="V429">
        <v>31300090.090090089</v>
      </c>
      <c r="W429">
        <v>3624</v>
      </c>
      <c r="X429">
        <v>4334</v>
      </c>
    </row>
    <row r="430" spans="1:24">
      <c r="A430" s="7" t="s">
        <v>524</v>
      </c>
      <c r="B430" s="16" t="s">
        <v>220</v>
      </c>
      <c r="C430">
        <v>140549361.32911101</v>
      </c>
      <c r="D430">
        <v>132021859.74789543</v>
      </c>
      <c r="E430">
        <v>431531.531531532</v>
      </c>
      <c r="F430">
        <v>558558.558558558</v>
      </c>
      <c r="G430">
        <v>51</v>
      </c>
      <c r="H430">
        <v>38</v>
      </c>
      <c r="I430">
        <v>3</v>
      </c>
      <c r="J430">
        <v>1</v>
      </c>
      <c r="M430">
        <v>58</v>
      </c>
      <c r="N430">
        <v>45</v>
      </c>
      <c r="O430">
        <v>11304504.504504504</v>
      </c>
      <c r="P430">
        <v>8450270.2702702712</v>
      </c>
      <c r="Q430">
        <v>20</v>
      </c>
      <c r="R430">
        <v>8</v>
      </c>
      <c r="S430">
        <v>34675450.45045045</v>
      </c>
      <c r="T430">
        <v>32945873.873873871</v>
      </c>
      <c r="U430">
        <v>7952972.9729729723</v>
      </c>
      <c r="V430">
        <v>5849819.819819822</v>
      </c>
      <c r="W430">
        <v>4414</v>
      </c>
      <c r="X430">
        <v>4498</v>
      </c>
    </row>
    <row r="431" spans="1:24">
      <c r="A431" s="7" t="s">
        <v>525</v>
      </c>
      <c r="B431" s="16" t="s">
        <v>413</v>
      </c>
      <c r="C431">
        <v>1505898109.6019552</v>
      </c>
      <c r="D431">
        <v>1455372370.7094698</v>
      </c>
      <c r="E431">
        <v>913054043.24324322</v>
      </c>
      <c r="F431">
        <v>556608123.42342341</v>
      </c>
      <c r="G431">
        <v>268</v>
      </c>
      <c r="H431">
        <v>323</v>
      </c>
      <c r="I431">
        <v>23</v>
      </c>
      <c r="J431">
        <v>58</v>
      </c>
      <c r="M431">
        <v>567</v>
      </c>
      <c r="N431">
        <v>833</v>
      </c>
      <c r="O431">
        <v>122813423.42342342</v>
      </c>
      <c r="P431">
        <v>113011117.11711712</v>
      </c>
      <c r="Q431">
        <v>1120</v>
      </c>
      <c r="R431">
        <v>376</v>
      </c>
      <c r="S431">
        <v>422148486.48648643</v>
      </c>
      <c r="T431">
        <v>424066509.009009</v>
      </c>
      <c r="U431">
        <v>108460854.05405405</v>
      </c>
      <c r="V431">
        <v>117098378.37837839</v>
      </c>
      <c r="W431">
        <v>32340</v>
      </c>
      <c r="X431">
        <v>32761</v>
      </c>
    </row>
    <row r="432" spans="1:24">
      <c r="A432" s="7" t="s">
        <v>526</v>
      </c>
      <c r="B432" s="16" t="s">
        <v>413</v>
      </c>
      <c r="C432">
        <v>178104175.40289378</v>
      </c>
      <c r="D432">
        <v>161865349.25858259</v>
      </c>
      <c r="E432">
        <v>15315.315315316</v>
      </c>
      <c r="F432">
        <v>296621.62162162201</v>
      </c>
      <c r="G432">
        <v>25</v>
      </c>
      <c r="H432">
        <v>32</v>
      </c>
      <c r="I432">
        <v>1</v>
      </c>
      <c r="J432">
        <v>3</v>
      </c>
      <c r="M432">
        <v>28</v>
      </c>
      <c r="N432">
        <v>39</v>
      </c>
      <c r="O432">
        <v>9232252.2522522528</v>
      </c>
      <c r="P432">
        <v>10691759.459459459</v>
      </c>
      <c r="Q432">
        <v>21</v>
      </c>
      <c r="R432">
        <v>18</v>
      </c>
      <c r="S432">
        <v>50583639.639639638</v>
      </c>
      <c r="T432">
        <v>51517279.279279277</v>
      </c>
      <c r="U432">
        <v>7588468.4684684668</v>
      </c>
      <c r="V432">
        <v>8258648.6486486476</v>
      </c>
      <c r="W432">
        <v>4563</v>
      </c>
      <c r="X432">
        <v>4119</v>
      </c>
    </row>
    <row r="433" spans="1:24">
      <c r="A433" s="7" t="s">
        <v>661</v>
      </c>
      <c r="B433" s="16" t="s">
        <v>189</v>
      </c>
      <c r="C433">
        <v>3039880.580140518</v>
      </c>
      <c r="G433">
        <v>3</v>
      </c>
      <c r="M433">
        <v>3</v>
      </c>
      <c r="S433">
        <v>976126.12612612604</v>
      </c>
      <c r="W433">
        <v>109</v>
      </c>
    </row>
    <row r="434" spans="1:24">
      <c r="A434" s="7" t="s">
        <v>527</v>
      </c>
      <c r="B434" s="16" t="s">
        <v>147</v>
      </c>
      <c r="C434">
        <v>356141386.88423926</v>
      </c>
      <c r="D434">
        <v>338163983.29566091</v>
      </c>
      <c r="E434">
        <v>70424976.576576576</v>
      </c>
      <c r="F434">
        <v>219546067.56756759</v>
      </c>
      <c r="G434">
        <v>50</v>
      </c>
      <c r="H434">
        <v>132</v>
      </c>
      <c r="I434">
        <v>4</v>
      </c>
      <c r="J434">
        <v>10</v>
      </c>
      <c r="M434">
        <v>61</v>
      </c>
      <c r="N434">
        <v>418</v>
      </c>
      <c r="O434">
        <v>20418738.738738731</v>
      </c>
      <c r="P434">
        <v>75169591.891891897</v>
      </c>
      <c r="Q434">
        <v>81</v>
      </c>
      <c r="R434">
        <v>394</v>
      </c>
      <c r="S434">
        <v>109263684.68468469</v>
      </c>
      <c r="T434">
        <v>124471664.86486487</v>
      </c>
      <c r="U434">
        <v>23427117.117117111</v>
      </c>
      <c r="V434">
        <v>74002342.342342347</v>
      </c>
      <c r="W434">
        <v>9982</v>
      </c>
      <c r="X434">
        <v>10773</v>
      </c>
    </row>
    <row r="435" spans="1:24">
      <c r="A435" s="7" t="s">
        <v>528</v>
      </c>
      <c r="B435" s="16" t="s">
        <v>121</v>
      </c>
      <c r="C435">
        <v>38350912.98968403</v>
      </c>
      <c r="D435">
        <v>37796579.920685083</v>
      </c>
      <c r="E435">
        <v>147522.52252252301</v>
      </c>
      <c r="F435">
        <v>324324.32432432502</v>
      </c>
      <c r="G435">
        <v>22</v>
      </c>
      <c r="H435">
        <v>22</v>
      </c>
      <c r="I435">
        <v>4</v>
      </c>
      <c r="J435">
        <v>2</v>
      </c>
      <c r="M435">
        <v>23</v>
      </c>
      <c r="N435">
        <v>23</v>
      </c>
      <c r="O435">
        <v>2791891.891891893</v>
      </c>
      <c r="P435">
        <v>3545045.0450450452</v>
      </c>
      <c r="Q435">
        <v>18</v>
      </c>
      <c r="R435">
        <v>3</v>
      </c>
      <c r="S435">
        <v>4198288.2882882878</v>
      </c>
      <c r="T435">
        <v>4433617.1171171181</v>
      </c>
      <c r="U435">
        <v>1920720.7207207209</v>
      </c>
      <c r="V435">
        <v>2879369.369369369</v>
      </c>
      <c r="W435">
        <v>975</v>
      </c>
      <c r="X435">
        <v>929</v>
      </c>
    </row>
    <row r="436" spans="1:24">
      <c r="A436" s="7" t="s">
        <v>529</v>
      </c>
      <c r="B436" s="16" t="s">
        <v>448</v>
      </c>
      <c r="C436">
        <v>88278681.539175689</v>
      </c>
      <c r="D436">
        <v>65113692.528812401</v>
      </c>
      <c r="E436">
        <v>104835765.76576576</v>
      </c>
      <c r="F436">
        <v>194045045.04504505</v>
      </c>
      <c r="G436">
        <v>41</v>
      </c>
      <c r="H436">
        <v>56</v>
      </c>
      <c r="I436">
        <v>0</v>
      </c>
      <c r="J436">
        <v>0</v>
      </c>
      <c r="M436">
        <v>43</v>
      </c>
      <c r="N436">
        <v>143</v>
      </c>
      <c r="O436">
        <v>9797522.522522524</v>
      </c>
      <c r="P436">
        <v>3641666.666666666</v>
      </c>
      <c r="Q436">
        <v>59</v>
      </c>
      <c r="S436">
        <v>40998675.675675683</v>
      </c>
      <c r="T436">
        <v>32138894.144144144</v>
      </c>
      <c r="U436">
        <v>6704954.9549549557</v>
      </c>
      <c r="V436">
        <v>3621171.1711711711</v>
      </c>
      <c r="W436">
        <v>2199</v>
      </c>
      <c r="X436">
        <v>2251</v>
      </c>
    </row>
    <row r="437" spans="1:24">
      <c r="A437" s="7" t="s">
        <v>530</v>
      </c>
      <c r="B437" s="16" t="s">
        <v>448</v>
      </c>
      <c r="C437">
        <v>159147637.08285832</v>
      </c>
      <c r="D437">
        <v>156452790.11142406</v>
      </c>
      <c r="E437">
        <v>94594.594594594004</v>
      </c>
      <c r="F437">
        <v>1078378.3783783789</v>
      </c>
      <c r="G437">
        <v>74</v>
      </c>
      <c r="H437">
        <v>58</v>
      </c>
      <c r="I437">
        <v>8</v>
      </c>
      <c r="J437">
        <v>8</v>
      </c>
      <c r="M437">
        <v>86</v>
      </c>
      <c r="N437">
        <v>67</v>
      </c>
      <c r="O437">
        <v>12054684.684684685</v>
      </c>
      <c r="P437">
        <v>7184234.2342342352</v>
      </c>
      <c r="Q437">
        <v>131</v>
      </c>
      <c r="R437">
        <v>3</v>
      </c>
      <c r="S437">
        <v>75296711.711711705</v>
      </c>
      <c r="T437">
        <v>72820225.225225225</v>
      </c>
      <c r="U437">
        <v>12036306.306306308</v>
      </c>
      <c r="V437">
        <v>6667387.3873873884</v>
      </c>
      <c r="W437">
        <v>5185</v>
      </c>
      <c r="X437">
        <v>5201</v>
      </c>
    </row>
    <row r="438" spans="1:24">
      <c r="A438" s="7" t="s">
        <v>531</v>
      </c>
      <c r="B438" s="16" t="s">
        <v>123</v>
      </c>
      <c r="C438">
        <v>413146568.1916461</v>
      </c>
      <c r="D438">
        <v>420691975.47129124</v>
      </c>
      <c r="E438">
        <v>96449681.081081092</v>
      </c>
      <c r="F438">
        <v>239414509.90990993</v>
      </c>
      <c r="G438">
        <v>117</v>
      </c>
      <c r="H438">
        <v>157</v>
      </c>
      <c r="I438">
        <v>28</v>
      </c>
      <c r="J438">
        <v>32</v>
      </c>
      <c r="K438">
        <v>6</v>
      </c>
      <c r="M438">
        <v>150</v>
      </c>
      <c r="N438">
        <v>349</v>
      </c>
      <c r="O438">
        <v>76423063.063063055</v>
      </c>
      <c r="P438">
        <v>116272162.16216215</v>
      </c>
      <c r="Q438">
        <v>151</v>
      </c>
      <c r="R438">
        <v>1794</v>
      </c>
      <c r="S438">
        <v>140880919.81981984</v>
      </c>
      <c r="T438">
        <v>147898579.27927926</v>
      </c>
      <c r="U438">
        <v>81647207.207207218</v>
      </c>
      <c r="V438">
        <v>114733963.96396397</v>
      </c>
      <c r="W438">
        <v>11267</v>
      </c>
      <c r="X438">
        <v>11302</v>
      </c>
    </row>
    <row r="439" spans="1:24">
      <c r="A439" s="7" t="s">
        <v>532</v>
      </c>
      <c r="B439" s="16" t="s">
        <v>85</v>
      </c>
      <c r="C439">
        <v>132475343.13848849</v>
      </c>
      <c r="D439">
        <v>123793164.98894478</v>
      </c>
      <c r="E439">
        <v>2192792.7927927938</v>
      </c>
      <c r="F439">
        <v>270270.27027027198</v>
      </c>
      <c r="G439">
        <v>11</v>
      </c>
      <c r="H439">
        <v>25</v>
      </c>
      <c r="I439">
        <v>5</v>
      </c>
      <c r="J439">
        <v>2</v>
      </c>
      <c r="M439">
        <v>11</v>
      </c>
      <c r="N439">
        <v>43</v>
      </c>
      <c r="O439">
        <v>28012612.612612613</v>
      </c>
      <c r="P439">
        <v>10316756.756756758</v>
      </c>
      <c r="Q439">
        <v>28</v>
      </c>
      <c r="S439">
        <v>29583873.873873871</v>
      </c>
      <c r="T439">
        <v>26259369.369369369</v>
      </c>
      <c r="U439">
        <v>23356216.216216218</v>
      </c>
      <c r="V439">
        <v>7392612.6126126125</v>
      </c>
      <c r="W439">
        <v>3706</v>
      </c>
      <c r="X439">
        <v>3547</v>
      </c>
    </row>
    <row r="440" spans="1:24">
      <c r="A440" s="7" t="s">
        <v>9</v>
      </c>
      <c r="B440" s="16" t="s">
        <v>158</v>
      </c>
      <c r="C440">
        <v>344900485.11662245</v>
      </c>
      <c r="D440">
        <v>328556290.0803979</v>
      </c>
      <c r="E440">
        <v>7246534.234234239</v>
      </c>
      <c r="F440">
        <v>3738086.486486488</v>
      </c>
      <c r="G440">
        <v>61</v>
      </c>
      <c r="H440">
        <v>50</v>
      </c>
      <c r="I440">
        <v>18</v>
      </c>
      <c r="J440">
        <v>13</v>
      </c>
      <c r="K440">
        <v>4</v>
      </c>
      <c r="M440">
        <v>70</v>
      </c>
      <c r="N440">
        <v>57</v>
      </c>
      <c r="O440">
        <v>547843663.06306303</v>
      </c>
      <c r="P440">
        <v>455008274.77477479</v>
      </c>
      <c r="Q440">
        <v>172</v>
      </c>
      <c r="R440">
        <v>140</v>
      </c>
      <c r="S440">
        <v>121917018.01801802</v>
      </c>
      <c r="T440">
        <v>119819378.37837839</v>
      </c>
      <c r="U440">
        <v>461690810.8108108</v>
      </c>
      <c r="V440">
        <v>368538108.1081081</v>
      </c>
      <c r="W440">
        <v>7293</v>
      </c>
      <c r="X440">
        <v>7163</v>
      </c>
    </row>
    <row r="441" spans="1:24">
      <c r="A441" s="7" t="s">
        <v>533</v>
      </c>
      <c r="B441" s="16" t="s">
        <v>94</v>
      </c>
      <c r="C441">
        <v>328833788.15410078</v>
      </c>
      <c r="D441">
        <v>319552027.46881276</v>
      </c>
      <c r="E441">
        <v>275675.67567567702</v>
      </c>
      <c r="F441">
        <v>1093693.693693697</v>
      </c>
      <c r="G441">
        <v>59</v>
      </c>
      <c r="H441">
        <v>60</v>
      </c>
      <c r="I441">
        <v>12</v>
      </c>
      <c r="J441">
        <v>9</v>
      </c>
      <c r="K441">
        <v>1</v>
      </c>
      <c r="M441">
        <v>64</v>
      </c>
      <c r="N441">
        <v>69</v>
      </c>
      <c r="O441">
        <v>27532432.432432432</v>
      </c>
      <c r="P441">
        <v>26679279.27927928</v>
      </c>
      <c r="Q441">
        <v>80</v>
      </c>
      <c r="R441">
        <v>297</v>
      </c>
      <c r="S441">
        <v>37492475.675675675</v>
      </c>
      <c r="T441">
        <v>43851027.027027026</v>
      </c>
      <c r="U441">
        <v>19763423.423423424</v>
      </c>
      <c r="V441">
        <v>18480450.45045045</v>
      </c>
      <c r="W441">
        <v>6349</v>
      </c>
      <c r="X441">
        <v>6421</v>
      </c>
    </row>
    <row r="442" spans="1:24">
      <c r="A442" s="7" t="s">
        <v>534</v>
      </c>
      <c r="B442" s="16" t="s">
        <v>304</v>
      </c>
      <c r="C442">
        <v>8438847.7262864728</v>
      </c>
      <c r="D442">
        <v>8468328.0411070473</v>
      </c>
      <c r="G442">
        <v>6</v>
      </c>
      <c r="H442">
        <v>2</v>
      </c>
      <c r="M442">
        <v>7</v>
      </c>
      <c r="N442">
        <v>2</v>
      </c>
      <c r="S442">
        <v>819954.95495495503</v>
      </c>
      <c r="T442">
        <v>1367522.5225225219</v>
      </c>
      <c r="W442">
        <v>376</v>
      </c>
      <c r="X442">
        <v>401</v>
      </c>
    </row>
    <row r="443" spans="1:24">
      <c r="A443" s="7" t="s">
        <v>535</v>
      </c>
      <c r="B443" s="16" t="s">
        <v>304</v>
      </c>
      <c r="C443">
        <v>138064659.12721619</v>
      </c>
      <c r="D443">
        <v>130759913.20753494</v>
      </c>
      <c r="E443">
        <v>1045945.945945947</v>
      </c>
      <c r="F443">
        <v>513513.51351351402</v>
      </c>
      <c r="G443">
        <v>36</v>
      </c>
      <c r="H443">
        <v>15</v>
      </c>
      <c r="I443">
        <v>6</v>
      </c>
      <c r="J443">
        <v>2</v>
      </c>
      <c r="M443">
        <v>42</v>
      </c>
      <c r="N443">
        <v>19</v>
      </c>
      <c r="O443">
        <v>8072972.9729729723</v>
      </c>
      <c r="P443">
        <v>11522522.522522522</v>
      </c>
      <c r="Q443">
        <v>52</v>
      </c>
      <c r="R443">
        <v>25</v>
      </c>
      <c r="S443">
        <v>11843513.513513515</v>
      </c>
      <c r="T443">
        <v>11878783.783783784</v>
      </c>
      <c r="U443">
        <v>5137927.927927928</v>
      </c>
      <c r="V443">
        <v>3921261.261261262</v>
      </c>
      <c r="W443">
        <v>2964</v>
      </c>
      <c r="X443">
        <v>2692</v>
      </c>
    </row>
    <row r="444" spans="1:24">
      <c r="A444" s="7" t="s">
        <v>536</v>
      </c>
      <c r="B444" s="16" t="s">
        <v>85</v>
      </c>
      <c r="C444">
        <v>114034855.07880531</v>
      </c>
      <c r="D444">
        <v>112516401.84054604</v>
      </c>
      <c r="E444">
        <v>298198.19819819799</v>
      </c>
      <c r="F444">
        <v>669369.36936937098</v>
      </c>
      <c r="G444">
        <v>112</v>
      </c>
      <c r="H444">
        <v>45</v>
      </c>
      <c r="I444">
        <v>6</v>
      </c>
      <c r="J444">
        <v>6</v>
      </c>
      <c r="M444">
        <v>118</v>
      </c>
      <c r="N444">
        <v>55</v>
      </c>
      <c r="O444">
        <v>33271171.171171173</v>
      </c>
      <c r="P444">
        <v>37038198.198198199</v>
      </c>
      <c r="Q444">
        <v>39</v>
      </c>
      <c r="R444">
        <v>33</v>
      </c>
      <c r="S444">
        <v>51171486.486486487</v>
      </c>
      <c r="T444">
        <v>52904180.180180185</v>
      </c>
      <c r="U444">
        <v>33401711.711711712</v>
      </c>
      <c r="V444">
        <v>32151261.261261266</v>
      </c>
      <c r="W444">
        <v>3042</v>
      </c>
      <c r="X444">
        <v>3026</v>
      </c>
    </row>
    <row r="445" spans="1:24">
      <c r="A445" s="7" t="s">
        <v>537</v>
      </c>
      <c r="B445" s="16" t="s">
        <v>448</v>
      </c>
      <c r="C445">
        <v>160037656.43858621</v>
      </c>
      <c r="D445">
        <v>158098446.46812624</v>
      </c>
      <c r="E445">
        <v>163063.063063065</v>
      </c>
      <c r="F445">
        <v>1461261.261261262</v>
      </c>
      <c r="G445">
        <v>228</v>
      </c>
      <c r="H445">
        <v>145</v>
      </c>
      <c r="I445">
        <v>3</v>
      </c>
      <c r="J445">
        <v>5</v>
      </c>
      <c r="M445">
        <v>234</v>
      </c>
      <c r="N445">
        <v>242</v>
      </c>
      <c r="O445">
        <v>7902702.702702702</v>
      </c>
      <c r="P445">
        <v>12642972.972972972</v>
      </c>
      <c r="Q445">
        <v>85</v>
      </c>
      <c r="R445">
        <v>8</v>
      </c>
      <c r="S445">
        <v>46132180.180180185</v>
      </c>
      <c r="T445">
        <v>44218872.072072074</v>
      </c>
      <c r="U445">
        <v>7922972.9729729732</v>
      </c>
      <c r="V445">
        <v>14388288.288288288</v>
      </c>
      <c r="W445">
        <v>5206</v>
      </c>
      <c r="X445">
        <v>5121</v>
      </c>
    </row>
    <row r="446" spans="1:24">
      <c r="A446" s="7" t="s">
        <v>538</v>
      </c>
      <c r="B446" s="16" t="s">
        <v>117</v>
      </c>
      <c r="C446">
        <v>366101103.29787982</v>
      </c>
      <c r="D446">
        <v>365376835.56068116</v>
      </c>
      <c r="E446">
        <v>1561306.3063063161</v>
      </c>
      <c r="F446">
        <v>6565765.765765775</v>
      </c>
      <c r="G446">
        <v>159</v>
      </c>
      <c r="H446">
        <v>97</v>
      </c>
      <c r="I446">
        <v>35</v>
      </c>
      <c r="J446">
        <v>36</v>
      </c>
      <c r="M446">
        <v>219</v>
      </c>
      <c r="N446">
        <v>144</v>
      </c>
      <c r="O446">
        <v>70504543.243243247</v>
      </c>
      <c r="P446">
        <v>72394143.243243247</v>
      </c>
      <c r="Q446">
        <v>278</v>
      </c>
      <c r="R446">
        <v>118</v>
      </c>
      <c r="S446">
        <v>191635045.04504505</v>
      </c>
      <c r="T446">
        <v>207275301.8018018</v>
      </c>
      <c r="U446">
        <v>67018378.378378376</v>
      </c>
      <c r="V446">
        <v>63267117.117117122</v>
      </c>
      <c r="W446">
        <v>11129</v>
      </c>
      <c r="X446">
        <v>11794</v>
      </c>
    </row>
    <row r="447" spans="1:24">
      <c r="A447" s="7" t="s">
        <v>539</v>
      </c>
      <c r="B447" s="16" t="s">
        <v>83</v>
      </c>
      <c r="C447">
        <v>1130868232.0858483</v>
      </c>
      <c r="D447">
        <v>1116067061.5887754</v>
      </c>
      <c r="E447">
        <v>2040315.3153153169</v>
      </c>
      <c r="F447">
        <v>5155933.333333333</v>
      </c>
      <c r="G447">
        <v>173</v>
      </c>
      <c r="H447">
        <v>244</v>
      </c>
      <c r="I447">
        <v>17</v>
      </c>
      <c r="J447">
        <v>18</v>
      </c>
      <c r="K447">
        <v>1</v>
      </c>
      <c r="M447">
        <v>194</v>
      </c>
      <c r="N447">
        <v>282</v>
      </c>
      <c r="O447">
        <v>62822972.972972967</v>
      </c>
      <c r="P447">
        <v>73955486.48648648</v>
      </c>
      <c r="Q447">
        <v>404</v>
      </c>
      <c r="R447">
        <v>228</v>
      </c>
      <c r="S447">
        <v>113007935.13513513</v>
      </c>
      <c r="T447">
        <v>122964174.32432432</v>
      </c>
      <c r="U447">
        <v>58080493.693693697</v>
      </c>
      <c r="V447">
        <v>64431304.504504502</v>
      </c>
      <c r="W447">
        <v>21515</v>
      </c>
      <c r="X447">
        <v>21754</v>
      </c>
    </row>
    <row r="448" spans="1:24">
      <c r="A448" s="7" t="s">
        <v>540</v>
      </c>
      <c r="B448" s="16" t="s">
        <v>315</v>
      </c>
      <c r="C448">
        <v>133339007.05932866</v>
      </c>
      <c r="D448">
        <v>137588420.04882857</v>
      </c>
      <c r="E448">
        <v>3290180.1801801799</v>
      </c>
      <c r="F448">
        <v>1552477.4774774769</v>
      </c>
      <c r="G448">
        <v>17</v>
      </c>
      <c r="H448">
        <v>21</v>
      </c>
      <c r="I448">
        <v>1</v>
      </c>
      <c r="J448">
        <v>1</v>
      </c>
      <c r="M448">
        <v>17</v>
      </c>
      <c r="N448">
        <v>33</v>
      </c>
      <c r="O448">
        <v>13896396.396396397</v>
      </c>
      <c r="P448">
        <v>8177027.0270270268</v>
      </c>
      <c r="R448">
        <v>8</v>
      </c>
      <c r="S448">
        <v>24057477.477477476</v>
      </c>
      <c r="T448">
        <v>27067837.837837841</v>
      </c>
      <c r="U448">
        <v>9848828.8288288284</v>
      </c>
      <c r="V448">
        <v>7464234.2342342343</v>
      </c>
      <c r="W448">
        <v>2483</v>
      </c>
      <c r="X448">
        <v>3135</v>
      </c>
    </row>
    <row r="449" spans="1:24">
      <c r="A449" s="7" t="s">
        <v>541</v>
      </c>
      <c r="B449" s="16" t="s">
        <v>169</v>
      </c>
      <c r="C449">
        <v>986720396.5371294</v>
      </c>
      <c r="D449">
        <v>948209639.37668848</v>
      </c>
      <c r="E449">
        <v>1736486.4864864859</v>
      </c>
      <c r="F449">
        <v>1978378.378378381</v>
      </c>
      <c r="G449">
        <v>111</v>
      </c>
      <c r="H449">
        <v>121</v>
      </c>
      <c r="I449">
        <v>7</v>
      </c>
      <c r="J449">
        <v>7</v>
      </c>
      <c r="K449">
        <v>1</v>
      </c>
      <c r="M449">
        <v>152</v>
      </c>
      <c r="N449">
        <v>204</v>
      </c>
      <c r="O449">
        <v>46391261.261261262</v>
      </c>
      <c r="P449">
        <v>47332139.639639638</v>
      </c>
      <c r="Q449">
        <v>174</v>
      </c>
      <c r="R449">
        <v>52</v>
      </c>
      <c r="S449">
        <v>344868342.34234232</v>
      </c>
      <c r="T449">
        <v>352338673.42342341</v>
      </c>
      <c r="U449">
        <v>42139369.369369365</v>
      </c>
      <c r="V449">
        <v>50560270.270270273</v>
      </c>
      <c r="W449">
        <v>22027</v>
      </c>
      <c r="X449">
        <v>22106</v>
      </c>
    </row>
    <row r="450" spans="1:24">
      <c r="A450" s="7" t="s">
        <v>542</v>
      </c>
      <c r="B450" s="16" t="s">
        <v>479</v>
      </c>
      <c r="C450">
        <v>310081665.19771993</v>
      </c>
      <c r="D450">
        <v>296727519.32433617</v>
      </c>
      <c r="E450">
        <v>1036936.936936937</v>
      </c>
      <c r="F450">
        <v>81081.081081084005</v>
      </c>
      <c r="G450">
        <v>26</v>
      </c>
      <c r="H450">
        <v>29</v>
      </c>
      <c r="I450">
        <v>0</v>
      </c>
      <c r="J450">
        <v>0</v>
      </c>
      <c r="M450">
        <v>29</v>
      </c>
      <c r="N450">
        <v>33</v>
      </c>
      <c r="O450">
        <v>2000900.9009009011</v>
      </c>
      <c r="P450">
        <v>1009009.009009012</v>
      </c>
      <c r="S450">
        <v>39136657.657657653</v>
      </c>
      <c r="T450">
        <v>38831414.414414413</v>
      </c>
      <c r="U450">
        <v>1665315.315315316</v>
      </c>
      <c r="V450">
        <v>464144.14414414403</v>
      </c>
      <c r="W450">
        <v>5844</v>
      </c>
      <c r="X450">
        <v>5450</v>
      </c>
    </row>
    <row r="451" spans="1:24">
      <c r="A451" s="7" t="s">
        <v>543</v>
      </c>
      <c r="B451" s="16" t="s">
        <v>80</v>
      </c>
      <c r="C451">
        <v>83610167.975833759</v>
      </c>
      <c r="D451">
        <v>69613385.903165951</v>
      </c>
      <c r="E451">
        <v>158558.558558558</v>
      </c>
      <c r="F451">
        <v>317567.56756756699</v>
      </c>
      <c r="G451">
        <v>24</v>
      </c>
      <c r="H451">
        <v>25</v>
      </c>
      <c r="I451">
        <v>3</v>
      </c>
      <c r="J451">
        <v>3</v>
      </c>
      <c r="M451">
        <v>25</v>
      </c>
      <c r="N451">
        <v>31</v>
      </c>
      <c r="O451">
        <v>8822522.5225225221</v>
      </c>
      <c r="P451">
        <v>9346846.8468468431</v>
      </c>
      <c r="Q451">
        <v>9</v>
      </c>
      <c r="R451">
        <v>44</v>
      </c>
      <c r="S451">
        <v>29331171.171171173</v>
      </c>
      <c r="T451">
        <v>26233270.270270273</v>
      </c>
      <c r="U451">
        <v>7814954.9549549557</v>
      </c>
      <c r="V451">
        <v>7052072.072072071</v>
      </c>
      <c r="W451">
        <v>2342</v>
      </c>
      <c r="X451">
        <v>2379</v>
      </c>
    </row>
    <row r="452" spans="1:24">
      <c r="A452" s="7" t="s">
        <v>544</v>
      </c>
      <c r="B452" s="16" t="s">
        <v>169</v>
      </c>
      <c r="C452">
        <v>92748817.663898692</v>
      </c>
      <c r="D452">
        <v>74017597.03567192</v>
      </c>
      <c r="F452">
        <v>271171.17117117101</v>
      </c>
      <c r="G452">
        <v>22</v>
      </c>
      <c r="H452">
        <v>13</v>
      </c>
      <c r="J452">
        <v>0</v>
      </c>
      <c r="M452">
        <v>23</v>
      </c>
      <c r="N452">
        <v>13</v>
      </c>
      <c r="O452">
        <v>2702702.702702702</v>
      </c>
      <c r="P452">
        <v>1172072.072072071</v>
      </c>
      <c r="S452">
        <v>37780935.135135137</v>
      </c>
      <c r="T452">
        <v>32166070.270270273</v>
      </c>
      <c r="U452">
        <v>1898918.9189189191</v>
      </c>
      <c r="V452">
        <v>382792.79279279202</v>
      </c>
      <c r="W452">
        <v>2521</v>
      </c>
      <c r="X452">
        <v>2449</v>
      </c>
    </row>
    <row r="453" spans="1:24">
      <c r="A453" s="7" t="s">
        <v>545</v>
      </c>
      <c r="B453" s="16" t="s">
        <v>224</v>
      </c>
      <c r="C453">
        <v>21272.170603598999</v>
      </c>
      <c r="D453">
        <v>6557.0870177610004</v>
      </c>
      <c r="S453">
        <v>10585.585585586001</v>
      </c>
    </row>
    <row r="454" spans="1:24">
      <c r="A454" s="7" t="s">
        <v>546</v>
      </c>
      <c r="B454" s="16" t="s">
        <v>136</v>
      </c>
      <c r="C454">
        <v>193037762.70837969</v>
      </c>
      <c r="D454">
        <v>188897701.11645317</v>
      </c>
      <c r="E454">
        <v>331081.08108108101</v>
      </c>
      <c r="F454">
        <v>737837.83783784101</v>
      </c>
      <c r="G454">
        <v>65</v>
      </c>
      <c r="H454">
        <v>61</v>
      </c>
      <c r="I454">
        <v>7</v>
      </c>
      <c r="J454">
        <v>7</v>
      </c>
      <c r="M454">
        <v>72</v>
      </c>
      <c r="N454">
        <v>67</v>
      </c>
      <c r="O454">
        <v>41564684.684684686</v>
      </c>
      <c r="P454">
        <v>37839639.639639638</v>
      </c>
      <c r="Q454">
        <v>89</v>
      </c>
      <c r="R454">
        <v>71</v>
      </c>
      <c r="S454">
        <v>61776972.972972974</v>
      </c>
      <c r="T454">
        <v>60819169.369369365</v>
      </c>
      <c r="U454">
        <v>34499729.729729727</v>
      </c>
      <c r="V454">
        <v>33087117.117117114</v>
      </c>
      <c r="W454">
        <v>4651</v>
      </c>
      <c r="X454">
        <v>4376</v>
      </c>
    </row>
    <row r="455" spans="1:24">
      <c r="A455" s="7" t="s">
        <v>547</v>
      </c>
      <c r="B455" s="16" t="s">
        <v>136</v>
      </c>
      <c r="C455">
        <v>353721695.77357835</v>
      </c>
      <c r="D455">
        <v>360888863.94767308</v>
      </c>
      <c r="E455">
        <v>229651999.0990991</v>
      </c>
      <c r="F455">
        <v>225045239.63963965</v>
      </c>
      <c r="G455">
        <v>188</v>
      </c>
      <c r="H455">
        <v>182</v>
      </c>
      <c r="I455">
        <v>14</v>
      </c>
      <c r="J455">
        <v>19</v>
      </c>
      <c r="M455">
        <v>214</v>
      </c>
      <c r="N455">
        <v>211</v>
      </c>
      <c r="O455">
        <v>85776126.126126111</v>
      </c>
      <c r="P455">
        <v>85944144.144144148</v>
      </c>
      <c r="Q455">
        <v>299</v>
      </c>
      <c r="R455">
        <v>141</v>
      </c>
      <c r="S455">
        <v>110375354.95495497</v>
      </c>
      <c r="T455">
        <v>118493094.5945946</v>
      </c>
      <c r="U455">
        <v>74804727.927927926</v>
      </c>
      <c r="V455">
        <v>74224270.270270273</v>
      </c>
      <c r="W455">
        <v>12249</v>
      </c>
      <c r="X455">
        <v>12852</v>
      </c>
    </row>
    <row r="456" spans="1:24">
      <c r="A456" s="7" t="s">
        <v>548</v>
      </c>
      <c r="B456" s="16" t="s">
        <v>136</v>
      </c>
      <c r="C456">
        <v>403096608.0953393</v>
      </c>
      <c r="D456">
        <v>399284119.6331259</v>
      </c>
      <c r="E456">
        <v>1454054.0540540549</v>
      </c>
      <c r="F456">
        <v>3279279.27927928</v>
      </c>
      <c r="G456">
        <v>119</v>
      </c>
      <c r="H456">
        <v>61</v>
      </c>
      <c r="I456">
        <v>5</v>
      </c>
      <c r="J456">
        <v>3</v>
      </c>
      <c r="M456">
        <v>127</v>
      </c>
      <c r="N456">
        <v>68</v>
      </c>
      <c r="O456">
        <v>18625675.675675675</v>
      </c>
      <c r="P456">
        <v>16144144.144144142</v>
      </c>
      <c r="Q456">
        <v>73</v>
      </c>
      <c r="R456">
        <v>27</v>
      </c>
      <c r="S456">
        <v>63713774.774774775</v>
      </c>
      <c r="T456">
        <v>66052601.801801801</v>
      </c>
      <c r="U456">
        <v>16283603.603603603</v>
      </c>
      <c r="V456">
        <v>15019369.369369373</v>
      </c>
      <c r="W456">
        <v>8300</v>
      </c>
      <c r="X456">
        <v>8717</v>
      </c>
    </row>
    <row r="457" spans="1:24">
      <c r="A457" s="7" t="s">
        <v>549</v>
      </c>
      <c r="B457" s="16" t="s">
        <v>136</v>
      </c>
      <c r="C457">
        <v>191539088.98647413</v>
      </c>
      <c r="D457">
        <v>164612069.63926163</v>
      </c>
      <c r="E457">
        <v>347747.74774774798</v>
      </c>
      <c r="F457">
        <v>253153.15315315401</v>
      </c>
      <c r="G457">
        <v>49</v>
      </c>
      <c r="H457">
        <v>29</v>
      </c>
      <c r="I457">
        <v>6</v>
      </c>
      <c r="J457">
        <v>2</v>
      </c>
      <c r="M457">
        <v>54</v>
      </c>
      <c r="N457">
        <v>33</v>
      </c>
      <c r="O457">
        <v>17600540.540540539</v>
      </c>
      <c r="P457">
        <v>11235135.135135135</v>
      </c>
      <c r="Q457">
        <v>4</v>
      </c>
      <c r="R457">
        <v>16</v>
      </c>
      <c r="S457">
        <v>32848331.531531531</v>
      </c>
      <c r="T457">
        <v>27765873.873873871</v>
      </c>
      <c r="U457">
        <v>13756619.819819819</v>
      </c>
      <c r="V457">
        <v>10591621.621621622</v>
      </c>
      <c r="W457">
        <v>3819</v>
      </c>
      <c r="X457">
        <v>3731</v>
      </c>
    </row>
    <row r="458" spans="1:24">
      <c r="A458" s="7" t="s">
        <v>550</v>
      </c>
      <c r="B458" s="16" t="s">
        <v>87</v>
      </c>
      <c r="C458">
        <v>77363086.340490237</v>
      </c>
      <c r="D458">
        <v>67416249.58476074</v>
      </c>
      <c r="E458">
        <v>909009.00900901004</v>
      </c>
      <c r="F458">
        <v>127927.927927928</v>
      </c>
      <c r="G458">
        <v>50</v>
      </c>
      <c r="H458">
        <v>27</v>
      </c>
      <c r="I458">
        <v>2</v>
      </c>
      <c r="J458">
        <v>2</v>
      </c>
      <c r="M458">
        <v>55</v>
      </c>
      <c r="N458">
        <v>33</v>
      </c>
      <c r="O458">
        <v>4918018.0180180185</v>
      </c>
      <c r="P458">
        <v>3980180.1801801799</v>
      </c>
      <c r="Q458">
        <v>6</v>
      </c>
      <c r="R458">
        <v>5</v>
      </c>
      <c r="S458">
        <v>13746061.26126126</v>
      </c>
      <c r="T458">
        <v>10238756.756756756</v>
      </c>
      <c r="U458">
        <v>4499009.0090090092</v>
      </c>
      <c r="V458">
        <v>4090090.0900900909</v>
      </c>
      <c r="W458">
        <v>1342</v>
      </c>
      <c r="X458">
        <v>1496</v>
      </c>
    </row>
    <row r="459" spans="1:24">
      <c r="A459" s="7" t="s">
        <v>551</v>
      </c>
      <c r="B459" s="16" t="s">
        <v>87</v>
      </c>
      <c r="C459">
        <v>113166523.16065055</v>
      </c>
      <c r="D459">
        <v>104474984.91651165</v>
      </c>
      <c r="E459">
        <v>58724460.360360362</v>
      </c>
      <c r="F459">
        <v>47291804.504504502</v>
      </c>
      <c r="G459">
        <v>111</v>
      </c>
      <c r="H459">
        <v>63</v>
      </c>
      <c r="I459">
        <v>3</v>
      </c>
      <c r="J459">
        <v>3</v>
      </c>
      <c r="K459">
        <v>1</v>
      </c>
      <c r="M459">
        <v>119</v>
      </c>
      <c r="N459">
        <v>72</v>
      </c>
      <c r="O459">
        <v>12046846.846846847</v>
      </c>
      <c r="P459">
        <v>6491891.891891893</v>
      </c>
      <c r="Q459">
        <v>6</v>
      </c>
      <c r="R459">
        <v>27</v>
      </c>
      <c r="S459">
        <v>16105270.270270269</v>
      </c>
      <c r="T459">
        <v>15803772.972972972</v>
      </c>
      <c r="U459">
        <v>8374144.1441441448</v>
      </c>
      <c r="V459">
        <v>6741621.6216216218</v>
      </c>
      <c r="W459">
        <v>2610</v>
      </c>
      <c r="X459">
        <v>2551</v>
      </c>
    </row>
    <row r="460" spans="1:24">
      <c r="A460" s="7" t="s">
        <v>552</v>
      </c>
      <c r="B460" s="16" t="s">
        <v>66</v>
      </c>
      <c r="C460">
        <v>208370225.16698819</v>
      </c>
      <c r="D460">
        <v>204618389.39207083</v>
      </c>
      <c r="E460">
        <v>1893423.4234234251</v>
      </c>
      <c r="F460">
        <v>4869369.369369369</v>
      </c>
      <c r="G460">
        <v>168</v>
      </c>
      <c r="H460">
        <v>60</v>
      </c>
      <c r="I460">
        <v>6</v>
      </c>
      <c r="J460">
        <v>4</v>
      </c>
      <c r="M460">
        <v>182</v>
      </c>
      <c r="N460">
        <v>160</v>
      </c>
      <c r="O460">
        <v>45038648.648648649</v>
      </c>
      <c r="P460">
        <v>184013423.42342341</v>
      </c>
      <c r="Q460">
        <v>493</v>
      </c>
      <c r="R460">
        <v>227</v>
      </c>
      <c r="S460">
        <v>88538675.675675675</v>
      </c>
      <c r="T460">
        <v>86272731.981981978</v>
      </c>
      <c r="U460">
        <v>42162702.702702701</v>
      </c>
      <c r="V460">
        <v>104712792.7927928</v>
      </c>
      <c r="W460">
        <v>8870</v>
      </c>
      <c r="X460">
        <v>9074</v>
      </c>
    </row>
    <row r="461" spans="1:24">
      <c r="A461" s="7" t="s">
        <v>553</v>
      </c>
      <c r="B461" s="16" t="s">
        <v>554</v>
      </c>
      <c r="C461">
        <v>442255381.32402498</v>
      </c>
      <c r="D461">
        <v>405484988.7158832</v>
      </c>
      <c r="E461">
        <v>24847361.261261266</v>
      </c>
      <c r="F461">
        <v>111090132.43243243</v>
      </c>
      <c r="G461">
        <v>204</v>
      </c>
      <c r="H461">
        <v>64</v>
      </c>
      <c r="I461">
        <v>16</v>
      </c>
      <c r="J461">
        <v>13</v>
      </c>
      <c r="K461">
        <v>1</v>
      </c>
      <c r="M461">
        <v>324</v>
      </c>
      <c r="N461">
        <v>88</v>
      </c>
      <c r="O461">
        <v>40914054.054054059</v>
      </c>
      <c r="P461">
        <v>122260360.36036035</v>
      </c>
      <c r="Q461">
        <v>274</v>
      </c>
      <c r="R461">
        <v>267</v>
      </c>
      <c r="S461">
        <v>118581648.64864865</v>
      </c>
      <c r="T461">
        <v>111557009.009009</v>
      </c>
      <c r="U461">
        <v>34432342.342342347</v>
      </c>
      <c r="V461">
        <v>116793603.6036036</v>
      </c>
      <c r="W461">
        <v>9242</v>
      </c>
      <c r="X461">
        <v>9438</v>
      </c>
    </row>
    <row r="462" spans="1:24">
      <c r="A462" s="7" t="s">
        <v>555</v>
      </c>
      <c r="B462" s="16" t="s">
        <v>554</v>
      </c>
      <c r="C462">
        <v>70152256.276927337</v>
      </c>
      <c r="D462">
        <v>62710821.245541938</v>
      </c>
      <c r="E462">
        <v>9716216.2162162177</v>
      </c>
      <c r="F462">
        <v>3950450.450450452</v>
      </c>
      <c r="G462">
        <v>39</v>
      </c>
      <c r="H462">
        <v>25</v>
      </c>
      <c r="I462">
        <v>3</v>
      </c>
      <c r="J462">
        <v>3</v>
      </c>
      <c r="M462">
        <v>41</v>
      </c>
      <c r="N462">
        <v>27</v>
      </c>
      <c r="O462">
        <v>9298018.0180180185</v>
      </c>
      <c r="P462">
        <v>6545045.0450450452</v>
      </c>
      <c r="Q462">
        <v>32</v>
      </c>
      <c r="R462">
        <v>8</v>
      </c>
      <c r="S462">
        <v>25273198.198198199</v>
      </c>
      <c r="T462">
        <v>23384405.405405402</v>
      </c>
      <c r="U462">
        <v>6957747.7477477472</v>
      </c>
      <c r="V462">
        <v>8702162.1621621605</v>
      </c>
      <c r="W462">
        <v>1641</v>
      </c>
      <c r="X462">
        <v>1570</v>
      </c>
    </row>
    <row r="463" spans="1:24">
      <c r="A463" s="7" t="s">
        <v>556</v>
      </c>
      <c r="B463" s="16" t="s">
        <v>121</v>
      </c>
      <c r="C463">
        <v>48226233.734408803</v>
      </c>
      <c r="D463">
        <v>47561040.792177305</v>
      </c>
      <c r="E463">
        <v>180180.18018018</v>
      </c>
      <c r="F463">
        <v>180180.18018018</v>
      </c>
      <c r="G463">
        <v>36</v>
      </c>
      <c r="H463">
        <v>21</v>
      </c>
      <c r="I463">
        <v>1</v>
      </c>
      <c r="M463">
        <v>40</v>
      </c>
      <c r="N463">
        <v>23</v>
      </c>
      <c r="O463">
        <v>270270.27027027</v>
      </c>
      <c r="P463">
        <v>180180.18018018</v>
      </c>
      <c r="Q463">
        <v>10</v>
      </c>
      <c r="S463">
        <v>4394954.9549549557</v>
      </c>
      <c r="T463">
        <v>4482558.55855856</v>
      </c>
      <c r="U463">
        <v>276576.57657657599</v>
      </c>
      <c r="V463">
        <v>118918.91891891899</v>
      </c>
      <c r="W463">
        <v>1400</v>
      </c>
      <c r="X463">
        <v>1323</v>
      </c>
    </row>
    <row r="464" spans="1:24">
      <c r="A464" s="7" t="s">
        <v>557</v>
      </c>
      <c r="B464" s="16" t="s">
        <v>70</v>
      </c>
      <c r="C464">
        <v>376846201.39416283</v>
      </c>
      <c r="D464">
        <v>376547756.68326718</v>
      </c>
      <c r="E464">
        <v>2194999.9999999981</v>
      </c>
      <c r="F464">
        <v>4097297.2972973022</v>
      </c>
      <c r="G464">
        <v>104</v>
      </c>
      <c r="H464">
        <v>88</v>
      </c>
      <c r="I464">
        <v>5</v>
      </c>
      <c r="J464">
        <v>22</v>
      </c>
      <c r="M464">
        <v>109</v>
      </c>
      <c r="N464">
        <v>101</v>
      </c>
      <c r="O464">
        <v>47171351.351351351</v>
      </c>
      <c r="P464">
        <v>50082882.882882886</v>
      </c>
      <c r="Q464">
        <v>24</v>
      </c>
      <c r="R464">
        <v>158</v>
      </c>
      <c r="S464">
        <v>153632954.95495495</v>
      </c>
      <c r="T464">
        <v>159791927.92792794</v>
      </c>
      <c r="U464">
        <v>49963963.963963971</v>
      </c>
      <c r="V464">
        <v>44798648.648648649</v>
      </c>
      <c r="W464">
        <v>10275</v>
      </c>
      <c r="X464">
        <v>10276</v>
      </c>
    </row>
    <row r="465" spans="1:24">
      <c r="A465" s="7" t="s">
        <v>558</v>
      </c>
      <c r="B465" s="16" t="s">
        <v>62</v>
      </c>
      <c r="C465">
        <v>679987307.00213253</v>
      </c>
      <c r="D465">
        <v>680238391.40043879</v>
      </c>
      <c r="E465">
        <v>5194594.5945946006</v>
      </c>
      <c r="F465">
        <v>10112612.612612616</v>
      </c>
      <c r="G465">
        <v>204</v>
      </c>
      <c r="H465">
        <v>235</v>
      </c>
      <c r="I465">
        <v>22</v>
      </c>
      <c r="J465">
        <v>17</v>
      </c>
      <c r="K465">
        <v>7</v>
      </c>
      <c r="M465">
        <v>239</v>
      </c>
      <c r="N465">
        <v>368</v>
      </c>
      <c r="O465">
        <v>53777567.567567565</v>
      </c>
      <c r="P465">
        <v>95199459.459459454</v>
      </c>
      <c r="Q465">
        <v>103</v>
      </c>
      <c r="R465">
        <v>210</v>
      </c>
      <c r="S465">
        <v>155570610.8108108</v>
      </c>
      <c r="T465">
        <v>156648274.77477479</v>
      </c>
      <c r="U465">
        <v>49217567.567567565</v>
      </c>
      <c r="V465">
        <v>88903693.693693697</v>
      </c>
      <c r="W465">
        <v>17958</v>
      </c>
      <c r="X465">
        <v>18344</v>
      </c>
    </row>
    <row r="466" spans="1:24">
      <c r="A466" s="7" t="s">
        <v>559</v>
      </c>
      <c r="B466" s="16" t="s">
        <v>479</v>
      </c>
      <c r="C466">
        <v>358569609.87537527</v>
      </c>
      <c r="D466">
        <v>319637290.38900626</v>
      </c>
      <c r="E466">
        <v>897297.29729729902</v>
      </c>
      <c r="F466">
        <v>2743243.2432432459</v>
      </c>
      <c r="G466">
        <v>169</v>
      </c>
      <c r="H466">
        <v>108</v>
      </c>
      <c r="I466">
        <v>16</v>
      </c>
      <c r="J466">
        <v>21</v>
      </c>
      <c r="K466">
        <v>2</v>
      </c>
      <c r="M466">
        <v>186</v>
      </c>
      <c r="N466">
        <v>142</v>
      </c>
      <c r="O466">
        <v>37021621.621621624</v>
      </c>
      <c r="P466">
        <v>35039369.369369373</v>
      </c>
      <c r="Q466">
        <v>41</v>
      </c>
      <c r="R466">
        <v>23</v>
      </c>
      <c r="S466">
        <v>102241772.97297297</v>
      </c>
      <c r="T466">
        <v>97674619.819819823</v>
      </c>
      <c r="U466">
        <v>37155675.675675683</v>
      </c>
      <c r="V466">
        <v>37714864.864864863</v>
      </c>
      <c r="W466">
        <v>8031</v>
      </c>
      <c r="X466">
        <v>7723</v>
      </c>
    </row>
    <row r="467" spans="1:24">
      <c r="A467" s="7" t="s">
        <v>560</v>
      </c>
      <c r="B467" s="16" t="s">
        <v>236</v>
      </c>
      <c r="C467">
        <v>53697573.640164621</v>
      </c>
      <c r="D467">
        <v>55998347.044813894</v>
      </c>
      <c r="E467">
        <v>36936.936936938</v>
      </c>
      <c r="F467">
        <v>382882.88288288401</v>
      </c>
      <c r="G467">
        <v>19</v>
      </c>
      <c r="H467">
        <v>20</v>
      </c>
      <c r="I467">
        <v>1</v>
      </c>
      <c r="J467">
        <v>2</v>
      </c>
      <c r="M467">
        <v>24</v>
      </c>
      <c r="N467">
        <v>23</v>
      </c>
      <c r="O467">
        <v>5027027.0270270277</v>
      </c>
      <c r="P467">
        <v>3305135.1351351328</v>
      </c>
      <c r="Q467">
        <v>3</v>
      </c>
      <c r="R467">
        <v>2</v>
      </c>
      <c r="S467">
        <v>19959324.324324325</v>
      </c>
      <c r="T467">
        <v>21427630.630630631</v>
      </c>
      <c r="U467">
        <v>4934324.3243243238</v>
      </c>
      <c r="V467">
        <v>3557747.7477477472</v>
      </c>
      <c r="W467">
        <v>2146</v>
      </c>
      <c r="X467">
        <v>2238</v>
      </c>
    </row>
    <row r="468" spans="1:24">
      <c r="A468" s="7" t="s">
        <v>561</v>
      </c>
      <c r="B468" s="16" t="s">
        <v>60</v>
      </c>
      <c r="C468">
        <v>52049195.862977065</v>
      </c>
      <c r="D468">
        <v>52475879.485267371</v>
      </c>
      <c r="E468">
        <v>626576.57657657703</v>
      </c>
      <c r="F468">
        <v>1943243.2432432431</v>
      </c>
      <c r="G468">
        <v>17</v>
      </c>
      <c r="H468">
        <v>17</v>
      </c>
      <c r="I468">
        <v>2</v>
      </c>
      <c r="J468">
        <v>6</v>
      </c>
      <c r="M468">
        <v>18</v>
      </c>
      <c r="N468">
        <v>34</v>
      </c>
      <c r="O468">
        <v>12004954.954954956</v>
      </c>
      <c r="P468">
        <v>13907207.20720721</v>
      </c>
      <c r="Q468">
        <v>47</v>
      </c>
      <c r="R468">
        <v>58</v>
      </c>
      <c r="S468">
        <v>18176486.486486487</v>
      </c>
      <c r="T468">
        <v>19080423.423423424</v>
      </c>
      <c r="U468">
        <v>11053513.513513513</v>
      </c>
      <c r="V468">
        <v>14069639.63963964</v>
      </c>
      <c r="W468">
        <v>1227</v>
      </c>
      <c r="X468">
        <v>1251</v>
      </c>
    </row>
    <row r="469" spans="1:24">
      <c r="A469" s="7" t="s">
        <v>562</v>
      </c>
      <c r="B469" s="16" t="s">
        <v>563</v>
      </c>
      <c r="C469">
        <v>281679112.09037924</v>
      </c>
      <c r="D469">
        <v>294481368.55901897</v>
      </c>
      <c r="E469">
        <v>62030089.189189203</v>
      </c>
      <c r="F469">
        <v>623990495.49549556</v>
      </c>
      <c r="G469">
        <v>233</v>
      </c>
      <c r="H469">
        <v>254</v>
      </c>
      <c r="I469">
        <v>17</v>
      </c>
      <c r="J469">
        <v>25</v>
      </c>
      <c r="M469">
        <v>497</v>
      </c>
      <c r="N469">
        <v>605</v>
      </c>
      <c r="O469">
        <v>158813927.92792794</v>
      </c>
      <c r="P469">
        <v>464353618.01801807</v>
      </c>
      <c r="Q469">
        <v>231</v>
      </c>
      <c r="R469">
        <v>114</v>
      </c>
      <c r="S469">
        <v>116412477.47747748</v>
      </c>
      <c r="T469">
        <v>123261792.7927928</v>
      </c>
      <c r="U469">
        <v>148839425.22522521</v>
      </c>
      <c r="V469">
        <v>219104706.3063063</v>
      </c>
      <c r="W469">
        <v>8799</v>
      </c>
      <c r="X469">
        <v>8780</v>
      </c>
    </row>
    <row r="470" spans="1:24">
      <c r="A470" s="7" t="s">
        <v>564</v>
      </c>
      <c r="B470" s="16" t="s">
        <v>563</v>
      </c>
      <c r="C470">
        <v>398900691.78811318</v>
      </c>
      <c r="D470">
        <v>397897814.97213668</v>
      </c>
      <c r="E470">
        <v>1454414.4144144191</v>
      </c>
      <c r="F470">
        <v>3237837.83783784</v>
      </c>
      <c r="G470">
        <v>125</v>
      </c>
      <c r="H470">
        <v>139</v>
      </c>
      <c r="I470">
        <v>20</v>
      </c>
      <c r="J470">
        <v>20</v>
      </c>
      <c r="M470">
        <v>155</v>
      </c>
      <c r="N470">
        <v>152</v>
      </c>
      <c r="O470">
        <v>40573603.603603601</v>
      </c>
      <c r="P470">
        <v>32691668.468468469</v>
      </c>
      <c r="Q470">
        <v>341</v>
      </c>
      <c r="R470">
        <v>185</v>
      </c>
      <c r="S470">
        <v>160247702.7027027</v>
      </c>
      <c r="T470">
        <v>164832621.62162164</v>
      </c>
      <c r="U470">
        <v>49638288.288288288</v>
      </c>
      <c r="V470">
        <v>34336531.531531535</v>
      </c>
      <c r="W470">
        <v>11777</v>
      </c>
      <c r="X470">
        <v>13080</v>
      </c>
    </row>
    <row r="471" spans="1:24">
      <c r="A471" s="7" t="s">
        <v>565</v>
      </c>
      <c r="B471" s="16" t="s">
        <v>563</v>
      </c>
      <c r="C471">
        <v>288778219.33758187</v>
      </c>
      <c r="D471">
        <v>288582408.25547737</v>
      </c>
      <c r="E471">
        <v>2236666.6666666698</v>
      </c>
      <c r="F471">
        <v>3694594.594594596</v>
      </c>
      <c r="G471">
        <v>90</v>
      </c>
      <c r="H471">
        <v>268</v>
      </c>
      <c r="I471">
        <v>22</v>
      </c>
      <c r="J471">
        <v>14</v>
      </c>
      <c r="K471">
        <v>1</v>
      </c>
      <c r="M471">
        <v>123</v>
      </c>
      <c r="N471">
        <v>365</v>
      </c>
      <c r="O471">
        <v>38171351.351351351</v>
      </c>
      <c r="P471">
        <v>30437973.873873871</v>
      </c>
      <c r="Q471">
        <v>292</v>
      </c>
      <c r="R471">
        <v>202</v>
      </c>
      <c r="S471">
        <v>121409585.58558558</v>
      </c>
      <c r="T471">
        <v>130296828.82882883</v>
      </c>
      <c r="U471">
        <v>40184414.414414413</v>
      </c>
      <c r="V471">
        <v>28483963.963963963</v>
      </c>
      <c r="W471">
        <v>12145</v>
      </c>
      <c r="X471">
        <v>11501</v>
      </c>
    </row>
    <row r="472" spans="1:24">
      <c r="A472" s="7" t="s">
        <v>566</v>
      </c>
      <c r="B472" s="16" t="s">
        <v>563</v>
      </c>
      <c r="C472">
        <v>186626248.70445549</v>
      </c>
      <c r="D472">
        <v>189943711.34503981</v>
      </c>
      <c r="E472">
        <v>280180.18018018</v>
      </c>
      <c r="F472">
        <v>2249549.5495495498</v>
      </c>
      <c r="G472">
        <v>30</v>
      </c>
      <c r="H472">
        <v>20</v>
      </c>
      <c r="I472">
        <v>6</v>
      </c>
      <c r="J472">
        <v>15</v>
      </c>
      <c r="M472">
        <v>38</v>
      </c>
      <c r="N472">
        <v>30</v>
      </c>
      <c r="O472">
        <v>30891579.279279277</v>
      </c>
      <c r="P472">
        <v>31591818.018018015</v>
      </c>
      <c r="Q472">
        <v>106</v>
      </c>
      <c r="R472">
        <v>74</v>
      </c>
      <c r="S472">
        <v>106337783.78378379</v>
      </c>
      <c r="T472">
        <v>111957441.44144145</v>
      </c>
      <c r="U472">
        <v>29729864.864864867</v>
      </c>
      <c r="V472">
        <v>29057252.252252251</v>
      </c>
      <c r="W472">
        <v>6733</v>
      </c>
      <c r="X472">
        <v>6371</v>
      </c>
    </row>
    <row r="473" spans="1:24">
      <c r="A473" s="7" t="s">
        <v>567</v>
      </c>
      <c r="B473" s="16" t="s">
        <v>563</v>
      </c>
      <c r="C473">
        <v>111168730.62063283</v>
      </c>
      <c r="D473">
        <v>111999127.38890862</v>
      </c>
      <c r="E473">
        <v>36782432.432432435</v>
      </c>
      <c r="F473">
        <v>36592432.432432435</v>
      </c>
      <c r="G473">
        <v>34</v>
      </c>
      <c r="H473">
        <v>30</v>
      </c>
      <c r="I473">
        <v>3</v>
      </c>
      <c r="J473">
        <v>14</v>
      </c>
      <c r="K473">
        <v>3</v>
      </c>
      <c r="M473">
        <v>39</v>
      </c>
      <c r="N473">
        <v>42</v>
      </c>
      <c r="O473">
        <v>34799954.954954959</v>
      </c>
      <c r="P473">
        <v>30725713.513513513</v>
      </c>
      <c r="Q473">
        <v>399</v>
      </c>
      <c r="R473">
        <v>72</v>
      </c>
      <c r="S473">
        <v>44053828.828828834</v>
      </c>
      <c r="T473">
        <v>45906655.855855852</v>
      </c>
      <c r="U473">
        <v>31499504.504504506</v>
      </c>
      <c r="V473">
        <v>20055315.315315314</v>
      </c>
      <c r="W473">
        <v>4629</v>
      </c>
      <c r="X473">
        <v>4755</v>
      </c>
    </row>
    <row r="474" spans="1:24">
      <c r="A474" s="7" t="s">
        <v>568</v>
      </c>
      <c r="B474" s="16" t="s">
        <v>48</v>
      </c>
      <c r="C474">
        <v>265643702.88359874</v>
      </c>
      <c r="D474">
        <v>248373597.45111713</v>
      </c>
      <c r="E474">
        <v>199549.54954954999</v>
      </c>
      <c r="F474">
        <v>833333.33333333395</v>
      </c>
      <c r="G474">
        <v>10</v>
      </c>
      <c r="H474">
        <v>9</v>
      </c>
      <c r="I474">
        <v>1</v>
      </c>
      <c r="J474">
        <v>1</v>
      </c>
      <c r="M474">
        <v>13</v>
      </c>
      <c r="N474">
        <v>58</v>
      </c>
      <c r="O474">
        <v>13713063.063063065</v>
      </c>
      <c r="P474">
        <v>9842342.3423423432</v>
      </c>
      <c r="Q474">
        <v>3</v>
      </c>
      <c r="S474">
        <v>29390484.684684683</v>
      </c>
      <c r="T474">
        <v>30967419.819819819</v>
      </c>
      <c r="U474">
        <v>9552432.4324324317</v>
      </c>
      <c r="V474">
        <v>10378738.73873874</v>
      </c>
      <c r="W474">
        <v>6258</v>
      </c>
      <c r="X474">
        <v>5985</v>
      </c>
    </row>
    <row r="475" spans="1:24">
      <c r="A475" s="7" t="s">
        <v>569</v>
      </c>
      <c r="B475" s="16" t="s">
        <v>169</v>
      </c>
      <c r="C475">
        <v>3966563467.7956891</v>
      </c>
      <c r="D475">
        <v>4002461363.6419153</v>
      </c>
      <c r="E475">
        <v>3519449463.963964</v>
      </c>
      <c r="F475">
        <v>3324270678.3783784</v>
      </c>
      <c r="G475">
        <v>812</v>
      </c>
      <c r="H475">
        <v>1253</v>
      </c>
      <c r="I475">
        <v>66</v>
      </c>
      <c r="J475">
        <v>60</v>
      </c>
      <c r="K475">
        <v>6</v>
      </c>
      <c r="M475">
        <v>1007</v>
      </c>
      <c r="N475">
        <v>1751</v>
      </c>
      <c r="O475">
        <v>1323464416.2162163</v>
      </c>
      <c r="P475">
        <v>455740956.75675672</v>
      </c>
      <c r="Q475">
        <v>1507</v>
      </c>
      <c r="R475">
        <v>650</v>
      </c>
      <c r="S475">
        <v>2479165167.5675673</v>
      </c>
      <c r="T475">
        <v>2716659630.6306305</v>
      </c>
      <c r="U475">
        <v>413373736.93693697</v>
      </c>
      <c r="V475">
        <v>439715942.34234232</v>
      </c>
      <c r="W475">
        <v>57177</v>
      </c>
      <c r="X475">
        <v>58047</v>
      </c>
    </row>
    <row r="476" spans="1:24">
      <c r="A476" s="7" t="s">
        <v>570</v>
      </c>
      <c r="B476" s="16" t="s">
        <v>220</v>
      </c>
      <c r="C476">
        <v>245379859.91369313</v>
      </c>
      <c r="D476">
        <v>226365398.42151812</v>
      </c>
      <c r="E476">
        <v>689189.18918919098</v>
      </c>
      <c r="F476">
        <v>1130630.6306306331</v>
      </c>
      <c r="G476">
        <v>30</v>
      </c>
      <c r="H476">
        <v>19</v>
      </c>
      <c r="I476">
        <v>3</v>
      </c>
      <c r="J476">
        <v>3</v>
      </c>
      <c r="M476">
        <v>31</v>
      </c>
      <c r="N476">
        <v>23</v>
      </c>
      <c r="O476">
        <v>10772522.522522524</v>
      </c>
      <c r="P476">
        <v>8483513.513513511</v>
      </c>
      <c r="Q476">
        <v>150</v>
      </c>
      <c r="R476">
        <v>5</v>
      </c>
      <c r="S476">
        <v>39418063.063063063</v>
      </c>
      <c r="T476">
        <v>37989360.360360362</v>
      </c>
      <c r="U476">
        <v>11418648.648648648</v>
      </c>
      <c r="V476">
        <v>7643243.2432432398</v>
      </c>
      <c r="W476">
        <v>5219</v>
      </c>
      <c r="X476">
        <v>4802</v>
      </c>
    </row>
    <row r="477" spans="1:24">
      <c r="A477" s="7" t="s">
        <v>571</v>
      </c>
      <c r="B477" s="16" t="s">
        <v>85</v>
      </c>
      <c r="C477">
        <v>272593746.41278052</v>
      </c>
      <c r="D477">
        <v>271153452.26315033</v>
      </c>
      <c r="E477">
        <v>746846.84684684698</v>
      </c>
      <c r="F477">
        <v>225225.22522522701</v>
      </c>
      <c r="G477">
        <v>24</v>
      </c>
      <c r="H477">
        <v>26</v>
      </c>
      <c r="I477">
        <v>1</v>
      </c>
      <c r="J477">
        <v>3</v>
      </c>
      <c r="M477">
        <v>25</v>
      </c>
      <c r="N477">
        <v>28</v>
      </c>
      <c r="O477">
        <v>5773873.8738738736</v>
      </c>
      <c r="P477">
        <v>21164042.342342347</v>
      </c>
      <c r="Q477">
        <v>136</v>
      </c>
      <c r="S477">
        <v>60709221.621621624</v>
      </c>
      <c r="T477">
        <v>62983313.513513513</v>
      </c>
      <c r="U477">
        <v>7267477.4774774769</v>
      </c>
      <c r="V477">
        <v>17282162.162162162</v>
      </c>
      <c r="W477">
        <v>5067</v>
      </c>
      <c r="X477">
        <v>4937</v>
      </c>
    </row>
    <row r="478" spans="1:24">
      <c r="A478" s="7" t="s">
        <v>572</v>
      </c>
      <c r="B478" s="16" t="s">
        <v>479</v>
      </c>
      <c r="C478">
        <v>133852553.92999595</v>
      </c>
      <c r="D478">
        <v>146450893.64818525</v>
      </c>
      <c r="E478">
        <v>102963832.43243243</v>
      </c>
      <c r="F478">
        <v>80481386.486486495</v>
      </c>
      <c r="G478">
        <v>68</v>
      </c>
      <c r="H478">
        <v>91</v>
      </c>
      <c r="I478">
        <v>6</v>
      </c>
      <c r="J478">
        <v>6</v>
      </c>
      <c r="M478">
        <v>97</v>
      </c>
      <c r="N478">
        <v>130</v>
      </c>
      <c r="O478">
        <v>32302349.54954955</v>
      </c>
      <c r="P478">
        <v>28224689.189189192</v>
      </c>
      <c r="Q478">
        <v>14</v>
      </c>
      <c r="R478">
        <v>22</v>
      </c>
      <c r="S478">
        <v>47654504.504504502</v>
      </c>
      <c r="T478">
        <v>60174517.117117122</v>
      </c>
      <c r="U478">
        <v>22459099.099099096</v>
      </c>
      <c r="V478">
        <v>21292252.252252255</v>
      </c>
      <c r="W478">
        <v>5239</v>
      </c>
      <c r="X478">
        <v>5204</v>
      </c>
    </row>
    <row r="479" spans="1:24">
      <c r="A479" s="7" t="s">
        <v>573</v>
      </c>
      <c r="B479" s="16" t="s">
        <v>94</v>
      </c>
      <c r="C479">
        <v>390940809.34340698</v>
      </c>
      <c r="D479">
        <v>374452192.24409115</v>
      </c>
      <c r="E479">
        <v>1398198.1981982</v>
      </c>
      <c r="F479">
        <v>2146846.8468468469</v>
      </c>
      <c r="G479">
        <v>111</v>
      </c>
      <c r="H479">
        <v>65</v>
      </c>
      <c r="I479">
        <v>10</v>
      </c>
      <c r="J479">
        <v>7</v>
      </c>
      <c r="M479">
        <v>130</v>
      </c>
      <c r="N479">
        <v>96</v>
      </c>
      <c r="O479">
        <v>483322522.52252251</v>
      </c>
      <c r="P479">
        <v>842336036.03603613</v>
      </c>
      <c r="Q479">
        <v>88</v>
      </c>
      <c r="R479">
        <v>208</v>
      </c>
      <c r="S479">
        <v>85154950.45045045</v>
      </c>
      <c r="T479">
        <v>82590477.927927941</v>
      </c>
      <c r="U479">
        <v>27380090.090090089</v>
      </c>
      <c r="V479">
        <v>31331981.981981985</v>
      </c>
      <c r="W479">
        <v>9651</v>
      </c>
      <c r="X479">
        <v>9991</v>
      </c>
    </row>
    <row r="480" spans="1:24">
      <c r="A480" s="7" t="s">
        <v>574</v>
      </c>
      <c r="B480" s="16" t="s">
        <v>307</v>
      </c>
      <c r="C480">
        <v>853432409.840608</v>
      </c>
      <c r="D480">
        <v>861772998.84682083</v>
      </c>
      <c r="E480">
        <v>182979144.14414415</v>
      </c>
      <c r="F480">
        <v>367836036.03603601</v>
      </c>
      <c r="G480">
        <v>257</v>
      </c>
      <c r="H480">
        <v>274</v>
      </c>
      <c r="I480">
        <v>14</v>
      </c>
      <c r="J480">
        <v>19</v>
      </c>
      <c r="M480">
        <v>289</v>
      </c>
      <c r="N480">
        <v>382</v>
      </c>
      <c r="O480">
        <v>724743873.87387395</v>
      </c>
      <c r="P480">
        <v>757866981.98198199</v>
      </c>
      <c r="Q480">
        <v>1463</v>
      </c>
      <c r="R480">
        <v>1541</v>
      </c>
      <c r="S480">
        <v>333771846.84684682</v>
      </c>
      <c r="T480">
        <v>346195922.07207209</v>
      </c>
      <c r="U480">
        <v>78132927.927927941</v>
      </c>
      <c r="V480">
        <v>164681306.3063063</v>
      </c>
      <c r="W480">
        <v>32002</v>
      </c>
      <c r="X480">
        <v>33504</v>
      </c>
    </row>
    <row r="481" spans="1:24">
      <c r="A481" s="7" t="s">
        <v>10</v>
      </c>
      <c r="B481" s="16" t="s">
        <v>193</v>
      </c>
      <c r="C481">
        <v>143750506.58803564</v>
      </c>
      <c r="D481">
        <v>137913546.39254794</v>
      </c>
      <c r="G481">
        <v>9</v>
      </c>
      <c r="H481">
        <v>18</v>
      </c>
      <c r="J481">
        <v>0</v>
      </c>
      <c r="M481">
        <v>9</v>
      </c>
      <c r="N481">
        <v>19</v>
      </c>
      <c r="S481">
        <v>82946441.441441447</v>
      </c>
      <c r="T481">
        <v>83313709.909909904</v>
      </c>
      <c r="V481">
        <v>19639.639639640001</v>
      </c>
      <c r="W481">
        <v>3991</v>
      </c>
      <c r="X481">
        <v>3663</v>
      </c>
    </row>
    <row r="482" spans="1:24">
      <c r="A482" s="7" t="s">
        <v>575</v>
      </c>
      <c r="B482" s="16" t="s">
        <v>87</v>
      </c>
      <c r="C482">
        <v>3382805.9605340222</v>
      </c>
      <c r="D482">
        <v>3129345.7441926892</v>
      </c>
      <c r="G482">
        <v>3</v>
      </c>
      <c r="H482">
        <v>15</v>
      </c>
      <c r="M482">
        <v>4</v>
      </c>
      <c r="N482">
        <v>16</v>
      </c>
      <c r="S482">
        <v>1075225.2252252251</v>
      </c>
      <c r="T482">
        <v>1033845.045045045</v>
      </c>
      <c r="W482">
        <v>253</v>
      </c>
      <c r="X482">
        <v>242</v>
      </c>
    </row>
    <row r="483" spans="1:24">
      <c r="A483" s="7" t="s">
        <v>576</v>
      </c>
      <c r="B483" s="16" t="s">
        <v>283</v>
      </c>
      <c r="C483">
        <v>203464911.04242057</v>
      </c>
      <c r="D483">
        <v>191005777.62422419</v>
      </c>
      <c r="E483">
        <v>35135.135135135002</v>
      </c>
      <c r="F483">
        <v>323423.42342342302</v>
      </c>
      <c r="G483">
        <v>50</v>
      </c>
      <c r="H483">
        <v>22</v>
      </c>
      <c r="I483">
        <v>2</v>
      </c>
      <c r="J483">
        <v>0</v>
      </c>
      <c r="M483">
        <v>53</v>
      </c>
      <c r="N483">
        <v>24</v>
      </c>
      <c r="O483">
        <v>10125225.225225223</v>
      </c>
      <c r="P483">
        <v>16143243.243243244</v>
      </c>
      <c r="R483">
        <v>8</v>
      </c>
      <c r="S483">
        <v>28740990.990990993</v>
      </c>
      <c r="T483">
        <v>30870198.198198199</v>
      </c>
      <c r="U483">
        <v>7902072.072072071</v>
      </c>
      <c r="V483">
        <v>15958018.01801802</v>
      </c>
      <c r="W483">
        <v>3613</v>
      </c>
      <c r="X483">
        <v>3493</v>
      </c>
    </row>
    <row r="484" spans="1:24">
      <c r="A484" s="7" t="s">
        <v>577</v>
      </c>
      <c r="B484" s="16" t="s">
        <v>307</v>
      </c>
      <c r="C484">
        <v>848137860.39658427</v>
      </c>
      <c r="D484">
        <v>817977882.91862512</v>
      </c>
      <c r="E484">
        <v>1399369.3693693751</v>
      </c>
      <c r="F484">
        <v>6985135.1351351412</v>
      </c>
      <c r="G484">
        <v>395</v>
      </c>
      <c r="H484">
        <v>358</v>
      </c>
      <c r="I484">
        <v>30</v>
      </c>
      <c r="J484">
        <v>25</v>
      </c>
      <c r="M484">
        <v>486</v>
      </c>
      <c r="N484">
        <v>452</v>
      </c>
      <c r="O484">
        <v>82589504.504504502</v>
      </c>
      <c r="P484">
        <v>116906036.03603603</v>
      </c>
      <c r="Q484">
        <v>1164</v>
      </c>
      <c r="R484">
        <v>1009</v>
      </c>
      <c r="S484">
        <v>324739558.55855852</v>
      </c>
      <c r="T484">
        <v>345117045.04504508</v>
      </c>
      <c r="U484">
        <v>77484414.414414421</v>
      </c>
      <c r="V484">
        <v>85513063.063063055</v>
      </c>
      <c r="W484">
        <v>38655</v>
      </c>
      <c r="X484">
        <v>38038</v>
      </c>
    </row>
    <row r="485" spans="1:24">
      <c r="A485" s="7" t="s">
        <v>578</v>
      </c>
      <c r="B485" s="16" t="s">
        <v>330</v>
      </c>
      <c r="C485">
        <v>809738887.11539888</v>
      </c>
      <c r="D485">
        <v>769197318.1229378</v>
      </c>
      <c r="E485">
        <v>2256306.3063063091</v>
      </c>
      <c r="F485">
        <v>6593243.2432432491</v>
      </c>
      <c r="G485">
        <v>287</v>
      </c>
      <c r="H485">
        <v>300</v>
      </c>
      <c r="I485">
        <v>30</v>
      </c>
      <c r="J485">
        <v>29</v>
      </c>
      <c r="K485">
        <v>5</v>
      </c>
      <c r="M485">
        <v>378</v>
      </c>
      <c r="N485">
        <v>358</v>
      </c>
      <c r="O485">
        <v>155825045.04504505</v>
      </c>
      <c r="P485">
        <v>68554954.954954952</v>
      </c>
      <c r="Q485">
        <v>786</v>
      </c>
      <c r="R485">
        <v>204</v>
      </c>
      <c r="S485">
        <v>159793828.82882884</v>
      </c>
      <c r="T485">
        <v>167425423.42342341</v>
      </c>
      <c r="U485">
        <v>152225045.04504505</v>
      </c>
      <c r="V485">
        <v>68985315.315315306</v>
      </c>
      <c r="W485">
        <v>28513</v>
      </c>
      <c r="X485">
        <v>27846</v>
      </c>
    </row>
    <row r="486" spans="1:24">
      <c r="A486" s="7" t="s">
        <v>579</v>
      </c>
      <c r="B486" s="16" t="s">
        <v>66</v>
      </c>
      <c r="C486">
        <v>122833588.12445684</v>
      </c>
      <c r="D486">
        <v>116873929.58889109</v>
      </c>
      <c r="E486">
        <v>144594.59459459499</v>
      </c>
      <c r="F486">
        <v>320720.720720721</v>
      </c>
      <c r="G486">
        <v>27</v>
      </c>
      <c r="H486">
        <v>19</v>
      </c>
      <c r="I486">
        <v>1</v>
      </c>
      <c r="J486">
        <v>0</v>
      </c>
      <c r="M486">
        <v>33</v>
      </c>
      <c r="N486">
        <v>22</v>
      </c>
      <c r="O486">
        <v>1779279.27927928</v>
      </c>
      <c r="P486">
        <v>2826576.576576577</v>
      </c>
      <c r="Q486">
        <v>20</v>
      </c>
      <c r="S486">
        <v>30225630.630630631</v>
      </c>
      <c r="T486">
        <v>30824364.864864863</v>
      </c>
      <c r="U486">
        <v>2008738.7387387401</v>
      </c>
      <c r="V486">
        <v>2773243.2432432431</v>
      </c>
      <c r="W486">
        <v>3324</v>
      </c>
      <c r="X486">
        <v>3399</v>
      </c>
    </row>
    <row r="487" spans="1:24">
      <c r="A487" s="7" t="s">
        <v>580</v>
      </c>
      <c r="B487" s="16" t="s">
        <v>236</v>
      </c>
      <c r="C487">
        <v>3.9162587420000001</v>
      </c>
      <c r="D487">
        <v>12011.332970474001</v>
      </c>
    </row>
    <row r="488" spans="1:24">
      <c r="A488" s="7" t="s">
        <v>581</v>
      </c>
      <c r="B488" s="16" t="s">
        <v>62</v>
      </c>
      <c r="C488">
        <v>308287925.03930104</v>
      </c>
      <c r="D488">
        <v>302637868.4309001</v>
      </c>
      <c r="E488">
        <v>1543693.6936936991</v>
      </c>
      <c r="F488">
        <v>3041441.4414414512</v>
      </c>
      <c r="G488">
        <v>122</v>
      </c>
      <c r="H488">
        <v>183</v>
      </c>
      <c r="I488">
        <v>17</v>
      </c>
      <c r="J488">
        <v>20</v>
      </c>
      <c r="M488">
        <v>130</v>
      </c>
      <c r="N488">
        <v>186</v>
      </c>
      <c r="O488">
        <v>27637387.387387387</v>
      </c>
      <c r="P488">
        <v>27168288.288288288</v>
      </c>
      <c r="Q488">
        <v>62</v>
      </c>
      <c r="R488">
        <v>125</v>
      </c>
      <c r="S488">
        <v>68130576.576576576</v>
      </c>
      <c r="T488">
        <v>68659351.351351351</v>
      </c>
      <c r="U488">
        <v>25696486.486486487</v>
      </c>
      <c r="V488">
        <v>27638018.018018015</v>
      </c>
      <c r="W488">
        <v>6632</v>
      </c>
      <c r="X488">
        <v>6685</v>
      </c>
    </row>
    <row r="489" spans="1:24">
      <c r="A489" s="7" t="s">
        <v>582</v>
      </c>
      <c r="B489" s="16" t="s">
        <v>48</v>
      </c>
      <c r="C489">
        <v>301938840.28432375</v>
      </c>
      <c r="D489">
        <v>277254703.60227525</v>
      </c>
      <c r="E489">
        <v>2575765.7657657652</v>
      </c>
      <c r="F489">
        <v>966261.26126126305</v>
      </c>
      <c r="G489">
        <v>92</v>
      </c>
      <c r="H489">
        <v>39</v>
      </c>
      <c r="I489">
        <v>3</v>
      </c>
      <c r="J489">
        <v>3</v>
      </c>
      <c r="M489">
        <v>94</v>
      </c>
      <c r="N489">
        <v>49</v>
      </c>
      <c r="O489">
        <v>41959729.729729727</v>
      </c>
      <c r="P489">
        <v>105349639.63963965</v>
      </c>
      <c r="Q489">
        <v>1</v>
      </c>
      <c r="R489">
        <v>5</v>
      </c>
      <c r="S489">
        <v>43886396.396396399</v>
      </c>
      <c r="T489">
        <v>41005747.747747742</v>
      </c>
      <c r="U489">
        <v>35179279.279279277</v>
      </c>
      <c r="V489">
        <v>88189639.639639631</v>
      </c>
      <c r="W489">
        <v>5598</v>
      </c>
      <c r="X489">
        <v>5383</v>
      </c>
    </row>
    <row r="490" spans="1:24">
      <c r="A490" s="7" t="s">
        <v>583</v>
      </c>
      <c r="B490" s="16" t="s">
        <v>54</v>
      </c>
      <c r="C490">
        <v>54716699.468281448</v>
      </c>
      <c r="D490">
        <v>54540122.461269528</v>
      </c>
      <c r="E490">
        <v>895720.72072072199</v>
      </c>
      <c r="F490">
        <v>515315.31531531602</v>
      </c>
      <c r="G490">
        <v>10</v>
      </c>
      <c r="H490">
        <v>19</v>
      </c>
      <c r="I490">
        <v>4</v>
      </c>
      <c r="J490">
        <v>5</v>
      </c>
      <c r="M490">
        <v>15</v>
      </c>
      <c r="N490">
        <v>40</v>
      </c>
      <c r="O490">
        <v>9490990.9909909889</v>
      </c>
      <c r="P490">
        <v>8373963.9639639631</v>
      </c>
      <c r="Q490">
        <v>63</v>
      </c>
      <c r="R490">
        <v>51</v>
      </c>
      <c r="S490">
        <v>13878063.063063065</v>
      </c>
      <c r="T490">
        <v>14133335.585585587</v>
      </c>
      <c r="U490">
        <v>8990360.3603603579</v>
      </c>
      <c r="V490">
        <v>7452342.3423423423</v>
      </c>
      <c r="W490">
        <v>2045</v>
      </c>
      <c r="X490">
        <v>2006</v>
      </c>
    </row>
    <row r="491" spans="1:24">
      <c r="A491" s="7" t="s">
        <v>584</v>
      </c>
      <c r="B491" s="16" t="s">
        <v>70</v>
      </c>
      <c r="C491">
        <v>143167250.32690537</v>
      </c>
      <c r="D491">
        <v>140265267.26411632</v>
      </c>
      <c r="E491">
        <v>864864.86486486497</v>
      </c>
      <c r="F491">
        <v>100000</v>
      </c>
      <c r="G491">
        <v>26</v>
      </c>
      <c r="H491">
        <v>36</v>
      </c>
      <c r="J491">
        <v>1</v>
      </c>
      <c r="M491">
        <v>29</v>
      </c>
      <c r="N491">
        <v>39</v>
      </c>
      <c r="O491">
        <v>1757657.657657658</v>
      </c>
      <c r="P491">
        <v>1588288.2882882899</v>
      </c>
      <c r="Q491">
        <v>4</v>
      </c>
      <c r="R491">
        <v>6</v>
      </c>
      <c r="S491">
        <v>62793243.24324324</v>
      </c>
      <c r="T491">
        <v>63906045.045045048</v>
      </c>
      <c r="U491">
        <v>1804054.0540540549</v>
      </c>
      <c r="V491">
        <v>1812612.6126126139</v>
      </c>
      <c r="W491">
        <v>3633</v>
      </c>
      <c r="X491">
        <v>3621</v>
      </c>
    </row>
    <row r="492" spans="1:24">
      <c r="A492" s="7" t="s">
        <v>585</v>
      </c>
      <c r="B492" s="16" t="s">
        <v>330</v>
      </c>
      <c r="C492">
        <v>560071694.39213204</v>
      </c>
      <c r="D492">
        <v>519636977.35587317</v>
      </c>
      <c r="E492">
        <v>2249774.7747747749</v>
      </c>
      <c r="F492">
        <v>4703603.6036036033</v>
      </c>
      <c r="G492">
        <v>214</v>
      </c>
      <c r="H492">
        <v>223</v>
      </c>
      <c r="I492">
        <v>17</v>
      </c>
      <c r="J492">
        <v>17</v>
      </c>
      <c r="M492">
        <v>261</v>
      </c>
      <c r="N492">
        <v>269</v>
      </c>
      <c r="O492">
        <v>35509009.009009011</v>
      </c>
      <c r="P492">
        <v>48925225.225225225</v>
      </c>
      <c r="Q492">
        <v>466</v>
      </c>
      <c r="R492">
        <v>132</v>
      </c>
      <c r="S492">
        <v>132492079.27927928</v>
      </c>
      <c r="T492">
        <v>132439165.76576576</v>
      </c>
      <c r="U492">
        <v>31780720.72072072</v>
      </c>
      <c r="V492">
        <v>46214954.954954952</v>
      </c>
      <c r="W492">
        <v>20961</v>
      </c>
      <c r="X492">
        <v>20199</v>
      </c>
    </row>
    <row r="493" spans="1:24">
      <c r="A493" s="7" t="s">
        <v>586</v>
      </c>
      <c r="B493" s="16" t="s">
        <v>66</v>
      </c>
      <c r="C493">
        <v>242532359.5146825</v>
      </c>
      <c r="D493">
        <v>249899336.11961392</v>
      </c>
      <c r="E493">
        <v>151189011.7117117</v>
      </c>
      <c r="F493">
        <v>710811318.01801801</v>
      </c>
      <c r="G493">
        <v>105</v>
      </c>
      <c r="H493">
        <v>114</v>
      </c>
      <c r="I493">
        <v>9</v>
      </c>
      <c r="J493">
        <v>7</v>
      </c>
      <c r="M493">
        <v>126</v>
      </c>
      <c r="N493">
        <v>255</v>
      </c>
      <c r="O493">
        <v>30161621.62162162</v>
      </c>
      <c r="P493">
        <v>72230585.585585579</v>
      </c>
      <c r="Q493">
        <v>419</v>
      </c>
      <c r="R493">
        <v>91</v>
      </c>
      <c r="S493">
        <v>121850603.6036036</v>
      </c>
      <c r="T493">
        <v>122867630.63063063</v>
      </c>
      <c r="U493">
        <v>28403693.693693697</v>
      </c>
      <c r="V493">
        <v>45779864.864864863</v>
      </c>
      <c r="W493">
        <v>10348</v>
      </c>
      <c r="X493">
        <v>10487</v>
      </c>
    </row>
    <row r="494" spans="1:24">
      <c r="A494" s="7" t="s">
        <v>11</v>
      </c>
      <c r="B494" s="16" t="s">
        <v>193</v>
      </c>
      <c r="C494">
        <v>113151292.38975427</v>
      </c>
      <c r="D494">
        <v>118968605.62736063</v>
      </c>
      <c r="E494">
        <v>342342.34234234103</v>
      </c>
      <c r="F494">
        <v>112612.612612615</v>
      </c>
      <c r="G494">
        <v>40</v>
      </c>
      <c r="H494">
        <v>27</v>
      </c>
      <c r="I494">
        <v>6</v>
      </c>
      <c r="J494">
        <v>0</v>
      </c>
      <c r="M494">
        <v>43</v>
      </c>
      <c r="N494">
        <v>33</v>
      </c>
      <c r="O494">
        <v>3324324.3243243229</v>
      </c>
      <c r="P494">
        <v>2545045.0450450471</v>
      </c>
      <c r="Q494">
        <v>44</v>
      </c>
      <c r="S494">
        <v>37479324.324324317</v>
      </c>
      <c r="T494">
        <v>40399326.576576576</v>
      </c>
      <c r="U494">
        <v>4160720.7207207181</v>
      </c>
      <c r="V494">
        <v>2436126.1261261259</v>
      </c>
      <c r="W494">
        <v>3891</v>
      </c>
      <c r="X494">
        <v>3959</v>
      </c>
    </row>
    <row r="495" spans="1:24">
      <c r="A495" s="7" t="s">
        <v>12</v>
      </c>
      <c r="B495" s="16" t="s">
        <v>193</v>
      </c>
      <c r="C495">
        <v>79444907.40513283</v>
      </c>
      <c r="D495">
        <v>77108406.95339261</v>
      </c>
      <c r="E495">
        <v>55513738.738738738</v>
      </c>
      <c r="F495">
        <v>25871171.171171177</v>
      </c>
      <c r="G495">
        <v>22</v>
      </c>
      <c r="H495">
        <v>11</v>
      </c>
      <c r="I495">
        <v>8</v>
      </c>
      <c r="J495">
        <v>3</v>
      </c>
      <c r="M495">
        <v>27</v>
      </c>
      <c r="N495">
        <v>12</v>
      </c>
      <c r="O495">
        <v>10494819.819819819</v>
      </c>
      <c r="P495">
        <v>7357882.8828828838</v>
      </c>
      <c r="Q495">
        <v>70</v>
      </c>
      <c r="S495">
        <v>31092423.423423424</v>
      </c>
      <c r="T495">
        <v>30368216.216216218</v>
      </c>
      <c r="U495">
        <v>4866216.2162162149</v>
      </c>
      <c r="V495">
        <v>8173153.1531531531</v>
      </c>
      <c r="W495">
        <v>2837</v>
      </c>
      <c r="X495">
        <v>2860</v>
      </c>
    </row>
    <row r="496" spans="1:24">
      <c r="A496" s="7" t="s">
        <v>587</v>
      </c>
      <c r="B496" s="16" t="s">
        <v>60</v>
      </c>
      <c r="C496">
        <v>61508152.230270192</v>
      </c>
      <c r="D496">
        <v>64710363.836373143</v>
      </c>
      <c r="E496">
        <v>206306.30630630799</v>
      </c>
      <c r="F496">
        <v>493693.69369369402</v>
      </c>
      <c r="G496">
        <v>28</v>
      </c>
      <c r="H496">
        <v>21</v>
      </c>
      <c r="I496">
        <v>5</v>
      </c>
      <c r="J496">
        <v>7</v>
      </c>
      <c r="M496">
        <v>40</v>
      </c>
      <c r="N496">
        <v>32</v>
      </c>
      <c r="O496">
        <v>9764864.8648648635</v>
      </c>
      <c r="P496">
        <v>11367567.567567568</v>
      </c>
      <c r="Q496">
        <v>74</v>
      </c>
      <c r="R496">
        <v>65</v>
      </c>
      <c r="S496">
        <v>23582432.432432432</v>
      </c>
      <c r="T496">
        <v>24306119.369369369</v>
      </c>
      <c r="U496">
        <v>9512702.7027027048</v>
      </c>
      <c r="V496">
        <v>10507927.927927928</v>
      </c>
      <c r="W496">
        <v>1806</v>
      </c>
      <c r="X496">
        <v>1837</v>
      </c>
    </row>
    <row r="497" spans="1:24">
      <c r="A497" s="7" t="s">
        <v>588</v>
      </c>
      <c r="B497" s="16" t="s">
        <v>307</v>
      </c>
      <c r="C497">
        <v>1838410688.760514</v>
      </c>
      <c r="D497">
        <v>1785341313.4287069</v>
      </c>
      <c r="E497">
        <v>840821145.04504514</v>
      </c>
      <c r="F497">
        <v>979742783.78378379</v>
      </c>
      <c r="G497">
        <v>718</v>
      </c>
      <c r="H497">
        <v>813</v>
      </c>
      <c r="I497">
        <v>70</v>
      </c>
      <c r="J497">
        <v>61</v>
      </c>
      <c r="K497">
        <v>1</v>
      </c>
      <c r="M497">
        <v>868</v>
      </c>
      <c r="N497">
        <v>1033</v>
      </c>
      <c r="O497">
        <v>187887522.52252254</v>
      </c>
      <c r="P497">
        <v>480197297.2972973</v>
      </c>
      <c r="Q497">
        <v>1794</v>
      </c>
      <c r="R497">
        <v>1956</v>
      </c>
      <c r="S497">
        <v>558089594.5945946</v>
      </c>
      <c r="T497">
        <v>570948319.81981981</v>
      </c>
      <c r="U497">
        <v>180235855.85585585</v>
      </c>
      <c r="V497">
        <v>314337837.83783782</v>
      </c>
      <c r="W497">
        <v>64886</v>
      </c>
      <c r="X497">
        <v>63639</v>
      </c>
    </row>
    <row r="498" spans="1:24">
      <c r="A498" s="7" t="s">
        <v>589</v>
      </c>
      <c r="B498" s="16" t="s">
        <v>52</v>
      </c>
      <c r="C498">
        <v>440347514.74111891</v>
      </c>
      <c r="D498">
        <v>425803097.73384857</v>
      </c>
      <c r="E498">
        <v>13979549.549549552</v>
      </c>
      <c r="F498">
        <v>6463963.9639639687</v>
      </c>
      <c r="G498">
        <v>73</v>
      </c>
      <c r="H498">
        <v>100</v>
      </c>
      <c r="I498">
        <v>12</v>
      </c>
      <c r="J498">
        <v>20</v>
      </c>
      <c r="M498">
        <v>120</v>
      </c>
      <c r="N498">
        <v>213</v>
      </c>
      <c r="O498">
        <v>43781441.441441439</v>
      </c>
      <c r="P498">
        <v>111449504.50450452</v>
      </c>
      <c r="Q498">
        <v>224</v>
      </c>
      <c r="R498">
        <v>756</v>
      </c>
      <c r="S498">
        <v>173517842.34234235</v>
      </c>
      <c r="T498">
        <v>172478018.01801801</v>
      </c>
      <c r="U498">
        <v>41206756.75675676</v>
      </c>
      <c r="V498">
        <v>123574639.63963963</v>
      </c>
      <c r="W498">
        <v>14391</v>
      </c>
      <c r="X498">
        <v>14114</v>
      </c>
    </row>
    <row r="499" spans="1:24">
      <c r="A499" s="7" t="s">
        <v>590</v>
      </c>
      <c r="B499" s="16" t="s">
        <v>54</v>
      </c>
      <c r="C499">
        <v>35386310.396447822</v>
      </c>
      <c r="D499">
        <v>36797433.569733746</v>
      </c>
      <c r="E499">
        <v>643018.01801801799</v>
      </c>
      <c r="F499">
        <v>667567.56756756699</v>
      </c>
      <c r="G499">
        <v>9</v>
      </c>
      <c r="H499">
        <v>16</v>
      </c>
      <c r="I499">
        <v>2</v>
      </c>
      <c r="J499">
        <v>2</v>
      </c>
      <c r="M499">
        <v>10</v>
      </c>
      <c r="N499">
        <v>20</v>
      </c>
      <c r="O499">
        <v>10166666.666666668</v>
      </c>
      <c r="P499">
        <v>6072972.9729729723</v>
      </c>
      <c r="Q499">
        <v>18</v>
      </c>
      <c r="R499">
        <v>14</v>
      </c>
      <c r="S499">
        <v>11758099.0990991</v>
      </c>
      <c r="T499">
        <v>11337234.234234234</v>
      </c>
      <c r="U499">
        <v>6293693.6936936937</v>
      </c>
      <c r="V499">
        <v>6400810.8108108109</v>
      </c>
      <c r="W499">
        <v>1549</v>
      </c>
      <c r="X499">
        <v>1615</v>
      </c>
    </row>
    <row r="500" spans="1:24">
      <c r="A500" s="7" t="s">
        <v>591</v>
      </c>
      <c r="B500" s="16" t="s">
        <v>169</v>
      </c>
      <c r="C500">
        <v>1073710049.7219267</v>
      </c>
      <c r="D500">
        <v>1034165283.3513931</v>
      </c>
      <c r="E500">
        <v>7007387.3873873912</v>
      </c>
      <c r="F500">
        <v>4578603.6036036061</v>
      </c>
      <c r="G500">
        <v>130</v>
      </c>
      <c r="H500">
        <v>79</v>
      </c>
      <c r="I500">
        <v>14</v>
      </c>
      <c r="J500">
        <v>12</v>
      </c>
      <c r="K500">
        <v>1</v>
      </c>
      <c r="M500">
        <v>156</v>
      </c>
      <c r="N500">
        <v>122</v>
      </c>
      <c r="O500">
        <v>149341981.98198199</v>
      </c>
      <c r="P500">
        <v>200241439.63963965</v>
      </c>
      <c r="Q500">
        <v>257</v>
      </c>
      <c r="R500">
        <v>206</v>
      </c>
      <c r="S500">
        <v>357952205.4054054</v>
      </c>
      <c r="T500">
        <v>352594824.32432437</v>
      </c>
      <c r="U500">
        <v>129983243.24324325</v>
      </c>
      <c r="V500">
        <v>176869189.1891892</v>
      </c>
      <c r="W500">
        <v>23708</v>
      </c>
      <c r="X500">
        <v>23583</v>
      </c>
    </row>
    <row r="501" spans="1:24">
      <c r="A501" s="7" t="s">
        <v>592</v>
      </c>
      <c r="B501" s="16" t="s">
        <v>87</v>
      </c>
      <c r="C501">
        <v>6069932.1229173131</v>
      </c>
      <c r="D501">
        <v>5204661.3729840806</v>
      </c>
      <c r="H501">
        <v>2</v>
      </c>
      <c r="N501">
        <v>2</v>
      </c>
      <c r="S501">
        <v>1366657.657657658</v>
      </c>
      <c r="T501">
        <v>1374009.009009009</v>
      </c>
      <c r="W501">
        <v>341</v>
      </c>
      <c r="X501">
        <v>301</v>
      </c>
    </row>
    <row r="502" spans="1:24">
      <c r="A502" s="7" t="s">
        <v>593</v>
      </c>
      <c r="B502" s="16" t="s">
        <v>143</v>
      </c>
      <c r="C502">
        <v>76379751.719909132</v>
      </c>
      <c r="D502">
        <v>74850502.785330519</v>
      </c>
      <c r="E502">
        <v>28828.828828829999</v>
      </c>
      <c r="F502">
        <v>181081.08108108299</v>
      </c>
      <c r="G502">
        <v>10</v>
      </c>
      <c r="H502">
        <v>25</v>
      </c>
      <c r="I502">
        <v>4</v>
      </c>
      <c r="J502">
        <v>1</v>
      </c>
      <c r="M502">
        <v>14</v>
      </c>
      <c r="N502">
        <v>26</v>
      </c>
      <c r="O502">
        <v>3614414.4144144142</v>
      </c>
      <c r="P502">
        <v>8559459.4594594613</v>
      </c>
      <c r="Q502">
        <v>36</v>
      </c>
      <c r="S502">
        <v>6881711.7117117113</v>
      </c>
      <c r="T502">
        <v>8050981.9819819806</v>
      </c>
      <c r="U502">
        <v>3557837.8378378372</v>
      </c>
      <c r="V502">
        <v>3905045.0450450452</v>
      </c>
      <c r="W502">
        <v>1587</v>
      </c>
      <c r="X502">
        <v>1626</v>
      </c>
    </row>
    <row r="503" spans="1:24">
      <c r="A503" s="7" t="s">
        <v>594</v>
      </c>
      <c r="B503" s="16" t="s">
        <v>290</v>
      </c>
      <c r="C503">
        <v>20515286.531183597</v>
      </c>
      <c r="D503">
        <v>19280582.622967038</v>
      </c>
      <c r="E503">
        <v>122977031.53153154</v>
      </c>
      <c r="F503">
        <v>113974049.54954955</v>
      </c>
      <c r="G503">
        <v>2</v>
      </c>
      <c r="H503">
        <v>1</v>
      </c>
      <c r="M503">
        <v>2</v>
      </c>
      <c r="N503">
        <v>1</v>
      </c>
      <c r="O503">
        <v>16445509.90990991</v>
      </c>
      <c r="P503">
        <v>18380081.981981985</v>
      </c>
      <c r="Q503">
        <v>44</v>
      </c>
      <c r="S503">
        <v>874639.63963963999</v>
      </c>
      <c r="T503">
        <v>1174279.2792792791</v>
      </c>
      <c r="W503">
        <v>581</v>
      </c>
      <c r="X503">
        <v>696</v>
      </c>
    </row>
    <row r="504" spans="1:24">
      <c r="A504" s="7" t="s">
        <v>595</v>
      </c>
      <c r="B504" s="16" t="s">
        <v>92</v>
      </c>
      <c r="C504">
        <v>27445846.367959436</v>
      </c>
      <c r="D504">
        <v>25267083.795469336</v>
      </c>
      <c r="E504">
        <v>371171.171171172</v>
      </c>
      <c r="F504">
        <v>1216216.2162162161</v>
      </c>
      <c r="G504">
        <v>10</v>
      </c>
      <c r="H504">
        <v>17</v>
      </c>
      <c r="I504">
        <v>1</v>
      </c>
      <c r="J504">
        <v>2</v>
      </c>
      <c r="M504">
        <v>10</v>
      </c>
      <c r="N504">
        <v>21</v>
      </c>
      <c r="O504">
        <v>690810.81081080996</v>
      </c>
      <c r="P504">
        <v>2207207.207207208</v>
      </c>
      <c r="Q504">
        <v>1</v>
      </c>
      <c r="R504">
        <v>8</v>
      </c>
      <c r="S504">
        <v>4045495.4954954959</v>
      </c>
      <c r="T504">
        <v>4717198.1981981983</v>
      </c>
      <c r="U504">
        <v>702702.70270270295</v>
      </c>
      <c r="V504">
        <v>2485315.315315316</v>
      </c>
      <c r="W504">
        <v>598</v>
      </c>
      <c r="X504">
        <v>1164</v>
      </c>
    </row>
    <row r="505" spans="1:24">
      <c r="A505" s="7" t="s">
        <v>596</v>
      </c>
      <c r="B505" s="16" t="s">
        <v>50</v>
      </c>
      <c r="C505">
        <v>96491350.285102352</v>
      </c>
      <c r="D505">
        <v>88440339.339350149</v>
      </c>
      <c r="E505">
        <v>82661486.486486495</v>
      </c>
      <c r="F505">
        <v>112725270.27027027</v>
      </c>
      <c r="G505">
        <v>9</v>
      </c>
      <c r="H505">
        <v>10</v>
      </c>
      <c r="I505">
        <v>1</v>
      </c>
      <c r="J505">
        <v>7</v>
      </c>
      <c r="M505">
        <v>9</v>
      </c>
      <c r="N505">
        <v>10</v>
      </c>
      <c r="O505">
        <v>38370675.675675675</v>
      </c>
      <c r="P505">
        <v>5165675.6756756762</v>
      </c>
      <c r="Q505">
        <v>217</v>
      </c>
      <c r="R505">
        <v>63</v>
      </c>
      <c r="S505">
        <v>20034544.144144144</v>
      </c>
      <c r="T505">
        <v>19137924.324324325</v>
      </c>
      <c r="U505">
        <v>20211801.801801801</v>
      </c>
      <c r="V505">
        <v>4189369.3693693699</v>
      </c>
      <c r="W505">
        <v>1557</v>
      </c>
      <c r="X505">
        <v>1634</v>
      </c>
    </row>
    <row r="506" spans="1:24">
      <c r="A506" s="7" t="s">
        <v>597</v>
      </c>
      <c r="B506" s="16" t="s">
        <v>89</v>
      </c>
      <c r="C506">
        <v>133885244.94884939</v>
      </c>
      <c r="D506">
        <v>137085477.87687868</v>
      </c>
      <c r="E506">
        <v>932882.88288288203</v>
      </c>
      <c r="F506">
        <v>1718018.0180180231</v>
      </c>
      <c r="G506">
        <v>24</v>
      </c>
      <c r="H506">
        <v>31</v>
      </c>
      <c r="I506">
        <v>1</v>
      </c>
      <c r="J506">
        <v>11</v>
      </c>
      <c r="K506">
        <v>1</v>
      </c>
      <c r="M506">
        <v>25</v>
      </c>
      <c r="N506">
        <v>150</v>
      </c>
      <c r="O506">
        <v>10468468.468468465</v>
      </c>
      <c r="P506">
        <v>11040900.9009009</v>
      </c>
      <c r="Q506">
        <v>161</v>
      </c>
      <c r="R506">
        <v>132</v>
      </c>
      <c r="S506">
        <v>30402610.810810812</v>
      </c>
      <c r="T506">
        <v>33269684.684684683</v>
      </c>
      <c r="U506">
        <v>10890450.450450452</v>
      </c>
      <c r="V506">
        <v>10104414.414414411</v>
      </c>
      <c r="W506">
        <v>3505</v>
      </c>
      <c r="X506">
        <v>3384</v>
      </c>
    </row>
    <row r="507" spans="1:24">
      <c r="A507" s="7" t="s">
        <v>598</v>
      </c>
      <c r="B507" s="16" t="s">
        <v>143</v>
      </c>
      <c r="C507">
        <v>53396105.92453821</v>
      </c>
      <c r="D507">
        <v>53224639.783465415</v>
      </c>
      <c r="E507">
        <v>1254054.054054053</v>
      </c>
      <c r="F507">
        <v>1113513.5135135141</v>
      </c>
      <c r="G507">
        <v>13</v>
      </c>
      <c r="H507">
        <v>1</v>
      </c>
      <c r="I507">
        <v>4</v>
      </c>
      <c r="J507">
        <v>3</v>
      </c>
      <c r="M507">
        <v>13</v>
      </c>
      <c r="N507">
        <v>3</v>
      </c>
      <c r="O507">
        <v>5757746.8468468469</v>
      </c>
      <c r="P507">
        <v>6068468.4684684677</v>
      </c>
      <c r="Q507">
        <v>41</v>
      </c>
      <c r="R507">
        <v>1</v>
      </c>
      <c r="S507">
        <v>3453738.7387387389</v>
      </c>
      <c r="T507">
        <v>5187441.4414414419</v>
      </c>
      <c r="U507">
        <v>3604864.8648648639</v>
      </c>
      <c r="V507">
        <v>3769189.18918919</v>
      </c>
      <c r="W507">
        <v>1149</v>
      </c>
      <c r="X507">
        <v>1204</v>
      </c>
    </row>
    <row r="508" spans="1:24">
      <c r="A508" s="7" t="s">
        <v>599</v>
      </c>
      <c r="B508" s="16" t="s">
        <v>125</v>
      </c>
      <c r="C508">
        <v>139027273.68043268</v>
      </c>
      <c r="D508">
        <v>135636873.87395659</v>
      </c>
      <c r="E508">
        <v>39970045.045045048</v>
      </c>
      <c r="F508">
        <v>52029729.729729727</v>
      </c>
      <c r="G508">
        <v>12</v>
      </c>
      <c r="H508">
        <v>16</v>
      </c>
      <c r="I508">
        <v>0</v>
      </c>
      <c r="J508">
        <v>1</v>
      </c>
      <c r="M508">
        <v>14</v>
      </c>
      <c r="N508">
        <v>19</v>
      </c>
      <c r="O508">
        <v>36309324.324324317</v>
      </c>
      <c r="P508">
        <v>18414324.324324325</v>
      </c>
      <c r="Q508">
        <v>3</v>
      </c>
      <c r="R508">
        <v>2</v>
      </c>
      <c r="S508">
        <v>52043828.828828834</v>
      </c>
      <c r="T508">
        <v>51677243.24324324</v>
      </c>
      <c r="U508">
        <v>21527657.657657657</v>
      </c>
      <c r="V508">
        <v>17232702.702702705</v>
      </c>
      <c r="W508">
        <v>3316</v>
      </c>
      <c r="X508">
        <v>3401</v>
      </c>
    </row>
    <row r="509" spans="1:24">
      <c r="A509" s="7" t="s">
        <v>600</v>
      </c>
      <c r="B509" s="16" t="s">
        <v>50</v>
      </c>
      <c r="C509">
        <v>328819737.82548904</v>
      </c>
      <c r="D509">
        <v>332491601.64469707</v>
      </c>
      <c r="E509">
        <v>2616756.7567567579</v>
      </c>
      <c r="F509">
        <v>3351351.351351351</v>
      </c>
      <c r="G509">
        <v>36</v>
      </c>
      <c r="H509">
        <v>27</v>
      </c>
      <c r="I509">
        <v>8</v>
      </c>
      <c r="J509">
        <v>4</v>
      </c>
      <c r="K509">
        <v>1</v>
      </c>
      <c r="M509">
        <v>40</v>
      </c>
      <c r="N509">
        <v>31</v>
      </c>
      <c r="O509">
        <v>44970900.900900893</v>
      </c>
      <c r="P509">
        <v>44765945.945945941</v>
      </c>
      <c r="Q509">
        <v>171</v>
      </c>
      <c r="R509">
        <v>13</v>
      </c>
      <c r="S509">
        <v>136881873.87387386</v>
      </c>
      <c r="T509">
        <v>139687423.42342341</v>
      </c>
      <c r="U509">
        <v>43126846.846846849</v>
      </c>
      <c r="V509">
        <v>43036216.216216214</v>
      </c>
      <c r="W509">
        <v>7653</v>
      </c>
      <c r="X509">
        <v>7589</v>
      </c>
    </row>
    <row r="510" spans="1:24">
      <c r="A510" s="7" t="s">
        <v>601</v>
      </c>
      <c r="B510" s="16" t="s">
        <v>89</v>
      </c>
      <c r="C510">
        <v>97987861.040988192</v>
      </c>
      <c r="D510">
        <v>97852134.68689017</v>
      </c>
      <c r="E510">
        <v>3609639.6396396412</v>
      </c>
      <c r="F510">
        <v>756756.75675676297</v>
      </c>
      <c r="G510">
        <v>16</v>
      </c>
      <c r="H510">
        <v>9</v>
      </c>
      <c r="I510">
        <v>4</v>
      </c>
      <c r="J510">
        <v>8</v>
      </c>
      <c r="M510">
        <v>17</v>
      </c>
      <c r="N510">
        <v>10</v>
      </c>
      <c r="O510">
        <v>12477477.477477476</v>
      </c>
      <c r="P510">
        <v>26509009.009009015</v>
      </c>
      <c r="Q510">
        <v>102</v>
      </c>
      <c r="R510">
        <v>1753</v>
      </c>
      <c r="S510">
        <v>28457882.882882886</v>
      </c>
      <c r="T510">
        <v>29972990.990990993</v>
      </c>
      <c r="U510">
        <v>8481351.3513513505</v>
      </c>
      <c r="V510">
        <v>24454954.954954956</v>
      </c>
      <c r="W510">
        <v>2542</v>
      </c>
      <c r="X510">
        <v>2452</v>
      </c>
    </row>
    <row r="511" spans="1:24">
      <c r="A511" s="7" t="s">
        <v>602</v>
      </c>
      <c r="B511" s="16" t="s">
        <v>87</v>
      </c>
      <c r="C511">
        <v>94197544.202548787</v>
      </c>
      <c r="D511">
        <v>85706094.822290555</v>
      </c>
      <c r="E511">
        <v>399099.099099099</v>
      </c>
      <c r="F511">
        <v>617117.11711711704</v>
      </c>
      <c r="G511">
        <v>14</v>
      </c>
      <c r="H511">
        <v>10</v>
      </c>
      <c r="I511">
        <v>1</v>
      </c>
      <c r="J511">
        <v>1</v>
      </c>
      <c r="M511">
        <v>14</v>
      </c>
      <c r="N511">
        <v>14</v>
      </c>
      <c r="O511">
        <v>1705405.405405405</v>
      </c>
      <c r="P511">
        <v>896396.39639639598</v>
      </c>
      <c r="Q511">
        <v>4</v>
      </c>
      <c r="S511">
        <v>6944998.1981981983</v>
      </c>
      <c r="T511">
        <v>6470117.1171171172</v>
      </c>
      <c r="U511">
        <v>1082025.2252252251</v>
      </c>
      <c r="V511">
        <v>1006846.846846847</v>
      </c>
      <c r="W511">
        <v>1201</v>
      </c>
      <c r="X511">
        <v>1209</v>
      </c>
    </row>
    <row r="512" spans="1:24">
      <c r="A512" s="7" t="s">
        <v>603</v>
      </c>
      <c r="B512" s="16" t="s">
        <v>140</v>
      </c>
      <c r="C512">
        <v>683855953.63879132</v>
      </c>
      <c r="D512">
        <v>698526248.39490843</v>
      </c>
      <c r="E512">
        <v>448369636.93693697</v>
      </c>
      <c r="F512">
        <v>255479063.06306309</v>
      </c>
      <c r="G512">
        <v>211</v>
      </c>
      <c r="H512">
        <v>307</v>
      </c>
      <c r="I512">
        <v>18</v>
      </c>
      <c r="J512">
        <v>46</v>
      </c>
      <c r="K512">
        <v>8</v>
      </c>
      <c r="M512">
        <v>298</v>
      </c>
      <c r="N512">
        <v>513</v>
      </c>
      <c r="O512">
        <v>132973333.33333333</v>
      </c>
      <c r="P512">
        <v>114484864.86486487</v>
      </c>
      <c r="Q512">
        <v>716</v>
      </c>
      <c r="R512">
        <v>260</v>
      </c>
      <c r="S512">
        <v>163036976.57657659</v>
      </c>
      <c r="T512">
        <v>173255394.5945946</v>
      </c>
      <c r="U512">
        <v>123984144.14414415</v>
      </c>
      <c r="V512">
        <v>121057837.83783785</v>
      </c>
      <c r="W512">
        <v>18676</v>
      </c>
      <c r="X512">
        <v>18599</v>
      </c>
    </row>
    <row r="513" spans="1:24">
      <c r="A513" s="7" t="s">
        <v>604</v>
      </c>
      <c r="B513" s="16" t="s">
        <v>224</v>
      </c>
      <c r="C513">
        <v>135889442.00858083</v>
      </c>
      <c r="D513">
        <v>118791711.95059858</v>
      </c>
      <c r="E513">
        <v>10810.810810810999</v>
      </c>
      <c r="F513">
        <v>78378.378378377995</v>
      </c>
      <c r="G513">
        <v>16</v>
      </c>
      <c r="H513">
        <v>21</v>
      </c>
      <c r="I513">
        <v>1</v>
      </c>
      <c r="J513">
        <v>1</v>
      </c>
      <c r="M513">
        <v>23</v>
      </c>
      <c r="N513">
        <v>23</v>
      </c>
      <c r="O513">
        <v>2263063.0630630632</v>
      </c>
      <c r="P513">
        <v>3952252.2522522518</v>
      </c>
      <c r="R513">
        <v>5</v>
      </c>
      <c r="S513">
        <v>42530009.009009011</v>
      </c>
      <c r="T513">
        <v>39988333.333333336</v>
      </c>
      <c r="U513">
        <v>3769819.8198198192</v>
      </c>
      <c r="V513">
        <v>4579009.0090090083</v>
      </c>
      <c r="W513">
        <v>4848</v>
      </c>
      <c r="X513">
        <v>3640</v>
      </c>
    </row>
    <row r="514" spans="1:24">
      <c r="A514" s="7" t="s">
        <v>605</v>
      </c>
      <c r="B514" s="16" t="s">
        <v>224</v>
      </c>
      <c r="C514">
        <v>76940536.78379181</v>
      </c>
      <c r="D514">
        <v>77532024.282351524</v>
      </c>
      <c r="E514">
        <v>105074549.54954955</v>
      </c>
      <c r="F514">
        <v>112716756.75675675</v>
      </c>
      <c r="G514">
        <v>29</v>
      </c>
      <c r="H514">
        <v>28</v>
      </c>
      <c r="I514">
        <v>1</v>
      </c>
      <c r="J514">
        <v>0</v>
      </c>
      <c r="M514">
        <v>30</v>
      </c>
      <c r="N514">
        <v>29</v>
      </c>
      <c r="O514">
        <v>10281981.981981983</v>
      </c>
      <c r="P514">
        <v>6897522.5225225221</v>
      </c>
      <c r="Q514">
        <v>5</v>
      </c>
      <c r="S514">
        <v>20877027.02702703</v>
      </c>
      <c r="T514">
        <v>23258711.711711712</v>
      </c>
      <c r="U514">
        <v>4506486.4864864862</v>
      </c>
      <c r="V514">
        <v>4930450.4504504511</v>
      </c>
      <c r="W514">
        <v>3081</v>
      </c>
      <c r="X514">
        <v>3975</v>
      </c>
    </row>
    <row r="515" spans="1:24">
      <c r="A515" s="7" t="s">
        <v>606</v>
      </c>
      <c r="B515" s="16" t="s">
        <v>241</v>
      </c>
      <c r="C515">
        <v>70034595.581702933</v>
      </c>
      <c r="D515">
        <v>64164947.758557521</v>
      </c>
      <c r="E515">
        <v>13513.513513514001</v>
      </c>
      <c r="F515">
        <v>255855.85585585699</v>
      </c>
      <c r="G515">
        <v>37</v>
      </c>
      <c r="H515">
        <v>35</v>
      </c>
      <c r="I515">
        <v>2</v>
      </c>
      <c r="J515">
        <v>1</v>
      </c>
      <c r="M515">
        <v>40</v>
      </c>
      <c r="N515">
        <v>39</v>
      </c>
      <c r="O515">
        <v>5747207.2072072076</v>
      </c>
      <c r="P515">
        <v>5417117.1171171162</v>
      </c>
      <c r="Q515">
        <v>19</v>
      </c>
      <c r="R515">
        <v>12</v>
      </c>
      <c r="S515">
        <v>20519864.864864863</v>
      </c>
      <c r="T515">
        <v>20065342.342342343</v>
      </c>
      <c r="U515">
        <v>5447657.6576576568</v>
      </c>
      <c r="V515">
        <v>4923963.9639639622</v>
      </c>
      <c r="W515">
        <v>2380</v>
      </c>
      <c r="X515">
        <v>2308</v>
      </c>
    </row>
    <row r="516" spans="1:24">
      <c r="A516" s="7" t="s">
        <v>607</v>
      </c>
      <c r="B516" s="16" t="s">
        <v>140</v>
      </c>
      <c r="C516">
        <v>19690055.163248297</v>
      </c>
      <c r="D516">
        <v>19758969.133315422</v>
      </c>
      <c r="F516">
        <v>2702.7027027029999</v>
      </c>
      <c r="H516">
        <v>4</v>
      </c>
      <c r="N516">
        <v>4</v>
      </c>
      <c r="O516">
        <v>587387.38738738699</v>
      </c>
      <c r="P516">
        <v>227927.92792792799</v>
      </c>
      <c r="S516">
        <v>2520225.2252252251</v>
      </c>
      <c r="T516">
        <v>2432783.7837837841</v>
      </c>
      <c r="U516">
        <v>683603.60360360402</v>
      </c>
      <c r="V516">
        <v>496756.75675675698</v>
      </c>
      <c r="W516">
        <v>343</v>
      </c>
      <c r="X516">
        <v>342</v>
      </c>
    </row>
    <row r="517" spans="1:24">
      <c r="A517" s="7" t="s">
        <v>608</v>
      </c>
      <c r="B517" s="16" t="s">
        <v>189</v>
      </c>
      <c r="C517">
        <v>80252215.91480507</v>
      </c>
      <c r="D517">
        <v>74572576.060993135</v>
      </c>
      <c r="E517">
        <v>504279.27927927999</v>
      </c>
      <c r="F517">
        <v>1892792.7927927929</v>
      </c>
      <c r="G517">
        <v>28</v>
      </c>
      <c r="H517">
        <v>48</v>
      </c>
      <c r="I517">
        <v>3</v>
      </c>
      <c r="J517">
        <v>2</v>
      </c>
      <c r="M517">
        <v>31</v>
      </c>
      <c r="N517">
        <v>54</v>
      </c>
      <c r="O517">
        <v>9736036.0360360369</v>
      </c>
      <c r="P517">
        <v>9009909.9099099096</v>
      </c>
      <c r="Q517">
        <v>18</v>
      </c>
      <c r="R517">
        <v>2</v>
      </c>
      <c r="S517">
        <v>15764243.243243244</v>
      </c>
      <c r="T517">
        <v>18401536.036036037</v>
      </c>
      <c r="U517">
        <v>6452702.702702703</v>
      </c>
      <c r="V517">
        <v>7034684.6846846836</v>
      </c>
      <c r="W517">
        <v>1610</v>
      </c>
      <c r="X517">
        <v>1511</v>
      </c>
    </row>
    <row r="518" spans="1:24">
      <c r="A518" s="7" t="s">
        <v>609</v>
      </c>
      <c r="B518" s="16" t="s">
        <v>189</v>
      </c>
      <c r="C518">
        <v>202337248.50083452</v>
      </c>
      <c r="D518">
        <v>194378259.38963851</v>
      </c>
      <c r="E518">
        <v>19819.819819820001</v>
      </c>
      <c r="F518">
        <v>445945.94594594702</v>
      </c>
      <c r="G518">
        <v>76</v>
      </c>
      <c r="H518">
        <v>63</v>
      </c>
      <c r="I518">
        <v>4</v>
      </c>
      <c r="J518">
        <v>6</v>
      </c>
      <c r="M518">
        <v>85</v>
      </c>
      <c r="N518">
        <v>67</v>
      </c>
      <c r="O518">
        <v>9960360.3603603598</v>
      </c>
      <c r="P518">
        <v>11391891.891891891</v>
      </c>
      <c r="Q518">
        <v>37</v>
      </c>
      <c r="R518">
        <v>51</v>
      </c>
      <c r="S518">
        <v>28445675.675675675</v>
      </c>
      <c r="T518">
        <v>28060441.441441439</v>
      </c>
      <c r="U518">
        <v>7497117.1171171162</v>
      </c>
      <c r="V518">
        <v>6400450.450450452</v>
      </c>
      <c r="W518">
        <v>4021</v>
      </c>
      <c r="X518">
        <v>3945</v>
      </c>
    </row>
    <row r="519" spans="1:24">
      <c r="A519" s="7" t="s">
        <v>610</v>
      </c>
      <c r="B519" s="16" t="s">
        <v>189</v>
      </c>
      <c r="C519">
        <v>88773456.487583771</v>
      </c>
      <c r="D519">
        <v>85488760.341394737</v>
      </c>
      <c r="E519">
        <v>404729.72972973</v>
      </c>
      <c r="F519">
        <v>651126.12612612895</v>
      </c>
      <c r="G519">
        <v>18</v>
      </c>
      <c r="H519">
        <v>17</v>
      </c>
      <c r="I519">
        <v>3</v>
      </c>
      <c r="J519">
        <v>2</v>
      </c>
      <c r="M519">
        <v>19</v>
      </c>
      <c r="N519">
        <v>17</v>
      </c>
      <c r="O519">
        <v>5543243.2432432426</v>
      </c>
      <c r="P519">
        <v>4324324.3243243238</v>
      </c>
      <c r="Q519">
        <v>36</v>
      </c>
      <c r="R519">
        <v>202</v>
      </c>
      <c r="S519">
        <v>10603828.828828828</v>
      </c>
      <c r="T519">
        <v>9818054.0540540554</v>
      </c>
      <c r="U519">
        <v>4221351.3513513524</v>
      </c>
      <c r="V519">
        <v>4062252.2522522518</v>
      </c>
      <c r="W519">
        <v>1662</v>
      </c>
      <c r="X519">
        <v>1733</v>
      </c>
    </row>
    <row r="520" spans="1:24">
      <c r="A520" s="7" t="s">
        <v>611</v>
      </c>
      <c r="B520" s="16" t="s">
        <v>189</v>
      </c>
      <c r="C520">
        <v>26939634.241288248</v>
      </c>
      <c r="D520">
        <v>32305942.745938368</v>
      </c>
      <c r="E520">
        <v>31341058.558558561</v>
      </c>
      <c r="F520">
        <v>28545597.297297295</v>
      </c>
      <c r="G520">
        <v>22</v>
      </c>
      <c r="H520">
        <v>12</v>
      </c>
      <c r="I520">
        <v>1</v>
      </c>
      <c r="J520">
        <v>2</v>
      </c>
      <c r="M520">
        <v>24</v>
      </c>
      <c r="N520">
        <v>14</v>
      </c>
      <c r="O520">
        <v>2318018.018018018</v>
      </c>
      <c r="P520">
        <v>18724905.40540541</v>
      </c>
      <c r="Q520">
        <v>9</v>
      </c>
      <c r="R520">
        <v>3</v>
      </c>
      <c r="S520">
        <v>4531351.3513513505</v>
      </c>
      <c r="T520">
        <v>6032558.558558559</v>
      </c>
      <c r="U520">
        <v>1165945.945945946</v>
      </c>
      <c r="V520">
        <v>3079189.1891891891</v>
      </c>
      <c r="W520">
        <v>807</v>
      </c>
      <c r="X520">
        <v>1016</v>
      </c>
    </row>
    <row r="521" spans="1:24">
      <c r="A521" s="7" t="s">
        <v>612</v>
      </c>
      <c r="B521" s="16" t="s">
        <v>143</v>
      </c>
      <c r="C521">
        <v>254234720.59777719</v>
      </c>
      <c r="D521">
        <v>240546298.45239404</v>
      </c>
      <c r="E521">
        <v>434259.45945946098</v>
      </c>
      <c r="F521">
        <v>37816527.927927926</v>
      </c>
      <c r="G521">
        <v>209</v>
      </c>
      <c r="H521">
        <v>136</v>
      </c>
      <c r="I521">
        <v>17</v>
      </c>
      <c r="J521">
        <v>9</v>
      </c>
      <c r="M521">
        <v>231</v>
      </c>
      <c r="N521">
        <v>177</v>
      </c>
      <c r="O521">
        <v>27711711.711711708</v>
      </c>
      <c r="P521">
        <v>11941441.441441443</v>
      </c>
      <c r="Q521">
        <v>114</v>
      </c>
      <c r="R521">
        <v>91</v>
      </c>
      <c r="S521">
        <v>30694854.054054055</v>
      </c>
      <c r="T521">
        <v>31997193.693693697</v>
      </c>
      <c r="U521">
        <v>22633963.963963959</v>
      </c>
      <c r="V521">
        <v>23399772.97297297</v>
      </c>
      <c r="W521">
        <v>7247</v>
      </c>
      <c r="X521">
        <v>6683</v>
      </c>
    </row>
    <row r="522" spans="1:24">
      <c r="A522" s="7" t="s">
        <v>613</v>
      </c>
      <c r="B522" s="16" t="s">
        <v>189</v>
      </c>
      <c r="C522">
        <v>301004769.2901063</v>
      </c>
      <c r="D522">
        <v>281193971.54107064</v>
      </c>
      <c r="E522">
        <v>404279.27927927999</v>
      </c>
      <c r="F522">
        <v>1502477.47747748</v>
      </c>
      <c r="G522">
        <v>105</v>
      </c>
      <c r="H522">
        <v>95</v>
      </c>
      <c r="I522">
        <v>12</v>
      </c>
      <c r="J522">
        <v>10</v>
      </c>
      <c r="M522">
        <v>124</v>
      </c>
      <c r="N522">
        <v>144</v>
      </c>
      <c r="O522">
        <v>7696396.3963963958</v>
      </c>
      <c r="P522">
        <v>12720540.540540541</v>
      </c>
      <c r="Q522">
        <v>74</v>
      </c>
      <c r="R522">
        <v>415</v>
      </c>
      <c r="S522">
        <v>25949661.261261258</v>
      </c>
      <c r="T522">
        <v>27830106.306306303</v>
      </c>
      <c r="U522">
        <v>6024183.7837837823</v>
      </c>
      <c r="V522">
        <v>10668691.891891891</v>
      </c>
      <c r="W522">
        <v>7672</v>
      </c>
      <c r="X522">
        <v>7341</v>
      </c>
    </row>
    <row r="523" spans="1:24">
      <c r="A523" s="7" t="s">
        <v>614</v>
      </c>
      <c r="B523" s="16" t="s">
        <v>54</v>
      </c>
      <c r="C523">
        <v>207400597.45550242</v>
      </c>
      <c r="D523">
        <v>195241801.80060875</v>
      </c>
      <c r="E523">
        <v>3097297.2972972989</v>
      </c>
      <c r="F523">
        <v>3404504.5045045088</v>
      </c>
      <c r="G523">
        <v>52</v>
      </c>
      <c r="H523">
        <v>60</v>
      </c>
      <c r="I523">
        <v>9</v>
      </c>
      <c r="J523">
        <v>12</v>
      </c>
      <c r="M523">
        <v>64</v>
      </c>
      <c r="N523">
        <v>82</v>
      </c>
      <c r="O523">
        <v>33429279.279279277</v>
      </c>
      <c r="P523">
        <v>30287387.387387387</v>
      </c>
      <c r="Q523">
        <v>151</v>
      </c>
      <c r="R523">
        <v>40</v>
      </c>
      <c r="S523">
        <v>60815405.40540541</v>
      </c>
      <c r="T523">
        <v>61816585.585585587</v>
      </c>
      <c r="U523">
        <v>34040810.810810804</v>
      </c>
      <c r="V523">
        <v>30554414.414414417</v>
      </c>
      <c r="W523">
        <v>6496</v>
      </c>
      <c r="X523">
        <v>7039</v>
      </c>
    </row>
    <row r="524" spans="1:24">
      <c r="A524" s="7" t="s">
        <v>615</v>
      </c>
      <c r="B524" s="16" t="s">
        <v>54</v>
      </c>
      <c r="C524">
        <v>108473542.65945978</v>
      </c>
      <c r="D524">
        <v>105284279.67607935</v>
      </c>
      <c r="E524">
        <v>97072.072072073002</v>
      </c>
      <c r="F524">
        <v>450450.45045045199</v>
      </c>
      <c r="G524">
        <v>11</v>
      </c>
      <c r="H524">
        <v>12</v>
      </c>
      <c r="I524">
        <v>0</v>
      </c>
      <c r="J524">
        <v>3</v>
      </c>
      <c r="M524">
        <v>12</v>
      </c>
      <c r="N524">
        <v>16</v>
      </c>
      <c r="O524">
        <v>5076576.5765765766</v>
      </c>
      <c r="P524">
        <v>3639639.6396396412</v>
      </c>
      <c r="Q524">
        <v>28</v>
      </c>
      <c r="R524">
        <v>18</v>
      </c>
      <c r="S524">
        <v>17396252.252252251</v>
      </c>
      <c r="T524">
        <v>17854522.522522524</v>
      </c>
      <c r="U524">
        <v>4983243.2432432426</v>
      </c>
      <c r="V524">
        <v>3976396.3963963981</v>
      </c>
      <c r="W524">
        <v>2763</v>
      </c>
      <c r="X524">
        <v>2779</v>
      </c>
    </row>
    <row r="525" spans="1:24">
      <c r="A525" s="7" t="s">
        <v>616</v>
      </c>
      <c r="B525" s="16" t="s">
        <v>60</v>
      </c>
      <c r="C525">
        <v>166129797.58499178</v>
      </c>
      <c r="D525">
        <v>165003369.62139285</v>
      </c>
      <c r="E525">
        <v>676576.57657657901</v>
      </c>
      <c r="F525">
        <v>2400000</v>
      </c>
      <c r="G525">
        <v>28</v>
      </c>
      <c r="H525">
        <v>75</v>
      </c>
      <c r="I525">
        <v>6</v>
      </c>
      <c r="J525">
        <v>21</v>
      </c>
      <c r="M525">
        <v>33</v>
      </c>
      <c r="N525">
        <v>120</v>
      </c>
      <c r="O525">
        <v>23336936.936936937</v>
      </c>
      <c r="P525">
        <v>22529279.27927928</v>
      </c>
      <c r="Q525">
        <v>91</v>
      </c>
      <c r="R525">
        <v>102</v>
      </c>
      <c r="S525">
        <v>50211171.171171166</v>
      </c>
      <c r="T525">
        <v>55198342.342342347</v>
      </c>
      <c r="U525">
        <v>20977297.297297295</v>
      </c>
      <c r="V525">
        <v>24359819.819819819</v>
      </c>
      <c r="W525">
        <v>4535</v>
      </c>
      <c r="X525">
        <v>4260</v>
      </c>
    </row>
    <row r="526" spans="1:24">
      <c r="A526" s="7" t="s">
        <v>617</v>
      </c>
      <c r="B526" s="16" t="s">
        <v>60</v>
      </c>
      <c r="C526">
        <v>181791330.37802035</v>
      </c>
      <c r="D526">
        <v>174596392.96501389</v>
      </c>
      <c r="E526">
        <v>718468.46846847096</v>
      </c>
      <c r="F526">
        <v>1120720.7207207249</v>
      </c>
      <c r="G526">
        <v>30</v>
      </c>
      <c r="H526">
        <v>46</v>
      </c>
      <c r="I526">
        <v>4</v>
      </c>
      <c r="J526">
        <v>7</v>
      </c>
      <c r="K526">
        <v>2</v>
      </c>
      <c r="M526">
        <v>32</v>
      </c>
      <c r="N526">
        <v>51</v>
      </c>
      <c r="O526">
        <v>22775675.675675672</v>
      </c>
      <c r="P526">
        <v>20953153.153153155</v>
      </c>
      <c r="Q526">
        <v>121</v>
      </c>
      <c r="R526">
        <v>82</v>
      </c>
      <c r="S526">
        <v>94776351.351351351</v>
      </c>
      <c r="T526">
        <v>92655851.351351365</v>
      </c>
      <c r="U526">
        <v>24761711.711711712</v>
      </c>
      <c r="V526">
        <v>20446126.126126129</v>
      </c>
      <c r="W526">
        <v>5637</v>
      </c>
      <c r="X526">
        <v>5419</v>
      </c>
    </row>
    <row r="527" spans="1:24">
      <c r="A527" s="7" t="s">
        <v>618</v>
      </c>
      <c r="B527" s="16" t="s">
        <v>60</v>
      </c>
      <c r="C527">
        <v>232487742.62595102</v>
      </c>
      <c r="D527">
        <v>222844964.81713292</v>
      </c>
      <c r="E527">
        <v>2454504.5045045041</v>
      </c>
      <c r="F527">
        <v>2478378.3783783838</v>
      </c>
      <c r="G527">
        <v>44</v>
      </c>
      <c r="H527">
        <v>39</v>
      </c>
      <c r="I527">
        <v>3</v>
      </c>
      <c r="J527">
        <v>7</v>
      </c>
      <c r="M527">
        <v>53</v>
      </c>
      <c r="N527">
        <v>46</v>
      </c>
      <c r="O527">
        <v>17678828.828828827</v>
      </c>
      <c r="P527">
        <v>29146846.846846852</v>
      </c>
      <c r="Q527">
        <v>136</v>
      </c>
      <c r="R527">
        <v>70</v>
      </c>
      <c r="S527">
        <v>73354360.360360354</v>
      </c>
      <c r="T527">
        <v>73891500.45045045</v>
      </c>
      <c r="U527">
        <v>17286846.846846845</v>
      </c>
      <c r="V527">
        <v>28375495.495495498</v>
      </c>
      <c r="W527">
        <v>5732</v>
      </c>
      <c r="X527">
        <v>5777</v>
      </c>
    </row>
    <row r="528" spans="1:24">
      <c r="A528" s="7" t="s">
        <v>619</v>
      </c>
      <c r="B528" s="16" t="s">
        <v>620</v>
      </c>
      <c r="C528">
        <v>266960189.92960551</v>
      </c>
      <c r="D528">
        <v>268897736.13752007</v>
      </c>
      <c r="E528">
        <v>2312567.5675675669</v>
      </c>
      <c r="F528">
        <v>4497072.0720720738</v>
      </c>
      <c r="G528">
        <v>104</v>
      </c>
      <c r="H528">
        <v>142</v>
      </c>
      <c r="I528">
        <v>9</v>
      </c>
      <c r="J528">
        <v>11</v>
      </c>
      <c r="K528">
        <v>2</v>
      </c>
      <c r="M528">
        <v>123</v>
      </c>
      <c r="N528">
        <v>324</v>
      </c>
      <c r="O528">
        <v>27771801.801801804</v>
      </c>
      <c r="P528">
        <v>15311711.711711712</v>
      </c>
      <c r="Q528">
        <v>380</v>
      </c>
      <c r="R528">
        <v>5</v>
      </c>
      <c r="S528">
        <v>32985108.108108107</v>
      </c>
      <c r="T528">
        <v>31628468.468468469</v>
      </c>
      <c r="U528">
        <v>28839639.639639646</v>
      </c>
      <c r="V528">
        <v>19463783.783783782</v>
      </c>
      <c r="W528">
        <v>7683</v>
      </c>
      <c r="X528">
        <v>7692</v>
      </c>
    </row>
    <row r="529" spans="1:24">
      <c r="A529" s="7" t="s">
        <v>621</v>
      </c>
      <c r="B529" s="16" t="s">
        <v>620</v>
      </c>
      <c r="C529">
        <v>210455178.59513217</v>
      </c>
      <c r="D529">
        <v>195957247.44332764</v>
      </c>
      <c r="E529">
        <v>88227446.846846849</v>
      </c>
      <c r="F529">
        <v>3897297.2972972989</v>
      </c>
      <c r="G529">
        <v>99</v>
      </c>
      <c r="H529">
        <v>65</v>
      </c>
      <c r="I529">
        <v>7</v>
      </c>
      <c r="J529">
        <v>12</v>
      </c>
      <c r="K529">
        <v>2</v>
      </c>
      <c r="M529">
        <v>120</v>
      </c>
      <c r="N529">
        <v>87</v>
      </c>
      <c r="O529">
        <v>16605405.405405408</v>
      </c>
      <c r="P529">
        <v>15798198.198198196</v>
      </c>
      <c r="Q529">
        <v>72</v>
      </c>
      <c r="R529">
        <v>6</v>
      </c>
      <c r="S529">
        <v>30964422.52252252</v>
      </c>
      <c r="T529">
        <v>31294556.756756756</v>
      </c>
      <c r="U529">
        <v>17382792.792792793</v>
      </c>
      <c r="V529">
        <v>14159369.369369367</v>
      </c>
      <c r="W529">
        <v>6301</v>
      </c>
      <c r="X529">
        <v>5940</v>
      </c>
    </row>
    <row r="530" spans="1:24">
      <c r="A530" s="7" t="s">
        <v>622</v>
      </c>
      <c r="B530" s="16" t="s">
        <v>620</v>
      </c>
      <c r="C530">
        <v>223479620.68112674</v>
      </c>
      <c r="D530">
        <v>205118898.57598007</v>
      </c>
      <c r="E530">
        <v>859689.18918919004</v>
      </c>
      <c r="F530">
        <v>39085772.072072074</v>
      </c>
      <c r="G530">
        <v>96</v>
      </c>
      <c r="H530">
        <v>78</v>
      </c>
      <c r="I530">
        <v>6</v>
      </c>
      <c r="J530">
        <v>4</v>
      </c>
      <c r="K530">
        <v>1</v>
      </c>
      <c r="M530">
        <v>117</v>
      </c>
      <c r="N530">
        <v>99</v>
      </c>
      <c r="O530">
        <v>27584094.59459459</v>
      </c>
      <c r="P530">
        <v>27123800.9009009</v>
      </c>
      <c r="Q530">
        <v>394</v>
      </c>
      <c r="R530">
        <v>8</v>
      </c>
      <c r="S530">
        <v>29596333.333333336</v>
      </c>
      <c r="T530">
        <v>31863193.693693697</v>
      </c>
      <c r="U530">
        <v>23406663.063063063</v>
      </c>
      <c r="V530">
        <v>11351441.441441445</v>
      </c>
      <c r="W530">
        <v>6116</v>
      </c>
      <c r="X530">
        <v>5566</v>
      </c>
    </row>
    <row r="531" spans="1:24">
      <c r="A531" s="7" t="s">
        <v>623</v>
      </c>
      <c r="B531" s="16" t="s">
        <v>620</v>
      </c>
      <c r="C531">
        <v>158436273.24471965</v>
      </c>
      <c r="D531">
        <v>151666789.24117106</v>
      </c>
      <c r="E531">
        <v>407432.43243243301</v>
      </c>
      <c r="F531">
        <v>394594.594594597</v>
      </c>
      <c r="G531">
        <v>77</v>
      </c>
      <c r="H531">
        <v>33</v>
      </c>
      <c r="I531">
        <v>6</v>
      </c>
      <c r="J531">
        <v>5</v>
      </c>
      <c r="K531">
        <v>1</v>
      </c>
      <c r="M531">
        <v>89</v>
      </c>
      <c r="N531">
        <v>48</v>
      </c>
      <c r="O531">
        <v>17693243.243243244</v>
      </c>
      <c r="P531">
        <v>12908558.558558557</v>
      </c>
      <c r="Q531">
        <v>61</v>
      </c>
      <c r="S531">
        <v>20348693.693693697</v>
      </c>
      <c r="T531">
        <v>19180977.477477476</v>
      </c>
      <c r="U531">
        <v>14612792.792792792</v>
      </c>
      <c r="V531">
        <v>11750720.72072072</v>
      </c>
      <c r="W531">
        <v>3664</v>
      </c>
      <c r="X531">
        <v>3390</v>
      </c>
    </row>
    <row r="532" spans="1:24">
      <c r="A532" s="7" t="s">
        <v>624</v>
      </c>
      <c r="B532" s="16" t="s">
        <v>260</v>
      </c>
      <c r="C532">
        <v>84945267.578593343</v>
      </c>
      <c r="D532">
        <v>79622664.360748485</v>
      </c>
      <c r="E532">
        <v>317224446.84684682</v>
      </c>
      <c r="F532">
        <v>273115375.67567569</v>
      </c>
      <c r="G532">
        <v>10</v>
      </c>
      <c r="H532">
        <v>15</v>
      </c>
      <c r="I532">
        <v>0</v>
      </c>
      <c r="J532">
        <v>2</v>
      </c>
      <c r="M532">
        <v>10</v>
      </c>
      <c r="N532">
        <v>15</v>
      </c>
      <c r="O532">
        <v>12271171.171171172</v>
      </c>
      <c r="P532">
        <v>49667567.567567565</v>
      </c>
      <c r="S532">
        <v>27786783.783783782</v>
      </c>
      <c r="T532">
        <v>25455540.540540539</v>
      </c>
      <c r="U532">
        <v>9323693.6936936937</v>
      </c>
      <c r="V532">
        <v>8954054.0540540535</v>
      </c>
      <c r="W532">
        <v>2026</v>
      </c>
      <c r="X532">
        <v>2019</v>
      </c>
    </row>
    <row r="533" spans="1:24">
      <c r="A533" s="7" t="s">
        <v>625</v>
      </c>
      <c r="B533" s="16" t="s">
        <v>52</v>
      </c>
      <c r="C533">
        <v>122888845.87016094</v>
      </c>
      <c r="D533">
        <v>122505919.92864288</v>
      </c>
      <c r="E533">
        <v>277657.65765765798</v>
      </c>
      <c r="F533">
        <v>113513.513513515</v>
      </c>
      <c r="G533">
        <v>14</v>
      </c>
      <c r="H533">
        <v>38</v>
      </c>
      <c r="I533">
        <v>3</v>
      </c>
      <c r="J533">
        <v>4</v>
      </c>
      <c r="M533">
        <v>20</v>
      </c>
      <c r="N533">
        <v>91</v>
      </c>
      <c r="O533">
        <v>2067297.297297297</v>
      </c>
      <c r="P533">
        <v>1915315.3153153169</v>
      </c>
      <c r="Q533">
        <v>8</v>
      </c>
      <c r="S533">
        <v>42522018.018018015</v>
      </c>
      <c r="T533">
        <v>44494585.585585587</v>
      </c>
      <c r="U533">
        <v>2439189.1891891882</v>
      </c>
      <c r="V533">
        <v>2433423.4234234239</v>
      </c>
      <c r="W533">
        <v>4364</v>
      </c>
      <c r="X533">
        <v>4351</v>
      </c>
    </row>
    <row r="534" spans="1:24">
      <c r="A534" s="7" t="s">
        <v>626</v>
      </c>
      <c r="B534" s="16" t="s">
        <v>96</v>
      </c>
      <c r="C534">
        <v>314537311.32886416</v>
      </c>
      <c r="D534">
        <v>310862797.35420197</v>
      </c>
      <c r="E534">
        <v>18400360.360360365</v>
      </c>
      <c r="F534">
        <v>82198198.198198214</v>
      </c>
      <c r="G534">
        <v>163</v>
      </c>
      <c r="H534">
        <v>146</v>
      </c>
      <c r="I534">
        <v>9</v>
      </c>
      <c r="J534">
        <v>9</v>
      </c>
      <c r="K534">
        <v>1</v>
      </c>
      <c r="M534">
        <v>213</v>
      </c>
      <c r="N534">
        <v>179</v>
      </c>
      <c r="O534">
        <v>53804819.819819823</v>
      </c>
      <c r="P534">
        <v>61403513.513513513</v>
      </c>
      <c r="Q534">
        <v>278</v>
      </c>
      <c r="R534">
        <v>289</v>
      </c>
      <c r="S534">
        <v>97454504.504504517</v>
      </c>
      <c r="T534">
        <v>102815905.85585585</v>
      </c>
      <c r="U534">
        <v>51684774.774774775</v>
      </c>
      <c r="V534">
        <v>56209639.639639638</v>
      </c>
      <c r="W534">
        <v>10629</v>
      </c>
      <c r="X534">
        <v>11416</v>
      </c>
    </row>
    <row r="535" spans="1:24">
      <c r="A535" s="7" t="s">
        <v>627</v>
      </c>
      <c r="B535" s="16" t="s">
        <v>96</v>
      </c>
      <c r="C535">
        <v>558512721.88551962</v>
      </c>
      <c r="D535">
        <v>509219992.96325433</v>
      </c>
      <c r="E535">
        <v>2923513.5135135148</v>
      </c>
      <c r="F535">
        <v>2803603.6036036038</v>
      </c>
      <c r="G535">
        <v>171</v>
      </c>
      <c r="H535">
        <v>115</v>
      </c>
      <c r="I535">
        <v>9</v>
      </c>
      <c r="J535">
        <v>7</v>
      </c>
      <c r="K535">
        <v>1</v>
      </c>
      <c r="M535">
        <v>226</v>
      </c>
      <c r="N535">
        <v>187</v>
      </c>
      <c r="O535">
        <v>99379459.459459454</v>
      </c>
      <c r="P535">
        <v>119877747.74774775</v>
      </c>
      <c r="Q535">
        <v>159</v>
      </c>
      <c r="R535">
        <v>84</v>
      </c>
      <c r="S535">
        <v>218125279.27927929</v>
      </c>
      <c r="T535">
        <v>208462488.73873875</v>
      </c>
      <c r="U535">
        <v>106599189.1891892</v>
      </c>
      <c r="V535">
        <v>114405135.13513513</v>
      </c>
      <c r="W535">
        <v>13843</v>
      </c>
      <c r="X535">
        <v>13524</v>
      </c>
    </row>
    <row r="536" spans="1:24">
      <c r="A536" s="7" t="s">
        <v>628</v>
      </c>
      <c r="B536" s="16" t="s">
        <v>448</v>
      </c>
      <c r="C536">
        <v>388567037.36536694</v>
      </c>
      <c r="D536">
        <v>373336718.0959121</v>
      </c>
      <c r="E536">
        <v>163191720.72072074</v>
      </c>
      <c r="F536">
        <v>162940036.03603604</v>
      </c>
      <c r="G536">
        <v>178</v>
      </c>
      <c r="H536">
        <v>131</v>
      </c>
      <c r="I536">
        <v>14</v>
      </c>
      <c r="J536">
        <v>14</v>
      </c>
      <c r="K536">
        <v>2</v>
      </c>
      <c r="M536">
        <v>200</v>
      </c>
      <c r="N536">
        <v>160</v>
      </c>
      <c r="O536">
        <v>122311621.62162161</v>
      </c>
      <c r="P536">
        <v>104378738.73873873</v>
      </c>
      <c r="Q536">
        <v>332</v>
      </c>
      <c r="R536">
        <v>1804</v>
      </c>
      <c r="S536">
        <v>110941243.24324325</v>
      </c>
      <c r="T536">
        <v>111539322.52252252</v>
      </c>
      <c r="U536">
        <v>90930360.360360369</v>
      </c>
      <c r="V536">
        <v>109827387.38738739</v>
      </c>
      <c r="W536">
        <v>11444</v>
      </c>
      <c r="X536">
        <v>11230</v>
      </c>
    </row>
    <row r="537" spans="1:24">
      <c r="A537" s="7" t="s">
        <v>629</v>
      </c>
      <c r="B537" s="16" t="s">
        <v>78</v>
      </c>
      <c r="C537">
        <v>17388410.626977008</v>
      </c>
      <c r="D537">
        <v>16567749.308922123</v>
      </c>
      <c r="E537">
        <v>185585.58558558501</v>
      </c>
      <c r="F537">
        <v>300000</v>
      </c>
      <c r="G537">
        <v>2</v>
      </c>
      <c r="H537">
        <v>3</v>
      </c>
      <c r="K537">
        <v>1</v>
      </c>
      <c r="M537">
        <v>2</v>
      </c>
      <c r="N537">
        <v>3</v>
      </c>
      <c r="O537">
        <v>599999.99999999895</v>
      </c>
      <c r="P537">
        <v>930630.63063062995</v>
      </c>
      <c r="Q537">
        <v>12</v>
      </c>
      <c r="S537">
        <v>4771396.3963963958</v>
      </c>
      <c r="T537">
        <v>4584126.1261261264</v>
      </c>
      <c r="U537">
        <v>778108.10810810805</v>
      </c>
      <c r="V537">
        <v>885675.67567567597</v>
      </c>
      <c r="W537">
        <v>401</v>
      </c>
      <c r="X537">
        <v>362</v>
      </c>
    </row>
    <row r="538" spans="1:24">
      <c r="A538" s="7" t="s">
        <v>630</v>
      </c>
      <c r="B538" s="16" t="s">
        <v>241</v>
      </c>
      <c r="C538">
        <v>101675533.12353769</v>
      </c>
      <c r="D538">
        <v>97469975.691062167</v>
      </c>
      <c r="E538">
        <v>69549.549549550997</v>
      </c>
      <c r="F538">
        <v>344819.81981982099</v>
      </c>
      <c r="G538">
        <v>58</v>
      </c>
      <c r="H538">
        <v>37</v>
      </c>
      <c r="I538">
        <v>4</v>
      </c>
      <c r="J538">
        <v>3</v>
      </c>
      <c r="M538">
        <v>67</v>
      </c>
      <c r="N538">
        <v>43</v>
      </c>
      <c r="O538">
        <v>20026396.396396395</v>
      </c>
      <c r="P538">
        <v>8667837.8378378395</v>
      </c>
      <c r="Q538">
        <v>156</v>
      </c>
      <c r="R538">
        <v>2</v>
      </c>
      <c r="S538">
        <v>23575225.225225225</v>
      </c>
      <c r="T538">
        <v>22434963.963963963</v>
      </c>
      <c r="U538">
        <v>21199459.459459458</v>
      </c>
      <c r="V538">
        <v>8695765.7657657675</v>
      </c>
      <c r="W538">
        <v>2641</v>
      </c>
      <c r="X538">
        <v>2617</v>
      </c>
    </row>
    <row r="539" spans="1:24">
      <c r="A539" s="7" t="s">
        <v>631</v>
      </c>
      <c r="B539" s="16" t="s">
        <v>68</v>
      </c>
      <c r="C539">
        <v>453773340.91378498</v>
      </c>
      <c r="D539">
        <v>430227863.55633497</v>
      </c>
      <c r="E539">
        <v>88362683.783783793</v>
      </c>
      <c r="F539">
        <v>75749851.351351351</v>
      </c>
      <c r="G539">
        <v>195</v>
      </c>
      <c r="H539">
        <v>253</v>
      </c>
      <c r="I539">
        <v>17</v>
      </c>
      <c r="J539">
        <v>13</v>
      </c>
      <c r="M539">
        <v>210</v>
      </c>
      <c r="N539">
        <v>320</v>
      </c>
      <c r="O539">
        <v>50026576.576576576</v>
      </c>
      <c r="P539">
        <v>42454954.954954952</v>
      </c>
      <c r="Q539">
        <v>377</v>
      </c>
      <c r="R539">
        <v>188</v>
      </c>
      <c r="S539">
        <v>75415405.405405402</v>
      </c>
      <c r="T539">
        <v>73526156.756756753</v>
      </c>
      <c r="U539">
        <v>35739009.009009011</v>
      </c>
      <c r="V539">
        <v>34070090.090090089</v>
      </c>
      <c r="W539">
        <v>8933</v>
      </c>
      <c r="X539">
        <v>11155</v>
      </c>
    </row>
    <row r="540" spans="1:24">
      <c r="A540" s="7" t="s">
        <v>632</v>
      </c>
      <c r="B540" s="16" t="s">
        <v>70</v>
      </c>
      <c r="C540">
        <v>3198042.3953804579</v>
      </c>
      <c r="D540">
        <v>3107319.5289007588</v>
      </c>
      <c r="E540">
        <v>266216.21621621598</v>
      </c>
      <c r="F540">
        <v>40540.540540540998</v>
      </c>
      <c r="G540">
        <v>4</v>
      </c>
      <c r="H540">
        <v>2</v>
      </c>
      <c r="J540">
        <v>1</v>
      </c>
      <c r="M540">
        <v>5</v>
      </c>
      <c r="N540">
        <v>2</v>
      </c>
      <c r="O540">
        <v>279279.279279279</v>
      </c>
      <c r="P540">
        <v>40540.540540540998</v>
      </c>
      <c r="S540">
        <v>2102747.7477477482</v>
      </c>
      <c r="T540">
        <v>1850135.1351351349</v>
      </c>
      <c r="U540">
        <v>85855.855855856003</v>
      </c>
      <c r="V540">
        <v>164864.864864865</v>
      </c>
      <c r="W540">
        <v>187</v>
      </c>
      <c r="X540">
        <v>179</v>
      </c>
    </row>
    <row r="541" spans="1:24">
      <c r="A541" s="7" t="s">
        <v>633</v>
      </c>
      <c r="B541" s="16" t="s">
        <v>60</v>
      </c>
      <c r="C541">
        <v>32535272.272732239</v>
      </c>
      <c r="D541">
        <v>32740362.794845887</v>
      </c>
      <c r="E541">
        <v>136936.93693693701</v>
      </c>
      <c r="F541">
        <v>2702.7027027029999</v>
      </c>
      <c r="G541">
        <v>5</v>
      </c>
      <c r="H541">
        <v>10</v>
      </c>
      <c r="I541">
        <v>0</v>
      </c>
      <c r="M541">
        <v>5</v>
      </c>
      <c r="N541">
        <v>10</v>
      </c>
      <c r="O541">
        <v>1479279.2792792779</v>
      </c>
      <c r="P541">
        <v>1345045.045045045</v>
      </c>
      <c r="Q541">
        <v>28</v>
      </c>
      <c r="R541">
        <v>15</v>
      </c>
      <c r="S541">
        <v>12068783.783783784</v>
      </c>
      <c r="T541">
        <v>14400909.90990991</v>
      </c>
      <c r="U541">
        <v>1285585.5855855851</v>
      </c>
      <c r="V541">
        <v>202252.25225225199</v>
      </c>
      <c r="W541">
        <v>1103</v>
      </c>
      <c r="X541">
        <v>1003</v>
      </c>
    </row>
    <row r="542" spans="1:24">
      <c r="A542" s="7" t="s">
        <v>634</v>
      </c>
      <c r="B542" s="16" t="s">
        <v>80</v>
      </c>
      <c r="C542">
        <v>349013311.11514735</v>
      </c>
      <c r="D542">
        <v>337020483.11706692</v>
      </c>
      <c r="E542">
        <v>3148648.648648649</v>
      </c>
      <c r="F542">
        <v>2540540.5405405439</v>
      </c>
      <c r="G542">
        <v>118</v>
      </c>
      <c r="H542">
        <v>47</v>
      </c>
      <c r="I542">
        <v>4</v>
      </c>
      <c r="J542">
        <v>4</v>
      </c>
      <c r="M542">
        <v>138</v>
      </c>
      <c r="N542">
        <v>52</v>
      </c>
      <c r="O542">
        <v>39449909.909909911</v>
      </c>
      <c r="P542">
        <v>37499099.0990991</v>
      </c>
      <c r="Q542">
        <v>16</v>
      </c>
      <c r="R542">
        <v>21</v>
      </c>
      <c r="S542">
        <v>62725081.081081077</v>
      </c>
      <c r="T542">
        <v>68704662.162162155</v>
      </c>
      <c r="U542">
        <v>41509099.099099107</v>
      </c>
      <c r="V542">
        <v>33697387.387387387</v>
      </c>
      <c r="W542">
        <v>6436</v>
      </c>
      <c r="X542">
        <v>6224</v>
      </c>
    </row>
    <row r="543" spans="1:24">
      <c r="A543" s="7" t="s">
        <v>635</v>
      </c>
      <c r="B543" s="16" t="s">
        <v>134</v>
      </c>
      <c r="C543">
        <v>59483348.877079457</v>
      </c>
      <c r="D543">
        <v>61208634.567975894</v>
      </c>
      <c r="E543">
        <v>4504.5045045050001</v>
      </c>
      <c r="F543">
        <v>310810.810810811</v>
      </c>
      <c r="G543">
        <v>6</v>
      </c>
      <c r="H543">
        <v>14</v>
      </c>
      <c r="I543">
        <v>2</v>
      </c>
      <c r="J543">
        <v>1</v>
      </c>
      <c r="M543">
        <v>6</v>
      </c>
      <c r="N543">
        <v>14</v>
      </c>
      <c r="O543">
        <v>454954.95495495503</v>
      </c>
      <c r="P543">
        <v>4698198.1981981983</v>
      </c>
      <c r="S543">
        <v>3113288.2882882892</v>
      </c>
      <c r="T543">
        <v>3144945.945945947</v>
      </c>
      <c r="U543">
        <v>853603.60360360297</v>
      </c>
      <c r="V543">
        <v>4444144.1441441439</v>
      </c>
      <c r="W543">
        <v>1422</v>
      </c>
      <c r="X543">
        <v>1447</v>
      </c>
    </row>
    <row r="544" spans="1:24">
      <c r="A544" s="7" t="s">
        <v>636</v>
      </c>
      <c r="B544" s="16" t="s">
        <v>479</v>
      </c>
      <c r="C544">
        <v>197988864.65081364</v>
      </c>
      <c r="D544">
        <v>184062373.90618518</v>
      </c>
      <c r="E544">
        <v>41439639.639639638</v>
      </c>
      <c r="F544">
        <v>30288288.288288295</v>
      </c>
      <c r="G544">
        <v>42</v>
      </c>
      <c r="H544">
        <v>43</v>
      </c>
      <c r="I544">
        <v>4</v>
      </c>
      <c r="J544">
        <v>6</v>
      </c>
      <c r="M544">
        <v>46</v>
      </c>
      <c r="N544">
        <v>57</v>
      </c>
      <c r="O544">
        <v>37093385.585585587</v>
      </c>
      <c r="P544">
        <v>48947612.612612613</v>
      </c>
      <c r="Q544">
        <v>33</v>
      </c>
      <c r="R544">
        <v>28</v>
      </c>
      <c r="S544">
        <v>67706977.477477476</v>
      </c>
      <c r="T544">
        <v>64175247.747747742</v>
      </c>
      <c r="U544">
        <v>34862522.522522517</v>
      </c>
      <c r="V544">
        <v>43712207.20720721</v>
      </c>
      <c r="W544">
        <v>5507</v>
      </c>
      <c r="X544">
        <v>5977</v>
      </c>
    </row>
    <row r="545" spans="1:24">
      <c r="A545" s="7" t="s">
        <v>637</v>
      </c>
      <c r="B545" s="16" t="s">
        <v>143</v>
      </c>
      <c r="C545">
        <v>317073224.50006127</v>
      </c>
      <c r="D545">
        <v>315177675.46778989</v>
      </c>
      <c r="E545">
        <v>2085810.8108108139</v>
      </c>
      <c r="F545">
        <v>3167117.117117119</v>
      </c>
      <c r="G545">
        <v>87</v>
      </c>
      <c r="H545">
        <v>70</v>
      </c>
      <c r="I545">
        <v>27</v>
      </c>
      <c r="J545">
        <v>14</v>
      </c>
      <c r="M545">
        <v>106</v>
      </c>
      <c r="N545">
        <v>100</v>
      </c>
      <c r="O545">
        <v>24783243.243243244</v>
      </c>
      <c r="P545">
        <v>22153153.153153151</v>
      </c>
      <c r="Q545">
        <v>258</v>
      </c>
      <c r="R545">
        <v>275</v>
      </c>
      <c r="S545">
        <v>32860900.9009009</v>
      </c>
      <c r="T545">
        <v>38812601.351351351</v>
      </c>
      <c r="U545">
        <v>19641441.441441443</v>
      </c>
      <c r="V545">
        <v>17290630.630630627</v>
      </c>
      <c r="W545">
        <v>9505</v>
      </c>
      <c r="X545">
        <v>9502</v>
      </c>
    </row>
    <row r="546" spans="1:24">
      <c r="A546" s="7" t="s">
        <v>638</v>
      </c>
      <c r="B546" s="16" t="s">
        <v>241</v>
      </c>
      <c r="C546">
        <v>358656044.6296128</v>
      </c>
      <c r="D546">
        <v>337713901.82609183</v>
      </c>
      <c r="E546">
        <v>1018918.918918921</v>
      </c>
      <c r="F546">
        <v>1751351.3513513519</v>
      </c>
      <c r="G546">
        <v>192</v>
      </c>
      <c r="H546">
        <v>179</v>
      </c>
      <c r="I546">
        <v>16</v>
      </c>
      <c r="J546">
        <v>17</v>
      </c>
      <c r="M546">
        <v>213</v>
      </c>
      <c r="N546">
        <v>218</v>
      </c>
      <c r="O546">
        <v>18924954.954954956</v>
      </c>
      <c r="P546">
        <v>19108648.648648653</v>
      </c>
      <c r="Q546">
        <v>36</v>
      </c>
      <c r="R546">
        <v>181</v>
      </c>
      <c r="S546">
        <v>117161621.62162161</v>
      </c>
      <c r="T546">
        <v>109201998.1981982</v>
      </c>
      <c r="U546">
        <v>18868288.288288292</v>
      </c>
      <c r="V546">
        <v>18026486.486486491</v>
      </c>
      <c r="W546">
        <v>12514</v>
      </c>
      <c r="X546">
        <v>12618</v>
      </c>
    </row>
    <row r="547" spans="1:24">
      <c r="A547" s="7" t="s">
        <v>639</v>
      </c>
      <c r="B547" s="16" t="s">
        <v>132</v>
      </c>
      <c r="C547">
        <v>148941428.29051971</v>
      </c>
      <c r="D547">
        <v>126411340.86907277</v>
      </c>
      <c r="E547">
        <v>6765765.7657657666</v>
      </c>
      <c r="F547">
        <v>20012612.612612613</v>
      </c>
      <c r="G547">
        <v>77</v>
      </c>
      <c r="H547">
        <v>57</v>
      </c>
      <c r="I547">
        <v>2</v>
      </c>
      <c r="J547">
        <v>1</v>
      </c>
      <c r="M547">
        <v>86</v>
      </c>
      <c r="N547">
        <v>70</v>
      </c>
      <c r="O547">
        <v>9011486.4864864852</v>
      </c>
      <c r="P547">
        <v>6151576.5765765766</v>
      </c>
      <c r="Q547">
        <v>1</v>
      </c>
      <c r="R547">
        <v>5</v>
      </c>
      <c r="S547">
        <v>53412720.720720723</v>
      </c>
      <c r="T547">
        <v>46837153.153153151</v>
      </c>
      <c r="U547">
        <v>5783423.4234234244</v>
      </c>
      <c r="V547">
        <v>3285945.945945946</v>
      </c>
      <c r="W547">
        <v>5618</v>
      </c>
      <c r="X547">
        <v>5459</v>
      </c>
    </row>
    <row r="548" spans="1:24">
      <c r="A548" s="7" t="s">
        <v>640</v>
      </c>
      <c r="B548" s="16" t="s">
        <v>134</v>
      </c>
      <c r="C548">
        <v>409471781.96311057</v>
      </c>
      <c r="D548">
        <v>394359582.13476467</v>
      </c>
      <c r="E548">
        <v>622522.522522524</v>
      </c>
      <c r="F548">
        <v>1211711.711711715</v>
      </c>
      <c r="G548">
        <v>84</v>
      </c>
      <c r="H548">
        <v>61</v>
      </c>
      <c r="I548">
        <v>12</v>
      </c>
      <c r="J548">
        <v>15</v>
      </c>
      <c r="M548">
        <v>87</v>
      </c>
      <c r="N548">
        <v>69</v>
      </c>
      <c r="O548">
        <v>29909459.459459461</v>
      </c>
      <c r="P548">
        <v>31727207.207207203</v>
      </c>
      <c r="Q548">
        <v>123</v>
      </c>
      <c r="S548">
        <v>48859327.027027026</v>
      </c>
      <c r="T548">
        <v>51436881.081081077</v>
      </c>
      <c r="U548">
        <v>28037927.927927926</v>
      </c>
      <c r="V548">
        <v>24266169.369369369</v>
      </c>
      <c r="W548">
        <v>7526</v>
      </c>
      <c r="X548">
        <v>9020</v>
      </c>
    </row>
    <row r="549" spans="1:24">
      <c r="A549" s="7" t="s">
        <v>641</v>
      </c>
      <c r="B549" s="16" t="s">
        <v>80</v>
      </c>
      <c r="C549">
        <v>207061075.74505377</v>
      </c>
      <c r="D549">
        <v>209547177.43347743</v>
      </c>
      <c r="E549">
        <v>575675.67567567597</v>
      </c>
      <c r="F549">
        <v>1100900.9009009029</v>
      </c>
      <c r="G549">
        <v>38</v>
      </c>
      <c r="H549">
        <v>36</v>
      </c>
      <c r="I549">
        <v>4</v>
      </c>
      <c r="J549">
        <v>2</v>
      </c>
      <c r="K549">
        <v>2</v>
      </c>
      <c r="M549">
        <v>40</v>
      </c>
      <c r="N549">
        <v>53</v>
      </c>
      <c r="O549">
        <v>25581531.531531528</v>
      </c>
      <c r="P549">
        <v>18610810.810810812</v>
      </c>
      <c r="Q549">
        <v>33</v>
      </c>
      <c r="R549">
        <v>15</v>
      </c>
      <c r="S549">
        <v>70696205.405405402</v>
      </c>
      <c r="T549">
        <v>75000878.378378391</v>
      </c>
      <c r="U549">
        <v>21456846.846846849</v>
      </c>
      <c r="V549">
        <v>20077207.207207207</v>
      </c>
      <c r="W549">
        <v>4910</v>
      </c>
      <c r="X549">
        <v>4828</v>
      </c>
    </row>
    <row r="550" spans="1:24">
      <c r="A550" s="7" t="s">
        <v>642</v>
      </c>
      <c r="B550" s="16" t="s">
        <v>169</v>
      </c>
      <c r="C550">
        <v>390873784.52481115</v>
      </c>
      <c r="D550">
        <v>338553563.82705969</v>
      </c>
      <c r="E550">
        <v>1697747.7477477479</v>
      </c>
      <c r="F550">
        <v>1105405.4054054059</v>
      </c>
      <c r="G550">
        <v>53</v>
      </c>
      <c r="H550">
        <v>34</v>
      </c>
      <c r="I550">
        <v>0</v>
      </c>
      <c r="J550">
        <v>0</v>
      </c>
      <c r="K550">
        <v>1</v>
      </c>
      <c r="M550">
        <v>54</v>
      </c>
      <c r="N550">
        <v>45</v>
      </c>
      <c r="O550">
        <v>28229279.27927928</v>
      </c>
      <c r="P550">
        <v>22362357.657657657</v>
      </c>
      <c r="S550">
        <v>130162540.54054055</v>
      </c>
      <c r="T550">
        <v>122587045.04504503</v>
      </c>
      <c r="U550">
        <v>27075315.315315317</v>
      </c>
      <c r="V550">
        <v>26823063.063063063</v>
      </c>
      <c r="W550">
        <v>8890</v>
      </c>
      <c r="X550">
        <v>8586</v>
      </c>
    </row>
    <row r="551" spans="1:24">
      <c r="A551" s="7" t="s">
        <v>643</v>
      </c>
      <c r="B551" s="16" t="s">
        <v>58</v>
      </c>
      <c r="C551">
        <v>602222502.76144028</v>
      </c>
      <c r="D551">
        <v>586961579.35289752</v>
      </c>
      <c r="E551">
        <v>4367792.7927927943</v>
      </c>
      <c r="F551">
        <v>5930630.630630631</v>
      </c>
      <c r="G551">
        <v>181</v>
      </c>
      <c r="H551">
        <v>152</v>
      </c>
      <c r="I551">
        <v>20</v>
      </c>
      <c r="J551">
        <v>30</v>
      </c>
      <c r="K551">
        <v>1</v>
      </c>
      <c r="M551">
        <v>202</v>
      </c>
      <c r="N551">
        <v>229</v>
      </c>
      <c r="O551">
        <v>58614414.414414413</v>
      </c>
      <c r="P551">
        <v>37753603.603603601</v>
      </c>
      <c r="Q551">
        <v>375</v>
      </c>
      <c r="R551">
        <v>3</v>
      </c>
      <c r="S551">
        <v>117631610.81081082</v>
      </c>
      <c r="T551">
        <v>121723599.0990991</v>
      </c>
      <c r="U551">
        <v>53040540.540540539</v>
      </c>
      <c r="V551">
        <v>42500360.360360362</v>
      </c>
      <c r="W551">
        <v>17523</v>
      </c>
      <c r="X551">
        <v>17275</v>
      </c>
    </row>
    <row r="552" spans="1:24">
      <c r="A552" s="7" t="s">
        <v>644</v>
      </c>
      <c r="B552" s="16" t="s">
        <v>58</v>
      </c>
      <c r="C552">
        <v>753180053.4775579</v>
      </c>
      <c r="D552">
        <v>740418187.04268193</v>
      </c>
      <c r="E552">
        <v>331258008.1081081</v>
      </c>
      <c r="F552">
        <v>24021171.171171173</v>
      </c>
      <c r="G552">
        <v>250</v>
      </c>
      <c r="H552">
        <v>378</v>
      </c>
      <c r="I552">
        <v>27</v>
      </c>
      <c r="J552">
        <v>49</v>
      </c>
      <c r="K552">
        <v>2</v>
      </c>
      <c r="M552">
        <v>293</v>
      </c>
      <c r="N552">
        <v>523</v>
      </c>
      <c r="O552">
        <v>136676576.57657659</v>
      </c>
      <c r="P552">
        <v>121054954.95495497</v>
      </c>
      <c r="Q552">
        <v>1216</v>
      </c>
      <c r="R552">
        <v>9</v>
      </c>
      <c r="S552">
        <v>202186646.84684685</v>
      </c>
      <c r="T552">
        <v>211320500</v>
      </c>
      <c r="U552">
        <v>121964594.5945946</v>
      </c>
      <c r="V552">
        <v>112607477.47747748</v>
      </c>
      <c r="W552">
        <v>22036</v>
      </c>
      <c r="X552">
        <v>21826</v>
      </c>
    </row>
    <row r="553" spans="1:24">
      <c r="A553" s="7" t="s">
        <v>645</v>
      </c>
      <c r="B553" s="16" t="s">
        <v>307</v>
      </c>
      <c r="C553">
        <v>243242725.83971271</v>
      </c>
      <c r="D553">
        <v>242238200.71812993</v>
      </c>
      <c r="E553">
        <v>1560360.36036036</v>
      </c>
      <c r="F553">
        <v>1540540.5405405411</v>
      </c>
      <c r="G553">
        <v>38</v>
      </c>
      <c r="H553">
        <v>16</v>
      </c>
      <c r="I553">
        <v>1</v>
      </c>
      <c r="J553">
        <v>1</v>
      </c>
      <c r="M553">
        <v>40</v>
      </c>
      <c r="N553">
        <v>23</v>
      </c>
      <c r="O553">
        <v>4423063.0630630618</v>
      </c>
      <c r="P553">
        <v>4593693.6936936928</v>
      </c>
      <c r="Q553">
        <v>29</v>
      </c>
      <c r="S553">
        <v>39702171.171171166</v>
      </c>
      <c r="T553">
        <v>40991635.135135137</v>
      </c>
      <c r="U553">
        <v>4824144.144144142</v>
      </c>
      <c r="V553">
        <v>4510450.4504504493</v>
      </c>
      <c r="W553">
        <v>5166</v>
      </c>
      <c r="X553">
        <v>5759</v>
      </c>
    </row>
    <row r="554" spans="1:24">
      <c r="A554" s="7" t="s">
        <v>13</v>
      </c>
      <c r="B554" s="16" t="s">
        <v>158</v>
      </c>
      <c r="C554">
        <v>289750591.00224584</v>
      </c>
      <c r="D554">
        <v>271950972.88308817</v>
      </c>
      <c r="E554">
        <v>633713212.61261261</v>
      </c>
      <c r="F554">
        <v>717539560.36036026</v>
      </c>
      <c r="G554">
        <v>111</v>
      </c>
      <c r="H554">
        <v>43</v>
      </c>
      <c r="I554">
        <v>10</v>
      </c>
      <c r="J554">
        <v>7</v>
      </c>
      <c r="K554">
        <v>1</v>
      </c>
      <c r="M554">
        <v>345</v>
      </c>
      <c r="N554">
        <v>128</v>
      </c>
      <c r="O554">
        <v>117272662.16216215</v>
      </c>
      <c r="P554">
        <v>112699369.36936937</v>
      </c>
      <c r="Q554">
        <v>224</v>
      </c>
      <c r="R554">
        <v>143</v>
      </c>
      <c r="S554">
        <v>166227166.66666666</v>
      </c>
      <c r="T554">
        <v>158033405.4054054</v>
      </c>
      <c r="U554">
        <v>54109459.459459454</v>
      </c>
      <c r="V554">
        <v>56049953.153153151</v>
      </c>
      <c r="W554">
        <v>8265</v>
      </c>
      <c r="X554">
        <v>6752</v>
      </c>
    </row>
    <row r="555" spans="1:24">
      <c r="A555" s="7" t="s">
        <v>646</v>
      </c>
      <c r="B555" s="16" t="s">
        <v>121</v>
      </c>
      <c r="C555">
        <v>184114393.74440357</v>
      </c>
      <c r="D555">
        <v>190808408.26036236</v>
      </c>
      <c r="E555">
        <v>14639.63963964</v>
      </c>
      <c r="F555">
        <v>149549.54954954999</v>
      </c>
      <c r="G555">
        <v>51</v>
      </c>
      <c r="H555">
        <v>43</v>
      </c>
      <c r="I555">
        <v>1</v>
      </c>
      <c r="J555">
        <v>1</v>
      </c>
      <c r="M555">
        <v>53</v>
      </c>
      <c r="N555">
        <v>46</v>
      </c>
      <c r="O555">
        <v>438738.73873873899</v>
      </c>
      <c r="P555">
        <v>1144144.1441441439</v>
      </c>
      <c r="Q555">
        <v>27</v>
      </c>
      <c r="S555">
        <v>14758081.081081079</v>
      </c>
      <c r="T555">
        <v>16875736.486486487</v>
      </c>
      <c r="U555">
        <v>591261.26126126095</v>
      </c>
      <c r="V555">
        <v>850810.81081081205</v>
      </c>
      <c r="W555">
        <v>3040</v>
      </c>
      <c r="X555">
        <v>3181</v>
      </c>
    </row>
    <row r="556" spans="1:24">
      <c r="A556" s="7" t="s">
        <v>647</v>
      </c>
      <c r="B556" s="16" t="s">
        <v>315</v>
      </c>
      <c r="C556">
        <v>71339971.922172785</v>
      </c>
      <c r="D556">
        <v>66596139.756847493</v>
      </c>
      <c r="E556">
        <v>463063.06306306302</v>
      </c>
      <c r="F556">
        <v>1181081.0810810821</v>
      </c>
      <c r="G556">
        <v>19</v>
      </c>
      <c r="H556">
        <v>20</v>
      </c>
      <c r="I556">
        <v>6</v>
      </c>
      <c r="J556">
        <v>6</v>
      </c>
      <c r="M556">
        <v>19</v>
      </c>
      <c r="N556">
        <v>27</v>
      </c>
      <c r="O556">
        <v>6731081.0810810821</v>
      </c>
      <c r="P556">
        <v>10838738.738738738</v>
      </c>
      <c r="R556">
        <v>5</v>
      </c>
      <c r="S556">
        <v>18168040.540540539</v>
      </c>
      <c r="T556">
        <v>16740684.684684685</v>
      </c>
      <c r="U556">
        <v>6151621.6216216218</v>
      </c>
      <c r="V556">
        <v>11678018.018018017</v>
      </c>
      <c r="W556">
        <v>1383</v>
      </c>
      <c r="X556">
        <v>1268</v>
      </c>
    </row>
    <row r="557" spans="1:24">
      <c r="A557" s="7" t="s">
        <v>648</v>
      </c>
      <c r="B557" s="16" t="s">
        <v>260</v>
      </c>
      <c r="C557">
        <v>181262615.0003655</v>
      </c>
      <c r="D557">
        <v>173328078.89174986</v>
      </c>
      <c r="E557">
        <v>206351.35135135101</v>
      </c>
      <c r="F557">
        <v>812837.83783783799</v>
      </c>
      <c r="G557">
        <v>49</v>
      </c>
      <c r="H557">
        <v>48</v>
      </c>
      <c r="I557">
        <v>2</v>
      </c>
      <c r="J557">
        <v>1</v>
      </c>
      <c r="M557">
        <v>53</v>
      </c>
      <c r="N557">
        <v>64</v>
      </c>
      <c r="O557">
        <v>29635405.405405402</v>
      </c>
      <c r="P557">
        <v>30932432.432432432</v>
      </c>
      <c r="Q557">
        <v>4</v>
      </c>
      <c r="S557">
        <v>57055720.720720723</v>
      </c>
      <c r="T557">
        <v>55898324.324324325</v>
      </c>
      <c r="U557">
        <v>25194594.59459459</v>
      </c>
      <c r="V557">
        <v>28783063.063063063</v>
      </c>
      <c r="W557">
        <v>4259</v>
      </c>
      <c r="X557">
        <v>4253</v>
      </c>
    </row>
    <row r="558" spans="1:24">
      <c r="A558" s="7" t="s">
        <v>649</v>
      </c>
      <c r="B558" s="16" t="s">
        <v>224</v>
      </c>
      <c r="C558">
        <v>188280816.45595548</v>
      </c>
      <c r="D558">
        <v>165397494.53634652</v>
      </c>
      <c r="E558">
        <v>83333.333333333998</v>
      </c>
      <c r="F558">
        <v>1300675.675675676</v>
      </c>
      <c r="G558">
        <v>36</v>
      </c>
      <c r="H558">
        <v>49</v>
      </c>
      <c r="I558">
        <v>6</v>
      </c>
      <c r="J558">
        <v>6</v>
      </c>
      <c r="M558">
        <v>46</v>
      </c>
      <c r="N558">
        <v>58</v>
      </c>
      <c r="O558">
        <v>11793603.603603603</v>
      </c>
      <c r="P558">
        <v>11786126.126126129</v>
      </c>
      <c r="Q558">
        <v>94</v>
      </c>
      <c r="R558">
        <v>324</v>
      </c>
      <c r="S558">
        <v>39083315.315315314</v>
      </c>
      <c r="T558">
        <v>39378279.279279277</v>
      </c>
      <c r="U558">
        <v>11618198.198198197</v>
      </c>
      <c r="V558">
        <v>11406126.126126127</v>
      </c>
      <c r="W558">
        <v>5500</v>
      </c>
      <c r="X558">
        <v>5490</v>
      </c>
    </row>
    <row r="559" spans="1:24">
      <c r="A559" s="7" t="s">
        <v>650</v>
      </c>
      <c r="B559" s="16" t="s">
        <v>224</v>
      </c>
      <c r="C559">
        <v>153058121.87295583</v>
      </c>
      <c r="D559">
        <v>134057583.3406243</v>
      </c>
      <c r="E559">
        <v>27927.927927928002</v>
      </c>
      <c r="F559">
        <v>49549.549549550997</v>
      </c>
      <c r="G559">
        <v>23</v>
      </c>
      <c r="H559">
        <v>28</v>
      </c>
      <c r="I559">
        <v>1</v>
      </c>
      <c r="J559">
        <v>0</v>
      </c>
      <c r="M559">
        <v>26</v>
      </c>
      <c r="N559">
        <v>35</v>
      </c>
      <c r="O559">
        <v>8491711.7117117103</v>
      </c>
      <c r="P559">
        <v>3022522.5225225212</v>
      </c>
      <c r="Q559">
        <v>48</v>
      </c>
      <c r="R559">
        <v>49</v>
      </c>
      <c r="S559">
        <v>19745405.405405402</v>
      </c>
      <c r="T559">
        <v>20013144.144144144</v>
      </c>
      <c r="U559">
        <v>5519099.0990990987</v>
      </c>
      <c r="V559">
        <v>2933333.333333334</v>
      </c>
      <c r="W559">
        <v>3070</v>
      </c>
      <c r="X559">
        <v>3138</v>
      </c>
    </row>
    <row r="560" spans="1:24">
      <c r="A560" s="7" t="s">
        <v>651</v>
      </c>
      <c r="B560" s="16" t="s">
        <v>224</v>
      </c>
      <c r="C560">
        <v>590335249.66075087</v>
      </c>
      <c r="D560">
        <v>514873301.83804041</v>
      </c>
      <c r="E560">
        <v>165700059.45945945</v>
      </c>
      <c r="F560">
        <v>71239957.657657668</v>
      </c>
      <c r="G560">
        <v>197</v>
      </c>
      <c r="H560">
        <v>177</v>
      </c>
      <c r="I560">
        <v>35</v>
      </c>
      <c r="J560">
        <v>28</v>
      </c>
      <c r="K560">
        <v>4</v>
      </c>
      <c r="M560">
        <v>255</v>
      </c>
      <c r="N560">
        <v>280</v>
      </c>
      <c r="O560">
        <v>80688918.918918923</v>
      </c>
      <c r="P560">
        <v>84234234.234234244</v>
      </c>
      <c r="Q560">
        <v>478</v>
      </c>
      <c r="R560">
        <v>742</v>
      </c>
      <c r="S560">
        <v>131612673.87387387</v>
      </c>
      <c r="T560">
        <v>128445581.08108109</v>
      </c>
      <c r="U560">
        <v>69947070.270270273</v>
      </c>
      <c r="V560">
        <v>65340450.45045045</v>
      </c>
      <c r="W560">
        <v>18106</v>
      </c>
      <c r="X560">
        <v>18339</v>
      </c>
    </row>
    <row r="561" spans="1:24">
      <c r="A561" s="7" t="s">
        <v>652</v>
      </c>
      <c r="B561" s="16" t="s">
        <v>224</v>
      </c>
      <c r="C561">
        <v>68973429.305824757</v>
      </c>
      <c r="D561">
        <v>65235702.572092645</v>
      </c>
      <c r="E561">
        <v>1801.801801802</v>
      </c>
      <c r="F561">
        <v>207207.207207208</v>
      </c>
      <c r="G561">
        <v>20</v>
      </c>
      <c r="H561">
        <v>14</v>
      </c>
      <c r="I561">
        <v>2</v>
      </c>
      <c r="J561">
        <v>1</v>
      </c>
      <c r="M561">
        <v>22</v>
      </c>
      <c r="N561">
        <v>15</v>
      </c>
      <c r="O561">
        <v>2013333.333333334</v>
      </c>
      <c r="P561">
        <v>1108108.1081081079</v>
      </c>
      <c r="Q561">
        <v>8</v>
      </c>
      <c r="S561">
        <v>10247792.792792792</v>
      </c>
      <c r="T561">
        <v>10625261.26126126</v>
      </c>
      <c r="U561">
        <v>1262522.5225225231</v>
      </c>
      <c r="V561">
        <v>1260810.8108108109</v>
      </c>
      <c r="W561">
        <v>1837</v>
      </c>
      <c r="X561">
        <v>1728</v>
      </c>
    </row>
    <row r="562" spans="1:24">
      <c r="A562" s="7" t="s">
        <v>653</v>
      </c>
      <c r="B562" s="16" t="s">
        <v>96</v>
      </c>
      <c r="C562">
        <v>358330552.93413287</v>
      </c>
      <c r="D562">
        <v>328989678.9075585</v>
      </c>
      <c r="E562">
        <v>98511736.036036029</v>
      </c>
      <c r="F562">
        <v>91316964.864864871</v>
      </c>
      <c r="G562">
        <v>79</v>
      </c>
      <c r="H562">
        <v>167</v>
      </c>
      <c r="I562">
        <v>1</v>
      </c>
      <c r="J562">
        <v>1</v>
      </c>
      <c r="M562">
        <v>94</v>
      </c>
      <c r="N562">
        <v>181</v>
      </c>
      <c r="O562">
        <v>12138783.783783784</v>
      </c>
      <c r="P562">
        <v>79290621.621621609</v>
      </c>
      <c r="Q562">
        <v>54</v>
      </c>
      <c r="R562">
        <v>94</v>
      </c>
      <c r="S562">
        <v>44113594.59459459</v>
      </c>
      <c r="T562">
        <v>46564495.495495498</v>
      </c>
      <c r="U562">
        <v>10749459.459459459</v>
      </c>
      <c r="V562">
        <v>5450270.2702702703</v>
      </c>
      <c r="W562">
        <v>8885</v>
      </c>
      <c r="X562">
        <v>9170</v>
      </c>
    </row>
    <row r="563" spans="1:24">
      <c r="A563" s="7" t="s">
        <v>654</v>
      </c>
      <c r="B563" s="16" t="s">
        <v>66</v>
      </c>
      <c r="C563">
        <v>209483259.17637664</v>
      </c>
      <c r="D563">
        <v>204951960.33949158</v>
      </c>
      <c r="E563">
        <v>2020720.7207207221</v>
      </c>
      <c r="F563">
        <v>4316216.2162162149</v>
      </c>
      <c r="G563">
        <v>74</v>
      </c>
      <c r="H563">
        <v>79</v>
      </c>
      <c r="I563">
        <v>3</v>
      </c>
      <c r="J563">
        <v>3</v>
      </c>
      <c r="M563">
        <v>76</v>
      </c>
      <c r="N563">
        <v>97</v>
      </c>
      <c r="O563">
        <v>25171351.351351351</v>
      </c>
      <c r="P563">
        <v>126714234.23423424</v>
      </c>
      <c r="Q563">
        <v>122</v>
      </c>
      <c r="R563">
        <v>26</v>
      </c>
      <c r="S563">
        <v>131853288.2882883</v>
      </c>
      <c r="T563">
        <v>132636693.6936937</v>
      </c>
      <c r="U563">
        <v>24510630.630630627</v>
      </c>
      <c r="V563">
        <v>72477747.747747749</v>
      </c>
      <c r="W563">
        <v>5459</v>
      </c>
      <c r="X563">
        <v>5458</v>
      </c>
    </row>
    <row r="564" spans="1:24">
      <c r="A564" s="7" t="s">
        <v>655</v>
      </c>
      <c r="B564" s="16" t="s">
        <v>68</v>
      </c>
      <c r="C564">
        <v>364851834.47303694</v>
      </c>
      <c r="D564">
        <v>318293785.67812949</v>
      </c>
      <c r="E564">
        <v>509279.27927927999</v>
      </c>
      <c r="F564">
        <v>959459.45945946104</v>
      </c>
      <c r="G564">
        <v>103</v>
      </c>
      <c r="H564">
        <v>59</v>
      </c>
      <c r="I564">
        <v>7</v>
      </c>
      <c r="J564">
        <v>4</v>
      </c>
      <c r="K564">
        <v>4</v>
      </c>
      <c r="M564">
        <v>113</v>
      </c>
      <c r="N564">
        <v>63</v>
      </c>
      <c r="O564">
        <v>23596936.936936937</v>
      </c>
      <c r="P564">
        <v>15118918.918918921</v>
      </c>
      <c r="Q564">
        <v>62</v>
      </c>
      <c r="R564">
        <v>73</v>
      </c>
      <c r="S564">
        <v>45935058.558558561</v>
      </c>
      <c r="T564">
        <v>44060576.576576576</v>
      </c>
      <c r="U564">
        <v>17584504.504504502</v>
      </c>
      <c r="V564">
        <v>11280450.450450448</v>
      </c>
      <c r="W564">
        <v>7322</v>
      </c>
      <c r="X564">
        <v>7230</v>
      </c>
    </row>
    <row r="565" spans="1:24">
      <c r="A565" s="7" t="s">
        <v>14</v>
      </c>
      <c r="B565" s="16" t="s">
        <v>158</v>
      </c>
      <c r="C565">
        <v>149050211.64888573</v>
      </c>
      <c r="D565">
        <v>140165412.50251746</v>
      </c>
      <c r="E565">
        <v>92792.792792795997</v>
      </c>
      <c r="F565">
        <v>840540.54054054304</v>
      </c>
      <c r="G565">
        <v>13</v>
      </c>
      <c r="H565">
        <v>19</v>
      </c>
      <c r="I565">
        <v>8</v>
      </c>
      <c r="J565">
        <v>6</v>
      </c>
      <c r="M565">
        <v>14</v>
      </c>
      <c r="N565">
        <v>22</v>
      </c>
      <c r="O565">
        <v>13674594.594594594</v>
      </c>
      <c r="P565">
        <v>30045045.045045048</v>
      </c>
      <c r="Q565">
        <v>55</v>
      </c>
      <c r="S565">
        <v>48284135.135135137</v>
      </c>
      <c r="T565">
        <v>47640720.720720723</v>
      </c>
      <c r="U565">
        <v>14661531.53153153</v>
      </c>
      <c r="V565">
        <v>32784594.594594598</v>
      </c>
      <c r="W565">
        <v>3933</v>
      </c>
      <c r="X565">
        <v>3909</v>
      </c>
    </row>
    <row r="566" spans="1:24">
      <c r="A566" s="7" t="s">
        <v>656</v>
      </c>
      <c r="B566" s="16" t="s">
        <v>304</v>
      </c>
      <c r="C566">
        <v>134796060.13639426</v>
      </c>
      <c r="D566">
        <v>153436368.14275014</v>
      </c>
      <c r="E566">
        <v>68468.468468470994</v>
      </c>
      <c r="F566">
        <v>624324.32432432298</v>
      </c>
      <c r="G566">
        <v>68</v>
      </c>
      <c r="H566">
        <v>30</v>
      </c>
      <c r="I566">
        <v>7</v>
      </c>
      <c r="J566">
        <v>3</v>
      </c>
      <c r="M566">
        <v>72</v>
      </c>
      <c r="N566">
        <v>271</v>
      </c>
      <c r="O566">
        <v>26428828.828828827</v>
      </c>
      <c r="P566">
        <v>24979279.27927928</v>
      </c>
      <c r="Q566">
        <v>60</v>
      </c>
      <c r="R566">
        <v>50</v>
      </c>
      <c r="S566">
        <v>42337441.441441439</v>
      </c>
      <c r="T566">
        <v>46141815.315315314</v>
      </c>
      <c r="U566">
        <v>25631891.891891893</v>
      </c>
      <c r="V566">
        <v>23469639.639639638</v>
      </c>
      <c r="W566">
        <v>3296</v>
      </c>
      <c r="X566">
        <v>3089</v>
      </c>
    </row>
    <row r="567" spans="1:24">
      <c r="A567" s="7" t="s">
        <v>657</v>
      </c>
      <c r="B567" s="16" t="s">
        <v>48</v>
      </c>
      <c r="C567">
        <v>214835363.44699004</v>
      </c>
      <c r="D567">
        <v>183996102.30055016</v>
      </c>
      <c r="E567">
        <v>620720.72072072001</v>
      </c>
      <c r="F567">
        <v>863963.96396396495</v>
      </c>
      <c r="G567">
        <v>43</v>
      </c>
      <c r="H567">
        <v>30</v>
      </c>
      <c r="I567">
        <v>6</v>
      </c>
      <c r="J567">
        <v>3</v>
      </c>
      <c r="M567">
        <v>48</v>
      </c>
      <c r="N567">
        <v>70</v>
      </c>
      <c r="O567">
        <v>25266756.756756756</v>
      </c>
      <c r="P567">
        <v>41685585.585585587</v>
      </c>
      <c r="R567">
        <v>5</v>
      </c>
      <c r="S567">
        <v>64797063.063063063</v>
      </c>
      <c r="T567">
        <v>56987675.675675675</v>
      </c>
      <c r="U567">
        <v>24687657.657657657</v>
      </c>
      <c r="V567">
        <v>37896396.396396399</v>
      </c>
      <c r="W567">
        <v>3436</v>
      </c>
      <c r="X567">
        <v>3217</v>
      </c>
    </row>
    <row r="568" spans="1:24">
      <c r="A568" s="7" t="s">
        <v>658</v>
      </c>
      <c r="B568" s="16" t="s">
        <v>54</v>
      </c>
      <c r="C568">
        <v>59185765.158487834</v>
      </c>
      <c r="D568">
        <v>61704730.003921852</v>
      </c>
      <c r="E568">
        <v>195495.495495496</v>
      </c>
      <c r="F568">
        <v>250450.45045045001</v>
      </c>
      <c r="G568">
        <v>6</v>
      </c>
      <c r="I568">
        <v>0</v>
      </c>
      <c r="J568">
        <v>1</v>
      </c>
      <c r="M568">
        <v>6</v>
      </c>
      <c r="N568">
        <v>1</v>
      </c>
      <c r="O568">
        <v>8009009.0090090092</v>
      </c>
      <c r="P568">
        <v>4056756.7567567569</v>
      </c>
      <c r="Q568">
        <v>24</v>
      </c>
      <c r="R568">
        <v>15</v>
      </c>
      <c r="S568">
        <v>13292927.927927928</v>
      </c>
      <c r="T568">
        <v>14517387.387387387</v>
      </c>
      <c r="U568">
        <v>7048558.558558559</v>
      </c>
      <c r="V568">
        <v>4456666.666666667</v>
      </c>
      <c r="W568">
        <v>1561</v>
      </c>
      <c r="X568">
        <v>1523</v>
      </c>
    </row>
    <row r="569" spans="1:24">
      <c r="A569" s="7" t="s">
        <v>659</v>
      </c>
      <c r="B569" s="16" t="s">
        <v>50</v>
      </c>
      <c r="C569">
        <v>269315413.92113823</v>
      </c>
      <c r="D569">
        <v>267126609.9638637</v>
      </c>
      <c r="E569">
        <v>290720.72072072199</v>
      </c>
      <c r="F569">
        <v>1032432.432432435</v>
      </c>
      <c r="G569">
        <v>57</v>
      </c>
      <c r="H569">
        <v>45</v>
      </c>
      <c r="I569">
        <v>13</v>
      </c>
      <c r="J569">
        <v>6</v>
      </c>
      <c r="M569">
        <v>58</v>
      </c>
      <c r="N569">
        <v>59</v>
      </c>
      <c r="O569">
        <v>59313693.693693697</v>
      </c>
      <c r="P569">
        <v>57505225.225225225</v>
      </c>
      <c r="Q569">
        <v>62</v>
      </c>
      <c r="R569">
        <v>10</v>
      </c>
      <c r="S569">
        <v>134206423.42342342</v>
      </c>
      <c r="T569">
        <v>134605054.05405405</v>
      </c>
      <c r="U569">
        <v>59887207.20720721</v>
      </c>
      <c r="V569">
        <v>53901621.621621624</v>
      </c>
      <c r="W569">
        <v>5951</v>
      </c>
      <c r="X569">
        <v>5744</v>
      </c>
    </row>
    <row r="570" spans="1:24">
      <c r="A570" s="7" t="s">
        <v>660</v>
      </c>
      <c r="B570" s="16" t="s">
        <v>83</v>
      </c>
      <c r="C570">
        <v>313794780.39209116</v>
      </c>
      <c r="D570">
        <v>328483152.66577417</v>
      </c>
      <c r="E570">
        <v>1572612.612612613</v>
      </c>
      <c r="F570">
        <v>2578170.2702702712</v>
      </c>
      <c r="G570">
        <v>90</v>
      </c>
      <c r="H570">
        <v>100</v>
      </c>
      <c r="I570">
        <v>9</v>
      </c>
      <c r="J570">
        <v>9</v>
      </c>
      <c r="K570">
        <v>2</v>
      </c>
      <c r="M570">
        <v>97</v>
      </c>
      <c r="N570">
        <v>119</v>
      </c>
      <c r="O570">
        <v>41941531.531531535</v>
      </c>
      <c r="P570">
        <v>53626938.738738745</v>
      </c>
      <c r="Q570">
        <v>357</v>
      </c>
      <c r="R570">
        <v>35</v>
      </c>
      <c r="S570">
        <v>76495414.414414421</v>
      </c>
      <c r="T570">
        <v>84686261.261261269</v>
      </c>
      <c r="U570">
        <v>35181621.621621624</v>
      </c>
      <c r="V570">
        <v>28834549.549549554</v>
      </c>
      <c r="W570">
        <v>8556</v>
      </c>
      <c r="X570">
        <v>8878</v>
      </c>
    </row>
    <row r="571" spans="1:24">
      <c r="A571" s="12" t="s">
        <v>665</v>
      </c>
      <c r="B571" s="13"/>
      <c r="C571" s="14">
        <v>139444318039.85608</v>
      </c>
      <c r="D571" s="14">
        <v>136175972773.6566</v>
      </c>
      <c r="E571" s="14">
        <v>28497333363.063072</v>
      </c>
      <c r="F571" s="14">
        <v>30334171504.504501</v>
      </c>
      <c r="G571" s="14">
        <v>43755</v>
      </c>
      <c r="H571" s="14">
        <v>43936</v>
      </c>
      <c r="I571" s="14">
        <v>4404</v>
      </c>
      <c r="J571" s="14">
        <v>5106</v>
      </c>
      <c r="K571" s="14">
        <v>412</v>
      </c>
      <c r="L571" s="14"/>
      <c r="M571" s="14">
        <v>55224</v>
      </c>
      <c r="N571" s="14">
        <v>65394</v>
      </c>
      <c r="O571" s="14">
        <v>27966238389.189175</v>
      </c>
      <c r="P571" s="14">
        <v>28079521298.1982</v>
      </c>
      <c r="Q571" s="14">
        <v>78985</v>
      </c>
      <c r="R571" s="14">
        <v>80259</v>
      </c>
      <c r="S571" s="14">
        <v>39142008181.981987</v>
      </c>
      <c r="T571" s="14">
        <v>40836575916.216194</v>
      </c>
      <c r="U571" s="14">
        <v>19436214144.144165</v>
      </c>
      <c r="V571" s="14">
        <v>19689299636.036049</v>
      </c>
      <c r="W571" s="14">
        <v>3710318</v>
      </c>
      <c r="X571" s="14">
        <v>3722506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2026-09-20T05:35:26Z</dcterms:modified>
</cp:coreProperties>
</file>