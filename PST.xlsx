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" i="1" l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X17" i="1"/>
  <c r="Y17" i="1"/>
  <c r="X18" i="1"/>
  <c r="Y18" i="1"/>
  <c r="X19" i="1"/>
  <c r="Y19" i="1"/>
  <c r="X20" i="1"/>
  <c r="Y20" i="1"/>
  <c r="X21" i="1"/>
  <c r="Y21" i="1"/>
  <c r="X22" i="1"/>
  <c r="Y22" i="1"/>
  <c r="Y6" i="1"/>
  <c r="X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U16" i="1"/>
  <c r="V16" i="1"/>
  <c r="U17" i="1"/>
  <c r="V17" i="1"/>
  <c r="U18" i="1"/>
  <c r="V18" i="1"/>
  <c r="U19" i="1"/>
  <c r="V19" i="1"/>
  <c r="U20" i="1"/>
  <c r="V20" i="1"/>
  <c r="U21" i="1"/>
  <c r="V21" i="1"/>
  <c r="U22" i="1"/>
  <c r="V22" i="1"/>
  <c r="V6" i="1"/>
  <c r="U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S6" i="1"/>
  <c r="R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P6" i="1"/>
  <c r="O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M6" i="1"/>
  <c r="L6" i="1"/>
  <c r="J6" i="1"/>
  <c r="I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F19" i="1"/>
  <c r="G19" i="1"/>
  <c r="F20" i="1"/>
  <c r="G20" i="1"/>
  <c r="F21" i="1"/>
  <c r="G21" i="1"/>
  <c r="F22" i="1"/>
  <c r="G22" i="1"/>
  <c r="G6" i="1"/>
  <c r="F6" i="1"/>
  <c r="D7" i="1"/>
  <c r="D8" i="1"/>
  <c r="E8" i="1" s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6" i="1"/>
  <c r="E19" i="1" l="1"/>
  <c r="E7" i="1"/>
  <c r="E18" i="1"/>
  <c r="E17" i="1"/>
  <c r="E16" i="1"/>
  <c r="E21" i="1"/>
  <c r="E9" i="1"/>
  <c r="E14" i="1"/>
  <c r="E20" i="1"/>
  <c r="E13" i="1"/>
  <c r="E12" i="1"/>
  <c r="E6" i="1"/>
  <c r="E11" i="1"/>
  <c r="E22" i="1"/>
  <c r="E10" i="1"/>
  <c r="E15" i="1"/>
  <c r="W13" i="1"/>
  <c r="W8" i="1"/>
  <c r="W7" i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Z16" i="1" l="1"/>
  <c r="Z20" i="1"/>
  <c r="Z22" i="1"/>
  <c r="Z10" i="1"/>
  <c r="Z18" i="1"/>
  <c r="Z15" i="1"/>
  <c r="Z9" i="1"/>
  <c r="T20" i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T15" i="1"/>
  <c r="T17" i="1"/>
  <c r="Z17" i="1" l="1"/>
  <c r="Z11" i="1"/>
  <c r="Z6" i="1"/>
  <c r="Z21" i="1"/>
  <c r="Z19" i="1"/>
  <c r="Z8" i="1"/>
  <c r="Z7" i="1"/>
  <c r="Z12" i="1"/>
  <c r="Z14" i="1"/>
  <c r="Z13" i="1"/>
  <c r="T14" i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</calcChain>
</file>

<file path=xl/sharedStrings.xml><?xml version="1.0" encoding="utf-8"?>
<sst xmlns="http://schemas.openxmlformats.org/spreadsheetml/2006/main" count="1251" uniqueCount="678">
  <si>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</si>
  <si>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</si>
  <si>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</si>
  <si>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</si>
  <si>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</si>
  <si>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</si>
  <si>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</si>
  <si>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</si>
  <si>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</si>
  <si>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</si>
  <si>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</si>
  <si>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</si>
  <si>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</si>
  <si>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</si>
  <si>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</si>
  <si>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</si>
  <si>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</si>
  <si>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</si>
  <si>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</si>
  <si>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</si>
  <si>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</si>
  <si>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</si>
  <si>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</si>
  <si>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</si>
  <si>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</si>
  <si>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</si>
  <si>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</si>
  <si>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</si>
  <si>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</si>
  <si>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</si>
  <si>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</si>
  <si>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</si>
  <si>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</si>
  <si>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</si>
  <si>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</si>
  <si>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</si>
  <si>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</si>
  <si>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</si>
  <si>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</si>
  <si>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</si>
  <si>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</si>
  <si>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</si>
  <si>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</si>
  <si>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</si>
  <si>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</si>
  <si>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</si>
  <si>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</si>
  <si>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</si>
  <si>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</si>
  <si>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</si>
  <si>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</si>
  <si>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</si>
  <si>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</si>
  <si>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</si>
  <si>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</si>
  <si>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</si>
  <si>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</si>
  <si>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</si>
  <si>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</si>
  <si>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</si>
  <si>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</si>
  <si>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</si>
  <si>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</si>
  <si>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</si>
  <si>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</si>
  <si>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</si>
  <si>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</si>
  <si>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</si>
  <si>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</si>
  <si>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</si>
  <si>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</si>
  <si>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</si>
  <si>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</si>
  <si>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</si>
  <si>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</si>
  <si>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</si>
  <si>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</si>
  <si>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</si>
  <si>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</si>
  <si>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</si>
  <si>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</si>
  <si>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</si>
  <si>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</si>
  <si>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</si>
  <si>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</si>
  <si>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</si>
  <si>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</si>
  <si>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</si>
  <si>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</si>
  <si>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</si>
  <si>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</si>
  <si>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</si>
  <si>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</si>
  <si>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</si>
  <si>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</si>
  <si>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</si>
  <si>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</si>
  <si>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</si>
  <si>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</si>
  <si>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</si>
  <si>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</si>
  <si>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</si>
  <si>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</si>
  <si>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</si>
  <si>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</si>
  <si>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</si>
  <si>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</si>
  <si>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</si>
  <si>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</si>
  <si>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</si>
  <si>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</si>
  <si>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</si>
  <si>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</si>
  <si>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</si>
  <si>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</si>
  <si>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</si>
  <si>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</si>
  <si>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</si>
  <si>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</si>
  <si>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</si>
  <si>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</si>
  <si>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</si>
  <si>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</si>
  <si>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</si>
  <si>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</si>
  <si>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</si>
  <si>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</si>
  <si>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</si>
  <si>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</si>
  <si>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</si>
  <si>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</si>
  <si>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</si>
  <si>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</si>
  <si>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</si>
  <si>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</si>
  <si>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</si>
  <si>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</si>
  <si>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</si>
  <si>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</si>
  <si>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</si>
  <si>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</si>
  <si>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</si>
  <si>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</si>
  <si>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</si>
  <si>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</si>
  <si>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</si>
  <si>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</si>
  <si>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</si>
  <si>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</si>
  <si>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</si>
  <si>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</si>
  <si>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</si>
  <si>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</si>
  <si>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</si>
  <si>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</si>
  <si>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</si>
  <si>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</si>
  <si>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</si>
  <si>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</si>
  <si>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</si>
  <si>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</si>
  <si>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</si>
  <si>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</si>
  <si>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</si>
  <si>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</si>
  <si>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</si>
  <si>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</si>
  <si>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</si>
  <si>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</si>
  <si>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</si>
  <si>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</si>
  <si>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</si>
  <si>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</si>
  <si>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</si>
  <si>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</si>
  <si>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</si>
  <si>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</si>
  <si>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</si>
  <si>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</si>
  <si>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</si>
  <si>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</si>
  <si>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</si>
  <si>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</si>
  <si>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</si>
  <si>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</si>
  <si>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</si>
  <si>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</si>
  <si>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</si>
  <si>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</si>
  <si>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</si>
  <si>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</si>
  <si>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</si>
  <si>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</si>
  <si>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</si>
  <si>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</si>
  <si>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</si>
  <si>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</si>
  <si>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</si>
  <si>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</si>
  <si>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</si>
  <si>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</si>
  <si>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</si>
  <si>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</si>
  <si>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</si>
  <si>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</si>
  <si>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</si>
  <si>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</si>
  <si>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</si>
  <si>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</si>
  <si>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</si>
  <si>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</si>
  <si>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</si>
  <si>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</si>
  <si>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</si>
  <si>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</si>
  <si>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</si>
  <si>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</si>
  <si>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</si>
  <si>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</si>
  <si>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</si>
  <si>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</si>
  <si>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</si>
  <si>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</si>
  <si>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</si>
  <si>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</si>
  <si>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</si>
  <si>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</si>
  <si>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</si>
  <si>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</si>
  <si>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</si>
  <si>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</si>
  <si>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</si>
  <si>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</si>
  <si>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</si>
  <si>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</si>
  <si>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</si>
  <si>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</si>
  <si>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</si>
  <si>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</si>
  <si>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</si>
  <si>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</si>
  <si>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</si>
  <si>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</si>
  <si>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</si>
  <si>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</si>
  <si>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</si>
  <si>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</si>
  <si>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</si>
  <si>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</si>
  <si>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</si>
  <si>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</si>
  <si>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</si>
  <si>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</si>
  <si>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</si>
  <si>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</si>
  <si>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</si>
  <si>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</si>
  <si>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</si>
  <si>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</si>
  <si>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</si>
  <si>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</si>
  <si>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</si>
  <si>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</si>
  <si>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</si>
  <si>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</si>
  <si>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</si>
  <si>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</si>
  <si>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</si>
  <si>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</si>
  <si>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</si>
  <si>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</si>
  <si>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</si>
  <si>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</si>
  <si>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</si>
  <si>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</si>
  <si>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</si>
  <si>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</si>
  <si>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</si>
  <si>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</si>
  <si>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</si>
  <si>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</si>
  <si>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</si>
  <si>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</si>
  <si>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</si>
  <si>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</si>
  <si>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</si>
  <si>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</si>
  <si>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</si>
  <si>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</si>
  <si>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</si>
  <si>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</si>
  <si>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</si>
  <si>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</si>
  <si>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</si>
  <si>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</si>
  <si>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</si>
  <si>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</si>
  <si>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</si>
  <si>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</si>
  <si>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</si>
  <si>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</si>
  <si>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</si>
  <si>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</si>
  <si>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</si>
  <si>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</si>
  <si>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</si>
  <si>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</si>
  <si>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</si>
  <si>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</si>
  <si>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</si>
  <si>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</si>
  <si>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</si>
  <si>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</si>
  <si>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</si>
  <si>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</si>
  <si>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</si>
  <si>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</si>
  <si>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</si>
  <si>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</si>
  <si>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</si>
  <si>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</si>
  <si>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</si>
  <si>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</si>
  <si>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</si>
  <si>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</si>
  <si>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</si>
  <si>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</si>
  <si>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</si>
  <si>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</si>
  <si>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</si>
  <si>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</si>
  <si>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</si>
  <si>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</si>
  <si>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</si>
  <si>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</si>
  <si>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</si>
  <si>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</si>
  <si>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</si>
  <si>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</si>
  <si>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</si>
  <si>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</si>
  <si>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</si>
  <si>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</si>
  <si>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</si>
  <si>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</si>
  <si>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</si>
  <si>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</si>
  <si>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</si>
  <si>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</si>
  <si>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</si>
  <si>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</si>
  <si>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</si>
  <si>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</si>
  <si>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</si>
  <si>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</si>
  <si>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</si>
  <si>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</si>
  <si>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</si>
  <si>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</si>
  <si>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</si>
  <si>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</si>
  <si>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</si>
  <si>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</si>
  <si>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</si>
  <si>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</si>
  <si>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</si>
  <si>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</si>
  <si>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</si>
  <si>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</si>
  <si>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</si>
  <si>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</si>
  <si>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</si>
  <si>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</si>
  <si>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</si>
  <si>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</si>
  <si>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</si>
  <si>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</si>
  <si>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</si>
  <si>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</si>
  <si>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</si>
  <si>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</si>
  <si>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</si>
  <si>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</si>
  <si>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</si>
  <si>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</si>
  <si>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</si>
  <si>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</si>
  <si>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</si>
  <si>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</si>
  <si>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</si>
  <si>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</si>
  <si>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</si>
  <si>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</si>
  <si>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</si>
  <si>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</si>
  <si>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</si>
  <si>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</si>
  <si>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</si>
  <si>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</si>
  <si>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</si>
  <si>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</si>
  <si>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</si>
  <si>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</si>
  <si>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</si>
  <si>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</si>
  <si>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</si>
  <si>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</si>
  <si>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</si>
  <si>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</si>
  <si>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</si>
  <si>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</si>
  <si>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</si>
  <si>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</si>
  <si>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</si>
  <si>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</si>
  <si>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</si>
  <si>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</si>
  <si>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</si>
  <si>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</si>
  <si>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</si>
  <si>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</si>
  <si>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</si>
  <si>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</si>
  <si>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</si>
  <si>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</si>
  <si>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</si>
  <si>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</si>
  <si>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</si>
  <si>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</si>
  <si>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</si>
  <si>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</si>
  <si>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</si>
  <si>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</si>
  <si>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</si>
  <si>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</si>
  <si>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</si>
  <si>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</si>
  <si>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</si>
  <si>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</si>
  <si>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</si>
  <si>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</si>
  <si>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</si>
  <si>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</si>
  <si>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</si>
  <si>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</si>
  <si>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</si>
  <si>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</si>
  <si>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</si>
  <si>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</si>
  <si>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</si>
  <si>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</si>
  <si>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</si>
  <si>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</si>
  <si>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</si>
  <si>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</si>
  <si>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</si>
  <si>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</si>
  <si>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</si>
  <si>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</si>
  <si>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</si>
  <si>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</si>
  <si>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</si>
  <si>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</si>
  <si>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</si>
  <si>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</si>
  <si>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</si>
  <si>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</si>
  <si>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</si>
  <si>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</si>
  <si>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</si>
  <si>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</si>
  <si>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</si>
  <si>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</si>
  <si>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</si>
  <si>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</si>
  <si>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</si>
  <si>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</si>
  <si>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</si>
  <si>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</si>
  <si>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</si>
  <si>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</si>
  <si>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</si>
  <si>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</si>
  <si>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</si>
  <si>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</si>
  <si>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</si>
  <si>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</si>
  <si>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</si>
  <si>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</si>
  <si>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</si>
  <si>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</si>
  <si>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</si>
  <si>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</si>
  <si>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</si>
  <si>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</si>
  <si>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</si>
  <si>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</si>
  <si>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</si>
  <si>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</si>
  <si>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</si>
  <si>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</si>
  <si>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</si>
  <si>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</si>
  <si>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</si>
  <si>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</si>
  <si>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</si>
  <si>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</si>
  <si>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</si>
  <si>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</si>
  <si>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</si>
  <si>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</si>
  <si>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</si>
  <si>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</si>
  <si>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</si>
  <si>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</si>
  <si>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</si>
  <si>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</si>
  <si>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</si>
  <si>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</si>
  <si>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</si>
  <si>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</si>
  <si>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</si>
  <si>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</si>
  <si>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</si>
  <si>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</si>
  <si>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</si>
  <si>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</si>
  <si>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</si>
  <si>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</si>
  <si>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</si>
  <si>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</si>
  <si>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</si>
  <si>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</si>
  <si>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</si>
  <si>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</si>
  <si>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</si>
  <si>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</si>
  <si>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</si>
  <si>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</si>
  <si>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</si>
  <si>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</si>
  <si>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</si>
  <si>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</si>
  <si>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</si>
  <si>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</si>
  <si>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</si>
  <si>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</si>
  <si>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</si>
  <si>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</si>
  <si>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</si>
  <si>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</si>
  <si>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</si>
  <si>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</si>
  <si>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</si>
  <si>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</si>
  <si>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</si>
  <si>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</si>
  <si>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</si>
  <si>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</si>
  <si>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</si>
  <si>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</si>
  <si>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</si>
  <si>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</si>
  <si>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</si>
  <si>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</si>
  <si>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</si>
  <si>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</si>
  <si>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</si>
  <si>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</si>
  <si>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</si>
  <si>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</si>
  <si>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</si>
  <si>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</si>
  <si>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</si>
  <si>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</si>
  <si>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</si>
  <si>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</si>
  <si>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</si>
  <si>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</si>
  <si>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</si>
  <si>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</si>
  <si>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</si>
  <si>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</si>
  <si>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</si>
  <si>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</si>
  <si>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</si>
  <si>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</si>
  <si>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</si>
  <si>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</si>
  <si>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</si>
  <si>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</si>
  <si>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</si>
  <si>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</si>
  <si>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</si>
  <si>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</si>
  <si>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</si>
  <si>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</si>
  <si>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</si>
  <si>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</si>
  <si>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</si>
  <si>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</si>
  <si>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</si>
  <si>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</si>
  <si>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</si>
  <si>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</si>
  <si>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</si>
  <si>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</si>
  <si>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</si>
  <si>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</si>
  <si>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</si>
  <si>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</si>
  <si>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</si>
  <si>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</si>
  <si>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</si>
  <si>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</si>
  <si>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</si>
  <si>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</si>
  <si>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</si>
  <si>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</si>
  <si>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</si>
  <si>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</si>
  <si>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</si>
  <si>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</si>
  <si>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</si>
  <si>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</si>
  <si>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</si>
  <si>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</si>
  <si>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</si>
  <si>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</si>
  <si>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</si>
  <si>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</si>
  <si>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</si>
  <si>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</si>
  <si>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</si>
  <si>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</si>
  <si>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</si>
  <si>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</si>
  <si>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</si>
  <si>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</si>
  <si>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</si>
  <si>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</si>
  <si>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</si>
  <si>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</si>
  <si>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</si>
  <si>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</si>
  <si>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</si>
  <si>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</si>
  <si>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</si>
  <si>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</si>
  <si>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</si>
  <si>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</si>
  <si>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</si>
  <si>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</si>
  <si>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</si>
  <si>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</si>
  <si>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</si>
  <si>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</si>
  <si>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</si>
  <si>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</si>
  <si>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</si>
  <si>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</si>
  <si>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</si>
  <si>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</si>
  <si>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</si>
  <si>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</si>
  <si>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Total</t>
  </si>
  <si>
    <t>MURUK RIAN|TANA TIDUNG</t>
  </si>
  <si>
    <t>SP SELL IN MTD</t>
  </si>
  <si>
    <t>SP SELL IN LMTD</t>
  </si>
  <si>
    <t>DD</t>
  </si>
  <si>
    <t>RETTAG_3GB</t>
  </si>
  <si>
    <t>SELLIN_3GB</t>
  </si>
  <si>
    <t>BATANG KAWA|LAMANDAU</t>
  </si>
  <si>
    <t>BUKIT RAYA|KATINGAN</t>
  </si>
  <si>
    <t>DAMANG BATU|GUNUNG MAS</t>
  </si>
  <si>
    <t>KAPUAS HULU|KAPUAS</t>
  </si>
  <si>
    <t>SOKAN|MELAWI</t>
  </si>
  <si>
    <t>TANJUNG PALAS BARAT|BULUNGAN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</si>
</sst>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b/>
      <sz val="11"/>
      <name val="Calibri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8" fillId="0" borderId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0" fontId="0" fillId="0" borderId="4" xfId="0" applyBorder="1" applyAlignment="1"/>
    <xf numFmtId="0" fontId="7" fillId="0" borderId="0" xfId="0" applyFont="1"/>
    <xf numFmtId="0" fontId="0" fillId="0" borderId="2" xfId="0" applyBorder="1"/>
    <xf numFmtId="0" fontId="0" fillId="0" borderId="4" xfId="0" applyBorder="1"/>
  </cellXfs>
  <cellStyles count="3">
    <cellStyle name="Normal" xfId="0" builtinId="0"/>
    <cellStyle name="Normal 2" xfId="2"/>
    <cellStyle name="Percent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Z22"/>
  <sheetViews>
    <sheetView zoomScale="44" workbookViewId="0">
      <pane xSplit="1" ySplit="5" topLeftCell="T18" activePane="bottomRight" state="frozen"/>
      <selection pane="topRight" activeCell="B1" sqref="B1"/>
      <selection pane="bottomLeft" activeCell="A6" sqref="A6"/>
      <selection pane="bottomRight" activeCell="Y6" sqref="X6:Y22"/>
    </sheetView>
  </sheetViews>
  <sheetFormatPr defaultColWidth="11.7265625" defaultRowHeight="64.5" customHeight="1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26" width="38" style="2" customWidth="1"/>
    <col min="27" max="16384" width="11.7265625" style="2"/>
  </cols>
  <sheetData>
    <row r="4" spans="1:26" ht="64.5" customHeight="1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6" ht="64.5" customHeight="1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662</v>
      </c>
      <c r="V5" s="3" t="s">
        <v>663</v>
      </c>
      <c r="W5" s="3" t="s">
        <v>33</v>
      </c>
      <c r="X5" s="3" t="s">
        <v>667</v>
      </c>
      <c r="Y5" s="3" t="s">
        <v>668</v>
      </c>
      <c r="Z5" s="3" t="s">
        <v>33</v>
      </c>
    </row>
    <row r="6" spans="1:26" ht="64.5" customHeight="1">
      <c r="A6" s="9" t="s">
        <v>1</v>
      </c>
      <c r="B6" s="1" t="s">
        <v>16</v>
      </c>
      <c r="C6" s="4">
        <f>IFERROR(VLOOKUP(A:A,MASTER!A:C,3,0),0)</f>
        <v>431705383.22211784</v>
      </c>
      <c r="D6" s="4">
        <f>IFERROR(VLOOKUP(A:A,MASTER!A:D,4,0),0)</f>
        <v>433660249.52277035</v>
      </c>
      <c r="E6" s="8">
        <f>IFERROR(C6/D6-1,0)</f>
        <v>-4.5078291192327535E-3</v>
      </c>
      <c r="F6" s="4">
        <f>IFERROR(VLOOKUP(A6,MASTER!A:E,5,0),0)</f>
        <v>568918.91891891998</v>
      </c>
      <c r="G6" s="4">
        <f>IFERROR(VLOOKUP(A6,MASTER!A:F,6,0),0)</f>
        <v>3298198.1981982011</v>
      </c>
      <c r="H6" s="8">
        <f>IFERROR(F6/G6-1,0)</f>
        <v>-0.82750614586178628</v>
      </c>
      <c r="I6" s="4">
        <f>IFERROR(VLOOKUP(A6,MASTER!A:O,15,0),0)</f>
        <v>50842432.432432435</v>
      </c>
      <c r="J6" s="4">
        <f>IFERROR(VLOOKUP(A6,MASTER!A:P,16,0),0)</f>
        <v>51401531.531531535</v>
      </c>
      <c r="K6" s="8">
        <f>IFERROR(I6/J6-1,0)</f>
        <v>-1.0877090281952606E-2</v>
      </c>
      <c r="L6" s="4">
        <f>IFERROR(VLOOKUP(A6,MASTER!A:S,19,0),0)</f>
        <v>207087520.72072074</v>
      </c>
      <c r="M6" s="4">
        <f>IFERROR(VLOOKUP(A6,MASTER!A:T,20,0),0)</f>
        <v>205689081.08108109</v>
      </c>
      <c r="N6" s="8">
        <f>IFERROR(L6/M6-1,0)</f>
        <v>6.7988034770225525E-3</v>
      </c>
      <c r="O6" s="4">
        <f>IFERROR(VLOOKUP(A6,MASTER!A:U,21,0),0)</f>
        <v>48768918.918918923</v>
      </c>
      <c r="P6" s="4">
        <f>IFERROR(VLOOKUP(A6,MASTER!A:V,22,0),0)</f>
        <v>47829459.459459461</v>
      </c>
      <c r="Q6" s="8">
        <f>IFERROR(O6/P6-1,0)</f>
        <v>1.964185817855113E-2</v>
      </c>
      <c r="R6" s="4">
        <f>IFERROR(VLOOKUP(A6,MASTER!A:W,23,0),0)</f>
        <v>8301</v>
      </c>
      <c r="S6" s="4">
        <f>IFERROR(VLOOKUP(A6,MASTER!A:X,24,0),0)</f>
        <v>8117</v>
      </c>
      <c r="T6" s="8">
        <f>IFERROR(R6/S6-1,0)</f>
        <v>2.2668473573980608E-2</v>
      </c>
      <c r="U6" s="11">
        <f>IFERROR(VLOOKUP(A6,MASTER!A:M,13,0),0)</f>
        <v>770</v>
      </c>
      <c r="V6" s="11">
        <f>IFERROR(VLOOKUP(A6,MASTER!A:N,14,0),0)</f>
        <v>520</v>
      </c>
      <c r="W6" s="8">
        <f>IFERROR(U6/V6-1,0)</f>
        <v>0.48076923076923084</v>
      </c>
      <c r="X6" s="11">
        <f>IFERROR(VLOOKUP(A6,MASTER!A:Q,17,0),0)</f>
        <v>220</v>
      </c>
      <c r="Y6" s="11">
        <f>IFERROR(VLOOKUP(A6,MASTER!A:R,18,0),0)</f>
        <v>211</v>
      </c>
      <c r="Z6" s="8">
        <f>IFERROR(X6/Y6-1,0)</f>
        <v>4.2654028436019065E-2</v>
      </c>
    </row>
    <row r="7" spans="1:26" ht="64.5" customHeight="1">
      <c r="A7" s="9" t="s">
        <v>2</v>
      </c>
      <c r="B7" s="1" t="s">
        <v>17</v>
      </c>
      <c r="C7" s="4">
        <f>IFERROR(VLOOKUP(A:A,MASTER!A:C,3,0),0)</f>
        <v>50154981.424274623</v>
      </c>
      <c r="D7" s="4">
        <f>IFERROR(VLOOKUP(A:A,MASTER!A:D,4,0),0)</f>
        <v>42759579.760946639</v>
      </c>
      <c r="E7" s="8">
        <f t="shared" ref="E7:E22" si="0">IFERROR(C7/D7-1,0)</f>
        <v>0.17295309506484879</v>
      </c>
      <c r="F7" s="4">
        <f>IFERROR(VLOOKUP(A7,MASTER!A:E,5,0),0)</f>
        <v>57657.657657657001</v>
      </c>
      <c r="G7" s="4">
        <f>IFERROR(VLOOKUP(A7,MASTER!A:F,6,0),0)</f>
        <v>310810.81081081199</v>
      </c>
      <c r="H7" s="8">
        <f t="shared" ref="H7:H22" si="1">IFERROR(F7/G7-1,0)</f>
        <v>-0.81449275362319118</v>
      </c>
      <c r="I7" s="4">
        <f>IFERROR(VLOOKUP(A7,MASTER!A:O,15,0),0)</f>
        <v>324324.32432432403</v>
      </c>
      <c r="J7" s="4">
        <f>IFERROR(VLOOKUP(A7,MASTER!A:P,16,0),0)</f>
        <v>6662162.1621621633</v>
      </c>
      <c r="K7" s="8">
        <f t="shared" ref="K7:K22" si="2">IFERROR(I7/J7-1,0)</f>
        <v>-0.9513184584178499</v>
      </c>
      <c r="L7" s="4">
        <f>IFERROR(VLOOKUP(A7,MASTER!A:S,19,0),0)</f>
        <v>27097747.747747749</v>
      </c>
      <c r="M7" s="4">
        <f>IFERROR(VLOOKUP(A7,MASTER!A:T,20,0),0)</f>
        <v>24460873.873873871</v>
      </c>
      <c r="N7" s="8">
        <f t="shared" ref="N7:N22" si="3">IFERROR(L7/M7-1,0)</f>
        <v>0.10779965946720593</v>
      </c>
      <c r="O7" s="4">
        <f>IFERROR(VLOOKUP(A7,MASTER!A:U,21,0),0)</f>
        <v>330180.18018018099</v>
      </c>
      <c r="P7" s="4">
        <f>IFERROR(VLOOKUP(A7,MASTER!A:V,22,0),0)</f>
        <v>6763063.0630630637</v>
      </c>
      <c r="Q7" s="8">
        <f t="shared" ref="Q7:Q22" si="4">IFERROR(O7/P7-1,0)</f>
        <v>-0.95117889969361913</v>
      </c>
      <c r="R7" s="4">
        <f>IFERROR(VLOOKUP(A7,MASTER!A:W,23,0),0)</f>
        <v>1147</v>
      </c>
      <c r="S7" s="4">
        <f>IFERROR(VLOOKUP(A7,MASTER!A:X,24,0),0)</f>
        <v>1274</v>
      </c>
      <c r="T7" s="8">
        <f t="shared" ref="T7:T22" si="5">IFERROR(R7/S7-1,0)</f>
        <v>-9.9686028257456871E-2</v>
      </c>
      <c r="U7" s="11">
        <f>IFERROR(VLOOKUP(A7,MASTER!A:M,13,0),0)</f>
        <v>14</v>
      </c>
      <c r="V7" s="11">
        <f>IFERROR(VLOOKUP(A7,MASTER!A:N,14,0),0)</f>
        <v>6</v>
      </c>
      <c r="W7" s="8">
        <f t="shared" ref="W7:W22" si="6">IFERROR(U7/V7-1,0)</f>
        <v>1.3333333333333335</v>
      </c>
      <c r="X7" s="11">
        <f>IFERROR(VLOOKUP(A7,MASTER!A:Q,17,0),0)</f>
        <v>6</v>
      </c>
      <c r="Y7" s="11">
        <f>IFERROR(VLOOKUP(A7,MASTER!A:R,18,0),0)</f>
        <v>0</v>
      </c>
      <c r="Z7" s="8">
        <f t="shared" ref="Z7:Z22" si="7">IFERROR(X7/Y7-1,0)</f>
        <v>0</v>
      </c>
    </row>
    <row r="8" spans="1:26" ht="64.5" customHeight="1">
      <c r="A8" s="9" t="s">
        <v>3</v>
      </c>
      <c r="B8" s="1" t="s">
        <v>16</v>
      </c>
      <c r="C8" s="4">
        <f>IFERROR(VLOOKUP(A:A,MASTER!A:C,3,0),0)</f>
        <v>328202777.75923812</v>
      </c>
      <c r="D8" s="4">
        <f>IFERROR(VLOOKUP(A:A,MASTER!A:D,4,0),0)</f>
        <v>323180944.00703323</v>
      </c>
      <c r="E8" s="8">
        <f t="shared" si="0"/>
        <v>1.5538768127664193E-2</v>
      </c>
      <c r="F8" s="4">
        <f>IFERROR(VLOOKUP(A8,MASTER!A:E,5,0),0)</f>
        <v>3265540.5405405411</v>
      </c>
      <c r="G8" s="4">
        <f>IFERROR(VLOOKUP(A8,MASTER!A:F,6,0),0)</f>
        <v>4719594.5945945978</v>
      </c>
      <c r="H8" s="8">
        <f t="shared" si="1"/>
        <v>-0.30808876163206911</v>
      </c>
      <c r="I8" s="4">
        <f>IFERROR(VLOOKUP(A8,MASTER!A:O,15,0),0)</f>
        <v>64537387.387387395</v>
      </c>
      <c r="J8" s="4">
        <f>IFERROR(VLOOKUP(A8,MASTER!A:P,16,0),0)</f>
        <v>63159459.459459454</v>
      </c>
      <c r="K8" s="8">
        <f t="shared" si="2"/>
        <v>2.1816651689560373E-2</v>
      </c>
      <c r="L8" s="4">
        <f>IFERROR(VLOOKUP(A8,MASTER!A:S,19,0),0)</f>
        <v>87241081.081081092</v>
      </c>
      <c r="M8" s="4">
        <f>IFERROR(VLOOKUP(A8,MASTER!A:T,20,0),0)</f>
        <v>89461063.063063055</v>
      </c>
      <c r="N8" s="8">
        <f t="shared" si="3"/>
        <v>-2.481506373803144E-2</v>
      </c>
      <c r="O8" s="4">
        <f>IFERROR(VLOOKUP(A8,MASTER!A:U,21,0),0)</f>
        <v>60443423.423423424</v>
      </c>
      <c r="P8" s="4">
        <f>IFERROR(VLOOKUP(A8,MASTER!A:V,22,0),0)</f>
        <v>58155765.765765756</v>
      </c>
      <c r="Q8" s="8">
        <f t="shared" si="4"/>
        <v>3.9336730030719247E-2</v>
      </c>
      <c r="R8" s="4">
        <f>IFERROR(VLOOKUP(A8,MASTER!A:W,23,0),0)</f>
        <v>3732</v>
      </c>
      <c r="S8" s="4">
        <f>IFERROR(VLOOKUP(A8,MASTER!A:X,24,0),0)</f>
        <v>3823</v>
      </c>
      <c r="T8" s="8">
        <f t="shared" si="5"/>
        <v>-2.3803295840962635E-2</v>
      </c>
      <c r="U8" s="11">
        <f>IFERROR(VLOOKUP(A8,MASTER!A:M,13,0),0)</f>
        <v>52</v>
      </c>
      <c r="V8" s="11">
        <f>IFERROR(VLOOKUP(A8,MASTER!A:N,14,0),0)</f>
        <v>57</v>
      </c>
      <c r="W8" s="8">
        <f t="shared" si="6"/>
        <v>-8.7719298245614086E-2</v>
      </c>
      <c r="X8" s="11">
        <f>IFERROR(VLOOKUP(A8,MASTER!A:Q,17,0),0)</f>
        <v>102</v>
      </c>
      <c r="Y8" s="11">
        <f>IFERROR(VLOOKUP(A8,MASTER!A:R,18,0),0)</f>
        <v>74</v>
      </c>
      <c r="Z8" s="8">
        <f t="shared" si="7"/>
        <v>0.37837837837837829</v>
      </c>
    </row>
    <row r="9" spans="1:26" ht="64.5" customHeight="1">
      <c r="A9" s="9" t="s">
        <v>4</v>
      </c>
      <c r="B9" s="1" t="s">
        <v>16</v>
      </c>
      <c r="C9" s="4">
        <f>IFERROR(VLOOKUP(A:A,MASTER!A:C,3,0),0)</f>
        <v>189121525.0669426</v>
      </c>
      <c r="D9" s="4">
        <f>IFERROR(VLOOKUP(A:A,MASTER!A:D,4,0),0)</f>
        <v>192017088.98000297</v>
      </c>
      <c r="E9" s="8">
        <f t="shared" si="0"/>
        <v>-1.5079719875150888E-2</v>
      </c>
      <c r="F9" s="4">
        <f>IFERROR(VLOOKUP(A9,MASTER!A:E,5,0),0)</f>
        <v>1290990.990990991</v>
      </c>
      <c r="G9" s="4">
        <f>IFERROR(VLOOKUP(A9,MASTER!A:F,6,0),0)</f>
        <v>3141441.4414414442</v>
      </c>
      <c r="H9" s="8">
        <f t="shared" si="1"/>
        <v>-0.58904502437625506</v>
      </c>
      <c r="I9" s="4">
        <f>IFERROR(VLOOKUP(A9,MASTER!A:O,15,0),0)</f>
        <v>32396846.846846849</v>
      </c>
      <c r="J9" s="4">
        <f>IFERROR(VLOOKUP(A9,MASTER!A:P,16,0),0)</f>
        <v>32077477.477477476</v>
      </c>
      <c r="K9" s="8">
        <f t="shared" si="2"/>
        <v>9.9561871594675555E-3</v>
      </c>
      <c r="L9" s="4">
        <f>IFERROR(VLOOKUP(A9,MASTER!A:S,19,0),0)</f>
        <v>71165810.810810804</v>
      </c>
      <c r="M9" s="4">
        <f>IFERROR(VLOOKUP(A9,MASTER!A:T,20,0),0)</f>
        <v>68359261.261261269</v>
      </c>
      <c r="N9" s="8">
        <f t="shared" si="3"/>
        <v>4.1055878863629269E-2</v>
      </c>
      <c r="O9" s="4">
        <f>IFERROR(VLOOKUP(A9,MASTER!A:U,21,0),0)</f>
        <v>33012432.432432432</v>
      </c>
      <c r="P9" s="4">
        <f>IFERROR(VLOOKUP(A9,MASTER!A:V,22,0),0)</f>
        <v>41214684.684684679</v>
      </c>
      <c r="Q9" s="8">
        <f t="shared" si="4"/>
        <v>-0.19901285949423253</v>
      </c>
      <c r="R9" s="4">
        <f>IFERROR(VLOOKUP(A9,MASTER!A:W,23,0),0)</f>
        <v>3397</v>
      </c>
      <c r="S9" s="4">
        <f>IFERROR(VLOOKUP(A9,MASTER!A:X,24,0),0)</f>
        <v>3809</v>
      </c>
      <c r="T9" s="8">
        <f t="shared" si="5"/>
        <v>-0.10816487266999208</v>
      </c>
      <c r="U9" s="11">
        <f>IFERROR(VLOOKUP(A9,MASTER!A:M,13,0),0)</f>
        <v>14</v>
      </c>
      <c r="V9" s="11">
        <f>IFERROR(VLOOKUP(A9,MASTER!A:N,14,0),0)</f>
        <v>20</v>
      </c>
      <c r="W9" s="8">
        <f t="shared" si="6"/>
        <v>-0.30000000000000004</v>
      </c>
      <c r="X9" s="11">
        <f>IFERROR(VLOOKUP(A9,MASTER!A:Q,17,0),0)</f>
        <v>125</v>
      </c>
      <c r="Y9" s="11">
        <f>IFERROR(VLOOKUP(A9,MASTER!A:R,18,0),0)</f>
        <v>101</v>
      </c>
      <c r="Z9" s="8">
        <f t="shared" si="7"/>
        <v>0.23762376237623761</v>
      </c>
    </row>
    <row r="10" spans="1:26" ht="64.5" customHeight="1">
      <c r="A10" s="9" t="s">
        <v>34</v>
      </c>
      <c r="B10" s="1" t="s">
        <v>17</v>
      </c>
      <c r="C10" s="4">
        <f>IFERROR(VLOOKUP(A:A,MASTER!A:C,3,0),0)</f>
        <v>0</v>
      </c>
      <c r="D10" s="4">
        <f>IFERROR(VLOOKUP(A:A,MASTER!A:D,4,0),0)</f>
        <v>0</v>
      </c>
      <c r="E10" s="8">
        <f t="shared" si="0"/>
        <v>0</v>
      </c>
      <c r="F10" s="4">
        <f>IFERROR(VLOOKUP(A10,MASTER!A:E,5,0),0)</f>
        <v>0</v>
      </c>
      <c r="G10" s="4">
        <f>IFERROR(VLOOKUP(A10,MASTER!A:F,6,0),0)</f>
        <v>0</v>
      </c>
      <c r="H10" s="8">
        <f t="shared" si="1"/>
        <v>0</v>
      </c>
      <c r="I10" s="4">
        <f>IFERROR(VLOOKUP(A10,MASTER!A:O,15,0),0)</f>
        <v>0</v>
      </c>
      <c r="J10" s="4">
        <f>IFERROR(VLOOKUP(A10,MASTER!A:P,16,0),0)</f>
        <v>0</v>
      </c>
      <c r="K10" s="8">
        <f t="shared" si="2"/>
        <v>0</v>
      </c>
      <c r="L10" s="4">
        <f>IFERROR(VLOOKUP(A10,MASTER!A:S,19,0),0)</f>
        <v>0</v>
      </c>
      <c r="M10" s="4">
        <f>IFERROR(VLOOKUP(A10,MASTER!A:T,20,0),0)</f>
        <v>0</v>
      </c>
      <c r="N10" s="8">
        <f t="shared" si="3"/>
        <v>0</v>
      </c>
      <c r="O10" s="4">
        <f>IFERROR(VLOOKUP(A10,MASTER!A:U,21,0),0)</f>
        <v>0</v>
      </c>
      <c r="P10" s="4">
        <f>IFERROR(VLOOKUP(A10,MASTER!A:V,22,0),0)</f>
        <v>0</v>
      </c>
      <c r="Q10" s="8">
        <f t="shared" si="4"/>
        <v>0</v>
      </c>
      <c r="R10" s="4">
        <f>IFERROR(VLOOKUP(A10,MASTER!A:W,23,0),0)</f>
        <v>0</v>
      </c>
      <c r="S10" s="4">
        <f>IFERROR(VLOOKUP(A10,MASTER!A:X,24,0),0)</f>
        <v>0</v>
      </c>
      <c r="T10" s="8">
        <f t="shared" si="5"/>
        <v>0</v>
      </c>
      <c r="U10" s="11">
        <f>IFERROR(VLOOKUP(A10,MASTER!A:M,13,0),0)</f>
        <v>0</v>
      </c>
      <c r="V10" s="11">
        <f>IFERROR(VLOOKUP(A10,MASTER!A:N,14,0),0)</f>
        <v>0</v>
      </c>
      <c r="W10" s="8">
        <f t="shared" si="6"/>
        <v>0</v>
      </c>
      <c r="X10" s="11">
        <f>IFERROR(VLOOKUP(A10,MASTER!A:Q,17,0),0)</f>
        <v>0</v>
      </c>
      <c r="Y10" s="11">
        <f>IFERROR(VLOOKUP(A10,MASTER!A:R,18,0),0)</f>
        <v>0</v>
      </c>
      <c r="Z10" s="8">
        <f t="shared" si="7"/>
        <v>0</v>
      </c>
    </row>
    <row r="11" spans="1:26" ht="64.5" customHeight="1">
      <c r="A11" s="9" t="s">
        <v>5</v>
      </c>
      <c r="B11" s="1" t="s">
        <v>16</v>
      </c>
      <c r="C11" s="4">
        <f>IFERROR(VLOOKUP(A:A,MASTER!A:C,3,0),0)</f>
        <v>201804162.46309167</v>
      </c>
      <c r="D11" s="4">
        <f>IFERROR(VLOOKUP(A:A,MASTER!A:D,4,0),0)</f>
        <v>202703266.26910573</v>
      </c>
      <c r="E11" s="8">
        <f t="shared" si="0"/>
        <v>-4.4355664443039844E-3</v>
      </c>
      <c r="F11" s="4">
        <f>IFERROR(VLOOKUP(A11,MASTER!A:E,5,0),0)</f>
        <v>2278828.8288288289</v>
      </c>
      <c r="G11" s="4">
        <f>IFERROR(VLOOKUP(A11,MASTER!A:F,6,0),0)</f>
        <v>1068468.4684684691</v>
      </c>
      <c r="H11" s="8">
        <f t="shared" si="1"/>
        <v>1.1327993254637425</v>
      </c>
      <c r="I11" s="4">
        <f>IFERROR(VLOOKUP(A11,MASTER!A:O,15,0),0)</f>
        <v>16294324.324324325</v>
      </c>
      <c r="J11" s="4">
        <f>IFERROR(VLOOKUP(A11,MASTER!A:P,16,0),0)</f>
        <v>14715315.315315314</v>
      </c>
      <c r="K11" s="8">
        <f t="shared" si="2"/>
        <v>0.10730378351904024</v>
      </c>
      <c r="L11" s="4">
        <f>IFERROR(VLOOKUP(A11,MASTER!A:S,19,0),0)</f>
        <v>87987072.072072059</v>
      </c>
      <c r="M11" s="4">
        <f>IFERROR(VLOOKUP(A11,MASTER!A:T,20,0),0)</f>
        <v>86423189.189189181</v>
      </c>
      <c r="N11" s="8">
        <f t="shared" si="3"/>
        <v>1.8095639579550626E-2</v>
      </c>
      <c r="O11" s="4">
        <f>IFERROR(VLOOKUP(A11,MASTER!A:U,21,0),0)</f>
        <v>14710540.540540541</v>
      </c>
      <c r="P11" s="4">
        <f>IFERROR(VLOOKUP(A11,MASTER!A:V,22,0),0)</f>
        <v>13244414.414414413</v>
      </c>
      <c r="Q11" s="8">
        <f t="shared" si="4"/>
        <v>0.11069769340126401</v>
      </c>
      <c r="R11" s="4">
        <f>IFERROR(VLOOKUP(A11,MASTER!A:W,23,0),0)</f>
        <v>3102</v>
      </c>
      <c r="S11" s="4">
        <f>IFERROR(VLOOKUP(A11,MASTER!A:X,24,0),0)</f>
        <v>3097</v>
      </c>
      <c r="T11" s="8">
        <f t="shared" si="5"/>
        <v>1.6144656118823875E-3</v>
      </c>
      <c r="U11" s="11">
        <f>IFERROR(VLOOKUP(A11,MASTER!A:M,13,0),0)</f>
        <v>14</v>
      </c>
      <c r="V11" s="11">
        <f>IFERROR(VLOOKUP(A11,MASTER!A:N,14,0),0)</f>
        <v>38</v>
      </c>
      <c r="W11" s="8">
        <f t="shared" si="6"/>
        <v>-0.63157894736842102</v>
      </c>
      <c r="X11" s="11">
        <f>IFERROR(VLOOKUP(A11,MASTER!A:Q,17,0),0)</f>
        <v>91</v>
      </c>
      <c r="Y11" s="11">
        <f>IFERROR(VLOOKUP(A11,MASTER!A:R,18,0),0)</f>
        <v>27</v>
      </c>
      <c r="Z11" s="8">
        <f t="shared" si="7"/>
        <v>2.3703703703703702</v>
      </c>
    </row>
    <row r="12" spans="1:26" ht="64.5" customHeight="1">
      <c r="A12" s="9" t="s">
        <v>6</v>
      </c>
      <c r="B12" s="1" t="s">
        <v>17</v>
      </c>
      <c r="C12" s="4">
        <f>IFERROR(VLOOKUP(A:A,MASTER!A:C,3,0),0)</f>
        <v>749224968.05004764</v>
      </c>
      <c r="D12" s="4">
        <f>IFERROR(VLOOKUP(A:A,MASTER!A:D,4,0),0)</f>
        <v>741947459.22010171</v>
      </c>
      <c r="E12" s="8">
        <f t="shared" si="0"/>
        <v>9.8086579305705079E-3</v>
      </c>
      <c r="F12" s="4">
        <f>IFERROR(VLOOKUP(A12,MASTER!A:E,5,0),0)</f>
        <v>6757207.2072072001</v>
      </c>
      <c r="G12" s="4">
        <f>IFERROR(VLOOKUP(A12,MASTER!A:F,6,0),0)</f>
        <v>9016690.9909910001</v>
      </c>
      <c r="H12" s="8">
        <f t="shared" si="1"/>
        <v>-0.25058902274031092</v>
      </c>
      <c r="I12" s="4">
        <f>IFERROR(VLOOKUP(A12,MASTER!A:O,15,0),0)</f>
        <v>315927927.92792791</v>
      </c>
      <c r="J12" s="4">
        <f>IFERROR(VLOOKUP(A12,MASTER!A:P,16,0),0)</f>
        <v>295171742.34234232</v>
      </c>
      <c r="K12" s="8">
        <f t="shared" si="2"/>
        <v>7.0319012995195163E-2</v>
      </c>
      <c r="L12" s="4">
        <f>IFERROR(VLOOKUP(A12,MASTER!A:S,19,0),0)</f>
        <v>503439459.45945948</v>
      </c>
      <c r="M12" s="4">
        <f>IFERROR(VLOOKUP(A12,MASTER!A:T,20,0),0)</f>
        <v>502529981.98198193</v>
      </c>
      <c r="N12" s="8">
        <f t="shared" si="3"/>
        <v>1.8097974451007914E-3</v>
      </c>
      <c r="O12" s="4">
        <f>IFERROR(VLOOKUP(A12,MASTER!A:U,21,0),0)</f>
        <v>278681891.8918919</v>
      </c>
      <c r="P12" s="4">
        <f>IFERROR(VLOOKUP(A12,MASTER!A:V,22,0),0)</f>
        <v>251463153.15315315</v>
      </c>
      <c r="Q12" s="8">
        <f t="shared" si="4"/>
        <v>0.1082414596231569</v>
      </c>
      <c r="R12" s="4">
        <f>IFERROR(VLOOKUP(A12,MASTER!A:W,23,0),0)</f>
        <v>13227</v>
      </c>
      <c r="S12" s="4">
        <f>IFERROR(VLOOKUP(A12,MASTER!A:X,24,0),0)</f>
        <v>13273</v>
      </c>
      <c r="T12" s="8">
        <f t="shared" si="5"/>
        <v>-3.46568221200938E-3</v>
      </c>
      <c r="U12" s="11">
        <f>IFERROR(VLOOKUP(A12,MASTER!A:M,13,0),0)</f>
        <v>1241</v>
      </c>
      <c r="V12" s="11">
        <f>IFERROR(VLOOKUP(A12,MASTER!A:N,14,0),0)</f>
        <v>898</v>
      </c>
      <c r="W12" s="8">
        <f t="shared" si="6"/>
        <v>0.38195991091314041</v>
      </c>
      <c r="X12" s="11">
        <f>IFERROR(VLOOKUP(A12,MASTER!A:Q,17,0),0)</f>
        <v>728</v>
      </c>
      <c r="Y12" s="11">
        <f>IFERROR(VLOOKUP(A12,MASTER!A:R,18,0),0)</f>
        <v>819</v>
      </c>
      <c r="Z12" s="8">
        <f t="shared" si="7"/>
        <v>-0.11111111111111116</v>
      </c>
    </row>
    <row r="13" spans="1:26" ht="64.5" customHeight="1">
      <c r="A13" s="9" t="s">
        <v>7</v>
      </c>
      <c r="B13" s="1" t="s">
        <v>17</v>
      </c>
      <c r="C13" s="4">
        <f>IFERROR(VLOOKUP(A:A,MASTER!A:C,3,0),0)</f>
        <v>164814283.91888362</v>
      </c>
      <c r="D13" s="4">
        <f>IFERROR(VLOOKUP(A:A,MASTER!A:D,4,0),0)</f>
        <v>174432989.30015138</v>
      </c>
      <c r="E13" s="8">
        <f t="shared" si="0"/>
        <v>-5.5142696458160168E-2</v>
      </c>
      <c r="F13" s="4">
        <f>IFERROR(VLOOKUP(A13,MASTER!A:E,5,0),0)</f>
        <v>386624138.73873878</v>
      </c>
      <c r="G13" s="4">
        <f>IFERROR(VLOOKUP(A13,MASTER!A:F,6,0),0)</f>
        <v>401569750.45045042</v>
      </c>
      <c r="H13" s="8">
        <f t="shared" si="1"/>
        <v>-3.7217971958661722E-2</v>
      </c>
      <c r="I13" s="4">
        <f>IFERROR(VLOOKUP(A13,MASTER!A:O,15,0),0)</f>
        <v>49127477.477477483</v>
      </c>
      <c r="J13" s="4">
        <f>IFERROR(VLOOKUP(A13,MASTER!A:P,16,0),0)</f>
        <v>39453378.378378376</v>
      </c>
      <c r="K13" s="8">
        <f t="shared" si="2"/>
        <v>0.24520331329599898</v>
      </c>
      <c r="L13" s="4">
        <f>IFERROR(VLOOKUP(A13,MASTER!A:S,19,0),0)</f>
        <v>113131963.96396397</v>
      </c>
      <c r="M13" s="4">
        <f>IFERROR(VLOOKUP(A13,MASTER!A:T,20,0),0)</f>
        <v>121581675.67567568</v>
      </c>
      <c r="N13" s="8">
        <f t="shared" si="3"/>
        <v>-6.9498233716170144E-2</v>
      </c>
      <c r="O13" s="4">
        <f>IFERROR(VLOOKUP(A13,MASTER!A:U,21,0),0)</f>
        <v>45077567.567567565</v>
      </c>
      <c r="P13" s="4">
        <f>IFERROR(VLOOKUP(A13,MASTER!A:V,22,0),0)</f>
        <v>36136396.396396399</v>
      </c>
      <c r="Q13" s="8">
        <f t="shared" si="4"/>
        <v>0.24742841187293374</v>
      </c>
      <c r="R13" s="4">
        <f>IFERROR(VLOOKUP(A13,MASTER!A:W,23,0),0)</f>
        <v>5010</v>
      </c>
      <c r="S13" s="4">
        <f>IFERROR(VLOOKUP(A13,MASTER!A:X,24,0),0)</f>
        <v>4814</v>
      </c>
      <c r="T13" s="8">
        <f t="shared" si="5"/>
        <v>4.0714582467802352E-2</v>
      </c>
      <c r="U13" s="11">
        <f>IFERROR(VLOOKUP(A13,MASTER!A:M,13,0),0)</f>
        <v>48</v>
      </c>
      <c r="V13" s="11">
        <f>IFERROR(VLOOKUP(A13,MASTER!A:N,14,0),0)</f>
        <v>65</v>
      </c>
      <c r="W13" s="8">
        <f t="shared" si="6"/>
        <v>-0.2615384615384615</v>
      </c>
      <c r="X13" s="11">
        <f>IFERROR(VLOOKUP(A13,MASTER!A:Q,17,0),0)</f>
        <v>252</v>
      </c>
      <c r="Y13" s="11">
        <f>IFERROR(VLOOKUP(A13,MASTER!A:R,18,0),0)</f>
        <v>157</v>
      </c>
      <c r="Z13" s="8">
        <f t="shared" si="7"/>
        <v>0.60509554140127397</v>
      </c>
    </row>
    <row r="14" spans="1:26" ht="64.5" customHeight="1">
      <c r="A14" s="9" t="s">
        <v>8</v>
      </c>
      <c r="B14" s="1" t="s">
        <v>16</v>
      </c>
      <c r="C14" s="4">
        <f>IFERROR(VLOOKUP(A:A,MASTER!A:C,3,0),0)</f>
        <v>247984249.28235719</v>
      </c>
      <c r="D14" s="4">
        <f>IFERROR(VLOOKUP(A:A,MASTER!A:D,4,0),0)</f>
        <v>242236347.02309641</v>
      </c>
      <c r="E14" s="8">
        <f t="shared" si="0"/>
        <v>2.3728488023776029E-2</v>
      </c>
      <c r="F14" s="4">
        <f>IFERROR(VLOOKUP(A14,MASTER!A:E,5,0),0)</f>
        <v>2347747.747747751</v>
      </c>
      <c r="G14" s="4">
        <f>IFERROR(VLOOKUP(A14,MASTER!A:F,6,0),0)</f>
        <v>4654954.9549549557</v>
      </c>
      <c r="H14" s="8">
        <f t="shared" si="1"/>
        <v>-0.495645442229533</v>
      </c>
      <c r="I14" s="4">
        <f>IFERROR(VLOOKUP(A14,MASTER!A:O,15,0),0)</f>
        <v>34618468.468468465</v>
      </c>
      <c r="J14" s="4">
        <f>IFERROR(VLOOKUP(A14,MASTER!A:P,16,0),0)</f>
        <v>42820720.720720723</v>
      </c>
      <c r="K14" s="8">
        <f t="shared" si="2"/>
        <v>-0.19154867349729665</v>
      </c>
      <c r="L14" s="4">
        <f>IFERROR(VLOOKUP(A14,MASTER!A:S,19,0),0)</f>
        <v>71989630.630630627</v>
      </c>
      <c r="M14" s="4">
        <f>IFERROR(VLOOKUP(A14,MASTER!A:T,20,0),0)</f>
        <v>71533441.441441447</v>
      </c>
      <c r="N14" s="8">
        <f t="shared" si="3"/>
        <v>6.3772856442623205E-3</v>
      </c>
      <c r="O14" s="4">
        <f>IFERROR(VLOOKUP(A14,MASTER!A:U,21,0),0)</f>
        <v>33261891.891891889</v>
      </c>
      <c r="P14" s="4">
        <f>IFERROR(VLOOKUP(A14,MASTER!A:V,22,0),0)</f>
        <v>39952522.522522517</v>
      </c>
      <c r="Q14" s="8">
        <f t="shared" si="4"/>
        <v>-0.16746453560870667</v>
      </c>
      <c r="R14" s="4">
        <f>IFERROR(VLOOKUP(A14,MASTER!A:W,23,0),0)</f>
        <v>3892</v>
      </c>
      <c r="S14" s="4">
        <f>IFERROR(VLOOKUP(A14,MASTER!A:X,24,0),0)</f>
        <v>4026</v>
      </c>
      <c r="T14" s="8">
        <f t="shared" si="5"/>
        <v>-3.3283656234475933E-2</v>
      </c>
      <c r="U14" s="11">
        <f>IFERROR(VLOOKUP(A14,MASTER!A:M,13,0),0)</f>
        <v>28</v>
      </c>
      <c r="V14" s="11">
        <f>IFERROR(VLOOKUP(A14,MASTER!A:N,14,0),0)</f>
        <v>24</v>
      </c>
      <c r="W14" s="8">
        <f t="shared" si="6"/>
        <v>0.16666666666666674</v>
      </c>
      <c r="X14" s="11">
        <f>IFERROR(VLOOKUP(A14,MASTER!A:Q,17,0),0)</f>
        <v>117</v>
      </c>
      <c r="Y14" s="11">
        <f>IFERROR(VLOOKUP(A14,MASTER!A:R,18,0),0)</f>
        <v>53</v>
      </c>
      <c r="Z14" s="8">
        <f t="shared" si="7"/>
        <v>1.2075471698113209</v>
      </c>
    </row>
    <row r="15" spans="1:26" ht="64.5" customHeight="1">
      <c r="A15" s="9" t="s">
        <v>9</v>
      </c>
      <c r="B15" s="1" t="s">
        <v>16</v>
      </c>
      <c r="C15" s="4">
        <f>IFERROR(VLOOKUP(A:A,MASTER!A:C,3,0),0)</f>
        <v>481864606.96392137</v>
      </c>
      <c r="D15" s="4">
        <f>IFERROR(VLOOKUP(A:A,MASTER!A:D,4,0),0)</f>
        <v>469372816.47217286</v>
      </c>
      <c r="E15" s="8">
        <f t="shared" si="0"/>
        <v>2.6613791965281131E-2</v>
      </c>
      <c r="F15" s="4">
        <f>IFERROR(VLOOKUP(A15,MASTER!A:E,5,0),0)</f>
        <v>821133198.1981982</v>
      </c>
      <c r="G15" s="4">
        <f>IFERROR(VLOOKUP(A15,MASTER!A:F,6,0),0)</f>
        <v>767755217.11711717</v>
      </c>
      <c r="H15" s="8">
        <f t="shared" si="1"/>
        <v>6.9524738993650415E-2</v>
      </c>
      <c r="I15" s="4">
        <f>IFERROR(VLOOKUP(A15,MASTER!A:O,15,0),0)</f>
        <v>746907991.89189184</v>
      </c>
      <c r="J15" s="4">
        <f>IFERROR(VLOOKUP(A15,MASTER!A:P,16,0),0)</f>
        <v>730716527.92792797</v>
      </c>
      <c r="K15" s="8">
        <f t="shared" si="2"/>
        <v>2.2158338213421169E-2</v>
      </c>
      <c r="L15" s="4">
        <f>IFERROR(VLOOKUP(A15,MASTER!A:S,19,0),0)</f>
        <v>173032099.0990991</v>
      </c>
      <c r="M15" s="4">
        <f>IFERROR(VLOOKUP(A15,MASTER!A:T,20,0),0)</f>
        <v>170805684.68468466</v>
      </c>
      <c r="N15" s="8">
        <f t="shared" si="3"/>
        <v>1.3034779366532856E-2</v>
      </c>
      <c r="O15" s="4">
        <f>IFERROR(VLOOKUP(A15,MASTER!A:U,21,0),0)</f>
        <v>598062432.43243241</v>
      </c>
      <c r="P15" s="4">
        <f>IFERROR(VLOOKUP(A15,MASTER!A:V,22,0),0)</f>
        <v>584052252.25225234</v>
      </c>
      <c r="Q15" s="8">
        <f t="shared" si="4"/>
        <v>2.3987888285942338E-2</v>
      </c>
      <c r="R15" s="4">
        <f>IFERROR(VLOOKUP(A15,MASTER!A:W,23,0),0)</f>
        <v>7251</v>
      </c>
      <c r="S15" s="4">
        <f>IFERROR(VLOOKUP(A15,MASTER!A:X,24,0),0)</f>
        <v>7067</v>
      </c>
      <c r="T15" s="8">
        <f t="shared" si="5"/>
        <v>2.603650771190047E-2</v>
      </c>
      <c r="U15" s="11">
        <f>IFERROR(VLOOKUP(A15,MASTER!A:M,13,0),0)</f>
        <v>127</v>
      </c>
      <c r="V15" s="11">
        <f>IFERROR(VLOOKUP(A15,MASTER!A:N,14,0),0)</f>
        <v>82</v>
      </c>
      <c r="W15" s="8">
        <f t="shared" si="6"/>
        <v>0.54878048780487809</v>
      </c>
      <c r="X15" s="11">
        <f>IFERROR(VLOOKUP(A15,MASTER!A:Q,17,0),0)</f>
        <v>433</v>
      </c>
      <c r="Y15" s="11">
        <f>IFERROR(VLOOKUP(A15,MASTER!A:R,18,0),0)</f>
        <v>343</v>
      </c>
      <c r="Z15" s="8">
        <f t="shared" si="7"/>
        <v>0.26239067055393583</v>
      </c>
    </row>
    <row r="16" spans="1:26" ht="64.5" customHeight="1">
      <c r="A16" s="9" t="s">
        <v>35</v>
      </c>
      <c r="B16" s="1" t="s">
        <v>16</v>
      </c>
      <c r="C16" s="4">
        <f>IFERROR(VLOOKUP(A:A,MASTER!A:C,3,0),0)</f>
        <v>0</v>
      </c>
      <c r="D16" s="4">
        <f>IFERROR(VLOOKUP(A:A,MASTER!A:D,4,0),0)</f>
        <v>0</v>
      </c>
      <c r="E16" s="8">
        <f t="shared" si="0"/>
        <v>0</v>
      </c>
      <c r="F16" s="4">
        <f>IFERROR(VLOOKUP(A16,MASTER!A:E,5,0),0)</f>
        <v>0</v>
      </c>
      <c r="G16" s="4">
        <f>IFERROR(VLOOKUP(A16,MASTER!A:F,6,0),0)</f>
        <v>0</v>
      </c>
      <c r="H16" s="8">
        <f t="shared" si="1"/>
        <v>0</v>
      </c>
      <c r="I16" s="4">
        <f>IFERROR(VLOOKUP(A16,MASTER!A:O,15,0),0)</f>
        <v>0</v>
      </c>
      <c r="J16" s="4">
        <f>IFERROR(VLOOKUP(A16,MASTER!A:P,16,0),0)</f>
        <v>0</v>
      </c>
      <c r="K16" s="8">
        <f t="shared" si="2"/>
        <v>0</v>
      </c>
      <c r="L16" s="4">
        <f>IFERROR(VLOOKUP(A16,MASTER!A:S,19,0),0)</f>
        <v>0</v>
      </c>
      <c r="M16" s="4">
        <f>IFERROR(VLOOKUP(A16,MASTER!A:T,20,0),0)</f>
        <v>0</v>
      </c>
      <c r="N16" s="8">
        <f t="shared" si="3"/>
        <v>0</v>
      </c>
      <c r="O16" s="4">
        <f>IFERROR(VLOOKUP(A16,MASTER!A:U,21,0),0)</f>
        <v>0</v>
      </c>
      <c r="P16" s="4">
        <f>IFERROR(VLOOKUP(A16,MASTER!A:V,22,0),0)</f>
        <v>0</v>
      </c>
      <c r="Q16" s="8">
        <f t="shared" si="4"/>
        <v>0</v>
      </c>
      <c r="R16" s="4">
        <f>IFERROR(VLOOKUP(A16,MASTER!A:W,23,0),0)</f>
        <v>0</v>
      </c>
      <c r="S16" s="4">
        <f>IFERROR(VLOOKUP(A16,MASTER!A:X,24,0),0)</f>
        <v>0</v>
      </c>
      <c r="T16" s="8">
        <f t="shared" si="5"/>
        <v>0</v>
      </c>
      <c r="U16" s="11">
        <f>IFERROR(VLOOKUP(A16,MASTER!A:M,13,0),0)</f>
        <v>0</v>
      </c>
      <c r="V16" s="11">
        <f>IFERROR(VLOOKUP(A16,MASTER!A:N,14,0),0)</f>
        <v>0</v>
      </c>
      <c r="W16" s="8">
        <f t="shared" si="6"/>
        <v>0</v>
      </c>
      <c r="X16" s="11">
        <f>IFERROR(VLOOKUP(A16,MASTER!A:Q,17,0),0)</f>
        <v>0</v>
      </c>
      <c r="Y16" s="11">
        <f>IFERROR(VLOOKUP(A16,MASTER!A:R,18,0),0)</f>
        <v>0</v>
      </c>
      <c r="Z16" s="8">
        <f t="shared" si="7"/>
        <v>0</v>
      </c>
    </row>
    <row r="17" spans="1:26" ht="64.5" customHeight="1">
      <c r="A17" s="9" t="s">
        <v>10</v>
      </c>
      <c r="B17" s="1" t="s">
        <v>17</v>
      </c>
      <c r="C17" s="4">
        <f>IFERROR(VLOOKUP(A:A,MASTER!A:C,3,0),0)</f>
        <v>209164970.16062188</v>
      </c>
      <c r="D17" s="4">
        <f>IFERROR(VLOOKUP(A:A,MASTER!A:D,4,0),0)</f>
        <v>197778772.50413093</v>
      </c>
      <c r="E17" s="8">
        <f t="shared" si="0"/>
        <v>5.7570372757031585E-2</v>
      </c>
      <c r="F17" s="4">
        <f>IFERROR(VLOOKUP(A17,MASTER!A:E,5,0),0)</f>
        <v>0</v>
      </c>
      <c r="G17" s="4">
        <f>IFERROR(VLOOKUP(A17,MASTER!A:F,6,0),0)</f>
        <v>0</v>
      </c>
      <c r="H17" s="8">
        <f t="shared" si="1"/>
        <v>0</v>
      </c>
      <c r="I17" s="4">
        <f>IFERROR(VLOOKUP(A17,MASTER!A:O,15,0),0)</f>
        <v>0</v>
      </c>
      <c r="J17" s="4">
        <f>IFERROR(VLOOKUP(A17,MASTER!A:P,16,0),0)</f>
        <v>0</v>
      </c>
      <c r="K17" s="8">
        <f t="shared" si="2"/>
        <v>0</v>
      </c>
      <c r="L17" s="4">
        <f>IFERROR(VLOOKUP(A17,MASTER!A:S,19,0),0)</f>
        <v>120186801.8018018</v>
      </c>
      <c r="M17" s="4">
        <f>IFERROR(VLOOKUP(A17,MASTER!A:T,20,0),0)</f>
        <v>118247673.87387387</v>
      </c>
      <c r="N17" s="8">
        <f t="shared" si="3"/>
        <v>1.6398867431390185E-2</v>
      </c>
      <c r="O17" s="4">
        <f>IFERROR(VLOOKUP(A17,MASTER!A:U,21,0),0)</f>
        <v>0</v>
      </c>
      <c r="P17" s="4">
        <f>IFERROR(VLOOKUP(A17,MASTER!A:V,22,0),0)</f>
        <v>19639.639639640001</v>
      </c>
      <c r="Q17" s="8">
        <f t="shared" si="4"/>
        <v>-1</v>
      </c>
      <c r="R17" s="4">
        <f>IFERROR(VLOOKUP(A17,MASTER!A:W,23,0),0)</f>
        <v>3760</v>
      </c>
      <c r="S17" s="4">
        <f>IFERROR(VLOOKUP(A17,MASTER!A:X,24,0),0)</f>
        <v>3693</v>
      </c>
      <c r="T17" s="8">
        <f t="shared" si="5"/>
        <v>1.8142431627403255E-2</v>
      </c>
      <c r="U17" s="11">
        <f>IFERROR(VLOOKUP(A17,MASTER!A:M,13,0),0)</f>
        <v>17</v>
      </c>
      <c r="V17" s="11">
        <f>IFERROR(VLOOKUP(A17,MASTER!A:N,14,0),0)</f>
        <v>30</v>
      </c>
      <c r="W17" s="8">
        <f t="shared" si="6"/>
        <v>-0.43333333333333335</v>
      </c>
      <c r="X17" s="11">
        <f>IFERROR(VLOOKUP(A17,MASTER!A:Q,17,0),0)</f>
        <v>0</v>
      </c>
      <c r="Y17" s="11">
        <f>IFERROR(VLOOKUP(A17,MASTER!A:R,18,0),0)</f>
        <v>0</v>
      </c>
      <c r="Z17" s="8">
        <f t="shared" si="7"/>
        <v>0</v>
      </c>
    </row>
    <row r="18" spans="1:26" ht="64.5" customHeight="1">
      <c r="A18" s="9" t="s">
        <v>11</v>
      </c>
      <c r="B18" s="1" t="s">
        <v>17</v>
      </c>
      <c r="C18" s="4">
        <f>IFERROR(VLOOKUP(A:A,MASTER!A:C,3,0),0)</f>
        <v>162910606.85154465</v>
      </c>
      <c r="D18" s="4">
        <f>IFERROR(VLOOKUP(A:A,MASTER!A:D,4,0),0)</f>
        <v>173231765.37758097</v>
      </c>
      <c r="E18" s="8">
        <f t="shared" si="0"/>
        <v>-5.9580057407716325E-2</v>
      </c>
      <c r="F18" s="4">
        <f>IFERROR(VLOOKUP(A18,MASTER!A:E,5,0),0)</f>
        <v>343243.24324324197</v>
      </c>
      <c r="G18" s="4">
        <f>IFERROR(VLOOKUP(A18,MASTER!A:F,6,0),0)</f>
        <v>600000.00000000198</v>
      </c>
      <c r="H18" s="8">
        <f t="shared" si="1"/>
        <v>-0.42792792792793188</v>
      </c>
      <c r="I18" s="4">
        <f>IFERROR(VLOOKUP(A18,MASTER!A:O,15,0),0)</f>
        <v>5127027.0270270258</v>
      </c>
      <c r="J18" s="4">
        <f>IFERROR(VLOOKUP(A18,MASTER!A:P,16,0),0)</f>
        <v>14518918.918918921</v>
      </c>
      <c r="K18" s="8">
        <f t="shared" si="2"/>
        <v>-0.64687267311988106</v>
      </c>
      <c r="L18" s="4">
        <f>IFERROR(VLOOKUP(A18,MASTER!A:S,19,0),0)</f>
        <v>54558738.738738738</v>
      </c>
      <c r="M18" s="4">
        <f>IFERROR(VLOOKUP(A18,MASTER!A:T,20,0),0)</f>
        <v>58589398.648648649</v>
      </c>
      <c r="N18" s="8">
        <f t="shared" si="3"/>
        <v>-6.8795038059379032E-2</v>
      </c>
      <c r="O18" s="4">
        <f>IFERROR(VLOOKUP(A18,MASTER!A:U,21,0),0)</f>
        <v>5681351.3513513496</v>
      </c>
      <c r="P18" s="4">
        <f>IFERROR(VLOOKUP(A18,MASTER!A:V,22,0),0)</f>
        <v>15209639.63963964</v>
      </c>
      <c r="Q18" s="8">
        <f t="shared" si="4"/>
        <v>-0.62646377652863594</v>
      </c>
      <c r="R18" s="4">
        <f>IFERROR(VLOOKUP(A18,MASTER!A:W,23,0),0)</f>
        <v>3742</v>
      </c>
      <c r="S18" s="4">
        <f>IFERROR(VLOOKUP(A18,MASTER!A:X,24,0),0)</f>
        <v>4075</v>
      </c>
      <c r="T18" s="8">
        <f t="shared" si="5"/>
        <v>-8.1717791411042962E-2</v>
      </c>
      <c r="U18" s="11">
        <f>IFERROR(VLOOKUP(A18,MASTER!A:M,13,0),0)</f>
        <v>57</v>
      </c>
      <c r="V18" s="11">
        <f>IFERROR(VLOOKUP(A18,MASTER!A:N,14,0),0)</f>
        <v>44</v>
      </c>
      <c r="W18" s="8">
        <f t="shared" si="6"/>
        <v>0.29545454545454541</v>
      </c>
      <c r="X18" s="11">
        <f>IFERROR(VLOOKUP(A18,MASTER!A:Q,17,0),0)</f>
        <v>44</v>
      </c>
      <c r="Y18" s="11">
        <f>IFERROR(VLOOKUP(A18,MASTER!A:R,18,0),0)</f>
        <v>0</v>
      </c>
      <c r="Z18" s="8">
        <f t="shared" si="7"/>
        <v>0</v>
      </c>
    </row>
    <row r="19" spans="1:26" ht="64.5" customHeight="1">
      <c r="A19" s="9" t="s">
        <v>12</v>
      </c>
      <c r="B19" s="1" t="s">
        <v>17</v>
      </c>
      <c r="C19" s="4">
        <f>IFERROR(VLOOKUP(A:A,MASTER!A:C,3,0),0)</f>
        <v>115418711.23352191</v>
      </c>
      <c r="D19" s="4">
        <f>IFERROR(VLOOKUP(A:A,MASTER!A:D,4,0),0)</f>
        <v>117336424.29424089</v>
      </c>
      <c r="E19" s="8">
        <f t="shared" si="0"/>
        <v>-1.6343714854562097E-2</v>
      </c>
      <c r="F19" s="4">
        <f>IFERROR(VLOOKUP(A19,MASTER!A:E,5,0),0)</f>
        <v>66666.666666664998</v>
      </c>
      <c r="G19" s="4">
        <f>IFERROR(VLOOKUP(A19,MASTER!A:F,6,0),0)</f>
        <v>5381981.9819819815</v>
      </c>
      <c r="H19" s="8">
        <f t="shared" si="1"/>
        <v>-0.9876129896216943</v>
      </c>
      <c r="I19" s="4">
        <f>IFERROR(VLOOKUP(A19,MASTER!A:O,15,0),0)</f>
        <v>10419369.369369367</v>
      </c>
      <c r="J19" s="4">
        <f>IFERROR(VLOOKUP(A19,MASTER!A:P,16,0),0)</f>
        <v>22589189.189189192</v>
      </c>
      <c r="K19" s="8">
        <f t="shared" si="2"/>
        <v>-0.53874531387094216</v>
      </c>
      <c r="L19" s="4">
        <f>IFERROR(VLOOKUP(A19,MASTER!A:S,19,0),0)</f>
        <v>44939000</v>
      </c>
      <c r="M19" s="4">
        <f>IFERROR(VLOOKUP(A19,MASTER!A:T,20,0),0)</f>
        <v>46503666.666666664</v>
      </c>
      <c r="N19" s="8">
        <f t="shared" si="3"/>
        <v>-3.3646092422819684E-2</v>
      </c>
      <c r="O19" s="4">
        <f>IFERROR(VLOOKUP(A19,MASTER!A:U,21,0),0)</f>
        <v>6440900.9009008976</v>
      </c>
      <c r="P19" s="4">
        <f>IFERROR(VLOOKUP(A19,MASTER!A:V,22,0),0)</f>
        <v>25516396.396396395</v>
      </c>
      <c r="Q19" s="8">
        <f t="shared" si="4"/>
        <v>-0.74757795729296128</v>
      </c>
      <c r="R19" s="4">
        <f>IFERROR(VLOOKUP(A19,MASTER!A:W,23,0),0)</f>
        <v>2868</v>
      </c>
      <c r="S19" s="4">
        <f>IFERROR(VLOOKUP(A19,MASTER!A:X,24,0),0)</f>
        <v>2861</v>
      </c>
      <c r="T19" s="8">
        <f t="shared" si="5"/>
        <v>2.4466969591052656E-3</v>
      </c>
      <c r="U19" s="11">
        <f>IFERROR(VLOOKUP(A19,MASTER!A:M,13,0),0)</f>
        <v>44</v>
      </c>
      <c r="V19" s="11">
        <f>IFERROR(VLOOKUP(A19,MASTER!A:N,14,0),0)</f>
        <v>22</v>
      </c>
      <c r="W19" s="8">
        <f t="shared" si="6"/>
        <v>1</v>
      </c>
      <c r="X19" s="11">
        <f>IFERROR(VLOOKUP(A19,MASTER!A:Q,17,0),0)</f>
        <v>70</v>
      </c>
      <c r="Y19" s="11">
        <f>IFERROR(VLOOKUP(A19,MASTER!A:R,18,0),0)</f>
        <v>0</v>
      </c>
      <c r="Z19" s="8">
        <f t="shared" si="7"/>
        <v>0</v>
      </c>
    </row>
    <row r="20" spans="1:26" ht="64.5" customHeight="1">
      <c r="A20" s="9" t="s">
        <v>36</v>
      </c>
      <c r="B20" s="1" t="s">
        <v>16</v>
      </c>
      <c r="C20" s="4">
        <f>IFERROR(VLOOKUP(A:A,MASTER!A:C,3,0),0)</f>
        <v>0</v>
      </c>
      <c r="D20" s="4">
        <f>IFERROR(VLOOKUP(A:A,MASTER!A:D,4,0),0)</f>
        <v>0</v>
      </c>
      <c r="E20" s="8">
        <f t="shared" si="0"/>
        <v>0</v>
      </c>
      <c r="F20" s="4">
        <f>IFERROR(VLOOKUP(A20,MASTER!A:E,5,0),0)</f>
        <v>3378378.3783783782</v>
      </c>
      <c r="G20" s="4">
        <f>IFERROR(VLOOKUP(A20,MASTER!A:F,6,0),0)</f>
        <v>358310810.8108108</v>
      </c>
      <c r="H20" s="8">
        <f t="shared" si="1"/>
        <v>-0.99057137469356971</v>
      </c>
      <c r="I20" s="4">
        <f>IFERROR(VLOOKUP(A20,MASTER!A:O,15,0),0)</f>
        <v>49102252.252252258</v>
      </c>
      <c r="J20" s="4">
        <f>IFERROR(VLOOKUP(A20,MASTER!A:P,16,0),0)</f>
        <v>22892567.567567568</v>
      </c>
      <c r="K20" s="8">
        <f t="shared" si="2"/>
        <v>1.1448993044282441</v>
      </c>
      <c r="L20" s="4">
        <f>IFERROR(VLOOKUP(A20,MASTER!A:S,19,0),0)</f>
        <v>0</v>
      </c>
      <c r="M20" s="4">
        <f>IFERROR(VLOOKUP(A20,MASTER!A:T,20,0),0)</f>
        <v>0</v>
      </c>
      <c r="N20" s="8">
        <f t="shared" si="3"/>
        <v>0</v>
      </c>
      <c r="O20" s="4">
        <f>IFERROR(VLOOKUP(A20,MASTER!A:U,21,0),0)</f>
        <v>0</v>
      </c>
      <c r="P20" s="4">
        <f>IFERROR(VLOOKUP(A20,MASTER!A:V,22,0),0)</f>
        <v>0</v>
      </c>
      <c r="Q20" s="8">
        <f t="shared" si="4"/>
        <v>0</v>
      </c>
      <c r="R20" s="4">
        <f>IFERROR(VLOOKUP(A20,MASTER!A:W,23,0),0)</f>
        <v>0</v>
      </c>
      <c r="S20" s="4">
        <f>IFERROR(VLOOKUP(A20,MASTER!A:X,24,0),0)</f>
        <v>0</v>
      </c>
      <c r="T20" s="8">
        <f t="shared" si="5"/>
        <v>0</v>
      </c>
      <c r="U20" s="11">
        <f>IFERROR(VLOOKUP(A20,MASTER!A:M,13,0),0)</f>
        <v>0</v>
      </c>
      <c r="V20" s="11">
        <f>IFERROR(VLOOKUP(A20,MASTER!A:N,14,0),0)</f>
        <v>0</v>
      </c>
      <c r="W20" s="8">
        <f t="shared" si="6"/>
        <v>0</v>
      </c>
      <c r="X20" s="11">
        <f>IFERROR(VLOOKUP(A20,MASTER!A:Q,17,0),0)</f>
        <v>0</v>
      </c>
      <c r="Y20" s="11">
        <f>IFERROR(VLOOKUP(A20,MASTER!A:R,18,0),0)</f>
        <v>0</v>
      </c>
      <c r="Z20" s="8">
        <f t="shared" si="7"/>
        <v>0</v>
      </c>
    </row>
    <row r="21" spans="1:26" ht="64.5" customHeight="1">
      <c r="A21" s="9" t="s">
        <v>13</v>
      </c>
      <c r="B21" s="1" t="s">
        <v>16</v>
      </c>
      <c r="C21" s="4">
        <f>IFERROR(VLOOKUP(A:A,MASTER!A:C,3,0),0)</f>
        <v>409841679.95035136</v>
      </c>
      <c r="D21" s="4">
        <f>IFERROR(VLOOKUP(A:A,MASTER!A:D,4,0),0)</f>
        <v>395818677.50341368</v>
      </c>
      <c r="E21" s="8">
        <f t="shared" si="0"/>
        <v>3.542784422247669E-2</v>
      </c>
      <c r="F21" s="4">
        <f>IFERROR(VLOOKUP(A21,MASTER!A:E,5,0),0)</f>
        <v>1367567.5675675729</v>
      </c>
      <c r="G21" s="4">
        <f>IFERROR(VLOOKUP(A21,MASTER!A:F,6,0),0)</f>
        <v>4309009.0090090176</v>
      </c>
      <c r="H21" s="8">
        <f t="shared" si="1"/>
        <v>-0.68262596696633848</v>
      </c>
      <c r="I21" s="4">
        <f>IFERROR(VLOOKUP(A21,MASTER!A:O,15,0),0)</f>
        <v>77679279.279279277</v>
      </c>
      <c r="J21" s="4">
        <f>IFERROR(VLOOKUP(A21,MASTER!A:P,16,0),0)</f>
        <v>89246531.531531543</v>
      </c>
      <c r="K21" s="8">
        <f t="shared" si="2"/>
        <v>-0.12961010421077779</v>
      </c>
      <c r="L21" s="4">
        <f>IFERROR(VLOOKUP(A21,MASTER!A:S,19,0),0)</f>
        <v>243035184.68468466</v>
      </c>
      <c r="M21" s="4">
        <f>IFERROR(VLOOKUP(A21,MASTER!A:T,20,0),0)</f>
        <v>228676081.08108109</v>
      </c>
      <c r="N21" s="8">
        <f t="shared" si="3"/>
        <v>6.2792328501170669E-2</v>
      </c>
      <c r="O21" s="4">
        <f>IFERROR(VLOOKUP(A21,MASTER!A:U,21,0),0)</f>
        <v>83840360.360360369</v>
      </c>
      <c r="P21" s="4">
        <f>IFERROR(VLOOKUP(A21,MASTER!A:V,22,0),0)</f>
        <v>85148376.576576576</v>
      </c>
      <c r="Q21" s="8">
        <f t="shared" si="4"/>
        <v>-1.5361610741220222E-2</v>
      </c>
      <c r="R21" s="4">
        <f>IFERROR(VLOOKUP(A21,MASTER!A:W,23,0),0)</f>
        <v>7363</v>
      </c>
      <c r="S21" s="4">
        <f>IFERROR(VLOOKUP(A21,MASTER!A:X,24,0),0)</f>
        <v>7307</v>
      </c>
      <c r="T21" s="8">
        <f t="shared" si="5"/>
        <v>7.6638839469003184E-3</v>
      </c>
      <c r="U21" s="11">
        <f>IFERROR(VLOOKUP(A21,MASTER!A:M,13,0),0)</f>
        <v>675</v>
      </c>
      <c r="V21" s="11">
        <f>IFERROR(VLOOKUP(A21,MASTER!A:N,14,0),0)</f>
        <v>320</v>
      </c>
      <c r="W21" s="8">
        <f t="shared" si="6"/>
        <v>1.109375</v>
      </c>
      <c r="X21" s="11">
        <f>IFERROR(VLOOKUP(A21,MASTER!A:Q,17,0),0)</f>
        <v>436</v>
      </c>
      <c r="Y21" s="11">
        <f>IFERROR(VLOOKUP(A21,MASTER!A:R,18,0),0)</f>
        <v>305</v>
      </c>
      <c r="Z21" s="8">
        <f t="shared" si="7"/>
        <v>0.42950819672131146</v>
      </c>
    </row>
    <row r="22" spans="1:26" ht="64.5" customHeight="1">
      <c r="A22" s="9" t="s">
        <v>14</v>
      </c>
      <c r="B22" s="1" t="s">
        <v>16</v>
      </c>
      <c r="C22" s="4">
        <f>IFERROR(VLOOKUP(A:A,MASTER!A:C,3,0),0)</f>
        <v>218989614.51544362</v>
      </c>
      <c r="D22" s="4">
        <f>IFERROR(VLOOKUP(A:A,MASTER!A:D,4,0),0)</f>
        <v>200062125.12459168</v>
      </c>
      <c r="E22" s="8">
        <f t="shared" si="0"/>
        <v>9.4608059266912958E-2</v>
      </c>
      <c r="F22" s="4">
        <f>IFERROR(VLOOKUP(A22,MASTER!A:E,5,0),0)</f>
        <v>118018.018018022</v>
      </c>
      <c r="G22" s="4">
        <f>IFERROR(VLOOKUP(A22,MASTER!A:F,6,0),0)</f>
        <v>941441.44144144503</v>
      </c>
      <c r="H22" s="8">
        <f t="shared" si="1"/>
        <v>-0.87464114832535511</v>
      </c>
      <c r="I22" s="4">
        <f>IFERROR(VLOOKUP(A22,MASTER!A:O,15,0),0)</f>
        <v>25018738.738738742</v>
      </c>
      <c r="J22" s="4">
        <f>IFERROR(VLOOKUP(A22,MASTER!A:P,16,0),0)</f>
        <v>42677477.477477483</v>
      </c>
      <c r="K22" s="8">
        <f t="shared" si="2"/>
        <v>-0.41377184834923586</v>
      </c>
      <c r="L22" s="4">
        <f>IFERROR(VLOOKUP(A22,MASTER!A:S,19,0),0)</f>
        <v>72303639.639639631</v>
      </c>
      <c r="M22" s="4">
        <f>IFERROR(VLOOKUP(A22,MASTER!A:T,20,0),0)</f>
        <v>66719414.414414413</v>
      </c>
      <c r="N22" s="8">
        <f t="shared" si="3"/>
        <v>8.3697155831433223E-2</v>
      </c>
      <c r="O22" s="4">
        <f>IFERROR(VLOOKUP(A22,MASTER!A:U,21,0),0)</f>
        <v>25977567.567567568</v>
      </c>
      <c r="P22" s="4">
        <f>IFERROR(VLOOKUP(A22,MASTER!A:V,22,0),0)</f>
        <v>41470270.270270273</v>
      </c>
      <c r="Q22" s="8">
        <f t="shared" si="4"/>
        <v>-0.37358576642335772</v>
      </c>
      <c r="R22" s="4">
        <f>IFERROR(VLOOKUP(A22,MASTER!A:W,23,0),0)</f>
        <v>3999</v>
      </c>
      <c r="S22" s="4">
        <f>IFERROR(VLOOKUP(A22,MASTER!A:X,24,0),0)</f>
        <v>3760</v>
      </c>
      <c r="T22" s="8">
        <f t="shared" si="5"/>
        <v>6.3563829787234072E-2</v>
      </c>
      <c r="U22" s="11">
        <f>IFERROR(VLOOKUP(A22,MASTER!A:M,13,0),0)</f>
        <v>22</v>
      </c>
      <c r="V22" s="11">
        <f>IFERROR(VLOOKUP(A22,MASTER!A:N,14,0),0)</f>
        <v>31</v>
      </c>
      <c r="W22" s="8">
        <f t="shared" si="6"/>
        <v>-0.29032258064516125</v>
      </c>
      <c r="X22" s="11">
        <f>IFERROR(VLOOKUP(A22,MASTER!A:Q,17,0),0)</f>
        <v>202</v>
      </c>
      <c r="Y22" s="11">
        <f>IFERROR(VLOOKUP(A22,MASTER!A:R,18,0),0)</f>
        <v>43</v>
      </c>
      <c r="Z22" s="8">
        <f t="shared" si="7"/>
        <v>3.6976744186046515</v>
      </c>
    </row>
  </sheetData>
  <autoFilter ref="A5:T22"/>
  <conditionalFormatting sqref="E6:E22">
    <cfRule type="cellIs" dxfId="8" priority="14" operator="lessThan">
      <formula>0</formula>
    </cfRule>
  </conditionalFormatting>
  <conditionalFormatting sqref="H6:H22">
    <cfRule type="cellIs" dxfId="7" priority="8" operator="lessThan">
      <formula>0</formula>
    </cfRule>
  </conditionalFormatting>
  <conditionalFormatting sqref="K6:K22">
    <cfRule type="cellIs" dxfId="6" priority="7" operator="lessThan">
      <formula>0</formula>
    </cfRule>
  </conditionalFormatting>
  <conditionalFormatting sqref="N6:N22">
    <cfRule type="cellIs" dxfId="5" priority="6" operator="lessThan">
      <formula>0</formula>
    </cfRule>
  </conditionalFormatting>
  <conditionalFormatting sqref="Q6:Q22">
    <cfRule type="cellIs" dxfId="4" priority="5" operator="lessThan">
      <formula>0</formula>
    </cfRule>
  </conditionalFormatting>
  <conditionalFormatting sqref="T6:T22">
    <cfRule type="cellIs" dxfId="3" priority="4" operator="lessThan">
      <formula>0</formula>
    </cfRule>
  </conditionalFormatting>
  <conditionalFormatting sqref="W6:W22">
    <cfRule type="cellIs" dxfId="2" priority="3" operator="lessThan">
      <formula>0</formula>
    </cfRule>
  </conditionalFormatting>
  <conditionalFormatting sqref="Z7:Z22">
    <cfRule type="cellIs" dxfId="1" priority="2" operator="lessThan">
      <formula>0</formula>
    </cfRule>
  </conditionalFormatting>
  <conditionalFormatting sqref="Z6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76"/>
  <sheetViews>
    <sheetView tabSelected="1" workbookViewId="0">
      <pane xSplit="1" ySplit="3" topLeftCell="B181" activePane="bottomRight" state="frozen"/>
      <selection pane="topRight" activeCell="B1" sqref="B1"/>
      <selection pane="bottomLeft" activeCell="A4" sqref="A4"/>
      <selection pane="bottomRight" activeCell="A3" sqref="A3:X568"/>
    </sheetView>
  </sheetViews>
  <sheetFormatPr defaultRowHeight="14.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10.453125" customWidth="1"/>
    <col min="11" max="12" width="11.36328125" bestFit="1" customWidth="1"/>
    <col min="13" max="18" width="11.81640625" bestFit="1" customWidth="1"/>
  </cols>
  <sheetData>
    <row r="1" spans="1:24">
      <c r="L1" s="7"/>
      <c r="M1" s="7"/>
    </row>
    <row r="2" spans="1:24">
      <c r="A2" s="7" t="s">
        <v>37</v>
      </c>
      <c r="B2" s="10" t="s">
        <v>669</v>
      </c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670</v>
      </c>
      <c r="J2" s="7" t="s">
        <v>670</v>
      </c>
      <c r="K2" s="7" t="s">
        <v>664</v>
      </c>
      <c r="L2" s="7" t="s">
        <v>664</v>
      </c>
      <c r="M2" s="7" t="s">
        <v>41</v>
      </c>
      <c r="N2" s="7" t="s">
        <v>41</v>
      </c>
      <c r="O2" s="7" t="s">
        <v>42</v>
      </c>
      <c r="P2" s="7" t="s">
        <v>42</v>
      </c>
      <c r="Q2" s="7" t="s">
        <v>671</v>
      </c>
      <c r="R2" s="7" t="s">
        <v>671</v>
      </c>
      <c r="S2" s="7" t="s">
        <v>43</v>
      </c>
      <c r="T2" s="7" t="s">
        <v>43</v>
      </c>
      <c r="U2" s="7" t="s">
        <v>44</v>
      </c>
      <c r="V2" s="7" t="s">
        <v>44</v>
      </c>
      <c r="W2" s="7" t="s">
        <v>30</v>
      </c>
      <c r="X2" s="7" t="s">
        <v>30</v>
      </c>
    </row>
    <row r="3" spans="1:24">
      <c r="A3" s="15" t="s">
        <v>45</v>
      </c>
      <c r="B3" s="15" t="s">
        <v>46</v>
      </c>
      <c r="C3" s="15" t="s">
        <v>31</v>
      </c>
      <c r="D3" s="15" t="s">
        <v>32</v>
      </c>
      <c r="E3" s="15" t="s">
        <v>31</v>
      </c>
      <c r="F3" s="15" t="s">
        <v>32</v>
      </c>
      <c r="G3" s="15" t="s">
        <v>31</v>
      </c>
      <c r="H3" s="15" t="s">
        <v>32</v>
      </c>
      <c r="I3" s="15" t="s">
        <v>31</v>
      </c>
      <c r="J3" s="15" t="s">
        <v>32</v>
      </c>
      <c r="K3" s="15" t="s">
        <v>31</v>
      </c>
      <c r="L3" s="15" t="s">
        <v>32</v>
      </c>
      <c r="M3" s="15" t="s">
        <v>31</v>
      </c>
      <c r="N3" s="15" t="s">
        <v>32</v>
      </c>
      <c r="O3" s="15" t="s">
        <v>31</v>
      </c>
      <c r="P3" s="15" t="s">
        <v>32</v>
      </c>
      <c r="Q3" s="15" t="s">
        <v>31</v>
      </c>
      <c r="R3" s="15" t="s">
        <v>32</v>
      </c>
      <c r="S3" s="15" t="s">
        <v>31</v>
      </c>
      <c r="T3" s="15" t="s">
        <v>32</v>
      </c>
      <c r="U3" s="15" t="s">
        <v>31</v>
      </c>
      <c r="V3" s="15" t="s">
        <v>32</v>
      </c>
      <c r="W3" s="15" t="s">
        <v>31</v>
      </c>
      <c r="X3" s="15" t="s">
        <v>32</v>
      </c>
    </row>
    <row r="4" spans="1:24">
      <c r="A4" s="7" t="s">
        <v>47</v>
      </c>
      <c r="B4" s="16" t="s">
        <v>48</v>
      </c>
      <c r="C4">
        <v>577143135.63914192</v>
      </c>
      <c r="D4">
        <v>627283618.37470758</v>
      </c>
      <c r="E4">
        <v>1678153.1531531541</v>
      </c>
      <c r="F4">
        <v>3039189.18918919</v>
      </c>
      <c r="G4">
        <v>71</v>
      </c>
      <c r="H4">
        <v>69</v>
      </c>
      <c r="I4">
        <v>10</v>
      </c>
      <c r="J4">
        <v>8</v>
      </c>
      <c r="M4">
        <v>140</v>
      </c>
      <c r="N4">
        <v>186</v>
      </c>
      <c r="O4">
        <v>12949909.909909908</v>
      </c>
      <c r="P4">
        <v>35545585.585585587</v>
      </c>
      <c r="R4">
        <v>23</v>
      </c>
      <c r="S4">
        <v>73766531.531531543</v>
      </c>
      <c r="T4">
        <v>79263935.135135129</v>
      </c>
      <c r="U4">
        <v>11029009.009009004</v>
      </c>
      <c r="V4">
        <v>33618738.738738738</v>
      </c>
      <c r="W4">
        <v>8614</v>
      </c>
      <c r="X4">
        <v>8396</v>
      </c>
    </row>
    <row r="5" spans="1:24">
      <c r="A5" s="7" t="s">
        <v>49</v>
      </c>
      <c r="B5" s="16" t="s">
        <v>50</v>
      </c>
      <c r="C5">
        <v>999332730.04954779</v>
      </c>
      <c r="D5">
        <v>942004607.88863909</v>
      </c>
      <c r="E5">
        <v>6289819.8198198322</v>
      </c>
      <c r="F5">
        <v>16911711.71171172</v>
      </c>
      <c r="G5">
        <v>796</v>
      </c>
      <c r="H5">
        <v>549</v>
      </c>
      <c r="I5">
        <v>49</v>
      </c>
      <c r="J5">
        <v>25</v>
      </c>
      <c r="K5">
        <v>11</v>
      </c>
      <c r="M5">
        <v>861</v>
      </c>
      <c r="N5">
        <v>1290</v>
      </c>
      <c r="O5">
        <v>287505405.4054054</v>
      </c>
      <c r="P5">
        <v>299752432.43243247</v>
      </c>
      <c r="Q5">
        <v>378</v>
      </c>
      <c r="R5">
        <v>791</v>
      </c>
      <c r="S5">
        <v>308761761.26126122</v>
      </c>
      <c r="T5">
        <v>302672481.98198193</v>
      </c>
      <c r="U5">
        <v>281106666.66666663</v>
      </c>
      <c r="V5">
        <v>288584144.14414412</v>
      </c>
      <c r="W5">
        <v>20532</v>
      </c>
      <c r="X5">
        <v>19917</v>
      </c>
    </row>
    <row r="6" spans="1:24">
      <c r="A6" s="7" t="s">
        <v>51</v>
      </c>
      <c r="B6" s="16" t="s">
        <v>52</v>
      </c>
      <c r="C6">
        <v>230875393.79602474</v>
      </c>
      <c r="D6">
        <v>238957920.31087366</v>
      </c>
      <c r="E6">
        <v>1955630.630630631</v>
      </c>
      <c r="F6">
        <v>6126126.1261261273</v>
      </c>
      <c r="G6">
        <v>128</v>
      </c>
      <c r="H6">
        <v>119</v>
      </c>
      <c r="I6">
        <v>7</v>
      </c>
      <c r="J6">
        <v>15</v>
      </c>
      <c r="M6">
        <v>129</v>
      </c>
      <c r="N6">
        <v>160</v>
      </c>
      <c r="O6">
        <v>57016666.666666664</v>
      </c>
      <c r="P6">
        <v>71371621.621621624</v>
      </c>
      <c r="Q6">
        <v>311</v>
      </c>
      <c r="R6">
        <v>281</v>
      </c>
      <c r="S6">
        <v>81767279.279279277</v>
      </c>
      <c r="T6">
        <v>79906369.369369373</v>
      </c>
      <c r="U6">
        <v>19633153.153153151</v>
      </c>
      <c r="V6">
        <v>58127837.837837838</v>
      </c>
      <c r="W6">
        <v>4572</v>
      </c>
      <c r="X6">
        <v>4576</v>
      </c>
    </row>
    <row r="7" spans="1:24">
      <c r="A7" s="7" t="s">
        <v>53</v>
      </c>
      <c r="B7" s="16" t="s">
        <v>54</v>
      </c>
      <c r="C7">
        <v>131962912.97696188</v>
      </c>
      <c r="D7">
        <v>129231238.13342969</v>
      </c>
      <c r="E7">
        <v>1237387.3873873909</v>
      </c>
      <c r="F7">
        <v>2568243.2432432482</v>
      </c>
      <c r="G7">
        <v>38</v>
      </c>
      <c r="H7">
        <v>31</v>
      </c>
      <c r="I7">
        <v>4</v>
      </c>
      <c r="J7">
        <v>7</v>
      </c>
      <c r="M7">
        <v>43</v>
      </c>
      <c r="N7">
        <v>76</v>
      </c>
      <c r="O7">
        <v>15525225.225225223</v>
      </c>
      <c r="P7">
        <v>14388018.01801802</v>
      </c>
      <c r="Q7">
        <v>149</v>
      </c>
      <c r="R7">
        <v>91</v>
      </c>
      <c r="S7">
        <v>42717081.081081077</v>
      </c>
      <c r="T7">
        <v>40773921.171171166</v>
      </c>
      <c r="U7">
        <v>15737747.747747747</v>
      </c>
      <c r="V7">
        <v>15518108.108108109</v>
      </c>
      <c r="W7">
        <v>3699</v>
      </c>
      <c r="X7">
        <v>3733</v>
      </c>
    </row>
    <row r="8" spans="1:24">
      <c r="A8" s="7" t="s">
        <v>55</v>
      </c>
      <c r="B8" s="16" t="s">
        <v>54</v>
      </c>
      <c r="C8">
        <v>214773450.92232564</v>
      </c>
      <c r="D8">
        <v>211885059.25432619</v>
      </c>
      <c r="E8">
        <v>873423.42342342704</v>
      </c>
      <c r="F8">
        <v>4659909.9099099115</v>
      </c>
      <c r="G8">
        <v>83</v>
      </c>
      <c r="H8">
        <v>117</v>
      </c>
      <c r="I8">
        <v>8</v>
      </c>
      <c r="J8">
        <v>19</v>
      </c>
      <c r="M8">
        <v>106</v>
      </c>
      <c r="N8">
        <v>555</v>
      </c>
      <c r="O8">
        <v>68200450.45045045</v>
      </c>
      <c r="P8">
        <v>91373153.153153151</v>
      </c>
      <c r="Q8">
        <v>197</v>
      </c>
      <c r="R8">
        <v>167</v>
      </c>
      <c r="S8">
        <v>54963720.720720723</v>
      </c>
      <c r="T8">
        <v>61469495.495495498</v>
      </c>
      <c r="U8">
        <v>48980720.720720723</v>
      </c>
      <c r="V8">
        <v>80141441.441441447</v>
      </c>
      <c r="W8">
        <v>4328</v>
      </c>
      <c r="X8">
        <v>4556</v>
      </c>
    </row>
    <row r="9" spans="1:24">
      <c r="A9" s="7" t="s">
        <v>56</v>
      </c>
      <c r="B9" s="16" t="s">
        <v>54</v>
      </c>
      <c r="C9">
        <v>108309156.60007864</v>
      </c>
      <c r="D9">
        <v>103943686.51321445</v>
      </c>
      <c r="E9">
        <v>827207.20720720896</v>
      </c>
      <c r="F9">
        <v>2184684.684684684</v>
      </c>
      <c r="G9">
        <v>22</v>
      </c>
      <c r="H9">
        <v>27</v>
      </c>
      <c r="I9">
        <v>3</v>
      </c>
      <c r="J9">
        <v>5</v>
      </c>
      <c r="M9">
        <v>24</v>
      </c>
      <c r="N9">
        <v>33</v>
      </c>
      <c r="O9">
        <v>7674954.9549549539</v>
      </c>
      <c r="P9">
        <v>16987927.927927926</v>
      </c>
      <c r="Q9">
        <v>66</v>
      </c>
      <c r="R9">
        <v>34</v>
      </c>
      <c r="S9">
        <v>32286079.27927928</v>
      </c>
      <c r="T9">
        <v>31026324.324324325</v>
      </c>
      <c r="U9">
        <v>7316036.036036035</v>
      </c>
      <c r="V9">
        <v>16326846.846846849</v>
      </c>
      <c r="W9">
        <v>2068</v>
      </c>
      <c r="X9">
        <v>2081</v>
      </c>
    </row>
    <row r="10" spans="1:24">
      <c r="A10" s="7" t="s">
        <v>57</v>
      </c>
      <c r="B10" s="16" t="s">
        <v>58</v>
      </c>
      <c r="C10">
        <v>277406792.68224269</v>
      </c>
      <c r="D10">
        <v>276171909.13260227</v>
      </c>
      <c r="E10">
        <v>1814414.4144144149</v>
      </c>
      <c r="F10">
        <v>1095495.4954954961</v>
      </c>
      <c r="G10">
        <v>71</v>
      </c>
      <c r="H10">
        <v>91</v>
      </c>
      <c r="I10">
        <v>1</v>
      </c>
      <c r="J10">
        <v>3</v>
      </c>
      <c r="M10">
        <v>83</v>
      </c>
      <c r="N10">
        <v>99</v>
      </c>
      <c r="O10">
        <v>6418018.0180180185</v>
      </c>
      <c r="P10">
        <v>4527927.9279279271</v>
      </c>
      <c r="Q10">
        <v>10</v>
      </c>
      <c r="S10">
        <v>49419414.414414413</v>
      </c>
      <c r="T10">
        <v>51374700.9009009</v>
      </c>
      <c r="U10">
        <v>5630000</v>
      </c>
      <c r="V10">
        <v>4262702.702702703</v>
      </c>
      <c r="W10">
        <v>5735</v>
      </c>
      <c r="X10">
        <v>5530</v>
      </c>
    </row>
    <row r="11" spans="1:24">
      <c r="A11" s="7" t="s">
        <v>59</v>
      </c>
      <c r="B11" s="16" t="s">
        <v>60</v>
      </c>
      <c r="C11">
        <v>119889939.43857889</v>
      </c>
      <c r="D11">
        <v>120433121.54824339</v>
      </c>
      <c r="E11">
        <v>223963.963963966</v>
      </c>
      <c r="F11">
        <v>1306306.306306307</v>
      </c>
      <c r="G11">
        <v>32</v>
      </c>
      <c r="H11">
        <v>48</v>
      </c>
      <c r="I11">
        <v>8</v>
      </c>
      <c r="J11">
        <v>10</v>
      </c>
      <c r="M11">
        <v>39</v>
      </c>
      <c r="N11">
        <v>138</v>
      </c>
      <c r="O11">
        <v>15656396.396396395</v>
      </c>
      <c r="P11">
        <v>17789793.693693694</v>
      </c>
      <c r="Q11">
        <v>89</v>
      </c>
      <c r="R11">
        <v>66</v>
      </c>
      <c r="S11">
        <v>55213954.954954952</v>
      </c>
      <c r="T11">
        <v>55988207.20720721</v>
      </c>
      <c r="U11">
        <v>10422882.88288288</v>
      </c>
      <c r="V11">
        <v>14867117.117117118</v>
      </c>
      <c r="W11">
        <v>3186</v>
      </c>
      <c r="X11">
        <v>3005</v>
      </c>
    </row>
    <row r="12" spans="1:24">
      <c r="A12" s="7" t="s">
        <v>61</v>
      </c>
      <c r="B12" s="16" t="s">
        <v>62</v>
      </c>
      <c r="C12">
        <v>560433258.1881603</v>
      </c>
      <c r="D12">
        <v>548935217.3533535</v>
      </c>
      <c r="E12">
        <v>355829936.93693697</v>
      </c>
      <c r="F12">
        <v>545584901.8018018</v>
      </c>
      <c r="G12">
        <v>39</v>
      </c>
      <c r="H12">
        <v>79</v>
      </c>
      <c r="I12">
        <v>9</v>
      </c>
      <c r="J12">
        <v>14</v>
      </c>
      <c r="M12">
        <v>44</v>
      </c>
      <c r="N12">
        <v>86</v>
      </c>
      <c r="O12">
        <v>65387518.018018015</v>
      </c>
      <c r="P12">
        <v>130680895.49549548</v>
      </c>
      <c r="Q12">
        <v>218</v>
      </c>
      <c r="R12">
        <v>156</v>
      </c>
      <c r="S12">
        <v>61566531.531531535</v>
      </c>
      <c r="T12">
        <v>58592836.036036029</v>
      </c>
      <c r="U12">
        <v>17949549.54954955</v>
      </c>
      <c r="V12">
        <v>69969819.819819823</v>
      </c>
      <c r="W12">
        <v>8893</v>
      </c>
      <c r="X12">
        <v>8788</v>
      </c>
    </row>
    <row r="13" spans="1:24">
      <c r="A13" s="7" t="s">
        <v>63</v>
      </c>
      <c r="B13" s="16" t="s">
        <v>50</v>
      </c>
      <c r="C13">
        <v>289836670.82768244</v>
      </c>
      <c r="D13">
        <v>290819483.6425491</v>
      </c>
      <c r="E13">
        <v>1035135.13513514</v>
      </c>
      <c r="F13">
        <v>3481081.0810810849</v>
      </c>
      <c r="G13">
        <v>50</v>
      </c>
      <c r="H13">
        <v>85</v>
      </c>
      <c r="I13">
        <v>24</v>
      </c>
      <c r="J13">
        <v>23</v>
      </c>
      <c r="K13">
        <v>2</v>
      </c>
      <c r="M13">
        <v>56</v>
      </c>
      <c r="N13">
        <v>123</v>
      </c>
      <c r="O13">
        <v>99682080.180180177</v>
      </c>
      <c r="P13">
        <v>94340900.9009009</v>
      </c>
      <c r="Q13">
        <v>87</v>
      </c>
      <c r="R13">
        <v>218</v>
      </c>
      <c r="S13">
        <v>112242900.9009009</v>
      </c>
      <c r="T13">
        <v>112981135.13513513</v>
      </c>
      <c r="U13">
        <v>101081484.68468469</v>
      </c>
      <c r="V13">
        <v>91264774.774774775</v>
      </c>
      <c r="W13">
        <v>5394</v>
      </c>
      <c r="X13">
        <v>5648</v>
      </c>
    </row>
    <row r="14" spans="1:24">
      <c r="A14" s="7" t="s">
        <v>64</v>
      </c>
      <c r="B14" s="16" t="s">
        <v>50</v>
      </c>
      <c r="C14">
        <v>302658781.67833054</v>
      </c>
      <c r="D14">
        <v>297699680.43535268</v>
      </c>
      <c r="E14">
        <v>2189639.639639643</v>
      </c>
      <c r="F14">
        <v>4492792.7927927943</v>
      </c>
      <c r="G14">
        <v>44</v>
      </c>
      <c r="H14">
        <v>67</v>
      </c>
      <c r="I14">
        <v>16</v>
      </c>
      <c r="J14">
        <v>13</v>
      </c>
      <c r="K14">
        <v>1</v>
      </c>
      <c r="M14">
        <v>48</v>
      </c>
      <c r="N14">
        <v>86</v>
      </c>
      <c r="O14">
        <v>71777289.189189196</v>
      </c>
      <c r="P14">
        <v>42350810.810810819</v>
      </c>
      <c r="Q14">
        <v>234</v>
      </c>
      <c r="R14">
        <v>111</v>
      </c>
      <c r="S14">
        <v>114203531.53153154</v>
      </c>
      <c r="T14">
        <v>113287702.7027027</v>
      </c>
      <c r="U14">
        <v>70217297.297297299</v>
      </c>
      <c r="V14">
        <v>39284954.954954952</v>
      </c>
      <c r="W14">
        <v>5303</v>
      </c>
      <c r="X14">
        <v>5637</v>
      </c>
    </row>
    <row r="15" spans="1:24">
      <c r="A15" s="7" t="s">
        <v>65</v>
      </c>
      <c r="B15" s="16" t="s">
        <v>66</v>
      </c>
      <c r="C15">
        <v>308409757.65622884</v>
      </c>
      <c r="D15">
        <v>302113706.60528672</v>
      </c>
      <c r="E15">
        <v>1626216.2162162189</v>
      </c>
      <c r="F15">
        <v>6631081.0810810849</v>
      </c>
      <c r="G15">
        <v>138</v>
      </c>
      <c r="H15">
        <v>62</v>
      </c>
      <c r="I15">
        <v>13</v>
      </c>
      <c r="J15">
        <v>18</v>
      </c>
      <c r="M15">
        <v>152</v>
      </c>
      <c r="N15">
        <v>92</v>
      </c>
      <c r="O15">
        <v>73488288.288288295</v>
      </c>
      <c r="P15">
        <v>114447117.11711712</v>
      </c>
      <c r="Q15">
        <v>408</v>
      </c>
      <c r="R15">
        <v>12</v>
      </c>
      <c r="S15">
        <v>153091297.2972973</v>
      </c>
      <c r="T15">
        <v>153523036.03603604</v>
      </c>
      <c r="U15">
        <v>74703873.873873875</v>
      </c>
      <c r="V15">
        <v>109009369.36936937</v>
      </c>
      <c r="W15">
        <v>5535</v>
      </c>
      <c r="X15">
        <v>6293</v>
      </c>
    </row>
    <row r="16" spans="1:24">
      <c r="A16" s="7" t="s">
        <v>67</v>
      </c>
      <c r="B16" s="16" t="s">
        <v>68</v>
      </c>
      <c r="C16">
        <v>186849321.80368826</v>
      </c>
      <c r="D16">
        <v>176324918.73150358</v>
      </c>
      <c r="E16">
        <v>17383558.558558561</v>
      </c>
      <c r="F16">
        <v>36321621.621621624</v>
      </c>
      <c r="G16">
        <v>85</v>
      </c>
      <c r="H16">
        <v>58</v>
      </c>
      <c r="I16">
        <v>7</v>
      </c>
      <c r="J16">
        <v>4</v>
      </c>
      <c r="M16">
        <v>93</v>
      </c>
      <c r="N16">
        <v>76</v>
      </c>
      <c r="O16">
        <v>32995810.810810812</v>
      </c>
      <c r="P16">
        <v>33103243.243243244</v>
      </c>
      <c r="Q16">
        <v>105</v>
      </c>
      <c r="R16">
        <v>90</v>
      </c>
      <c r="S16">
        <v>50442207.20720721</v>
      </c>
      <c r="T16">
        <v>48619099.0990991</v>
      </c>
      <c r="U16">
        <v>25520810.810810812</v>
      </c>
      <c r="V16">
        <v>22922522.52252252</v>
      </c>
      <c r="W16">
        <v>3642</v>
      </c>
      <c r="X16">
        <v>3342</v>
      </c>
    </row>
    <row r="17" spans="1:24">
      <c r="A17" s="7" t="s">
        <v>69</v>
      </c>
      <c r="B17" s="16" t="s">
        <v>70</v>
      </c>
      <c r="C17">
        <v>13498308.245037066</v>
      </c>
      <c r="D17">
        <v>13732571.86510177</v>
      </c>
      <c r="E17">
        <v>25675.675675676001</v>
      </c>
      <c r="F17">
        <v>116216.216216217</v>
      </c>
      <c r="G17">
        <v>3</v>
      </c>
      <c r="H17">
        <v>4</v>
      </c>
      <c r="I17">
        <v>0</v>
      </c>
      <c r="J17">
        <v>2</v>
      </c>
      <c r="M17">
        <v>3</v>
      </c>
      <c r="N17">
        <v>4</v>
      </c>
      <c r="O17">
        <v>302702.70270270301</v>
      </c>
      <c r="P17">
        <v>404504.50450450502</v>
      </c>
      <c r="Q17">
        <v>2</v>
      </c>
      <c r="R17">
        <v>4</v>
      </c>
      <c r="S17">
        <v>2860900.9009009008</v>
      </c>
      <c r="T17">
        <v>3937536.036036036</v>
      </c>
      <c r="U17">
        <v>298828.828828828</v>
      </c>
      <c r="V17">
        <v>404054.05405405402</v>
      </c>
      <c r="W17">
        <v>521</v>
      </c>
      <c r="X17">
        <v>337</v>
      </c>
    </row>
    <row r="18" spans="1:24">
      <c r="A18" s="7" t="s">
        <v>71</v>
      </c>
      <c r="B18" s="16" t="s">
        <v>72</v>
      </c>
      <c r="C18">
        <v>2425654269.0997996</v>
      </c>
      <c r="D18">
        <v>2324758488.1350064</v>
      </c>
      <c r="E18">
        <v>678321986.48648655</v>
      </c>
      <c r="F18">
        <v>528583749.54954958</v>
      </c>
      <c r="G18">
        <v>792</v>
      </c>
      <c r="H18">
        <v>728</v>
      </c>
      <c r="I18">
        <v>128</v>
      </c>
      <c r="J18">
        <v>143</v>
      </c>
      <c r="K18">
        <v>28</v>
      </c>
      <c r="M18">
        <v>1055</v>
      </c>
      <c r="N18">
        <v>1184</v>
      </c>
      <c r="O18">
        <v>293156043.24324328</v>
      </c>
      <c r="P18">
        <v>261109466.66666666</v>
      </c>
      <c r="Q18">
        <v>1502</v>
      </c>
      <c r="R18">
        <v>1771</v>
      </c>
      <c r="S18">
        <v>469449479.27927929</v>
      </c>
      <c r="T18">
        <v>479162079.27927929</v>
      </c>
      <c r="U18">
        <v>260117837.83783785</v>
      </c>
      <c r="V18">
        <v>223899232.43243244</v>
      </c>
      <c r="W18">
        <v>46362</v>
      </c>
      <c r="X18">
        <v>45355</v>
      </c>
    </row>
    <row r="19" spans="1:24">
      <c r="A19" s="7" t="s">
        <v>73</v>
      </c>
      <c r="B19" s="16" t="s">
        <v>72</v>
      </c>
      <c r="C19">
        <v>251148589.90315753</v>
      </c>
      <c r="D19">
        <v>220420207.80625466</v>
      </c>
      <c r="E19">
        <v>3603.603603604</v>
      </c>
      <c r="F19">
        <v>254954.95495495599</v>
      </c>
      <c r="G19">
        <v>54</v>
      </c>
      <c r="H19">
        <v>50</v>
      </c>
      <c r="I19">
        <v>4</v>
      </c>
      <c r="J19">
        <v>1</v>
      </c>
      <c r="K19">
        <v>1</v>
      </c>
      <c r="M19">
        <v>59</v>
      </c>
      <c r="N19">
        <v>67</v>
      </c>
      <c r="O19">
        <v>4336936.9369369373</v>
      </c>
      <c r="P19">
        <v>5795495.4954954963</v>
      </c>
      <c r="Q19">
        <v>22</v>
      </c>
      <c r="R19">
        <v>20</v>
      </c>
      <c r="S19">
        <v>32590315.315315317</v>
      </c>
      <c r="T19">
        <v>33013531.531531531</v>
      </c>
      <c r="U19">
        <v>4557657.6576576577</v>
      </c>
      <c r="V19">
        <v>5801621.6216216218</v>
      </c>
      <c r="W19">
        <v>3713</v>
      </c>
      <c r="X19">
        <v>3676</v>
      </c>
    </row>
    <row r="20" spans="1:24">
      <c r="A20" s="7" t="s">
        <v>74</v>
      </c>
      <c r="B20" s="16" t="s">
        <v>70</v>
      </c>
      <c r="C20">
        <v>243291233.36255738</v>
      </c>
      <c r="D20">
        <v>241944430.74044076</v>
      </c>
      <c r="E20">
        <v>89305811.711711705</v>
      </c>
      <c r="F20">
        <v>101699677.47747748</v>
      </c>
      <c r="G20">
        <v>55</v>
      </c>
      <c r="H20">
        <v>70</v>
      </c>
      <c r="I20">
        <v>10</v>
      </c>
      <c r="J20">
        <v>22</v>
      </c>
      <c r="M20">
        <v>63</v>
      </c>
      <c r="N20">
        <v>159</v>
      </c>
      <c r="O20">
        <v>87562968.468468457</v>
      </c>
      <c r="P20">
        <v>91109919.819819823</v>
      </c>
      <c r="Q20">
        <v>281</v>
      </c>
      <c r="R20">
        <v>290</v>
      </c>
      <c r="S20">
        <v>85212549.54954955</v>
      </c>
      <c r="T20">
        <v>89259882.882882878</v>
      </c>
      <c r="U20">
        <v>65559909.909909911</v>
      </c>
      <c r="V20">
        <v>53962612.612612613</v>
      </c>
      <c r="W20">
        <v>4489</v>
      </c>
      <c r="X20">
        <v>4401</v>
      </c>
    </row>
    <row r="21" spans="1:24">
      <c r="A21" s="7" t="s">
        <v>75</v>
      </c>
      <c r="B21" s="16" t="s">
        <v>76</v>
      </c>
      <c r="C21">
        <v>71218323.938755721</v>
      </c>
      <c r="D21">
        <v>69501255.618081599</v>
      </c>
      <c r="E21">
        <v>79279.279279280003</v>
      </c>
      <c r="F21">
        <v>618918.91891891998</v>
      </c>
      <c r="G21">
        <v>17</v>
      </c>
      <c r="H21">
        <v>22</v>
      </c>
      <c r="I21">
        <v>1</v>
      </c>
      <c r="J21">
        <v>3</v>
      </c>
      <c r="M21">
        <v>17</v>
      </c>
      <c r="N21">
        <v>24</v>
      </c>
      <c r="O21">
        <v>7790090.0900900904</v>
      </c>
      <c r="P21">
        <v>9308468.4684684686</v>
      </c>
      <c r="Q21">
        <v>15</v>
      </c>
      <c r="R21">
        <v>8</v>
      </c>
      <c r="S21">
        <v>17389504.504504506</v>
      </c>
      <c r="T21">
        <v>17360324.324324325</v>
      </c>
      <c r="U21">
        <v>6555315.3153153164</v>
      </c>
      <c r="V21">
        <v>7093963.963963965</v>
      </c>
      <c r="W21">
        <v>1527</v>
      </c>
      <c r="X21">
        <v>1552</v>
      </c>
    </row>
    <row r="22" spans="1:24">
      <c r="A22" s="7" t="s">
        <v>77</v>
      </c>
      <c r="B22" s="16" t="s">
        <v>78</v>
      </c>
      <c r="C22">
        <v>160650762.92965493</v>
      </c>
      <c r="D22">
        <v>150207575.35944799</v>
      </c>
      <c r="E22">
        <v>607297.297297296</v>
      </c>
      <c r="F22">
        <v>2407207.2072072062</v>
      </c>
      <c r="G22">
        <v>37</v>
      </c>
      <c r="H22">
        <v>25</v>
      </c>
      <c r="I22">
        <v>4</v>
      </c>
      <c r="J22">
        <v>5</v>
      </c>
      <c r="K22">
        <v>1</v>
      </c>
      <c r="M22">
        <v>42</v>
      </c>
      <c r="N22">
        <v>37</v>
      </c>
      <c r="O22">
        <v>17515405.405405402</v>
      </c>
      <c r="P22">
        <v>19115315.315315314</v>
      </c>
      <c r="Q22">
        <v>94</v>
      </c>
      <c r="R22">
        <v>59</v>
      </c>
      <c r="S22">
        <v>50077819.819819823</v>
      </c>
      <c r="T22">
        <v>49463018.018018015</v>
      </c>
      <c r="U22">
        <v>16493873.873873876</v>
      </c>
      <c r="V22">
        <v>21123513.513513513</v>
      </c>
      <c r="W22">
        <v>2415</v>
      </c>
      <c r="X22">
        <v>2440</v>
      </c>
    </row>
    <row r="23" spans="1:24">
      <c r="A23" s="7" t="s">
        <v>79</v>
      </c>
      <c r="B23" s="16" t="s">
        <v>80</v>
      </c>
      <c r="C23">
        <v>1447743252.9833906</v>
      </c>
      <c r="D23">
        <v>1385805837.6426442</v>
      </c>
      <c r="E23">
        <v>103720495.4954955</v>
      </c>
      <c r="F23">
        <v>94121576.576576576</v>
      </c>
      <c r="G23">
        <v>492</v>
      </c>
      <c r="H23">
        <v>901</v>
      </c>
      <c r="I23">
        <v>49</v>
      </c>
      <c r="J23">
        <v>37</v>
      </c>
      <c r="K23">
        <v>4</v>
      </c>
      <c r="M23">
        <v>579</v>
      </c>
      <c r="N23">
        <v>1143</v>
      </c>
      <c r="O23">
        <v>460092612.61261261</v>
      </c>
      <c r="P23">
        <v>204801351.35135135</v>
      </c>
      <c r="Q23">
        <v>404</v>
      </c>
      <c r="R23">
        <v>618</v>
      </c>
      <c r="S23">
        <v>356928869.36936933</v>
      </c>
      <c r="T23">
        <v>361829907.65765768</v>
      </c>
      <c r="U23">
        <v>122284774.77477479</v>
      </c>
      <c r="V23">
        <v>189349459.45945945</v>
      </c>
      <c r="W23">
        <v>26362</v>
      </c>
      <c r="X23">
        <v>26351</v>
      </c>
    </row>
    <row r="24" spans="1:24">
      <c r="A24" s="7" t="s">
        <v>81</v>
      </c>
      <c r="B24" s="16" t="s">
        <v>54</v>
      </c>
      <c r="C24">
        <v>43346562.290513664</v>
      </c>
      <c r="D24">
        <v>43376704.121001005</v>
      </c>
      <c r="E24">
        <v>145945.94594594699</v>
      </c>
      <c r="F24">
        <v>446846.84684684902</v>
      </c>
      <c r="G24">
        <v>14</v>
      </c>
      <c r="H24">
        <v>12</v>
      </c>
      <c r="I24">
        <v>0</v>
      </c>
      <c r="J24">
        <v>4</v>
      </c>
      <c r="M24">
        <v>16</v>
      </c>
      <c r="N24">
        <v>18</v>
      </c>
      <c r="O24">
        <v>3777027.0270270249</v>
      </c>
      <c r="P24">
        <v>3134054.054054054</v>
      </c>
      <c r="Q24">
        <v>51</v>
      </c>
      <c r="R24">
        <v>30</v>
      </c>
      <c r="S24">
        <v>9831801.8018018007</v>
      </c>
      <c r="T24">
        <v>10264981.981981983</v>
      </c>
      <c r="U24">
        <v>3659549.5495495489</v>
      </c>
      <c r="V24">
        <v>2863783.7837837841</v>
      </c>
      <c r="W24">
        <v>1469</v>
      </c>
      <c r="X24">
        <v>1309</v>
      </c>
    </row>
    <row r="25" spans="1:24">
      <c r="A25" s="7" t="s">
        <v>82</v>
      </c>
      <c r="B25" s="16" t="s">
        <v>83</v>
      </c>
      <c r="C25">
        <v>1010161145.8548989</v>
      </c>
      <c r="D25">
        <v>997997961.71556044</v>
      </c>
      <c r="E25">
        <v>7936801.8018018007</v>
      </c>
      <c r="F25">
        <v>11386711.711711712</v>
      </c>
      <c r="G25">
        <v>184</v>
      </c>
      <c r="H25">
        <v>197</v>
      </c>
      <c r="I25">
        <v>17</v>
      </c>
      <c r="J25">
        <v>28</v>
      </c>
      <c r="K25">
        <v>1</v>
      </c>
      <c r="M25">
        <v>229</v>
      </c>
      <c r="N25">
        <v>231</v>
      </c>
      <c r="O25">
        <v>170878243.24324322</v>
      </c>
      <c r="P25">
        <v>202860810.8108108</v>
      </c>
      <c r="Q25">
        <v>380</v>
      </c>
      <c r="R25">
        <v>560</v>
      </c>
      <c r="S25">
        <v>288625481.08108109</v>
      </c>
      <c r="T25">
        <v>295069030.18018013</v>
      </c>
      <c r="U25">
        <v>157406981.98198199</v>
      </c>
      <c r="V25">
        <v>151665855.85585585</v>
      </c>
      <c r="W25">
        <v>15281</v>
      </c>
      <c r="X25">
        <v>14929</v>
      </c>
    </row>
    <row r="26" spans="1:24">
      <c r="A26" s="7" t="s">
        <v>84</v>
      </c>
      <c r="B26" s="16" t="s">
        <v>85</v>
      </c>
      <c r="C26">
        <v>100047003.51487732</v>
      </c>
      <c r="D26">
        <v>93473754.124683663</v>
      </c>
      <c r="E26">
        <v>336486.48648648901</v>
      </c>
      <c r="F26">
        <v>1986036.0360360369</v>
      </c>
      <c r="G26">
        <v>48</v>
      </c>
      <c r="H26">
        <v>52</v>
      </c>
      <c r="I26">
        <v>13</v>
      </c>
      <c r="J26">
        <v>11</v>
      </c>
      <c r="M26">
        <v>54</v>
      </c>
      <c r="N26">
        <v>61</v>
      </c>
      <c r="O26">
        <v>125700000</v>
      </c>
      <c r="P26">
        <v>213220270.27027026</v>
      </c>
      <c r="Q26">
        <v>270</v>
      </c>
      <c r="R26">
        <v>296</v>
      </c>
      <c r="S26">
        <v>33588513.513513513</v>
      </c>
      <c r="T26">
        <v>33080612.612612613</v>
      </c>
      <c r="U26">
        <v>105712792.7927928</v>
      </c>
      <c r="V26">
        <v>189397657.65765765</v>
      </c>
      <c r="W26">
        <v>2173</v>
      </c>
      <c r="X26">
        <v>2320</v>
      </c>
    </row>
    <row r="27" spans="1:24">
      <c r="A27" s="7" t="s">
        <v>86</v>
      </c>
      <c r="B27" s="16" t="s">
        <v>87</v>
      </c>
      <c r="C27">
        <v>4082293.8120766901</v>
      </c>
      <c r="D27">
        <v>3542679.1777716689</v>
      </c>
      <c r="G27">
        <v>3</v>
      </c>
      <c r="H27">
        <v>3</v>
      </c>
      <c r="M27">
        <v>4</v>
      </c>
      <c r="N27">
        <v>3</v>
      </c>
      <c r="S27">
        <v>1196396.396396396</v>
      </c>
      <c r="T27">
        <v>1651135.1351351361</v>
      </c>
      <c r="W27">
        <v>162</v>
      </c>
      <c r="X27">
        <v>173</v>
      </c>
    </row>
    <row r="28" spans="1:24">
      <c r="A28" s="7" t="s">
        <v>88</v>
      </c>
      <c r="B28" s="16" t="s">
        <v>89</v>
      </c>
      <c r="C28">
        <v>205011986.53624669</v>
      </c>
      <c r="D28">
        <v>204356599.88234794</v>
      </c>
      <c r="E28">
        <v>66247522.522522531</v>
      </c>
      <c r="F28">
        <v>145165765.76576576</v>
      </c>
      <c r="G28">
        <v>21</v>
      </c>
      <c r="H28">
        <v>30</v>
      </c>
      <c r="I28">
        <v>18</v>
      </c>
      <c r="J28">
        <v>27</v>
      </c>
      <c r="K28">
        <v>1</v>
      </c>
      <c r="M28">
        <v>23</v>
      </c>
      <c r="N28">
        <v>33</v>
      </c>
      <c r="O28">
        <v>19632612.612612613</v>
      </c>
      <c r="P28">
        <v>43400180.180180177</v>
      </c>
      <c r="Q28">
        <v>112</v>
      </c>
      <c r="R28">
        <v>192</v>
      </c>
      <c r="S28">
        <v>72462639.639639646</v>
      </c>
      <c r="T28">
        <v>72710225.225225225</v>
      </c>
      <c r="U28">
        <v>15838738.738738736</v>
      </c>
      <c r="V28">
        <v>41737927.927927926</v>
      </c>
      <c r="W28">
        <v>3319</v>
      </c>
      <c r="X28">
        <v>3456</v>
      </c>
    </row>
    <row r="29" spans="1:24">
      <c r="A29" s="7" t="s">
        <v>90</v>
      </c>
      <c r="B29" s="16" t="s">
        <v>60</v>
      </c>
      <c r="C29">
        <v>64225858.942915969</v>
      </c>
      <c r="D29">
        <v>72741314.887935042</v>
      </c>
      <c r="E29">
        <v>67567.567567567996</v>
      </c>
      <c r="F29">
        <v>190990.99099099301</v>
      </c>
      <c r="G29">
        <v>51</v>
      </c>
      <c r="H29">
        <v>18</v>
      </c>
      <c r="I29">
        <v>2</v>
      </c>
      <c r="J29">
        <v>0</v>
      </c>
      <c r="M29">
        <v>119</v>
      </c>
      <c r="N29">
        <v>160</v>
      </c>
      <c r="O29">
        <v>6689189.1891891891</v>
      </c>
      <c r="P29">
        <v>4668468.4684684696</v>
      </c>
      <c r="Q29">
        <v>88</v>
      </c>
      <c r="R29">
        <v>36</v>
      </c>
      <c r="S29">
        <v>39000720.720720723</v>
      </c>
      <c r="T29">
        <v>43047549.54954955</v>
      </c>
      <c r="U29">
        <v>5670270.2702702703</v>
      </c>
      <c r="V29">
        <v>4849369.369369369</v>
      </c>
      <c r="W29">
        <v>1583</v>
      </c>
      <c r="X29">
        <v>1569</v>
      </c>
    </row>
    <row r="30" spans="1:24">
      <c r="A30" s="7" t="s">
        <v>91</v>
      </c>
      <c r="B30" s="16" t="s">
        <v>92</v>
      </c>
      <c r="C30">
        <v>62201820.155987434</v>
      </c>
      <c r="D30">
        <v>60590261.740479194</v>
      </c>
      <c r="E30">
        <v>45243428.828828834</v>
      </c>
      <c r="F30">
        <v>159257309.90990993</v>
      </c>
      <c r="G30">
        <v>19</v>
      </c>
      <c r="H30">
        <v>15</v>
      </c>
      <c r="I30">
        <v>4</v>
      </c>
      <c r="J30">
        <v>2</v>
      </c>
      <c r="M30">
        <v>20</v>
      </c>
      <c r="N30">
        <v>20</v>
      </c>
      <c r="O30">
        <v>27595135.135135137</v>
      </c>
      <c r="P30">
        <v>25544684.684684683</v>
      </c>
      <c r="Q30">
        <v>89</v>
      </c>
      <c r="R30">
        <v>2</v>
      </c>
      <c r="S30">
        <v>20856486.486486487</v>
      </c>
      <c r="T30">
        <v>19713162.162162159</v>
      </c>
      <c r="U30">
        <v>21808648.648648649</v>
      </c>
      <c r="V30">
        <v>16771711.711711712</v>
      </c>
      <c r="W30">
        <v>1073</v>
      </c>
      <c r="X30">
        <v>1061</v>
      </c>
    </row>
    <row r="31" spans="1:24">
      <c r="A31" s="7" t="s">
        <v>93</v>
      </c>
      <c r="B31" s="16" t="s">
        <v>94</v>
      </c>
      <c r="C31">
        <v>266836347.63114136</v>
      </c>
      <c r="D31">
        <v>256355300.13709652</v>
      </c>
      <c r="E31">
        <v>596396.39639639505</v>
      </c>
      <c r="F31">
        <v>520270.27027027099</v>
      </c>
      <c r="G31">
        <v>65</v>
      </c>
      <c r="H31">
        <v>43</v>
      </c>
      <c r="I31">
        <v>9</v>
      </c>
      <c r="J31">
        <v>6</v>
      </c>
      <c r="M31">
        <v>71</v>
      </c>
      <c r="N31">
        <v>53</v>
      </c>
      <c r="O31">
        <v>32887387.387387387</v>
      </c>
      <c r="P31">
        <v>33457207.207207207</v>
      </c>
      <c r="Q31">
        <v>149</v>
      </c>
      <c r="R31">
        <v>126</v>
      </c>
      <c r="S31">
        <v>38316477.477477483</v>
      </c>
      <c r="T31">
        <v>37270385.585585587</v>
      </c>
      <c r="U31">
        <v>30456846.846846845</v>
      </c>
      <c r="V31">
        <v>28072792.792792793</v>
      </c>
      <c r="W31">
        <v>4362</v>
      </c>
      <c r="X31">
        <v>4473</v>
      </c>
    </row>
    <row r="32" spans="1:24">
      <c r="A32" s="7" t="s">
        <v>95</v>
      </c>
      <c r="B32" s="16" t="s">
        <v>96</v>
      </c>
      <c r="C32">
        <v>277407689.28071982</v>
      </c>
      <c r="D32">
        <v>276530545.54414994</v>
      </c>
      <c r="E32">
        <v>236936.93693693701</v>
      </c>
      <c r="F32">
        <v>1750450.450450452</v>
      </c>
      <c r="G32">
        <v>80</v>
      </c>
      <c r="H32">
        <v>64</v>
      </c>
      <c r="I32">
        <v>5</v>
      </c>
      <c r="J32">
        <v>6</v>
      </c>
      <c r="K32">
        <v>1</v>
      </c>
      <c r="M32">
        <v>91</v>
      </c>
      <c r="N32">
        <v>72</v>
      </c>
      <c r="O32">
        <v>39922792.79279279</v>
      </c>
      <c r="P32">
        <v>54554954.954954952</v>
      </c>
      <c r="Q32">
        <v>190</v>
      </c>
      <c r="R32">
        <v>96</v>
      </c>
      <c r="S32">
        <v>136022558.55855855</v>
      </c>
      <c r="T32">
        <v>138631333.33333331</v>
      </c>
      <c r="U32">
        <v>46212432.432432435</v>
      </c>
      <c r="V32">
        <v>49443063.063063063</v>
      </c>
      <c r="W32">
        <v>6159</v>
      </c>
      <c r="X32">
        <v>6068</v>
      </c>
    </row>
    <row r="33" spans="1:24">
      <c r="A33" s="7" t="s">
        <v>97</v>
      </c>
      <c r="B33" s="16" t="s">
        <v>98</v>
      </c>
      <c r="C33">
        <v>968845563.09011495</v>
      </c>
      <c r="D33">
        <v>961205187.26807976</v>
      </c>
      <c r="E33">
        <v>167071261.26126128</v>
      </c>
      <c r="F33">
        <v>190510045.04504505</v>
      </c>
      <c r="G33">
        <v>429</v>
      </c>
      <c r="H33">
        <v>384</v>
      </c>
      <c r="I33">
        <v>37</v>
      </c>
      <c r="J33">
        <v>40</v>
      </c>
      <c r="M33">
        <v>500</v>
      </c>
      <c r="N33">
        <v>486</v>
      </c>
      <c r="O33">
        <v>153432027.02702704</v>
      </c>
      <c r="P33">
        <v>207251576.57657659</v>
      </c>
      <c r="Q33">
        <v>755</v>
      </c>
      <c r="R33">
        <v>1293</v>
      </c>
      <c r="S33">
        <v>254221781.98198199</v>
      </c>
      <c r="T33">
        <v>249530327.47747746</v>
      </c>
      <c r="U33">
        <v>141382072.07207206</v>
      </c>
      <c r="V33">
        <v>128418018.01801802</v>
      </c>
      <c r="W33">
        <v>21620</v>
      </c>
      <c r="X33">
        <v>22354</v>
      </c>
    </row>
    <row r="34" spans="1:24">
      <c r="A34" s="7" t="s">
        <v>99</v>
      </c>
      <c r="B34" s="16" t="s">
        <v>98</v>
      </c>
      <c r="C34">
        <v>1602507477.6869986</v>
      </c>
      <c r="D34">
        <v>1548761498.3732643</v>
      </c>
      <c r="E34">
        <v>1064331.531531536</v>
      </c>
      <c r="F34">
        <v>6316200.0000000056</v>
      </c>
      <c r="G34">
        <v>464</v>
      </c>
      <c r="H34">
        <v>469</v>
      </c>
      <c r="I34">
        <v>34</v>
      </c>
      <c r="J34">
        <v>39</v>
      </c>
      <c r="K34">
        <v>14</v>
      </c>
      <c r="M34">
        <v>576</v>
      </c>
      <c r="N34">
        <v>792</v>
      </c>
      <c r="O34">
        <v>88816351.351351365</v>
      </c>
      <c r="P34">
        <v>89404504.504504517</v>
      </c>
      <c r="Q34">
        <v>461</v>
      </c>
      <c r="R34">
        <v>436</v>
      </c>
      <c r="S34">
        <v>306977923.42342341</v>
      </c>
      <c r="T34">
        <v>298981761.71171176</v>
      </c>
      <c r="U34">
        <v>89012837.837837845</v>
      </c>
      <c r="V34">
        <v>87106396.396396399</v>
      </c>
      <c r="W34">
        <v>30026</v>
      </c>
      <c r="X34">
        <v>27802</v>
      </c>
    </row>
    <row r="35" spans="1:24">
      <c r="A35" s="7" t="s">
        <v>100</v>
      </c>
      <c r="B35" s="16" t="s">
        <v>98</v>
      </c>
      <c r="C35">
        <v>2525247042.697906</v>
      </c>
      <c r="D35">
        <v>2157072447.4685526</v>
      </c>
      <c r="E35">
        <v>7155585.5855855923</v>
      </c>
      <c r="F35">
        <v>18332657.657657664</v>
      </c>
      <c r="G35">
        <v>400</v>
      </c>
      <c r="H35">
        <v>431</v>
      </c>
      <c r="I35">
        <v>43</v>
      </c>
      <c r="J35">
        <v>71</v>
      </c>
      <c r="K35">
        <v>20</v>
      </c>
      <c r="M35">
        <v>615</v>
      </c>
      <c r="N35">
        <v>1091</v>
      </c>
      <c r="O35">
        <v>1166731936.9369369</v>
      </c>
      <c r="P35">
        <v>846392027.02702713</v>
      </c>
      <c r="Q35">
        <v>1128</v>
      </c>
      <c r="R35">
        <v>1269</v>
      </c>
      <c r="S35">
        <v>1293123818.018018</v>
      </c>
      <c r="T35">
        <v>989481011.26126134</v>
      </c>
      <c r="U35">
        <v>661980178.37837839</v>
      </c>
      <c r="V35">
        <v>205342207.2072072</v>
      </c>
      <c r="W35">
        <v>33357</v>
      </c>
      <c r="X35">
        <v>33113</v>
      </c>
    </row>
    <row r="36" spans="1:24">
      <c r="A36" s="7" t="s">
        <v>101</v>
      </c>
      <c r="B36" s="16" t="s">
        <v>98</v>
      </c>
      <c r="C36">
        <v>920831019.28070962</v>
      </c>
      <c r="D36">
        <v>895188230.09885287</v>
      </c>
      <c r="E36">
        <v>1154729.7297297311</v>
      </c>
      <c r="F36">
        <v>5580180.1801801827</v>
      </c>
      <c r="G36">
        <v>308</v>
      </c>
      <c r="H36">
        <v>264</v>
      </c>
      <c r="I36">
        <v>22</v>
      </c>
      <c r="J36">
        <v>29</v>
      </c>
      <c r="K36">
        <v>1</v>
      </c>
      <c r="M36">
        <v>397</v>
      </c>
      <c r="N36">
        <v>325</v>
      </c>
      <c r="O36">
        <v>50513153.153153151</v>
      </c>
      <c r="P36">
        <v>76058558.558558553</v>
      </c>
      <c r="Q36">
        <v>89</v>
      </c>
      <c r="R36">
        <v>421</v>
      </c>
      <c r="S36">
        <v>200661061.26126125</v>
      </c>
      <c r="T36">
        <v>197359540.54054055</v>
      </c>
      <c r="U36">
        <v>52995225.225225225</v>
      </c>
      <c r="V36">
        <v>71546306.306306303</v>
      </c>
      <c r="W36">
        <v>21023</v>
      </c>
      <c r="X36">
        <v>21482</v>
      </c>
    </row>
    <row r="37" spans="1:24">
      <c r="A37" s="7" t="s">
        <v>102</v>
      </c>
      <c r="B37" s="16" t="s">
        <v>98</v>
      </c>
      <c r="C37">
        <v>1011794330.1669724</v>
      </c>
      <c r="D37">
        <v>1011374127.10417</v>
      </c>
      <c r="E37">
        <v>5986081.081081084</v>
      </c>
      <c r="F37">
        <v>10146846.846846852</v>
      </c>
      <c r="G37">
        <v>232</v>
      </c>
      <c r="H37">
        <v>226</v>
      </c>
      <c r="I37">
        <v>30</v>
      </c>
      <c r="J37">
        <v>26</v>
      </c>
      <c r="K37">
        <v>2</v>
      </c>
      <c r="M37">
        <v>363</v>
      </c>
      <c r="N37">
        <v>293</v>
      </c>
      <c r="O37">
        <v>145854144.14414412</v>
      </c>
      <c r="P37">
        <v>161491891.8918919</v>
      </c>
      <c r="Q37">
        <v>771</v>
      </c>
      <c r="R37">
        <v>298</v>
      </c>
      <c r="S37">
        <v>292995726.12612617</v>
      </c>
      <c r="T37">
        <v>295828608.1081081</v>
      </c>
      <c r="U37">
        <v>125078378.37837836</v>
      </c>
      <c r="V37">
        <v>187084414.41441441</v>
      </c>
      <c r="W37">
        <v>24888</v>
      </c>
      <c r="X37">
        <v>25073</v>
      </c>
    </row>
    <row r="38" spans="1:24">
      <c r="A38" s="7" t="s">
        <v>103</v>
      </c>
      <c r="B38" s="16" t="s">
        <v>98</v>
      </c>
      <c r="C38">
        <v>2624627269.130703</v>
      </c>
      <c r="D38">
        <v>2602678222.5309839</v>
      </c>
      <c r="E38">
        <v>1667064615.3153152</v>
      </c>
      <c r="F38">
        <v>953098889.1891892</v>
      </c>
      <c r="G38">
        <v>835</v>
      </c>
      <c r="H38">
        <v>747</v>
      </c>
      <c r="I38">
        <v>70</v>
      </c>
      <c r="J38">
        <v>70</v>
      </c>
      <c r="K38">
        <v>26</v>
      </c>
      <c r="M38">
        <v>1079</v>
      </c>
      <c r="N38">
        <v>1149</v>
      </c>
      <c r="O38">
        <v>818513108.10810816</v>
      </c>
      <c r="P38">
        <v>281625973.87387383</v>
      </c>
      <c r="Q38">
        <v>1691</v>
      </c>
      <c r="R38">
        <v>1020</v>
      </c>
      <c r="S38">
        <v>541648897.29729724</v>
      </c>
      <c r="T38">
        <v>554947394.5945946</v>
      </c>
      <c r="U38">
        <v>312400899.0990991</v>
      </c>
      <c r="V38">
        <v>256880990.99099097</v>
      </c>
      <c r="W38">
        <v>54185</v>
      </c>
      <c r="X38">
        <v>55383</v>
      </c>
    </row>
    <row r="39" spans="1:24">
      <c r="A39" s="7" t="s">
        <v>104</v>
      </c>
      <c r="B39" s="16" t="s">
        <v>105</v>
      </c>
      <c r="C39">
        <v>202281819.2328676</v>
      </c>
      <c r="D39">
        <v>182125716.18581662</v>
      </c>
      <c r="E39">
        <v>126722297.2972973</v>
      </c>
      <c r="F39">
        <v>6669369.369369369</v>
      </c>
      <c r="G39">
        <v>60</v>
      </c>
      <c r="H39">
        <v>36</v>
      </c>
      <c r="I39">
        <v>1</v>
      </c>
      <c r="J39">
        <v>0</v>
      </c>
      <c r="M39">
        <v>60</v>
      </c>
      <c r="N39">
        <v>41</v>
      </c>
      <c r="O39">
        <v>1817117.1171171169</v>
      </c>
      <c r="P39">
        <v>2379279.2792792791</v>
      </c>
      <c r="Q39">
        <v>1</v>
      </c>
      <c r="R39">
        <v>50</v>
      </c>
      <c r="S39">
        <v>39617342.342342347</v>
      </c>
      <c r="T39">
        <v>39269081.081081077</v>
      </c>
      <c r="U39">
        <v>1371981.981981982</v>
      </c>
      <c r="V39">
        <v>1186846.8468468471</v>
      </c>
      <c r="W39">
        <v>2512</v>
      </c>
      <c r="X39">
        <v>2485</v>
      </c>
    </row>
    <row r="40" spans="1:24">
      <c r="A40" s="7" t="s">
        <v>106</v>
      </c>
      <c r="B40" s="16" t="s">
        <v>54</v>
      </c>
      <c r="C40">
        <v>65222545.451444112</v>
      </c>
      <c r="D40">
        <v>62126915.764579125</v>
      </c>
      <c r="E40">
        <v>277477.47747747798</v>
      </c>
      <c r="F40">
        <v>59459.459459459002</v>
      </c>
      <c r="G40">
        <v>51</v>
      </c>
      <c r="H40">
        <v>34</v>
      </c>
      <c r="I40">
        <v>0</v>
      </c>
      <c r="J40">
        <v>0</v>
      </c>
      <c r="M40">
        <v>69</v>
      </c>
      <c r="N40">
        <v>41</v>
      </c>
      <c r="O40">
        <v>3273423.4234234248</v>
      </c>
      <c r="P40">
        <v>1801981.9819819829</v>
      </c>
      <c r="Q40">
        <v>39</v>
      </c>
      <c r="R40">
        <v>13</v>
      </c>
      <c r="S40">
        <v>17877252.252252251</v>
      </c>
      <c r="T40">
        <v>16091990.990990993</v>
      </c>
      <c r="U40">
        <v>3557297.297297297</v>
      </c>
      <c r="V40">
        <v>2061441.441441441</v>
      </c>
      <c r="W40">
        <v>1352</v>
      </c>
      <c r="X40">
        <v>1286</v>
      </c>
    </row>
    <row r="41" spans="1:24">
      <c r="A41" s="7" t="s">
        <v>107</v>
      </c>
      <c r="B41" s="16" t="s">
        <v>108</v>
      </c>
      <c r="C41">
        <v>540343463.49204481</v>
      </c>
      <c r="D41">
        <v>503071063.50467288</v>
      </c>
      <c r="E41">
        <v>1569549.549549551</v>
      </c>
      <c r="F41">
        <v>5671621.6216216264</v>
      </c>
      <c r="G41">
        <v>143</v>
      </c>
      <c r="H41">
        <v>139</v>
      </c>
      <c r="I41">
        <v>13</v>
      </c>
      <c r="J41">
        <v>15</v>
      </c>
      <c r="K41">
        <v>5</v>
      </c>
      <c r="M41">
        <v>163</v>
      </c>
      <c r="N41">
        <v>178</v>
      </c>
      <c r="O41">
        <v>126233063.06306306</v>
      </c>
      <c r="P41">
        <v>75965045.045045033</v>
      </c>
      <c r="Q41">
        <v>515</v>
      </c>
      <c r="R41">
        <v>744</v>
      </c>
      <c r="S41">
        <v>110809816.21621622</v>
      </c>
      <c r="T41">
        <v>110141585.58558558</v>
      </c>
      <c r="U41">
        <v>92602612.612612605</v>
      </c>
      <c r="V41">
        <v>67119369.369369373</v>
      </c>
      <c r="W41">
        <v>10655</v>
      </c>
      <c r="X41">
        <v>9624</v>
      </c>
    </row>
    <row r="42" spans="1:24">
      <c r="A42" s="7" t="s">
        <v>109</v>
      </c>
      <c r="B42" s="16" t="s">
        <v>108</v>
      </c>
      <c r="C42">
        <v>725906107.78762257</v>
      </c>
      <c r="D42">
        <v>712510748.73012805</v>
      </c>
      <c r="E42">
        <v>819613963.96396387</v>
      </c>
      <c r="F42">
        <v>103118815.31531531</v>
      </c>
      <c r="G42">
        <v>186</v>
      </c>
      <c r="H42">
        <v>247</v>
      </c>
      <c r="I42">
        <v>17</v>
      </c>
      <c r="J42">
        <v>24</v>
      </c>
      <c r="K42">
        <v>1</v>
      </c>
      <c r="M42">
        <v>344</v>
      </c>
      <c r="N42">
        <v>456</v>
      </c>
      <c r="O42">
        <v>360255855.85585588</v>
      </c>
      <c r="P42">
        <v>61408909.009009011</v>
      </c>
      <c r="Q42">
        <v>782</v>
      </c>
      <c r="R42">
        <v>410</v>
      </c>
      <c r="S42">
        <v>184788175.67567569</v>
      </c>
      <c r="T42">
        <v>201744468.46846849</v>
      </c>
      <c r="U42">
        <v>251663423.42342341</v>
      </c>
      <c r="V42">
        <v>177394864.86486486</v>
      </c>
      <c r="W42">
        <v>15171</v>
      </c>
      <c r="X42">
        <v>13721</v>
      </c>
    </row>
    <row r="43" spans="1:24">
      <c r="A43" s="7" t="s">
        <v>110</v>
      </c>
      <c r="B43" s="16" t="s">
        <v>111</v>
      </c>
      <c r="C43">
        <v>865737742.79800177</v>
      </c>
      <c r="D43">
        <v>817185507.8020581</v>
      </c>
      <c r="E43">
        <v>5247387.3873873856</v>
      </c>
      <c r="F43">
        <v>10675675.675675681</v>
      </c>
      <c r="G43">
        <v>190</v>
      </c>
      <c r="H43">
        <v>271</v>
      </c>
      <c r="I43">
        <v>27</v>
      </c>
      <c r="J43">
        <v>38</v>
      </c>
      <c r="K43">
        <v>1</v>
      </c>
      <c r="M43">
        <v>260</v>
      </c>
      <c r="N43">
        <v>620</v>
      </c>
      <c r="O43">
        <v>73551171.171171173</v>
      </c>
      <c r="P43">
        <v>86905609.909909904</v>
      </c>
      <c r="Q43">
        <v>757</v>
      </c>
      <c r="R43">
        <v>1178</v>
      </c>
      <c r="S43">
        <v>277946090.0900901</v>
      </c>
      <c r="T43">
        <v>288314585.58558559</v>
      </c>
      <c r="U43">
        <v>71984684.684684694</v>
      </c>
      <c r="V43">
        <v>80704457.657657668</v>
      </c>
      <c r="W43">
        <v>19419</v>
      </c>
      <c r="X43">
        <v>19640</v>
      </c>
    </row>
    <row r="44" spans="1:24">
      <c r="A44" s="7" t="s">
        <v>112</v>
      </c>
      <c r="B44" s="16" t="s">
        <v>111</v>
      </c>
      <c r="C44">
        <v>1077513034.0017483</v>
      </c>
      <c r="D44">
        <v>1054883374.2691251</v>
      </c>
      <c r="E44">
        <v>15231891.891891897</v>
      </c>
      <c r="F44">
        <v>14796396.396396399</v>
      </c>
      <c r="G44">
        <v>224</v>
      </c>
      <c r="H44">
        <v>393</v>
      </c>
      <c r="I44">
        <v>22</v>
      </c>
      <c r="J44">
        <v>54</v>
      </c>
      <c r="K44">
        <v>8</v>
      </c>
      <c r="M44">
        <v>579</v>
      </c>
      <c r="N44">
        <v>711</v>
      </c>
      <c r="O44">
        <v>94423963.963963956</v>
      </c>
      <c r="P44">
        <v>92847400</v>
      </c>
      <c r="Q44">
        <v>1506</v>
      </c>
      <c r="R44">
        <v>2054</v>
      </c>
      <c r="S44">
        <v>377914288.2882883</v>
      </c>
      <c r="T44">
        <v>393317020.72072071</v>
      </c>
      <c r="U44">
        <v>89133153.153153151</v>
      </c>
      <c r="V44">
        <v>92093153.153153151</v>
      </c>
      <c r="W44">
        <v>27405</v>
      </c>
      <c r="X44">
        <v>27003</v>
      </c>
    </row>
    <row r="45" spans="1:24">
      <c r="A45" s="7" t="s">
        <v>113</v>
      </c>
      <c r="B45" s="16" t="s">
        <v>111</v>
      </c>
      <c r="C45">
        <v>1386307763.9197333</v>
      </c>
      <c r="D45">
        <v>1147659709.539129</v>
      </c>
      <c r="E45">
        <v>745499009.009009</v>
      </c>
      <c r="F45">
        <v>90117927.927927941</v>
      </c>
      <c r="G45">
        <v>319</v>
      </c>
      <c r="H45">
        <v>384</v>
      </c>
      <c r="I45">
        <v>38</v>
      </c>
      <c r="J45">
        <v>45</v>
      </c>
      <c r="K45">
        <v>8</v>
      </c>
      <c r="M45">
        <v>412</v>
      </c>
      <c r="N45">
        <v>629</v>
      </c>
      <c r="O45">
        <v>557767297.29729724</v>
      </c>
      <c r="P45">
        <v>500000195.4954955</v>
      </c>
      <c r="Q45">
        <v>2523</v>
      </c>
      <c r="R45">
        <v>1541</v>
      </c>
      <c r="S45">
        <v>1207661657.6576576</v>
      </c>
      <c r="T45">
        <v>663608556.75675678</v>
      </c>
      <c r="U45">
        <v>106444504.5045045</v>
      </c>
      <c r="V45">
        <v>45468241.441441439</v>
      </c>
      <c r="W45">
        <v>15045</v>
      </c>
      <c r="X45">
        <v>14221</v>
      </c>
    </row>
    <row r="46" spans="1:24">
      <c r="A46" s="7" t="s">
        <v>114</v>
      </c>
      <c r="B46" s="16" t="s">
        <v>111</v>
      </c>
      <c r="C46">
        <v>843160270.69756389</v>
      </c>
      <c r="D46">
        <v>842767680.35969961</v>
      </c>
      <c r="E46">
        <v>5534234.2342342408</v>
      </c>
      <c r="F46">
        <v>12200675.675675685</v>
      </c>
      <c r="G46">
        <v>1463</v>
      </c>
      <c r="H46">
        <v>474</v>
      </c>
      <c r="I46">
        <v>34</v>
      </c>
      <c r="J46">
        <v>65</v>
      </c>
      <c r="K46">
        <v>30</v>
      </c>
      <c r="M46">
        <v>3971</v>
      </c>
      <c r="N46">
        <v>1221</v>
      </c>
      <c r="O46">
        <v>85906756.756756753</v>
      </c>
      <c r="P46">
        <v>102930630.63063064</v>
      </c>
      <c r="Q46">
        <v>946</v>
      </c>
      <c r="R46">
        <v>1021</v>
      </c>
      <c r="S46">
        <v>274673837.83783782</v>
      </c>
      <c r="T46">
        <v>252907333.33333334</v>
      </c>
      <c r="U46">
        <v>85923693.693693697</v>
      </c>
      <c r="V46">
        <v>97428288.288288295</v>
      </c>
      <c r="W46">
        <v>22618</v>
      </c>
      <c r="X46">
        <v>20397</v>
      </c>
    </row>
    <row r="47" spans="1:24">
      <c r="A47" s="7" t="s">
        <v>115</v>
      </c>
      <c r="B47" s="16" t="s">
        <v>111</v>
      </c>
      <c r="C47">
        <v>1177746935.1092305</v>
      </c>
      <c r="D47">
        <v>1031465886.5838969</v>
      </c>
      <c r="E47">
        <v>1129375269.3693693</v>
      </c>
      <c r="F47">
        <v>1683140472.0720723</v>
      </c>
      <c r="G47">
        <v>543</v>
      </c>
      <c r="H47">
        <v>441</v>
      </c>
      <c r="I47">
        <v>54</v>
      </c>
      <c r="J47">
        <v>83</v>
      </c>
      <c r="K47">
        <v>1</v>
      </c>
      <c r="M47">
        <v>613</v>
      </c>
      <c r="N47">
        <v>754</v>
      </c>
      <c r="O47">
        <v>780383319.81981981</v>
      </c>
      <c r="P47">
        <v>829802801.8018018</v>
      </c>
      <c r="Q47">
        <v>1119</v>
      </c>
      <c r="R47">
        <v>7575</v>
      </c>
      <c r="S47">
        <v>387770558.55855858</v>
      </c>
      <c r="T47">
        <v>305630043.6936937</v>
      </c>
      <c r="U47">
        <v>188661081.08108109</v>
      </c>
      <c r="V47">
        <v>190436122.52252254</v>
      </c>
      <c r="W47">
        <v>24080</v>
      </c>
      <c r="X47">
        <v>24270</v>
      </c>
    </row>
    <row r="48" spans="1:24">
      <c r="A48" s="7" t="s">
        <v>116</v>
      </c>
      <c r="B48" s="16" t="s">
        <v>54</v>
      </c>
      <c r="C48">
        <v>58281106.816521384</v>
      </c>
      <c r="D48">
        <v>57769844.739331998</v>
      </c>
      <c r="E48">
        <v>829054.05405405397</v>
      </c>
      <c r="F48">
        <v>1168243.2432432431</v>
      </c>
      <c r="G48">
        <v>8</v>
      </c>
      <c r="H48">
        <v>10</v>
      </c>
      <c r="I48">
        <v>5</v>
      </c>
      <c r="J48">
        <v>3</v>
      </c>
      <c r="M48">
        <v>8</v>
      </c>
      <c r="N48">
        <v>12</v>
      </c>
      <c r="O48">
        <v>5844144.1441441439</v>
      </c>
      <c r="P48">
        <v>4912162.1621621614</v>
      </c>
      <c r="Q48">
        <v>31</v>
      </c>
      <c r="R48">
        <v>51</v>
      </c>
      <c r="S48">
        <v>13633594.594594594</v>
      </c>
      <c r="T48">
        <v>14279027.027027026</v>
      </c>
      <c r="U48">
        <v>4858468.4684684668</v>
      </c>
      <c r="V48">
        <v>4456126.1261261264</v>
      </c>
      <c r="W48">
        <v>1023</v>
      </c>
      <c r="X48">
        <v>1102</v>
      </c>
    </row>
    <row r="49" spans="1:24">
      <c r="A49" s="7" t="s">
        <v>118</v>
      </c>
      <c r="B49" s="16" t="s">
        <v>78</v>
      </c>
      <c r="C49">
        <v>515084083.29249901</v>
      </c>
      <c r="D49">
        <v>484975406.1852352</v>
      </c>
      <c r="E49">
        <v>455546857.65765768</v>
      </c>
      <c r="F49">
        <v>311164887.38738739</v>
      </c>
      <c r="G49">
        <v>255</v>
      </c>
      <c r="H49">
        <v>178</v>
      </c>
      <c r="I49">
        <v>19</v>
      </c>
      <c r="J49">
        <v>32</v>
      </c>
      <c r="K49">
        <v>2</v>
      </c>
      <c r="M49">
        <v>393</v>
      </c>
      <c r="N49">
        <v>254</v>
      </c>
      <c r="O49">
        <v>79739369.369369373</v>
      </c>
      <c r="P49">
        <v>110269819.81981982</v>
      </c>
      <c r="Q49">
        <v>363</v>
      </c>
      <c r="R49">
        <v>1627</v>
      </c>
      <c r="S49">
        <v>199361962.16216218</v>
      </c>
      <c r="T49">
        <v>195018297.74774775</v>
      </c>
      <c r="U49">
        <v>80755989.189189181</v>
      </c>
      <c r="V49">
        <v>108707387.38738739</v>
      </c>
      <c r="W49">
        <v>12085</v>
      </c>
      <c r="X49">
        <v>11586</v>
      </c>
    </row>
    <row r="50" spans="1:24">
      <c r="A50" s="7" t="s">
        <v>119</v>
      </c>
      <c r="B50" s="16" t="s">
        <v>50</v>
      </c>
      <c r="C50">
        <v>162552552.7608768</v>
      </c>
      <c r="D50">
        <v>154241054.35919946</v>
      </c>
      <c r="E50">
        <v>609234.23423423595</v>
      </c>
      <c r="F50">
        <v>4873873.8738738736</v>
      </c>
      <c r="G50">
        <v>86</v>
      </c>
      <c r="H50">
        <v>46</v>
      </c>
      <c r="I50">
        <v>13</v>
      </c>
      <c r="J50">
        <v>11</v>
      </c>
      <c r="M50">
        <v>89</v>
      </c>
      <c r="N50">
        <v>52</v>
      </c>
      <c r="O50">
        <v>102795495.49549548</v>
      </c>
      <c r="P50">
        <v>89965225.225225225</v>
      </c>
      <c r="Q50">
        <v>250</v>
      </c>
      <c r="R50">
        <v>308</v>
      </c>
      <c r="S50">
        <v>57782432.432432435</v>
      </c>
      <c r="T50">
        <v>55961837.837837838</v>
      </c>
      <c r="U50">
        <v>102869099.0990991</v>
      </c>
      <c r="V50">
        <v>85014234.234234244</v>
      </c>
      <c r="W50">
        <v>2560</v>
      </c>
      <c r="X50">
        <v>2424</v>
      </c>
    </row>
    <row r="51" spans="1:24">
      <c r="A51" s="7" t="s">
        <v>120</v>
      </c>
      <c r="B51" s="16" t="s">
        <v>121</v>
      </c>
      <c r="C51">
        <v>570859142.95770085</v>
      </c>
      <c r="D51">
        <v>522474174.22267735</v>
      </c>
      <c r="E51">
        <v>15818243.243243242</v>
      </c>
      <c r="F51">
        <v>10118468.46846847</v>
      </c>
      <c r="G51">
        <v>234</v>
      </c>
      <c r="H51">
        <v>195</v>
      </c>
      <c r="I51">
        <v>14</v>
      </c>
      <c r="J51">
        <v>17</v>
      </c>
      <c r="K51">
        <v>9</v>
      </c>
      <c r="M51">
        <v>255</v>
      </c>
      <c r="N51">
        <v>222</v>
      </c>
      <c r="O51">
        <v>22882882.882882878</v>
      </c>
      <c r="P51">
        <v>21012612.612612616</v>
      </c>
      <c r="Q51">
        <v>109</v>
      </c>
      <c r="R51">
        <v>81</v>
      </c>
      <c r="S51">
        <v>40327711.711711712</v>
      </c>
      <c r="T51">
        <v>44209630.630630635</v>
      </c>
      <c r="U51">
        <v>22091981.981981982</v>
      </c>
      <c r="V51">
        <v>18703513.513513513</v>
      </c>
      <c r="W51">
        <v>8343</v>
      </c>
      <c r="X51">
        <v>7962</v>
      </c>
    </row>
    <row r="52" spans="1:24">
      <c r="A52" s="7" t="s">
        <v>122</v>
      </c>
      <c r="B52" s="16" t="s">
        <v>123</v>
      </c>
      <c r="C52">
        <v>256582168.52173778</v>
      </c>
      <c r="D52">
        <v>274021630.86595374</v>
      </c>
      <c r="E52">
        <v>359909.90990991</v>
      </c>
      <c r="F52">
        <v>1220045.0450450459</v>
      </c>
      <c r="G52">
        <v>34</v>
      </c>
      <c r="H52">
        <v>36</v>
      </c>
      <c r="I52">
        <v>5</v>
      </c>
      <c r="J52">
        <v>3</v>
      </c>
      <c r="M52">
        <v>42</v>
      </c>
      <c r="N52">
        <v>51</v>
      </c>
      <c r="O52">
        <v>56039369.369369365</v>
      </c>
      <c r="P52">
        <v>58071261.261261262</v>
      </c>
      <c r="Q52">
        <v>93</v>
      </c>
      <c r="R52">
        <v>52</v>
      </c>
      <c r="S52">
        <v>117363825.22522523</v>
      </c>
      <c r="T52">
        <v>124226108.10810812</v>
      </c>
      <c r="U52">
        <v>54118558.558558561</v>
      </c>
      <c r="V52">
        <v>57837207.20720721</v>
      </c>
      <c r="W52">
        <v>4559</v>
      </c>
      <c r="X52">
        <v>4548</v>
      </c>
    </row>
    <row r="53" spans="1:24">
      <c r="A53" s="7" t="s">
        <v>124</v>
      </c>
      <c r="B53" s="16" t="s">
        <v>125</v>
      </c>
      <c r="C53">
        <v>386081237.78095007</v>
      </c>
      <c r="D53">
        <v>357826310.26814675</v>
      </c>
      <c r="E53">
        <v>42645287.387387387</v>
      </c>
      <c r="F53">
        <v>64137045.945945948</v>
      </c>
      <c r="G53">
        <v>70</v>
      </c>
      <c r="H53">
        <v>77</v>
      </c>
      <c r="I53">
        <v>10</v>
      </c>
      <c r="J53">
        <v>8</v>
      </c>
      <c r="M53">
        <v>80</v>
      </c>
      <c r="N53">
        <v>159</v>
      </c>
      <c r="O53">
        <v>94381081.081081092</v>
      </c>
      <c r="P53">
        <v>113804054.05405405</v>
      </c>
      <c r="Q53">
        <v>248</v>
      </c>
      <c r="R53">
        <v>258</v>
      </c>
      <c r="S53">
        <v>113468277.47747748</v>
      </c>
      <c r="T53">
        <v>111383958.55855855</v>
      </c>
      <c r="U53">
        <v>102162072.07207206</v>
      </c>
      <c r="V53">
        <v>115005358.55855855</v>
      </c>
      <c r="W53">
        <v>6532</v>
      </c>
      <c r="X53">
        <v>6272</v>
      </c>
    </row>
    <row r="54" spans="1:24">
      <c r="A54" s="7" t="s">
        <v>126</v>
      </c>
      <c r="B54" s="16" t="s">
        <v>78</v>
      </c>
      <c r="C54">
        <v>246914609.54818174</v>
      </c>
      <c r="D54">
        <v>235983140.44986236</v>
      </c>
      <c r="E54">
        <v>2920450.4504504511</v>
      </c>
      <c r="F54">
        <v>4643243.2432432454</v>
      </c>
      <c r="G54">
        <v>58</v>
      </c>
      <c r="H54">
        <v>72</v>
      </c>
      <c r="I54">
        <v>8</v>
      </c>
      <c r="J54">
        <v>8</v>
      </c>
      <c r="M54">
        <v>62</v>
      </c>
      <c r="N54">
        <v>90</v>
      </c>
      <c r="O54">
        <v>46785315.315315314</v>
      </c>
      <c r="P54">
        <v>42562162.162162162</v>
      </c>
      <c r="Q54">
        <v>135</v>
      </c>
      <c r="R54">
        <v>146</v>
      </c>
      <c r="S54">
        <v>97798522.522522524</v>
      </c>
      <c r="T54">
        <v>96457693.693693697</v>
      </c>
      <c r="U54">
        <v>47748648.648648649</v>
      </c>
      <c r="V54">
        <v>40538468.468468472</v>
      </c>
      <c r="W54">
        <v>5006</v>
      </c>
      <c r="X54">
        <v>5037</v>
      </c>
    </row>
    <row r="55" spans="1:24">
      <c r="A55" s="7" t="s">
        <v>127</v>
      </c>
      <c r="B55" s="16" t="s">
        <v>78</v>
      </c>
      <c r="C55">
        <v>44117733.541407019</v>
      </c>
      <c r="D55">
        <v>39250718.295722574</v>
      </c>
      <c r="E55">
        <v>42792.792792794004</v>
      </c>
      <c r="F55">
        <v>1324324.324324324</v>
      </c>
      <c r="G55">
        <v>19</v>
      </c>
      <c r="H55">
        <v>15</v>
      </c>
      <c r="I55">
        <v>4</v>
      </c>
      <c r="J55">
        <v>8</v>
      </c>
      <c r="K55">
        <v>1</v>
      </c>
      <c r="M55">
        <v>21</v>
      </c>
      <c r="N55">
        <v>20</v>
      </c>
      <c r="O55">
        <v>10700450.45045045</v>
      </c>
      <c r="P55">
        <v>18216216.216216218</v>
      </c>
      <c r="Q55">
        <v>18</v>
      </c>
      <c r="R55">
        <v>32</v>
      </c>
      <c r="S55">
        <v>24318783.783783782</v>
      </c>
      <c r="T55">
        <v>22997027.02702703</v>
      </c>
      <c r="U55">
        <v>11144864.864864863</v>
      </c>
      <c r="V55">
        <v>19642702.702702705</v>
      </c>
      <c r="W55">
        <v>1252</v>
      </c>
      <c r="X55">
        <v>1187</v>
      </c>
    </row>
    <row r="56" spans="1:24">
      <c r="A56" s="7" t="s">
        <v>128</v>
      </c>
      <c r="B56" s="16" t="s">
        <v>78</v>
      </c>
      <c r="C56">
        <v>238375477.95032504</v>
      </c>
      <c r="D56">
        <v>225889156.50930679</v>
      </c>
      <c r="E56">
        <v>1359684.6846846859</v>
      </c>
      <c r="F56">
        <v>2789864.86486487</v>
      </c>
      <c r="G56">
        <v>146</v>
      </c>
      <c r="H56">
        <v>156</v>
      </c>
      <c r="I56">
        <v>9</v>
      </c>
      <c r="J56">
        <v>12</v>
      </c>
      <c r="K56">
        <v>2</v>
      </c>
      <c r="M56">
        <v>210</v>
      </c>
      <c r="N56">
        <v>206</v>
      </c>
      <c r="O56">
        <v>26461261.261261258</v>
      </c>
      <c r="P56">
        <v>32235135.135135137</v>
      </c>
      <c r="Q56">
        <v>89</v>
      </c>
      <c r="R56">
        <v>136</v>
      </c>
      <c r="S56">
        <v>93195639.639639646</v>
      </c>
      <c r="T56">
        <v>87084899.0990991</v>
      </c>
      <c r="U56">
        <v>25862432.432432432</v>
      </c>
      <c r="V56">
        <v>30104414.414414413</v>
      </c>
      <c r="W56">
        <v>5746</v>
      </c>
      <c r="X56">
        <v>5726</v>
      </c>
    </row>
    <row r="57" spans="1:24">
      <c r="A57" s="7" t="s">
        <v>672</v>
      </c>
      <c r="B57" s="16" t="s">
        <v>94</v>
      </c>
      <c r="E57">
        <v>58851351.351351351</v>
      </c>
      <c r="F57">
        <v>56371621.621621624</v>
      </c>
      <c r="O57">
        <v>9894594.594594596</v>
      </c>
      <c r="P57">
        <v>10582432.432432432</v>
      </c>
    </row>
    <row r="58" spans="1:24">
      <c r="A58" s="7" t="s">
        <v>129</v>
      </c>
      <c r="B58" s="16" t="s">
        <v>85</v>
      </c>
      <c r="C58">
        <v>72358833.050830841</v>
      </c>
      <c r="D58">
        <v>66753043.540106274</v>
      </c>
      <c r="E58">
        <v>58558.558558557997</v>
      </c>
      <c r="F58">
        <v>187387.387387389</v>
      </c>
      <c r="G58">
        <v>27</v>
      </c>
      <c r="H58">
        <v>14</v>
      </c>
      <c r="I58">
        <v>4</v>
      </c>
      <c r="J58">
        <v>2</v>
      </c>
      <c r="M58">
        <v>27</v>
      </c>
      <c r="N58">
        <v>16</v>
      </c>
      <c r="O58">
        <v>74171171.171171173</v>
      </c>
      <c r="P58">
        <v>82147477.477477476</v>
      </c>
      <c r="Q58">
        <v>70</v>
      </c>
      <c r="R58">
        <v>50</v>
      </c>
      <c r="S58">
        <v>31309099.0990991</v>
      </c>
      <c r="T58">
        <v>31677369.369369369</v>
      </c>
      <c r="U58">
        <v>60995945.945945941</v>
      </c>
      <c r="V58">
        <v>66595585.585585587</v>
      </c>
      <c r="W58">
        <v>1160</v>
      </c>
      <c r="X58">
        <v>1319</v>
      </c>
    </row>
    <row r="59" spans="1:24">
      <c r="A59" s="7" t="s">
        <v>130</v>
      </c>
      <c r="B59" s="16" t="s">
        <v>89</v>
      </c>
      <c r="C59">
        <v>625951148.35620213</v>
      </c>
      <c r="D59">
        <v>618195429.51433873</v>
      </c>
      <c r="E59">
        <v>2198423.423423429</v>
      </c>
      <c r="F59">
        <v>4795945.9459459521</v>
      </c>
      <c r="G59">
        <v>82</v>
      </c>
      <c r="H59">
        <v>77</v>
      </c>
      <c r="I59">
        <v>22</v>
      </c>
      <c r="J59">
        <v>40</v>
      </c>
      <c r="K59">
        <v>1</v>
      </c>
      <c r="M59">
        <v>90</v>
      </c>
      <c r="N59">
        <v>107</v>
      </c>
      <c r="O59">
        <v>38231711.711711712</v>
      </c>
      <c r="P59">
        <v>45511261.261261262</v>
      </c>
      <c r="Q59">
        <v>256</v>
      </c>
      <c r="R59">
        <v>431</v>
      </c>
      <c r="S59">
        <v>188187781.98198199</v>
      </c>
      <c r="T59">
        <v>193261800</v>
      </c>
      <c r="U59">
        <v>37173466.666666664</v>
      </c>
      <c r="V59">
        <v>44140763.963963963</v>
      </c>
      <c r="W59">
        <v>10427</v>
      </c>
      <c r="X59">
        <v>10693</v>
      </c>
    </row>
    <row r="60" spans="1:24">
      <c r="A60" s="7" t="s">
        <v>131</v>
      </c>
      <c r="B60" s="16" t="s">
        <v>132</v>
      </c>
      <c r="C60">
        <v>372413632.08675671</v>
      </c>
      <c r="D60">
        <v>341049915.10300136</v>
      </c>
      <c r="E60">
        <v>198198.19819819901</v>
      </c>
      <c r="F60">
        <v>1600000.0000000009</v>
      </c>
      <c r="G60">
        <v>163</v>
      </c>
      <c r="H60">
        <v>189</v>
      </c>
      <c r="I60">
        <v>6</v>
      </c>
      <c r="J60">
        <v>8</v>
      </c>
      <c r="K60">
        <v>1</v>
      </c>
      <c r="M60">
        <v>176</v>
      </c>
      <c r="N60">
        <v>209</v>
      </c>
      <c r="O60">
        <v>28463963.963963963</v>
      </c>
      <c r="P60">
        <v>32677477.47747748</v>
      </c>
      <c r="Q60">
        <v>47</v>
      </c>
      <c r="R60">
        <v>56</v>
      </c>
      <c r="S60">
        <v>114857549.54954955</v>
      </c>
      <c r="T60">
        <v>107555213.96396397</v>
      </c>
      <c r="U60">
        <v>23273333.333333336</v>
      </c>
      <c r="V60">
        <v>31892072.072072074</v>
      </c>
      <c r="W60">
        <v>7323</v>
      </c>
      <c r="X60">
        <v>7191</v>
      </c>
    </row>
    <row r="61" spans="1:24">
      <c r="A61" s="7" t="s">
        <v>133</v>
      </c>
      <c r="B61" s="16" t="s">
        <v>134</v>
      </c>
      <c r="C61">
        <v>58760147.619502328</v>
      </c>
      <c r="D61">
        <v>38454247.800554499</v>
      </c>
      <c r="E61">
        <v>19819819.819819819</v>
      </c>
      <c r="F61">
        <v>26576576.576576576</v>
      </c>
      <c r="G61">
        <v>19</v>
      </c>
      <c r="H61">
        <v>3</v>
      </c>
      <c r="M61">
        <v>25</v>
      </c>
      <c r="N61">
        <v>3</v>
      </c>
      <c r="S61">
        <v>7819045.0450450452</v>
      </c>
      <c r="T61">
        <v>6398142.3423423423</v>
      </c>
      <c r="W61">
        <v>2265</v>
      </c>
      <c r="X61">
        <v>2236</v>
      </c>
    </row>
    <row r="62" spans="1:24">
      <c r="A62" s="7" t="s">
        <v>135</v>
      </c>
      <c r="B62" s="16" t="s">
        <v>136</v>
      </c>
      <c r="C62">
        <v>304319458.14113861</v>
      </c>
      <c r="D62">
        <v>278085221.46005094</v>
      </c>
      <c r="E62">
        <v>463963.96396396402</v>
      </c>
      <c r="F62">
        <v>1007207.20720721</v>
      </c>
      <c r="G62">
        <v>100</v>
      </c>
      <c r="H62">
        <v>74</v>
      </c>
      <c r="I62">
        <v>5</v>
      </c>
      <c r="J62">
        <v>4</v>
      </c>
      <c r="M62">
        <v>107</v>
      </c>
      <c r="N62">
        <v>82</v>
      </c>
      <c r="O62">
        <v>29798378.37837838</v>
      </c>
      <c r="P62">
        <v>25286486.486486487</v>
      </c>
      <c r="Q62">
        <v>23</v>
      </c>
      <c r="S62">
        <v>52207603.603603601</v>
      </c>
      <c r="T62">
        <v>43331369.369369365</v>
      </c>
      <c r="U62">
        <v>28210450.450450446</v>
      </c>
      <c r="V62">
        <v>20271981.981981985</v>
      </c>
      <c r="W62">
        <v>3512</v>
      </c>
      <c r="X62">
        <v>3516</v>
      </c>
    </row>
    <row r="63" spans="1:24">
      <c r="A63" s="7" t="s">
        <v>137</v>
      </c>
      <c r="B63" s="16" t="s">
        <v>89</v>
      </c>
      <c r="C63">
        <v>315105392.59054822</v>
      </c>
      <c r="D63">
        <v>303955206.12220538</v>
      </c>
      <c r="E63">
        <v>359684.68468468997</v>
      </c>
      <c r="F63">
        <v>4267342.3423423488</v>
      </c>
      <c r="G63">
        <v>43</v>
      </c>
      <c r="H63">
        <v>62</v>
      </c>
      <c r="I63">
        <v>29</v>
      </c>
      <c r="J63">
        <v>36</v>
      </c>
      <c r="K63">
        <v>4</v>
      </c>
      <c r="M63">
        <v>120</v>
      </c>
      <c r="N63">
        <v>260</v>
      </c>
      <c r="O63">
        <v>44029909.909909911</v>
      </c>
      <c r="P63">
        <v>56792432.432432435</v>
      </c>
      <c r="Q63">
        <v>345</v>
      </c>
      <c r="R63">
        <v>291</v>
      </c>
      <c r="S63">
        <v>108671036.03603603</v>
      </c>
      <c r="T63">
        <v>109247845.04504503</v>
      </c>
      <c r="U63">
        <v>43581981.981981985</v>
      </c>
      <c r="V63">
        <v>52293423.423423424</v>
      </c>
      <c r="W63">
        <v>4864</v>
      </c>
      <c r="X63">
        <v>4760</v>
      </c>
    </row>
    <row r="64" spans="1:24">
      <c r="A64" s="7" t="s">
        <v>138</v>
      </c>
      <c r="B64" s="16" t="s">
        <v>78</v>
      </c>
      <c r="C64">
        <v>230644531.74476632</v>
      </c>
      <c r="D64">
        <v>219914173.18298528</v>
      </c>
      <c r="E64">
        <v>33820450.45045045</v>
      </c>
      <c r="F64">
        <v>90913513.51351352</v>
      </c>
      <c r="G64">
        <v>99</v>
      </c>
      <c r="H64">
        <v>101</v>
      </c>
      <c r="I64">
        <v>9</v>
      </c>
      <c r="J64">
        <v>18</v>
      </c>
      <c r="K64">
        <v>5</v>
      </c>
      <c r="M64">
        <v>122</v>
      </c>
      <c r="N64">
        <v>129</v>
      </c>
      <c r="O64">
        <v>27811441.441441439</v>
      </c>
      <c r="P64">
        <v>32143243.24324324</v>
      </c>
      <c r="Q64">
        <v>51</v>
      </c>
      <c r="R64">
        <v>108</v>
      </c>
      <c r="S64">
        <v>97794234.234234244</v>
      </c>
      <c r="T64">
        <v>95246786.036036029</v>
      </c>
      <c r="U64">
        <v>26369009.009009011</v>
      </c>
      <c r="V64">
        <v>32058558.558558561</v>
      </c>
      <c r="W64">
        <v>5236</v>
      </c>
      <c r="X64">
        <v>5306</v>
      </c>
    </row>
    <row r="65" spans="1:24">
      <c r="A65" s="7" t="s">
        <v>139</v>
      </c>
      <c r="B65" s="16" t="s">
        <v>140</v>
      </c>
      <c r="C65">
        <v>295473826.82438505</v>
      </c>
      <c r="D65">
        <v>303287897.3108893</v>
      </c>
      <c r="E65">
        <v>2540540.5405405411</v>
      </c>
      <c r="F65">
        <v>3368468.4684684691</v>
      </c>
      <c r="G65">
        <v>35</v>
      </c>
      <c r="H65">
        <v>25</v>
      </c>
      <c r="I65">
        <v>2</v>
      </c>
      <c r="J65">
        <v>3</v>
      </c>
      <c r="M65">
        <v>35</v>
      </c>
      <c r="N65">
        <v>26</v>
      </c>
      <c r="O65">
        <v>32845945.945945945</v>
      </c>
      <c r="P65">
        <v>32234954.954954952</v>
      </c>
      <c r="Q65">
        <v>197</v>
      </c>
      <c r="R65">
        <v>65</v>
      </c>
      <c r="S65">
        <v>51014054.054054059</v>
      </c>
      <c r="T65">
        <v>54028864.864864863</v>
      </c>
      <c r="U65">
        <v>31789369.369369369</v>
      </c>
      <c r="V65">
        <v>26715945.945945948</v>
      </c>
      <c r="W65">
        <v>4384</v>
      </c>
      <c r="X65">
        <v>4485</v>
      </c>
    </row>
    <row r="66" spans="1:24">
      <c r="A66" s="7" t="s">
        <v>141</v>
      </c>
      <c r="B66" s="16" t="s">
        <v>62</v>
      </c>
      <c r="C66">
        <v>205326792.77935341</v>
      </c>
      <c r="D66">
        <v>201061043.9169628</v>
      </c>
      <c r="E66">
        <v>1424324.324324328</v>
      </c>
      <c r="F66">
        <v>3443132.4324324331</v>
      </c>
      <c r="G66">
        <v>48</v>
      </c>
      <c r="H66">
        <v>95</v>
      </c>
      <c r="I66">
        <v>9</v>
      </c>
      <c r="J66">
        <v>9</v>
      </c>
      <c r="M66">
        <v>58</v>
      </c>
      <c r="N66">
        <v>120</v>
      </c>
      <c r="O66">
        <v>118431621.62162161</v>
      </c>
      <c r="P66">
        <v>109580803.6036036</v>
      </c>
      <c r="Q66">
        <v>66</v>
      </c>
      <c r="R66">
        <v>63</v>
      </c>
      <c r="S66">
        <v>44903324.324324317</v>
      </c>
      <c r="T66">
        <v>44444000</v>
      </c>
      <c r="U66">
        <v>117358288.2882883</v>
      </c>
      <c r="V66">
        <v>111782522.52252252</v>
      </c>
      <c r="W66">
        <v>3845</v>
      </c>
      <c r="X66">
        <v>3907</v>
      </c>
    </row>
    <row r="67" spans="1:24">
      <c r="A67" s="7" t="s">
        <v>142</v>
      </c>
      <c r="B67" s="16" t="s">
        <v>143</v>
      </c>
      <c r="C67">
        <v>2357900.835204042</v>
      </c>
      <c r="D67">
        <v>2029193.053578662</v>
      </c>
      <c r="E67">
        <v>18018.018018018</v>
      </c>
      <c r="G67">
        <v>1</v>
      </c>
      <c r="H67">
        <v>1</v>
      </c>
      <c r="M67">
        <v>1</v>
      </c>
      <c r="N67">
        <v>1</v>
      </c>
      <c r="O67">
        <v>18018.018018018</v>
      </c>
      <c r="S67">
        <v>179054.054054054</v>
      </c>
      <c r="T67">
        <v>164504.50450450499</v>
      </c>
      <c r="W67">
        <v>144</v>
      </c>
      <c r="X67">
        <v>162</v>
      </c>
    </row>
    <row r="68" spans="1:24">
      <c r="A68" s="7" t="s">
        <v>144</v>
      </c>
      <c r="B68" s="16" t="s">
        <v>140</v>
      </c>
      <c r="C68">
        <v>436006338.13571894</v>
      </c>
      <c r="D68">
        <v>429635238.51832092</v>
      </c>
      <c r="E68">
        <v>660180.18018018198</v>
      </c>
      <c r="F68">
        <v>3111261.2612612629</v>
      </c>
      <c r="G68">
        <v>63</v>
      </c>
      <c r="H68">
        <v>102</v>
      </c>
      <c r="I68">
        <v>10</v>
      </c>
      <c r="J68">
        <v>12</v>
      </c>
      <c r="K68">
        <v>2</v>
      </c>
      <c r="M68">
        <v>72</v>
      </c>
      <c r="N68">
        <v>123</v>
      </c>
      <c r="O68">
        <v>51278198.198198199</v>
      </c>
      <c r="P68">
        <v>48181441.441441439</v>
      </c>
      <c r="Q68">
        <v>263</v>
      </c>
      <c r="R68">
        <v>248</v>
      </c>
      <c r="S68">
        <v>81372522.522522524</v>
      </c>
      <c r="T68">
        <v>80726909.909909904</v>
      </c>
      <c r="U68">
        <v>47984774.774774775</v>
      </c>
      <c r="V68">
        <v>46560090.090090089</v>
      </c>
      <c r="W68">
        <v>7377</v>
      </c>
      <c r="X68">
        <v>7505</v>
      </c>
    </row>
    <row r="69" spans="1:24">
      <c r="A69" s="7" t="s">
        <v>145</v>
      </c>
      <c r="B69" s="16" t="s">
        <v>78</v>
      </c>
      <c r="C69">
        <v>308794888.54321778</v>
      </c>
      <c r="D69">
        <v>307116468.68890101</v>
      </c>
      <c r="E69">
        <v>1714234.234234235</v>
      </c>
      <c r="F69">
        <v>4372072.0720720729</v>
      </c>
      <c r="G69">
        <v>66</v>
      </c>
      <c r="H69">
        <v>95</v>
      </c>
      <c r="I69">
        <v>7</v>
      </c>
      <c r="J69">
        <v>5</v>
      </c>
      <c r="M69">
        <v>73</v>
      </c>
      <c r="N69">
        <v>114</v>
      </c>
      <c r="O69">
        <v>31606126.126126125</v>
      </c>
      <c r="P69">
        <v>32339639.639639635</v>
      </c>
      <c r="Q69">
        <v>82</v>
      </c>
      <c r="R69">
        <v>106</v>
      </c>
      <c r="S69">
        <v>83667792.792792797</v>
      </c>
      <c r="T69">
        <v>87469882.882882878</v>
      </c>
      <c r="U69">
        <v>30538648.648648649</v>
      </c>
      <c r="V69">
        <v>33203423.423423421</v>
      </c>
      <c r="W69">
        <v>6286</v>
      </c>
      <c r="X69">
        <v>6366</v>
      </c>
    </row>
    <row r="70" spans="1:24">
      <c r="A70" s="7" t="s">
        <v>146</v>
      </c>
      <c r="B70" s="16" t="s">
        <v>147</v>
      </c>
      <c r="C70">
        <v>214213597.57191676</v>
      </c>
      <c r="D70">
        <v>202360811.98591828</v>
      </c>
      <c r="E70">
        <v>335135.13513513497</v>
      </c>
      <c r="F70">
        <v>4275675.6756756781</v>
      </c>
      <c r="G70">
        <v>46</v>
      </c>
      <c r="H70">
        <v>40</v>
      </c>
      <c r="I70">
        <v>10</v>
      </c>
      <c r="J70">
        <v>2</v>
      </c>
      <c r="M70">
        <v>52</v>
      </c>
      <c r="N70">
        <v>47</v>
      </c>
      <c r="O70">
        <v>22540900.9009009</v>
      </c>
      <c r="P70">
        <v>66451885.585585587</v>
      </c>
      <c r="Q70">
        <v>160</v>
      </c>
      <c r="R70">
        <v>34</v>
      </c>
      <c r="S70">
        <v>58794585.585585587</v>
      </c>
      <c r="T70">
        <v>65291837.837837838</v>
      </c>
      <c r="U70">
        <v>21679459.459459461</v>
      </c>
      <c r="V70">
        <v>65814864.864864863</v>
      </c>
      <c r="W70">
        <v>3755</v>
      </c>
      <c r="X70">
        <v>3803</v>
      </c>
    </row>
    <row r="71" spans="1:24">
      <c r="A71" s="7" t="s">
        <v>148</v>
      </c>
      <c r="B71" s="16" t="s">
        <v>94</v>
      </c>
      <c r="D71">
        <v>17.531949365999999</v>
      </c>
    </row>
    <row r="72" spans="1:24">
      <c r="A72" s="7" t="s">
        <v>149</v>
      </c>
      <c r="B72" s="16" t="s">
        <v>50</v>
      </c>
      <c r="C72">
        <v>176462715.16941017</v>
      </c>
      <c r="D72">
        <v>179363771.53268513</v>
      </c>
      <c r="E72">
        <v>237837.837837839</v>
      </c>
      <c r="F72">
        <v>785585.58558558603</v>
      </c>
      <c r="G72">
        <v>40</v>
      </c>
      <c r="H72">
        <v>58</v>
      </c>
      <c r="I72">
        <v>7</v>
      </c>
      <c r="J72">
        <v>3</v>
      </c>
      <c r="M72">
        <v>44</v>
      </c>
      <c r="N72">
        <v>61</v>
      </c>
      <c r="O72">
        <v>17983063.063063063</v>
      </c>
      <c r="P72">
        <v>11454504.504504504</v>
      </c>
      <c r="Q72">
        <v>24</v>
      </c>
      <c r="R72">
        <v>15</v>
      </c>
      <c r="S72">
        <v>80285315.315315306</v>
      </c>
      <c r="T72">
        <v>80078783.783783793</v>
      </c>
      <c r="U72">
        <v>19111081.081081081</v>
      </c>
      <c r="V72">
        <v>11409639.639639638</v>
      </c>
      <c r="W72">
        <v>3572</v>
      </c>
      <c r="X72">
        <v>3517</v>
      </c>
    </row>
    <row r="73" spans="1:24">
      <c r="A73" s="7" t="s">
        <v>150</v>
      </c>
      <c r="B73" s="16" t="s">
        <v>151</v>
      </c>
      <c r="C73">
        <v>53568359.863299102</v>
      </c>
      <c r="D73">
        <v>54382178.016146019</v>
      </c>
      <c r="E73">
        <v>357856708.1081081</v>
      </c>
      <c r="F73">
        <v>631822929.72972977</v>
      </c>
      <c r="G73">
        <v>13</v>
      </c>
      <c r="H73">
        <v>7</v>
      </c>
      <c r="I73">
        <v>9</v>
      </c>
      <c r="J73">
        <v>2</v>
      </c>
      <c r="M73">
        <v>13</v>
      </c>
      <c r="N73">
        <v>12</v>
      </c>
      <c r="O73">
        <v>105148558.55855855</v>
      </c>
      <c r="P73">
        <v>98126126.126126125</v>
      </c>
      <c r="Q73">
        <v>27</v>
      </c>
      <c r="R73">
        <v>17</v>
      </c>
      <c r="S73">
        <v>13762387.387387387</v>
      </c>
      <c r="T73">
        <v>15246657.657657657</v>
      </c>
      <c r="U73">
        <v>46291801.801801801</v>
      </c>
      <c r="V73">
        <v>25477927.927927926</v>
      </c>
      <c r="W73">
        <v>668</v>
      </c>
      <c r="X73">
        <v>699</v>
      </c>
    </row>
    <row r="74" spans="1:24">
      <c r="A74" s="7" t="s">
        <v>152</v>
      </c>
      <c r="B74" s="16" t="s">
        <v>151</v>
      </c>
      <c r="C74">
        <v>534795041.48963189</v>
      </c>
      <c r="D74">
        <v>532001606.19568062</v>
      </c>
      <c r="E74">
        <v>1659459.459459458</v>
      </c>
      <c r="F74">
        <v>8790765.7657657601</v>
      </c>
      <c r="G74">
        <v>179</v>
      </c>
      <c r="H74">
        <v>292</v>
      </c>
      <c r="I74">
        <v>28</v>
      </c>
      <c r="J74">
        <v>23</v>
      </c>
      <c r="M74">
        <v>192</v>
      </c>
      <c r="N74">
        <v>348</v>
      </c>
      <c r="O74">
        <v>582643603.6036036</v>
      </c>
      <c r="P74">
        <v>349227099.0990991</v>
      </c>
      <c r="Q74">
        <v>273</v>
      </c>
      <c r="R74">
        <v>348</v>
      </c>
      <c r="S74">
        <v>184404178.37837836</v>
      </c>
      <c r="T74">
        <v>191128054.05405405</v>
      </c>
      <c r="U74">
        <v>514393553.15315318</v>
      </c>
      <c r="V74">
        <v>289178908.1081081</v>
      </c>
      <c r="W74">
        <v>7816</v>
      </c>
      <c r="X74">
        <v>8275</v>
      </c>
    </row>
    <row r="75" spans="1:24">
      <c r="A75" s="7" t="s">
        <v>153</v>
      </c>
      <c r="B75" s="16" t="s">
        <v>154</v>
      </c>
      <c r="C75">
        <v>485666759.24437207</v>
      </c>
      <c r="D75">
        <v>452473882.07269001</v>
      </c>
      <c r="E75">
        <v>60877702.702702701</v>
      </c>
      <c r="F75">
        <v>128525900.9009009</v>
      </c>
      <c r="G75">
        <v>41</v>
      </c>
      <c r="H75">
        <v>66</v>
      </c>
      <c r="I75">
        <v>1</v>
      </c>
      <c r="J75">
        <v>1</v>
      </c>
      <c r="M75">
        <v>77</v>
      </c>
      <c r="N75">
        <v>75</v>
      </c>
      <c r="O75">
        <v>63376486.48648648</v>
      </c>
      <c r="P75">
        <v>62488288.288288288</v>
      </c>
      <c r="Q75">
        <v>86</v>
      </c>
      <c r="R75">
        <v>90</v>
      </c>
      <c r="S75">
        <v>211909818.01801801</v>
      </c>
      <c r="T75">
        <v>189193783.78378376</v>
      </c>
      <c r="U75">
        <v>60523063.063063063</v>
      </c>
      <c r="V75">
        <v>55098738.738738738</v>
      </c>
      <c r="W75">
        <v>6956</v>
      </c>
      <c r="X75">
        <v>6800</v>
      </c>
    </row>
    <row r="76" spans="1:24">
      <c r="A76" s="7" t="s">
        <v>155</v>
      </c>
      <c r="B76" s="16" t="s">
        <v>154</v>
      </c>
      <c r="C76">
        <v>69774565.775700808</v>
      </c>
      <c r="D76">
        <v>45861493.455804579</v>
      </c>
      <c r="E76">
        <v>44144.144144143997</v>
      </c>
      <c r="F76">
        <v>244144.144144144</v>
      </c>
      <c r="G76">
        <v>19</v>
      </c>
      <c r="H76">
        <v>11</v>
      </c>
      <c r="I76">
        <v>3</v>
      </c>
      <c r="J76">
        <v>2</v>
      </c>
      <c r="M76">
        <v>22</v>
      </c>
      <c r="N76">
        <v>12</v>
      </c>
      <c r="O76">
        <v>5009009.0090090092</v>
      </c>
      <c r="P76">
        <v>5353153.1531531531</v>
      </c>
      <c r="Q76">
        <v>11</v>
      </c>
      <c r="R76">
        <v>33</v>
      </c>
      <c r="S76">
        <v>19581576.576576576</v>
      </c>
      <c r="T76">
        <v>12303504.504504504</v>
      </c>
      <c r="U76">
        <v>5123873.8738738727</v>
      </c>
      <c r="V76">
        <v>4642522.5225225221</v>
      </c>
      <c r="W76">
        <v>1726</v>
      </c>
      <c r="X76">
        <v>1888</v>
      </c>
    </row>
    <row r="77" spans="1:24">
      <c r="A77" s="7" t="s">
        <v>156</v>
      </c>
      <c r="B77" s="16" t="s">
        <v>154</v>
      </c>
      <c r="C77">
        <v>636290424.02886307</v>
      </c>
      <c r="D77">
        <v>516146253.88858795</v>
      </c>
      <c r="E77">
        <v>191123749.54954955</v>
      </c>
      <c r="F77">
        <v>120876954.05405405</v>
      </c>
      <c r="G77">
        <v>94</v>
      </c>
      <c r="H77">
        <v>41</v>
      </c>
      <c r="I77">
        <v>10</v>
      </c>
      <c r="J77">
        <v>8</v>
      </c>
      <c r="M77">
        <v>190</v>
      </c>
      <c r="N77">
        <v>143</v>
      </c>
      <c r="O77">
        <v>201216963.96396396</v>
      </c>
      <c r="P77">
        <v>118646396.3963964</v>
      </c>
      <c r="Q77">
        <v>160</v>
      </c>
      <c r="R77">
        <v>183</v>
      </c>
      <c r="S77">
        <v>246603502.7027027</v>
      </c>
      <c r="T77">
        <v>200480828.82882884</v>
      </c>
      <c r="U77">
        <v>178930990.99099097</v>
      </c>
      <c r="V77">
        <v>112257657.65765767</v>
      </c>
      <c r="W77">
        <v>8344</v>
      </c>
      <c r="X77">
        <v>8855</v>
      </c>
    </row>
    <row r="78" spans="1:24">
      <c r="A78" s="7" t="s">
        <v>157</v>
      </c>
      <c r="B78" s="16" t="s">
        <v>134</v>
      </c>
      <c r="C78">
        <v>244306233.0268029</v>
      </c>
      <c r="D78">
        <v>240719473.36032194</v>
      </c>
      <c r="E78">
        <v>752252.25225225498</v>
      </c>
      <c r="F78">
        <v>1120720.720720724</v>
      </c>
      <c r="G78">
        <v>58</v>
      </c>
      <c r="H78">
        <v>45</v>
      </c>
      <c r="I78">
        <v>14</v>
      </c>
      <c r="J78">
        <v>7</v>
      </c>
      <c r="K78">
        <v>1</v>
      </c>
      <c r="M78">
        <v>65</v>
      </c>
      <c r="N78">
        <v>51</v>
      </c>
      <c r="O78">
        <v>29563063.063063063</v>
      </c>
      <c r="P78">
        <v>29404512.612612613</v>
      </c>
      <c r="Q78">
        <v>129</v>
      </c>
      <c r="R78">
        <v>332</v>
      </c>
      <c r="S78">
        <v>22091486.486486487</v>
      </c>
      <c r="T78">
        <v>23768153.153153151</v>
      </c>
      <c r="U78">
        <v>10352252.252252253</v>
      </c>
      <c r="V78">
        <v>16121081.081081079</v>
      </c>
      <c r="W78">
        <v>4573</v>
      </c>
      <c r="X78">
        <v>4433</v>
      </c>
    </row>
    <row r="79" spans="1:24">
      <c r="A79" s="7" t="s">
        <v>1</v>
      </c>
      <c r="B79" s="16" t="s">
        <v>158</v>
      </c>
      <c r="C79">
        <v>431705383.22211784</v>
      </c>
      <c r="D79">
        <v>433660249.52277035</v>
      </c>
      <c r="E79">
        <v>568918.91891891998</v>
      </c>
      <c r="F79">
        <v>3298198.1981982011</v>
      </c>
      <c r="G79">
        <v>353</v>
      </c>
      <c r="H79">
        <v>159</v>
      </c>
      <c r="I79">
        <v>21</v>
      </c>
      <c r="J79">
        <v>9</v>
      </c>
      <c r="K79">
        <v>2</v>
      </c>
      <c r="M79">
        <v>770</v>
      </c>
      <c r="N79">
        <v>520</v>
      </c>
      <c r="O79">
        <v>50842432.432432435</v>
      </c>
      <c r="P79">
        <v>51401531.531531535</v>
      </c>
      <c r="Q79">
        <v>220</v>
      </c>
      <c r="R79">
        <v>211</v>
      </c>
      <c r="S79">
        <v>207087520.72072074</v>
      </c>
      <c r="T79">
        <v>205689081.08108109</v>
      </c>
      <c r="U79">
        <v>48768918.918918923</v>
      </c>
      <c r="V79">
        <v>47829459.459459461</v>
      </c>
      <c r="W79">
        <v>8301</v>
      </c>
      <c r="X79">
        <v>8117</v>
      </c>
    </row>
    <row r="80" spans="1:24">
      <c r="A80" s="7" t="s">
        <v>159</v>
      </c>
      <c r="B80" s="16" t="s">
        <v>121</v>
      </c>
      <c r="C80">
        <v>20803746.53760007</v>
      </c>
      <c r="D80">
        <v>15925977.16574079</v>
      </c>
      <c r="E80">
        <v>6306.3063063059999</v>
      </c>
      <c r="G80">
        <v>59</v>
      </c>
      <c r="H80">
        <v>8</v>
      </c>
      <c r="I80">
        <v>0</v>
      </c>
      <c r="M80">
        <v>62</v>
      </c>
      <c r="N80">
        <v>8</v>
      </c>
      <c r="O80">
        <v>979279.27927927906</v>
      </c>
      <c r="Q80">
        <v>8</v>
      </c>
      <c r="S80">
        <v>3180720.7207207209</v>
      </c>
      <c r="T80">
        <v>1491036.036036036</v>
      </c>
      <c r="U80">
        <v>573243.24324324296</v>
      </c>
      <c r="V80">
        <v>29729.729729729999</v>
      </c>
      <c r="W80">
        <v>668</v>
      </c>
      <c r="X80">
        <v>559</v>
      </c>
    </row>
    <row r="81" spans="1:24">
      <c r="A81" s="7" t="s">
        <v>160</v>
      </c>
      <c r="B81" s="16" t="s">
        <v>161</v>
      </c>
      <c r="C81">
        <v>222826735.19812515</v>
      </c>
      <c r="D81">
        <v>229780769.16274655</v>
      </c>
      <c r="E81">
        <v>166282475.67567569</v>
      </c>
      <c r="F81">
        <v>156839331.53153154</v>
      </c>
      <c r="G81">
        <v>123</v>
      </c>
      <c r="H81">
        <v>132</v>
      </c>
      <c r="I81">
        <v>41</v>
      </c>
      <c r="J81">
        <v>22</v>
      </c>
      <c r="M81">
        <v>373</v>
      </c>
      <c r="N81">
        <v>257</v>
      </c>
      <c r="O81">
        <v>72867762.162162155</v>
      </c>
      <c r="P81">
        <v>96700017.117117122</v>
      </c>
      <c r="Q81">
        <v>343</v>
      </c>
      <c r="R81">
        <v>349</v>
      </c>
      <c r="S81">
        <v>99422810.810810819</v>
      </c>
      <c r="T81">
        <v>100838738.73873873</v>
      </c>
      <c r="U81">
        <v>64434234.234234229</v>
      </c>
      <c r="V81">
        <v>80351981.981981978</v>
      </c>
      <c r="W81">
        <v>5940</v>
      </c>
      <c r="X81">
        <v>5928</v>
      </c>
    </row>
    <row r="82" spans="1:24">
      <c r="A82" s="7" t="s">
        <v>162</v>
      </c>
      <c r="B82" s="16" t="s">
        <v>76</v>
      </c>
      <c r="C82">
        <v>104607332.64703079</v>
      </c>
      <c r="D82">
        <v>102691414.25588381</v>
      </c>
      <c r="E82">
        <v>191891.89189189201</v>
      </c>
      <c r="F82">
        <v>367567.56756756798</v>
      </c>
      <c r="G82">
        <v>22</v>
      </c>
      <c r="H82">
        <v>46</v>
      </c>
      <c r="I82">
        <v>1</v>
      </c>
      <c r="J82">
        <v>1</v>
      </c>
      <c r="M82">
        <v>24</v>
      </c>
      <c r="N82">
        <v>50</v>
      </c>
      <c r="O82">
        <v>1466666.666666667</v>
      </c>
      <c r="P82">
        <v>1691891.8918918921</v>
      </c>
      <c r="Q82">
        <v>11</v>
      </c>
      <c r="R82">
        <v>9</v>
      </c>
      <c r="S82">
        <v>5994864.8648648653</v>
      </c>
      <c r="T82">
        <v>5650252.2522522518</v>
      </c>
      <c r="U82">
        <v>1463333.333333333</v>
      </c>
      <c r="V82">
        <v>1483513.5135135141</v>
      </c>
      <c r="W82">
        <v>982</v>
      </c>
      <c r="X82">
        <v>943</v>
      </c>
    </row>
    <row r="83" spans="1:24">
      <c r="A83" s="7" t="s">
        <v>163</v>
      </c>
      <c r="B83" s="16" t="s">
        <v>52</v>
      </c>
      <c r="C83">
        <v>79195975.406458527</v>
      </c>
      <c r="D83">
        <v>79779828.372623757</v>
      </c>
      <c r="E83">
        <v>944819.81981982</v>
      </c>
      <c r="F83">
        <v>1254954.954954956</v>
      </c>
      <c r="G83">
        <v>10</v>
      </c>
      <c r="H83">
        <v>23</v>
      </c>
      <c r="I83">
        <v>1</v>
      </c>
      <c r="J83">
        <v>4</v>
      </c>
      <c r="M83">
        <v>12</v>
      </c>
      <c r="N83">
        <v>28</v>
      </c>
      <c r="O83">
        <v>1867567.567567568</v>
      </c>
      <c r="P83">
        <v>1507207.207207208</v>
      </c>
      <c r="Q83">
        <v>2</v>
      </c>
      <c r="R83">
        <v>16</v>
      </c>
      <c r="S83">
        <v>39440036.036036029</v>
      </c>
      <c r="T83">
        <v>38915090.090090089</v>
      </c>
      <c r="U83">
        <v>1712162.1621621619</v>
      </c>
      <c r="V83">
        <v>1642972.9729729739</v>
      </c>
      <c r="W83">
        <v>1491</v>
      </c>
      <c r="X83">
        <v>1551</v>
      </c>
    </row>
    <row r="84" spans="1:24">
      <c r="A84" s="7" t="s">
        <v>164</v>
      </c>
      <c r="B84" s="16" t="s">
        <v>87</v>
      </c>
      <c r="C84">
        <v>68935062.47837016</v>
      </c>
      <c r="D84">
        <v>42044813.351893581</v>
      </c>
      <c r="E84">
        <v>48648.648648649003</v>
      </c>
      <c r="F84">
        <v>422522.52252252301</v>
      </c>
      <c r="G84">
        <v>93</v>
      </c>
      <c r="H84">
        <v>13</v>
      </c>
      <c r="I84">
        <v>1</v>
      </c>
      <c r="J84">
        <v>1</v>
      </c>
      <c r="M84">
        <v>100</v>
      </c>
      <c r="N84">
        <v>16</v>
      </c>
      <c r="O84">
        <v>1913513.5135135129</v>
      </c>
      <c r="P84">
        <v>3480180.1801801799</v>
      </c>
      <c r="Q84">
        <v>30</v>
      </c>
      <c r="R84">
        <v>152</v>
      </c>
      <c r="S84">
        <v>6595720.7207207214</v>
      </c>
      <c r="T84">
        <v>4193063.0630630632</v>
      </c>
      <c r="U84">
        <v>2334594.594594595</v>
      </c>
      <c r="V84">
        <v>3067657.6576576582</v>
      </c>
      <c r="W84">
        <v>1218</v>
      </c>
      <c r="X84">
        <v>1165</v>
      </c>
    </row>
    <row r="85" spans="1:24">
      <c r="A85" s="7" t="s">
        <v>165</v>
      </c>
      <c r="B85" s="16" t="s">
        <v>143</v>
      </c>
      <c r="C85">
        <v>12315807.498697363</v>
      </c>
      <c r="D85">
        <v>13763709.555183064</v>
      </c>
      <c r="E85">
        <v>212469158.55855855</v>
      </c>
      <c r="F85">
        <v>105635074.77477477</v>
      </c>
      <c r="G85">
        <v>6</v>
      </c>
      <c r="H85">
        <v>10</v>
      </c>
      <c r="I85">
        <v>3</v>
      </c>
      <c r="J85">
        <v>2</v>
      </c>
      <c r="M85">
        <v>8</v>
      </c>
      <c r="N85">
        <v>10</v>
      </c>
      <c r="O85">
        <v>17963063.063063063</v>
      </c>
      <c r="P85">
        <v>34067567.567567565</v>
      </c>
      <c r="Q85">
        <v>25</v>
      </c>
      <c r="R85">
        <v>11</v>
      </c>
      <c r="S85">
        <v>1755315.315315315</v>
      </c>
      <c r="T85">
        <v>1528216.2162162161</v>
      </c>
      <c r="U85">
        <v>2044684.684684684</v>
      </c>
      <c r="V85">
        <v>875855.85585585597</v>
      </c>
      <c r="W85">
        <v>328</v>
      </c>
      <c r="X85">
        <v>348</v>
      </c>
    </row>
    <row r="86" spans="1:24">
      <c r="A86" s="7" t="s">
        <v>166</v>
      </c>
      <c r="B86" s="16" t="s">
        <v>167</v>
      </c>
      <c r="C86">
        <v>53040272.393497281</v>
      </c>
      <c r="D86">
        <v>55489483.593507499</v>
      </c>
      <c r="E86">
        <v>169409909.90990993</v>
      </c>
      <c r="F86">
        <v>6384684.6846846854</v>
      </c>
      <c r="G86">
        <v>24</v>
      </c>
      <c r="H86">
        <v>15</v>
      </c>
      <c r="I86">
        <v>3</v>
      </c>
      <c r="J86">
        <v>2</v>
      </c>
      <c r="M86">
        <v>27</v>
      </c>
      <c r="N86">
        <v>18</v>
      </c>
      <c r="O86">
        <v>7476430.6306306319</v>
      </c>
      <c r="P86">
        <v>6256306.3063063072</v>
      </c>
      <c r="R86">
        <v>32</v>
      </c>
      <c r="S86">
        <v>24620360.360360362</v>
      </c>
      <c r="T86">
        <v>26669421.621621624</v>
      </c>
      <c r="U86">
        <v>5839279.2792792814</v>
      </c>
      <c r="V86">
        <v>4839639.6396396384</v>
      </c>
      <c r="W86">
        <v>1339</v>
      </c>
      <c r="X86">
        <v>1418</v>
      </c>
    </row>
    <row r="87" spans="1:24">
      <c r="A87" s="7" t="s">
        <v>168</v>
      </c>
      <c r="B87" s="16" t="s">
        <v>169</v>
      </c>
      <c r="C87">
        <v>254057092.47418121</v>
      </c>
      <c r="D87">
        <v>261036964.48284334</v>
      </c>
      <c r="E87">
        <v>572679279.27927935</v>
      </c>
      <c r="F87">
        <v>76650450.45045045</v>
      </c>
      <c r="G87">
        <v>70</v>
      </c>
      <c r="H87">
        <v>35</v>
      </c>
      <c r="I87">
        <v>7</v>
      </c>
      <c r="J87">
        <v>3</v>
      </c>
      <c r="K87">
        <v>1</v>
      </c>
      <c r="M87">
        <v>84</v>
      </c>
      <c r="N87">
        <v>55</v>
      </c>
      <c r="O87">
        <v>37504594.59459459</v>
      </c>
      <c r="P87">
        <v>49125745.045045041</v>
      </c>
      <c r="Q87">
        <v>125</v>
      </c>
      <c r="R87">
        <v>29</v>
      </c>
      <c r="S87">
        <v>70582099.0990991</v>
      </c>
      <c r="T87">
        <v>80951614.864864871</v>
      </c>
      <c r="U87">
        <v>29541981.981981985</v>
      </c>
      <c r="V87">
        <v>41416576.576576576</v>
      </c>
      <c r="W87">
        <v>6976</v>
      </c>
      <c r="X87">
        <v>7317</v>
      </c>
    </row>
    <row r="88" spans="1:24">
      <c r="A88" s="7" t="s">
        <v>170</v>
      </c>
      <c r="B88" s="16" t="s">
        <v>54</v>
      </c>
      <c r="C88">
        <v>38673868.913649626</v>
      </c>
      <c r="D88">
        <v>38547765.391626485</v>
      </c>
      <c r="E88">
        <v>45945.945945947002</v>
      </c>
      <c r="F88">
        <v>381981.98198198201</v>
      </c>
      <c r="G88">
        <v>6</v>
      </c>
      <c r="H88">
        <v>3</v>
      </c>
      <c r="I88">
        <v>2</v>
      </c>
      <c r="J88">
        <v>1</v>
      </c>
      <c r="M88">
        <v>9</v>
      </c>
      <c r="N88">
        <v>3</v>
      </c>
      <c r="O88">
        <v>6960360.3603603607</v>
      </c>
      <c r="P88">
        <v>4393243.2432432426</v>
      </c>
      <c r="Q88">
        <v>18</v>
      </c>
      <c r="R88">
        <v>6</v>
      </c>
      <c r="S88">
        <v>6306441.4414414419</v>
      </c>
      <c r="T88">
        <v>6274369.369369369</v>
      </c>
      <c r="U88">
        <v>5260810.81081081</v>
      </c>
      <c r="V88">
        <v>3750720.72072072</v>
      </c>
      <c r="W88">
        <v>664</v>
      </c>
      <c r="X88">
        <v>721</v>
      </c>
    </row>
    <row r="89" spans="1:24">
      <c r="A89" s="7" t="s">
        <v>171</v>
      </c>
      <c r="B89" s="16" t="s">
        <v>60</v>
      </c>
      <c r="C89">
        <v>838707482.08144379</v>
      </c>
      <c r="D89">
        <v>816005496.56626034</v>
      </c>
      <c r="E89">
        <v>5311036.0360360406</v>
      </c>
      <c r="F89">
        <v>10152927.927927932</v>
      </c>
      <c r="G89">
        <v>122</v>
      </c>
      <c r="H89">
        <v>217</v>
      </c>
      <c r="I89">
        <v>34</v>
      </c>
      <c r="J89">
        <v>42</v>
      </c>
      <c r="M89">
        <v>140</v>
      </c>
      <c r="N89">
        <v>254</v>
      </c>
      <c r="O89">
        <v>46109009.009009011</v>
      </c>
      <c r="P89">
        <v>40464864.864864863</v>
      </c>
      <c r="Q89">
        <v>277</v>
      </c>
      <c r="R89">
        <v>243</v>
      </c>
      <c r="S89">
        <v>290765202.7027027</v>
      </c>
      <c r="T89">
        <v>301684963.96396399</v>
      </c>
      <c r="U89">
        <v>48197117.117117114</v>
      </c>
      <c r="V89">
        <v>39392432.432432435</v>
      </c>
      <c r="W89">
        <v>11641</v>
      </c>
      <c r="X89">
        <v>12559</v>
      </c>
    </row>
    <row r="90" spans="1:24">
      <c r="A90" s="7" t="s">
        <v>172</v>
      </c>
      <c r="B90" s="16" t="s">
        <v>121</v>
      </c>
      <c r="C90">
        <v>354271323.98753542</v>
      </c>
      <c r="D90">
        <v>336522041.25280446</v>
      </c>
      <c r="E90">
        <v>1197297.297297301</v>
      </c>
      <c r="F90">
        <v>2552252.2522522518</v>
      </c>
      <c r="G90">
        <v>238</v>
      </c>
      <c r="H90">
        <v>151</v>
      </c>
      <c r="I90">
        <v>18</v>
      </c>
      <c r="J90">
        <v>15</v>
      </c>
      <c r="M90">
        <v>254</v>
      </c>
      <c r="N90">
        <v>168</v>
      </c>
      <c r="O90">
        <v>99247747.747747749</v>
      </c>
      <c r="P90">
        <v>23349549.54954955</v>
      </c>
      <c r="Q90">
        <v>390</v>
      </c>
      <c r="R90">
        <v>158</v>
      </c>
      <c r="S90">
        <v>50954009.009009011</v>
      </c>
      <c r="T90">
        <v>46176385.135135137</v>
      </c>
      <c r="U90">
        <v>94436756.756756753</v>
      </c>
      <c r="V90">
        <v>15875495.495495496</v>
      </c>
      <c r="W90">
        <v>5675</v>
      </c>
      <c r="X90">
        <v>5773</v>
      </c>
    </row>
    <row r="91" spans="1:24">
      <c r="A91" s="7" t="s">
        <v>173</v>
      </c>
      <c r="B91" s="16" t="s">
        <v>174</v>
      </c>
      <c r="C91">
        <v>248640029.08047161</v>
      </c>
      <c r="D91">
        <v>238323285.93143004</v>
      </c>
      <c r="E91">
        <v>2485810.8108108132</v>
      </c>
      <c r="F91">
        <v>6054729.7297297297</v>
      </c>
      <c r="G91">
        <v>83</v>
      </c>
      <c r="H91">
        <v>51</v>
      </c>
      <c r="I91">
        <v>17</v>
      </c>
      <c r="J91">
        <v>15</v>
      </c>
      <c r="K91">
        <v>5</v>
      </c>
      <c r="M91">
        <v>90</v>
      </c>
      <c r="N91">
        <v>166</v>
      </c>
      <c r="O91">
        <v>37340045.045045048</v>
      </c>
      <c r="P91">
        <v>39311261.261261262</v>
      </c>
      <c r="Q91">
        <v>430</v>
      </c>
      <c r="R91">
        <v>539</v>
      </c>
      <c r="S91">
        <v>32038531.531531531</v>
      </c>
      <c r="T91">
        <v>30063153.153153151</v>
      </c>
      <c r="U91">
        <v>29726846.846846849</v>
      </c>
      <c r="V91">
        <v>36263243.243243247</v>
      </c>
      <c r="W91">
        <v>4620</v>
      </c>
      <c r="X91">
        <v>4530</v>
      </c>
    </row>
    <row r="92" spans="1:24">
      <c r="A92" s="7" t="s">
        <v>175</v>
      </c>
      <c r="B92" s="16" t="s">
        <v>174</v>
      </c>
      <c r="C92">
        <v>379453477.72450572</v>
      </c>
      <c r="D92">
        <v>373478075.37815022</v>
      </c>
      <c r="E92">
        <v>900000.00000000605</v>
      </c>
      <c r="F92">
        <v>2970045.0450450489</v>
      </c>
      <c r="G92">
        <v>152</v>
      </c>
      <c r="H92">
        <v>141</v>
      </c>
      <c r="I92">
        <v>33</v>
      </c>
      <c r="J92">
        <v>17</v>
      </c>
      <c r="K92">
        <v>1</v>
      </c>
      <c r="M92">
        <v>211</v>
      </c>
      <c r="N92">
        <v>205</v>
      </c>
      <c r="O92">
        <v>62947783.783783779</v>
      </c>
      <c r="P92">
        <v>52718018.018018015</v>
      </c>
      <c r="Q92">
        <v>391</v>
      </c>
      <c r="R92">
        <v>344</v>
      </c>
      <c r="S92">
        <v>66219931.531531535</v>
      </c>
      <c r="T92">
        <v>62946918.918918923</v>
      </c>
      <c r="U92">
        <v>53951167.567567565</v>
      </c>
      <c r="V92">
        <v>46494007.20720721</v>
      </c>
      <c r="W92">
        <v>8552</v>
      </c>
      <c r="X92">
        <v>8373</v>
      </c>
    </row>
    <row r="93" spans="1:24">
      <c r="A93" s="7" t="s">
        <v>176</v>
      </c>
      <c r="B93" s="16" t="s">
        <v>174</v>
      </c>
      <c r="C93">
        <v>511604463.54290289</v>
      </c>
      <c r="D93">
        <v>510296331.50133604</v>
      </c>
      <c r="E93">
        <v>149854549.54954955</v>
      </c>
      <c r="F93">
        <v>138347227.92792794</v>
      </c>
      <c r="G93">
        <v>268</v>
      </c>
      <c r="H93">
        <v>238</v>
      </c>
      <c r="I93">
        <v>21</v>
      </c>
      <c r="J93">
        <v>19</v>
      </c>
      <c r="K93">
        <v>5</v>
      </c>
      <c r="M93">
        <v>314</v>
      </c>
      <c r="N93">
        <v>302</v>
      </c>
      <c r="O93">
        <v>85538745.945945933</v>
      </c>
      <c r="P93">
        <v>71041891.891891897</v>
      </c>
      <c r="Q93">
        <v>411</v>
      </c>
      <c r="R93">
        <v>239</v>
      </c>
      <c r="S93">
        <v>88576680.180180177</v>
      </c>
      <c r="T93">
        <v>77542236.936936945</v>
      </c>
      <c r="U93">
        <v>49480000</v>
      </c>
      <c r="V93">
        <v>44054504.504504502</v>
      </c>
      <c r="W93">
        <v>11614</v>
      </c>
      <c r="X93">
        <v>11870</v>
      </c>
    </row>
    <row r="94" spans="1:24">
      <c r="A94" s="7" t="s">
        <v>177</v>
      </c>
      <c r="B94" s="16" t="s">
        <v>178</v>
      </c>
      <c r="C94">
        <v>183792320.88501906</v>
      </c>
      <c r="D94">
        <v>174666932.20346707</v>
      </c>
      <c r="E94">
        <v>813513.51351351396</v>
      </c>
      <c r="F94">
        <v>508108.10810810799</v>
      </c>
      <c r="G94">
        <v>64</v>
      </c>
      <c r="H94">
        <v>32</v>
      </c>
      <c r="I94">
        <v>1</v>
      </c>
      <c r="J94">
        <v>5</v>
      </c>
      <c r="M94">
        <v>76</v>
      </c>
      <c r="N94">
        <v>41</v>
      </c>
      <c r="O94">
        <v>8249635.1351351347</v>
      </c>
      <c r="P94">
        <v>9901666.6666666679</v>
      </c>
      <c r="Q94">
        <v>39</v>
      </c>
      <c r="R94">
        <v>19</v>
      </c>
      <c r="S94">
        <v>64405763.963963971</v>
      </c>
      <c r="T94">
        <v>69385574.774774775</v>
      </c>
      <c r="U94">
        <v>5983153.1531531541</v>
      </c>
      <c r="V94">
        <v>9519054.0540540535</v>
      </c>
      <c r="W94">
        <v>3763</v>
      </c>
      <c r="X94">
        <v>3749</v>
      </c>
    </row>
    <row r="95" spans="1:24">
      <c r="A95" s="7" t="s">
        <v>179</v>
      </c>
      <c r="B95" s="16" t="s">
        <v>167</v>
      </c>
      <c r="C95">
        <v>232918324.92666724</v>
      </c>
      <c r="D95">
        <v>204319697.27588087</v>
      </c>
      <c r="E95">
        <v>634234.23423423595</v>
      </c>
      <c r="F95">
        <v>2315090.0900900899</v>
      </c>
      <c r="G95">
        <v>123</v>
      </c>
      <c r="H95">
        <v>28</v>
      </c>
      <c r="I95">
        <v>1</v>
      </c>
      <c r="J95">
        <v>2</v>
      </c>
      <c r="M95">
        <v>142</v>
      </c>
      <c r="N95">
        <v>50</v>
      </c>
      <c r="O95">
        <v>7098918.9189189207</v>
      </c>
      <c r="P95">
        <v>5534234.2342342352</v>
      </c>
      <c r="Q95">
        <v>43</v>
      </c>
      <c r="S95">
        <v>57544738.738738738</v>
      </c>
      <c r="T95">
        <v>50928342.342342347</v>
      </c>
      <c r="U95">
        <v>8953243.2432432454</v>
      </c>
      <c r="V95">
        <v>3740090.0900900932</v>
      </c>
      <c r="W95">
        <v>4847</v>
      </c>
      <c r="X95">
        <v>4519</v>
      </c>
    </row>
    <row r="96" spans="1:24">
      <c r="A96" s="7" t="s">
        <v>180</v>
      </c>
      <c r="B96" s="16" t="s">
        <v>181</v>
      </c>
      <c r="C96">
        <v>174948583.52148476</v>
      </c>
      <c r="D96">
        <v>163703559.43443453</v>
      </c>
      <c r="E96">
        <v>907207.20720720803</v>
      </c>
      <c r="F96">
        <v>376576.57657657698</v>
      </c>
      <c r="G96">
        <v>23</v>
      </c>
      <c r="H96">
        <v>21</v>
      </c>
      <c r="I96">
        <v>1</v>
      </c>
      <c r="J96">
        <v>1</v>
      </c>
      <c r="M96">
        <v>25</v>
      </c>
      <c r="N96">
        <v>28</v>
      </c>
      <c r="O96">
        <v>9615765.7657657638</v>
      </c>
      <c r="P96">
        <v>7786306.3063063025</v>
      </c>
      <c r="Q96">
        <v>43</v>
      </c>
      <c r="R96">
        <v>54</v>
      </c>
      <c r="S96">
        <v>36672882.882882878</v>
      </c>
      <c r="T96">
        <v>40708740.990990989</v>
      </c>
      <c r="U96">
        <v>13017207.207207208</v>
      </c>
      <c r="V96">
        <v>11024144.14414414</v>
      </c>
      <c r="W96">
        <v>3020</v>
      </c>
      <c r="X96">
        <v>3059</v>
      </c>
    </row>
    <row r="97" spans="1:24">
      <c r="A97" s="7" t="s">
        <v>673</v>
      </c>
      <c r="B97" s="16" t="s">
        <v>260</v>
      </c>
      <c r="E97">
        <v>436148534.23423421</v>
      </c>
      <c r="F97">
        <v>413845855.85585588</v>
      </c>
      <c r="P97">
        <v>54846846.846846849</v>
      </c>
    </row>
    <row r="98" spans="1:24">
      <c r="A98" s="7" t="s">
        <v>182</v>
      </c>
      <c r="B98" s="16" t="s">
        <v>94</v>
      </c>
      <c r="C98">
        <v>156354782.06223103</v>
      </c>
      <c r="D98">
        <v>158259867.43737066</v>
      </c>
      <c r="E98">
        <v>141441.44144144101</v>
      </c>
      <c r="F98">
        <v>54054.054054054002</v>
      </c>
      <c r="G98">
        <v>72</v>
      </c>
      <c r="H98">
        <v>46</v>
      </c>
      <c r="I98">
        <v>0</v>
      </c>
      <c r="J98">
        <v>0</v>
      </c>
      <c r="K98">
        <v>1</v>
      </c>
      <c r="M98">
        <v>80</v>
      </c>
      <c r="N98">
        <v>55</v>
      </c>
      <c r="O98">
        <v>141441.44144144101</v>
      </c>
      <c r="P98">
        <v>4477477.4774774769</v>
      </c>
      <c r="R98">
        <v>17</v>
      </c>
      <c r="S98">
        <v>13751036.036036037</v>
      </c>
      <c r="T98">
        <v>16791297.297297295</v>
      </c>
      <c r="U98">
        <v>1087477.4774774781</v>
      </c>
      <c r="V98">
        <v>1819459.4594594589</v>
      </c>
      <c r="W98">
        <v>3778</v>
      </c>
      <c r="X98">
        <v>3802</v>
      </c>
    </row>
    <row r="99" spans="1:24">
      <c r="A99" s="7" t="s">
        <v>183</v>
      </c>
      <c r="B99" s="16" t="s">
        <v>94</v>
      </c>
      <c r="C99">
        <v>1039792783.1795062</v>
      </c>
      <c r="D99">
        <v>976769286.54109311</v>
      </c>
      <c r="E99">
        <v>545327672.97297299</v>
      </c>
      <c r="F99">
        <v>1066928718.918919</v>
      </c>
      <c r="G99">
        <v>253</v>
      </c>
      <c r="H99">
        <v>197</v>
      </c>
      <c r="I99">
        <v>32</v>
      </c>
      <c r="J99">
        <v>26</v>
      </c>
      <c r="K99">
        <v>2</v>
      </c>
      <c r="M99">
        <v>285</v>
      </c>
      <c r="N99">
        <v>238</v>
      </c>
      <c r="O99">
        <v>58391261.261261262</v>
      </c>
      <c r="P99">
        <v>66560360.360360354</v>
      </c>
      <c r="Q99">
        <v>227</v>
      </c>
      <c r="R99">
        <v>528</v>
      </c>
      <c r="S99">
        <v>120248716.21621622</v>
      </c>
      <c r="T99">
        <v>119563995.94594595</v>
      </c>
      <c r="U99">
        <v>48780720.720720723</v>
      </c>
      <c r="V99">
        <v>54591261.261261262</v>
      </c>
      <c r="W99">
        <v>16033</v>
      </c>
      <c r="X99">
        <v>16337</v>
      </c>
    </row>
    <row r="100" spans="1:24">
      <c r="A100" s="7" t="s">
        <v>184</v>
      </c>
      <c r="B100" s="16" t="s">
        <v>89</v>
      </c>
      <c r="C100">
        <v>93782373.046903804</v>
      </c>
      <c r="D100">
        <v>88939825.937320873</v>
      </c>
      <c r="E100">
        <v>1047297.297297298</v>
      </c>
      <c r="F100">
        <v>1059234.2342342341</v>
      </c>
      <c r="G100">
        <v>20</v>
      </c>
      <c r="H100">
        <v>18</v>
      </c>
      <c r="I100">
        <v>2</v>
      </c>
      <c r="J100">
        <v>6</v>
      </c>
      <c r="M100">
        <v>22</v>
      </c>
      <c r="N100">
        <v>20</v>
      </c>
      <c r="O100">
        <v>3381531.53153153</v>
      </c>
      <c r="P100">
        <v>4846306.3063063063</v>
      </c>
      <c r="Q100">
        <v>25</v>
      </c>
      <c r="R100">
        <v>45</v>
      </c>
      <c r="S100">
        <v>30262207.207207207</v>
      </c>
      <c r="T100">
        <v>30078900.900900904</v>
      </c>
      <c r="U100">
        <v>3312792.792792792</v>
      </c>
      <c r="V100">
        <v>4512162.1621621633</v>
      </c>
      <c r="W100">
        <v>1816</v>
      </c>
      <c r="X100">
        <v>1619</v>
      </c>
    </row>
    <row r="101" spans="1:24">
      <c r="A101" s="7" t="s">
        <v>185</v>
      </c>
      <c r="B101" s="16" t="s">
        <v>60</v>
      </c>
      <c r="C101">
        <v>51127625.54865317</v>
      </c>
      <c r="D101">
        <v>53777635.292674191</v>
      </c>
      <c r="E101">
        <v>360360.36036036001</v>
      </c>
      <c r="F101">
        <v>264864.86486486701</v>
      </c>
      <c r="G101">
        <v>8</v>
      </c>
      <c r="H101">
        <v>12</v>
      </c>
      <c r="I101">
        <v>1</v>
      </c>
      <c r="J101">
        <v>4</v>
      </c>
      <c r="M101">
        <v>8</v>
      </c>
      <c r="N101">
        <v>13</v>
      </c>
      <c r="O101">
        <v>2801351.351351351</v>
      </c>
      <c r="P101">
        <v>1751351.3513513531</v>
      </c>
      <c r="Q101">
        <v>18</v>
      </c>
      <c r="S101">
        <v>18786621.62162162</v>
      </c>
      <c r="T101">
        <v>18591777.02702703</v>
      </c>
      <c r="U101">
        <v>2732432.4324324322</v>
      </c>
      <c r="V101">
        <v>1066666.666666667</v>
      </c>
      <c r="W101">
        <v>527</v>
      </c>
      <c r="X101">
        <v>802</v>
      </c>
    </row>
    <row r="102" spans="1:24">
      <c r="A102" s="7" t="s">
        <v>186</v>
      </c>
      <c r="B102" s="16" t="s">
        <v>167</v>
      </c>
      <c r="C102">
        <v>124424072.66584276</v>
      </c>
      <c r="D102">
        <v>132689685.89555639</v>
      </c>
      <c r="E102">
        <v>8108.1081081089997</v>
      </c>
      <c r="F102">
        <v>1630405.4054054059</v>
      </c>
      <c r="G102">
        <v>23</v>
      </c>
      <c r="H102">
        <v>5</v>
      </c>
      <c r="I102">
        <v>2</v>
      </c>
      <c r="J102">
        <v>5</v>
      </c>
      <c r="M102">
        <v>29</v>
      </c>
      <c r="N102">
        <v>6</v>
      </c>
      <c r="O102">
        <v>269369.369369369</v>
      </c>
      <c r="P102">
        <v>1968468.4684684691</v>
      </c>
      <c r="S102">
        <v>32396846.846846849</v>
      </c>
      <c r="T102">
        <v>35075702.702702701</v>
      </c>
      <c r="U102">
        <v>396396.39639639598</v>
      </c>
      <c r="V102">
        <v>268828.82882882899</v>
      </c>
      <c r="W102">
        <v>2787</v>
      </c>
      <c r="X102">
        <v>2759</v>
      </c>
    </row>
    <row r="103" spans="1:24">
      <c r="A103" s="7" t="s">
        <v>187</v>
      </c>
      <c r="B103" s="16" t="s">
        <v>167</v>
      </c>
      <c r="C103">
        <v>373545448.11608905</v>
      </c>
      <c r="D103">
        <v>350193869.81937301</v>
      </c>
      <c r="E103">
        <v>22522.522522523999</v>
      </c>
      <c r="F103">
        <v>1312612.6126126151</v>
      </c>
      <c r="G103">
        <v>134</v>
      </c>
      <c r="H103">
        <v>46</v>
      </c>
      <c r="I103">
        <v>3</v>
      </c>
      <c r="J103">
        <v>7</v>
      </c>
      <c r="M103">
        <v>149</v>
      </c>
      <c r="N103">
        <v>53</v>
      </c>
      <c r="O103">
        <v>8463963.9639639668</v>
      </c>
      <c r="P103">
        <v>14511292.792792792</v>
      </c>
      <c r="Q103">
        <v>30</v>
      </c>
      <c r="R103">
        <v>15</v>
      </c>
      <c r="S103">
        <v>76678657.657657668</v>
      </c>
      <c r="T103">
        <v>71818018.018018022</v>
      </c>
      <c r="U103">
        <v>9362972.9729729723</v>
      </c>
      <c r="V103">
        <v>11042612.612612613</v>
      </c>
      <c r="W103">
        <v>5685</v>
      </c>
      <c r="X103">
        <v>6014</v>
      </c>
    </row>
    <row r="104" spans="1:24">
      <c r="A104" s="7" t="s">
        <v>188</v>
      </c>
      <c r="B104" s="16" t="s">
        <v>189</v>
      </c>
      <c r="C104">
        <v>163006154.84441599</v>
      </c>
      <c r="D104">
        <v>154828043.91800711</v>
      </c>
      <c r="E104">
        <v>6038738.738738738</v>
      </c>
      <c r="F104">
        <v>3873873.8738738741</v>
      </c>
      <c r="G104">
        <v>28</v>
      </c>
      <c r="H104">
        <v>19</v>
      </c>
      <c r="I104">
        <v>0</v>
      </c>
      <c r="M104">
        <v>32</v>
      </c>
      <c r="N104">
        <v>22</v>
      </c>
      <c r="O104">
        <v>2858558.5585585581</v>
      </c>
      <c r="P104">
        <v>3585585.5855855858</v>
      </c>
      <c r="Q104">
        <v>1</v>
      </c>
      <c r="S104">
        <v>12769774.774774777</v>
      </c>
      <c r="T104">
        <v>11251432.432432432</v>
      </c>
      <c r="U104">
        <v>2659459.4594594589</v>
      </c>
      <c r="V104">
        <v>2043243.2432432431</v>
      </c>
      <c r="W104">
        <v>1811</v>
      </c>
      <c r="X104">
        <v>1703</v>
      </c>
    </row>
    <row r="105" spans="1:24">
      <c r="A105" s="7" t="s">
        <v>190</v>
      </c>
      <c r="B105" s="16" t="s">
        <v>134</v>
      </c>
      <c r="C105">
        <v>38772740.049302295</v>
      </c>
      <c r="D105">
        <v>37175929.966278754</v>
      </c>
      <c r="F105">
        <v>13513.513513514001</v>
      </c>
      <c r="G105">
        <v>26</v>
      </c>
      <c r="H105">
        <v>21</v>
      </c>
      <c r="J105">
        <v>0</v>
      </c>
      <c r="M105">
        <v>32</v>
      </c>
      <c r="N105">
        <v>23</v>
      </c>
      <c r="O105">
        <v>45045.045045045001</v>
      </c>
      <c r="P105">
        <v>58558.558558559002</v>
      </c>
      <c r="Q105">
        <v>5</v>
      </c>
      <c r="R105">
        <v>6</v>
      </c>
      <c r="S105">
        <v>4681711.7117117122</v>
      </c>
      <c r="T105">
        <v>2587522.5225225221</v>
      </c>
      <c r="U105">
        <v>45045.045045045001</v>
      </c>
      <c r="V105">
        <v>200900.900900901</v>
      </c>
      <c r="W105">
        <v>1359</v>
      </c>
      <c r="X105">
        <v>1075</v>
      </c>
    </row>
    <row r="106" spans="1:24">
      <c r="A106" s="7" t="s">
        <v>191</v>
      </c>
      <c r="B106" s="16" t="s">
        <v>60</v>
      </c>
      <c r="C106">
        <v>238268997.30261439</v>
      </c>
      <c r="D106">
        <v>223522997.86443943</v>
      </c>
      <c r="E106">
        <v>1338738.7387387401</v>
      </c>
      <c r="F106">
        <v>3292567.5675675659</v>
      </c>
      <c r="G106">
        <v>59</v>
      </c>
      <c r="H106">
        <v>22</v>
      </c>
      <c r="I106">
        <v>8</v>
      </c>
      <c r="J106">
        <v>4</v>
      </c>
      <c r="M106">
        <v>72</v>
      </c>
      <c r="N106">
        <v>76</v>
      </c>
      <c r="O106">
        <v>15906306.306306306</v>
      </c>
      <c r="P106">
        <v>18509009.009009007</v>
      </c>
      <c r="Q106">
        <v>99</v>
      </c>
      <c r="R106">
        <v>127</v>
      </c>
      <c r="S106">
        <v>80286468.468468457</v>
      </c>
      <c r="T106">
        <v>74709441.441441447</v>
      </c>
      <c r="U106">
        <v>16574864.864864863</v>
      </c>
      <c r="V106">
        <v>18169909.909909911</v>
      </c>
      <c r="W106">
        <v>4142</v>
      </c>
      <c r="X106">
        <v>4003</v>
      </c>
    </row>
    <row r="107" spans="1:24">
      <c r="A107" s="7" t="s">
        <v>192</v>
      </c>
      <c r="B107" s="16" t="s">
        <v>60</v>
      </c>
      <c r="C107">
        <v>404030943.66433752</v>
      </c>
      <c r="D107">
        <v>386689138.36050385</v>
      </c>
      <c r="E107">
        <v>2903603.6036036038</v>
      </c>
      <c r="F107">
        <v>3737837.8378378372</v>
      </c>
      <c r="G107">
        <v>80</v>
      </c>
      <c r="H107">
        <v>32</v>
      </c>
      <c r="I107">
        <v>7</v>
      </c>
      <c r="J107">
        <v>10</v>
      </c>
      <c r="M107">
        <v>84</v>
      </c>
      <c r="N107">
        <v>45</v>
      </c>
      <c r="O107">
        <v>16935135.135135137</v>
      </c>
      <c r="P107">
        <v>22278378.378378376</v>
      </c>
      <c r="Q107">
        <v>86</v>
      </c>
      <c r="R107">
        <v>55</v>
      </c>
      <c r="S107">
        <v>92879009.009009004</v>
      </c>
      <c r="T107">
        <v>91142378.378378391</v>
      </c>
      <c r="U107">
        <v>15080540.540540541</v>
      </c>
      <c r="V107">
        <v>20450630.630630631</v>
      </c>
      <c r="W107">
        <v>6369</v>
      </c>
      <c r="X107">
        <v>6532</v>
      </c>
    </row>
    <row r="108" spans="1:24">
      <c r="A108" s="7" t="s">
        <v>2</v>
      </c>
      <c r="B108" s="16" t="s">
        <v>193</v>
      </c>
      <c r="C108">
        <v>50154981.424274623</v>
      </c>
      <c r="D108">
        <v>42759579.760946639</v>
      </c>
      <c r="E108">
        <v>57657.657657657001</v>
      </c>
      <c r="F108">
        <v>310810.81081081199</v>
      </c>
      <c r="G108">
        <v>13</v>
      </c>
      <c r="H108">
        <v>4</v>
      </c>
      <c r="I108">
        <v>3</v>
      </c>
      <c r="J108">
        <v>0</v>
      </c>
      <c r="M108">
        <v>14</v>
      </c>
      <c r="N108">
        <v>6</v>
      </c>
      <c r="O108">
        <v>324324.32432432403</v>
      </c>
      <c r="P108">
        <v>6662162.1621621633</v>
      </c>
      <c r="Q108">
        <v>6</v>
      </c>
      <c r="S108">
        <v>27097747.747747749</v>
      </c>
      <c r="T108">
        <v>24460873.873873871</v>
      </c>
      <c r="U108">
        <v>330180.18018018099</v>
      </c>
      <c r="V108">
        <v>6763063.0630630637</v>
      </c>
      <c r="W108">
        <v>1147</v>
      </c>
      <c r="X108">
        <v>1274</v>
      </c>
    </row>
    <row r="109" spans="1:24">
      <c r="A109" s="7" t="s">
        <v>194</v>
      </c>
      <c r="B109" s="16" t="s">
        <v>195</v>
      </c>
      <c r="C109">
        <v>1339332828.8939478</v>
      </c>
      <c r="D109">
        <v>1337697644.0073042</v>
      </c>
      <c r="E109">
        <v>2549099.0990991001</v>
      </c>
      <c r="F109">
        <v>4116891.8918918921</v>
      </c>
      <c r="G109">
        <v>345</v>
      </c>
      <c r="H109">
        <v>311</v>
      </c>
      <c r="I109">
        <v>4</v>
      </c>
      <c r="J109">
        <v>10</v>
      </c>
      <c r="M109">
        <v>383</v>
      </c>
      <c r="N109">
        <v>577</v>
      </c>
      <c r="O109">
        <v>72842792.792792797</v>
      </c>
      <c r="P109">
        <v>61111531.531531535</v>
      </c>
      <c r="Q109">
        <v>192</v>
      </c>
      <c r="R109">
        <v>319</v>
      </c>
      <c r="S109">
        <v>241710666.66666666</v>
      </c>
      <c r="T109">
        <v>261146252.25225225</v>
      </c>
      <c r="U109">
        <v>63323153.153153151</v>
      </c>
      <c r="V109">
        <v>52786486.486486487</v>
      </c>
      <c r="W109">
        <v>17996</v>
      </c>
      <c r="X109">
        <v>17908</v>
      </c>
    </row>
    <row r="110" spans="1:24">
      <c r="A110" s="7" t="s">
        <v>196</v>
      </c>
      <c r="B110" s="16" t="s">
        <v>80</v>
      </c>
      <c r="C110">
        <v>410606412.51720721</v>
      </c>
      <c r="D110">
        <v>410318048.57782811</v>
      </c>
      <c r="E110">
        <v>246846.846846848</v>
      </c>
      <c r="F110">
        <v>2136036.0360360369</v>
      </c>
      <c r="G110">
        <v>102</v>
      </c>
      <c r="H110">
        <v>101</v>
      </c>
      <c r="I110">
        <v>17</v>
      </c>
      <c r="J110">
        <v>12</v>
      </c>
      <c r="M110">
        <v>108</v>
      </c>
      <c r="N110">
        <v>112</v>
      </c>
      <c r="O110">
        <v>57637837.837837838</v>
      </c>
      <c r="P110">
        <v>53283783.783783779</v>
      </c>
      <c r="Q110">
        <v>139</v>
      </c>
      <c r="R110">
        <v>325</v>
      </c>
      <c r="S110">
        <v>107903142.34234233</v>
      </c>
      <c r="T110">
        <v>111645081.08108109</v>
      </c>
      <c r="U110">
        <v>55179772.972972974</v>
      </c>
      <c r="V110">
        <v>53790990.990990989</v>
      </c>
      <c r="W110">
        <v>6826</v>
      </c>
      <c r="X110">
        <v>6649</v>
      </c>
    </row>
    <row r="111" spans="1:24">
      <c r="A111" s="7" t="s">
        <v>197</v>
      </c>
      <c r="B111" s="16" t="s">
        <v>108</v>
      </c>
      <c r="C111">
        <v>321216937.50855219</v>
      </c>
      <c r="D111">
        <v>328245793.86461538</v>
      </c>
      <c r="E111">
        <v>1116486.4864864899</v>
      </c>
      <c r="F111">
        <v>2827927.927927928</v>
      </c>
      <c r="G111">
        <v>93</v>
      </c>
      <c r="H111">
        <v>113</v>
      </c>
      <c r="I111">
        <v>3</v>
      </c>
      <c r="J111">
        <v>7</v>
      </c>
      <c r="M111">
        <v>111</v>
      </c>
      <c r="N111">
        <v>135</v>
      </c>
      <c r="O111">
        <v>21647117.117117114</v>
      </c>
      <c r="P111">
        <v>19009009.009009007</v>
      </c>
      <c r="Q111">
        <v>185</v>
      </c>
      <c r="R111">
        <v>76</v>
      </c>
      <c r="S111">
        <v>94480450.45045045</v>
      </c>
      <c r="T111">
        <v>100605675.67567568</v>
      </c>
      <c r="U111">
        <v>21401081.081081081</v>
      </c>
      <c r="V111">
        <v>17459189.189189184</v>
      </c>
      <c r="W111">
        <v>7144</v>
      </c>
      <c r="X111">
        <v>6946</v>
      </c>
    </row>
    <row r="112" spans="1:24">
      <c r="A112" s="7" t="s">
        <v>198</v>
      </c>
      <c r="B112" s="16" t="s">
        <v>92</v>
      </c>
      <c r="C112">
        <v>175909363.5665369</v>
      </c>
      <c r="D112">
        <v>176819964.2088072</v>
      </c>
      <c r="E112">
        <v>3512792.7927927952</v>
      </c>
      <c r="F112">
        <v>5974774.774774773</v>
      </c>
      <c r="G112">
        <v>39</v>
      </c>
      <c r="H112">
        <v>169</v>
      </c>
      <c r="I112">
        <v>7</v>
      </c>
      <c r="J112">
        <v>4</v>
      </c>
      <c r="M112">
        <v>40</v>
      </c>
      <c r="N112">
        <v>251</v>
      </c>
      <c r="O112">
        <v>19694774.774774775</v>
      </c>
      <c r="P112">
        <v>62530180.180180185</v>
      </c>
      <c r="Q112">
        <v>113</v>
      </c>
      <c r="R112">
        <v>152</v>
      </c>
      <c r="S112">
        <v>45458783.783783786</v>
      </c>
      <c r="T112">
        <v>48719090.090090089</v>
      </c>
      <c r="U112">
        <v>20525765.765765764</v>
      </c>
      <c r="V112">
        <v>60872342.342342347</v>
      </c>
      <c r="W112">
        <v>2552</v>
      </c>
      <c r="X112">
        <v>2766</v>
      </c>
    </row>
    <row r="113" spans="1:24">
      <c r="A113" s="7" t="s">
        <v>199</v>
      </c>
      <c r="B113" s="16" t="s">
        <v>123</v>
      </c>
      <c r="C113">
        <v>172958326.81690586</v>
      </c>
      <c r="D113">
        <v>165068751.89056814</v>
      </c>
      <c r="E113">
        <v>491891.89189189201</v>
      </c>
      <c r="F113">
        <v>590990.99099098996</v>
      </c>
      <c r="G113">
        <v>59</v>
      </c>
      <c r="H113">
        <v>55</v>
      </c>
      <c r="I113">
        <v>3</v>
      </c>
      <c r="J113">
        <v>2</v>
      </c>
      <c r="M113">
        <v>63</v>
      </c>
      <c r="N113">
        <v>57</v>
      </c>
      <c r="O113">
        <v>8592432.4324324336</v>
      </c>
      <c r="P113">
        <v>5537297.297297298</v>
      </c>
      <c r="Q113">
        <v>10</v>
      </c>
      <c r="R113">
        <v>6</v>
      </c>
      <c r="S113">
        <v>35156711.711711712</v>
      </c>
      <c r="T113">
        <v>31253333.333333336</v>
      </c>
      <c r="U113">
        <v>7228558.55855856</v>
      </c>
      <c r="V113">
        <v>6680360.3603603607</v>
      </c>
      <c r="W113">
        <v>2448</v>
      </c>
      <c r="X113">
        <v>2492</v>
      </c>
    </row>
    <row r="114" spans="1:24">
      <c r="A114" s="7" t="s">
        <v>200</v>
      </c>
      <c r="B114" s="16" t="s">
        <v>60</v>
      </c>
      <c r="C114">
        <v>119754931.05534792</v>
      </c>
      <c r="D114">
        <v>120443918.33115369</v>
      </c>
      <c r="E114">
        <v>336936.93693693797</v>
      </c>
      <c r="F114">
        <v>2657657.6576576582</v>
      </c>
      <c r="G114">
        <v>35</v>
      </c>
      <c r="H114">
        <v>28</v>
      </c>
      <c r="I114">
        <v>8</v>
      </c>
      <c r="J114">
        <v>6</v>
      </c>
      <c r="M114">
        <v>44</v>
      </c>
      <c r="N114">
        <v>32</v>
      </c>
      <c r="O114">
        <v>14796396.396396397</v>
      </c>
      <c r="P114">
        <v>16576576.576576576</v>
      </c>
      <c r="Q114">
        <v>120</v>
      </c>
      <c r="R114">
        <v>117</v>
      </c>
      <c r="S114">
        <v>20381792.792792793</v>
      </c>
      <c r="T114">
        <v>22223256.756756756</v>
      </c>
      <c r="U114">
        <v>10084234.234234232</v>
      </c>
      <c r="V114">
        <v>17802522.522522524</v>
      </c>
      <c r="W114">
        <v>3490</v>
      </c>
      <c r="X114">
        <v>3516</v>
      </c>
    </row>
    <row r="115" spans="1:24">
      <c r="A115" s="7" t="s">
        <v>201</v>
      </c>
      <c r="B115" s="16" t="s">
        <v>60</v>
      </c>
      <c r="C115">
        <v>41568001.10160739</v>
      </c>
      <c r="D115">
        <v>40039193.429682679</v>
      </c>
      <c r="E115">
        <v>228108.10810810901</v>
      </c>
      <c r="F115">
        <v>247747.74774774999</v>
      </c>
      <c r="G115">
        <v>14</v>
      </c>
      <c r="H115">
        <v>15</v>
      </c>
      <c r="I115">
        <v>4</v>
      </c>
      <c r="J115">
        <v>2</v>
      </c>
      <c r="M115">
        <v>15</v>
      </c>
      <c r="N115">
        <v>17</v>
      </c>
      <c r="O115">
        <v>2417297.297297297</v>
      </c>
      <c r="P115">
        <v>2500000.0000000009</v>
      </c>
      <c r="Q115">
        <v>26</v>
      </c>
      <c r="R115">
        <v>25</v>
      </c>
      <c r="S115">
        <v>8188063.0630630627</v>
      </c>
      <c r="T115">
        <v>7130522.5225225231</v>
      </c>
      <c r="U115">
        <v>1545045.045045045</v>
      </c>
      <c r="V115">
        <v>1133243.2432432431</v>
      </c>
      <c r="W115">
        <v>1198</v>
      </c>
      <c r="X115">
        <v>1149</v>
      </c>
    </row>
    <row r="116" spans="1:24">
      <c r="A116" s="7" t="s">
        <v>202</v>
      </c>
      <c r="B116" s="16" t="s">
        <v>121</v>
      </c>
      <c r="C116">
        <v>82454445.102712378</v>
      </c>
      <c r="D116">
        <v>76356653.774085566</v>
      </c>
      <c r="E116">
        <v>127027.02702702599</v>
      </c>
      <c r="F116">
        <v>594594.59459459502</v>
      </c>
      <c r="G116">
        <v>49</v>
      </c>
      <c r="H116">
        <v>41</v>
      </c>
      <c r="I116">
        <v>5</v>
      </c>
      <c r="J116">
        <v>6</v>
      </c>
      <c r="M116">
        <v>56</v>
      </c>
      <c r="N116">
        <v>46</v>
      </c>
      <c r="O116">
        <v>325225.22522522497</v>
      </c>
      <c r="P116">
        <v>1950450.4504504511</v>
      </c>
      <c r="Q116">
        <v>3</v>
      </c>
      <c r="R116">
        <v>100</v>
      </c>
      <c r="S116">
        <v>7387702.702702702</v>
      </c>
      <c r="T116">
        <v>7368495.4954954963</v>
      </c>
      <c r="U116">
        <v>337567.56756756798</v>
      </c>
      <c r="V116">
        <v>1427477.4774774781</v>
      </c>
      <c r="W116">
        <v>1556</v>
      </c>
      <c r="X116">
        <v>1451</v>
      </c>
    </row>
    <row r="117" spans="1:24">
      <c r="A117" s="7" t="s">
        <v>674</v>
      </c>
      <c r="B117" s="16" t="s">
        <v>181</v>
      </c>
      <c r="E117">
        <v>186528828.82882884</v>
      </c>
      <c r="F117">
        <v>65472972.972972974</v>
      </c>
      <c r="O117">
        <v>16131621.621621622</v>
      </c>
      <c r="P117">
        <v>2407207.2072072071</v>
      </c>
    </row>
    <row r="118" spans="1:24">
      <c r="A118" s="7" t="s">
        <v>203</v>
      </c>
      <c r="B118" s="16" t="s">
        <v>54</v>
      </c>
      <c r="C118">
        <v>128147406.48187912</v>
      </c>
      <c r="D118">
        <v>122810977.84828113</v>
      </c>
      <c r="E118">
        <v>23111711.711711712</v>
      </c>
      <c r="F118">
        <v>58811261.261261262</v>
      </c>
      <c r="G118">
        <v>26</v>
      </c>
      <c r="H118">
        <v>28</v>
      </c>
      <c r="I118">
        <v>2</v>
      </c>
      <c r="J118">
        <v>5</v>
      </c>
      <c r="M118">
        <v>28</v>
      </c>
      <c r="N118">
        <v>29</v>
      </c>
      <c r="O118">
        <v>9566666.666666666</v>
      </c>
      <c r="P118">
        <v>6855855.8558558542</v>
      </c>
      <c r="Q118">
        <v>58</v>
      </c>
      <c r="R118">
        <v>40</v>
      </c>
      <c r="S118">
        <v>32036936.936936937</v>
      </c>
      <c r="T118">
        <v>31712729.729729727</v>
      </c>
      <c r="U118">
        <v>6921711.7117117131</v>
      </c>
      <c r="V118">
        <v>6909099.0990990978</v>
      </c>
      <c r="W118">
        <v>3777</v>
      </c>
      <c r="X118">
        <v>3884</v>
      </c>
    </row>
    <row r="119" spans="1:24">
      <c r="A119" s="7" t="s">
        <v>204</v>
      </c>
      <c r="B119" s="16" t="s">
        <v>136</v>
      </c>
      <c r="C119">
        <v>490845666.3365218</v>
      </c>
      <c r="D119">
        <v>440288286.23402274</v>
      </c>
      <c r="E119">
        <v>402252.25225225202</v>
      </c>
      <c r="F119">
        <v>967567.56756756897</v>
      </c>
      <c r="G119">
        <v>105</v>
      </c>
      <c r="H119">
        <v>62</v>
      </c>
      <c r="I119">
        <v>9</v>
      </c>
      <c r="J119">
        <v>11</v>
      </c>
      <c r="M119">
        <v>112</v>
      </c>
      <c r="N119">
        <v>72</v>
      </c>
      <c r="O119">
        <v>47151081.081081077</v>
      </c>
      <c r="P119">
        <v>36436036.036036029</v>
      </c>
      <c r="Q119">
        <v>90</v>
      </c>
      <c r="R119">
        <v>95</v>
      </c>
      <c r="S119">
        <v>80292162.162162155</v>
      </c>
      <c r="T119">
        <v>76710193.693693697</v>
      </c>
      <c r="U119">
        <v>41972882.882882886</v>
      </c>
      <c r="V119">
        <v>30680090.090090089</v>
      </c>
      <c r="W119">
        <v>5600</v>
      </c>
      <c r="X119">
        <v>5847</v>
      </c>
    </row>
    <row r="120" spans="1:24">
      <c r="A120" s="7" t="s">
        <v>205</v>
      </c>
      <c r="B120" s="16" t="s">
        <v>136</v>
      </c>
      <c r="C120">
        <v>223741041.89197585</v>
      </c>
      <c r="D120">
        <v>218374571.64710569</v>
      </c>
      <c r="E120">
        <v>279279.279279279</v>
      </c>
      <c r="F120">
        <v>659459.45945945999</v>
      </c>
      <c r="G120">
        <v>57</v>
      </c>
      <c r="H120">
        <v>40</v>
      </c>
      <c r="I120">
        <v>5</v>
      </c>
      <c r="J120">
        <v>1</v>
      </c>
      <c r="M120">
        <v>63</v>
      </c>
      <c r="N120">
        <v>45</v>
      </c>
      <c r="O120">
        <v>10582882.882882884</v>
      </c>
      <c r="P120">
        <v>7308108.108108107</v>
      </c>
      <c r="Q120">
        <v>50</v>
      </c>
      <c r="R120">
        <v>18</v>
      </c>
      <c r="S120">
        <v>40594457.657657653</v>
      </c>
      <c r="T120">
        <v>42385376.576576576</v>
      </c>
      <c r="U120">
        <v>7318558.558558559</v>
      </c>
      <c r="V120">
        <v>4023153.1531531531</v>
      </c>
      <c r="W120">
        <v>3171</v>
      </c>
      <c r="X120">
        <v>3130</v>
      </c>
    </row>
    <row r="121" spans="1:24">
      <c r="A121" s="7" t="s">
        <v>206</v>
      </c>
      <c r="B121" s="16" t="s">
        <v>169</v>
      </c>
      <c r="C121">
        <v>507569350.61073482</v>
      </c>
      <c r="D121">
        <v>512082989.45561069</v>
      </c>
      <c r="E121">
        <v>341441.441441442</v>
      </c>
      <c r="F121">
        <v>1670270.270270271</v>
      </c>
      <c r="G121">
        <v>73</v>
      </c>
      <c r="H121">
        <v>20</v>
      </c>
      <c r="I121">
        <v>0</v>
      </c>
      <c r="J121">
        <v>2</v>
      </c>
      <c r="M121">
        <v>74</v>
      </c>
      <c r="N121">
        <v>23</v>
      </c>
      <c r="O121">
        <v>2917053873.8738737</v>
      </c>
      <c r="P121">
        <v>2467885427.927928</v>
      </c>
      <c r="Q121">
        <v>1506</v>
      </c>
      <c r="R121">
        <v>45</v>
      </c>
      <c r="S121">
        <v>242807108.1081081</v>
      </c>
      <c r="T121">
        <v>242015495.4954955</v>
      </c>
      <c r="U121">
        <v>1234151776.5765765</v>
      </c>
      <c r="V121">
        <v>756093884.68468463</v>
      </c>
      <c r="W121">
        <v>7600</v>
      </c>
      <c r="X121">
        <v>7499</v>
      </c>
    </row>
    <row r="122" spans="1:24">
      <c r="A122" s="7" t="s">
        <v>207</v>
      </c>
      <c r="B122" s="16" t="s">
        <v>161</v>
      </c>
      <c r="C122">
        <v>574440036.37985539</v>
      </c>
      <c r="D122">
        <v>570748214.63979483</v>
      </c>
      <c r="E122">
        <v>1075090.0900901</v>
      </c>
      <c r="F122">
        <v>4341891.891891893</v>
      </c>
      <c r="G122">
        <v>297</v>
      </c>
      <c r="H122">
        <v>352</v>
      </c>
      <c r="I122">
        <v>39</v>
      </c>
      <c r="J122">
        <v>17</v>
      </c>
      <c r="M122">
        <v>386</v>
      </c>
      <c r="N122">
        <v>583</v>
      </c>
      <c r="O122">
        <v>94471351.351351351</v>
      </c>
      <c r="P122">
        <v>81269549.54954955</v>
      </c>
      <c r="Q122">
        <v>462</v>
      </c>
      <c r="R122">
        <v>339</v>
      </c>
      <c r="S122">
        <v>168413531.53153151</v>
      </c>
      <c r="T122">
        <v>165877085.58558559</v>
      </c>
      <c r="U122">
        <v>90048190.990990996</v>
      </c>
      <c r="V122">
        <v>75714900.9009009</v>
      </c>
      <c r="W122">
        <v>12559</v>
      </c>
      <c r="X122">
        <v>11925</v>
      </c>
    </row>
    <row r="123" spans="1:24">
      <c r="A123" s="7" t="s">
        <v>208</v>
      </c>
      <c r="B123" s="16" t="s">
        <v>76</v>
      </c>
      <c r="C123">
        <v>24132370.220295876</v>
      </c>
      <c r="D123">
        <v>17371625.996498093</v>
      </c>
      <c r="G123">
        <v>3</v>
      </c>
      <c r="I123">
        <v>0</v>
      </c>
      <c r="J123">
        <v>0</v>
      </c>
      <c r="M123">
        <v>3</v>
      </c>
      <c r="S123">
        <v>1167117.1171171169</v>
      </c>
      <c r="T123">
        <v>1136711.7117117119</v>
      </c>
      <c r="W123">
        <v>534</v>
      </c>
      <c r="X123">
        <v>528</v>
      </c>
    </row>
    <row r="124" spans="1:24">
      <c r="A124" s="7" t="s">
        <v>209</v>
      </c>
      <c r="B124" s="16" t="s">
        <v>76</v>
      </c>
      <c r="C124">
        <v>279877075.12582892</v>
      </c>
      <c r="D124">
        <v>254989025.2043353</v>
      </c>
      <c r="E124">
        <v>300084791.8918919</v>
      </c>
      <c r="F124">
        <v>267271949.54954958</v>
      </c>
      <c r="G124">
        <v>107</v>
      </c>
      <c r="H124">
        <v>138</v>
      </c>
      <c r="I124">
        <v>8</v>
      </c>
      <c r="J124">
        <v>14</v>
      </c>
      <c r="K124">
        <v>5</v>
      </c>
      <c r="M124">
        <v>125</v>
      </c>
      <c r="N124">
        <v>252</v>
      </c>
      <c r="O124">
        <v>36534963.063063063</v>
      </c>
      <c r="P124">
        <v>33354414.414414413</v>
      </c>
      <c r="Q124">
        <v>209</v>
      </c>
      <c r="R124">
        <v>246</v>
      </c>
      <c r="S124">
        <v>38130297.297297299</v>
      </c>
      <c r="T124">
        <v>39308117.117117122</v>
      </c>
      <c r="U124">
        <v>39764504.504504502</v>
      </c>
      <c r="V124">
        <v>31882252.252252251</v>
      </c>
      <c r="W124">
        <v>4618</v>
      </c>
      <c r="X124">
        <v>4638</v>
      </c>
    </row>
    <row r="125" spans="1:24">
      <c r="A125" s="7" t="s">
        <v>210</v>
      </c>
      <c r="B125" s="16" t="s">
        <v>76</v>
      </c>
      <c r="C125">
        <v>329993406.70569164</v>
      </c>
      <c r="D125">
        <v>320388747.32808656</v>
      </c>
      <c r="E125">
        <v>2162387.3873873912</v>
      </c>
      <c r="F125">
        <v>5099774.7747747777</v>
      </c>
      <c r="G125">
        <v>164</v>
      </c>
      <c r="H125">
        <v>182</v>
      </c>
      <c r="I125">
        <v>22</v>
      </c>
      <c r="J125">
        <v>21</v>
      </c>
      <c r="K125">
        <v>8</v>
      </c>
      <c r="M125">
        <v>196</v>
      </c>
      <c r="N125">
        <v>265</v>
      </c>
      <c r="O125">
        <v>161789729.72972974</v>
      </c>
      <c r="P125">
        <v>140980990.990991</v>
      </c>
      <c r="Q125">
        <v>299</v>
      </c>
      <c r="R125">
        <v>553</v>
      </c>
      <c r="S125">
        <v>98818338.738738731</v>
      </c>
      <c r="T125">
        <v>97824556.756756753</v>
      </c>
      <c r="U125">
        <v>135146032.43243244</v>
      </c>
      <c r="V125">
        <v>115878511.7117117</v>
      </c>
      <c r="W125">
        <v>6836</v>
      </c>
      <c r="X125">
        <v>6969</v>
      </c>
    </row>
    <row r="126" spans="1:24">
      <c r="A126" s="7" t="s">
        <v>211</v>
      </c>
      <c r="B126" s="16" t="s">
        <v>76</v>
      </c>
      <c r="C126">
        <v>224975254.47144887</v>
      </c>
      <c r="D126">
        <v>233974784.00631425</v>
      </c>
      <c r="E126">
        <v>2276351.3513513538</v>
      </c>
      <c r="F126">
        <v>3525000.0000000051</v>
      </c>
      <c r="G126">
        <v>104</v>
      </c>
      <c r="H126">
        <v>98</v>
      </c>
      <c r="I126">
        <v>13</v>
      </c>
      <c r="J126">
        <v>18</v>
      </c>
      <c r="M126">
        <v>115</v>
      </c>
      <c r="N126">
        <v>118</v>
      </c>
      <c r="O126">
        <v>18984234.234234232</v>
      </c>
      <c r="P126">
        <v>25396756.75675676</v>
      </c>
      <c r="Q126">
        <v>110</v>
      </c>
      <c r="R126">
        <v>21</v>
      </c>
      <c r="S126">
        <v>32689306.306306306</v>
      </c>
      <c r="T126">
        <v>35812488.738738738</v>
      </c>
      <c r="U126">
        <v>19380810.810810812</v>
      </c>
      <c r="V126">
        <v>23493513.513513513</v>
      </c>
      <c r="W126">
        <v>3806</v>
      </c>
      <c r="X126">
        <v>4072</v>
      </c>
    </row>
    <row r="127" spans="1:24">
      <c r="A127" s="7" t="s">
        <v>212</v>
      </c>
      <c r="B127" s="16" t="s">
        <v>76</v>
      </c>
      <c r="C127">
        <v>89830695.593170151</v>
      </c>
      <c r="D127">
        <v>84044862.222514197</v>
      </c>
      <c r="E127">
        <v>48198.198198199003</v>
      </c>
      <c r="F127">
        <v>65765.765765764998</v>
      </c>
      <c r="G127">
        <v>29</v>
      </c>
      <c r="H127">
        <v>16</v>
      </c>
      <c r="I127">
        <v>2</v>
      </c>
      <c r="J127">
        <v>0</v>
      </c>
      <c r="M127">
        <v>29</v>
      </c>
      <c r="N127">
        <v>18</v>
      </c>
      <c r="O127">
        <v>1399549.5495495501</v>
      </c>
      <c r="P127">
        <v>1540720.7207207191</v>
      </c>
      <c r="Q127">
        <v>7</v>
      </c>
      <c r="R127">
        <v>7</v>
      </c>
      <c r="S127">
        <v>13256306.306306306</v>
      </c>
      <c r="T127">
        <v>13224738.738738738</v>
      </c>
      <c r="U127">
        <v>1072252.2522522521</v>
      </c>
      <c r="V127">
        <v>2026486.4864864859</v>
      </c>
      <c r="W127">
        <v>1810</v>
      </c>
      <c r="X127">
        <v>1792</v>
      </c>
    </row>
    <row r="128" spans="1:24">
      <c r="A128" s="7" t="s">
        <v>213</v>
      </c>
      <c r="B128" s="16" t="s">
        <v>214</v>
      </c>
      <c r="C128">
        <v>109634844.95680475</v>
      </c>
      <c r="D128">
        <v>120378741.56886424</v>
      </c>
      <c r="E128">
        <v>213963.96396396399</v>
      </c>
      <c r="F128">
        <v>811711.71171171195</v>
      </c>
      <c r="G128">
        <v>27</v>
      </c>
      <c r="H128">
        <v>35</v>
      </c>
      <c r="I128">
        <v>5</v>
      </c>
      <c r="J128">
        <v>4</v>
      </c>
      <c r="M128">
        <v>28</v>
      </c>
      <c r="N128">
        <v>42</v>
      </c>
      <c r="O128">
        <v>13557387.387387389</v>
      </c>
      <c r="P128">
        <v>13513981.981981983</v>
      </c>
      <c r="Q128">
        <v>23</v>
      </c>
      <c r="R128">
        <v>46</v>
      </c>
      <c r="S128">
        <v>52588468.468468465</v>
      </c>
      <c r="T128">
        <v>54647558.558558561</v>
      </c>
      <c r="U128">
        <v>12669009.009009011</v>
      </c>
      <c r="V128">
        <v>12201711.711711712</v>
      </c>
      <c r="W128">
        <v>2384</v>
      </c>
      <c r="X128">
        <v>2440</v>
      </c>
    </row>
    <row r="129" spans="1:24">
      <c r="A129" s="7" t="s">
        <v>215</v>
      </c>
      <c r="B129" s="16" t="s">
        <v>167</v>
      </c>
      <c r="C129">
        <v>102108960.13146698</v>
      </c>
      <c r="D129">
        <v>129691883.38047965</v>
      </c>
      <c r="E129">
        <v>8108.1081081089997</v>
      </c>
      <c r="F129">
        <v>1842342.342342342</v>
      </c>
      <c r="G129">
        <v>8</v>
      </c>
      <c r="H129">
        <v>7</v>
      </c>
      <c r="I129">
        <v>1</v>
      </c>
      <c r="J129">
        <v>3</v>
      </c>
      <c r="M129">
        <v>9</v>
      </c>
      <c r="N129">
        <v>7</v>
      </c>
      <c r="O129">
        <v>8809909.9099099096</v>
      </c>
      <c r="P129">
        <v>2471171.1711711711</v>
      </c>
      <c r="Q129">
        <v>309</v>
      </c>
      <c r="R129">
        <v>19</v>
      </c>
      <c r="S129">
        <v>18312522.52252252</v>
      </c>
      <c r="T129">
        <v>22584414.414414417</v>
      </c>
      <c r="U129">
        <v>9098648.6486486476</v>
      </c>
      <c r="V129">
        <v>240090.09009009099</v>
      </c>
      <c r="W129">
        <v>1643</v>
      </c>
      <c r="X129">
        <v>1842</v>
      </c>
    </row>
    <row r="130" spans="1:24">
      <c r="A130" s="7" t="s">
        <v>216</v>
      </c>
      <c r="B130" s="16" t="s">
        <v>85</v>
      </c>
      <c r="C130">
        <v>24726823.924099419</v>
      </c>
      <c r="D130">
        <v>30176169.961292882</v>
      </c>
      <c r="E130">
        <v>16216.216216217001</v>
      </c>
      <c r="F130">
        <v>1018018.018018018</v>
      </c>
      <c r="G130">
        <v>3</v>
      </c>
      <c r="H130">
        <v>10</v>
      </c>
      <c r="I130">
        <v>4</v>
      </c>
      <c r="J130">
        <v>2</v>
      </c>
      <c r="M130">
        <v>3</v>
      </c>
      <c r="N130">
        <v>12</v>
      </c>
      <c r="O130">
        <v>62640090.090090089</v>
      </c>
      <c r="P130">
        <v>59337387.387387387</v>
      </c>
      <c r="Q130">
        <v>49</v>
      </c>
      <c r="R130">
        <v>126</v>
      </c>
      <c r="S130">
        <v>7228684.6846846854</v>
      </c>
      <c r="T130">
        <v>9613720.7207207195</v>
      </c>
      <c r="U130">
        <v>53867927.927927926</v>
      </c>
      <c r="V130">
        <v>51453243.243243247</v>
      </c>
      <c r="W130">
        <v>600</v>
      </c>
      <c r="X130">
        <v>652</v>
      </c>
    </row>
    <row r="131" spans="1:24">
      <c r="A131" s="7" t="s">
        <v>217</v>
      </c>
      <c r="B131" s="16" t="s">
        <v>85</v>
      </c>
      <c r="C131">
        <v>120563589.93829525</v>
      </c>
      <c r="D131">
        <v>117635094.78080963</v>
      </c>
      <c r="E131">
        <v>602547685.58558559</v>
      </c>
      <c r="F131">
        <v>524241674.77477479</v>
      </c>
      <c r="G131">
        <v>48</v>
      </c>
      <c r="H131">
        <v>43</v>
      </c>
      <c r="I131">
        <v>5</v>
      </c>
      <c r="J131">
        <v>4</v>
      </c>
      <c r="M131">
        <v>56</v>
      </c>
      <c r="N131">
        <v>48</v>
      </c>
      <c r="O131">
        <v>41912612.612612613</v>
      </c>
      <c r="P131">
        <v>68747477.477477476</v>
      </c>
      <c r="Q131">
        <v>52</v>
      </c>
      <c r="R131">
        <v>29</v>
      </c>
      <c r="S131">
        <v>21148513.513513513</v>
      </c>
      <c r="T131">
        <v>22621792.792792793</v>
      </c>
      <c r="U131">
        <v>30971441.441441439</v>
      </c>
      <c r="V131">
        <v>30097657.657657661</v>
      </c>
      <c r="W131">
        <v>2432</v>
      </c>
      <c r="X131">
        <v>2558</v>
      </c>
    </row>
    <row r="132" spans="1:24">
      <c r="A132" s="7" t="s">
        <v>218</v>
      </c>
      <c r="B132" s="16" t="s">
        <v>147</v>
      </c>
      <c r="C132">
        <v>118863017.26374467</v>
      </c>
      <c r="D132">
        <v>114720715.25344118</v>
      </c>
      <c r="E132">
        <v>584684.68468468694</v>
      </c>
      <c r="F132">
        <v>8565765.7657657657</v>
      </c>
      <c r="G132">
        <v>53</v>
      </c>
      <c r="H132">
        <v>70</v>
      </c>
      <c r="I132">
        <v>3</v>
      </c>
      <c r="J132">
        <v>8</v>
      </c>
      <c r="M132">
        <v>56</v>
      </c>
      <c r="N132">
        <v>87</v>
      </c>
      <c r="O132">
        <v>19111261.261261266</v>
      </c>
      <c r="P132">
        <v>73945972.072072074</v>
      </c>
      <c r="Q132">
        <v>68</v>
      </c>
      <c r="R132">
        <v>292</v>
      </c>
      <c r="S132">
        <v>31900612.612612613</v>
      </c>
      <c r="T132">
        <v>36673378.378378376</v>
      </c>
      <c r="U132">
        <v>21156846.846846849</v>
      </c>
      <c r="V132">
        <v>74399459.459459454</v>
      </c>
      <c r="W132">
        <v>2433</v>
      </c>
      <c r="X132">
        <v>2471</v>
      </c>
    </row>
    <row r="133" spans="1:24">
      <c r="A133" s="7" t="s">
        <v>219</v>
      </c>
      <c r="B133" s="16" t="s">
        <v>220</v>
      </c>
      <c r="C133">
        <v>231176584.34259519</v>
      </c>
      <c r="D133">
        <v>226797489.55832312</v>
      </c>
      <c r="E133">
        <v>4063649.5495495512</v>
      </c>
      <c r="F133">
        <v>6219883.7837837851</v>
      </c>
      <c r="G133">
        <v>99</v>
      </c>
      <c r="H133">
        <v>71</v>
      </c>
      <c r="I133">
        <v>7</v>
      </c>
      <c r="J133">
        <v>9</v>
      </c>
      <c r="K133">
        <v>1</v>
      </c>
      <c r="M133">
        <v>117</v>
      </c>
      <c r="N133">
        <v>90</v>
      </c>
      <c r="O133">
        <v>250462078.37837836</v>
      </c>
      <c r="P133">
        <v>192787032.43243244</v>
      </c>
      <c r="Q133">
        <v>749</v>
      </c>
      <c r="R133">
        <v>70</v>
      </c>
      <c r="S133">
        <v>62853756.75675676</v>
      </c>
      <c r="T133">
        <v>58094497.747747742</v>
      </c>
      <c r="U133">
        <v>367313873.87387383</v>
      </c>
      <c r="V133">
        <v>318630720.72072071</v>
      </c>
      <c r="W133">
        <v>6252</v>
      </c>
      <c r="X133">
        <v>6216</v>
      </c>
    </row>
    <row r="134" spans="1:24">
      <c r="A134" s="7" t="s">
        <v>221</v>
      </c>
      <c r="B134" s="16" t="s">
        <v>52</v>
      </c>
      <c r="C134">
        <v>558626734.83887494</v>
      </c>
      <c r="D134">
        <v>535301792.5329113</v>
      </c>
      <c r="E134">
        <v>2625000.0000000028</v>
      </c>
      <c r="F134">
        <v>5137612.6126126153</v>
      </c>
      <c r="G134">
        <v>112</v>
      </c>
      <c r="H134">
        <v>111</v>
      </c>
      <c r="I134">
        <v>13</v>
      </c>
      <c r="J134">
        <v>27</v>
      </c>
      <c r="M134">
        <v>138</v>
      </c>
      <c r="N134">
        <v>154</v>
      </c>
      <c r="O134">
        <v>65627747.747747742</v>
      </c>
      <c r="P134">
        <v>41281981.981981985</v>
      </c>
      <c r="Q134">
        <v>492</v>
      </c>
      <c r="R134">
        <v>988</v>
      </c>
      <c r="S134">
        <v>176877720.72072074</v>
      </c>
      <c r="T134">
        <v>172418558.55855855</v>
      </c>
      <c r="U134">
        <v>36617477.477477469</v>
      </c>
      <c r="V134">
        <v>51341351.351351351</v>
      </c>
      <c r="W134">
        <v>10688</v>
      </c>
      <c r="X134">
        <v>10760</v>
      </c>
    </row>
    <row r="135" spans="1:24">
      <c r="A135" s="7" t="s">
        <v>222</v>
      </c>
      <c r="B135" s="16" t="s">
        <v>76</v>
      </c>
      <c r="C135">
        <v>425436090.99969679</v>
      </c>
      <c r="D135">
        <v>415644456.68264812</v>
      </c>
      <c r="E135">
        <v>148513.513513513</v>
      </c>
      <c r="F135">
        <v>1345270.270270277</v>
      </c>
      <c r="G135">
        <v>118</v>
      </c>
      <c r="H135">
        <v>115</v>
      </c>
      <c r="I135">
        <v>11</v>
      </c>
      <c r="J135">
        <v>15</v>
      </c>
      <c r="K135">
        <v>5</v>
      </c>
      <c r="M135">
        <v>130</v>
      </c>
      <c r="N135">
        <v>129</v>
      </c>
      <c r="O135">
        <v>29756936.936936937</v>
      </c>
      <c r="P135">
        <v>29125495.495495494</v>
      </c>
      <c r="Q135">
        <v>55</v>
      </c>
      <c r="R135">
        <v>38</v>
      </c>
      <c r="S135">
        <v>81013989.189189181</v>
      </c>
      <c r="T135">
        <v>80176903.603603601</v>
      </c>
      <c r="U135">
        <v>24888108.108108111</v>
      </c>
      <c r="V135">
        <v>23502792.79279279</v>
      </c>
      <c r="W135">
        <v>7112</v>
      </c>
      <c r="X135">
        <v>7077</v>
      </c>
    </row>
    <row r="136" spans="1:24">
      <c r="A136" s="7" t="s">
        <v>223</v>
      </c>
      <c r="B136" s="16" t="s">
        <v>224</v>
      </c>
      <c r="C136">
        <v>45395719.625177376</v>
      </c>
      <c r="D136">
        <v>36340493.213227332</v>
      </c>
      <c r="F136">
        <v>5405.4054054050002</v>
      </c>
      <c r="G136">
        <v>29</v>
      </c>
      <c r="H136">
        <v>3</v>
      </c>
      <c r="M136">
        <v>31</v>
      </c>
      <c r="N136">
        <v>3</v>
      </c>
      <c r="O136">
        <v>1751351.351351351</v>
      </c>
      <c r="P136">
        <v>5405.4054054050002</v>
      </c>
      <c r="Q136">
        <v>6</v>
      </c>
      <c r="S136">
        <v>10631306.306306306</v>
      </c>
      <c r="T136">
        <v>9003360.3603603598</v>
      </c>
      <c r="U136">
        <v>1592702.702702703</v>
      </c>
      <c r="V136">
        <v>837567.56756756804</v>
      </c>
      <c r="W136">
        <v>866</v>
      </c>
      <c r="X136">
        <v>810</v>
      </c>
    </row>
    <row r="137" spans="1:24">
      <c r="A137" s="7" t="s">
        <v>225</v>
      </c>
      <c r="B137" s="16" t="s">
        <v>143</v>
      </c>
      <c r="C137">
        <v>343456152.52835548</v>
      </c>
      <c r="D137">
        <v>336781984.27610892</v>
      </c>
      <c r="E137">
        <v>497297.29729729902</v>
      </c>
      <c r="F137">
        <v>3718918.9189189211</v>
      </c>
      <c r="G137">
        <v>79</v>
      </c>
      <c r="H137">
        <v>99</v>
      </c>
      <c r="I137">
        <v>15</v>
      </c>
      <c r="J137">
        <v>7</v>
      </c>
      <c r="K137">
        <v>3</v>
      </c>
      <c r="M137">
        <v>92</v>
      </c>
      <c r="N137">
        <v>154</v>
      </c>
      <c r="O137">
        <v>19597117.117117122</v>
      </c>
      <c r="P137">
        <v>22091891.891891897</v>
      </c>
      <c r="Q137">
        <v>218</v>
      </c>
      <c r="R137">
        <v>119</v>
      </c>
      <c r="S137">
        <v>37281810.810810804</v>
      </c>
      <c r="T137">
        <v>42562204.054054059</v>
      </c>
      <c r="U137">
        <v>14307747.747747747</v>
      </c>
      <c r="V137">
        <v>13590810.810810812</v>
      </c>
      <c r="W137">
        <v>5736</v>
      </c>
      <c r="X137">
        <v>5926</v>
      </c>
    </row>
    <row r="138" spans="1:24">
      <c r="A138" s="7" t="s">
        <v>226</v>
      </c>
      <c r="B138" s="16" t="s">
        <v>224</v>
      </c>
      <c r="C138">
        <v>41666140.194764994</v>
      </c>
      <c r="D138">
        <v>39538666.793722257</v>
      </c>
      <c r="E138">
        <v>4504.5045045050001</v>
      </c>
      <c r="F138">
        <v>121621.62162162201</v>
      </c>
      <c r="G138">
        <v>8</v>
      </c>
      <c r="H138">
        <v>13</v>
      </c>
      <c r="I138">
        <v>3</v>
      </c>
      <c r="J138">
        <v>2</v>
      </c>
      <c r="M138">
        <v>9</v>
      </c>
      <c r="N138">
        <v>15</v>
      </c>
      <c r="O138">
        <v>5937117.1171171162</v>
      </c>
      <c r="P138">
        <v>4954054.0540540544</v>
      </c>
      <c r="Q138">
        <v>35</v>
      </c>
      <c r="R138">
        <v>25</v>
      </c>
      <c r="S138">
        <v>8969459.4594594594</v>
      </c>
      <c r="T138">
        <v>10414671.171171172</v>
      </c>
      <c r="U138">
        <v>4975765.7657657657</v>
      </c>
      <c r="V138">
        <v>4508108.1081081089</v>
      </c>
      <c r="W138">
        <v>766</v>
      </c>
      <c r="X138">
        <v>822</v>
      </c>
    </row>
    <row r="139" spans="1:24">
      <c r="A139" s="7" t="s">
        <v>227</v>
      </c>
      <c r="B139" s="16" t="s">
        <v>78</v>
      </c>
      <c r="C139">
        <v>334465149.1082018</v>
      </c>
      <c r="D139">
        <v>316650284.90322155</v>
      </c>
      <c r="E139">
        <v>1499099.099099102</v>
      </c>
      <c r="F139">
        <v>4063963.963963965</v>
      </c>
      <c r="G139">
        <v>65</v>
      </c>
      <c r="H139">
        <v>66</v>
      </c>
      <c r="I139">
        <v>7</v>
      </c>
      <c r="J139">
        <v>13</v>
      </c>
      <c r="M139">
        <v>71</v>
      </c>
      <c r="N139">
        <v>76</v>
      </c>
      <c r="O139">
        <v>27775585.585585587</v>
      </c>
      <c r="P139">
        <v>39742612.612612605</v>
      </c>
      <c r="Q139">
        <v>150</v>
      </c>
      <c r="R139">
        <v>87</v>
      </c>
      <c r="S139">
        <v>127373097.2972973</v>
      </c>
      <c r="T139">
        <v>126797396.3963964</v>
      </c>
      <c r="U139">
        <v>25393827.02702703</v>
      </c>
      <c r="V139">
        <v>34571891.891891889</v>
      </c>
      <c r="W139">
        <v>4960</v>
      </c>
      <c r="X139">
        <v>4561</v>
      </c>
    </row>
    <row r="140" spans="1:24">
      <c r="A140" s="7" t="s">
        <v>228</v>
      </c>
      <c r="B140" s="16" t="s">
        <v>136</v>
      </c>
      <c r="C140">
        <v>455627443.03038543</v>
      </c>
      <c r="D140">
        <v>417884803.08627284</v>
      </c>
      <c r="E140">
        <v>863288.28828829003</v>
      </c>
      <c r="F140">
        <v>3229954.9549549581</v>
      </c>
      <c r="G140">
        <v>109</v>
      </c>
      <c r="H140">
        <v>105</v>
      </c>
      <c r="I140">
        <v>10</v>
      </c>
      <c r="J140">
        <v>12</v>
      </c>
      <c r="M140">
        <v>127</v>
      </c>
      <c r="N140">
        <v>122</v>
      </c>
      <c r="O140">
        <v>68416846.846846849</v>
      </c>
      <c r="P140">
        <v>46462162.162162162</v>
      </c>
      <c r="Q140">
        <v>155</v>
      </c>
      <c r="R140">
        <v>139</v>
      </c>
      <c r="S140">
        <v>95848677.477477476</v>
      </c>
      <c r="T140">
        <v>97930950.45045045</v>
      </c>
      <c r="U140">
        <v>58463333.333333328</v>
      </c>
      <c r="V140">
        <v>38282612.612612605</v>
      </c>
      <c r="W140">
        <v>7760</v>
      </c>
      <c r="X140">
        <v>7634</v>
      </c>
    </row>
    <row r="141" spans="1:24">
      <c r="A141" s="7" t="s">
        <v>229</v>
      </c>
      <c r="B141" s="16" t="s">
        <v>78</v>
      </c>
      <c r="C141">
        <v>117142602.00729658</v>
      </c>
      <c r="D141">
        <v>119378376.34691566</v>
      </c>
      <c r="E141">
        <v>3613063.0630630641</v>
      </c>
      <c r="F141">
        <v>4403153.1531531522</v>
      </c>
      <c r="G141">
        <v>40</v>
      </c>
      <c r="H141">
        <v>46</v>
      </c>
      <c r="I141">
        <v>1</v>
      </c>
      <c r="J141">
        <v>3</v>
      </c>
      <c r="M141">
        <v>42</v>
      </c>
      <c r="N141">
        <v>54</v>
      </c>
      <c r="O141">
        <v>19378828.82882883</v>
      </c>
      <c r="P141">
        <v>24316216.216216218</v>
      </c>
      <c r="Q141">
        <v>21</v>
      </c>
      <c r="R141">
        <v>19</v>
      </c>
      <c r="S141">
        <v>53600765.765765771</v>
      </c>
      <c r="T141">
        <v>57364845.045045048</v>
      </c>
      <c r="U141">
        <v>18929009.009009007</v>
      </c>
      <c r="V141">
        <v>25994277.47747748</v>
      </c>
      <c r="W141">
        <v>2540</v>
      </c>
      <c r="X141">
        <v>2494</v>
      </c>
    </row>
    <row r="142" spans="1:24">
      <c r="A142" s="7" t="s">
        <v>230</v>
      </c>
      <c r="B142" s="16" t="s">
        <v>54</v>
      </c>
      <c r="C142">
        <v>362855766.06357312</v>
      </c>
      <c r="D142">
        <v>346946849.42228019</v>
      </c>
      <c r="E142">
        <v>637162.16216216504</v>
      </c>
      <c r="F142">
        <v>993693.69369369396</v>
      </c>
      <c r="G142">
        <v>59</v>
      </c>
      <c r="H142">
        <v>36</v>
      </c>
      <c r="I142">
        <v>12</v>
      </c>
      <c r="J142">
        <v>8</v>
      </c>
      <c r="M142">
        <v>66</v>
      </c>
      <c r="N142">
        <v>52</v>
      </c>
      <c r="O142">
        <v>9568468.4684684686</v>
      </c>
      <c r="P142">
        <v>23568468.468468472</v>
      </c>
      <c r="Q142">
        <v>97</v>
      </c>
      <c r="R142">
        <v>1849</v>
      </c>
      <c r="S142">
        <v>82628108.108108118</v>
      </c>
      <c r="T142">
        <v>85500536.936936945</v>
      </c>
      <c r="U142">
        <v>10757387.387387386</v>
      </c>
      <c r="V142">
        <v>26369099.0990991</v>
      </c>
      <c r="W142">
        <v>6699</v>
      </c>
      <c r="X142">
        <v>6749</v>
      </c>
    </row>
    <row r="143" spans="1:24">
      <c r="A143" s="7" t="s">
        <v>231</v>
      </c>
      <c r="B143" s="16" t="s">
        <v>78</v>
      </c>
      <c r="C143">
        <v>139035030.42121658</v>
      </c>
      <c r="D143">
        <v>133622439.6387127</v>
      </c>
      <c r="E143">
        <v>486486.48648649</v>
      </c>
      <c r="F143">
        <v>3396396.3963963971</v>
      </c>
      <c r="G143">
        <v>71</v>
      </c>
      <c r="H143">
        <v>64</v>
      </c>
      <c r="I143">
        <v>13</v>
      </c>
      <c r="J143">
        <v>11</v>
      </c>
      <c r="M143">
        <v>79</v>
      </c>
      <c r="N143">
        <v>77</v>
      </c>
      <c r="O143">
        <v>33413693.693693694</v>
      </c>
      <c r="P143">
        <v>31474774.774774775</v>
      </c>
      <c r="Q143">
        <v>36</v>
      </c>
      <c r="R143">
        <v>119</v>
      </c>
      <c r="S143">
        <v>65281126.126126125</v>
      </c>
      <c r="T143">
        <v>63333819.819819823</v>
      </c>
      <c r="U143">
        <v>34040540.540540539</v>
      </c>
      <c r="V143">
        <v>33717027.027027026</v>
      </c>
      <c r="W143">
        <v>4032</v>
      </c>
      <c r="X143">
        <v>4023</v>
      </c>
    </row>
    <row r="144" spans="1:24">
      <c r="A144" s="7" t="s">
        <v>232</v>
      </c>
      <c r="B144" s="16" t="s">
        <v>60</v>
      </c>
      <c r="C144">
        <v>116873875.647293</v>
      </c>
      <c r="D144">
        <v>120558131.92370449</v>
      </c>
      <c r="E144">
        <v>2702.7027027029999</v>
      </c>
      <c r="G144">
        <v>20</v>
      </c>
      <c r="H144">
        <v>43</v>
      </c>
      <c r="I144">
        <v>1</v>
      </c>
      <c r="M144">
        <v>20</v>
      </c>
      <c r="N144">
        <v>48</v>
      </c>
      <c r="O144">
        <v>83783.783783784005</v>
      </c>
      <c r="Q144">
        <v>3</v>
      </c>
      <c r="S144">
        <v>46463783.783783786</v>
      </c>
      <c r="T144">
        <v>49996216.216216214</v>
      </c>
      <c r="U144">
        <v>81081.081081081007</v>
      </c>
      <c r="W144">
        <v>1975</v>
      </c>
      <c r="X144">
        <v>1975</v>
      </c>
    </row>
    <row r="145" spans="1:24">
      <c r="A145" s="7" t="s">
        <v>233</v>
      </c>
      <c r="B145" s="16" t="s">
        <v>54</v>
      </c>
      <c r="C145">
        <v>57888184.20078709</v>
      </c>
      <c r="D145">
        <v>58310972.054435901</v>
      </c>
      <c r="E145">
        <v>573873.87387387396</v>
      </c>
      <c r="F145">
        <v>99099.0990991</v>
      </c>
      <c r="G145">
        <v>33</v>
      </c>
      <c r="H145">
        <v>42</v>
      </c>
      <c r="I145">
        <v>1</v>
      </c>
      <c r="J145">
        <v>0</v>
      </c>
      <c r="M145">
        <v>49</v>
      </c>
      <c r="N145">
        <v>61</v>
      </c>
      <c r="O145">
        <v>3218018.0180180161</v>
      </c>
      <c r="P145">
        <v>2337207.2072072071</v>
      </c>
      <c r="Q145">
        <v>60</v>
      </c>
      <c r="R145">
        <v>23</v>
      </c>
      <c r="S145">
        <v>11952207.207207208</v>
      </c>
      <c r="T145">
        <v>12847963.963963963</v>
      </c>
      <c r="U145">
        <v>3961711.7117117122</v>
      </c>
      <c r="V145">
        <v>2580270.2702702698</v>
      </c>
      <c r="W145">
        <v>1088</v>
      </c>
      <c r="X145">
        <v>1021</v>
      </c>
    </row>
    <row r="146" spans="1:24">
      <c r="A146" s="7" t="s">
        <v>234</v>
      </c>
      <c r="B146" s="16" t="s">
        <v>167</v>
      </c>
      <c r="C146">
        <v>272514768.94305533</v>
      </c>
      <c r="D146">
        <v>268369156.6362721</v>
      </c>
      <c r="E146">
        <v>31531.531531532</v>
      </c>
      <c r="F146">
        <v>391891.89189189201</v>
      </c>
      <c r="G146">
        <v>79</v>
      </c>
      <c r="H146">
        <v>15</v>
      </c>
      <c r="I146">
        <v>1</v>
      </c>
      <c r="J146">
        <v>2</v>
      </c>
      <c r="M146">
        <v>92</v>
      </c>
      <c r="N146">
        <v>24</v>
      </c>
      <c r="O146">
        <v>22950450.450450446</v>
      </c>
      <c r="P146">
        <v>32601249.54954955</v>
      </c>
      <c r="Q146">
        <v>9</v>
      </c>
      <c r="R146">
        <v>2</v>
      </c>
      <c r="S146">
        <v>75230189.189189181</v>
      </c>
      <c r="T146">
        <v>74591175.675675675</v>
      </c>
      <c r="U146">
        <v>18417881.081081081</v>
      </c>
      <c r="V146">
        <v>14622072.072072072</v>
      </c>
      <c r="W146">
        <v>4897</v>
      </c>
      <c r="X146">
        <v>5038</v>
      </c>
    </row>
    <row r="147" spans="1:24">
      <c r="A147" s="7" t="s">
        <v>235</v>
      </c>
      <c r="B147" s="16" t="s">
        <v>236</v>
      </c>
      <c r="C147">
        <v>6196.4937303839997</v>
      </c>
      <c r="D147">
        <v>2169.590625112</v>
      </c>
      <c r="E147">
        <v>103557882.88288288</v>
      </c>
      <c r="F147">
        <v>106914414.41441442</v>
      </c>
      <c r="O147">
        <v>1036036.036036036</v>
      </c>
      <c r="P147">
        <v>2259909.9099099101</v>
      </c>
      <c r="T147">
        <v>9009.0090090089998</v>
      </c>
    </row>
    <row r="148" spans="1:24">
      <c r="A148" s="7" t="s">
        <v>237</v>
      </c>
      <c r="B148" s="16" t="s">
        <v>105</v>
      </c>
      <c r="C148">
        <v>166322177.29524499</v>
      </c>
      <c r="D148">
        <v>157451495.31680369</v>
      </c>
      <c r="E148">
        <v>267927.92792792799</v>
      </c>
      <c r="F148">
        <v>935135.13513513503</v>
      </c>
      <c r="G148">
        <v>33</v>
      </c>
      <c r="H148">
        <v>21</v>
      </c>
      <c r="I148">
        <v>1</v>
      </c>
      <c r="J148">
        <v>0</v>
      </c>
      <c r="M148">
        <v>36</v>
      </c>
      <c r="N148">
        <v>23</v>
      </c>
      <c r="O148">
        <v>21827657.657657661</v>
      </c>
      <c r="P148">
        <v>27026666.666666668</v>
      </c>
      <c r="Q148">
        <v>45</v>
      </c>
      <c r="R148">
        <v>50</v>
      </c>
      <c r="S148">
        <v>47724133.333333336</v>
      </c>
      <c r="T148">
        <v>46267234.234234229</v>
      </c>
      <c r="U148">
        <v>21682926.126126129</v>
      </c>
      <c r="V148">
        <v>25167837.837837838</v>
      </c>
      <c r="W148">
        <v>2011</v>
      </c>
      <c r="X148">
        <v>1941</v>
      </c>
    </row>
    <row r="149" spans="1:24">
      <c r="A149" s="7" t="s">
        <v>3</v>
      </c>
      <c r="B149" s="16" t="s">
        <v>158</v>
      </c>
      <c r="C149">
        <v>328202777.75923812</v>
      </c>
      <c r="D149">
        <v>323180944.00703323</v>
      </c>
      <c r="E149">
        <v>3265540.5405405411</v>
      </c>
      <c r="F149">
        <v>4719594.5945945978</v>
      </c>
      <c r="G149">
        <v>49</v>
      </c>
      <c r="H149">
        <v>51</v>
      </c>
      <c r="I149">
        <v>20</v>
      </c>
      <c r="J149">
        <v>9</v>
      </c>
      <c r="M149">
        <v>52</v>
      </c>
      <c r="N149">
        <v>57</v>
      </c>
      <c r="O149">
        <v>64537387.387387395</v>
      </c>
      <c r="P149">
        <v>63159459.459459454</v>
      </c>
      <c r="Q149">
        <v>102</v>
      </c>
      <c r="R149">
        <v>74</v>
      </c>
      <c r="S149">
        <v>87241081.081081092</v>
      </c>
      <c r="T149">
        <v>89461063.063063055</v>
      </c>
      <c r="U149">
        <v>60443423.423423424</v>
      </c>
      <c r="V149">
        <v>58155765.765765756</v>
      </c>
      <c r="W149">
        <v>3732</v>
      </c>
      <c r="X149">
        <v>3823</v>
      </c>
    </row>
    <row r="150" spans="1:24">
      <c r="A150" s="7" t="s">
        <v>238</v>
      </c>
      <c r="B150" s="16" t="s">
        <v>178</v>
      </c>
      <c r="C150">
        <v>290225841.03726047</v>
      </c>
      <c r="D150">
        <v>248248210.43528289</v>
      </c>
      <c r="E150">
        <v>184281981.98198199</v>
      </c>
      <c r="F150">
        <v>5709009.0090090092</v>
      </c>
      <c r="G150">
        <v>64</v>
      </c>
      <c r="H150">
        <v>51</v>
      </c>
      <c r="I150">
        <v>3</v>
      </c>
      <c r="J150">
        <v>4</v>
      </c>
      <c r="M150">
        <v>70</v>
      </c>
      <c r="N150">
        <v>87</v>
      </c>
      <c r="O150">
        <v>35438890.090090089</v>
      </c>
      <c r="P150">
        <v>39792792.79279279</v>
      </c>
      <c r="S150">
        <v>88750243.243243247</v>
      </c>
      <c r="T150">
        <v>79252711.711711705</v>
      </c>
      <c r="U150">
        <v>24948918.918918919</v>
      </c>
      <c r="V150">
        <v>30047387.387387387</v>
      </c>
      <c r="W150">
        <v>5596</v>
      </c>
      <c r="X150">
        <v>5385</v>
      </c>
    </row>
    <row r="151" spans="1:24">
      <c r="A151" s="7" t="s">
        <v>239</v>
      </c>
      <c r="B151" s="16" t="s">
        <v>54</v>
      </c>
      <c r="C151">
        <v>198014672.34555379</v>
      </c>
      <c r="D151">
        <v>179576370.46587998</v>
      </c>
      <c r="E151">
        <v>2586801.8018018021</v>
      </c>
      <c r="F151">
        <v>3918018.0180180189</v>
      </c>
      <c r="G151">
        <v>47</v>
      </c>
      <c r="H151">
        <v>32</v>
      </c>
      <c r="I151">
        <v>4</v>
      </c>
      <c r="J151">
        <v>4</v>
      </c>
      <c r="M151">
        <v>51</v>
      </c>
      <c r="N151">
        <v>34</v>
      </c>
      <c r="O151">
        <v>23472612.612612613</v>
      </c>
      <c r="P151">
        <v>23161621.62162162</v>
      </c>
      <c r="Q151">
        <v>90</v>
      </c>
      <c r="R151">
        <v>27</v>
      </c>
      <c r="S151">
        <v>56729807.20720721</v>
      </c>
      <c r="T151">
        <v>50559077.477477483</v>
      </c>
      <c r="U151">
        <v>22534547.747747745</v>
      </c>
      <c r="V151">
        <v>21759906.306306303</v>
      </c>
      <c r="W151">
        <v>3400</v>
      </c>
      <c r="X151">
        <v>3520</v>
      </c>
    </row>
    <row r="152" spans="1:24">
      <c r="A152" s="7" t="s">
        <v>240</v>
      </c>
      <c r="B152" s="16" t="s">
        <v>241</v>
      </c>
      <c r="C152">
        <v>168717204.95433992</v>
      </c>
      <c r="D152">
        <v>154726919.48318571</v>
      </c>
      <c r="E152">
        <v>76165990.990990996</v>
      </c>
      <c r="F152">
        <v>117420720.72072072</v>
      </c>
      <c r="G152">
        <v>74</v>
      </c>
      <c r="H152">
        <v>68</v>
      </c>
      <c r="I152">
        <v>6</v>
      </c>
      <c r="J152">
        <v>5</v>
      </c>
      <c r="M152">
        <v>84</v>
      </c>
      <c r="N152">
        <v>78</v>
      </c>
      <c r="O152">
        <v>140417117.11711711</v>
      </c>
      <c r="P152">
        <v>33425405.40540541</v>
      </c>
      <c r="Q152">
        <v>138</v>
      </c>
      <c r="R152">
        <v>47</v>
      </c>
      <c r="S152">
        <v>39799954.954954952</v>
      </c>
      <c r="T152">
        <v>36204232.432432435</v>
      </c>
      <c r="U152">
        <v>126784054.05405405</v>
      </c>
      <c r="V152">
        <v>25983153.153153151</v>
      </c>
      <c r="W152">
        <v>2691</v>
      </c>
      <c r="X152">
        <v>2826</v>
      </c>
    </row>
    <row r="153" spans="1:24">
      <c r="A153" s="7" t="s">
        <v>242</v>
      </c>
      <c r="B153" s="16" t="s">
        <v>241</v>
      </c>
      <c r="C153">
        <v>420495162.62889582</v>
      </c>
      <c r="D153">
        <v>401812077.72290862</v>
      </c>
      <c r="E153">
        <v>230593584.68468466</v>
      </c>
      <c r="F153">
        <v>210849144.14414412</v>
      </c>
      <c r="G153">
        <v>213</v>
      </c>
      <c r="H153">
        <v>156</v>
      </c>
      <c r="I153">
        <v>25</v>
      </c>
      <c r="J153">
        <v>20</v>
      </c>
      <c r="K153">
        <v>1</v>
      </c>
      <c r="M153">
        <v>234</v>
      </c>
      <c r="N153">
        <v>184</v>
      </c>
      <c r="O153">
        <v>150531403.6036036</v>
      </c>
      <c r="P153">
        <v>145152342.34234235</v>
      </c>
      <c r="Q153">
        <v>363</v>
      </c>
      <c r="R153">
        <v>225</v>
      </c>
      <c r="S153">
        <v>127250540.54054055</v>
      </c>
      <c r="T153">
        <v>119115666.66666667</v>
      </c>
      <c r="U153">
        <v>115365855.85585585</v>
      </c>
      <c r="V153">
        <v>123299099.0990991</v>
      </c>
      <c r="W153">
        <v>6658</v>
      </c>
      <c r="X153">
        <v>6717</v>
      </c>
    </row>
    <row r="154" spans="1:24">
      <c r="A154" s="7" t="s">
        <v>243</v>
      </c>
      <c r="B154" s="16" t="s">
        <v>50</v>
      </c>
      <c r="C154">
        <v>69377091.238169715</v>
      </c>
      <c r="D154">
        <v>70946283.705529466</v>
      </c>
      <c r="E154">
        <v>409799026.12612617</v>
      </c>
      <c r="F154">
        <v>929474504.50450444</v>
      </c>
      <c r="G154">
        <v>15</v>
      </c>
      <c r="H154">
        <v>13</v>
      </c>
      <c r="I154">
        <v>7</v>
      </c>
      <c r="J154">
        <v>2</v>
      </c>
      <c r="M154">
        <v>15</v>
      </c>
      <c r="N154">
        <v>25</v>
      </c>
      <c r="O154">
        <v>37949684.684684686</v>
      </c>
      <c r="P154">
        <v>19067477.477477476</v>
      </c>
      <c r="Q154">
        <v>9</v>
      </c>
      <c r="R154">
        <v>38</v>
      </c>
      <c r="S154">
        <v>25314864.864864863</v>
      </c>
      <c r="T154">
        <v>23131810.810810812</v>
      </c>
      <c r="U154">
        <v>16311171.17117117</v>
      </c>
      <c r="V154">
        <v>15487027.027027028</v>
      </c>
      <c r="W154">
        <v>1149</v>
      </c>
      <c r="X154">
        <v>1208</v>
      </c>
    </row>
    <row r="155" spans="1:24">
      <c r="A155" s="7" t="s">
        <v>244</v>
      </c>
      <c r="B155" s="16" t="s">
        <v>181</v>
      </c>
      <c r="C155">
        <v>2345122021.7506351</v>
      </c>
      <c r="D155">
        <v>2206908368.599854</v>
      </c>
      <c r="E155">
        <v>297000769.36936939</v>
      </c>
      <c r="F155">
        <v>230116297.29729727</v>
      </c>
      <c r="G155">
        <v>1093</v>
      </c>
      <c r="H155">
        <v>916</v>
      </c>
      <c r="I155">
        <v>100</v>
      </c>
      <c r="J155">
        <v>92</v>
      </c>
      <c r="K155">
        <v>19</v>
      </c>
      <c r="M155">
        <v>1272</v>
      </c>
      <c r="N155">
        <v>1480</v>
      </c>
      <c r="O155">
        <v>244696756.75675672</v>
      </c>
      <c r="P155">
        <v>321055765.76576579</v>
      </c>
      <c r="Q155">
        <v>1579</v>
      </c>
      <c r="R155">
        <v>971</v>
      </c>
      <c r="S155">
        <v>474227518.91891891</v>
      </c>
      <c r="T155">
        <v>490342293.6936937</v>
      </c>
      <c r="U155">
        <v>238983513.51351351</v>
      </c>
      <c r="V155">
        <v>316205495.4954955</v>
      </c>
      <c r="W155">
        <v>44394</v>
      </c>
      <c r="X155">
        <v>43957</v>
      </c>
    </row>
    <row r="156" spans="1:24">
      <c r="A156" s="7" t="s">
        <v>245</v>
      </c>
      <c r="B156" s="16" t="s">
        <v>48</v>
      </c>
      <c r="C156">
        <v>99852390.866472781</v>
      </c>
      <c r="D156">
        <v>95281676.484799743</v>
      </c>
      <c r="E156">
        <v>278378.37837837898</v>
      </c>
      <c r="F156">
        <v>2002027.0270270279</v>
      </c>
      <c r="G156">
        <v>11</v>
      </c>
      <c r="H156">
        <v>7</v>
      </c>
      <c r="I156">
        <v>5</v>
      </c>
      <c r="J156">
        <v>7</v>
      </c>
      <c r="M156">
        <v>25</v>
      </c>
      <c r="N156">
        <v>19</v>
      </c>
      <c r="O156">
        <v>11316756.756756758</v>
      </c>
      <c r="P156">
        <v>22070450.450450446</v>
      </c>
      <c r="R156">
        <v>25</v>
      </c>
      <c r="S156">
        <v>23721297.297297295</v>
      </c>
      <c r="T156">
        <v>22953567.567567568</v>
      </c>
      <c r="U156">
        <v>12243063.063063065</v>
      </c>
      <c r="V156">
        <v>23357477.47747748</v>
      </c>
      <c r="W156">
        <v>1850</v>
      </c>
      <c r="X156">
        <v>1885</v>
      </c>
    </row>
    <row r="157" spans="1:24">
      <c r="A157" s="7" t="s">
        <v>246</v>
      </c>
      <c r="B157" s="16" t="s">
        <v>94</v>
      </c>
      <c r="C157">
        <v>42301694.887067169</v>
      </c>
      <c r="D157">
        <v>28572257.425225992</v>
      </c>
      <c r="G157">
        <v>6</v>
      </c>
      <c r="H157">
        <v>5</v>
      </c>
      <c r="J157">
        <v>0</v>
      </c>
      <c r="M157">
        <v>7</v>
      </c>
      <c r="N157">
        <v>5</v>
      </c>
      <c r="S157">
        <v>7733621.6216216218</v>
      </c>
      <c r="T157">
        <v>5606945.9459459456</v>
      </c>
      <c r="W157">
        <v>707</v>
      </c>
      <c r="X157">
        <v>691</v>
      </c>
    </row>
    <row r="158" spans="1:24">
      <c r="A158" s="7" t="s">
        <v>247</v>
      </c>
      <c r="B158" s="16" t="s">
        <v>117</v>
      </c>
      <c r="C158">
        <v>89049888.068329632</v>
      </c>
      <c r="D158">
        <v>89349885.871115193</v>
      </c>
      <c r="E158">
        <v>766128.82882883004</v>
      </c>
      <c r="F158">
        <v>2009735.1351351361</v>
      </c>
      <c r="G158">
        <v>31</v>
      </c>
      <c r="H158">
        <v>11</v>
      </c>
      <c r="I158">
        <v>7</v>
      </c>
      <c r="J158">
        <v>3</v>
      </c>
      <c r="M158">
        <v>33</v>
      </c>
      <c r="N158">
        <v>14</v>
      </c>
      <c r="O158">
        <v>19741727.927927926</v>
      </c>
      <c r="P158">
        <v>15876778.37837838</v>
      </c>
      <c r="Q158">
        <v>89</v>
      </c>
      <c r="R158">
        <v>56</v>
      </c>
      <c r="S158">
        <v>42798828.828828834</v>
      </c>
      <c r="T158">
        <v>42489252.252252258</v>
      </c>
      <c r="U158">
        <v>19861441.441441439</v>
      </c>
      <c r="V158">
        <v>16465405.405405404</v>
      </c>
      <c r="W158">
        <v>1700</v>
      </c>
      <c r="X158">
        <v>1752</v>
      </c>
    </row>
    <row r="159" spans="1:24">
      <c r="A159" s="7" t="s">
        <v>248</v>
      </c>
      <c r="B159" s="16" t="s">
        <v>121</v>
      </c>
      <c r="C159">
        <v>151101348.33395615</v>
      </c>
      <c r="D159">
        <v>145593117.37425956</v>
      </c>
      <c r="E159">
        <v>103153.15315315399</v>
      </c>
      <c r="F159">
        <v>901801.80180180201</v>
      </c>
      <c r="G159">
        <v>157</v>
      </c>
      <c r="H159">
        <v>86</v>
      </c>
      <c r="I159">
        <v>4</v>
      </c>
      <c r="J159">
        <v>5</v>
      </c>
      <c r="M159">
        <v>169</v>
      </c>
      <c r="N159">
        <v>91</v>
      </c>
      <c r="O159">
        <v>8357657.6576576568</v>
      </c>
      <c r="P159">
        <v>6815315.3153153136</v>
      </c>
      <c r="Q159">
        <v>232</v>
      </c>
      <c r="R159">
        <v>14</v>
      </c>
      <c r="S159">
        <v>17703927.927927926</v>
      </c>
      <c r="T159">
        <v>16882711.711711712</v>
      </c>
      <c r="U159">
        <v>9441891.8918918911</v>
      </c>
      <c r="V159">
        <v>4895765.7657657648</v>
      </c>
      <c r="W159">
        <v>2398</v>
      </c>
      <c r="X159">
        <v>2338</v>
      </c>
    </row>
    <row r="160" spans="1:24">
      <c r="A160" s="7" t="s">
        <v>249</v>
      </c>
      <c r="B160" s="16" t="s">
        <v>76</v>
      </c>
      <c r="C160">
        <v>70611698.595779315</v>
      </c>
      <c r="D160">
        <v>63415127.101026133</v>
      </c>
      <c r="G160">
        <v>7</v>
      </c>
      <c r="H160">
        <v>5</v>
      </c>
      <c r="I160">
        <v>0</v>
      </c>
      <c r="J160">
        <v>0</v>
      </c>
      <c r="M160">
        <v>10</v>
      </c>
      <c r="N160">
        <v>7</v>
      </c>
      <c r="S160">
        <v>7626468.4684684677</v>
      </c>
      <c r="T160">
        <v>6295270.2702702703</v>
      </c>
      <c r="W160">
        <v>1704</v>
      </c>
      <c r="X160">
        <v>1696</v>
      </c>
    </row>
    <row r="161" spans="1:24">
      <c r="A161" s="7" t="s">
        <v>250</v>
      </c>
      <c r="B161" s="16" t="s">
        <v>167</v>
      </c>
      <c r="C161">
        <v>222602151.73339489</v>
      </c>
      <c r="D161">
        <v>205219310.90111032</v>
      </c>
      <c r="G161">
        <v>33</v>
      </c>
      <c r="H161">
        <v>14</v>
      </c>
      <c r="M161">
        <v>43</v>
      </c>
      <c r="N161">
        <v>42</v>
      </c>
      <c r="O161">
        <v>6925405.405405405</v>
      </c>
      <c r="P161">
        <v>3612612.6126126111</v>
      </c>
      <c r="Q161">
        <v>9</v>
      </c>
      <c r="S161">
        <v>41698333.333333336</v>
      </c>
      <c r="T161">
        <v>38365846.846846849</v>
      </c>
      <c r="U161">
        <v>3400180.1801801799</v>
      </c>
      <c r="V161">
        <v>2820000</v>
      </c>
      <c r="W161">
        <v>3833</v>
      </c>
      <c r="X161">
        <v>3680</v>
      </c>
    </row>
    <row r="162" spans="1:24">
      <c r="A162" s="7" t="s">
        <v>251</v>
      </c>
      <c r="B162" s="16" t="s">
        <v>89</v>
      </c>
      <c r="C162">
        <v>612101654.6477623</v>
      </c>
      <c r="D162">
        <v>602753761.24789464</v>
      </c>
      <c r="E162">
        <v>7477837.8378378469</v>
      </c>
      <c r="F162">
        <v>5190540.5405405434</v>
      </c>
      <c r="G162">
        <v>55</v>
      </c>
      <c r="H162">
        <v>110</v>
      </c>
      <c r="I162">
        <v>38</v>
      </c>
      <c r="J162">
        <v>40</v>
      </c>
      <c r="M162">
        <v>62</v>
      </c>
      <c r="N162">
        <v>125</v>
      </c>
      <c r="O162">
        <v>60931351.351351351</v>
      </c>
      <c r="P162">
        <v>53766756.756756753</v>
      </c>
      <c r="Q162">
        <v>577</v>
      </c>
      <c r="R162">
        <v>527</v>
      </c>
      <c r="S162">
        <v>147709623.42342341</v>
      </c>
      <c r="T162">
        <v>148180090.09009007</v>
      </c>
      <c r="U162">
        <v>58042522.522522517</v>
      </c>
      <c r="V162">
        <v>50551801.801801801</v>
      </c>
      <c r="W162">
        <v>10259</v>
      </c>
      <c r="X162">
        <v>10106</v>
      </c>
    </row>
    <row r="163" spans="1:24">
      <c r="A163" s="7" t="s">
        <v>252</v>
      </c>
      <c r="B163" s="16" t="s">
        <v>78</v>
      </c>
      <c r="C163">
        <v>184999902.26931801</v>
      </c>
      <c r="D163">
        <v>177860826.74805373</v>
      </c>
      <c r="E163">
        <v>695495.49549549504</v>
      </c>
      <c r="F163">
        <v>2654054.0540540572</v>
      </c>
      <c r="G163">
        <v>41</v>
      </c>
      <c r="H163">
        <v>27</v>
      </c>
      <c r="I163">
        <v>4</v>
      </c>
      <c r="J163">
        <v>12</v>
      </c>
      <c r="M163">
        <v>43</v>
      </c>
      <c r="N163">
        <v>32</v>
      </c>
      <c r="O163">
        <v>20687297.297297295</v>
      </c>
      <c r="P163">
        <v>35537567.567567565</v>
      </c>
      <c r="Q163">
        <v>27</v>
      </c>
      <c r="R163">
        <v>71</v>
      </c>
      <c r="S163">
        <v>51515792.79279279</v>
      </c>
      <c r="T163">
        <v>50111486.486486487</v>
      </c>
      <c r="U163">
        <v>20707567.567567568</v>
      </c>
      <c r="V163">
        <v>33364594.594594598</v>
      </c>
      <c r="W163">
        <v>2907</v>
      </c>
      <c r="X163">
        <v>3261</v>
      </c>
    </row>
    <row r="164" spans="1:24">
      <c r="A164" s="7" t="s">
        <v>253</v>
      </c>
      <c r="B164" s="16" t="s">
        <v>105</v>
      </c>
      <c r="C164">
        <v>357931959.11500537</v>
      </c>
      <c r="D164">
        <v>348946670.03402942</v>
      </c>
      <c r="E164">
        <v>57387668.468468472</v>
      </c>
      <c r="F164">
        <v>172756273.87387389</v>
      </c>
      <c r="G164">
        <v>129</v>
      </c>
      <c r="H164">
        <v>152</v>
      </c>
      <c r="I164">
        <v>13</v>
      </c>
      <c r="J164">
        <v>18</v>
      </c>
      <c r="K164">
        <v>1</v>
      </c>
      <c r="M164">
        <v>233</v>
      </c>
      <c r="N164">
        <v>206</v>
      </c>
      <c r="O164">
        <v>85225315.315315306</v>
      </c>
      <c r="P164">
        <v>66816036.036036029</v>
      </c>
      <c r="Q164">
        <v>230</v>
      </c>
      <c r="R164">
        <v>361</v>
      </c>
      <c r="S164">
        <v>105231504.50450452</v>
      </c>
      <c r="T164">
        <v>102038621.62162161</v>
      </c>
      <c r="U164">
        <v>82735495.495495498</v>
      </c>
      <c r="V164">
        <v>66814774.774774775</v>
      </c>
      <c r="W164">
        <v>5501</v>
      </c>
      <c r="X164">
        <v>5437</v>
      </c>
    </row>
    <row r="165" spans="1:24">
      <c r="A165" s="7" t="s">
        <v>254</v>
      </c>
      <c r="B165" s="16" t="s">
        <v>105</v>
      </c>
      <c r="C165">
        <v>228249660.86307913</v>
      </c>
      <c r="D165">
        <v>230988253.47848573</v>
      </c>
      <c r="E165">
        <v>1962162.1621621619</v>
      </c>
      <c r="F165">
        <v>2497972.972972976</v>
      </c>
      <c r="G165">
        <v>36</v>
      </c>
      <c r="H165">
        <v>27</v>
      </c>
      <c r="I165">
        <v>3</v>
      </c>
      <c r="J165">
        <v>1</v>
      </c>
      <c r="M165">
        <v>42</v>
      </c>
      <c r="N165">
        <v>33</v>
      </c>
      <c r="O165">
        <v>18321261.261261266</v>
      </c>
      <c r="P165">
        <v>20424684.684684683</v>
      </c>
      <c r="Q165">
        <v>74</v>
      </c>
      <c r="R165">
        <v>45</v>
      </c>
      <c r="S165">
        <v>68943827.027027026</v>
      </c>
      <c r="T165">
        <v>72410063.063063055</v>
      </c>
      <c r="U165">
        <v>15697387.387387387</v>
      </c>
      <c r="V165">
        <v>17723693.693693694</v>
      </c>
      <c r="W165">
        <v>3624</v>
      </c>
      <c r="X165">
        <v>3937</v>
      </c>
    </row>
    <row r="166" spans="1:24">
      <c r="A166" s="7" t="s">
        <v>255</v>
      </c>
      <c r="B166" s="16" t="s">
        <v>105</v>
      </c>
      <c r="C166">
        <v>193305450.54945302</v>
      </c>
      <c r="D166">
        <v>190507756.21044925</v>
      </c>
      <c r="E166">
        <v>1123423.4234234239</v>
      </c>
      <c r="F166">
        <v>133333.33333333401</v>
      </c>
      <c r="G166">
        <v>33</v>
      </c>
      <c r="H166">
        <v>33</v>
      </c>
      <c r="I166">
        <v>0</v>
      </c>
      <c r="J166">
        <v>0</v>
      </c>
      <c r="M166">
        <v>34</v>
      </c>
      <c r="N166">
        <v>35</v>
      </c>
      <c r="O166">
        <v>2159459.4594594599</v>
      </c>
      <c r="P166">
        <v>2385585.5855855858</v>
      </c>
      <c r="Q166">
        <v>1</v>
      </c>
      <c r="S166">
        <v>39993513.513513513</v>
      </c>
      <c r="T166">
        <v>40857809.009009011</v>
      </c>
      <c r="U166">
        <v>2620990.9909909908</v>
      </c>
      <c r="V166">
        <v>2519909.9099099101</v>
      </c>
      <c r="W166">
        <v>2063</v>
      </c>
      <c r="X166">
        <v>2297</v>
      </c>
    </row>
    <row r="167" spans="1:24">
      <c r="A167" s="7" t="s">
        <v>256</v>
      </c>
      <c r="B167" s="16" t="s">
        <v>134</v>
      </c>
      <c r="C167">
        <v>304521608.15556556</v>
      </c>
      <c r="D167">
        <v>296633124.1897198</v>
      </c>
      <c r="E167">
        <v>543243.24324324401</v>
      </c>
      <c r="F167">
        <v>909909.90990991099</v>
      </c>
      <c r="G167">
        <v>29</v>
      </c>
      <c r="H167">
        <v>22</v>
      </c>
      <c r="I167">
        <v>1</v>
      </c>
      <c r="J167">
        <v>2</v>
      </c>
      <c r="M167">
        <v>31</v>
      </c>
      <c r="N167">
        <v>25</v>
      </c>
      <c r="O167">
        <v>9056756.7567567565</v>
      </c>
      <c r="P167">
        <v>3531531.5315315318</v>
      </c>
      <c r="Q167">
        <v>185</v>
      </c>
      <c r="S167">
        <v>20519225.225225225</v>
      </c>
      <c r="T167">
        <v>20768657.657657657</v>
      </c>
      <c r="U167">
        <v>7823963.963963964</v>
      </c>
      <c r="V167">
        <v>4376576.5765765766</v>
      </c>
      <c r="W167">
        <v>4991</v>
      </c>
      <c r="X167">
        <v>4169</v>
      </c>
    </row>
    <row r="168" spans="1:24">
      <c r="A168" s="7" t="s">
        <v>257</v>
      </c>
      <c r="B168" s="16" t="s">
        <v>167</v>
      </c>
      <c r="C168">
        <v>115786501.28388278</v>
      </c>
      <c r="D168">
        <v>105374733.33248848</v>
      </c>
      <c r="E168">
        <v>906306.30630630697</v>
      </c>
      <c r="F168">
        <v>1184684.684684685</v>
      </c>
      <c r="G168">
        <v>71</v>
      </c>
      <c r="H168">
        <v>25</v>
      </c>
      <c r="I168">
        <v>2</v>
      </c>
      <c r="J168">
        <v>0</v>
      </c>
      <c r="M168">
        <v>84</v>
      </c>
      <c r="N168">
        <v>27</v>
      </c>
      <c r="O168">
        <v>6877027.0270270277</v>
      </c>
      <c r="P168">
        <v>5740332.4324324317</v>
      </c>
      <c r="Q168">
        <v>12</v>
      </c>
      <c r="S168">
        <v>40996304.504504502</v>
      </c>
      <c r="T168">
        <v>35560124.324324325</v>
      </c>
      <c r="U168">
        <v>6636666.6666666679</v>
      </c>
      <c r="V168">
        <v>5212252.2522522518</v>
      </c>
      <c r="W168">
        <v>2452</v>
      </c>
      <c r="X168">
        <v>2562</v>
      </c>
    </row>
    <row r="169" spans="1:24">
      <c r="A169" s="7" t="s">
        <v>258</v>
      </c>
      <c r="B169" s="16" t="s">
        <v>60</v>
      </c>
      <c r="C169">
        <v>46456048.101662241</v>
      </c>
      <c r="D169">
        <v>41389856.214395098</v>
      </c>
      <c r="E169">
        <v>15765.765765766</v>
      </c>
      <c r="F169">
        <v>339639.63963963802</v>
      </c>
      <c r="G169">
        <v>23</v>
      </c>
      <c r="H169">
        <v>19</v>
      </c>
      <c r="I169">
        <v>1</v>
      </c>
      <c r="J169">
        <v>4</v>
      </c>
      <c r="K169">
        <v>2</v>
      </c>
      <c r="M169">
        <v>36</v>
      </c>
      <c r="N169">
        <v>28</v>
      </c>
      <c r="O169">
        <v>9655405.405405404</v>
      </c>
      <c r="P169">
        <v>9474774.7747747768</v>
      </c>
      <c r="Q169">
        <v>16</v>
      </c>
      <c r="R169">
        <v>19</v>
      </c>
      <c r="S169">
        <v>16502297.297297295</v>
      </c>
      <c r="T169">
        <v>14816468.468468469</v>
      </c>
      <c r="U169">
        <v>9015405.405405404</v>
      </c>
      <c r="V169">
        <v>8220450.4504504511</v>
      </c>
      <c r="W169">
        <v>656</v>
      </c>
      <c r="X169">
        <v>677</v>
      </c>
    </row>
    <row r="170" spans="1:24">
      <c r="A170" s="7" t="s">
        <v>259</v>
      </c>
      <c r="B170" s="16" t="s">
        <v>260</v>
      </c>
      <c r="C170">
        <v>22930546.020889271</v>
      </c>
      <c r="D170">
        <v>24879136.055722885</v>
      </c>
      <c r="E170">
        <v>2342342.3423423418</v>
      </c>
      <c r="F170">
        <v>16216.216216216</v>
      </c>
      <c r="G170">
        <v>10</v>
      </c>
      <c r="H170">
        <v>7</v>
      </c>
      <c r="M170">
        <v>10</v>
      </c>
      <c r="N170">
        <v>11</v>
      </c>
      <c r="O170">
        <v>3243243.2432432431</v>
      </c>
      <c r="P170">
        <v>4104054.054054054</v>
      </c>
      <c r="S170">
        <v>4645945.9459459456</v>
      </c>
      <c r="T170">
        <v>4444036.036036036</v>
      </c>
      <c r="U170">
        <v>5441171.1711711707</v>
      </c>
      <c r="V170">
        <v>2701441.441441441</v>
      </c>
      <c r="W170">
        <v>488</v>
      </c>
      <c r="X170">
        <v>581</v>
      </c>
    </row>
    <row r="171" spans="1:24">
      <c r="A171" s="7" t="s">
        <v>261</v>
      </c>
      <c r="B171" s="16" t="s">
        <v>60</v>
      </c>
      <c r="C171">
        <v>391713141.65823358</v>
      </c>
      <c r="D171">
        <v>386870084.11273444</v>
      </c>
      <c r="E171">
        <v>408467084.68468469</v>
      </c>
      <c r="F171">
        <v>236955499.0990991</v>
      </c>
      <c r="G171">
        <v>240</v>
      </c>
      <c r="H171">
        <v>253</v>
      </c>
      <c r="I171">
        <v>32</v>
      </c>
      <c r="J171">
        <v>51</v>
      </c>
      <c r="K171">
        <v>13</v>
      </c>
      <c r="M171">
        <v>309</v>
      </c>
      <c r="N171">
        <v>844</v>
      </c>
      <c r="O171">
        <v>74341981.981981978</v>
      </c>
      <c r="P171">
        <v>78783333.333333343</v>
      </c>
      <c r="Q171">
        <v>601</v>
      </c>
      <c r="R171">
        <v>1798</v>
      </c>
      <c r="S171">
        <v>137928945.94594595</v>
      </c>
      <c r="T171">
        <v>143591984.23423424</v>
      </c>
      <c r="U171">
        <v>70823423.423423424</v>
      </c>
      <c r="V171">
        <v>88188828.828828827</v>
      </c>
      <c r="W171">
        <v>6383</v>
      </c>
      <c r="X171">
        <v>6514</v>
      </c>
    </row>
    <row r="172" spans="1:24">
      <c r="A172" s="7" t="s">
        <v>262</v>
      </c>
      <c r="B172" s="16" t="s">
        <v>123</v>
      </c>
      <c r="C172">
        <v>311044536.97797269</v>
      </c>
      <c r="D172">
        <v>298633382.30746728</v>
      </c>
      <c r="E172">
        <v>241767342.34234235</v>
      </c>
      <c r="F172">
        <v>156788108.1081081</v>
      </c>
      <c r="G172">
        <v>48</v>
      </c>
      <c r="H172">
        <v>82</v>
      </c>
      <c r="I172">
        <v>2</v>
      </c>
      <c r="J172">
        <v>2</v>
      </c>
      <c r="K172">
        <v>1</v>
      </c>
      <c r="M172">
        <v>57</v>
      </c>
      <c r="N172">
        <v>108</v>
      </c>
      <c r="O172">
        <v>23619099.0990991</v>
      </c>
      <c r="P172">
        <v>28661306.306306303</v>
      </c>
      <c r="Q172">
        <v>29</v>
      </c>
      <c r="R172">
        <v>34</v>
      </c>
      <c r="S172">
        <v>119283729.72972973</v>
      </c>
      <c r="T172">
        <v>117060693.6936937</v>
      </c>
      <c r="U172">
        <v>19490900.9009009</v>
      </c>
      <c r="V172">
        <v>25496756.756756756</v>
      </c>
      <c r="W172">
        <v>5657</v>
      </c>
      <c r="X172">
        <v>5457</v>
      </c>
    </row>
    <row r="173" spans="1:24">
      <c r="A173" s="7" t="s">
        <v>263</v>
      </c>
      <c r="B173" s="16" t="s">
        <v>123</v>
      </c>
      <c r="C173">
        <v>134802718.71901181</v>
      </c>
      <c r="D173">
        <v>126921751.9530808</v>
      </c>
      <c r="E173">
        <v>654954.95495495596</v>
      </c>
      <c r="F173">
        <v>3983108.1081081098</v>
      </c>
      <c r="G173">
        <v>55</v>
      </c>
      <c r="H173">
        <v>82</v>
      </c>
      <c r="I173">
        <v>7</v>
      </c>
      <c r="J173">
        <v>8</v>
      </c>
      <c r="K173">
        <v>2</v>
      </c>
      <c r="M173">
        <v>158</v>
      </c>
      <c r="N173">
        <v>307</v>
      </c>
      <c r="O173">
        <v>63586396.396396391</v>
      </c>
      <c r="P173">
        <v>58028108.108108103</v>
      </c>
      <c r="Q173">
        <v>268</v>
      </c>
      <c r="R173">
        <v>442</v>
      </c>
      <c r="S173">
        <v>57550216.216216214</v>
      </c>
      <c r="T173">
        <v>53313369.369369365</v>
      </c>
      <c r="U173">
        <v>65371981.981981985</v>
      </c>
      <c r="V173">
        <v>58590810.810810819</v>
      </c>
      <c r="W173">
        <v>2479</v>
      </c>
      <c r="X173">
        <v>2234</v>
      </c>
    </row>
    <row r="174" spans="1:24">
      <c r="A174" s="7" t="s">
        <v>675</v>
      </c>
      <c r="B174" s="16" t="s">
        <v>123</v>
      </c>
      <c r="O174">
        <v>81081.081081081007</v>
      </c>
      <c r="P174">
        <v>189189.189189189</v>
      </c>
    </row>
    <row r="175" spans="1:24">
      <c r="A175" s="7" t="s">
        <v>264</v>
      </c>
      <c r="B175" s="16" t="s">
        <v>125</v>
      </c>
      <c r="C175">
        <v>320603870.28520471</v>
      </c>
      <c r="D175">
        <v>320293662.7478438</v>
      </c>
      <c r="E175">
        <v>114543243.24324325</v>
      </c>
      <c r="F175">
        <v>186372972.97297296</v>
      </c>
      <c r="G175">
        <v>49</v>
      </c>
      <c r="H175">
        <v>90</v>
      </c>
      <c r="I175">
        <v>4</v>
      </c>
      <c r="J175">
        <v>5</v>
      </c>
      <c r="M175">
        <v>51</v>
      </c>
      <c r="N175">
        <v>90</v>
      </c>
      <c r="O175">
        <v>59365315.315315321</v>
      </c>
      <c r="P175">
        <v>27937612.612612616</v>
      </c>
      <c r="Q175">
        <v>60</v>
      </c>
      <c r="R175">
        <v>8</v>
      </c>
      <c r="S175">
        <v>110239414.41441442</v>
      </c>
      <c r="T175">
        <v>116757518.91891891</v>
      </c>
      <c r="U175">
        <v>31215585.585585583</v>
      </c>
      <c r="V175">
        <v>26565225.225225225</v>
      </c>
      <c r="W175">
        <v>4475</v>
      </c>
      <c r="X175">
        <v>4414</v>
      </c>
    </row>
    <row r="176" spans="1:24">
      <c r="A176" s="7" t="s">
        <v>265</v>
      </c>
      <c r="B176" s="16" t="s">
        <v>123</v>
      </c>
      <c r="C176">
        <v>321679544.45797479</v>
      </c>
      <c r="D176">
        <v>307113714.41092348</v>
      </c>
      <c r="E176">
        <v>478378.37837837898</v>
      </c>
      <c r="F176">
        <v>2116216.2162162168</v>
      </c>
      <c r="G176">
        <v>83</v>
      </c>
      <c r="H176">
        <v>49</v>
      </c>
      <c r="I176">
        <v>10</v>
      </c>
      <c r="J176">
        <v>7</v>
      </c>
      <c r="M176">
        <v>88</v>
      </c>
      <c r="N176">
        <v>52</v>
      </c>
      <c r="O176">
        <v>26868288.288288288</v>
      </c>
      <c r="P176">
        <v>35557747.747747749</v>
      </c>
      <c r="Q176">
        <v>56</v>
      </c>
      <c r="R176">
        <v>57</v>
      </c>
      <c r="S176">
        <v>112141936.93693694</v>
      </c>
      <c r="T176">
        <v>108375742.34234233</v>
      </c>
      <c r="U176">
        <v>27794864.864864863</v>
      </c>
      <c r="V176">
        <v>35405585.585585587</v>
      </c>
      <c r="W176">
        <v>4849</v>
      </c>
      <c r="X176">
        <v>4832</v>
      </c>
    </row>
    <row r="177" spans="1:24">
      <c r="A177" s="7" t="s">
        <v>266</v>
      </c>
      <c r="B177" s="16" t="s">
        <v>123</v>
      </c>
      <c r="C177">
        <v>313844667.31044096</v>
      </c>
      <c r="D177">
        <v>319702591.399593</v>
      </c>
      <c r="E177">
        <v>2399099.099099102</v>
      </c>
      <c r="F177">
        <v>2986036.036036036</v>
      </c>
      <c r="G177">
        <v>47</v>
      </c>
      <c r="H177">
        <v>65</v>
      </c>
      <c r="I177">
        <v>4</v>
      </c>
      <c r="J177">
        <v>8</v>
      </c>
      <c r="M177">
        <v>53</v>
      </c>
      <c r="N177">
        <v>74</v>
      </c>
      <c r="O177">
        <v>44529549.549549542</v>
      </c>
      <c r="P177">
        <v>53973783.783783786</v>
      </c>
      <c r="Q177">
        <v>178</v>
      </c>
      <c r="R177">
        <v>107</v>
      </c>
      <c r="S177">
        <v>123096926.12612613</v>
      </c>
      <c r="T177">
        <v>130433899.0990991</v>
      </c>
      <c r="U177">
        <v>43630540.540540539</v>
      </c>
      <c r="V177">
        <v>53310090.090090089</v>
      </c>
      <c r="W177">
        <v>5471</v>
      </c>
      <c r="X177">
        <v>5496</v>
      </c>
    </row>
    <row r="178" spans="1:24">
      <c r="A178" s="7" t="s">
        <v>267</v>
      </c>
      <c r="B178" s="16" t="s">
        <v>178</v>
      </c>
      <c r="C178">
        <v>1700528113.3947926</v>
      </c>
      <c r="D178">
        <v>1623966499.0779476</v>
      </c>
      <c r="E178">
        <v>1221162127.9279277</v>
      </c>
      <c r="F178">
        <v>990312856.75675678</v>
      </c>
      <c r="G178">
        <v>880</v>
      </c>
      <c r="H178">
        <v>791</v>
      </c>
      <c r="I178">
        <v>48</v>
      </c>
      <c r="J178">
        <v>87</v>
      </c>
      <c r="K178">
        <v>6</v>
      </c>
      <c r="M178">
        <v>1095</v>
      </c>
      <c r="N178">
        <v>1367</v>
      </c>
      <c r="O178">
        <v>251334952.25225225</v>
      </c>
      <c r="P178">
        <v>231354347.74774775</v>
      </c>
      <c r="Q178">
        <v>759</v>
      </c>
      <c r="R178">
        <v>1183</v>
      </c>
      <c r="S178">
        <v>482848052.25225222</v>
      </c>
      <c r="T178">
        <v>488809182.88288289</v>
      </c>
      <c r="U178">
        <v>236596756.75675678</v>
      </c>
      <c r="V178">
        <v>216488018.01801801</v>
      </c>
      <c r="W178">
        <v>32884</v>
      </c>
      <c r="X178">
        <v>32236</v>
      </c>
    </row>
    <row r="179" spans="1:24">
      <c r="A179" s="7" t="s">
        <v>268</v>
      </c>
      <c r="B179" s="16" t="s">
        <v>62</v>
      </c>
      <c r="C179">
        <v>252174268.94291624</v>
      </c>
      <c r="D179">
        <v>263828216.81634873</v>
      </c>
      <c r="E179">
        <v>2450540.5405405448</v>
      </c>
      <c r="F179">
        <v>6421621.6216216227</v>
      </c>
      <c r="G179">
        <v>42</v>
      </c>
      <c r="H179">
        <v>56</v>
      </c>
      <c r="I179">
        <v>19</v>
      </c>
      <c r="J179">
        <v>22</v>
      </c>
      <c r="M179">
        <v>44</v>
      </c>
      <c r="N179">
        <v>84</v>
      </c>
      <c r="O179">
        <v>24889549.54954955</v>
      </c>
      <c r="P179">
        <v>81536666.666666657</v>
      </c>
      <c r="Q179">
        <v>221</v>
      </c>
      <c r="R179">
        <v>134</v>
      </c>
      <c r="S179">
        <v>84464144.144144148</v>
      </c>
      <c r="T179">
        <v>87638198.198198199</v>
      </c>
      <c r="U179">
        <v>25384414.414414413</v>
      </c>
      <c r="V179">
        <v>76486576.576576576</v>
      </c>
      <c r="W179">
        <v>4500</v>
      </c>
      <c r="X179">
        <v>4869</v>
      </c>
    </row>
    <row r="180" spans="1:24">
      <c r="A180" s="7" t="s">
        <v>269</v>
      </c>
      <c r="B180" s="16" t="s">
        <v>70</v>
      </c>
      <c r="C180">
        <v>338345407.55581999</v>
      </c>
      <c r="D180">
        <v>341302130.30006486</v>
      </c>
      <c r="E180">
        <v>4686036.0360360341</v>
      </c>
      <c r="F180">
        <v>6289774.7747747796</v>
      </c>
      <c r="G180">
        <v>75</v>
      </c>
      <c r="H180">
        <v>124</v>
      </c>
      <c r="I180">
        <v>5</v>
      </c>
      <c r="J180">
        <v>31</v>
      </c>
      <c r="K180">
        <v>1</v>
      </c>
      <c r="M180">
        <v>78</v>
      </c>
      <c r="N180">
        <v>425</v>
      </c>
      <c r="O180">
        <v>55404729.729729727</v>
      </c>
      <c r="P180">
        <v>32208108.108108111</v>
      </c>
      <c r="Q180">
        <v>444</v>
      </c>
      <c r="R180">
        <v>197</v>
      </c>
      <c r="S180">
        <v>155783900.9009009</v>
      </c>
      <c r="T180">
        <v>159730072.07207206</v>
      </c>
      <c r="U180">
        <v>54506081.081081077</v>
      </c>
      <c r="V180">
        <v>23679909.909909911</v>
      </c>
      <c r="W180">
        <v>7090</v>
      </c>
      <c r="X180">
        <v>6994</v>
      </c>
    </row>
    <row r="181" spans="1:24">
      <c r="A181" s="7" t="s">
        <v>270</v>
      </c>
      <c r="B181" s="16" t="s">
        <v>134</v>
      </c>
      <c r="C181">
        <v>5078018.2150645582</v>
      </c>
      <c r="D181">
        <v>5018129.9300583489</v>
      </c>
      <c r="G181">
        <v>2</v>
      </c>
      <c r="M181">
        <v>3</v>
      </c>
      <c r="S181">
        <v>238963.96396396399</v>
      </c>
      <c r="T181">
        <v>392522.52252252301</v>
      </c>
      <c r="W181">
        <v>227</v>
      </c>
      <c r="X181">
        <v>226</v>
      </c>
    </row>
    <row r="182" spans="1:24">
      <c r="A182" s="7" t="s">
        <v>271</v>
      </c>
      <c r="B182" s="16" t="s">
        <v>76</v>
      </c>
      <c r="C182">
        <v>163878460.4729403</v>
      </c>
      <c r="D182">
        <v>157892840.63807002</v>
      </c>
      <c r="E182">
        <v>12612.612612613</v>
      </c>
      <c r="F182">
        <v>76576.576576577005</v>
      </c>
      <c r="G182">
        <v>24</v>
      </c>
      <c r="H182">
        <v>19</v>
      </c>
      <c r="I182">
        <v>0</v>
      </c>
      <c r="J182">
        <v>0</v>
      </c>
      <c r="M182">
        <v>25</v>
      </c>
      <c r="N182">
        <v>21</v>
      </c>
      <c r="O182">
        <v>192792.79279279301</v>
      </c>
      <c r="P182">
        <v>166666.66666666701</v>
      </c>
      <c r="S182">
        <v>9323603.6036036033</v>
      </c>
      <c r="T182">
        <v>9261752.2522522528</v>
      </c>
      <c r="U182">
        <v>385585.58558558498</v>
      </c>
      <c r="V182">
        <v>271171.17117117101</v>
      </c>
      <c r="W182">
        <v>2400</v>
      </c>
      <c r="X182">
        <v>2409</v>
      </c>
    </row>
    <row r="183" spans="1:24">
      <c r="A183" s="7" t="s">
        <v>272</v>
      </c>
      <c r="B183" s="16" t="s">
        <v>76</v>
      </c>
      <c r="C183">
        <v>59498460.610099137</v>
      </c>
      <c r="D183">
        <v>55484278.968809173</v>
      </c>
      <c r="E183">
        <v>58108.108108107997</v>
      </c>
      <c r="F183">
        <v>169369.36936936999</v>
      </c>
      <c r="G183">
        <v>16</v>
      </c>
      <c r="H183">
        <v>5</v>
      </c>
      <c r="I183">
        <v>1</v>
      </c>
      <c r="J183">
        <v>1</v>
      </c>
      <c r="M183">
        <v>18</v>
      </c>
      <c r="N183">
        <v>6</v>
      </c>
      <c r="O183">
        <v>15675225.225225223</v>
      </c>
      <c r="P183">
        <v>12794774.774774777</v>
      </c>
      <c r="Q183">
        <v>24</v>
      </c>
      <c r="R183">
        <v>23</v>
      </c>
      <c r="S183">
        <v>17254369.369369369</v>
      </c>
      <c r="T183">
        <v>13785729.729729731</v>
      </c>
      <c r="U183">
        <v>11920090.090090092</v>
      </c>
      <c r="V183">
        <v>10149009.009009007</v>
      </c>
      <c r="W183">
        <v>777</v>
      </c>
      <c r="X183">
        <v>781</v>
      </c>
    </row>
    <row r="184" spans="1:24">
      <c r="A184" s="7" t="s">
        <v>273</v>
      </c>
      <c r="B184" s="16" t="s">
        <v>260</v>
      </c>
      <c r="C184">
        <v>1209932355.5110536</v>
      </c>
      <c r="D184">
        <v>1142958026.5308695</v>
      </c>
      <c r="E184">
        <v>12151801.801801808</v>
      </c>
      <c r="F184">
        <v>14222522.522522524</v>
      </c>
      <c r="G184">
        <v>502</v>
      </c>
      <c r="H184">
        <v>325</v>
      </c>
      <c r="I184">
        <v>27</v>
      </c>
      <c r="J184">
        <v>38</v>
      </c>
      <c r="K184">
        <v>1</v>
      </c>
      <c r="M184">
        <v>623</v>
      </c>
      <c r="N184">
        <v>607</v>
      </c>
      <c r="O184">
        <v>192192342.34234235</v>
      </c>
      <c r="P184">
        <v>238245045.04504505</v>
      </c>
      <c r="Q184">
        <v>222</v>
      </c>
      <c r="R184">
        <v>219</v>
      </c>
      <c r="S184">
        <v>353085918.91891891</v>
      </c>
      <c r="T184">
        <v>355432049.54954958</v>
      </c>
      <c r="U184">
        <v>199213153.15315315</v>
      </c>
      <c r="V184">
        <v>211567657.65765765</v>
      </c>
      <c r="W184">
        <v>19207</v>
      </c>
      <c r="X184">
        <v>18984</v>
      </c>
    </row>
    <row r="185" spans="1:24">
      <c r="A185" s="7" t="s">
        <v>274</v>
      </c>
      <c r="B185" s="16" t="s">
        <v>260</v>
      </c>
      <c r="C185">
        <v>281953313.17501533</v>
      </c>
      <c r="D185">
        <v>255440027.77703407</v>
      </c>
      <c r="E185">
        <v>3163063.0630630641</v>
      </c>
      <c r="F185">
        <v>1436261.261261262</v>
      </c>
      <c r="G185">
        <v>25</v>
      </c>
      <c r="H185">
        <v>14</v>
      </c>
      <c r="I185">
        <v>3</v>
      </c>
      <c r="J185">
        <v>3</v>
      </c>
      <c r="M185">
        <v>25</v>
      </c>
      <c r="N185">
        <v>18</v>
      </c>
      <c r="O185">
        <v>17103603.603603601</v>
      </c>
      <c r="P185">
        <v>18136486.486486483</v>
      </c>
      <c r="Q185">
        <v>90</v>
      </c>
      <c r="R185">
        <v>84</v>
      </c>
      <c r="S185">
        <v>52097180.180180185</v>
      </c>
      <c r="T185">
        <v>52063810.810810804</v>
      </c>
      <c r="U185">
        <v>15812072.072072076</v>
      </c>
      <c r="V185">
        <v>15489459.459459456</v>
      </c>
      <c r="W185">
        <v>3883</v>
      </c>
      <c r="X185">
        <v>3805</v>
      </c>
    </row>
    <row r="186" spans="1:24">
      <c r="A186" s="7" t="s">
        <v>275</v>
      </c>
      <c r="B186" s="16" t="s">
        <v>260</v>
      </c>
      <c r="C186">
        <v>294651658.66993243</v>
      </c>
      <c r="D186">
        <v>283910845.46044147</v>
      </c>
      <c r="E186">
        <v>79534369.369369373</v>
      </c>
      <c r="F186">
        <v>74496036.036036029</v>
      </c>
      <c r="G186">
        <v>190</v>
      </c>
      <c r="H186">
        <v>40</v>
      </c>
      <c r="I186">
        <v>5</v>
      </c>
      <c r="J186">
        <v>8</v>
      </c>
      <c r="K186">
        <v>1</v>
      </c>
      <c r="M186">
        <v>194</v>
      </c>
      <c r="N186">
        <v>220</v>
      </c>
      <c r="O186">
        <v>63001801.801801801</v>
      </c>
      <c r="P186">
        <v>54344819.819819823</v>
      </c>
      <c r="Q186">
        <v>445</v>
      </c>
      <c r="R186">
        <v>140</v>
      </c>
      <c r="S186">
        <v>69772702.702702701</v>
      </c>
      <c r="T186">
        <v>69448216.216216221</v>
      </c>
      <c r="U186">
        <v>50815675.675675675</v>
      </c>
      <c r="V186">
        <v>52332792.792792797</v>
      </c>
      <c r="W186">
        <v>5767</v>
      </c>
      <c r="X186">
        <v>5759</v>
      </c>
    </row>
    <row r="187" spans="1:24">
      <c r="A187" s="7" t="s">
        <v>276</v>
      </c>
      <c r="B187" s="16" t="s">
        <v>134</v>
      </c>
      <c r="C187">
        <v>343623637.66415262</v>
      </c>
      <c r="D187">
        <v>358103578.03998882</v>
      </c>
      <c r="E187">
        <v>30630.630630631</v>
      </c>
      <c r="F187">
        <v>2263963.963963965</v>
      </c>
      <c r="G187">
        <v>52</v>
      </c>
      <c r="H187">
        <v>65</v>
      </c>
      <c r="I187">
        <v>4</v>
      </c>
      <c r="J187">
        <v>6</v>
      </c>
      <c r="M187">
        <v>55</v>
      </c>
      <c r="N187">
        <v>76</v>
      </c>
      <c r="O187">
        <v>16291891.891891891</v>
      </c>
      <c r="P187">
        <v>17581081.081081081</v>
      </c>
      <c r="Q187">
        <v>20</v>
      </c>
      <c r="S187">
        <v>31096603.603603605</v>
      </c>
      <c r="T187">
        <v>32586175.675675675</v>
      </c>
      <c r="U187">
        <v>9890180.1801801808</v>
      </c>
      <c r="V187">
        <v>8283693.6936936928</v>
      </c>
      <c r="W187">
        <v>4089</v>
      </c>
      <c r="X187">
        <v>5440</v>
      </c>
    </row>
    <row r="188" spans="1:24">
      <c r="A188" s="7" t="s">
        <v>277</v>
      </c>
      <c r="B188" s="16" t="s">
        <v>169</v>
      </c>
      <c r="C188">
        <v>275598868.35642791</v>
      </c>
      <c r="D188">
        <v>207145087.23967001</v>
      </c>
      <c r="E188">
        <v>857657.65765765705</v>
      </c>
      <c r="F188">
        <v>1551351.351351351</v>
      </c>
      <c r="G188">
        <v>55</v>
      </c>
      <c r="H188">
        <v>35</v>
      </c>
      <c r="I188">
        <v>1</v>
      </c>
      <c r="J188">
        <v>1</v>
      </c>
      <c r="M188">
        <v>58</v>
      </c>
      <c r="N188">
        <v>53</v>
      </c>
      <c r="O188">
        <v>23546594.594594598</v>
      </c>
      <c r="P188">
        <v>18706756.756756756</v>
      </c>
      <c r="Q188">
        <v>16</v>
      </c>
      <c r="R188">
        <v>15</v>
      </c>
      <c r="S188">
        <v>112473810.81081082</v>
      </c>
      <c r="T188">
        <v>94650700.45045045</v>
      </c>
      <c r="U188">
        <v>18828378.378378376</v>
      </c>
      <c r="V188">
        <v>13995765.765765764</v>
      </c>
      <c r="W188">
        <v>3451</v>
      </c>
      <c r="X188">
        <v>3711</v>
      </c>
    </row>
    <row r="189" spans="1:24">
      <c r="A189" s="7" t="s">
        <v>278</v>
      </c>
      <c r="B189" s="16" t="s">
        <v>169</v>
      </c>
      <c r="C189">
        <v>124203679.09458275</v>
      </c>
      <c r="D189">
        <v>123949698.53787397</v>
      </c>
      <c r="E189">
        <v>900.900900901</v>
      </c>
      <c r="F189">
        <v>5405.4054054050002</v>
      </c>
      <c r="G189">
        <v>9</v>
      </c>
      <c r="H189">
        <v>20</v>
      </c>
      <c r="M189">
        <v>9</v>
      </c>
      <c r="N189">
        <v>21</v>
      </c>
      <c r="O189">
        <v>6786503.6036036042</v>
      </c>
      <c r="P189">
        <v>7876238.7387387389</v>
      </c>
      <c r="S189">
        <v>47456225.225225225</v>
      </c>
      <c r="T189">
        <v>54606103.603603601</v>
      </c>
      <c r="U189">
        <v>5273063.0630630627</v>
      </c>
      <c r="V189">
        <v>6393153.1531531531</v>
      </c>
      <c r="W189">
        <v>2038</v>
      </c>
      <c r="X189">
        <v>2126</v>
      </c>
    </row>
    <row r="190" spans="1:24">
      <c r="A190" s="7" t="s">
        <v>279</v>
      </c>
      <c r="B190" s="16" t="s">
        <v>87</v>
      </c>
      <c r="C190">
        <v>3155262.528751893</v>
      </c>
      <c r="D190">
        <v>2908480.042135959</v>
      </c>
      <c r="G190">
        <v>4</v>
      </c>
      <c r="H190">
        <v>6</v>
      </c>
      <c r="M190">
        <v>5</v>
      </c>
      <c r="N190">
        <v>7</v>
      </c>
      <c r="S190">
        <v>1515313.5135135141</v>
      </c>
      <c r="T190">
        <v>1068567.567567568</v>
      </c>
      <c r="W190">
        <v>204</v>
      </c>
      <c r="X190">
        <v>205</v>
      </c>
    </row>
    <row r="191" spans="1:24">
      <c r="A191" s="7" t="s">
        <v>280</v>
      </c>
      <c r="B191" s="16" t="s">
        <v>169</v>
      </c>
      <c r="C191">
        <v>212896682.79584998</v>
      </c>
      <c r="D191">
        <v>203664915.02382007</v>
      </c>
      <c r="E191">
        <v>916441.44144144002</v>
      </c>
      <c r="F191">
        <v>1124099.0990990989</v>
      </c>
      <c r="G191">
        <v>51</v>
      </c>
      <c r="H191">
        <v>28</v>
      </c>
      <c r="I191">
        <v>6</v>
      </c>
      <c r="J191">
        <v>3</v>
      </c>
      <c r="M191">
        <v>57</v>
      </c>
      <c r="N191">
        <v>43</v>
      </c>
      <c r="O191">
        <v>24573797.297297295</v>
      </c>
      <c r="P191">
        <v>29861981.981981982</v>
      </c>
      <c r="Q191">
        <v>116</v>
      </c>
      <c r="R191">
        <v>95</v>
      </c>
      <c r="S191">
        <v>83873153.153153151</v>
      </c>
      <c r="T191">
        <v>81791090.090090096</v>
      </c>
      <c r="U191">
        <v>23810090.090090092</v>
      </c>
      <c r="V191">
        <v>27965315.315315317</v>
      </c>
      <c r="W191">
        <v>4182</v>
      </c>
      <c r="X191">
        <v>4310</v>
      </c>
    </row>
    <row r="192" spans="1:24">
      <c r="A192" s="7" t="s">
        <v>281</v>
      </c>
      <c r="B192" s="16" t="s">
        <v>54</v>
      </c>
      <c r="C192">
        <v>162338312.84187928</v>
      </c>
      <c r="D192">
        <v>156087094.80491799</v>
      </c>
      <c r="E192">
        <v>608333.33333333605</v>
      </c>
      <c r="F192">
        <v>2536936.9369369391</v>
      </c>
      <c r="G192">
        <v>53</v>
      </c>
      <c r="H192">
        <v>59</v>
      </c>
      <c r="I192">
        <v>11</v>
      </c>
      <c r="J192">
        <v>12</v>
      </c>
      <c r="K192">
        <v>3</v>
      </c>
      <c r="M192">
        <v>60</v>
      </c>
      <c r="N192">
        <v>68</v>
      </c>
      <c r="O192">
        <v>16318468.468468469</v>
      </c>
      <c r="P192">
        <v>18165765.765765764</v>
      </c>
      <c r="Q192">
        <v>116</v>
      </c>
      <c r="R192">
        <v>58</v>
      </c>
      <c r="S192">
        <v>34581513.513513513</v>
      </c>
      <c r="T192">
        <v>33526333.333333332</v>
      </c>
      <c r="U192">
        <v>15991171.171171172</v>
      </c>
      <c r="V192">
        <v>17463963.963963963</v>
      </c>
      <c r="W192">
        <v>3800</v>
      </c>
      <c r="X192">
        <v>3667</v>
      </c>
    </row>
    <row r="193" spans="1:24">
      <c r="A193" s="7" t="s">
        <v>282</v>
      </c>
      <c r="B193" s="16" t="s">
        <v>283</v>
      </c>
      <c r="C193">
        <v>261841555.89746314</v>
      </c>
      <c r="D193">
        <v>223552307.66244018</v>
      </c>
      <c r="E193">
        <v>1859909.909909911</v>
      </c>
      <c r="F193">
        <v>386486.48648648697</v>
      </c>
      <c r="G193">
        <v>27</v>
      </c>
      <c r="H193">
        <v>113</v>
      </c>
      <c r="I193">
        <v>4</v>
      </c>
      <c r="J193">
        <v>3</v>
      </c>
      <c r="M193">
        <v>27</v>
      </c>
      <c r="N193">
        <v>135</v>
      </c>
      <c r="O193">
        <v>8427477.4774774779</v>
      </c>
      <c r="P193">
        <v>10272972.972972972</v>
      </c>
      <c r="Q193">
        <v>8</v>
      </c>
      <c r="R193">
        <v>6</v>
      </c>
      <c r="S193">
        <v>31876126.126126129</v>
      </c>
      <c r="T193">
        <v>35129630.630630635</v>
      </c>
      <c r="U193">
        <v>8785405.4054054078</v>
      </c>
      <c r="V193">
        <v>10581261.26126126</v>
      </c>
      <c r="W193">
        <v>3458</v>
      </c>
      <c r="X193">
        <v>3290</v>
      </c>
    </row>
    <row r="194" spans="1:24">
      <c r="A194" s="7" t="s">
        <v>284</v>
      </c>
      <c r="B194" s="16" t="s">
        <v>283</v>
      </c>
      <c r="C194">
        <v>425500610.39253229</v>
      </c>
      <c r="D194">
        <v>438020069.52806395</v>
      </c>
      <c r="E194">
        <v>1652927.927927929</v>
      </c>
      <c r="F194">
        <v>3636486.486486489</v>
      </c>
      <c r="G194">
        <v>156</v>
      </c>
      <c r="H194">
        <v>82</v>
      </c>
      <c r="I194">
        <v>8</v>
      </c>
      <c r="J194">
        <v>16</v>
      </c>
      <c r="K194">
        <v>1</v>
      </c>
      <c r="M194">
        <v>222</v>
      </c>
      <c r="N194">
        <v>155</v>
      </c>
      <c r="O194">
        <v>52337927.927927926</v>
      </c>
      <c r="P194">
        <v>53108648.648648649</v>
      </c>
      <c r="Q194">
        <v>53</v>
      </c>
      <c r="R194">
        <v>136</v>
      </c>
      <c r="S194">
        <v>87752927.927927941</v>
      </c>
      <c r="T194">
        <v>93125558.558558553</v>
      </c>
      <c r="U194">
        <v>43983693.693693697</v>
      </c>
      <c r="V194">
        <v>47867477.477477483</v>
      </c>
      <c r="W194">
        <v>7866</v>
      </c>
      <c r="X194">
        <v>8079</v>
      </c>
    </row>
    <row r="195" spans="1:24">
      <c r="A195" s="7" t="s">
        <v>285</v>
      </c>
      <c r="B195" s="16" t="s">
        <v>283</v>
      </c>
      <c r="C195">
        <v>227369903.28502211</v>
      </c>
      <c r="D195">
        <v>231680942.90994591</v>
      </c>
      <c r="E195">
        <v>1862162.162162164</v>
      </c>
      <c r="F195">
        <v>2185495.4954954949</v>
      </c>
      <c r="G195">
        <v>44</v>
      </c>
      <c r="H195">
        <v>37</v>
      </c>
      <c r="I195">
        <v>13</v>
      </c>
      <c r="J195">
        <v>10</v>
      </c>
      <c r="M195">
        <v>56</v>
      </c>
      <c r="N195">
        <v>98</v>
      </c>
      <c r="O195">
        <v>59332432.432432435</v>
      </c>
      <c r="P195">
        <v>61279099.0990991</v>
      </c>
      <c r="Q195">
        <v>38</v>
      </c>
      <c r="R195">
        <v>87</v>
      </c>
      <c r="S195">
        <v>72351153.153153151</v>
      </c>
      <c r="T195">
        <v>72522369.369369373</v>
      </c>
      <c r="U195">
        <v>51355765.765765771</v>
      </c>
      <c r="V195">
        <v>53423333.333333328</v>
      </c>
      <c r="W195">
        <v>4663</v>
      </c>
      <c r="X195">
        <v>4780</v>
      </c>
    </row>
    <row r="196" spans="1:24">
      <c r="A196" s="7" t="s">
        <v>286</v>
      </c>
      <c r="B196" s="16" t="s">
        <v>283</v>
      </c>
      <c r="C196">
        <v>164040167.10469556</v>
      </c>
      <c r="D196">
        <v>174324181.96631444</v>
      </c>
      <c r="E196">
        <v>161936.936936938</v>
      </c>
      <c r="F196">
        <v>690990.99099099205</v>
      </c>
      <c r="G196">
        <v>20</v>
      </c>
      <c r="H196">
        <v>14</v>
      </c>
      <c r="I196">
        <v>6</v>
      </c>
      <c r="J196">
        <v>2</v>
      </c>
      <c r="M196">
        <v>22</v>
      </c>
      <c r="N196">
        <v>16</v>
      </c>
      <c r="O196">
        <v>8031531.5315315323</v>
      </c>
      <c r="P196">
        <v>32508288.288288288</v>
      </c>
      <c r="Q196">
        <v>124</v>
      </c>
      <c r="R196">
        <v>19</v>
      </c>
      <c r="S196">
        <v>27836423.423423424</v>
      </c>
      <c r="T196">
        <v>33348045.045045048</v>
      </c>
      <c r="U196">
        <v>7864864.8648648653</v>
      </c>
      <c r="V196">
        <v>32657567.567567568</v>
      </c>
      <c r="W196">
        <v>2461</v>
      </c>
      <c r="X196">
        <v>2537</v>
      </c>
    </row>
    <row r="197" spans="1:24">
      <c r="A197" s="7" t="s">
        <v>287</v>
      </c>
      <c r="B197" s="16" t="s">
        <v>283</v>
      </c>
      <c r="C197">
        <v>84463033.018644795</v>
      </c>
      <c r="D197">
        <v>86692389.111116901</v>
      </c>
      <c r="E197">
        <v>33820945.945945941</v>
      </c>
      <c r="F197">
        <v>135341441.44144145</v>
      </c>
      <c r="G197">
        <v>3</v>
      </c>
      <c r="I197">
        <v>2</v>
      </c>
      <c r="J197">
        <v>3</v>
      </c>
      <c r="M197">
        <v>3</v>
      </c>
      <c r="N197">
        <v>2</v>
      </c>
      <c r="O197">
        <v>26055630.630630631</v>
      </c>
      <c r="P197">
        <v>15599099.099099098</v>
      </c>
      <c r="Q197">
        <v>2</v>
      </c>
      <c r="R197">
        <v>2</v>
      </c>
      <c r="S197">
        <v>14421666.666666666</v>
      </c>
      <c r="T197">
        <v>15401144.144144144</v>
      </c>
      <c r="U197">
        <v>13063.063063063</v>
      </c>
      <c r="V197">
        <v>13586576.576576576</v>
      </c>
      <c r="W197">
        <v>1365</v>
      </c>
      <c r="X197">
        <v>1366</v>
      </c>
    </row>
    <row r="198" spans="1:24">
      <c r="A198" s="7" t="s">
        <v>288</v>
      </c>
      <c r="B198" s="16" t="s">
        <v>283</v>
      </c>
      <c r="C198">
        <v>14373944.318170328</v>
      </c>
      <c r="D198">
        <v>13757424.462003078</v>
      </c>
      <c r="E198">
        <v>5180.1801801800002</v>
      </c>
      <c r="F198">
        <v>393693.69369369402</v>
      </c>
      <c r="G198">
        <v>6</v>
      </c>
      <c r="M198">
        <v>6</v>
      </c>
      <c r="O198">
        <v>1694594.594594595</v>
      </c>
      <c r="P198">
        <v>19871171.171171173</v>
      </c>
      <c r="Q198">
        <v>68</v>
      </c>
      <c r="R198">
        <v>98</v>
      </c>
      <c r="S198">
        <v>2251972.9729729728</v>
      </c>
      <c r="T198">
        <v>2359288.2882882878</v>
      </c>
      <c r="U198">
        <v>1689189.1891891891</v>
      </c>
      <c r="V198">
        <v>19748648.648648649</v>
      </c>
      <c r="W198">
        <v>325</v>
      </c>
      <c r="X198">
        <v>286</v>
      </c>
    </row>
    <row r="199" spans="1:24">
      <c r="A199" s="7" t="s">
        <v>289</v>
      </c>
      <c r="B199" s="16" t="s">
        <v>290</v>
      </c>
      <c r="C199">
        <v>178529618.17422941</v>
      </c>
      <c r="D199">
        <v>171929597.66918403</v>
      </c>
      <c r="E199">
        <v>34234.234234235002</v>
      </c>
      <c r="F199">
        <v>133333.33333333401</v>
      </c>
      <c r="G199">
        <v>60</v>
      </c>
      <c r="H199">
        <v>43</v>
      </c>
      <c r="I199">
        <v>2</v>
      </c>
      <c r="J199">
        <v>1</v>
      </c>
      <c r="M199">
        <v>67</v>
      </c>
      <c r="N199">
        <v>50</v>
      </c>
      <c r="O199">
        <v>2601801.8018018021</v>
      </c>
      <c r="P199">
        <v>639639.63963963999</v>
      </c>
      <c r="Q199">
        <v>17</v>
      </c>
      <c r="R199">
        <v>5</v>
      </c>
      <c r="S199">
        <v>16377877.477477476</v>
      </c>
      <c r="T199">
        <v>16317245.045045044</v>
      </c>
      <c r="U199">
        <v>1767297.297297297</v>
      </c>
      <c r="V199">
        <v>1150630.630630631</v>
      </c>
      <c r="W199">
        <v>3995</v>
      </c>
      <c r="X199">
        <v>4258</v>
      </c>
    </row>
    <row r="200" spans="1:24">
      <c r="A200" s="7" t="s">
        <v>291</v>
      </c>
      <c r="B200" s="16" t="s">
        <v>147</v>
      </c>
      <c r="C200">
        <v>416446938.69075328</v>
      </c>
      <c r="D200">
        <v>417132360.38540959</v>
      </c>
      <c r="E200">
        <v>1180180.180180182</v>
      </c>
      <c r="F200">
        <v>6649729.7297297306</v>
      </c>
      <c r="G200">
        <v>114</v>
      </c>
      <c r="H200">
        <v>99</v>
      </c>
      <c r="I200">
        <v>12</v>
      </c>
      <c r="J200">
        <v>8</v>
      </c>
      <c r="K200">
        <v>2</v>
      </c>
      <c r="M200">
        <v>330</v>
      </c>
      <c r="N200">
        <v>214</v>
      </c>
      <c r="O200">
        <v>115667387.38738739</v>
      </c>
      <c r="P200">
        <v>164039335.13513514</v>
      </c>
      <c r="Q200">
        <v>286</v>
      </c>
      <c r="R200">
        <v>245</v>
      </c>
      <c r="S200">
        <v>151460900.9009009</v>
      </c>
      <c r="T200">
        <v>164683801.8018018</v>
      </c>
      <c r="U200">
        <v>108922252.25225225</v>
      </c>
      <c r="V200">
        <v>157263603.6036036</v>
      </c>
      <c r="W200">
        <v>7543</v>
      </c>
      <c r="X200">
        <v>7632</v>
      </c>
    </row>
    <row r="201" spans="1:24">
      <c r="A201" s="7" t="s">
        <v>292</v>
      </c>
      <c r="B201" s="16" t="s">
        <v>293</v>
      </c>
      <c r="C201">
        <v>212529221.22124791</v>
      </c>
      <c r="D201">
        <v>203500822.12730855</v>
      </c>
      <c r="E201">
        <v>172508501.8018018</v>
      </c>
      <c r="F201">
        <v>147871554.95495495</v>
      </c>
      <c r="G201">
        <v>31</v>
      </c>
      <c r="H201">
        <v>24</v>
      </c>
      <c r="I201">
        <v>15</v>
      </c>
      <c r="J201">
        <v>7</v>
      </c>
      <c r="M201">
        <v>40</v>
      </c>
      <c r="N201">
        <v>29</v>
      </c>
      <c r="O201">
        <v>79468378.378378391</v>
      </c>
      <c r="P201">
        <v>55325315.315315321</v>
      </c>
      <c r="Q201">
        <v>230</v>
      </c>
      <c r="R201">
        <v>50</v>
      </c>
      <c r="S201">
        <v>26523324.324324325</v>
      </c>
      <c r="T201">
        <v>28099396.396396395</v>
      </c>
      <c r="U201">
        <v>69910450.45045045</v>
      </c>
      <c r="V201">
        <v>46102792.792792797</v>
      </c>
      <c r="W201">
        <v>3540</v>
      </c>
      <c r="X201">
        <v>3625</v>
      </c>
    </row>
    <row r="202" spans="1:24">
      <c r="A202" s="7" t="s">
        <v>294</v>
      </c>
      <c r="B202" s="16" t="s">
        <v>290</v>
      </c>
      <c r="C202">
        <v>58269757.816434257</v>
      </c>
      <c r="D202">
        <v>45391165.849634856</v>
      </c>
      <c r="E202">
        <v>710810.810810811</v>
      </c>
      <c r="F202">
        <v>977477.47747747705</v>
      </c>
      <c r="G202">
        <v>21</v>
      </c>
      <c r="H202">
        <v>9</v>
      </c>
      <c r="I202">
        <v>2</v>
      </c>
      <c r="J202">
        <v>2</v>
      </c>
      <c r="M202">
        <v>22</v>
      </c>
      <c r="N202">
        <v>8</v>
      </c>
      <c r="O202">
        <v>3557657.6576576582</v>
      </c>
      <c r="P202">
        <v>2825225.2252252251</v>
      </c>
      <c r="Q202">
        <v>10</v>
      </c>
      <c r="R202">
        <v>5</v>
      </c>
      <c r="S202">
        <v>6057972.9729729732</v>
      </c>
      <c r="T202">
        <v>6216529.7297297297</v>
      </c>
      <c r="U202">
        <v>2472882.8828828828</v>
      </c>
      <c r="V202">
        <v>2557567.5675675678</v>
      </c>
      <c r="W202">
        <v>1030</v>
      </c>
      <c r="X202">
        <v>1215</v>
      </c>
    </row>
    <row r="203" spans="1:24">
      <c r="A203" s="7" t="s">
        <v>295</v>
      </c>
      <c r="B203" s="16" t="s">
        <v>52</v>
      </c>
      <c r="C203">
        <v>584713736.03506219</v>
      </c>
      <c r="D203">
        <v>578932680.41428065</v>
      </c>
      <c r="E203">
        <v>4931254.9549549567</v>
      </c>
      <c r="F203">
        <v>7957657.6576576633</v>
      </c>
      <c r="G203">
        <v>117</v>
      </c>
      <c r="H203">
        <v>189</v>
      </c>
      <c r="I203">
        <v>13</v>
      </c>
      <c r="J203">
        <v>15</v>
      </c>
      <c r="K203">
        <v>6</v>
      </c>
      <c r="M203">
        <v>691</v>
      </c>
      <c r="N203">
        <v>518</v>
      </c>
      <c r="O203">
        <v>442288071.17117119</v>
      </c>
      <c r="P203">
        <v>312084504.5045045</v>
      </c>
      <c r="Q203">
        <v>364</v>
      </c>
      <c r="R203">
        <v>560</v>
      </c>
      <c r="S203">
        <v>157822909.90990993</v>
      </c>
      <c r="T203">
        <v>158024430.63063061</v>
      </c>
      <c r="U203">
        <v>431490855.85585588</v>
      </c>
      <c r="V203">
        <v>320528468.46846849</v>
      </c>
      <c r="W203">
        <v>12069</v>
      </c>
      <c r="X203">
        <v>11578</v>
      </c>
    </row>
    <row r="204" spans="1:24">
      <c r="A204" s="7" t="s">
        <v>296</v>
      </c>
      <c r="B204" s="16" t="s">
        <v>169</v>
      </c>
      <c r="C204">
        <v>186353827.17842764</v>
      </c>
      <c r="D204">
        <v>151567894.03047058</v>
      </c>
      <c r="E204">
        <v>3603.603603604</v>
      </c>
      <c r="F204">
        <v>127027.027027028</v>
      </c>
      <c r="G204">
        <v>21</v>
      </c>
      <c r="H204">
        <v>20</v>
      </c>
      <c r="I204">
        <v>0</v>
      </c>
      <c r="J204">
        <v>0</v>
      </c>
      <c r="K204">
        <v>1</v>
      </c>
      <c r="M204">
        <v>25</v>
      </c>
      <c r="N204">
        <v>29</v>
      </c>
      <c r="O204">
        <v>7850450.4504504502</v>
      </c>
      <c r="P204">
        <v>13244144.144144144</v>
      </c>
      <c r="R204">
        <v>1</v>
      </c>
      <c r="S204">
        <v>36297225.225225225</v>
      </c>
      <c r="T204">
        <v>33542378.378378376</v>
      </c>
      <c r="U204">
        <v>8252432.4324324317</v>
      </c>
      <c r="V204">
        <v>11769729.729729732</v>
      </c>
      <c r="W204">
        <v>3459</v>
      </c>
      <c r="X204">
        <v>2966</v>
      </c>
    </row>
    <row r="205" spans="1:24">
      <c r="A205" s="7" t="s">
        <v>297</v>
      </c>
      <c r="B205" s="16" t="s">
        <v>169</v>
      </c>
      <c r="C205">
        <v>184525308.96443543</v>
      </c>
      <c r="D205">
        <v>216491023.52365133</v>
      </c>
      <c r="E205">
        <v>900.900900901</v>
      </c>
      <c r="F205">
        <v>729396.39639639703</v>
      </c>
      <c r="G205">
        <v>16</v>
      </c>
      <c r="H205">
        <v>26</v>
      </c>
      <c r="J205">
        <v>0</v>
      </c>
      <c r="M205">
        <v>16</v>
      </c>
      <c r="N205">
        <v>45</v>
      </c>
      <c r="O205">
        <v>996428080.18018019</v>
      </c>
      <c r="P205">
        <v>1841384189.1891892</v>
      </c>
      <c r="S205">
        <v>65187783.783783786</v>
      </c>
      <c r="T205">
        <v>77831630.630630627</v>
      </c>
      <c r="U205">
        <v>992245974.77477479</v>
      </c>
      <c r="V205">
        <v>1830816929.7297299</v>
      </c>
      <c r="W205">
        <v>2788</v>
      </c>
      <c r="X205">
        <v>2943</v>
      </c>
    </row>
    <row r="206" spans="1:24">
      <c r="A206" s="7" t="s">
        <v>298</v>
      </c>
      <c r="B206" s="16" t="s">
        <v>89</v>
      </c>
      <c r="C206">
        <v>680196461.48971581</v>
      </c>
      <c r="D206">
        <v>665260424.13352633</v>
      </c>
      <c r="E206">
        <v>2084099.0990991101</v>
      </c>
      <c r="F206">
        <v>9938604.5045045111</v>
      </c>
      <c r="G206">
        <v>88</v>
      </c>
      <c r="H206">
        <v>132</v>
      </c>
      <c r="I206">
        <v>49</v>
      </c>
      <c r="J206">
        <v>37</v>
      </c>
      <c r="K206">
        <v>2</v>
      </c>
      <c r="M206">
        <v>96</v>
      </c>
      <c r="N206">
        <v>236</v>
      </c>
      <c r="O206">
        <v>42420900.9009009</v>
      </c>
      <c r="P206">
        <v>48672916.216216214</v>
      </c>
      <c r="Q206">
        <v>379</v>
      </c>
      <c r="R206">
        <v>374</v>
      </c>
      <c r="S206">
        <v>124485360.36036035</v>
      </c>
      <c r="T206">
        <v>129908522.52252252</v>
      </c>
      <c r="U206">
        <v>40484324.324324317</v>
      </c>
      <c r="V206">
        <v>46783153.153153159</v>
      </c>
      <c r="W206">
        <v>10484</v>
      </c>
      <c r="X206">
        <v>11180</v>
      </c>
    </row>
    <row r="207" spans="1:24">
      <c r="A207" s="7" t="s">
        <v>299</v>
      </c>
      <c r="B207" s="16" t="s">
        <v>134</v>
      </c>
      <c r="C207">
        <v>349430078.06665736</v>
      </c>
      <c r="D207">
        <v>368025924.19622999</v>
      </c>
      <c r="E207">
        <v>2641666.6666666758</v>
      </c>
      <c r="F207">
        <v>3896396.396396399</v>
      </c>
      <c r="G207">
        <v>144</v>
      </c>
      <c r="H207">
        <v>81</v>
      </c>
      <c r="I207">
        <v>37</v>
      </c>
      <c r="J207">
        <v>12</v>
      </c>
      <c r="M207">
        <v>219</v>
      </c>
      <c r="N207">
        <v>102</v>
      </c>
      <c r="O207">
        <v>35590990.990990989</v>
      </c>
      <c r="P207">
        <v>27045045.045045044</v>
      </c>
      <c r="Q207">
        <v>260</v>
      </c>
      <c r="R207">
        <v>185</v>
      </c>
      <c r="S207">
        <v>47837890.090090089</v>
      </c>
      <c r="T207">
        <v>46587360.360360362</v>
      </c>
      <c r="U207">
        <v>31185628.828828827</v>
      </c>
      <c r="V207">
        <v>23193153.153153151</v>
      </c>
      <c r="W207">
        <v>7011</v>
      </c>
      <c r="X207">
        <v>6925</v>
      </c>
    </row>
    <row r="208" spans="1:24">
      <c r="A208" s="7" t="s">
        <v>300</v>
      </c>
      <c r="B208" s="16" t="s">
        <v>290</v>
      </c>
      <c r="C208">
        <v>268619982.78663552</v>
      </c>
      <c r="D208">
        <v>249905183.03910503</v>
      </c>
      <c r="E208">
        <v>1112162.1621621631</v>
      </c>
      <c r="F208">
        <v>4313513.5135135148</v>
      </c>
      <c r="G208">
        <v>124</v>
      </c>
      <c r="H208">
        <v>71</v>
      </c>
      <c r="I208">
        <v>19</v>
      </c>
      <c r="J208">
        <v>17</v>
      </c>
      <c r="M208">
        <v>132</v>
      </c>
      <c r="N208">
        <v>88</v>
      </c>
      <c r="O208">
        <v>28240090.090090089</v>
      </c>
      <c r="P208">
        <v>39546854.054054059</v>
      </c>
      <c r="Q208">
        <v>217</v>
      </c>
      <c r="R208">
        <v>80</v>
      </c>
      <c r="S208">
        <v>37968648.648648649</v>
      </c>
      <c r="T208">
        <v>35652753.153153151</v>
      </c>
      <c r="U208">
        <v>26317117.117117122</v>
      </c>
      <c r="V208">
        <v>38728558.558558561</v>
      </c>
      <c r="W208">
        <v>4075</v>
      </c>
      <c r="X208">
        <v>4363</v>
      </c>
    </row>
    <row r="209" spans="1:24">
      <c r="A209" s="7" t="s">
        <v>301</v>
      </c>
      <c r="B209" s="16" t="s">
        <v>80</v>
      </c>
      <c r="C209">
        <v>397030242.87468296</v>
      </c>
      <c r="D209">
        <v>367895141.19283479</v>
      </c>
      <c r="E209">
        <v>1358108.1081081091</v>
      </c>
      <c r="F209">
        <v>4607882.8828828828</v>
      </c>
      <c r="G209">
        <v>120</v>
      </c>
      <c r="H209">
        <v>58</v>
      </c>
      <c r="I209">
        <v>10</v>
      </c>
      <c r="J209">
        <v>14</v>
      </c>
      <c r="M209">
        <v>126</v>
      </c>
      <c r="N209">
        <v>71</v>
      </c>
      <c r="O209">
        <v>35846576.576576576</v>
      </c>
      <c r="P209">
        <v>55600000</v>
      </c>
      <c r="Q209">
        <v>119</v>
      </c>
      <c r="R209">
        <v>155</v>
      </c>
      <c r="S209">
        <v>86341896.396396399</v>
      </c>
      <c r="T209">
        <v>76994917.117117122</v>
      </c>
      <c r="U209">
        <v>33068468.468468469</v>
      </c>
      <c r="V209">
        <v>53464414.414414413</v>
      </c>
      <c r="W209">
        <v>5502</v>
      </c>
      <c r="X209">
        <v>5717</v>
      </c>
    </row>
    <row r="210" spans="1:24">
      <c r="A210" s="7" t="s">
        <v>302</v>
      </c>
      <c r="B210" s="16" t="s">
        <v>72</v>
      </c>
      <c r="C210">
        <v>554840848.83636713</v>
      </c>
      <c r="D210">
        <v>551865021.44956279</v>
      </c>
      <c r="E210">
        <v>206306.30630630799</v>
      </c>
      <c r="F210">
        <v>1458558.5585585609</v>
      </c>
      <c r="G210">
        <v>90</v>
      </c>
      <c r="H210">
        <v>127</v>
      </c>
      <c r="I210">
        <v>16</v>
      </c>
      <c r="J210">
        <v>17</v>
      </c>
      <c r="K210">
        <v>3</v>
      </c>
      <c r="M210">
        <v>95</v>
      </c>
      <c r="N210">
        <v>140</v>
      </c>
      <c r="O210">
        <v>38440540.540540546</v>
      </c>
      <c r="P210">
        <v>28254054.054054055</v>
      </c>
      <c r="Q210">
        <v>77</v>
      </c>
      <c r="R210">
        <v>58</v>
      </c>
      <c r="S210">
        <v>74821567.567567572</v>
      </c>
      <c r="T210">
        <v>81486153.153153151</v>
      </c>
      <c r="U210">
        <v>29796576.576576576</v>
      </c>
      <c r="V210">
        <v>28249639.639639638</v>
      </c>
      <c r="W210">
        <v>8951</v>
      </c>
      <c r="X210">
        <v>9106</v>
      </c>
    </row>
    <row r="211" spans="1:24">
      <c r="A211" s="7" t="s">
        <v>303</v>
      </c>
      <c r="B211" s="16" t="s">
        <v>304</v>
      </c>
      <c r="C211">
        <v>1912436.996649036</v>
      </c>
      <c r="D211">
        <v>1919682.380819377</v>
      </c>
      <c r="S211">
        <v>863738.73873873905</v>
      </c>
      <c r="T211">
        <v>725315.31531531503</v>
      </c>
      <c r="W211">
        <v>74</v>
      </c>
      <c r="X211">
        <v>73</v>
      </c>
    </row>
    <row r="212" spans="1:24">
      <c r="A212" s="7" t="s">
        <v>305</v>
      </c>
      <c r="B212" s="16" t="s">
        <v>117</v>
      </c>
      <c r="C212">
        <v>84595729.900601566</v>
      </c>
      <c r="D212">
        <v>72931066.672370374</v>
      </c>
      <c r="E212">
        <v>16216.216216217999</v>
      </c>
      <c r="F212">
        <v>309909.90990990802</v>
      </c>
      <c r="G212">
        <v>15</v>
      </c>
      <c r="H212">
        <v>26</v>
      </c>
      <c r="I212">
        <v>6</v>
      </c>
      <c r="J212">
        <v>6</v>
      </c>
      <c r="M212">
        <v>17</v>
      </c>
      <c r="N212">
        <v>40</v>
      </c>
      <c r="O212">
        <v>3927117.1171171172</v>
      </c>
      <c r="P212">
        <v>3285045.0450450461</v>
      </c>
      <c r="Q212">
        <v>66</v>
      </c>
      <c r="R212">
        <v>21</v>
      </c>
      <c r="S212">
        <v>33643288.288288288</v>
      </c>
      <c r="T212">
        <v>31613063.063063063</v>
      </c>
      <c r="U212">
        <v>4091351.351351351</v>
      </c>
      <c r="V212">
        <v>3429459.4594594599</v>
      </c>
      <c r="W212">
        <v>1794</v>
      </c>
      <c r="X212">
        <v>1818</v>
      </c>
    </row>
    <row r="213" spans="1:24">
      <c r="A213" s="7" t="s">
        <v>306</v>
      </c>
      <c r="B213" s="16" t="s">
        <v>307</v>
      </c>
      <c r="C213">
        <v>92439112.33302474</v>
      </c>
      <c r="D213">
        <v>91704560.758311138</v>
      </c>
      <c r="E213">
        <v>43243.243243243996</v>
      </c>
      <c r="F213">
        <v>392792.79279279598</v>
      </c>
      <c r="G213">
        <v>45</v>
      </c>
      <c r="H213">
        <v>41</v>
      </c>
      <c r="J213">
        <v>0</v>
      </c>
      <c r="M213">
        <v>51</v>
      </c>
      <c r="N213">
        <v>59</v>
      </c>
      <c r="O213">
        <v>1545225.2252252239</v>
      </c>
      <c r="P213">
        <v>1361261.2612612641</v>
      </c>
      <c r="Q213">
        <v>35</v>
      </c>
      <c r="R213">
        <v>24</v>
      </c>
      <c r="S213">
        <v>46820216.216216214</v>
      </c>
      <c r="T213">
        <v>49762243.24324324</v>
      </c>
      <c r="U213">
        <v>1321441.44144144</v>
      </c>
      <c r="V213">
        <v>1260720.7207207209</v>
      </c>
      <c r="W213">
        <v>4521</v>
      </c>
      <c r="X213">
        <v>4566</v>
      </c>
    </row>
    <row r="214" spans="1:24">
      <c r="A214" s="7" t="s">
        <v>308</v>
      </c>
      <c r="B214" s="16" t="s">
        <v>140</v>
      </c>
      <c r="C214">
        <v>574661703.96838331</v>
      </c>
      <c r="D214">
        <v>587766885.53735971</v>
      </c>
      <c r="E214">
        <v>1103063.0630630651</v>
      </c>
      <c r="F214">
        <v>2988288.2882882929</v>
      </c>
      <c r="G214">
        <v>44</v>
      </c>
      <c r="H214">
        <v>87</v>
      </c>
      <c r="I214">
        <v>11</v>
      </c>
      <c r="J214">
        <v>15</v>
      </c>
      <c r="M214">
        <v>58</v>
      </c>
      <c r="N214">
        <v>103</v>
      </c>
      <c r="O214">
        <v>95155585.585585579</v>
      </c>
      <c r="P214">
        <v>105715765.76576576</v>
      </c>
      <c r="Q214">
        <v>31</v>
      </c>
      <c r="R214">
        <v>261</v>
      </c>
      <c r="S214">
        <v>122843466.66666667</v>
      </c>
      <c r="T214">
        <v>130914653.15315315</v>
      </c>
      <c r="U214">
        <v>63251351.351351351</v>
      </c>
      <c r="V214">
        <v>63449279.279279277</v>
      </c>
      <c r="W214">
        <v>7791</v>
      </c>
      <c r="X214">
        <v>8016</v>
      </c>
    </row>
    <row r="215" spans="1:24">
      <c r="A215" s="7" t="s">
        <v>309</v>
      </c>
      <c r="B215" s="16" t="s">
        <v>132</v>
      </c>
      <c r="C215">
        <v>682177097.35138476</v>
      </c>
      <c r="D215">
        <v>585203928.22119236</v>
      </c>
      <c r="E215">
        <v>9991891.8918918911</v>
      </c>
      <c r="F215">
        <v>23850450.45045045</v>
      </c>
      <c r="G215">
        <v>214</v>
      </c>
      <c r="H215">
        <v>155</v>
      </c>
      <c r="I215">
        <v>3</v>
      </c>
      <c r="J215">
        <v>3</v>
      </c>
      <c r="M215">
        <v>241</v>
      </c>
      <c r="N215">
        <v>188</v>
      </c>
      <c r="O215">
        <v>44467342.342342347</v>
      </c>
      <c r="P215">
        <v>28705630.630630631</v>
      </c>
      <c r="Q215">
        <v>112</v>
      </c>
      <c r="R215">
        <v>27</v>
      </c>
      <c r="S215">
        <v>178633450.45045045</v>
      </c>
      <c r="T215">
        <v>156778558.55855855</v>
      </c>
      <c r="U215">
        <v>38806351.351351351</v>
      </c>
      <c r="V215">
        <v>18964144.144144148</v>
      </c>
      <c r="W215">
        <v>11696</v>
      </c>
      <c r="X215">
        <v>11909</v>
      </c>
    </row>
    <row r="216" spans="1:24">
      <c r="A216" s="7" t="s">
        <v>310</v>
      </c>
      <c r="B216" s="16" t="s">
        <v>72</v>
      </c>
      <c r="C216">
        <v>1000798035.1174866</v>
      </c>
      <c r="D216">
        <v>939722454.5729568</v>
      </c>
      <c r="E216">
        <v>59421036.036036044</v>
      </c>
      <c r="F216">
        <v>59818153.153153159</v>
      </c>
      <c r="G216">
        <v>236</v>
      </c>
      <c r="H216">
        <v>223</v>
      </c>
      <c r="I216">
        <v>49</v>
      </c>
      <c r="J216">
        <v>55</v>
      </c>
      <c r="K216">
        <v>1</v>
      </c>
      <c r="M216">
        <v>261</v>
      </c>
      <c r="N216">
        <v>271</v>
      </c>
      <c r="O216">
        <v>157450180.18018019</v>
      </c>
      <c r="P216">
        <v>144427477.47747746</v>
      </c>
      <c r="Q216">
        <v>248</v>
      </c>
      <c r="R216">
        <v>168</v>
      </c>
      <c r="S216">
        <v>240245529.72972974</v>
      </c>
      <c r="T216">
        <v>238441748.64864865</v>
      </c>
      <c r="U216">
        <v>127617477.47747748</v>
      </c>
      <c r="V216">
        <v>124068601.8018018</v>
      </c>
      <c r="W216">
        <v>16916</v>
      </c>
      <c r="X216">
        <v>16793</v>
      </c>
    </row>
    <row r="217" spans="1:24">
      <c r="A217" s="7" t="s">
        <v>311</v>
      </c>
      <c r="B217" s="16" t="s">
        <v>62</v>
      </c>
      <c r="C217">
        <v>173497240.04454577</v>
      </c>
      <c r="D217">
        <v>167114862.93734092</v>
      </c>
      <c r="E217">
        <v>212612.612612614</v>
      </c>
      <c r="F217">
        <v>1772972.9729729739</v>
      </c>
      <c r="G217">
        <v>24</v>
      </c>
      <c r="H217">
        <v>18</v>
      </c>
      <c r="I217">
        <v>6</v>
      </c>
      <c r="J217">
        <v>6</v>
      </c>
      <c r="M217">
        <v>28</v>
      </c>
      <c r="N217">
        <v>19</v>
      </c>
      <c r="O217">
        <v>28209549.54954955</v>
      </c>
      <c r="P217">
        <v>34275855.855855852</v>
      </c>
      <c r="Q217">
        <v>118</v>
      </c>
      <c r="R217">
        <v>49</v>
      </c>
      <c r="S217">
        <v>47509765.765765771</v>
      </c>
      <c r="T217">
        <v>45983495.495495498</v>
      </c>
      <c r="U217">
        <v>28894504.504504506</v>
      </c>
      <c r="V217">
        <v>28959639.639639638</v>
      </c>
      <c r="W217">
        <v>2290</v>
      </c>
      <c r="X217">
        <v>2279</v>
      </c>
    </row>
    <row r="218" spans="1:24">
      <c r="A218" s="7" t="s">
        <v>312</v>
      </c>
      <c r="B218" s="16" t="s">
        <v>89</v>
      </c>
      <c r="C218">
        <v>56351797.368159615</v>
      </c>
      <c r="D218">
        <v>57572530.524646632</v>
      </c>
      <c r="E218">
        <v>42342.342342344004</v>
      </c>
      <c r="F218">
        <v>1020720.720720719</v>
      </c>
      <c r="G218">
        <v>11</v>
      </c>
      <c r="H218">
        <v>13</v>
      </c>
      <c r="I218">
        <v>8</v>
      </c>
      <c r="J218">
        <v>14</v>
      </c>
      <c r="M218">
        <v>13</v>
      </c>
      <c r="N218">
        <v>19</v>
      </c>
      <c r="O218">
        <v>4015585.5855855839</v>
      </c>
      <c r="P218">
        <v>8541081.0810810812</v>
      </c>
      <c r="Q218">
        <v>52</v>
      </c>
      <c r="R218">
        <v>111</v>
      </c>
      <c r="S218">
        <v>16691756.756756756</v>
      </c>
      <c r="T218">
        <v>19620702.702702705</v>
      </c>
      <c r="U218">
        <v>3432252.252252249</v>
      </c>
      <c r="V218">
        <v>8867117.1171171181</v>
      </c>
      <c r="W218">
        <v>1248</v>
      </c>
      <c r="X218">
        <v>1165</v>
      </c>
    </row>
    <row r="219" spans="1:24">
      <c r="A219" s="7" t="s">
        <v>313</v>
      </c>
      <c r="B219" s="16" t="s">
        <v>92</v>
      </c>
      <c r="C219">
        <v>25931711.578088298</v>
      </c>
      <c r="D219">
        <v>25492250.168323673</v>
      </c>
      <c r="E219">
        <v>40947747.747747742</v>
      </c>
      <c r="F219">
        <v>61675675.675675683</v>
      </c>
      <c r="G219">
        <v>4</v>
      </c>
      <c r="H219">
        <v>4</v>
      </c>
      <c r="I219">
        <v>1</v>
      </c>
      <c r="M219">
        <v>4</v>
      </c>
      <c r="N219">
        <v>5</v>
      </c>
      <c r="O219">
        <v>7171171.1711711707</v>
      </c>
      <c r="P219">
        <v>3155405.405405405</v>
      </c>
      <c r="Q219">
        <v>1</v>
      </c>
      <c r="S219">
        <v>1929144.1441441439</v>
      </c>
      <c r="T219">
        <v>1935270.2702702701</v>
      </c>
      <c r="U219">
        <v>27027.027027027001</v>
      </c>
      <c r="V219">
        <v>1361261.2612612611</v>
      </c>
      <c r="W219">
        <v>501</v>
      </c>
      <c r="X219">
        <v>580</v>
      </c>
    </row>
    <row r="220" spans="1:24">
      <c r="A220" s="7" t="s">
        <v>314</v>
      </c>
      <c r="B220" s="16" t="s">
        <v>315</v>
      </c>
      <c r="C220">
        <v>208378884.91614667</v>
      </c>
      <c r="D220">
        <v>193490960.86759651</v>
      </c>
      <c r="E220">
        <v>137246457.65765765</v>
      </c>
      <c r="F220">
        <v>121676108.10810812</v>
      </c>
      <c r="G220">
        <v>64</v>
      </c>
      <c r="H220">
        <v>37</v>
      </c>
      <c r="I220">
        <v>1</v>
      </c>
      <c r="J220">
        <v>3</v>
      </c>
      <c r="M220">
        <v>72</v>
      </c>
      <c r="N220">
        <v>44</v>
      </c>
      <c r="O220">
        <v>50745945.945945941</v>
      </c>
      <c r="P220">
        <v>25529729.729729727</v>
      </c>
      <c r="Q220">
        <v>28</v>
      </c>
      <c r="S220">
        <v>33704837.837837838</v>
      </c>
      <c r="T220">
        <v>29988007.207207207</v>
      </c>
      <c r="U220">
        <v>12419189.189189188</v>
      </c>
      <c r="V220">
        <v>24250900.900900904</v>
      </c>
      <c r="W220">
        <v>3426</v>
      </c>
      <c r="X220">
        <v>3512</v>
      </c>
    </row>
    <row r="221" spans="1:24">
      <c r="A221" s="7" t="s">
        <v>316</v>
      </c>
      <c r="B221" s="16" t="s">
        <v>62</v>
      </c>
      <c r="C221">
        <v>323288605.73897827</v>
      </c>
      <c r="D221">
        <v>327690471.43198371</v>
      </c>
      <c r="E221">
        <v>1340990.990990995</v>
      </c>
      <c r="F221">
        <v>6617117.1171171218</v>
      </c>
      <c r="G221">
        <v>71</v>
      </c>
      <c r="H221">
        <v>160</v>
      </c>
      <c r="I221">
        <v>15</v>
      </c>
      <c r="J221">
        <v>16</v>
      </c>
      <c r="M221">
        <v>102</v>
      </c>
      <c r="N221">
        <v>229</v>
      </c>
      <c r="O221">
        <v>23502342.342342339</v>
      </c>
      <c r="P221">
        <v>55169909.909909911</v>
      </c>
      <c r="Q221">
        <v>204</v>
      </c>
      <c r="R221">
        <v>175</v>
      </c>
      <c r="S221">
        <v>114711972.97297297</v>
      </c>
      <c r="T221">
        <v>114840072.07207206</v>
      </c>
      <c r="U221">
        <v>23791891.891891889</v>
      </c>
      <c r="V221">
        <v>52191351.351351343</v>
      </c>
      <c r="W221">
        <v>8842</v>
      </c>
      <c r="X221">
        <v>8729</v>
      </c>
    </row>
    <row r="222" spans="1:24">
      <c r="A222" s="7" t="s">
        <v>317</v>
      </c>
      <c r="B222" s="16" t="s">
        <v>62</v>
      </c>
      <c r="C222">
        <v>325052438.82437873</v>
      </c>
      <c r="D222">
        <v>303282195.20326668</v>
      </c>
      <c r="E222">
        <v>1167117.11711712</v>
      </c>
      <c r="F222">
        <v>2319819.8198198238</v>
      </c>
      <c r="G222">
        <v>104</v>
      </c>
      <c r="H222">
        <v>50</v>
      </c>
      <c r="I222">
        <v>19</v>
      </c>
      <c r="J222">
        <v>14</v>
      </c>
      <c r="K222">
        <v>1</v>
      </c>
      <c r="M222">
        <v>138</v>
      </c>
      <c r="N222">
        <v>62</v>
      </c>
      <c r="O222">
        <v>28134144.144144144</v>
      </c>
      <c r="P222">
        <v>45758918.918918923</v>
      </c>
      <c r="Q222">
        <v>24</v>
      </c>
      <c r="R222">
        <v>122</v>
      </c>
      <c r="S222">
        <v>110612702.7027027</v>
      </c>
      <c r="T222">
        <v>105765153.15315315</v>
      </c>
      <c r="U222">
        <v>28458918.918918919</v>
      </c>
      <c r="V222">
        <v>40389369.369369365</v>
      </c>
      <c r="W222">
        <v>5680</v>
      </c>
      <c r="X222">
        <v>5523</v>
      </c>
    </row>
    <row r="223" spans="1:24">
      <c r="A223" s="7" t="s">
        <v>318</v>
      </c>
      <c r="B223" s="16" t="s">
        <v>78</v>
      </c>
      <c r="C223">
        <v>337248557.62638193</v>
      </c>
      <c r="D223">
        <v>318067858.01057822</v>
      </c>
      <c r="E223">
        <v>3650315.3153153169</v>
      </c>
      <c r="F223">
        <v>6223198.1981982021</v>
      </c>
      <c r="G223">
        <v>133</v>
      </c>
      <c r="H223">
        <v>138</v>
      </c>
      <c r="I223">
        <v>17</v>
      </c>
      <c r="J223">
        <v>27</v>
      </c>
      <c r="M223">
        <v>151</v>
      </c>
      <c r="N223">
        <v>184</v>
      </c>
      <c r="O223">
        <v>69498558.558558553</v>
      </c>
      <c r="P223">
        <v>86894144.144144148</v>
      </c>
      <c r="Q223">
        <v>174</v>
      </c>
      <c r="R223">
        <v>231</v>
      </c>
      <c r="S223">
        <v>143935675.67567569</v>
      </c>
      <c r="T223">
        <v>138447959.45945945</v>
      </c>
      <c r="U223">
        <v>67821711.711711705</v>
      </c>
      <c r="V223">
        <v>84779819.819819823</v>
      </c>
      <c r="W223">
        <v>8535</v>
      </c>
      <c r="X223">
        <v>8693</v>
      </c>
    </row>
    <row r="224" spans="1:24">
      <c r="A224" s="7" t="s">
        <v>319</v>
      </c>
      <c r="B224" s="16" t="s">
        <v>78</v>
      </c>
      <c r="C224">
        <v>200055342.0195117</v>
      </c>
      <c r="D224">
        <v>192453036.30642483</v>
      </c>
      <c r="E224">
        <v>2902882.8828828838</v>
      </c>
      <c r="F224">
        <v>3552252.2522522528</v>
      </c>
      <c r="G224">
        <v>82</v>
      </c>
      <c r="H224">
        <v>95</v>
      </c>
      <c r="I224">
        <v>1</v>
      </c>
      <c r="J224">
        <v>5</v>
      </c>
      <c r="K224">
        <v>2</v>
      </c>
      <c r="M224">
        <v>130</v>
      </c>
      <c r="N224">
        <v>153</v>
      </c>
      <c r="O224">
        <v>21889369.369369369</v>
      </c>
      <c r="P224">
        <v>17552252.252252251</v>
      </c>
      <c r="Q224">
        <v>149</v>
      </c>
      <c r="R224">
        <v>144</v>
      </c>
      <c r="S224">
        <v>70930601.801801801</v>
      </c>
      <c r="T224">
        <v>72221027.027027026</v>
      </c>
      <c r="U224">
        <v>19652612.612612613</v>
      </c>
      <c r="V224">
        <v>16048018.01801802</v>
      </c>
      <c r="W224">
        <v>5714</v>
      </c>
      <c r="X224">
        <v>5727</v>
      </c>
    </row>
    <row r="225" spans="1:24">
      <c r="A225" s="7" t="s">
        <v>320</v>
      </c>
      <c r="B225" s="16" t="s">
        <v>121</v>
      </c>
      <c r="C225">
        <v>1397067.355066207</v>
      </c>
      <c r="D225">
        <v>1466280.8570949759</v>
      </c>
      <c r="G225">
        <v>3</v>
      </c>
      <c r="M225">
        <v>3</v>
      </c>
      <c r="S225">
        <v>487882.88288288302</v>
      </c>
      <c r="T225">
        <v>177117.11711711701</v>
      </c>
      <c r="W225">
        <v>76</v>
      </c>
      <c r="X225">
        <v>76</v>
      </c>
    </row>
    <row r="226" spans="1:24">
      <c r="A226" s="7" t="s">
        <v>321</v>
      </c>
      <c r="B226" s="16" t="s">
        <v>224</v>
      </c>
      <c r="C226">
        <v>251826645.45394292</v>
      </c>
      <c r="D226">
        <v>220001567.53982136</v>
      </c>
      <c r="E226">
        <v>1801.801801802</v>
      </c>
      <c r="F226">
        <v>69369.369369370004</v>
      </c>
      <c r="G226">
        <v>53</v>
      </c>
      <c r="H226">
        <v>44</v>
      </c>
      <c r="I226">
        <v>1</v>
      </c>
      <c r="J226">
        <v>1</v>
      </c>
      <c r="M226">
        <v>58</v>
      </c>
      <c r="N226">
        <v>58</v>
      </c>
      <c r="O226">
        <v>18005945.945945945</v>
      </c>
      <c r="P226">
        <v>9117297.2972973008</v>
      </c>
      <c r="Q226">
        <v>51</v>
      </c>
      <c r="R226">
        <v>51</v>
      </c>
      <c r="S226">
        <v>91923288.288288295</v>
      </c>
      <c r="T226">
        <v>88960790.990990996</v>
      </c>
      <c r="U226">
        <v>18477927.927927926</v>
      </c>
      <c r="V226">
        <v>9671711.7117117122</v>
      </c>
      <c r="W226">
        <v>3932</v>
      </c>
      <c r="X226">
        <v>3982</v>
      </c>
    </row>
    <row r="227" spans="1:24">
      <c r="A227" s="7" t="s">
        <v>322</v>
      </c>
      <c r="B227" s="16" t="s">
        <v>224</v>
      </c>
      <c r="C227">
        <v>181702914.07288668</v>
      </c>
      <c r="D227">
        <v>156827084.92303881</v>
      </c>
      <c r="E227">
        <v>304504.50450450601</v>
      </c>
      <c r="F227">
        <v>85585.585585587003</v>
      </c>
      <c r="G227">
        <v>25</v>
      </c>
      <c r="H227">
        <v>11</v>
      </c>
      <c r="I227">
        <v>4</v>
      </c>
      <c r="J227">
        <v>0</v>
      </c>
      <c r="M227">
        <v>26</v>
      </c>
      <c r="N227">
        <v>13</v>
      </c>
      <c r="O227">
        <v>25756216.216216218</v>
      </c>
      <c r="P227">
        <v>19454234.234234236</v>
      </c>
      <c r="Q227">
        <v>56</v>
      </c>
      <c r="R227">
        <v>105</v>
      </c>
      <c r="S227">
        <v>51653873.873873875</v>
      </c>
      <c r="T227">
        <v>48035409.909909911</v>
      </c>
      <c r="U227">
        <v>21598378.378378376</v>
      </c>
      <c r="V227">
        <v>14044234.234234236</v>
      </c>
      <c r="W227">
        <v>2189</v>
      </c>
      <c r="X227">
        <v>2246</v>
      </c>
    </row>
    <row r="228" spans="1:24">
      <c r="A228" s="7" t="s">
        <v>323</v>
      </c>
      <c r="B228" s="16" t="s">
        <v>78</v>
      </c>
      <c r="C228">
        <v>243845387.42547342</v>
      </c>
      <c r="D228">
        <v>238855980.35441256</v>
      </c>
      <c r="E228">
        <v>786936.93693693704</v>
      </c>
      <c r="F228">
        <v>1273873.8738738771</v>
      </c>
      <c r="G228">
        <v>95</v>
      </c>
      <c r="H228">
        <v>100</v>
      </c>
      <c r="I228">
        <v>10</v>
      </c>
      <c r="J228">
        <v>9</v>
      </c>
      <c r="M228">
        <v>105</v>
      </c>
      <c r="N228">
        <v>171</v>
      </c>
      <c r="O228">
        <v>27313963.963963959</v>
      </c>
      <c r="P228">
        <v>25463063.063063063</v>
      </c>
      <c r="Q228">
        <v>183</v>
      </c>
      <c r="R228">
        <v>145</v>
      </c>
      <c r="S228">
        <v>69371364.864864871</v>
      </c>
      <c r="T228">
        <v>70985774.774774775</v>
      </c>
      <c r="U228">
        <v>23818558.558558557</v>
      </c>
      <c r="V228">
        <v>25180360.360360362</v>
      </c>
      <c r="W228">
        <v>4500</v>
      </c>
      <c r="X228">
        <v>4594</v>
      </c>
    </row>
    <row r="229" spans="1:24">
      <c r="A229" s="7" t="s">
        <v>324</v>
      </c>
      <c r="B229" s="16" t="s">
        <v>108</v>
      </c>
      <c r="C229">
        <v>1581537228.9827974</v>
      </c>
      <c r="D229">
        <v>1545647227.6802447</v>
      </c>
      <c r="E229">
        <v>2016164049.5495496</v>
      </c>
      <c r="F229">
        <v>1826575766.6666667</v>
      </c>
      <c r="G229">
        <v>270</v>
      </c>
      <c r="H229">
        <v>419</v>
      </c>
      <c r="I229">
        <v>32</v>
      </c>
      <c r="J229">
        <v>47</v>
      </c>
      <c r="K229">
        <v>1</v>
      </c>
      <c r="M229">
        <v>511</v>
      </c>
      <c r="N229">
        <v>740</v>
      </c>
      <c r="O229">
        <v>646149639.63963974</v>
      </c>
      <c r="P229">
        <v>584511261.26126134</v>
      </c>
      <c r="Q229">
        <v>1178</v>
      </c>
      <c r="R229">
        <v>2511</v>
      </c>
      <c r="S229">
        <v>363601445.94594592</v>
      </c>
      <c r="T229">
        <v>734246171.17117119</v>
      </c>
      <c r="U229">
        <v>155750540.54054055</v>
      </c>
      <c r="V229">
        <v>135143963.96396396</v>
      </c>
      <c r="W229">
        <v>22298</v>
      </c>
      <c r="X229">
        <v>22421</v>
      </c>
    </row>
    <row r="230" spans="1:24">
      <c r="A230" s="7" t="s">
        <v>325</v>
      </c>
      <c r="B230" s="16" t="s">
        <v>224</v>
      </c>
      <c r="C230">
        <v>242353148.63536915</v>
      </c>
      <c r="D230">
        <v>222736205.70823824</v>
      </c>
      <c r="E230">
        <v>557297.29729729705</v>
      </c>
      <c r="F230">
        <v>709009.00900900899</v>
      </c>
      <c r="G230">
        <v>46</v>
      </c>
      <c r="H230">
        <v>36</v>
      </c>
      <c r="I230">
        <v>4</v>
      </c>
      <c r="J230">
        <v>1</v>
      </c>
      <c r="M230">
        <v>49</v>
      </c>
      <c r="N230">
        <v>37</v>
      </c>
      <c r="O230">
        <v>25568108.108108107</v>
      </c>
      <c r="P230">
        <v>18369909.909909908</v>
      </c>
      <c r="Q230">
        <v>19</v>
      </c>
      <c r="S230">
        <v>48790063.063063063</v>
      </c>
      <c r="T230">
        <v>47448585.585585587</v>
      </c>
      <c r="U230">
        <v>24953783.783783782</v>
      </c>
      <c r="V230">
        <v>18482072.072072074</v>
      </c>
      <c r="W230">
        <v>4463</v>
      </c>
      <c r="X230">
        <v>4329</v>
      </c>
    </row>
    <row r="231" spans="1:24">
      <c r="A231" s="7" t="s">
        <v>4</v>
      </c>
      <c r="B231" s="16" t="s">
        <v>158</v>
      </c>
      <c r="C231">
        <v>189121525.0669426</v>
      </c>
      <c r="D231">
        <v>192017088.98000297</v>
      </c>
      <c r="E231">
        <v>1290990.990990991</v>
      </c>
      <c r="F231">
        <v>3141441.4414414442</v>
      </c>
      <c r="G231">
        <v>14</v>
      </c>
      <c r="H231">
        <v>16</v>
      </c>
      <c r="I231">
        <v>11</v>
      </c>
      <c r="J231">
        <v>3</v>
      </c>
      <c r="M231">
        <v>14</v>
      </c>
      <c r="N231">
        <v>20</v>
      </c>
      <c r="O231">
        <v>32396846.846846849</v>
      </c>
      <c r="P231">
        <v>32077477.477477476</v>
      </c>
      <c r="Q231">
        <v>125</v>
      </c>
      <c r="R231">
        <v>101</v>
      </c>
      <c r="S231">
        <v>71165810.810810804</v>
      </c>
      <c r="T231">
        <v>68359261.261261269</v>
      </c>
      <c r="U231">
        <v>33012432.432432432</v>
      </c>
      <c r="V231">
        <v>41214684.684684679</v>
      </c>
      <c r="W231">
        <v>3397</v>
      </c>
      <c r="X231">
        <v>3809</v>
      </c>
    </row>
    <row r="232" spans="1:24">
      <c r="A232" s="7" t="s">
        <v>326</v>
      </c>
      <c r="B232" s="16" t="s">
        <v>108</v>
      </c>
      <c r="C232">
        <v>898748836.00599766</v>
      </c>
      <c r="D232">
        <v>899096948.7371912</v>
      </c>
      <c r="E232">
        <v>19122118.018018018</v>
      </c>
      <c r="F232">
        <v>15788894.5945946</v>
      </c>
      <c r="G232">
        <v>363</v>
      </c>
      <c r="H232">
        <v>319</v>
      </c>
      <c r="I232">
        <v>43</v>
      </c>
      <c r="J232">
        <v>38</v>
      </c>
      <c r="M232">
        <v>646</v>
      </c>
      <c r="N232">
        <v>1290</v>
      </c>
      <c r="O232">
        <v>652503144.14414418</v>
      </c>
      <c r="P232">
        <v>588834255.85585582</v>
      </c>
      <c r="Q232">
        <v>1557</v>
      </c>
      <c r="R232">
        <v>1606</v>
      </c>
      <c r="S232">
        <v>265663108.1081081</v>
      </c>
      <c r="T232">
        <v>278194659.9099099</v>
      </c>
      <c r="U232">
        <v>164837027.02702701</v>
      </c>
      <c r="V232">
        <v>130490810.81081082</v>
      </c>
      <c r="W232">
        <v>19797</v>
      </c>
      <c r="X232">
        <v>20065</v>
      </c>
    </row>
    <row r="233" spans="1:24">
      <c r="A233" s="7" t="s">
        <v>327</v>
      </c>
      <c r="B233" s="16" t="s">
        <v>78</v>
      </c>
      <c r="C233">
        <v>93726571.37409763</v>
      </c>
      <c r="D233">
        <v>94931386.636717409</v>
      </c>
      <c r="E233">
        <v>158558.55855855899</v>
      </c>
      <c r="F233">
        <v>606306.30630630802</v>
      </c>
      <c r="G233">
        <v>42</v>
      </c>
      <c r="H233">
        <v>29</v>
      </c>
      <c r="I233">
        <v>3</v>
      </c>
      <c r="J233">
        <v>6</v>
      </c>
      <c r="M233">
        <v>42</v>
      </c>
      <c r="N233">
        <v>37</v>
      </c>
      <c r="O233">
        <v>6581981.9819819815</v>
      </c>
      <c r="P233">
        <v>8173873.8738738727</v>
      </c>
      <c r="Q233">
        <v>43</v>
      </c>
      <c r="R233">
        <v>62</v>
      </c>
      <c r="S233">
        <v>28984864.864864863</v>
      </c>
      <c r="T233">
        <v>29746306.306306303</v>
      </c>
      <c r="U233">
        <v>7443873.8738738727</v>
      </c>
      <c r="V233">
        <v>8132252.2522522518</v>
      </c>
      <c r="W233">
        <v>2031</v>
      </c>
      <c r="X233">
        <v>2113</v>
      </c>
    </row>
    <row r="234" spans="1:24">
      <c r="A234" s="7" t="s">
        <v>328</v>
      </c>
      <c r="B234" s="16" t="s">
        <v>121</v>
      </c>
      <c r="C234">
        <v>262565306.64600924</v>
      </c>
      <c r="D234">
        <v>243007887.12054133</v>
      </c>
      <c r="E234">
        <v>457657.65765765699</v>
      </c>
      <c r="F234">
        <v>1211936.9369369361</v>
      </c>
      <c r="G234">
        <v>90</v>
      </c>
      <c r="H234">
        <v>75</v>
      </c>
      <c r="I234">
        <v>10</v>
      </c>
      <c r="J234">
        <v>8</v>
      </c>
      <c r="M234">
        <v>98</v>
      </c>
      <c r="N234">
        <v>81</v>
      </c>
      <c r="O234">
        <v>15415315.315315315</v>
      </c>
      <c r="P234">
        <v>21553153.153153151</v>
      </c>
      <c r="Q234">
        <v>78</v>
      </c>
      <c r="R234">
        <v>151</v>
      </c>
      <c r="S234">
        <v>37502079.279279277</v>
      </c>
      <c r="T234">
        <v>38231419.819819823</v>
      </c>
      <c r="U234">
        <v>12403513.513513515</v>
      </c>
      <c r="V234">
        <v>16715855.855855856</v>
      </c>
      <c r="W234">
        <v>3712</v>
      </c>
      <c r="X234">
        <v>4582</v>
      </c>
    </row>
    <row r="235" spans="1:24">
      <c r="A235" s="7" t="s">
        <v>329</v>
      </c>
      <c r="B235" s="16" t="s">
        <v>330</v>
      </c>
      <c r="C235">
        <v>605013334.9586817</v>
      </c>
      <c r="D235">
        <v>586917888.41874135</v>
      </c>
      <c r="E235">
        <v>3800675.6756756762</v>
      </c>
      <c r="F235">
        <v>9672972.9729729723</v>
      </c>
      <c r="G235">
        <v>238</v>
      </c>
      <c r="H235">
        <v>217</v>
      </c>
      <c r="I235">
        <v>21</v>
      </c>
      <c r="J235">
        <v>24</v>
      </c>
      <c r="K235">
        <v>12</v>
      </c>
      <c r="M235">
        <v>336</v>
      </c>
      <c r="N235">
        <v>369</v>
      </c>
      <c r="O235">
        <v>116552342.34234233</v>
      </c>
      <c r="P235">
        <v>87380000</v>
      </c>
      <c r="Q235">
        <v>444</v>
      </c>
      <c r="R235">
        <v>428</v>
      </c>
      <c r="S235">
        <v>127472558.55855855</v>
      </c>
      <c r="T235">
        <v>151711126.57657659</v>
      </c>
      <c r="U235">
        <v>117176800</v>
      </c>
      <c r="V235">
        <v>79974908.108108118</v>
      </c>
      <c r="W235">
        <v>13707</v>
      </c>
      <c r="X235">
        <v>14657</v>
      </c>
    </row>
    <row r="236" spans="1:24">
      <c r="A236" s="7" t="s">
        <v>331</v>
      </c>
      <c r="B236" s="16" t="s">
        <v>290</v>
      </c>
      <c r="C236">
        <v>883430858.93896306</v>
      </c>
      <c r="D236">
        <v>863075471.0963645</v>
      </c>
      <c r="E236">
        <v>1754054.0540540591</v>
      </c>
      <c r="F236">
        <v>9036036.0360360369</v>
      </c>
      <c r="G236">
        <v>284</v>
      </c>
      <c r="H236">
        <v>338</v>
      </c>
      <c r="I236">
        <v>40</v>
      </c>
      <c r="J236">
        <v>33</v>
      </c>
      <c r="K236">
        <v>16</v>
      </c>
      <c r="M236">
        <v>334</v>
      </c>
      <c r="N236">
        <v>441</v>
      </c>
      <c r="O236">
        <v>93337837.837837845</v>
      </c>
      <c r="P236">
        <v>158940540.54054055</v>
      </c>
      <c r="Q236">
        <v>416</v>
      </c>
      <c r="R236">
        <v>244</v>
      </c>
      <c r="S236">
        <v>167693333.33333334</v>
      </c>
      <c r="T236">
        <v>157154295.4954955</v>
      </c>
      <c r="U236">
        <v>87375358.558558553</v>
      </c>
      <c r="V236">
        <v>140265765.76576579</v>
      </c>
      <c r="W236">
        <v>16688</v>
      </c>
      <c r="X236">
        <v>17100</v>
      </c>
    </row>
    <row r="237" spans="1:24">
      <c r="A237" s="7" t="s">
        <v>332</v>
      </c>
      <c r="B237" s="16" t="s">
        <v>290</v>
      </c>
      <c r="C237">
        <v>652776210.11879945</v>
      </c>
      <c r="D237">
        <v>655737895.09499681</v>
      </c>
      <c r="E237">
        <v>3466216.2162162228</v>
      </c>
      <c r="F237">
        <v>10041216.216216221</v>
      </c>
      <c r="G237">
        <v>206</v>
      </c>
      <c r="H237">
        <v>173</v>
      </c>
      <c r="I237">
        <v>27</v>
      </c>
      <c r="J237">
        <v>31</v>
      </c>
      <c r="K237">
        <v>3</v>
      </c>
      <c r="M237">
        <v>322</v>
      </c>
      <c r="N237">
        <v>242</v>
      </c>
      <c r="O237">
        <v>83693243.243243247</v>
      </c>
      <c r="P237">
        <v>136164864.86486486</v>
      </c>
      <c r="Q237">
        <v>426</v>
      </c>
      <c r="R237">
        <v>175</v>
      </c>
      <c r="S237">
        <v>169319900.9009009</v>
      </c>
      <c r="T237">
        <v>178300468.46846849</v>
      </c>
      <c r="U237">
        <v>86521801.801801801</v>
      </c>
      <c r="V237">
        <v>135923063.06306306</v>
      </c>
      <c r="W237">
        <v>14581</v>
      </c>
      <c r="X237">
        <v>14833</v>
      </c>
    </row>
    <row r="238" spans="1:24">
      <c r="A238" s="7" t="s">
        <v>333</v>
      </c>
      <c r="B238" s="16" t="s">
        <v>60</v>
      </c>
      <c r="C238">
        <v>91689050.883985728</v>
      </c>
      <c r="D238">
        <v>90048689.141624123</v>
      </c>
      <c r="E238">
        <v>1131306.306306307</v>
      </c>
      <c r="F238">
        <v>3070270.2702702722</v>
      </c>
      <c r="G238">
        <v>42</v>
      </c>
      <c r="H238">
        <v>90</v>
      </c>
      <c r="I238">
        <v>3</v>
      </c>
      <c r="J238">
        <v>7</v>
      </c>
      <c r="M238">
        <v>98</v>
      </c>
      <c r="N238">
        <v>150</v>
      </c>
      <c r="O238">
        <v>22759459.459459458</v>
      </c>
      <c r="P238">
        <v>39332432.432432435</v>
      </c>
      <c r="Q238">
        <v>55</v>
      </c>
      <c r="R238">
        <v>144</v>
      </c>
      <c r="S238">
        <v>32609414.414414417</v>
      </c>
      <c r="T238">
        <v>31414126.126126129</v>
      </c>
      <c r="U238">
        <v>20660360.360360362</v>
      </c>
      <c r="V238">
        <v>37279009.009009011</v>
      </c>
      <c r="W238">
        <v>1977</v>
      </c>
      <c r="X238">
        <v>1946</v>
      </c>
    </row>
    <row r="239" spans="1:24">
      <c r="A239" s="7" t="s">
        <v>334</v>
      </c>
      <c r="B239" s="16" t="s">
        <v>60</v>
      </c>
      <c r="C239">
        <v>12632439.183822555</v>
      </c>
      <c r="D239">
        <v>17692829.213558357</v>
      </c>
      <c r="E239">
        <v>130630.630630631</v>
      </c>
      <c r="F239">
        <v>243243.24324324299</v>
      </c>
      <c r="G239">
        <v>12</v>
      </c>
      <c r="H239">
        <v>5</v>
      </c>
      <c r="I239">
        <v>2</v>
      </c>
      <c r="J239">
        <v>4</v>
      </c>
      <c r="M239">
        <v>14</v>
      </c>
      <c r="N239">
        <v>8</v>
      </c>
      <c r="O239">
        <v>844144.14414414403</v>
      </c>
      <c r="P239">
        <v>631981.98198198201</v>
      </c>
      <c r="Q239">
        <v>13</v>
      </c>
      <c r="R239">
        <v>12</v>
      </c>
      <c r="S239">
        <v>9030315.3153153155</v>
      </c>
      <c r="T239">
        <v>9893108.1081081089</v>
      </c>
      <c r="U239">
        <v>721621.62162162201</v>
      </c>
      <c r="V239">
        <v>850720.72072072094</v>
      </c>
      <c r="W239">
        <v>1061</v>
      </c>
      <c r="X239">
        <v>990</v>
      </c>
    </row>
    <row r="240" spans="1:24">
      <c r="A240" s="7" t="s">
        <v>335</v>
      </c>
      <c r="B240" s="16" t="s">
        <v>121</v>
      </c>
      <c r="C240">
        <v>154436.45908072201</v>
      </c>
      <c r="D240">
        <v>1879635.427676548</v>
      </c>
      <c r="E240">
        <v>129656381.98198198</v>
      </c>
      <c r="F240">
        <v>74003216.216216221</v>
      </c>
      <c r="G240">
        <v>1</v>
      </c>
      <c r="M240">
        <v>1</v>
      </c>
      <c r="N240">
        <v>1</v>
      </c>
      <c r="O240">
        <v>3725350.4504504502</v>
      </c>
      <c r="P240">
        <v>14220375.675675675</v>
      </c>
      <c r="S240">
        <v>66441.441441440998</v>
      </c>
      <c r="T240">
        <v>97747.747747747999</v>
      </c>
      <c r="W240">
        <v>117</v>
      </c>
      <c r="X240">
        <v>161</v>
      </c>
    </row>
    <row r="241" spans="1:24">
      <c r="A241" s="7" t="s">
        <v>336</v>
      </c>
      <c r="B241" s="16" t="s">
        <v>121</v>
      </c>
      <c r="C241">
        <v>3257558.6268439391</v>
      </c>
      <c r="D241">
        <v>3161854.5739591341</v>
      </c>
      <c r="G241">
        <v>3</v>
      </c>
      <c r="H241">
        <v>2</v>
      </c>
      <c r="M241">
        <v>4</v>
      </c>
      <c r="N241">
        <v>2</v>
      </c>
      <c r="S241">
        <v>731351.35135135101</v>
      </c>
      <c r="T241">
        <v>567612.61261261301</v>
      </c>
      <c r="W241">
        <v>118</v>
      </c>
      <c r="X241">
        <v>102</v>
      </c>
    </row>
    <row r="242" spans="1:24">
      <c r="A242" s="7" t="s">
        <v>337</v>
      </c>
      <c r="B242" s="16" t="s">
        <v>121</v>
      </c>
      <c r="C242">
        <v>2747018.990623991</v>
      </c>
      <c r="D242">
        <v>2519830.7649899088</v>
      </c>
      <c r="G242">
        <v>2</v>
      </c>
      <c r="H242">
        <v>1</v>
      </c>
      <c r="M242">
        <v>2</v>
      </c>
      <c r="N242">
        <v>1</v>
      </c>
      <c r="S242">
        <v>94729.729729729996</v>
      </c>
      <c r="T242">
        <v>29504.504504504999</v>
      </c>
      <c r="W242">
        <v>143</v>
      </c>
      <c r="X242">
        <v>142</v>
      </c>
    </row>
    <row r="243" spans="1:24">
      <c r="A243" s="7" t="s">
        <v>338</v>
      </c>
      <c r="B243" s="16" t="s">
        <v>140</v>
      </c>
      <c r="C243">
        <v>1011506267.2285204</v>
      </c>
      <c r="D243">
        <v>986484552.17329335</v>
      </c>
      <c r="E243">
        <v>75725774.77477479</v>
      </c>
      <c r="F243">
        <v>114204054.05405407</v>
      </c>
      <c r="G243">
        <v>292</v>
      </c>
      <c r="H243">
        <v>307</v>
      </c>
      <c r="I243">
        <v>32</v>
      </c>
      <c r="J243">
        <v>29</v>
      </c>
      <c r="K243">
        <v>1</v>
      </c>
      <c r="M243">
        <v>314</v>
      </c>
      <c r="N243">
        <v>348</v>
      </c>
      <c r="O243">
        <v>109610143.24324325</v>
      </c>
      <c r="P243">
        <v>99968288.288288295</v>
      </c>
      <c r="Q243">
        <v>333</v>
      </c>
      <c r="R243">
        <v>267</v>
      </c>
      <c r="S243">
        <v>198257511.7117117</v>
      </c>
      <c r="T243">
        <v>198026331.53153151</v>
      </c>
      <c r="U243">
        <v>89553693.693693697</v>
      </c>
      <c r="V243">
        <v>88328198.198198199</v>
      </c>
      <c r="W243">
        <v>16010</v>
      </c>
      <c r="X243">
        <v>16189</v>
      </c>
    </row>
    <row r="244" spans="1:24">
      <c r="A244" s="7" t="s">
        <v>339</v>
      </c>
      <c r="B244" s="16" t="s">
        <v>121</v>
      </c>
      <c r="C244">
        <v>164353459.64416787</v>
      </c>
      <c r="D244">
        <v>149350864.65626106</v>
      </c>
      <c r="E244">
        <v>3603.603603604</v>
      </c>
      <c r="G244">
        <v>99</v>
      </c>
      <c r="H244">
        <v>47</v>
      </c>
      <c r="I244">
        <v>0</v>
      </c>
      <c r="J244">
        <v>1</v>
      </c>
      <c r="M244">
        <v>104</v>
      </c>
      <c r="N244">
        <v>50</v>
      </c>
      <c r="O244">
        <v>165765.765765766</v>
      </c>
      <c r="Q244">
        <v>18</v>
      </c>
      <c r="S244">
        <v>11434225.225225223</v>
      </c>
      <c r="T244">
        <v>9870486.4864864852</v>
      </c>
      <c r="U244">
        <v>162162.16216216201</v>
      </c>
      <c r="W244">
        <v>2426</v>
      </c>
      <c r="X244">
        <v>2424</v>
      </c>
    </row>
    <row r="245" spans="1:24">
      <c r="A245" s="7" t="s">
        <v>340</v>
      </c>
      <c r="B245" s="16" t="s">
        <v>140</v>
      </c>
      <c r="C245">
        <v>506152843.80755222</v>
      </c>
      <c r="D245">
        <v>520767257.85184437</v>
      </c>
      <c r="E245">
        <v>665540.54054054397</v>
      </c>
      <c r="F245">
        <v>3727027.02702703</v>
      </c>
      <c r="G245">
        <v>74</v>
      </c>
      <c r="H245">
        <v>101</v>
      </c>
      <c r="I245">
        <v>18</v>
      </c>
      <c r="J245">
        <v>10</v>
      </c>
      <c r="K245">
        <v>6</v>
      </c>
      <c r="M245">
        <v>127</v>
      </c>
      <c r="N245">
        <v>138</v>
      </c>
      <c r="O245">
        <v>86214864.864864871</v>
      </c>
      <c r="P245">
        <v>95371351.351351365</v>
      </c>
      <c r="Q245">
        <v>72</v>
      </c>
      <c r="R245">
        <v>302</v>
      </c>
      <c r="S245">
        <v>140605333.33333331</v>
      </c>
      <c r="T245">
        <v>155839063.51351351</v>
      </c>
      <c r="U245">
        <v>81059189.189189181</v>
      </c>
      <c r="V245">
        <v>88851981.981981978</v>
      </c>
      <c r="W245">
        <v>8506</v>
      </c>
      <c r="X245">
        <v>8831</v>
      </c>
    </row>
    <row r="246" spans="1:24">
      <c r="A246" s="7" t="s">
        <v>341</v>
      </c>
      <c r="B246" s="16" t="s">
        <v>134</v>
      </c>
      <c r="C246">
        <v>65009943.304499499</v>
      </c>
      <c r="D246">
        <v>59511018.841377541</v>
      </c>
      <c r="E246">
        <v>5405.4054054059998</v>
      </c>
      <c r="F246">
        <v>54054.054054054002</v>
      </c>
      <c r="G246">
        <v>24</v>
      </c>
      <c r="H246">
        <v>13</v>
      </c>
      <c r="I246">
        <v>2</v>
      </c>
      <c r="J246">
        <v>1</v>
      </c>
      <c r="M246">
        <v>26</v>
      </c>
      <c r="N246">
        <v>13</v>
      </c>
      <c r="O246">
        <v>3158558.5585585581</v>
      </c>
      <c r="P246">
        <v>1765765.7657657659</v>
      </c>
      <c r="Q246">
        <v>25</v>
      </c>
      <c r="S246">
        <v>5863603.6036036042</v>
      </c>
      <c r="T246">
        <v>5644603.6036036042</v>
      </c>
      <c r="U246">
        <v>1980900.9009009011</v>
      </c>
      <c r="V246">
        <v>1479189.1891891891</v>
      </c>
      <c r="W246">
        <v>1194</v>
      </c>
      <c r="X246">
        <v>1363</v>
      </c>
    </row>
    <row r="247" spans="1:24">
      <c r="A247" s="7" t="s">
        <v>342</v>
      </c>
      <c r="B247" s="16" t="s">
        <v>121</v>
      </c>
      <c r="C247">
        <v>3076059.2343592872</v>
      </c>
      <c r="D247">
        <v>2548090.7184594879</v>
      </c>
      <c r="G247">
        <v>6</v>
      </c>
      <c r="H247">
        <v>10</v>
      </c>
      <c r="M247">
        <v>7</v>
      </c>
      <c r="N247">
        <v>14</v>
      </c>
      <c r="S247">
        <v>1232252.2522522521</v>
      </c>
      <c r="T247">
        <v>1035315.315315315</v>
      </c>
      <c r="W247">
        <v>387</v>
      </c>
      <c r="X247">
        <v>389</v>
      </c>
    </row>
    <row r="248" spans="1:24">
      <c r="A248" s="7" t="s">
        <v>5</v>
      </c>
      <c r="B248" s="16" t="s">
        <v>158</v>
      </c>
      <c r="C248">
        <v>201804162.46309167</v>
      </c>
      <c r="D248">
        <v>202703266.26910573</v>
      </c>
      <c r="E248">
        <v>2278828.8288288289</v>
      </c>
      <c r="F248">
        <v>1068468.4684684691</v>
      </c>
      <c r="G248">
        <v>12</v>
      </c>
      <c r="H248">
        <v>34</v>
      </c>
      <c r="I248">
        <v>5</v>
      </c>
      <c r="J248">
        <v>1</v>
      </c>
      <c r="K248">
        <v>2</v>
      </c>
      <c r="M248">
        <v>14</v>
      </c>
      <c r="N248">
        <v>38</v>
      </c>
      <c r="O248">
        <v>16294324.324324325</v>
      </c>
      <c r="P248">
        <v>14715315.315315314</v>
      </c>
      <c r="Q248">
        <v>91</v>
      </c>
      <c r="R248">
        <v>27</v>
      </c>
      <c r="S248">
        <v>87987072.072072059</v>
      </c>
      <c r="T248">
        <v>86423189.189189181</v>
      </c>
      <c r="U248">
        <v>14710540.540540541</v>
      </c>
      <c r="V248">
        <v>13244414.414414413</v>
      </c>
      <c r="W248">
        <v>3102</v>
      </c>
      <c r="X248">
        <v>3097</v>
      </c>
    </row>
    <row r="249" spans="1:24">
      <c r="A249" s="7" t="s">
        <v>343</v>
      </c>
      <c r="B249" s="16" t="s">
        <v>304</v>
      </c>
      <c r="C249">
        <v>19925536.748428874</v>
      </c>
      <c r="D249">
        <v>19822762.215622734</v>
      </c>
      <c r="E249">
        <v>1801.801801802</v>
      </c>
      <c r="F249">
        <v>900900.90090090095</v>
      </c>
      <c r="G249">
        <v>34</v>
      </c>
      <c r="H249">
        <v>16</v>
      </c>
      <c r="I249">
        <v>0</v>
      </c>
      <c r="M249">
        <v>36</v>
      </c>
      <c r="N249">
        <v>22</v>
      </c>
      <c r="O249">
        <v>452252.25225225202</v>
      </c>
      <c r="P249">
        <v>1351351.351351351</v>
      </c>
      <c r="S249">
        <v>4330945.9459459456</v>
      </c>
      <c r="T249">
        <v>3378342.3423423418</v>
      </c>
      <c r="U249">
        <v>445405.40540540498</v>
      </c>
      <c r="V249">
        <v>294954.95495495503</v>
      </c>
      <c r="W249">
        <v>561</v>
      </c>
      <c r="X249">
        <v>552</v>
      </c>
    </row>
    <row r="250" spans="1:24">
      <c r="A250" s="7" t="s">
        <v>344</v>
      </c>
      <c r="B250" s="16" t="s">
        <v>105</v>
      </c>
      <c r="C250">
        <v>418814006.66396987</v>
      </c>
      <c r="D250">
        <v>412256268.37156546</v>
      </c>
      <c r="E250">
        <v>559234.23423423397</v>
      </c>
      <c r="F250">
        <v>2833783.7837837851</v>
      </c>
      <c r="G250">
        <v>119</v>
      </c>
      <c r="H250">
        <v>93</v>
      </c>
      <c r="I250">
        <v>14</v>
      </c>
      <c r="J250">
        <v>9</v>
      </c>
      <c r="K250">
        <v>1</v>
      </c>
      <c r="M250">
        <v>157</v>
      </c>
      <c r="N250">
        <v>198</v>
      </c>
      <c r="O250">
        <v>80212792.792792797</v>
      </c>
      <c r="P250">
        <v>58188468.468468465</v>
      </c>
      <c r="Q250">
        <v>184</v>
      </c>
      <c r="R250">
        <v>342</v>
      </c>
      <c r="S250">
        <v>101489090.0900901</v>
      </c>
      <c r="T250">
        <v>101820342.34234233</v>
      </c>
      <c r="U250">
        <v>80641171.171171173</v>
      </c>
      <c r="V250">
        <v>53468738.738738738</v>
      </c>
      <c r="W250">
        <v>5746</v>
      </c>
      <c r="X250">
        <v>5896</v>
      </c>
    </row>
    <row r="251" spans="1:24">
      <c r="A251" s="7" t="s">
        <v>345</v>
      </c>
      <c r="B251" s="16" t="s">
        <v>87</v>
      </c>
      <c r="C251">
        <v>122372975.18492205</v>
      </c>
      <c r="D251">
        <v>120357690.54120706</v>
      </c>
      <c r="E251">
        <v>342342.34234234301</v>
      </c>
      <c r="F251">
        <v>941441.44144144002</v>
      </c>
      <c r="G251">
        <v>71</v>
      </c>
      <c r="H251">
        <v>54</v>
      </c>
      <c r="I251">
        <v>7</v>
      </c>
      <c r="J251">
        <v>6</v>
      </c>
      <c r="K251">
        <v>1</v>
      </c>
      <c r="M251">
        <v>80</v>
      </c>
      <c r="N251">
        <v>59</v>
      </c>
      <c r="O251">
        <v>30027027.02702703</v>
      </c>
      <c r="P251">
        <v>32746846.846846849</v>
      </c>
      <c r="Q251">
        <v>52</v>
      </c>
      <c r="R251">
        <v>175</v>
      </c>
      <c r="S251">
        <v>31600518.018018015</v>
      </c>
      <c r="T251">
        <v>32468847.747747749</v>
      </c>
      <c r="U251">
        <v>21272342.342342343</v>
      </c>
      <c r="V251">
        <v>25180807.207207207</v>
      </c>
      <c r="W251">
        <v>2170</v>
      </c>
      <c r="X251">
        <v>2424</v>
      </c>
    </row>
    <row r="252" spans="1:24">
      <c r="A252" s="7" t="s">
        <v>346</v>
      </c>
      <c r="B252" s="16" t="s">
        <v>87</v>
      </c>
      <c r="C252">
        <v>379302589.23489922</v>
      </c>
      <c r="D252">
        <v>340485252.42870748</v>
      </c>
      <c r="E252">
        <v>978603.60360360402</v>
      </c>
      <c r="F252">
        <v>3793018.0180180199</v>
      </c>
      <c r="G252">
        <v>290</v>
      </c>
      <c r="H252">
        <v>196</v>
      </c>
      <c r="I252">
        <v>17</v>
      </c>
      <c r="J252">
        <v>20</v>
      </c>
      <c r="K252">
        <v>1</v>
      </c>
      <c r="M252">
        <v>318</v>
      </c>
      <c r="N252">
        <v>244</v>
      </c>
      <c r="O252">
        <v>33456756.756756756</v>
      </c>
      <c r="P252">
        <v>30463963.963963967</v>
      </c>
      <c r="Q252">
        <v>248</v>
      </c>
      <c r="R252">
        <v>152</v>
      </c>
      <c r="S252">
        <v>59746336.036036029</v>
      </c>
      <c r="T252">
        <v>56987610.810810804</v>
      </c>
      <c r="U252">
        <v>26858648.648648653</v>
      </c>
      <c r="V252">
        <v>23689189.189189192</v>
      </c>
      <c r="W252">
        <v>6920</v>
      </c>
      <c r="X252">
        <v>6496</v>
      </c>
    </row>
    <row r="253" spans="1:24">
      <c r="A253" s="7" t="s">
        <v>347</v>
      </c>
      <c r="B253" s="16" t="s">
        <v>87</v>
      </c>
      <c r="C253">
        <v>8920564.4195240289</v>
      </c>
      <c r="D253">
        <v>10267123.007551856</v>
      </c>
      <c r="E253">
        <v>79272654.054054052</v>
      </c>
      <c r="F253">
        <v>93661564.864864871</v>
      </c>
      <c r="G253">
        <v>6</v>
      </c>
      <c r="H253">
        <v>20</v>
      </c>
      <c r="M253">
        <v>10</v>
      </c>
      <c r="N253">
        <v>27</v>
      </c>
      <c r="O253">
        <v>19954954.954954956</v>
      </c>
      <c r="P253">
        <v>1081081.0810810809</v>
      </c>
      <c r="S253">
        <v>4294324.3243243238</v>
      </c>
      <c r="T253">
        <v>4346207.2072072076</v>
      </c>
      <c r="W253">
        <v>791</v>
      </c>
      <c r="X253">
        <v>821</v>
      </c>
    </row>
    <row r="254" spans="1:24">
      <c r="A254" s="7" t="s">
        <v>348</v>
      </c>
      <c r="B254" s="16" t="s">
        <v>87</v>
      </c>
      <c r="C254">
        <v>4992978.127549896</v>
      </c>
      <c r="D254">
        <v>4630296.7143644318</v>
      </c>
      <c r="G254">
        <v>3</v>
      </c>
      <c r="H254">
        <v>3</v>
      </c>
      <c r="M254">
        <v>4</v>
      </c>
      <c r="N254">
        <v>3</v>
      </c>
      <c r="S254">
        <v>938828.82882882899</v>
      </c>
      <c r="T254">
        <v>1663288.2882882881</v>
      </c>
      <c r="W254">
        <v>370</v>
      </c>
      <c r="X254">
        <v>191</v>
      </c>
    </row>
    <row r="255" spans="1:24">
      <c r="A255" s="7" t="s">
        <v>349</v>
      </c>
      <c r="B255" s="16" t="s">
        <v>87</v>
      </c>
      <c r="C255">
        <v>3950711.5780131472</v>
      </c>
      <c r="D255">
        <v>3820948.7665498401</v>
      </c>
      <c r="G255">
        <v>2</v>
      </c>
      <c r="H255">
        <v>6</v>
      </c>
      <c r="M255">
        <v>3</v>
      </c>
      <c r="N255">
        <v>12</v>
      </c>
      <c r="S255">
        <v>1383873.8738738741</v>
      </c>
      <c r="T255">
        <v>2133027.0270270272</v>
      </c>
      <c r="W255">
        <v>642</v>
      </c>
      <c r="X255">
        <v>634</v>
      </c>
    </row>
    <row r="256" spans="1:24">
      <c r="A256" s="7" t="s">
        <v>350</v>
      </c>
      <c r="B256" s="16" t="s">
        <v>87</v>
      </c>
      <c r="C256">
        <v>103498723.20978005</v>
      </c>
      <c r="D256">
        <v>112338035.34856144</v>
      </c>
      <c r="E256">
        <v>12612.612612613</v>
      </c>
      <c r="F256">
        <v>174774.77477477599</v>
      </c>
      <c r="G256">
        <v>97</v>
      </c>
      <c r="H256">
        <v>91</v>
      </c>
      <c r="I256">
        <v>4</v>
      </c>
      <c r="J256">
        <v>4</v>
      </c>
      <c r="M256">
        <v>102</v>
      </c>
      <c r="N256">
        <v>95</v>
      </c>
      <c r="O256">
        <v>10135135.135135137</v>
      </c>
      <c r="P256">
        <v>7989189.1891891891</v>
      </c>
      <c r="Q256">
        <v>128</v>
      </c>
      <c r="R256">
        <v>55</v>
      </c>
      <c r="S256">
        <v>19669909.909909911</v>
      </c>
      <c r="T256">
        <v>21515608.108108107</v>
      </c>
      <c r="U256">
        <v>8926666.6666666679</v>
      </c>
      <c r="V256">
        <v>6687297.297297297</v>
      </c>
      <c r="W256">
        <v>2152</v>
      </c>
      <c r="X256">
        <v>2047</v>
      </c>
    </row>
    <row r="257" spans="1:24">
      <c r="A257" s="7" t="s">
        <v>351</v>
      </c>
      <c r="B257" s="16" t="s">
        <v>50</v>
      </c>
      <c r="C257">
        <v>289420643.20998389</v>
      </c>
      <c r="D257">
        <v>300168201.19747317</v>
      </c>
      <c r="E257">
        <v>429279.279279284</v>
      </c>
      <c r="F257">
        <v>3760135.135135137</v>
      </c>
      <c r="G257">
        <v>45</v>
      </c>
      <c r="H257">
        <v>75</v>
      </c>
      <c r="I257">
        <v>17</v>
      </c>
      <c r="J257">
        <v>5</v>
      </c>
      <c r="M257">
        <v>49</v>
      </c>
      <c r="N257">
        <v>91</v>
      </c>
      <c r="O257">
        <v>60232882.882882878</v>
      </c>
      <c r="P257">
        <v>52096756.75675676</v>
      </c>
      <c r="Q257">
        <v>78</v>
      </c>
      <c r="R257">
        <v>241</v>
      </c>
      <c r="S257">
        <v>115886126.12612613</v>
      </c>
      <c r="T257">
        <v>117363833.33333333</v>
      </c>
      <c r="U257">
        <v>60057027.027027033</v>
      </c>
      <c r="V257">
        <v>49661621.621621624</v>
      </c>
      <c r="W257">
        <v>5414</v>
      </c>
      <c r="X257">
        <v>5413</v>
      </c>
    </row>
    <row r="258" spans="1:24">
      <c r="A258" s="7" t="s">
        <v>352</v>
      </c>
      <c r="B258" s="16" t="s">
        <v>123</v>
      </c>
      <c r="C258">
        <v>1146608.760520475</v>
      </c>
      <c r="D258">
        <v>1803151.974768575</v>
      </c>
      <c r="G258">
        <v>1</v>
      </c>
      <c r="H258">
        <v>1</v>
      </c>
      <c r="M258">
        <v>1</v>
      </c>
      <c r="N258">
        <v>1</v>
      </c>
      <c r="S258">
        <v>438783.78378378402</v>
      </c>
      <c r="T258">
        <v>653918.91891891905</v>
      </c>
      <c r="X258">
        <v>115</v>
      </c>
    </row>
    <row r="259" spans="1:24">
      <c r="A259" s="7" t="s">
        <v>353</v>
      </c>
      <c r="B259" s="16" t="s">
        <v>354</v>
      </c>
      <c r="C259">
        <v>553437476.24477506</v>
      </c>
      <c r="D259">
        <v>518519328.07609713</v>
      </c>
      <c r="E259">
        <v>199395195.4954955</v>
      </c>
      <c r="F259">
        <v>256148118.01801801</v>
      </c>
      <c r="G259">
        <v>232</v>
      </c>
      <c r="H259">
        <v>395</v>
      </c>
      <c r="I259">
        <v>38</v>
      </c>
      <c r="J259">
        <v>14</v>
      </c>
      <c r="M259">
        <v>263</v>
      </c>
      <c r="N259">
        <v>564</v>
      </c>
      <c r="O259">
        <v>190336126.12612611</v>
      </c>
      <c r="P259">
        <v>303342432.43243247</v>
      </c>
      <c r="Q259">
        <v>375</v>
      </c>
      <c r="R259">
        <v>453</v>
      </c>
      <c r="S259">
        <v>322785223.42342341</v>
      </c>
      <c r="T259">
        <v>308705261.26126122</v>
      </c>
      <c r="U259">
        <v>183915675.67567569</v>
      </c>
      <c r="V259">
        <v>325273243.24324328</v>
      </c>
      <c r="W259">
        <v>9777</v>
      </c>
      <c r="X259">
        <v>9061</v>
      </c>
    </row>
    <row r="260" spans="1:24">
      <c r="A260" s="7" t="s">
        <v>355</v>
      </c>
      <c r="B260" s="16" t="s">
        <v>48</v>
      </c>
      <c r="C260">
        <v>355176462.42114127</v>
      </c>
      <c r="D260">
        <v>362644798.20416337</v>
      </c>
      <c r="E260">
        <v>45324549.54954955</v>
      </c>
      <c r="F260">
        <v>105545045.04504503</v>
      </c>
      <c r="G260">
        <v>66</v>
      </c>
      <c r="H260">
        <v>34</v>
      </c>
      <c r="I260">
        <v>13</v>
      </c>
      <c r="J260">
        <v>6</v>
      </c>
      <c r="M260">
        <v>70</v>
      </c>
      <c r="N260">
        <v>36</v>
      </c>
      <c r="O260">
        <v>9130135.1351351365</v>
      </c>
      <c r="P260">
        <v>6829729.7297297288</v>
      </c>
      <c r="R260">
        <v>44</v>
      </c>
      <c r="S260">
        <v>26240117.117117114</v>
      </c>
      <c r="T260">
        <v>27626774.774774775</v>
      </c>
      <c r="U260">
        <v>1164954.954954952</v>
      </c>
      <c r="V260">
        <v>5746576.5765765747</v>
      </c>
      <c r="W260">
        <v>5428</v>
      </c>
      <c r="X260">
        <v>5605</v>
      </c>
    </row>
    <row r="261" spans="1:24">
      <c r="A261" s="7" t="s">
        <v>356</v>
      </c>
      <c r="B261" s="16" t="s">
        <v>123</v>
      </c>
      <c r="C261">
        <v>409856858.28806216</v>
      </c>
      <c r="D261">
        <v>389143900.10961121</v>
      </c>
      <c r="E261">
        <v>70270.270270270994</v>
      </c>
      <c r="F261">
        <v>209909.90990991099</v>
      </c>
      <c r="G261">
        <v>96</v>
      </c>
      <c r="H261">
        <v>88</v>
      </c>
      <c r="I261">
        <v>3</v>
      </c>
      <c r="J261">
        <v>4</v>
      </c>
      <c r="M261">
        <v>100</v>
      </c>
      <c r="N261">
        <v>95</v>
      </c>
      <c r="O261">
        <v>12974414.414414413</v>
      </c>
      <c r="P261">
        <v>22171981.981981982</v>
      </c>
      <c r="Q261">
        <v>29</v>
      </c>
      <c r="R261">
        <v>165</v>
      </c>
      <c r="S261">
        <v>87949043.243243247</v>
      </c>
      <c r="T261">
        <v>84802720.720720723</v>
      </c>
      <c r="U261">
        <v>12207207.207207207</v>
      </c>
      <c r="V261">
        <v>20650810.810810808</v>
      </c>
      <c r="W261">
        <v>5752</v>
      </c>
      <c r="X261">
        <v>6012</v>
      </c>
    </row>
    <row r="262" spans="1:24">
      <c r="A262" s="7" t="s">
        <v>357</v>
      </c>
      <c r="B262" s="16" t="s">
        <v>62</v>
      </c>
      <c r="C262">
        <v>221476670.22534242</v>
      </c>
      <c r="D262">
        <v>215662698.38599193</v>
      </c>
      <c r="E262">
        <v>687387.38738738699</v>
      </c>
      <c r="F262">
        <v>2520720.7207207209</v>
      </c>
      <c r="G262">
        <v>42</v>
      </c>
      <c r="H262">
        <v>48</v>
      </c>
      <c r="I262">
        <v>3</v>
      </c>
      <c r="J262">
        <v>9</v>
      </c>
      <c r="M262">
        <v>46</v>
      </c>
      <c r="N262">
        <v>51</v>
      </c>
      <c r="O262">
        <v>18883423.423423424</v>
      </c>
      <c r="P262">
        <v>35192972.972972974</v>
      </c>
      <c r="Q262">
        <v>58</v>
      </c>
      <c r="R262">
        <v>140</v>
      </c>
      <c r="S262">
        <v>60403603.603603601</v>
      </c>
      <c r="T262">
        <v>60884972.972972974</v>
      </c>
      <c r="U262">
        <v>20168828.828828827</v>
      </c>
      <c r="V262">
        <v>34973603.603603601</v>
      </c>
      <c r="W262">
        <v>3871</v>
      </c>
      <c r="X262">
        <v>3885</v>
      </c>
    </row>
    <row r="263" spans="1:24">
      <c r="A263" s="7" t="s">
        <v>358</v>
      </c>
      <c r="B263" s="16" t="s">
        <v>315</v>
      </c>
      <c r="C263">
        <v>14968434.7678746</v>
      </c>
      <c r="D263">
        <v>5706025.2935949517</v>
      </c>
      <c r="G263">
        <v>13</v>
      </c>
      <c r="H263">
        <v>10</v>
      </c>
      <c r="M263">
        <v>13</v>
      </c>
      <c r="N263">
        <v>11</v>
      </c>
      <c r="S263">
        <v>7830450.4504504511</v>
      </c>
      <c r="T263">
        <v>2316846.8468468469</v>
      </c>
      <c r="W263">
        <v>736</v>
      </c>
      <c r="X263">
        <v>1</v>
      </c>
    </row>
    <row r="264" spans="1:24">
      <c r="A264" s="7" t="s">
        <v>359</v>
      </c>
      <c r="B264" s="16" t="s">
        <v>315</v>
      </c>
      <c r="C264">
        <v>246810448.05771047</v>
      </c>
      <c r="D264">
        <v>218530361.94059616</v>
      </c>
      <c r="E264">
        <v>360360.360360361</v>
      </c>
      <c r="F264">
        <v>1373873.8738738741</v>
      </c>
      <c r="G264">
        <v>43</v>
      </c>
      <c r="H264">
        <v>49</v>
      </c>
      <c r="I264">
        <v>15</v>
      </c>
      <c r="J264">
        <v>8</v>
      </c>
      <c r="M264">
        <v>44</v>
      </c>
      <c r="N264">
        <v>58</v>
      </c>
      <c r="O264">
        <v>45262882.882882878</v>
      </c>
      <c r="P264">
        <v>46940000</v>
      </c>
      <c r="Q264">
        <v>130</v>
      </c>
      <c r="S264">
        <v>88293198.198198199</v>
      </c>
      <c r="T264">
        <v>79390027.027027026</v>
      </c>
      <c r="U264">
        <v>49614414.414414413</v>
      </c>
      <c r="V264">
        <v>46164504.504504502</v>
      </c>
      <c r="W264">
        <v>3024</v>
      </c>
      <c r="X264">
        <v>3318</v>
      </c>
    </row>
    <row r="265" spans="1:24">
      <c r="A265" s="7" t="s">
        <v>360</v>
      </c>
      <c r="B265" s="16" t="s">
        <v>92</v>
      </c>
      <c r="C265">
        <v>410812996.25649846</v>
      </c>
      <c r="D265">
        <v>398014927.64950907</v>
      </c>
      <c r="E265">
        <v>2461306.3063063072</v>
      </c>
      <c r="F265">
        <v>8160360.3603603607</v>
      </c>
      <c r="G265">
        <v>165</v>
      </c>
      <c r="H265">
        <v>87</v>
      </c>
      <c r="I265">
        <v>6</v>
      </c>
      <c r="J265">
        <v>8</v>
      </c>
      <c r="M265">
        <v>207</v>
      </c>
      <c r="N265">
        <v>246</v>
      </c>
      <c r="O265">
        <v>37965495.495495498</v>
      </c>
      <c r="P265">
        <v>103570270.27027027</v>
      </c>
      <c r="Q265">
        <v>79</v>
      </c>
      <c r="R265">
        <v>276</v>
      </c>
      <c r="S265">
        <v>118852918.91891891</v>
      </c>
      <c r="T265">
        <v>117003745.94594595</v>
      </c>
      <c r="U265">
        <v>39282072.072072074</v>
      </c>
      <c r="V265">
        <v>98878421.621621609</v>
      </c>
      <c r="W265">
        <v>6806</v>
      </c>
      <c r="X265">
        <v>6847</v>
      </c>
    </row>
    <row r="266" spans="1:24">
      <c r="A266" s="7" t="s">
        <v>361</v>
      </c>
      <c r="B266" s="16" t="s">
        <v>58</v>
      </c>
      <c r="C266">
        <v>814965743.28750563</v>
      </c>
      <c r="D266">
        <v>774608104.17098355</v>
      </c>
      <c r="E266">
        <v>2353153.1531531559</v>
      </c>
      <c r="F266">
        <v>1650225.225225226</v>
      </c>
      <c r="G266">
        <v>127</v>
      </c>
      <c r="H266">
        <v>125</v>
      </c>
      <c r="I266">
        <v>20</v>
      </c>
      <c r="J266">
        <v>15</v>
      </c>
      <c r="M266">
        <v>134</v>
      </c>
      <c r="N266">
        <v>139</v>
      </c>
      <c r="O266">
        <v>47556036.036036037</v>
      </c>
      <c r="P266">
        <v>35171171.171171173</v>
      </c>
      <c r="Q266">
        <v>433</v>
      </c>
      <c r="R266">
        <v>53</v>
      </c>
      <c r="S266">
        <v>124237558.55855855</v>
      </c>
      <c r="T266">
        <v>123640981.98198198</v>
      </c>
      <c r="U266">
        <v>37517657.657657653</v>
      </c>
      <c r="V266">
        <v>30693333.333333336</v>
      </c>
      <c r="W266">
        <v>12992</v>
      </c>
      <c r="X266">
        <v>12908</v>
      </c>
    </row>
    <row r="267" spans="1:24">
      <c r="A267" s="7" t="s">
        <v>362</v>
      </c>
      <c r="B267" s="16" t="s">
        <v>48</v>
      </c>
      <c r="C267">
        <v>261200632.2864641</v>
      </c>
      <c r="D267">
        <v>275057891.50638992</v>
      </c>
      <c r="E267">
        <v>243109883.78378376</v>
      </c>
      <c r="F267">
        <v>227677800</v>
      </c>
      <c r="G267">
        <v>23</v>
      </c>
      <c r="H267">
        <v>8</v>
      </c>
      <c r="I267">
        <v>11</v>
      </c>
      <c r="J267">
        <v>4</v>
      </c>
      <c r="M267">
        <v>27</v>
      </c>
      <c r="N267">
        <v>30</v>
      </c>
      <c r="O267">
        <v>29120540.540540539</v>
      </c>
      <c r="P267">
        <v>65153564.864864863</v>
      </c>
      <c r="R267">
        <v>22</v>
      </c>
      <c r="S267">
        <v>46887153.153153151</v>
      </c>
      <c r="T267">
        <v>45232909.909909911</v>
      </c>
      <c r="U267">
        <v>18324324.324324325</v>
      </c>
      <c r="V267">
        <v>42289189.189189196</v>
      </c>
      <c r="W267">
        <v>3320</v>
      </c>
      <c r="X267">
        <v>3863</v>
      </c>
    </row>
    <row r="268" spans="1:24">
      <c r="A268" s="7" t="s">
        <v>363</v>
      </c>
      <c r="B268" s="16" t="s">
        <v>52</v>
      </c>
      <c r="C268">
        <v>112258869.08431621</v>
      </c>
      <c r="D268">
        <v>116936518.46259262</v>
      </c>
      <c r="E268">
        <v>370810.810810811</v>
      </c>
      <c r="F268">
        <v>342342.34234234301</v>
      </c>
      <c r="G268">
        <v>21</v>
      </c>
      <c r="H268">
        <v>64</v>
      </c>
      <c r="I268">
        <v>4</v>
      </c>
      <c r="J268">
        <v>8</v>
      </c>
      <c r="M268">
        <v>29</v>
      </c>
      <c r="N268">
        <v>74</v>
      </c>
      <c r="O268">
        <v>7165405.405405404</v>
      </c>
      <c r="P268">
        <v>2612612.612612613</v>
      </c>
      <c r="Q268">
        <v>82</v>
      </c>
      <c r="R268">
        <v>65</v>
      </c>
      <c r="S268">
        <v>54751081.081081077</v>
      </c>
      <c r="T268">
        <v>56252432.432432435</v>
      </c>
      <c r="U268">
        <v>6827117.1171171153</v>
      </c>
      <c r="V268">
        <v>2528558.5585585581</v>
      </c>
      <c r="W268">
        <v>1980</v>
      </c>
      <c r="X268">
        <v>2351</v>
      </c>
    </row>
    <row r="269" spans="1:24">
      <c r="A269" s="7" t="s">
        <v>364</v>
      </c>
      <c r="B269" s="16" t="s">
        <v>52</v>
      </c>
      <c r="C269">
        <v>90484141.124724239</v>
      </c>
      <c r="D269">
        <v>89670453.495251179</v>
      </c>
      <c r="E269">
        <v>3412387.3873873879</v>
      </c>
      <c r="F269">
        <v>3237837.8378378409</v>
      </c>
      <c r="G269">
        <v>67</v>
      </c>
      <c r="H269">
        <v>99</v>
      </c>
      <c r="I269">
        <v>3</v>
      </c>
      <c r="J269">
        <v>10</v>
      </c>
      <c r="M269">
        <v>157</v>
      </c>
      <c r="N269">
        <v>410</v>
      </c>
      <c r="O269">
        <v>19024324.324324325</v>
      </c>
      <c r="P269">
        <v>8661261.2612612639</v>
      </c>
      <c r="Q269">
        <v>220</v>
      </c>
      <c r="R269">
        <v>467</v>
      </c>
      <c r="S269">
        <v>51695837.837837838</v>
      </c>
      <c r="T269">
        <v>49841468.468468472</v>
      </c>
      <c r="U269">
        <v>18395945.945945948</v>
      </c>
      <c r="V269">
        <v>13608018.018018017</v>
      </c>
      <c r="W269">
        <v>2547</v>
      </c>
      <c r="X269">
        <v>2579</v>
      </c>
    </row>
    <row r="270" spans="1:24">
      <c r="A270" s="7" t="s">
        <v>365</v>
      </c>
      <c r="B270" s="16" t="s">
        <v>52</v>
      </c>
      <c r="C270">
        <v>979890964.37340975</v>
      </c>
      <c r="D270">
        <v>1015355771.4377571</v>
      </c>
      <c r="E270">
        <v>544231523.42342341</v>
      </c>
      <c r="F270">
        <v>339393898.1981982</v>
      </c>
      <c r="G270">
        <v>266</v>
      </c>
      <c r="H270">
        <v>333</v>
      </c>
      <c r="I270">
        <v>30</v>
      </c>
      <c r="J270">
        <v>68</v>
      </c>
      <c r="K270">
        <v>2</v>
      </c>
      <c r="M270">
        <v>425</v>
      </c>
      <c r="N270">
        <v>627</v>
      </c>
      <c r="O270">
        <v>95338468.468468457</v>
      </c>
      <c r="P270">
        <v>66890097.297297299</v>
      </c>
      <c r="Q270">
        <v>1214</v>
      </c>
      <c r="R270">
        <v>4597</v>
      </c>
      <c r="S270">
        <v>354871599.0990991</v>
      </c>
      <c r="T270">
        <v>371130787.38738739</v>
      </c>
      <c r="U270">
        <v>90496486.48648648</v>
      </c>
      <c r="V270">
        <v>83932342.342342332</v>
      </c>
      <c r="W270">
        <v>20644</v>
      </c>
      <c r="X270">
        <v>20407</v>
      </c>
    </row>
    <row r="271" spans="1:24">
      <c r="A271" s="7" t="s">
        <v>366</v>
      </c>
      <c r="B271" s="16" t="s">
        <v>293</v>
      </c>
      <c r="C271">
        <v>643269753.50834632</v>
      </c>
      <c r="D271">
        <v>587030291.03468657</v>
      </c>
      <c r="E271">
        <v>911711.71171171998</v>
      </c>
      <c r="F271">
        <v>4183783.783783779</v>
      </c>
      <c r="G271">
        <v>230</v>
      </c>
      <c r="H271">
        <v>161</v>
      </c>
      <c r="I271">
        <v>24</v>
      </c>
      <c r="J271">
        <v>24</v>
      </c>
      <c r="K271">
        <v>2</v>
      </c>
      <c r="M271">
        <v>257</v>
      </c>
      <c r="N271">
        <v>397</v>
      </c>
      <c r="O271">
        <v>99875135.135135129</v>
      </c>
      <c r="P271">
        <v>65668918.91891893</v>
      </c>
      <c r="Q271">
        <v>397</v>
      </c>
      <c r="R271">
        <v>53</v>
      </c>
      <c r="S271">
        <v>200993962.16216218</v>
      </c>
      <c r="T271">
        <v>190212489.1891892</v>
      </c>
      <c r="U271">
        <v>96623423.423423424</v>
      </c>
      <c r="V271">
        <v>69125945.945945948</v>
      </c>
      <c r="W271">
        <v>11309</v>
      </c>
      <c r="X271">
        <v>10986</v>
      </c>
    </row>
    <row r="272" spans="1:24">
      <c r="A272" s="7" t="s">
        <v>367</v>
      </c>
      <c r="B272" s="16" t="s">
        <v>368</v>
      </c>
      <c r="C272">
        <v>267840460.94402358</v>
      </c>
      <c r="D272">
        <v>247784380.61638278</v>
      </c>
      <c r="E272">
        <v>1347252.252252257</v>
      </c>
      <c r="F272">
        <v>2234009.0090090111</v>
      </c>
      <c r="G272">
        <v>43</v>
      </c>
      <c r="H272">
        <v>58</v>
      </c>
      <c r="I272">
        <v>17</v>
      </c>
      <c r="J272">
        <v>10</v>
      </c>
      <c r="K272">
        <v>1</v>
      </c>
      <c r="M272">
        <v>48</v>
      </c>
      <c r="N272">
        <v>76</v>
      </c>
      <c r="O272">
        <v>55616396.396396391</v>
      </c>
      <c r="P272">
        <v>62985315.315315314</v>
      </c>
      <c r="Q272">
        <v>497</v>
      </c>
      <c r="R272">
        <v>70</v>
      </c>
      <c r="S272">
        <v>110156232.43243243</v>
      </c>
      <c r="T272">
        <v>105265621.62162161</v>
      </c>
      <c r="U272">
        <v>54676036.036036029</v>
      </c>
      <c r="V272">
        <v>66440720.720720723</v>
      </c>
      <c r="W272">
        <v>3994</v>
      </c>
      <c r="X272">
        <v>4071</v>
      </c>
    </row>
    <row r="273" spans="1:24">
      <c r="A273" s="7" t="s">
        <v>369</v>
      </c>
      <c r="B273" s="16" t="s">
        <v>70</v>
      </c>
      <c r="C273">
        <v>72046949.700500906</v>
      </c>
      <c r="D273">
        <v>71739073.515814587</v>
      </c>
      <c r="E273">
        <v>1217792.792792792</v>
      </c>
      <c r="F273">
        <v>2182882.8828828838</v>
      </c>
      <c r="G273">
        <v>20</v>
      </c>
      <c r="H273">
        <v>47</v>
      </c>
      <c r="I273">
        <v>2</v>
      </c>
      <c r="J273">
        <v>7</v>
      </c>
      <c r="M273">
        <v>20</v>
      </c>
      <c r="N273">
        <v>64</v>
      </c>
      <c r="O273">
        <v>14192342.342342343</v>
      </c>
      <c r="P273">
        <v>15741441.441441439</v>
      </c>
      <c r="Q273">
        <v>30</v>
      </c>
      <c r="R273">
        <v>50</v>
      </c>
      <c r="S273">
        <v>23112882.882882886</v>
      </c>
      <c r="T273">
        <v>23469738.738738742</v>
      </c>
      <c r="U273">
        <v>13643333.333333336</v>
      </c>
      <c r="V273">
        <v>14371981.981981983</v>
      </c>
      <c r="W273">
        <v>1294</v>
      </c>
      <c r="X273">
        <v>1166</v>
      </c>
    </row>
    <row r="274" spans="1:24">
      <c r="A274" s="7" t="s">
        <v>370</v>
      </c>
      <c r="B274" s="16" t="s">
        <v>50</v>
      </c>
      <c r="C274">
        <v>144396936.42888671</v>
      </c>
      <c r="D274">
        <v>150477632.45003048</v>
      </c>
      <c r="E274">
        <v>771171.17117117206</v>
      </c>
      <c r="F274">
        <v>1270270.2702702719</v>
      </c>
      <c r="G274">
        <v>29</v>
      </c>
      <c r="H274">
        <v>34</v>
      </c>
      <c r="I274">
        <v>6</v>
      </c>
      <c r="J274">
        <v>7</v>
      </c>
      <c r="M274">
        <v>30</v>
      </c>
      <c r="N274">
        <v>39</v>
      </c>
      <c r="O274">
        <v>15695495.495495496</v>
      </c>
      <c r="P274">
        <v>13740090.090090089</v>
      </c>
      <c r="Q274">
        <v>13</v>
      </c>
      <c r="R274">
        <v>9</v>
      </c>
      <c r="S274">
        <v>66372873.873873875</v>
      </c>
      <c r="T274">
        <v>68681747.747747749</v>
      </c>
      <c r="U274">
        <v>14368558.558558557</v>
      </c>
      <c r="V274">
        <v>12545945.945945946</v>
      </c>
      <c r="W274">
        <v>2919</v>
      </c>
      <c r="X274">
        <v>2431</v>
      </c>
    </row>
    <row r="275" spans="1:24">
      <c r="A275" s="7" t="s">
        <v>371</v>
      </c>
      <c r="B275" s="16" t="s">
        <v>121</v>
      </c>
      <c r="C275">
        <v>157171844.5939545</v>
      </c>
      <c r="D275">
        <v>148255257.95271063</v>
      </c>
      <c r="E275">
        <v>142342.34234234301</v>
      </c>
      <c r="F275">
        <v>981081.08108108095</v>
      </c>
      <c r="G275">
        <v>58</v>
      </c>
      <c r="H275">
        <v>63</v>
      </c>
      <c r="I275">
        <v>7</v>
      </c>
      <c r="J275">
        <v>5</v>
      </c>
      <c r="M275">
        <v>65</v>
      </c>
      <c r="N275">
        <v>73</v>
      </c>
      <c r="O275">
        <v>3745945.945945947</v>
      </c>
      <c r="P275">
        <v>6364864.8648648644</v>
      </c>
      <c r="Q275">
        <v>40</v>
      </c>
      <c r="R275">
        <v>116</v>
      </c>
      <c r="S275">
        <v>14669099.0990991</v>
      </c>
      <c r="T275">
        <v>14707333.333333332</v>
      </c>
      <c r="U275">
        <v>2364144.1441441448</v>
      </c>
      <c r="V275">
        <v>4889819.8198198192</v>
      </c>
      <c r="W275">
        <v>2701</v>
      </c>
      <c r="X275">
        <v>2841</v>
      </c>
    </row>
    <row r="276" spans="1:24">
      <c r="A276" s="7" t="s">
        <v>372</v>
      </c>
      <c r="B276" s="16" t="s">
        <v>373</v>
      </c>
      <c r="C276">
        <v>393452520.63422173</v>
      </c>
      <c r="D276">
        <v>337050071.1250605</v>
      </c>
      <c r="E276">
        <v>66452410.810810819</v>
      </c>
      <c r="F276">
        <v>50937012.612612613</v>
      </c>
      <c r="G276">
        <v>491</v>
      </c>
      <c r="H276">
        <v>46</v>
      </c>
      <c r="I276">
        <v>21</v>
      </c>
      <c r="J276">
        <v>6</v>
      </c>
      <c r="K276">
        <v>1</v>
      </c>
      <c r="M276">
        <v>520</v>
      </c>
      <c r="N276">
        <v>51</v>
      </c>
      <c r="O276">
        <v>66506126.126126125</v>
      </c>
      <c r="P276">
        <v>73906126.126126125</v>
      </c>
      <c r="Q276">
        <v>34</v>
      </c>
      <c r="R276">
        <v>46</v>
      </c>
      <c r="S276">
        <v>158430345.04504505</v>
      </c>
      <c r="T276">
        <v>128559576.57657658</v>
      </c>
      <c r="U276">
        <v>74290403.603603601</v>
      </c>
      <c r="V276">
        <v>61500630.630630635</v>
      </c>
      <c r="W276">
        <v>10043</v>
      </c>
      <c r="X276">
        <v>10034</v>
      </c>
    </row>
    <row r="277" spans="1:24">
      <c r="A277" s="7" t="s">
        <v>374</v>
      </c>
      <c r="B277" s="16" t="s">
        <v>66</v>
      </c>
      <c r="C277">
        <v>250386070.06763595</v>
      </c>
      <c r="D277">
        <v>251467967.92647892</v>
      </c>
      <c r="E277">
        <v>1627477.4774774781</v>
      </c>
      <c r="F277">
        <v>11149549.549549552</v>
      </c>
      <c r="G277">
        <v>106</v>
      </c>
      <c r="H277">
        <v>93</v>
      </c>
      <c r="I277">
        <v>11</v>
      </c>
      <c r="J277">
        <v>19</v>
      </c>
      <c r="M277">
        <v>123</v>
      </c>
      <c r="N277">
        <v>122</v>
      </c>
      <c r="O277">
        <v>43848288.288288288</v>
      </c>
      <c r="P277">
        <v>189407207.2072072</v>
      </c>
      <c r="Q277">
        <v>478</v>
      </c>
      <c r="R277">
        <v>1197</v>
      </c>
      <c r="S277">
        <v>90044414.414414421</v>
      </c>
      <c r="T277">
        <v>92216054.054054052</v>
      </c>
      <c r="U277">
        <v>39183783.783783786</v>
      </c>
      <c r="V277">
        <v>174230540.54054055</v>
      </c>
      <c r="W277">
        <v>7127</v>
      </c>
      <c r="X277">
        <v>7200</v>
      </c>
    </row>
    <row r="278" spans="1:24">
      <c r="A278" s="7" t="s">
        <v>375</v>
      </c>
      <c r="B278" s="16" t="s">
        <v>354</v>
      </c>
      <c r="C278">
        <v>390694153.16425449</v>
      </c>
      <c r="D278">
        <v>375164871.27630514</v>
      </c>
      <c r="E278">
        <v>1728603.603603604</v>
      </c>
      <c r="F278">
        <v>3055630.6306306329</v>
      </c>
      <c r="G278">
        <v>516</v>
      </c>
      <c r="H278">
        <v>431</v>
      </c>
      <c r="I278">
        <v>8</v>
      </c>
      <c r="J278">
        <v>7</v>
      </c>
      <c r="M278">
        <v>533</v>
      </c>
      <c r="N278">
        <v>508</v>
      </c>
      <c r="O278">
        <v>67741081.081081077</v>
      </c>
      <c r="P278">
        <v>87910720.720720723</v>
      </c>
      <c r="Q278">
        <v>205</v>
      </c>
      <c r="R278">
        <v>310</v>
      </c>
      <c r="S278">
        <v>232542018.01801801</v>
      </c>
      <c r="T278">
        <v>230796594.5945946</v>
      </c>
      <c r="U278">
        <v>70752072.072072074</v>
      </c>
      <c r="V278">
        <v>94194504.504504502</v>
      </c>
      <c r="W278">
        <v>6991</v>
      </c>
      <c r="X278">
        <v>7154</v>
      </c>
    </row>
    <row r="279" spans="1:24">
      <c r="A279" s="7" t="s">
        <v>376</v>
      </c>
      <c r="B279" s="16" t="s">
        <v>66</v>
      </c>
      <c r="C279">
        <v>133335664.03892496</v>
      </c>
      <c r="D279">
        <v>144958820.56604779</v>
      </c>
      <c r="E279">
        <v>45945.945945947002</v>
      </c>
      <c r="F279">
        <v>1303603.6036036049</v>
      </c>
      <c r="G279">
        <v>53</v>
      </c>
      <c r="H279">
        <v>60</v>
      </c>
      <c r="I279">
        <v>5</v>
      </c>
      <c r="J279">
        <v>6</v>
      </c>
      <c r="M279">
        <v>75</v>
      </c>
      <c r="N279">
        <v>76</v>
      </c>
      <c r="O279">
        <v>9992252.2522522509</v>
      </c>
      <c r="P279">
        <v>11963423.423423423</v>
      </c>
      <c r="Q279">
        <v>135</v>
      </c>
      <c r="R279">
        <v>100</v>
      </c>
      <c r="S279">
        <v>59782989.189189196</v>
      </c>
      <c r="T279">
        <v>68767022.522522524</v>
      </c>
      <c r="U279">
        <v>17549459.459459461</v>
      </c>
      <c r="V279">
        <v>16319279.27927928</v>
      </c>
      <c r="W279">
        <v>4862</v>
      </c>
      <c r="X279">
        <v>4970</v>
      </c>
    </row>
    <row r="280" spans="1:24">
      <c r="A280" s="7" t="s">
        <v>377</v>
      </c>
      <c r="B280" s="16" t="s">
        <v>260</v>
      </c>
      <c r="C280">
        <v>128026896.84174296</v>
      </c>
      <c r="D280">
        <v>120320037.18351133</v>
      </c>
      <c r="E280">
        <v>183783.78378378399</v>
      </c>
      <c r="F280">
        <v>148648.64864864899</v>
      </c>
      <c r="G280">
        <v>6</v>
      </c>
      <c r="H280">
        <v>10</v>
      </c>
      <c r="I280">
        <v>1</v>
      </c>
      <c r="J280">
        <v>0</v>
      </c>
      <c r="M280">
        <v>6</v>
      </c>
      <c r="N280">
        <v>10</v>
      </c>
      <c r="O280">
        <v>6760360.3603603598</v>
      </c>
      <c r="P280">
        <v>6590090.0900900904</v>
      </c>
      <c r="Q280">
        <v>4</v>
      </c>
      <c r="R280">
        <v>1</v>
      </c>
      <c r="S280">
        <v>20805585.585585583</v>
      </c>
      <c r="T280">
        <v>20026864.864864863</v>
      </c>
      <c r="U280">
        <v>7901981.9819819815</v>
      </c>
      <c r="V280">
        <v>3148738.7387387389</v>
      </c>
      <c r="W280">
        <v>1625</v>
      </c>
      <c r="X280">
        <v>1665</v>
      </c>
    </row>
    <row r="281" spans="1:24">
      <c r="A281" s="7" t="s">
        <v>378</v>
      </c>
      <c r="B281" s="16" t="s">
        <v>354</v>
      </c>
      <c r="C281">
        <v>323260561.46712595</v>
      </c>
      <c r="D281">
        <v>314163504.75436163</v>
      </c>
      <c r="E281">
        <v>205877468.46846849</v>
      </c>
      <c r="F281">
        <v>146890090.09009007</v>
      </c>
      <c r="G281">
        <v>54</v>
      </c>
      <c r="H281">
        <v>57</v>
      </c>
      <c r="I281">
        <v>4</v>
      </c>
      <c r="J281">
        <v>8</v>
      </c>
      <c r="M281">
        <v>56</v>
      </c>
      <c r="N281">
        <v>65</v>
      </c>
      <c r="O281">
        <v>82757252.252252251</v>
      </c>
      <c r="P281">
        <v>68116576.576576576</v>
      </c>
      <c r="Q281">
        <v>145</v>
      </c>
      <c r="R281">
        <v>43</v>
      </c>
      <c r="S281">
        <v>168239234.23423424</v>
      </c>
      <c r="T281">
        <v>174516897.2972973</v>
      </c>
      <c r="U281">
        <v>71965315.315315306</v>
      </c>
      <c r="V281">
        <v>55385225.225225225</v>
      </c>
      <c r="W281">
        <v>4617</v>
      </c>
      <c r="X281">
        <v>4757</v>
      </c>
    </row>
    <row r="282" spans="1:24">
      <c r="A282" s="7" t="s">
        <v>379</v>
      </c>
      <c r="B282" s="16" t="s">
        <v>87</v>
      </c>
      <c r="C282">
        <v>6775700.438389942</v>
      </c>
      <c r="D282">
        <v>8098165.2850518301</v>
      </c>
      <c r="H282">
        <v>1</v>
      </c>
      <c r="N282">
        <v>3</v>
      </c>
      <c r="S282">
        <v>245270.27027027</v>
      </c>
      <c r="T282">
        <v>462072.07207207201</v>
      </c>
      <c r="W282">
        <v>190</v>
      </c>
      <c r="X282">
        <v>131</v>
      </c>
    </row>
    <row r="283" spans="1:24">
      <c r="A283" s="7" t="s">
        <v>380</v>
      </c>
      <c r="B283" s="16" t="s">
        <v>87</v>
      </c>
      <c r="C283">
        <v>27685531.868768945</v>
      </c>
      <c r="D283">
        <v>11114841.606605038</v>
      </c>
      <c r="E283">
        <v>25225.225225225</v>
      </c>
      <c r="G283">
        <v>186</v>
      </c>
      <c r="H283">
        <v>21</v>
      </c>
      <c r="I283">
        <v>1</v>
      </c>
      <c r="M283">
        <v>188</v>
      </c>
      <c r="N283">
        <v>24</v>
      </c>
      <c r="O283">
        <v>92792.792792793</v>
      </c>
      <c r="Q283">
        <v>3</v>
      </c>
      <c r="S283">
        <v>4631531.5315315323</v>
      </c>
      <c r="T283">
        <v>1389918.9189189191</v>
      </c>
      <c r="U283">
        <v>86036.036036036006</v>
      </c>
      <c r="W283">
        <v>552</v>
      </c>
      <c r="X283">
        <v>83</v>
      </c>
    </row>
    <row r="284" spans="1:24">
      <c r="A284" s="7" t="s">
        <v>381</v>
      </c>
      <c r="B284" s="16" t="s">
        <v>80</v>
      </c>
      <c r="C284">
        <v>2158942126.9433184</v>
      </c>
      <c r="D284">
        <v>2107662812.8510375</v>
      </c>
      <c r="E284">
        <v>1794074948.6486487</v>
      </c>
      <c r="F284">
        <v>1381532883.7837837</v>
      </c>
      <c r="G284">
        <v>673</v>
      </c>
      <c r="H284">
        <v>757</v>
      </c>
      <c r="I284">
        <v>73</v>
      </c>
      <c r="J284">
        <v>68</v>
      </c>
      <c r="K284">
        <v>1</v>
      </c>
      <c r="M284">
        <v>775</v>
      </c>
      <c r="N284">
        <v>992</v>
      </c>
      <c r="O284">
        <v>292734054.05405402</v>
      </c>
      <c r="P284">
        <v>348691441.44144142</v>
      </c>
      <c r="Q284">
        <v>1428</v>
      </c>
      <c r="R284">
        <v>1087</v>
      </c>
      <c r="S284">
        <v>529657077.47747749</v>
      </c>
      <c r="T284">
        <v>550201279.72972977</v>
      </c>
      <c r="U284">
        <v>248884054.05405405</v>
      </c>
      <c r="V284">
        <v>313975225.22522521</v>
      </c>
      <c r="W284">
        <v>37124</v>
      </c>
      <c r="X284">
        <v>36796</v>
      </c>
    </row>
    <row r="285" spans="1:24">
      <c r="A285" s="7" t="s">
        <v>382</v>
      </c>
      <c r="B285" s="16" t="s">
        <v>80</v>
      </c>
      <c r="C285">
        <v>585293899.56464636</v>
      </c>
      <c r="D285">
        <v>579590221.36071301</v>
      </c>
      <c r="E285">
        <v>3828828.8288288279</v>
      </c>
      <c r="F285">
        <v>7577702.7027027057</v>
      </c>
      <c r="G285">
        <v>165</v>
      </c>
      <c r="H285">
        <v>178</v>
      </c>
      <c r="I285">
        <v>16</v>
      </c>
      <c r="J285">
        <v>23</v>
      </c>
      <c r="K285">
        <v>1</v>
      </c>
      <c r="M285">
        <v>184</v>
      </c>
      <c r="N285">
        <v>233</v>
      </c>
      <c r="O285">
        <v>116520810.81081082</v>
      </c>
      <c r="P285">
        <v>117924324.32432432</v>
      </c>
      <c r="Q285">
        <v>254</v>
      </c>
      <c r="R285">
        <v>200</v>
      </c>
      <c r="S285">
        <v>244232677.47747746</v>
      </c>
      <c r="T285">
        <v>239768447.2972973</v>
      </c>
      <c r="U285">
        <v>106336576.57657658</v>
      </c>
      <c r="V285">
        <v>105061390.990991</v>
      </c>
      <c r="W285">
        <v>10375</v>
      </c>
      <c r="X285">
        <v>9954</v>
      </c>
    </row>
    <row r="286" spans="1:24">
      <c r="A286" s="7" t="s">
        <v>383</v>
      </c>
      <c r="B286" s="16" t="s">
        <v>80</v>
      </c>
      <c r="C286">
        <v>811947333.95928931</v>
      </c>
      <c r="D286">
        <v>729619562.89229214</v>
      </c>
      <c r="E286">
        <v>71396.396396397002</v>
      </c>
      <c r="F286">
        <v>758177.47747747996</v>
      </c>
      <c r="G286">
        <v>193</v>
      </c>
      <c r="H286">
        <v>104</v>
      </c>
      <c r="I286">
        <v>2</v>
      </c>
      <c r="J286">
        <v>3</v>
      </c>
      <c r="M286">
        <v>209</v>
      </c>
      <c r="N286">
        <v>120</v>
      </c>
      <c r="O286">
        <v>34433333.333333336</v>
      </c>
      <c r="P286">
        <v>54832031.531531535</v>
      </c>
      <c r="Q286">
        <v>36</v>
      </c>
      <c r="R286">
        <v>15</v>
      </c>
      <c r="S286">
        <v>151079181.98198199</v>
      </c>
      <c r="T286">
        <v>148063378.37837836</v>
      </c>
      <c r="U286">
        <v>32696756.756756756</v>
      </c>
      <c r="V286">
        <v>57874504.504504502</v>
      </c>
      <c r="W286">
        <v>9625</v>
      </c>
      <c r="X286">
        <v>9776</v>
      </c>
    </row>
    <row r="287" spans="1:24">
      <c r="A287" s="7" t="s">
        <v>384</v>
      </c>
      <c r="B287" s="16" t="s">
        <v>68</v>
      </c>
      <c r="C287">
        <v>322150313.55407095</v>
      </c>
      <c r="D287">
        <v>315607821.2246685</v>
      </c>
      <c r="E287">
        <v>242432.43243243301</v>
      </c>
      <c r="F287">
        <v>1378378.378378381</v>
      </c>
      <c r="G287">
        <v>99</v>
      </c>
      <c r="H287">
        <v>63</v>
      </c>
      <c r="I287">
        <v>5</v>
      </c>
      <c r="J287">
        <v>4</v>
      </c>
      <c r="M287">
        <v>114</v>
      </c>
      <c r="N287">
        <v>73</v>
      </c>
      <c r="O287">
        <v>16308648.648648646</v>
      </c>
      <c r="P287">
        <v>12457207.207207208</v>
      </c>
      <c r="Q287">
        <v>78</v>
      </c>
      <c r="R287">
        <v>51</v>
      </c>
      <c r="S287">
        <v>43909576.576576576</v>
      </c>
      <c r="T287">
        <v>45114612.612612613</v>
      </c>
      <c r="U287">
        <v>15305045.045045046</v>
      </c>
      <c r="V287">
        <v>11920090.09009009</v>
      </c>
      <c r="W287">
        <v>5272</v>
      </c>
      <c r="X287">
        <v>5252</v>
      </c>
    </row>
    <row r="288" spans="1:24">
      <c r="A288" s="7" t="s">
        <v>385</v>
      </c>
      <c r="B288" s="16" t="s">
        <v>167</v>
      </c>
      <c r="C288">
        <v>117117844.65376742</v>
      </c>
      <c r="D288">
        <v>106149071.25902583</v>
      </c>
      <c r="E288">
        <v>26126.126126128001</v>
      </c>
      <c r="F288">
        <v>1752252.2522522551</v>
      </c>
      <c r="G288">
        <v>54</v>
      </c>
      <c r="H288">
        <v>37</v>
      </c>
      <c r="I288">
        <v>5</v>
      </c>
      <c r="J288">
        <v>7</v>
      </c>
      <c r="M288">
        <v>57</v>
      </c>
      <c r="N288">
        <v>46</v>
      </c>
      <c r="O288">
        <v>30319627.927927926</v>
      </c>
      <c r="P288">
        <v>25198263.963963963</v>
      </c>
      <c r="Q288">
        <v>45</v>
      </c>
      <c r="R288">
        <v>17</v>
      </c>
      <c r="S288">
        <v>47933601.801801801</v>
      </c>
      <c r="T288">
        <v>45140333.333333336</v>
      </c>
      <c r="U288">
        <v>22861081.081081085</v>
      </c>
      <c r="V288">
        <v>21941081.081081081</v>
      </c>
      <c r="W288">
        <v>2413</v>
      </c>
      <c r="X288">
        <v>2375</v>
      </c>
    </row>
    <row r="289" spans="1:24">
      <c r="A289" s="7" t="s">
        <v>386</v>
      </c>
      <c r="B289" s="16" t="s">
        <v>94</v>
      </c>
      <c r="C289">
        <v>638655505.38682115</v>
      </c>
      <c r="D289">
        <v>625582050.69079912</v>
      </c>
      <c r="E289">
        <v>1277477.4774774769</v>
      </c>
      <c r="F289">
        <v>779279.27927927999</v>
      </c>
      <c r="G289">
        <v>158</v>
      </c>
      <c r="H289">
        <v>143</v>
      </c>
      <c r="I289">
        <v>6</v>
      </c>
      <c r="J289">
        <v>8</v>
      </c>
      <c r="K289">
        <v>2</v>
      </c>
      <c r="M289">
        <v>173</v>
      </c>
      <c r="N289">
        <v>153</v>
      </c>
      <c r="O289">
        <v>22100000</v>
      </c>
      <c r="P289">
        <v>23669369.369369369</v>
      </c>
      <c r="Q289">
        <v>43</v>
      </c>
      <c r="R289">
        <v>144</v>
      </c>
      <c r="S289">
        <v>66333194.59459459</v>
      </c>
      <c r="T289">
        <v>73909054.054054052</v>
      </c>
      <c r="U289">
        <v>14988738.73873874</v>
      </c>
      <c r="V289">
        <v>18334864.864864863</v>
      </c>
      <c r="W289">
        <v>8218</v>
      </c>
      <c r="X289">
        <v>8309</v>
      </c>
    </row>
    <row r="290" spans="1:24">
      <c r="A290" s="7" t="s">
        <v>387</v>
      </c>
      <c r="B290" s="16" t="s">
        <v>214</v>
      </c>
      <c r="C290">
        <v>117352361.77998787</v>
      </c>
      <c r="D290">
        <v>117040476.30865435</v>
      </c>
      <c r="E290">
        <v>17117.117117116999</v>
      </c>
      <c r="F290">
        <v>1181081.0810810809</v>
      </c>
      <c r="G290">
        <v>40</v>
      </c>
      <c r="H290">
        <v>42</v>
      </c>
      <c r="I290">
        <v>0</v>
      </c>
      <c r="J290">
        <v>1</v>
      </c>
      <c r="M290">
        <v>41</v>
      </c>
      <c r="N290">
        <v>50</v>
      </c>
      <c r="O290">
        <v>107207.207207207</v>
      </c>
      <c r="P290">
        <v>2982882.8828828828</v>
      </c>
      <c r="S290">
        <v>53554009.009009011</v>
      </c>
      <c r="T290">
        <v>56108720.720720723</v>
      </c>
      <c r="U290">
        <v>89639.639639639994</v>
      </c>
      <c r="V290">
        <v>2582882.8828828828</v>
      </c>
      <c r="W290">
        <v>2258</v>
      </c>
      <c r="X290">
        <v>2387</v>
      </c>
    </row>
    <row r="291" spans="1:24">
      <c r="A291" s="7" t="s">
        <v>388</v>
      </c>
      <c r="B291" s="16" t="s">
        <v>117</v>
      </c>
      <c r="C291">
        <v>48742428.271147661</v>
      </c>
      <c r="D291">
        <v>46316793.776714832</v>
      </c>
      <c r="E291">
        <v>55855.855855857997</v>
      </c>
      <c r="F291">
        <v>799099.09909909801</v>
      </c>
      <c r="G291">
        <v>36</v>
      </c>
      <c r="H291">
        <v>32</v>
      </c>
      <c r="I291">
        <v>6</v>
      </c>
      <c r="J291">
        <v>7</v>
      </c>
      <c r="M291">
        <v>44</v>
      </c>
      <c r="N291">
        <v>43</v>
      </c>
      <c r="O291">
        <v>5431840.5405405397</v>
      </c>
      <c r="P291">
        <v>15438854.054054054</v>
      </c>
      <c r="Q291">
        <v>30</v>
      </c>
      <c r="S291">
        <v>23004144.144144144</v>
      </c>
      <c r="T291">
        <v>21829018.018018015</v>
      </c>
      <c r="U291">
        <v>3185495.4954954931</v>
      </c>
      <c r="V291">
        <v>13387207.207207208</v>
      </c>
      <c r="W291">
        <v>1892</v>
      </c>
      <c r="X291">
        <v>1840</v>
      </c>
    </row>
    <row r="292" spans="1:24">
      <c r="A292" s="7" t="s">
        <v>389</v>
      </c>
      <c r="B292" s="16" t="s">
        <v>315</v>
      </c>
      <c r="C292">
        <v>212887385.85415408</v>
      </c>
      <c r="D292">
        <v>202910085.41984332</v>
      </c>
      <c r="E292">
        <v>2891441.4414414419</v>
      </c>
      <c r="F292">
        <v>675675.67567567597</v>
      </c>
      <c r="G292">
        <v>29</v>
      </c>
      <c r="H292">
        <v>19</v>
      </c>
      <c r="I292">
        <v>0</v>
      </c>
      <c r="J292">
        <v>1</v>
      </c>
      <c r="M292">
        <v>32</v>
      </c>
      <c r="N292">
        <v>20</v>
      </c>
      <c r="O292">
        <v>12231981.981981982</v>
      </c>
      <c r="P292">
        <v>8243243.2432432426</v>
      </c>
      <c r="S292">
        <v>43204189.189189196</v>
      </c>
      <c r="T292">
        <v>41737126.126126125</v>
      </c>
      <c r="U292">
        <v>10418558.558558561</v>
      </c>
      <c r="V292">
        <v>8907657.6576576587</v>
      </c>
      <c r="W292">
        <v>2818</v>
      </c>
      <c r="X292">
        <v>2590</v>
      </c>
    </row>
    <row r="293" spans="1:24">
      <c r="A293" s="7" t="s">
        <v>390</v>
      </c>
      <c r="B293" s="16" t="s">
        <v>224</v>
      </c>
      <c r="C293">
        <v>112764524.72811955</v>
      </c>
      <c r="D293">
        <v>82671733.840256512</v>
      </c>
      <c r="G293">
        <v>114</v>
      </c>
      <c r="H293">
        <v>9</v>
      </c>
      <c r="M293">
        <v>117</v>
      </c>
      <c r="N293">
        <v>9</v>
      </c>
      <c r="S293">
        <v>21625936.936936937</v>
      </c>
      <c r="T293">
        <v>15867567.567567568</v>
      </c>
      <c r="W293">
        <v>1605</v>
      </c>
      <c r="X293">
        <v>1477</v>
      </c>
    </row>
    <row r="294" spans="1:24">
      <c r="A294" s="7" t="s">
        <v>6</v>
      </c>
      <c r="B294" s="16" t="s">
        <v>193</v>
      </c>
      <c r="C294">
        <v>749224968.05004764</v>
      </c>
      <c r="D294">
        <v>741947459.22010171</v>
      </c>
      <c r="E294">
        <v>6757207.2072072001</v>
      </c>
      <c r="F294">
        <v>9016690.9909910001</v>
      </c>
      <c r="G294">
        <v>628</v>
      </c>
      <c r="H294">
        <v>479</v>
      </c>
      <c r="I294">
        <v>25</v>
      </c>
      <c r="J294">
        <v>17</v>
      </c>
      <c r="K294">
        <v>2</v>
      </c>
      <c r="M294">
        <v>1241</v>
      </c>
      <c r="N294">
        <v>898</v>
      </c>
      <c r="O294">
        <v>315927927.92792791</v>
      </c>
      <c r="P294">
        <v>295171742.34234232</v>
      </c>
      <c r="Q294">
        <v>728</v>
      </c>
      <c r="R294">
        <v>819</v>
      </c>
      <c r="S294">
        <v>503439459.45945948</v>
      </c>
      <c r="T294">
        <v>502529981.98198193</v>
      </c>
      <c r="U294">
        <v>278681891.8918919</v>
      </c>
      <c r="V294">
        <v>251463153.15315315</v>
      </c>
      <c r="W294">
        <v>13227</v>
      </c>
      <c r="X294">
        <v>13273</v>
      </c>
    </row>
    <row r="295" spans="1:24">
      <c r="A295" s="7" t="s">
        <v>391</v>
      </c>
      <c r="B295" s="16" t="s">
        <v>121</v>
      </c>
      <c r="C295">
        <v>28114957.980022214</v>
      </c>
      <c r="D295">
        <v>32412662.635237865</v>
      </c>
      <c r="E295">
        <v>9009.0090090089998</v>
      </c>
      <c r="G295">
        <v>17</v>
      </c>
      <c r="H295">
        <v>10</v>
      </c>
      <c r="M295">
        <v>18</v>
      </c>
      <c r="N295">
        <v>12</v>
      </c>
      <c r="O295">
        <v>90090.090090090001</v>
      </c>
      <c r="Q295">
        <v>9</v>
      </c>
      <c r="S295">
        <v>1410360.36036036</v>
      </c>
      <c r="T295">
        <v>1575567.567567568</v>
      </c>
      <c r="U295">
        <v>81081.081081081007</v>
      </c>
      <c r="W295">
        <v>582</v>
      </c>
      <c r="X295">
        <v>525</v>
      </c>
    </row>
    <row r="296" spans="1:24">
      <c r="A296" s="7" t="s">
        <v>392</v>
      </c>
      <c r="B296" s="16" t="s">
        <v>134</v>
      </c>
      <c r="C296">
        <v>101391548.89673465</v>
      </c>
      <c r="D296">
        <v>98275789.343830153</v>
      </c>
      <c r="E296">
        <v>4504.5045045050001</v>
      </c>
      <c r="F296">
        <v>67567.567567567996</v>
      </c>
      <c r="G296">
        <v>36</v>
      </c>
      <c r="H296">
        <v>31</v>
      </c>
      <c r="I296">
        <v>1</v>
      </c>
      <c r="J296">
        <v>1</v>
      </c>
      <c r="M296">
        <v>40</v>
      </c>
      <c r="N296">
        <v>37</v>
      </c>
      <c r="O296">
        <v>10878378.378378376</v>
      </c>
      <c r="P296">
        <v>6662162.1621621614</v>
      </c>
      <c r="Q296">
        <v>44</v>
      </c>
      <c r="R296">
        <v>15</v>
      </c>
      <c r="S296">
        <v>22081556.756756756</v>
      </c>
      <c r="T296">
        <v>19656295.495495494</v>
      </c>
      <c r="U296">
        <v>3283783.7837837851</v>
      </c>
      <c r="V296">
        <v>2123153.1531531541</v>
      </c>
      <c r="W296">
        <v>3442</v>
      </c>
      <c r="X296">
        <v>3523</v>
      </c>
    </row>
    <row r="297" spans="1:24">
      <c r="A297" s="7" t="s">
        <v>393</v>
      </c>
      <c r="B297" s="16" t="s">
        <v>58</v>
      </c>
      <c r="C297">
        <v>496118931.87438571</v>
      </c>
      <c r="D297">
        <v>480635500.58925581</v>
      </c>
      <c r="E297">
        <v>12105180.180180185</v>
      </c>
      <c r="F297">
        <v>26368918.918918919</v>
      </c>
      <c r="G297">
        <v>272</v>
      </c>
      <c r="H297">
        <v>132</v>
      </c>
      <c r="I297">
        <v>21</v>
      </c>
      <c r="J297">
        <v>21</v>
      </c>
      <c r="K297">
        <v>4</v>
      </c>
      <c r="M297">
        <v>303</v>
      </c>
      <c r="N297">
        <v>198</v>
      </c>
      <c r="O297">
        <v>65910540.540540539</v>
      </c>
      <c r="P297">
        <v>45381981.981981985</v>
      </c>
      <c r="Q297">
        <v>406</v>
      </c>
      <c r="R297">
        <v>68</v>
      </c>
      <c r="S297">
        <v>78832131.531531543</v>
      </c>
      <c r="T297">
        <v>77401333.333333328</v>
      </c>
      <c r="U297">
        <v>57202655.855855852</v>
      </c>
      <c r="V297">
        <v>48498378.378378384</v>
      </c>
      <c r="W297">
        <v>9088</v>
      </c>
      <c r="X297">
        <v>9150</v>
      </c>
    </row>
    <row r="298" spans="1:24">
      <c r="A298" s="7" t="s">
        <v>394</v>
      </c>
      <c r="B298" s="16" t="s">
        <v>134</v>
      </c>
      <c r="C298">
        <v>175243598.53255919</v>
      </c>
      <c r="D298">
        <v>166400938.73083159</v>
      </c>
      <c r="E298">
        <v>47972.972972973999</v>
      </c>
      <c r="F298">
        <v>1098648.6486486499</v>
      </c>
      <c r="G298">
        <v>29</v>
      </c>
      <c r="H298">
        <v>26</v>
      </c>
      <c r="I298">
        <v>7</v>
      </c>
      <c r="J298">
        <v>6</v>
      </c>
      <c r="M298">
        <v>32</v>
      </c>
      <c r="N298">
        <v>31</v>
      </c>
      <c r="O298">
        <v>19048648.648648649</v>
      </c>
      <c r="P298">
        <v>25256756.756756756</v>
      </c>
      <c r="Q298">
        <v>185</v>
      </c>
      <c r="R298">
        <v>215</v>
      </c>
      <c r="S298">
        <v>31577556.756756756</v>
      </c>
      <c r="T298">
        <v>30523576.576576576</v>
      </c>
      <c r="U298">
        <v>11458288.288288288</v>
      </c>
      <c r="V298">
        <v>17606216.216216218</v>
      </c>
      <c r="W298">
        <v>3736</v>
      </c>
      <c r="X298">
        <v>3983</v>
      </c>
    </row>
    <row r="299" spans="1:24">
      <c r="A299" s="7" t="s">
        <v>395</v>
      </c>
      <c r="B299" s="16" t="s">
        <v>54</v>
      </c>
      <c r="C299">
        <v>73304930.960205615</v>
      </c>
      <c r="D299">
        <v>69976362.217495009</v>
      </c>
      <c r="E299">
        <v>275675.67567567597</v>
      </c>
      <c r="F299">
        <v>55855.855855856003</v>
      </c>
      <c r="G299">
        <v>14</v>
      </c>
      <c r="H299">
        <v>19</v>
      </c>
      <c r="I299">
        <v>1</v>
      </c>
      <c r="J299">
        <v>2</v>
      </c>
      <c r="M299">
        <v>17</v>
      </c>
      <c r="N299">
        <v>20</v>
      </c>
      <c r="O299">
        <v>4208108.1081081089</v>
      </c>
      <c r="P299">
        <v>3281081.0810810812</v>
      </c>
      <c r="Q299">
        <v>24</v>
      </c>
      <c r="R299">
        <v>7</v>
      </c>
      <c r="S299">
        <v>12497207.207207208</v>
      </c>
      <c r="T299">
        <v>11482819.819819819</v>
      </c>
      <c r="U299">
        <v>4412702.702702702</v>
      </c>
      <c r="V299">
        <v>3460360.3603603598</v>
      </c>
      <c r="W299">
        <v>1566</v>
      </c>
      <c r="X299">
        <v>1614</v>
      </c>
    </row>
    <row r="300" spans="1:24">
      <c r="A300" s="7" t="s">
        <v>396</v>
      </c>
      <c r="B300" s="16" t="s">
        <v>397</v>
      </c>
      <c r="C300">
        <v>508028214.63034892</v>
      </c>
      <c r="D300">
        <v>493511116.59313911</v>
      </c>
      <c r="E300">
        <v>2441846.8468468459</v>
      </c>
      <c r="F300">
        <v>4537387.3873873847</v>
      </c>
      <c r="G300">
        <v>253</v>
      </c>
      <c r="H300">
        <v>228</v>
      </c>
      <c r="I300">
        <v>13</v>
      </c>
      <c r="J300">
        <v>20</v>
      </c>
      <c r="M300">
        <v>431</v>
      </c>
      <c r="N300">
        <v>466</v>
      </c>
      <c r="O300">
        <v>59136621.621621616</v>
      </c>
      <c r="P300">
        <v>55098198.198198199</v>
      </c>
      <c r="Q300">
        <v>547</v>
      </c>
      <c r="R300">
        <v>486</v>
      </c>
      <c r="S300">
        <v>99123800</v>
      </c>
      <c r="T300">
        <v>99609749.54954955</v>
      </c>
      <c r="U300">
        <v>58869054.054054059</v>
      </c>
      <c r="V300">
        <v>51136396.396396399</v>
      </c>
      <c r="W300">
        <v>9476</v>
      </c>
      <c r="X300">
        <v>9885</v>
      </c>
    </row>
    <row r="301" spans="1:24">
      <c r="A301" s="7" t="s">
        <v>398</v>
      </c>
      <c r="B301" s="16" t="s">
        <v>399</v>
      </c>
      <c r="C301">
        <v>574396684.1563046</v>
      </c>
      <c r="D301">
        <v>536234011.4477458</v>
      </c>
      <c r="E301">
        <v>840090.09009009297</v>
      </c>
      <c r="F301">
        <v>6895495.4954954972</v>
      </c>
      <c r="G301">
        <v>152</v>
      </c>
      <c r="H301">
        <v>115</v>
      </c>
      <c r="I301">
        <v>24</v>
      </c>
      <c r="J301">
        <v>19</v>
      </c>
      <c r="K301">
        <v>1</v>
      </c>
      <c r="M301">
        <v>172</v>
      </c>
      <c r="N301">
        <v>131</v>
      </c>
      <c r="O301">
        <v>127439009.009009</v>
      </c>
      <c r="P301">
        <v>51508108.108108103</v>
      </c>
      <c r="Q301">
        <v>662</v>
      </c>
      <c r="R301">
        <v>337</v>
      </c>
      <c r="S301">
        <v>102233484.68468469</v>
      </c>
      <c r="T301">
        <v>99254342.342342332</v>
      </c>
      <c r="U301">
        <v>122570990.990991</v>
      </c>
      <c r="V301">
        <v>50342252.252252258</v>
      </c>
      <c r="W301">
        <v>9755</v>
      </c>
      <c r="X301">
        <v>11463</v>
      </c>
    </row>
    <row r="302" spans="1:24">
      <c r="A302" s="7" t="s">
        <v>400</v>
      </c>
      <c r="B302" s="16" t="s">
        <v>140</v>
      </c>
      <c r="C302">
        <v>182734041.7768352</v>
      </c>
      <c r="D302">
        <v>172775479.34903038</v>
      </c>
      <c r="E302">
        <v>707207.20720720803</v>
      </c>
      <c r="F302">
        <v>2537837.837837839</v>
      </c>
      <c r="G302">
        <v>37</v>
      </c>
      <c r="H302">
        <v>47</v>
      </c>
      <c r="I302">
        <v>5</v>
      </c>
      <c r="J302">
        <v>9</v>
      </c>
      <c r="M302">
        <v>44</v>
      </c>
      <c r="N302">
        <v>52</v>
      </c>
      <c r="O302">
        <v>39408108.108108111</v>
      </c>
      <c r="P302">
        <v>38190270.270270273</v>
      </c>
      <c r="Q302">
        <v>21</v>
      </c>
      <c r="R302">
        <v>13</v>
      </c>
      <c r="S302">
        <v>55083423.423423424</v>
      </c>
      <c r="T302">
        <v>54071572.072072074</v>
      </c>
      <c r="U302">
        <v>32845675.675675675</v>
      </c>
      <c r="V302">
        <v>35603153.153153151</v>
      </c>
      <c r="W302">
        <v>3358</v>
      </c>
      <c r="X302">
        <v>3353</v>
      </c>
    </row>
    <row r="303" spans="1:24">
      <c r="A303" s="7" t="s">
        <v>401</v>
      </c>
      <c r="B303" s="16" t="s">
        <v>121</v>
      </c>
      <c r="C303">
        <v>53912468.550249003</v>
      </c>
      <c r="D303">
        <v>47852161.536821395</v>
      </c>
      <c r="E303">
        <v>2702.7027027029999</v>
      </c>
      <c r="F303">
        <v>414414.41441441502</v>
      </c>
      <c r="G303">
        <v>31</v>
      </c>
      <c r="H303">
        <v>17</v>
      </c>
      <c r="I303">
        <v>0</v>
      </c>
      <c r="J303">
        <v>1</v>
      </c>
      <c r="M303">
        <v>35</v>
      </c>
      <c r="N303">
        <v>22</v>
      </c>
      <c r="O303">
        <v>56756.756756757</v>
      </c>
      <c r="P303">
        <v>2216216.2162162168</v>
      </c>
      <c r="Q303">
        <v>7</v>
      </c>
      <c r="R303">
        <v>2</v>
      </c>
      <c r="S303">
        <v>3650810.8108108109</v>
      </c>
      <c r="T303">
        <v>4543569.8198198201</v>
      </c>
      <c r="U303">
        <v>1434324.324324324</v>
      </c>
      <c r="V303">
        <v>1126756.7567567569</v>
      </c>
      <c r="W303">
        <v>1041</v>
      </c>
      <c r="X303">
        <v>1134</v>
      </c>
    </row>
    <row r="304" spans="1:24">
      <c r="A304" s="7" t="s">
        <v>402</v>
      </c>
      <c r="B304" s="16" t="s">
        <v>290</v>
      </c>
      <c r="C304">
        <v>100844769.12550929</v>
      </c>
      <c r="D304">
        <v>74860098.027746841</v>
      </c>
      <c r="E304">
        <v>18772072.072072074</v>
      </c>
      <c r="F304">
        <v>19159909.909909911</v>
      </c>
      <c r="G304">
        <v>51</v>
      </c>
      <c r="H304">
        <v>16</v>
      </c>
      <c r="I304">
        <v>5</v>
      </c>
      <c r="J304">
        <v>3</v>
      </c>
      <c r="K304">
        <v>1</v>
      </c>
      <c r="M304">
        <v>53</v>
      </c>
      <c r="N304">
        <v>20</v>
      </c>
      <c r="O304">
        <v>5231531.5315315323</v>
      </c>
      <c r="P304">
        <v>3561261.261261262</v>
      </c>
      <c r="Q304">
        <v>61</v>
      </c>
      <c r="R304">
        <v>41</v>
      </c>
      <c r="S304">
        <v>12468378.37837838</v>
      </c>
      <c r="T304">
        <v>10198684.684684685</v>
      </c>
      <c r="U304">
        <v>5210270.2702702703</v>
      </c>
      <c r="V304">
        <v>3876666.666666666</v>
      </c>
      <c r="W304">
        <v>1612</v>
      </c>
      <c r="X304">
        <v>1742</v>
      </c>
    </row>
    <row r="305" spans="1:24">
      <c r="A305" s="7" t="s">
        <v>403</v>
      </c>
      <c r="B305" s="16" t="s">
        <v>121</v>
      </c>
      <c r="C305">
        <v>87275853.499080285</v>
      </c>
      <c r="D305">
        <v>83080007.983730778</v>
      </c>
      <c r="F305">
        <v>57432.432432431997</v>
      </c>
      <c r="G305">
        <v>14</v>
      </c>
      <c r="H305">
        <v>12</v>
      </c>
      <c r="I305">
        <v>1</v>
      </c>
      <c r="J305">
        <v>0</v>
      </c>
      <c r="M305">
        <v>15</v>
      </c>
      <c r="N305">
        <v>15</v>
      </c>
      <c r="O305">
        <v>162162.16216216201</v>
      </c>
      <c r="P305">
        <v>60360.360360359999</v>
      </c>
      <c r="Q305">
        <v>20</v>
      </c>
      <c r="R305">
        <v>1</v>
      </c>
      <c r="S305">
        <v>6907972.9729729732</v>
      </c>
      <c r="T305">
        <v>6271027.0270270268</v>
      </c>
      <c r="U305">
        <v>198198.19819819799</v>
      </c>
      <c r="V305">
        <v>13513.513513514001</v>
      </c>
      <c r="W305">
        <v>1020</v>
      </c>
      <c r="X305">
        <v>1079</v>
      </c>
    </row>
    <row r="306" spans="1:24">
      <c r="A306" s="7" t="s">
        <v>404</v>
      </c>
      <c r="B306" s="16" t="s">
        <v>368</v>
      </c>
      <c r="C306">
        <v>209602189.17261285</v>
      </c>
      <c r="D306">
        <v>183867327.75103348</v>
      </c>
      <c r="E306">
        <v>105424173.87387387</v>
      </c>
      <c r="F306">
        <v>126024027.02702703</v>
      </c>
      <c r="G306">
        <v>64</v>
      </c>
      <c r="H306">
        <v>108</v>
      </c>
      <c r="I306">
        <v>10</v>
      </c>
      <c r="J306">
        <v>11</v>
      </c>
      <c r="K306">
        <v>1</v>
      </c>
      <c r="M306">
        <v>72</v>
      </c>
      <c r="N306">
        <v>172</v>
      </c>
      <c r="O306">
        <v>44440450.45045045</v>
      </c>
      <c r="P306">
        <v>50138288.288288288</v>
      </c>
      <c r="Q306">
        <v>485</v>
      </c>
      <c r="R306">
        <v>147</v>
      </c>
      <c r="S306">
        <v>65602500</v>
      </c>
      <c r="T306">
        <v>66133896.396396399</v>
      </c>
      <c r="U306">
        <v>38878198.198198192</v>
      </c>
      <c r="V306">
        <v>43085135.135135137</v>
      </c>
      <c r="W306">
        <v>3871</v>
      </c>
      <c r="X306">
        <v>4498</v>
      </c>
    </row>
    <row r="307" spans="1:24">
      <c r="A307" s="7" t="s">
        <v>405</v>
      </c>
      <c r="B307" s="16" t="s">
        <v>140</v>
      </c>
      <c r="C307">
        <v>88185975.778394535</v>
      </c>
      <c r="D307">
        <v>90067496.099211887</v>
      </c>
      <c r="E307">
        <v>16666.666666666999</v>
      </c>
      <c r="F307">
        <v>255630.63063063001</v>
      </c>
      <c r="G307">
        <v>2</v>
      </c>
      <c r="H307">
        <v>18</v>
      </c>
      <c r="I307">
        <v>0</v>
      </c>
      <c r="J307">
        <v>1</v>
      </c>
      <c r="M307">
        <v>3</v>
      </c>
      <c r="N307">
        <v>20</v>
      </c>
      <c r="O307">
        <v>11092342.342342341</v>
      </c>
      <c r="P307">
        <v>12286846.846846849</v>
      </c>
      <c r="Q307">
        <v>15</v>
      </c>
      <c r="R307">
        <v>16</v>
      </c>
      <c r="S307">
        <v>23747387.387387387</v>
      </c>
      <c r="T307">
        <v>24422736.936936937</v>
      </c>
      <c r="U307">
        <v>12973603.603603603</v>
      </c>
      <c r="V307">
        <v>13092342.342342341</v>
      </c>
      <c r="W307">
        <v>1518</v>
      </c>
      <c r="X307">
        <v>1471</v>
      </c>
    </row>
    <row r="308" spans="1:24">
      <c r="A308" s="7" t="s">
        <v>406</v>
      </c>
      <c r="B308" s="16" t="s">
        <v>54</v>
      </c>
      <c r="C308">
        <v>128696244.50789545</v>
      </c>
      <c r="D308">
        <v>125061815.52607673</v>
      </c>
      <c r="E308">
        <v>684819.81981982104</v>
      </c>
      <c r="F308">
        <v>2574774.7747747758</v>
      </c>
      <c r="G308">
        <v>9</v>
      </c>
      <c r="H308">
        <v>76</v>
      </c>
      <c r="I308">
        <v>11</v>
      </c>
      <c r="J308">
        <v>8</v>
      </c>
      <c r="M308">
        <v>30</v>
      </c>
      <c r="N308">
        <v>193</v>
      </c>
      <c r="O308">
        <v>8458738.738738738</v>
      </c>
      <c r="P308">
        <v>11420180.180180183</v>
      </c>
      <c r="Q308">
        <v>85</v>
      </c>
      <c r="R308">
        <v>110</v>
      </c>
      <c r="S308">
        <v>28003648.648648649</v>
      </c>
      <c r="T308">
        <v>28305486.486486487</v>
      </c>
      <c r="U308">
        <v>8760900.9009009004</v>
      </c>
      <c r="V308">
        <v>12084414.414414411</v>
      </c>
      <c r="W308">
        <v>2369</v>
      </c>
      <c r="X308">
        <v>2190</v>
      </c>
    </row>
    <row r="309" spans="1:24">
      <c r="A309" s="7" t="s">
        <v>407</v>
      </c>
      <c r="B309" s="16" t="s">
        <v>134</v>
      </c>
      <c r="C309">
        <v>52631484.111741021</v>
      </c>
      <c r="D309">
        <v>56196296.67631375</v>
      </c>
      <c r="E309">
        <v>22522.522522522999</v>
      </c>
      <c r="F309">
        <v>27027.027027027001</v>
      </c>
      <c r="G309">
        <v>12</v>
      </c>
      <c r="H309">
        <v>7</v>
      </c>
      <c r="I309">
        <v>2</v>
      </c>
      <c r="J309">
        <v>2</v>
      </c>
      <c r="M309">
        <v>14</v>
      </c>
      <c r="N309">
        <v>7</v>
      </c>
      <c r="O309">
        <v>3382882.8828828828</v>
      </c>
      <c r="P309">
        <v>1873873.8738738729</v>
      </c>
      <c r="Q309">
        <v>5</v>
      </c>
      <c r="R309">
        <v>5</v>
      </c>
      <c r="S309">
        <v>6147252.2522522518</v>
      </c>
      <c r="T309">
        <v>5001504.5045045037</v>
      </c>
      <c r="U309">
        <v>2337117.1171171172</v>
      </c>
      <c r="V309">
        <v>1409369.369369369</v>
      </c>
      <c r="W309">
        <v>967</v>
      </c>
      <c r="X309">
        <v>916</v>
      </c>
    </row>
    <row r="310" spans="1:24">
      <c r="A310" s="7" t="s">
        <v>408</v>
      </c>
      <c r="B310" s="16" t="s">
        <v>290</v>
      </c>
      <c r="C310">
        <v>34819354.905808777</v>
      </c>
      <c r="D310">
        <v>31018587.895700768</v>
      </c>
      <c r="E310">
        <v>121621.62162162201</v>
      </c>
      <c r="F310">
        <v>631531.53153153195</v>
      </c>
      <c r="G310">
        <v>21</v>
      </c>
      <c r="H310">
        <v>11</v>
      </c>
      <c r="I310">
        <v>3</v>
      </c>
      <c r="J310">
        <v>3</v>
      </c>
      <c r="M310">
        <v>25</v>
      </c>
      <c r="N310">
        <v>13</v>
      </c>
      <c r="O310">
        <v>6545045.0450450452</v>
      </c>
      <c r="P310">
        <v>9174774.7747747768</v>
      </c>
      <c r="Q310">
        <v>28</v>
      </c>
      <c r="R310">
        <v>38</v>
      </c>
      <c r="S310">
        <v>7149765.7657657657</v>
      </c>
      <c r="T310">
        <v>6205522.5225225231</v>
      </c>
      <c r="U310">
        <v>3063243.2432432431</v>
      </c>
      <c r="V310">
        <v>7101801.8018018017</v>
      </c>
      <c r="W310">
        <v>821</v>
      </c>
      <c r="X310">
        <v>884</v>
      </c>
    </row>
    <row r="311" spans="1:24">
      <c r="A311" s="7" t="s">
        <v>409</v>
      </c>
      <c r="B311" s="16" t="s">
        <v>178</v>
      </c>
      <c r="C311">
        <v>595674470.37081611</v>
      </c>
      <c r="D311">
        <v>557023904.87055862</v>
      </c>
      <c r="E311">
        <v>2737162.1621621642</v>
      </c>
      <c r="F311">
        <v>4001801.801801804</v>
      </c>
      <c r="G311">
        <v>178</v>
      </c>
      <c r="H311">
        <v>131</v>
      </c>
      <c r="I311">
        <v>5</v>
      </c>
      <c r="J311">
        <v>8</v>
      </c>
      <c r="M311">
        <v>206</v>
      </c>
      <c r="N311">
        <v>378</v>
      </c>
      <c r="O311">
        <v>56123513.513513513</v>
      </c>
      <c r="P311">
        <v>63615216.216216214</v>
      </c>
      <c r="Q311">
        <v>26</v>
      </c>
      <c r="R311">
        <v>55</v>
      </c>
      <c r="S311">
        <v>191195754.95495495</v>
      </c>
      <c r="T311">
        <v>190534734.23423424</v>
      </c>
      <c r="U311">
        <v>50096576.576576576</v>
      </c>
      <c r="V311">
        <v>56172252.252252258</v>
      </c>
      <c r="W311">
        <v>9604</v>
      </c>
      <c r="X311">
        <v>9842</v>
      </c>
    </row>
    <row r="312" spans="1:24">
      <c r="A312" s="7" t="s">
        <v>666</v>
      </c>
      <c r="B312" s="16" t="s">
        <v>87</v>
      </c>
      <c r="X312">
        <v>3</v>
      </c>
    </row>
    <row r="313" spans="1:24">
      <c r="A313" s="7" t="s">
        <v>410</v>
      </c>
      <c r="B313" s="16" t="s">
        <v>54</v>
      </c>
      <c r="C313">
        <v>1031614955.8178413</v>
      </c>
      <c r="D313">
        <v>1018666601.1830459</v>
      </c>
      <c r="E313">
        <v>216752936.03603604</v>
      </c>
      <c r="F313">
        <v>120469093.6936937</v>
      </c>
      <c r="G313">
        <v>257</v>
      </c>
      <c r="H313">
        <v>327</v>
      </c>
      <c r="I313">
        <v>54</v>
      </c>
      <c r="J313">
        <v>38</v>
      </c>
      <c r="K313">
        <v>4</v>
      </c>
      <c r="M313">
        <v>329</v>
      </c>
      <c r="N313">
        <v>636</v>
      </c>
      <c r="O313">
        <v>71578198.198198199</v>
      </c>
      <c r="P313">
        <v>78201351.351351365</v>
      </c>
      <c r="Q313">
        <v>657</v>
      </c>
      <c r="R313">
        <v>494</v>
      </c>
      <c r="S313">
        <v>203925655.85585588</v>
      </c>
      <c r="T313">
        <v>210404315.31531534</v>
      </c>
      <c r="U313">
        <v>68129322.522522524</v>
      </c>
      <c r="V313">
        <v>73516126.126126125</v>
      </c>
      <c r="W313">
        <v>19180</v>
      </c>
      <c r="X313">
        <v>19321</v>
      </c>
    </row>
    <row r="314" spans="1:24">
      <c r="A314" s="7" t="s">
        <v>411</v>
      </c>
      <c r="B314" s="16" t="s">
        <v>224</v>
      </c>
      <c r="C314">
        <v>628101167.42020929</v>
      </c>
      <c r="D314">
        <v>518230121.84689128</v>
      </c>
      <c r="E314">
        <v>1326486.486486489</v>
      </c>
      <c r="F314">
        <v>2027027.0270270321</v>
      </c>
      <c r="G314">
        <v>193</v>
      </c>
      <c r="H314">
        <v>199</v>
      </c>
      <c r="I314">
        <v>10</v>
      </c>
      <c r="J314">
        <v>8</v>
      </c>
      <c r="M314">
        <v>219</v>
      </c>
      <c r="N314">
        <v>220</v>
      </c>
      <c r="O314">
        <v>91510990.990990996</v>
      </c>
      <c r="P314">
        <v>65830450.45045045</v>
      </c>
      <c r="Q314">
        <v>135</v>
      </c>
      <c r="R314">
        <v>182</v>
      </c>
      <c r="S314">
        <v>164967173.87387389</v>
      </c>
      <c r="T314">
        <v>148252287.38738739</v>
      </c>
      <c r="U314">
        <v>78276216.216216221</v>
      </c>
      <c r="V314">
        <v>70740313.513513505</v>
      </c>
      <c r="W314">
        <v>13757</v>
      </c>
      <c r="X314">
        <v>13696</v>
      </c>
    </row>
    <row r="315" spans="1:24">
      <c r="A315" s="7" t="s">
        <v>412</v>
      </c>
      <c r="B315" s="16" t="s">
        <v>413</v>
      </c>
      <c r="C315">
        <v>200050230.9519392</v>
      </c>
      <c r="D315">
        <v>202761030.43801689</v>
      </c>
      <c r="E315">
        <v>150450.450450451</v>
      </c>
      <c r="F315">
        <v>585135.13513513806</v>
      </c>
      <c r="G315">
        <v>89</v>
      </c>
      <c r="H315">
        <v>18</v>
      </c>
      <c r="I315">
        <v>1</v>
      </c>
      <c r="J315">
        <v>4</v>
      </c>
      <c r="M315">
        <v>103</v>
      </c>
      <c r="N315">
        <v>21</v>
      </c>
      <c r="O315">
        <v>4997297.297297297</v>
      </c>
      <c r="P315">
        <v>3603603.603603607</v>
      </c>
      <c r="Q315">
        <v>32</v>
      </c>
      <c r="R315">
        <v>39</v>
      </c>
      <c r="S315">
        <v>86838963.963963971</v>
      </c>
      <c r="T315">
        <v>81463207.207207203</v>
      </c>
      <c r="U315">
        <v>4389549.5495495489</v>
      </c>
      <c r="V315">
        <v>4079639.6396396388</v>
      </c>
      <c r="W315">
        <v>4014</v>
      </c>
      <c r="X315">
        <v>4382</v>
      </c>
    </row>
    <row r="316" spans="1:24">
      <c r="A316" s="7" t="s">
        <v>414</v>
      </c>
      <c r="B316" s="16" t="s">
        <v>214</v>
      </c>
      <c r="C316">
        <v>1223091386.9593606</v>
      </c>
      <c r="D316">
        <v>1316101785.9566007</v>
      </c>
      <c r="E316">
        <v>574803783.78378379</v>
      </c>
      <c r="F316">
        <v>613728930.63063061</v>
      </c>
      <c r="G316">
        <v>562</v>
      </c>
      <c r="H316">
        <v>1060</v>
      </c>
      <c r="I316">
        <v>27</v>
      </c>
      <c r="J316">
        <v>28</v>
      </c>
      <c r="M316">
        <v>640</v>
      </c>
      <c r="N316">
        <v>1338</v>
      </c>
      <c r="O316">
        <v>171615774.77477479</v>
      </c>
      <c r="P316">
        <v>189504099.0990991</v>
      </c>
      <c r="Q316">
        <v>630</v>
      </c>
      <c r="R316">
        <v>518</v>
      </c>
      <c r="S316">
        <v>522948681.08108109</v>
      </c>
      <c r="T316">
        <v>586870655.85585582</v>
      </c>
      <c r="U316">
        <v>162703153.15315315</v>
      </c>
      <c r="V316">
        <v>169850900.9009009</v>
      </c>
      <c r="W316">
        <v>23998</v>
      </c>
      <c r="X316">
        <v>23923</v>
      </c>
    </row>
    <row r="317" spans="1:24">
      <c r="A317" s="7" t="s">
        <v>415</v>
      </c>
      <c r="B317" s="16" t="s">
        <v>413</v>
      </c>
      <c r="C317">
        <v>116119810.07258053</v>
      </c>
      <c r="D317">
        <v>113603533.59220937</v>
      </c>
      <c r="E317">
        <v>186051351.35135135</v>
      </c>
      <c r="F317">
        <v>3817567.5675675701</v>
      </c>
      <c r="G317">
        <v>39</v>
      </c>
      <c r="H317">
        <v>35</v>
      </c>
      <c r="I317">
        <v>3</v>
      </c>
      <c r="J317">
        <v>3</v>
      </c>
      <c r="M317">
        <v>42</v>
      </c>
      <c r="N317">
        <v>42</v>
      </c>
      <c r="O317">
        <v>26555936.936936937</v>
      </c>
      <c r="P317">
        <v>20789857.657657657</v>
      </c>
      <c r="Q317">
        <v>57</v>
      </c>
      <c r="R317">
        <v>32</v>
      </c>
      <c r="S317">
        <v>38396666.666666664</v>
      </c>
      <c r="T317">
        <v>41964677.927927926</v>
      </c>
      <c r="U317">
        <v>17142972.97297297</v>
      </c>
      <c r="V317">
        <v>16277567.567567566</v>
      </c>
      <c r="W317">
        <v>2932</v>
      </c>
      <c r="X317">
        <v>2856</v>
      </c>
    </row>
    <row r="318" spans="1:24">
      <c r="A318" s="7" t="s">
        <v>416</v>
      </c>
      <c r="B318" s="16" t="s">
        <v>236</v>
      </c>
      <c r="C318">
        <v>870393204.93115234</v>
      </c>
      <c r="D318">
        <v>820796801.20296335</v>
      </c>
      <c r="E318">
        <v>710360.36036036303</v>
      </c>
      <c r="F318">
        <v>3798198.1981981988</v>
      </c>
      <c r="G318">
        <v>407</v>
      </c>
      <c r="H318">
        <v>160</v>
      </c>
      <c r="I318">
        <v>23</v>
      </c>
      <c r="J318">
        <v>12</v>
      </c>
      <c r="K318">
        <v>4</v>
      </c>
      <c r="M318">
        <v>443</v>
      </c>
      <c r="N318">
        <v>391</v>
      </c>
      <c r="O318">
        <v>129395225.22522523</v>
      </c>
      <c r="P318">
        <v>113316306.3063063</v>
      </c>
      <c r="Q318">
        <v>272</v>
      </c>
      <c r="R318">
        <v>146</v>
      </c>
      <c r="S318">
        <v>203574747.74774775</v>
      </c>
      <c r="T318">
        <v>192400270.27027026</v>
      </c>
      <c r="U318">
        <v>113371981.98198198</v>
      </c>
      <c r="V318">
        <v>109045135.13513513</v>
      </c>
      <c r="W318">
        <v>10934</v>
      </c>
      <c r="X318">
        <v>10802</v>
      </c>
    </row>
    <row r="319" spans="1:24">
      <c r="A319" s="7" t="s">
        <v>417</v>
      </c>
      <c r="B319" s="16" t="s">
        <v>117</v>
      </c>
      <c r="C319">
        <v>830578541.94840598</v>
      </c>
      <c r="D319">
        <v>792262420.53615618</v>
      </c>
      <c r="E319">
        <v>853242662.16216218</v>
      </c>
      <c r="F319">
        <v>647647578.37837839</v>
      </c>
      <c r="G319">
        <v>666</v>
      </c>
      <c r="H319">
        <v>636</v>
      </c>
      <c r="I319">
        <v>60</v>
      </c>
      <c r="J319">
        <v>62</v>
      </c>
      <c r="K319">
        <v>11</v>
      </c>
      <c r="M319">
        <v>857</v>
      </c>
      <c r="N319">
        <v>1036</v>
      </c>
      <c r="O319">
        <v>176865293.6936937</v>
      </c>
      <c r="P319">
        <v>187351861.26126125</v>
      </c>
      <c r="Q319">
        <v>693</v>
      </c>
      <c r="R319">
        <v>394</v>
      </c>
      <c r="S319">
        <v>362070081.08108109</v>
      </c>
      <c r="T319">
        <v>361708489.1891892</v>
      </c>
      <c r="U319">
        <v>169789369.36936939</v>
      </c>
      <c r="V319">
        <v>191638648.64864865</v>
      </c>
      <c r="W319">
        <v>17641</v>
      </c>
      <c r="X319">
        <v>17620</v>
      </c>
    </row>
    <row r="320" spans="1:24">
      <c r="A320" s="7" t="s">
        <v>418</v>
      </c>
      <c r="B320" s="16" t="s">
        <v>147</v>
      </c>
      <c r="C320">
        <v>22017971.187900402</v>
      </c>
      <c r="D320">
        <v>19376344.447750345</v>
      </c>
      <c r="E320">
        <v>332791701.8018018</v>
      </c>
      <c r="F320">
        <v>466886919.81981987</v>
      </c>
      <c r="G320">
        <v>10</v>
      </c>
      <c r="H320">
        <v>3</v>
      </c>
      <c r="M320">
        <v>10</v>
      </c>
      <c r="N320">
        <v>3</v>
      </c>
      <c r="O320">
        <v>10665315.315315315</v>
      </c>
      <c r="P320">
        <v>12592342.342342341</v>
      </c>
      <c r="S320">
        <v>7781531.5315315323</v>
      </c>
      <c r="T320">
        <v>6645936.9369369373</v>
      </c>
      <c r="W320">
        <v>495</v>
      </c>
      <c r="X320">
        <v>487</v>
      </c>
    </row>
    <row r="321" spans="1:24">
      <c r="A321" s="7" t="s">
        <v>419</v>
      </c>
      <c r="B321" s="16" t="s">
        <v>304</v>
      </c>
      <c r="C321">
        <v>167717283.17068619</v>
      </c>
      <c r="D321">
        <v>174120914.48078838</v>
      </c>
      <c r="E321">
        <v>12857207.20720721</v>
      </c>
      <c r="F321">
        <v>11845720.72072072</v>
      </c>
      <c r="G321">
        <v>85</v>
      </c>
      <c r="H321">
        <v>109</v>
      </c>
      <c r="I321">
        <v>17</v>
      </c>
      <c r="J321">
        <v>13</v>
      </c>
      <c r="M321">
        <v>96</v>
      </c>
      <c r="N321">
        <v>143</v>
      </c>
      <c r="O321">
        <v>34731531.531531535</v>
      </c>
      <c r="P321">
        <v>32058108.108108111</v>
      </c>
      <c r="Q321">
        <v>232</v>
      </c>
      <c r="R321">
        <v>181</v>
      </c>
      <c r="S321">
        <v>36947342.342342347</v>
      </c>
      <c r="T321">
        <v>39257615.315315314</v>
      </c>
      <c r="U321">
        <v>36859279.279279277</v>
      </c>
      <c r="V321">
        <v>30744144.144144144</v>
      </c>
      <c r="W321">
        <v>2392</v>
      </c>
      <c r="X321">
        <v>2425</v>
      </c>
    </row>
    <row r="322" spans="1:24">
      <c r="A322" s="7" t="s">
        <v>420</v>
      </c>
      <c r="B322" s="16" t="s">
        <v>304</v>
      </c>
      <c r="C322">
        <v>200465392.30541781</v>
      </c>
      <c r="D322">
        <v>195299661.88608718</v>
      </c>
      <c r="E322">
        <v>1663738.738738741</v>
      </c>
      <c r="F322">
        <v>7776351.3513513478</v>
      </c>
      <c r="G322">
        <v>190</v>
      </c>
      <c r="H322">
        <v>128</v>
      </c>
      <c r="I322">
        <v>14</v>
      </c>
      <c r="J322">
        <v>11</v>
      </c>
      <c r="K322">
        <v>13</v>
      </c>
      <c r="M322">
        <v>225</v>
      </c>
      <c r="N322">
        <v>925</v>
      </c>
      <c r="O322">
        <v>31767567.567567565</v>
      </c>
      <c r="P322">
        <v>36899999.999999993</v>
      </c>
      <c r="Q322">
        <v>557</v>
      </c>
      <c r="R322">
        <v>369</v>
      </c>
      <c r="S322">
        <v>45375196.396396399</v>
      </c>
      <c r="T322">
        <v>60357926.126126125</v>
      </c>
      <c r="U322">
        <v>36945945.945945948</v>
      </c>
      <c r="V322">
        <v>29247567.567567568</v>
      </c>
      <c r="W322">
        <v>3044</v>
      </c>
      <c r="X322">
        <v>3065</v>
      </c>
    </row>
    <row r="323" spans="1:24">
      <c r="A323" s="7" t="s">
        <v>421</v>
      </c>
      <c r="B323" s="16" t="s">
        <v>121</v>
      </c>
      <c r="C323">
        <v>14486205.931460291</v>
      </c>
      <c r="D323">
        <v>8842475.2635060288</v>
      </c>
      <c r="E323">
        <v>12612.612612613</v>
      </c>
      <c r="F323">
        <v>123648.648648649</v>
      </c>
      <c r="G323">
        <v>2</v>
      </c>
      <c r="H323">
        <v>4</v>
      </c>
      <c r="I323">
        <v>0</v>
      </c>
      <c r="J323">
        <v>0</v>
      </c>
      <c r="M323">
        <v>3</v>
      </c>
      <c r="N323">
        <v>4</v>
      </c>
      <c r="O323">
        <v>2769369.3693693699</v>
      </c>
      <c r="P323">
        <v>127927.927927928</v>
      </c>
      <c r="Q323">
        <v>126</v>
      </c>
      <c r="S323">
        <v>1705000</v>
      </c>
      <c r="T323">
        <v>1051567.567567568</v>
      </c>
      <c r="U323">
        <v>2763963.963963964</v>
      </c>
      <c r="V323">
        <v>169369.369369369</v>
      </c>
      <c r="W323">
        <v>341</v>
      </c>
      <c r="X323">
        <v>370</v>
      </c>
    </row>
    <row r="324" spans="1:24">
      <c r="A324" s="7" t="s">
        <v>422</v>
      </c>
      <c r="B324" s="16" t="s">
        <v>60</v>
      </c>
      <c r="C324">
        <v>100843484.69745034</v>
      </c>
      <c r="D324">
        <v>102763287.20740405</v>
      </c>
      <c r="E324">
        <v>334234.23423423502</v>
      </c>
      <c r="F324">
        <v>1226126.1261261271</v>
      </c>
      <c r="G324">
        <v>45</v>
      </c>
      <c r="H324">
        <v>41</v>
      </c>
      <c r="I324">
        <v>5</v>
      </c>
      <c r="J324">
        <v>8</v>
      </c>
      <c r="M324">
        <v>48</v>
      </c>
      <c r="N324">
        <v>51</v>
      </c>
      <c r="O324">
        <v>18939639.639639638</v>
      </c>
      <c r="P324">
        <v>24300000</v>
      </c>
      <c r="Q324">
        <v>97</v>
      </c>
      <c r="R324">
        <v>38</v>
      </c>
      <c r="S324">
        <v>34258648.648648649</v>
      </c>
      <c r="T324">
        <v>36443792.79279279</v>
      </c>
      <c r="U324">
        <v>18240180.180180181</v>
      </c>
      <c r="V324">
        <v>24350810.810810808</v>
      </c>
      <c r="W324">
        <v>1858</v>
      </c>
      <c r="X324">
        <v>2081</v>
      </c>
    </row>
    <row r="325" spans="1:24">
      <c r="A325" s="7" t="s">
        <v>423</v>
      </c>
      <c r="B325" s="16" t="s">
        <v>181</v>
      </c>
      <c r="C325">
        <v>1044231396.084489</v>
      </c>
      <c r="D325">
        <v>1003442516.8082206</v>
      </c>
      <c r="E325">
        <v>3095495.4954955028</v>
      </c>
      <c r="F325">
        <v>12786036.036036037</v>
      </c>
      <c r="G325">
        <v>663</v>
      </c>
      <c r="H325">
        <v>384</v>
      </c>
      <c r="I325">
        <v>66</v>
      </c>
      <c r="J325">
        <v>54</v>
      </c>
      <c r="K325">
        <v>18</v>
      </c>
      <c r="M325">
        <v>868</v>
      </c>
      <c r="N325">
        <v>562</v>
      </c>
      <c r="O325">
        <v>137319279.27927929</v>
      </c>
      <c r="P325">
        <v>183912252.25225225</v>
      </c>
      <c r="Q325">
        <v>1139</v>
      </c>
      <c r="R325">
        <v>1436</v>
      </c>
      <c r="S325">
        <v>287739153.15315318</v>
      </c>
      <c r="T325">
        <v>290649645.04504508</v>
      </c>
      <c r="U325">
        <v>143980720.72072071</v>
      </c>
      <c r="V325">
        <v>179564054.05405405</v>
      </c>
      <c r="W325">
        <v>22436</v>
      </c>
      <c r="X325">
        <v>22338</v>
      </c>
    </row>
    <row r="326" spans="1:24">
      <c r="A326" s="7" t="s">
        <v>424</v>
      </c>
      <c r="B326" s="16" t="s">
        <v>76</v>
      </c>
      <c r="C326">
        <v>45051615.55372633</v>
      </c>
      <c r="D326">
        <v>33215056.260086</v>
      </c>
      <c r="E326">
        <v>4504.5045045050001</v>
      </c>
      <c r="F326">
        <v>81081.081081081997</v>
      </c>
      <c r="G326">
        <v>8</v>
      </c>
      <c r="H326">
        <v>7</v>
      </c>
      <c r="I326">
        <v>2</v>
      </c>
      <c r="J326">
        <v>2</v>
      </c>
      <c r="M326">
        <v>9</v>
      </c>
      <c r="N326">
        <v>8</v>
      </c>
      <c r="O326">
        <v>3851351.351351351</v>
      </c>
      <c r="P326">
        <v>2450450.4504504502</v>
      </c>
      <c r="Q326">
        <v>9</v>
      </c>
      <c r="R326">
        <v>4</v>
      </c>
      <c r="S326">
        <v>3822828.8288288289</v>
      </c>
      <c r="T326">
        <v>2982495.4954954949</v>
      </c>
      <c r="U326">
        <v>3480180.1801801799</v>
      </c>
      <c r="V326">
        <v>2419909.9099099091</v>
      </c>
      <c r="W326">
        <v>941</v>
      </c>
      <c r="X326">
        <v>953</v>
      </c>
    </row>
    <row r="327" spans="1:24">
      <c r="A327" s="7" t="s">
        <v>425</v>
      </c>
      <c r="B327" s="16" t="s">
        <v>76</v>
      </c>
      <c r="C327">
        <v>122352426.60600421</v>
      </c>
      <c r="D327">
        <v>116503432.1663094</v>
      </c>
      <c r="E327">
        <v>148648.64864865001</v>
      </c>
      <c r="F327">
        <v>185585.585585586</v>
      </c>
      <c r="G327">
        <v>38</v>
      </c>
      <c r="H327">
        <v>28</v>
      </c>
      <c r="I327">
        <v>1</v>
      </c>
      <c r="J327">
        <v>2</v>
      </c>
      <c r="M327">
        <v>45</v>
      </c>
      <c r="N327">
        <v>31</v>
      </c>
      <c r="O327">
        <v>13008108.108108111</v>
      </c>
      <c r="P327">
        <v>13928918.918918919</v>
      </c>
      <c r="Q327">
        <v>20</v>
      </c>
      <c r="R327">
        <v>31</v>
      </c>
      <c r="S327">
        <v>27635405.405405402</v>
      </c>
      <c r="T327">
        <v>25994477.47747748</v>
      </c>
      <c r="U327">
        <v>9725405.4054054059</v>
      </c>
      <c r="V327">
        <v>11134954.954954954</v>
      </c>
      <c r="W327">
        <v>1488</v>
      </c>
      <c r="X327">
        <v>1489</v>
      </c>
    </row>
    <row r="328" spans="1:24">
      <c r="A328" s="7" t="s">
        <v>426</v>
      </c>
      <c r="B328" s="16" t="s">
        <v>330</v>
      </c>
      <c r="C328">
        <v>575565324.10794747</v>
      </c>
      <c r="D328">
        <v>609294837.61429417</v>
      </c>
      <c r="E328">
        <v>1748153.1531531541</v>
      </c>
      <c r="F328">
        <v>4949324.3243243247</v>
      </c>
      <c r="G328">
        <v>198</v>
      </c>
      <c r="H328">
        <v>199</v>
      </c>
      <c r="I328">
        <v>20</v>
      </c>
      <c r="J328">
        <v>24</v>
      </c>
      <c r="K328">
        <v>2</v>
      </c>
      <c r="M328">
        <v>238</v>
      </c>
      <c r="N328">
        <v>245</v>
      </c>
      <c r="O328">
        <v>18803873.873873871</v>
      </c>
      <c r="P328">
        <v>37213333.333333328</v>
      </c>
      <c r="Q328">
        <v>78</v>
      </c>
      <c r="R328">
        <v>187</v>
      </c>
      <c r="S328">
        <v>98145403.603603601</v>
      </c>
      <c r="T328">
        <v>158032641.8918919</v>
      </c>
      <c r="U328">
        <v>19943243.24324324</v>
      </c>
      <c r="V328">
        <v>33134414.414414413</v>
      </c>
      <c r="W328">
        <v>11455</v>
      </c>
      <c r="X328">
        <v>11738</v>
      </c>
    </row>
    <row r="329" spans="1:24">
      <c r="A329" s="7" t="s">
        <v>427</v>
      </c>
      <c r="B329" s="16" t="s">
        <v>241</v>
      </c>
      <c r="C329">
        <v>155127718.01095945</v>
      </c>
      <c r="D329">
        <v>155125857.35163087</v>
      </c>
      <c r="E329">
        <v>1531531.5315315309</v>
      </c>
      <c r="F329">
        <v>1177477.477477479</v>
      </c>
      <c r="G329">
        <v>69</v>
      </c>
      <c r="H329">
        <v>55</v>
      </c>
      <c r="I329">
        <v>3</v>
      </c>
      <c r="J329">
        <v>4</v>
      </c>
      <c r="K329">
        <v>1</v>
      </c>
      <c r="M329">
        <v>81</v>
      </c>
      <c r="N329">
        <v>65</v>
      </c>
      <c r="O329">
        <v>29200990.990990993</v>
      </c>
      <c r="P329">
        <v>26262612.612612613</v>
      </c>
      <c r="Q329">
        <v>5</v>
      </c>
      <c r="R329">
        <v>61</v>
      </c>
      <c r="S329">
        <v>59990324.324324325</v>
      </c>
      <c r="T329">
        <v>59503459.459459454</v>
      </c>
      <c r="U329">
        <v>30187117.117117114</v>
      </c>
      <c r="V329">
        <v>24922612.612612616</v>
      </c>
      <c r="W329">
        <v>5275</v>
      </c>
      <c r="X329">
        <v>5214</v>
      </c>
    </row>
    <row r="330" spans="1:24">
      <c r="A330" s="7" t="s">
        <v>428</v>
      </c>
      <c r="B330" s="16" t="s">
        <v>283</v>
      </c>
      <c r="C330">
        <v>64080231.864092328</v>
      </c>
      <c r="D330">
        <v>65946374.20890104</v>
      </c>
      <c r="E330">
        <v>52477.477477478002</v>
      </c>
      <c r="F330">
        <v>700900.90090090199</v>
      </c>
      <c r="G330">
        <v>15</v>
      </c>
      <c r="H330">
        <v>10</v>
      </c>
      <c r="I330">
        <v>4</v>
      </c>
      <c r="J330">
        <v>5</v>
      </c>
      <c r="M330">
        <v>17</v>
      </c>
      <c r="N330">
        <v>51</v>
      </c>
      <c r="O330">
        <v>4206306.3063063072</v>
      </c>
      <c r="P330">
        <v>26614774.774774775</v>
      </c>
      <c r="Q330">
        <v>12</v>
      </c>
      <c r="R330">
        <v>59</v>
      </c>
      <c r="S330">
        <v>11276036.036036037</v>
      </c>
      <c r="T330">
        <v>12359036.036036037</v>
      </c>
      <c r="U330">
        <v>4218828.8288288284</v>
      </c>
      <c r="V330">
        <v>27890720.720720723</v>
      </c>
      <c r="W330">
        <v>1267</v>
      </c>
      <c r="X330">
        <v>1273</v>
      </c>
    </row>
    <row r="331" spans="1:24">
      <c r="A331" s="7" t="s">
        <v>429</v>
      </c>
      <c r="B331" s="16" t="s">
        <v>283</v>
      </c>
      <c r="C331">
        <v>21180118.799510896</v>
      </c>
      <c r="D331">
        <v>20360710.536228497</v>
      </c>
      <c r="E331">
        <v>10810.810810810999</v>
      </c>
      <c r="F331">
        <v>255855.85585585501</v>
      </c>
      <c r="G331">
        <v>1</v>
      </c>
      <c r="I331">
        <v>1</v>
      </c>
      <c r="J331">
        <v>1</v>
      </c>
      <c r="M331">
        <v>1</v>
      </c>
      <c r="O331">
        <v>371171.17117117101</v>
      </c>
      <c r="P331">
        <v>3138738.7387387389</v>
      </c>
      <c r="S331">
        <v>2037792.7927927929</v>
      </c>
      <c r="T331">
        <v>1509495.4954954961</v>
      </c>
      <c r="U331">
        <v>378378.37837837799</v>
      </c>
      <c r="V331">
        <v>3806576.576576577</v>
      </c>
      <c r="W331">
        <v>482</v>
      </c>
      <c r="X331">
        <v>530</v>
      </c>
    </row>
    <row r="332" spans="1:24">
      <c r="A332" s="7" t="s">
        <v>430</v>
      </c>
      <c r="B332" s="16" t="s">
        <v>283</v>
      </c>
      <c r="C332">
        <v>38079978.029489011</v>
      </c>
      <c r="D332">
        <v>43815311.440713897</v>
      </c>
      <c r="E332">
        <v>9009.0090090089998</v>
      </c>
      <c r="F332">
        <v>265765.76576576597</v>
      </c>
      <c r="G332">
        <v>5</v>
      </c>
      <c r="H332">
        <v>5</v>
      </c>
      <c r="I332">
        <v>0</v>
      </c>
      <c r="J332">
        <v>2</v>
      </c>
      <c r="M332">
        <v>5</v>
      </c>
      <c r="N332">
        <v>5</v>
      </c>
      <c r="O332">
        <v>9009.0090090089998</v>
      </c>
      <c r="P332">
        <v>355855.85585585597</v>
      </c>
      <c r="Q332">
        <v>2</v>
      </c>
      <c r="R332">
        <v>4</v>
      </c>
      <c r="S332">
        <v>3078063.0630630632</v>
      </c>
      <c r="T332">
        <v>3766306.3063063058</v>
      </c>
      <c r="V332">
        <v>173423.423423423</v>
      </c>
      <c r="W332">
        <v>793</v>
      </c>
      <c r="X332">
        <v>798</v>
      </c>
    </row>
    <row r="333" spans="1:24">
      <c r="A333" s="7" t="s">
        <v>431</v>
      </c>
      <c r="B333" s="16" t="s">
        <v>78</v>
      </c>
      <c r="C333">
        <v>262296986.92655167</v>
      </c>
      <c r="D333">
        <v>262739182.99152082</v>
      </c>
      <c r="E333">
        <v>1899099.099099101</v>
      </c>
      <c r="F333">
        <v>4041441.4414414442</v>
      </c>
      <c r="G333">
        <v>63</v>
      </c>
      <c r="H333">
        <v>240</v>
      </c>
      <c r="I333">
        <v>3</v>
      </c>
      <c r="J333">
        <v>15</v>
      </c>
      <c r="M333">
        <v>79</v>
      </c>
      <c r="N333">
        <v>350</v>
      </c>
      <c r="O333">
        <v>22723423.423423421</v>
      </c>
      <c r="P333">
        <v>27383783.783783782</v>
      </c>
      <c r="Q333">
        <v>96</v>
      </c>
      <c r="R333">
        <v>409</v>
      </c>
      <c r="S333">
        <v>111263630.63063063</v>
      </c>
      <c r="T333">
        <v>116152333.33333333</v>
      </c>
      <c r="U333">
        <v>22618108.108108107</v>
      </c>
      <c r="V333">
        <v>26815495.495495494</v>
      </c>
      <c r="W333">
        <v>6375</v>
      </c>
      <c r="X333">
        <v>6499</v>
      </c>
    </row>
    <row r="334" spans="1:24">
      <c r="A334" s="7" t="s">
        <v>432</v>
      </c>
      <c r="B334" s="16" t="s">
        <v>105</v>
      </c>
      <c r="C334">
        <v>240990120.45832342</v>
      </c>
      <c r="D334">
        <v>236523820.18431208</v>
      </c>
      <c r="E334">
        <v>122522.522522523</v>
      </c>
      <c r="F334">
        <v>1048648.6486486499</v>
      </c>
      <c r="G334">
        <v>66</v>
      </c>
      <c r="H334">
        <v>22</v>
      </c>
      <c r="I334">
        <v>4</v>
      </c>
      <c r="J334">
        <v>2</v>
      </c>
      <c r="M334">
        <v>95</v>
      </c>
      <c r="N334">
        <v>33</v>
      </c>
      <c r="O334">
        <v>27341081.081081081</v>
      </c>
      <c r="P334">
        <v>29611846.846846849</v>
      </c>
      <c r="Q334">
        <v>84</v>
      </c>
      <c r="R334">
        <v>96</v>
      </c>
      <c r="S334">
        <v>56026699.0990991</v>
      </c>
      <c r="T334">
        <v>56599297.297297299</v>
      </c>
      <c r="U334">
        <v>27716216.216216218</v>
      </c>
      <c r="V334">
        <v>30302117.117117122</v>
      </c>
      <c r="W334">
        <v>3873</v>
      </c>
      <c r="X334">
        <v>3725</v>
      </c>
    </row>
    <row r="335" spans="1:24">
      <c r="A335" s="7" t="s">
        <v>433</v>
      </c>
      <c r="B335" s="16" t="s">
        <v>72</v>
      </c>
      <c r="C335">
        <v>1305061382.1750636</v>
      </c>
      <c r="D335">
        <v>1252698278.7329166</v>
      </c>
      <c r="E335">
        <v>3267117.1171171288</v>
      </c>
      <c r="F335">
        <v>8130180.1801801939</v>
      </c>
      <c r="G335">
        <v>353</v>
      </c>
      <c r="H335">
        <v>340</v>
      </c>
      <c r="I335">
        <v>73</v>
      </c>
      <c r="J335">
        <v>67</v>
      </c>
      <c r="K335">
        <v>1</v>
      </c>
      <c r="M335">
        <v>464</v>
      </c>
      <c r="N335">
        <v>498</v>
      </c>
      <c r="O335">
        <v>195750000</v>
      </c>
      <c r="P335">
        <v>184981531.53153151</v>
      </c>
      <c r="Q335">
        <v>612</v>
      </c>
      <c r="R335">
        <v>745</v>
      </c>
      <c r="S335">
        <v>272275030.63063061</v>
      </c>
      <c r="T335">
        <v>263900601.35135135</v>
      </c>
      <c r="U335">
        <v>149336753.15315315</v>
      </c>
      <c r="V335">
        <v>140897657.65765765</v>
      </c>
      <c r="W335">
        <v>18191</v>
      </c>
      <c r="X335">
        <v>18325</v>
      </c>
    </row>
    <row r="336" spans="1:24">
      <c r="A336" s="7" t="s">
        <v>434</v>
      </c>
      <c r="B336" s="16" t="s">
        <v>72</v>
      </c>
      <c r="C336">
        <v>905642777.82805765</v>
      </c>
      <c r="D336">
        <v>856544539.64018345</v>
      </c>
      <c r="E336">
        <v>3174774.7747747768</v>
      </c>
      <c r="F336">
        <v>5479504.504504513</v>
      </c>
      <c r="G336">
        <v>176</v>
      </c>
      <c r="H336">
        <v>185</v>
      </c>
      <c r="I336">
        <v>18</v>
      </c>
      <c r="J336">
        <v>25</v>
      </c>
      <c r="K336">
        <v>3</v>
      </c>
      <c r="M336">
        <v>193</v>
      </c>
      <c r="N336">
        <v>236</v>
      </c>
      <c r="O336">
        <v>109368378.37837839</v>
      </c>
      <c r="P336">
        <v>93089189.189189181</v>
      </c>
      <c r="Q336">
        <v>316</v>
      </c>
      <c r="R336">
        <v>108</v>
      </c>
      <c r="S336">
        <v>160645454.95495495</v>
      </c>
      <c r="T336">
        <v>161605135.13513514</v>
      </c>
      <c r="U336">
        <v>80462882.882882878</v>
      </c>
      <c r="V336">
        <v>71814594.594594598</v>
      </c>
      <c r="W336">
        <v>13655</v>
      </c>
      <c r="X336">
        <v>13492</v>
      </c>
    </row>
    <row r="337" spans="1:24">
      <c r="A337" s="7" t="s">
        <v>435</v>
      </c>
      <c r="B337" s="16" t="s">
        <v>94</v>
      </c>
      <c r="C337">
        <v>68550038.406186134</v>
      </c>
      <c r="D337">
        <v>59768132.348471865</v>
      </c>
      <c r="E337">
        <v>900.900900901</v>
      </c>
      <c r="F337">
        <v>13513.513513514001</v>
      </c>
      <c r="G337">
        <v>13</v>
      </c>
      <c r="H337">
        <v>3</v>
      </c>
      <c r="I337">
        <v>0</v>
      </c>
      <c r="J337">
        <v>0</v>
      </c>
      <c r="M337">
        <v>13</v>
      </c>
      <c r="N337">
        <v>3</v>
      </c>
      <c r="O337">
        <v>991891.89189189195</v>
      </c>
      <c r="P337">
        <v>554054.05405405397</v>
      </c>
      <c r="S337">
        <v>15641846.846846849</v>
      </c>
      <c r="T337">
        <v>14581684.684684685</v>
      </c>
      <c r="U337">
        <v>386576.57657657599</v>
      </c>
      <c r="V337">
        <v>427567.56756756798</v>
      </c>
      <c r="W337">
        <v>909</v>
      </c>
      <c r="X337">
        <v>889</v>
      </c>
    </row>
    <row r="338" spans="1:24">
      <c r="A338" s="7" t="s">
        <v>436</v>
      </c>
      <c r="B338" s="16" t="s">
        <v>89</v>
      </c>
      <c r="C338">
        <v>310139278.16258389</v>
      </c>
      <c r="D338">
        <v>316978823.59529221</v>
      </c>
      <c r="E338">
        <v>3334189.1891891938</v>
      </c>
      <c r="F338">
        <v>4670270.2702702787</v>
      </c>
      <c r="G338">
        <v>68</v>
      </c>
      <c r="H338">
        <v>86</v>
      </c>
      <c r="I338">
        <v>22</v>
      </c>
      <c r="J338">
        <v>25</v>
      </c>
      <c r="K338">
        <v>1</v>
      </c>
      <c r="M338">
        <v>72</v>
      </c>
      <c r="N338">
        <v>96</v>
      </c>
      <c r="O338">
        <v>43479189.189189181</v>
      </c>
      <c r="P338">
        <v>46177297.297297299</v>
      </c>
      <c r="Q338">
        <v>220</v>
      </c>
      <c r="R338">
        <v>232</v>
      </c>
      <c r="S338">
        <v>134771396.3963964</v>
      </c>
      <c r="T338">
        <v>144321481.98198199</v>
      </c>
      <c r="U338">
        <v>42224234.234234229</v>
      </c>
      <c r="V338">
        <v>45004774.774774775</v>
      </c>
      <c r="W338">
        <v>5864</v>
      </c>
      <c r="X338">
        <v>5405</v>
      </c>
    </row>
    <row r="339" spans="1:24">
      <c r="A339" s="7" t="s">
        <v>437</v>
      </c>
      <c r="B339" s="16" t="s">
        <v>70</v>
      </c>
      <c r="C339">
        <v>10418943.974490648</v>
      </c>
      <c r="D339">
        <v>9958342.9458339121</v>
      </c>
      <c r="G339">
        <v>20</v>
      </c>
      <c r="H339">
        <v>7</v>
      </c>
      <c r="M339">
        <v>21</v>
      </c>
      <c r="N339">
        <v>9</v>
      </c>
      <c r="S339">
        <v>6214324.3243243247</v>
      </c>
      <c r="T339">
        <v>6811342.3423423423</v>
      </c>
      <c r="W339">
        <v>1143</v>
      </c>
      <c r="X339">
        <v>1453</v>
      </c>
    </row>
    <row r="340" spans="1:24">
      <c r="A340" s="7" t="s">
        <v>438</v>
      </c>
      <c r="B340" s="16" t="s">
        <v>195</v>
      </c>
      <c r="C340">
        <v>1540742729.3673701</v>
      </c>
      <c r="D340">
        <v>1499904688.8150182</v>
      </c>
      <c r="E340">
        <v>240522669.36936939</v>
      </c>
      <c r="F340">
        <v>250145005.4054054</v>
      </c>
      <c r="G340">
        <v>456</v>
      </c>
      <c r="H340">
        <v>395</v>
      </c>
      <c r="I340">
        <v>27</v>
      </c>
      <c r="J340">
        <v>24</v>
      </c>
      <c r="M340">
        <v>523</v>
      </c>
      <c r="N340">
        <v>480</v>
      </c>
      <c r="O340">
        <v>153907207.2072072</v>
      </c>
      <c r="P340">
        <v>143741531.53153154</v>
      </c>
      <c r="Q340">
        <v>330</v>
      </c>
      <c r="R340">
        <v>368</v>
      </c>
      <c r="S340">
        <v>241821854.05405405</v>
      </c>
      <c r="T340">
        <v>257010423.42342341</v>
      </c>
      <c r="U340">
        <v>126055315.31531532</v>
      </c>
      <c r="V340">
        <v>120231621.62162164</v>
      </c>
      <c r="W340">
        <v>20405</v>
      </c>
      <c r="X340">
        <v>20707</v>
      </c>
    </row>
    <row r="341" spans="1:24">
      <c r="A341" s="7" t="s">
        <v>439</v>
      </c>
      <c r="B341" s="16" t="s">
        <v>178</v>
      </c>
      <c r="C341">
        <v>743799860.01325691</v>
      </c>
      <c r="D341">
        <v>747042574.33644438</v>
      </c>
      <c r="E341">
        <v>848018.01801801904</v>
      </c>
      <c r="F341">
        <v>4801801.8018018017</v>
      </c>
      <c r="G341">
        <v>208</v>
      </c>
      <c r="H341">
        <v>192</v>
      </c>
      <c r="I341">
        <v>12</v>
      </c>
      <c r="J341">
        <v>46</v>
      </c>
      <c r="K341">
        <v>1</v>
      </c>
      <c r="M341">
        <v>241</v>
      </c>
      <c r="N341">
        <v>260</v>
      </c>
      <c r="O341">
        <v>129465366.66666667</v>
      </c>
      <c r="P341">
        <v>133738683.78378378</v>
      </c>
      <c r="Q341">
        <v>352</v>
      </c>
      <c r="R341">
        <v>329</v>
      </c>
      <c r="S341">
        <v>291572648.64864862</v>
      </c>
      <c r="T341">
        <v>301862067.56756753</v>
      </c>
      <c r="U341">
        <v>118969592.7927928</v>
      </c>
      <c r="V341">
        <v>117065630.63063064</v>
      </c>
      <c r="W341">
        <v>13926</v>
      </c>
      <c r="X341">
        <v>14293</v>
      </c>
    </row>
    <row r="342" spans="1:24">
      <c r="A342" s="7" t="s">
        <v>440</v>
      </c>
      <c r="B342" s="16" t="s">
        <v>78</v>
      </c>
      <c r="C342">
        <v>318183131.10989195</v>
      </c>
      <c r="D342">
        <v>320276540.81959993</v>
      </c>
      <c r="E342">
        <v>2741171.1711711711</v>
      </c>
      <c r="F342">
        <v>4097972.9729729751</v>
      </c>
      <c r="G342">
        <v>65</v>
      </c>
      <c r="H342">
        <v>60</v>
      </c>
      <c r="I342">
        <v>7</v>
      </c>
      <c r="J342">
        <v>11</v>
      </c>
      <c r="K342">
        <v>1</v>
      </c>
      <c r="M342">
        <v>79</v>
      </c>
      <c r="N342">
        <v>150</v>
      </c>
      <c r="O342">
        <v>26559189.189189184</v>
      </c>
      <c r="P342">
        <v>31770270.270270269</v>
      </c>
      <c r="Q342">
        <v>104</v>
      </c>
      <c r="R342">
        <v>139</v>
      </c>
      <c r="S342">
        <v>64357855.855855852</v>
      </c>
      <c r="T342">
        <v>65869990.990990989</v>
      </c>
      <c r="U342">
        <v>30066396.396396391</v>
      </c>
      <c r="V342">
        <v>33088018.018018015</v>
      </c>
      <c r="W342">
        <v>4793</v>
      </c>
      <c r="X342">
        <v>5093</v>
      </c>
    </row>
    <row r="343" spans="1:24">
      <c r="A343" s="7" t="s">
        <v>441</v>
      </c>
      <c r="B343" s="16" t="s">
        <v>78</v>
      </c>
      <c r="C343">
        <v>146563630.61540464</v>
      </c>
      <c r="D343">
        <v>135604395.93105483</v>
      </c>
      <c r="E343">
        <v>347747.74774775002</v>
      </c>
      <c r="F343">
        <v>2433333.333333334</v>
      </c>
      <c r="G343">
        <v>36</v>
      </c>
      <c r="H343">
        <v>39</v>
      </c>
      <c r="I343">
        <v>5</v>
      </c>
      <c r="J343">
        <v>12</v>
      </c>
      <c r="M343">
        <v>37</v>
      </c>
      <c r="N343">
        <v>45</v>
      </c>
      <c r="O343">
        <v>16465675.675675675</v>
      </c>
      <c r="P343">
        <v>30102432.432432432</v>
      </c>
      <c r="Q343">
        <v>64</v>
      </c>
      <c r="R343">
        <v>65</v>
      </c>
      <c r="S343">
        <v>29842639.639639638</v>
      </c>
      <c r="T343">
        <v>29584972.97297297</v>
      </c>
      <c r="U343">
        <v>21012792.792792793</v>
      </c>
      <c r="V343">
        <v>28143243.24324324</v>
      </c>
      <c r="W343">
        <v>2305</v>
      </c>
      <c r="X343">
        <v>2271</v>
      </c>
    </row>
    <row r="344" spans="1:24">
      <c r="A344" s="7" t="s">
        <v>442</v>
      </c>
      <c r="B344" s="16" t="s">
        <v>123</v>
      </c>
      <c r="C344">
        <v>2241981.8908993569</v>
      </c>
      <c r="D344">
        <v>1878345.4537572369</v>
      </c>
      <c r="G344">
        <v>1</v>
      </c>
      <c r="M344">
        <v>1</v>
      </c>
      <c r="S344">
        <v>1068378.378378378</v>
      </c>
      <c r="T344">
        <v>721531.53153153195</v>
      </c>
      <c r="W344">
        <v>394</v>
      </c>
      <c r="X344">
        <v>1</v>
      </c>
    </row>
    <row r="345" spans="1:24">
      <c r="A345" s="7" t="s">
        <v>443</v>
      </c>
      <c r="B345" s="16" t="s">
        <v>140</v>
      </c>
      <c r="C345">
        <v>319788072.75534171</v>
      </c>
      <c r="D345">
        <v>325855443.74108636</v>
      </c>
      <c r="E345">
        <v>1943018.0180180201</v>
      </c>
      <c r="F345">
        <v>3297747.7477477482</v>
      </c>
      <c r="G345">
        <v>26</v>
      </c>
      <c r="H345">
        <v>52</v>
      </c>
      <c r="I345">
        <v>5</v>
      </c>
      <c r="J345">
        <v>8</v>
      </c>
      <c r="K345">
        <v>1</v>
      </c>
      <c r="M345">
        <v>33</v>
      </c>
      <c r="N345">
        <v>103</v>
      </c>
      <c r="O345">
        <v>40654504.504504502</v>
      </c>
      <c r="P345">
        <v>38815225.225225225</v>
      </c>
      <c r="Q345">
        <v>263</v>
      </c>
      <c r="R345">
        <v>160</v>
      </c>
      <c r="S345">
        <v>81291711.711711705</v>
      </c>
      <c r="T345">
        <v>88282360.360360354</v>
      </c>
      <c r="U345">
        <v>34856126.126126125</v>
      </c>
      <c r="V345">
        <v>32587657.657657657</v>
      </c>
      <c r="W345">
        <v>5723</v>
      </c>
      <c r="X345">
        <v>5578</v>
      </c>
    </row>
    <row r="346" spans="1:24">
      <c r="A346" s="7" t="s">
        <v>444</v>
      </c>
      <c r="B346" s="16" t="s">
        <v>76</v>
      </c>
      <c r="C346">
        <v>36193135.765458383</v>
      </c>
      <c r="D346">
        <v>36727988.360162571</v>
      </c>
      <c r="E346">
        <v>120173648.64864865</v>
      </c>
      <c r="F346">
        <v>73988288.288288295</v>
      </c>
      <c r="G346">
        <v>10</v>
      </c>
      <c r="H346">
        <v>6</v>
      </c>
      <c r="I346">
        <v>1</v>
      </c>
      <c r="J346">
        <v>2</v>
      </c>
      <c r="M346">
        <v>11</v>
      </c>
      <c r="N346">
        <v>7</v>
      </c>
      <c r="O346">
        <v>9381981.9819819815</v>
      </c>
      <c r="P346">
        <v>5618018.0180180185</v>
      </c>
      <c r="Q346">
        <v>12</v>
      </c>
      <c r="R346">
        <v>72</v>
      </c>
      <c r="S346">
        <v>7685810.8108108109</v>
      </c>
      <c r="T346">
        <v>8093036.036036036</v>
      </c>
      <c r="U346">
        <v>7310720.7207207214</v>
      </c>
      <c r="V346">
        <v>5283513.5135135129</v>
      </c>
      <c r="W346">
        <v>626</v>
      </c>
      <c r="X346">
        <v>956</v>
      </c>
    </row>
    <row r="347" spans="1:24">
      <c r="A347" s="7" t="s">
        <v>445</v>
      </c>
      <c r="B347" s="16" t="s">
        <v>89</v>
      </c>
      <c r="C347">
        <v>1001118208.5065709</v>
      </c>
      <c r="D347">
        <v>1005727945.627249</v>
      </c>
      <c r="E347">
        <v>422208919.81981987</v>
      </c>
      <c r="F347">
        <v>417928049.54954958</v>
      </c>
      <c r="G347">
        <v>781</v>
      </c>
      <c r="H347">
        <v>592</v>
      </c>
      <c r="I347">
        <v>85</v>
      </c>
      <c r="J347">
        <v>88</v>
      </c>
      <c r="K347">
        <v>6</v>
      </c>
      <c r="M347">
        <v>967</v>
      </c>
      <c r="N347">
        <v>1821</v>
      </c>
      <c r="O347">
        <v>115456846.84684685</v>
      </c>
      <c r="P347">
        <v>321551081.08108109</v>
      </c>
      <c r="Q347">
        <v>855</v>
      </c>
      <c r="R347">
        <v>1109</v>
      </c>
      <c r="S347">
        <v>312588036.03603601</v>
      </c>
      <c r="T347">
        <v>334295223.42342341</v>
      </c>
      <c r="U347">
        <v>117113873.87387387</v>
      </c>
      <c r="V347">
        <v>224134504.5045045</v>
      </c>
      <c r="W347">
        <v>16246</v>
      </c>
      <c r="X347">
        <v>16741</v>
      </c>
    </row>
    <row r="348" spans="1:24">
      <c r="A348" s="7" t="s">
        <v>446</v>
      </c>
      <c r="B348" s="16" t="s">
        <v>48</v>
      </c>
      <c r="C348">
        <v>105030804.47780851</v>
      </c>
      <c r="D348">
        <v>99971837.454785526</v>
      </c>
      <c r="E348">
        <v>1104504.5045045051</v>
      </c>
      <c r="F348">
        <v>2229729.7297297288</v>
      </c>
      <c r="G348">
        <v>11</v>
      </c>
      <c r="H348">
        <v>10</v>
      </c>
      <c r="I348">
        <v>2</v>
      </c>
      <c r="J348">
        <v>2</v>
      </c>
      <c r="M348">
        <v>13</v>
      </c>
      <c r="N348">
        <v>19</v>
      </c>
      <c r="O348">
        <v>12828828.828828828</v>
      </c>
      <c r="P348">
        <v>22561441.441441439</v>
      </c>
      <c r="R348">
        <v>16</v>
      </c>
      <c r="S348">
        <v>36331666.666666664</v>
      </c>
      <c r="T348">
        <v>33904486.486486487</v>
      </c>
      <c r="U348">
        <v>12052972.972972974</v>
      </c>
      <c r="V348">
        <v>22943963.963963963</v>
      </c>
      <c r="W348">
        <v>1030</v>
      </c>
      <c r="X348">
        <v>1130</v>
      </c>
    </row>
    <row r="349" spans="1:24">
      <c r="A349" s="7" t="s">
        <v>447</v>
      </c>
      <c r="B349" s="16" t="s">
        <v>448</v>
      </c>
      <c r="C349">
        <v>202991059.48784217</v>
      </c>
      <c r="D349">
        <v>199996304.09781533</v>
      </c>
      <c r="E349">
        <v>1181756.7567567569</v>
      </c>
      <c r="F349">
        <v>4608108.1081081061</v>
      </c>
      <c r="G349">
        <v>634</v>
      </c>
      <c r="H349">
        <v>105</v>
      </c>
      <c r="I349">
        <v>9</v>
      </c>
      <c r="J349">
        <v>10</v>
      </c>
      <c r="M349">
        <v>652</v>
      </c>
      <c r="N349">
        <v>210</v>
      </c>
      <c r="O349">
        <v>83135855.855855852</v>
      </c>
      <c r="P349">
        <v>24579099.0990991</v>
      </c>
      <c r="Q349">
        <v>483</v>
      </c>
      <c r="R349">
        <v>19</v>
      </c>
      <c r="S349">
        <v>80649369.369369373</v>
      </c>
      <c r="T349">
        <v>80757522.522522524</v>
      </c>
      <c r="U349">
        <v>82820180.180180177</v>
      </c>
      <c r="V349">
        <v>25075855.855855856</v>
      </c>
      <c r="W349">
        <v>5918</v>
      </c>
      <c r="X349">
        <v>5624</v>
      </c>
    </row>
    <row r="350" spans="1:24">
      <c r="A350" s="7" t="s">
        <v>449</v>
      </c>
      <c r="B350" s="16" t="s">
        <v>76</v>
      </c>
      <c r="C350">
        <v>52300323.912712172</v>
      </c>
      <c r="D350">
        <v>48277135.421121329</v>
      </c>
      <c r="E350">
        <v>161261.26126126299</v>
      </c>
      <c r="F350">
        <v>600000.00000000198</v>
      </c>
      <c r="G350">
        <v>18</v>
      </c>
      <c r="H350">
        <v>28</v>
      </c>
      <c r="I350">
        <v>2</v>
      </c>
      <c r="J350">
        <v>6</v>
      </c>
      <c r="M350">
        <v>20</v>
      </c>
      <c r="N350">
        <v>29</v>
      </c>
      <c r="O350">
        <v>12399099.0990991</v>
      </c>
      <c r="P350">
        <v>13129999.999999998</v>
      </c>
      <c r="Q350">
        <v>26</v>
      </c>
      <c r="R350">
        <v>16</v>
      </c>
      <c r="S350">
        <v>18559099.0990991</v>
      </c>
      <c r="T350">
        <v>17613556.756756756</v>
      </c>
      <c r="U350">
        <v>9910630.6306306291</v>
      </c>
      <c r="V350">
        <v>10340540.540540541</v>
      </c>
      <c r="W350">
        <v>1824</v>
      </c>
      <c r="X350">
        <v>1880</v>
      </c>
    </row>
    <row r="351" spans="1:24">
      <c r="A351" s="7" t="s">
        <v>450</v>
      </c>
      <c r="B351" s="16" t="s">
        <v>83</v>
      </c>
      <c r="C351">
        <v>1810620568.0672276</v>
      </c>
      <c r="D351">
        <v>1785733085.0780802</v>
      </c>
      <c r="E351">
        <v>642795263.06306303</v>
      </c>
      <c r="F351">
        <v>574242489.1891892</v>
      </c>
      <c r="G351">
        <v>435</v>
      </c>
      <c r="H351">
        <v>660</v>
      </c>
      <c r="I351">
        <v>38</v>
      </c>
      <c r="J351">
        <v>44</v>
      </c>
      <c r="K351">
        <v>8</v>
      </c>
      <c r="M351">
        <v>655</v>
      </c>
      <c r="N351">
        <v>814</v>
      </c>
      <c r="O351">
        <v>203637792.7927928</v>
      </c>
      <c r="P351">
        <v>223897882.88288289</v>
      </c>
      <c r="Q351">
        <v>345</v>
      </c>
      <c r="R351">
        <v>899</v>
      </c>
      <c r="S351">
        <v>389705324.32432437</v>
      </c>
      <c r="T351">
        <v>384816596.84684682</v>
      </c>
      <c r="U351">
        <v>191223198.1981982</v>
      </c>
      <c r="V351">
        <v>218577792.7927928</v>
      </c>
      <c r="W351">
        <v>31515</v>
      </c>
      <c r="X351">
        <v>31209</v>
      </c>
    </row>
    <row r="352" spans="1:24">
      <c r="A352" s="7" t="s">
        <v>451</v>
      </c>
      <c r="B352" s="16" t="s">
        <v>70</v>
      </c>
      <c r="C352">
        <v>127718233.82949613</v>
      </c>
      <c r="D352">
        <v>119535127.42541316</v>
      </c>
      <c r="E352">
        <v>601126.12612612604</v>
      </c>
      <c r="F352">
        <v>513513.51351351402</v>
      </c>
      <c r="G352">
        <v>22</v>
      </c>
      <c r="H352">
        <v>26</v>
      </c>
      <c r="I352">
        <v>1</v>
      </c>
      <c r="J352">
        <v>2</v>
      </c>
      <c r="M352">
        <v>22</v>
      </c>
      <c r="N352">
        <v>31</v>
      </c>
      <c r="O352">
        <v>2897297.297297297</v>
      </c>
      <c r="P352">
        <v>3722522.5225225221</v>
      </c>
      <c r="R352">
        <v>22</v>
      </c>
      <c r="S352">
        <v>77817207.207207203</v>
      </c>
      <c r="T352">
        <v>73392243.243243247</v>
      </c>
      <c r="U352">
        <v>4515225.225225226</v>
      </c>
      <c r="V352">
        <v>3384144.144144142</v>
      </c>
      <c r="W352">
        <v>2565</v>
      </c>
      <c r="X352">
        <v>2936</v>
      </c>
    </row>
    <row r="353" spans="1:24">
      <c r="A353" s="7" t="s">
        <v>452</v>
      </c>
      <c r="B353" s="16" t="s">
        <v>167</v>
      </c>
      <c r="C353">
        <v>147174164.45448354</v>
      </c>
      <c r="D353">
        <v>141987215.70980716</v>
      </c>
      <c r="E353">
        <v>39639.639639640001</v>
      </c>
      <c r="F353">
        <v>3198198.1981981979</v>
      </c>
      <c r="G353">
        <v>24</v>
      </c>
      <c r="H353">
        <v>4</v>
      </c>
      <c r="I353">
        <v>1</v>
      </c>
      <c r="J353">
        <v>1</v>
      </c>
      <c r="K353">
        <v>1</v>
      </c>
      <c r="M353">
        <v>32</v>
      </c>
      <c r="N353">
        <v>5</v>
      </c>
      <c r="O353">
        <v>16923603.603603601</v>
      </c>
      <c r="P353">
        <v>8234684.6846846864</v>
      </c>
      <c r="Q353">
        <v>314</v>
      </c>
      <c r="S353">
        <v>27279234.234234236</v>
      </c>
      <c r="T353">
        <v>27622126.126126129</v>
      </c>
      <c r="U353">
        <v>17959009.009009007</v>
      </c>
      <c r="V353">
        <v>7024324.3243243229</v>
      </c>
      <c r="W353">
        <v>2797</v>
      </c>
      <c r="X353">
        <v>2698</v>
      </c>
    </row>
    <row r="354" spans="1:24">
      <c r="A354" s="7" t="s">
        <v>453</v>
      </c>
      <c r="B354" s="16" t="s">
        <v>121</v>
      </c>
      <c r="C354">
        <v>8939723.2133739982</v>
      </c>
      <c r="D354">
        <v>5707059.3919119993</v>
      </c>
      <c r="E354">
        <v>16216.216216216</v>
      </c>
      <c r="F354">
        <v>34234.234234233998</v>
      </c>
      <c r="G354">
        <v>4</v>
      </c>
      <c r="H354">
        <v>2</v>
      </c>
      <c r="I354">
        <v>1</v>
      </c>
      <c r="J354">
        <v>0</v>
      </c>
      <c r="M354">
        <v>4</v>
      </c>
      <c r="N354">
        <v>2</v>
      </c>
      <c r="O354">
        <v>160360.36036036001</v>
      </c>
      <c r="P354">
        <v>36036.036036035999</v>
      </c>
      <c r="Q354">
        <v>16</v>
      </c>
      <c r="S354">
        <v>700936.93693693704</v>
      </c>
      <c r="T354">
        <v>591801.80180180201</v>
      </c>
      <c r="U354">
        <v>144144.144144144</v>
      </c>
      <c r="W354">
        <v>105</v>
      </c>
      <c r="X354">
        <v>134</v>
      </c>
    </row>
    <row r="355" spans="1:24">
      <c r="A355" s="7" t="s">
        <v>454</v>
      </c>
      <c r="B355" s="16" t="s">
        <v>224</v>
      </c>
      <c r="C355">
        <v>53970756.439283803</v>
      </c>
      <c r="D355">
        <v>48252597.646015041</v>
      </c>
      <c r="G355">
        <v>1</v>
      </c>
      <c r="H355">
        <v>1</v>
      </c>
      <c r="M355">
        <v>1</v>
      </c>
      <c r="N355">
        <v>2</v>
      </c>
      <c r="R355">
        <v>10</v>
      </c>
      <c r="S355">
        <v>9885720.7207207195</v>
      </c>
      <c r="T355">
        <v>9334180.1801801808</v>
      </c>
      <c r="U355">
        <v>212612.61261261301</v>
      </c>
      <c r="V355">
        <v>194864.864864865</v>
      </c>
      <c r="W355">
        <v>1334</v>
      </c>
      <c r="X355">
        <v>1425</v>
      </c>
    </row>
    <row r="356" spans="1:24">
      <c r="A356" s="7" t="s">
        <v>455</v>
      </c>
      <c r="B356" s="16" t="s">
        <v>94</v>
      </c>
      <c r="C356">
        <v>58893057.447351754</v>
      </c>
      <c r="D356">
        <v>72417652.500199854</v>
      </c>
      <c r="E356">
        <v>217117.117117118</v>
      </c>
      <c r="F356">
        <v>621621.62162162201</v>
      </c>
      <c r="G356">
        <v>21</v>
      </c>
      <c r="H356">
        <v>21</v>
      </c>
      <c r="I356">
        <v>4</v>
      </c>
      <c r="J356">
        <v>5</v>
      </c>
      <c r="M356">
        <v>24</v>
      </c>
      <c r="N356">
        <v>24</v>
      </c>
      <c r="O356">
        <v>10889189.189189188</v>
      </c>
      <c r="P356">
        <v>29984234.234234236</v>
      </c>
      <c r="Q356">
        <v>102</v>
      </c>
      <c r="R356">
        <v>213</v>
      </c>
      <c r="S356">
        <v>12311081.081081081</v>
      </c>
      <c r="T356">
        <v>16779472.97297297</v>
      </c>
      <c r="U356">
        <v>10846396.396396397</v>
      </c>
      <c r="V356">
        <v>28546306.306306306</v>
      </c>
      <c r="W356">
        <v>2042</v>
      </c>
      <c r="X356">
        <v>2037</v>
      </c>
    </row>
    <row r="357" spans="1:24">
      <c r="A357" s="7" t="s">
        <v>456</v>
      </c>
      <c r="B357" s="16" t="s">
        <v>60</v>
      </c>
      <c r="C357">
        <v>14502935.158778155</v>
      </c>
      <c r="D357">
        <v>10474300.277203731</v>
      </c>
      <c r="E357">
        <v>304504.50450450502</v>
      </c>
      <c r="F357">
        <v>190990.99099099101</v>
      </c>
      <c r="G357">
        <v>14</v>
      </c>
      <c r="H357">
        <v>5</v>
      </c>
      <c r="I357">
        <v>2</v>
      </c>
      <c r="J357">
        <v>1</v>
      </c>
      <c r="M357">
        <v>14</v>
      </c>
      <c r="N357">
        <v>6</v>
      </c>
      <c r="O357">
        <v>2556756.756756756</v>
      </c>
      <c r="P357">
        <v>1227027.0270270279</v>
      </c>
      <c r="R357">
        <v>15</v>
      </c>
      <c r="S357">
        <v>8696576.5765765756</v>
      </c>
      <c r="T357">
        <v>4717108.1081081079</v>
      </c>
      <c r="U357">
        <v>1937927.927927928</v>
      </c>
      <c r="V357">
        <v>753063.06306306296</v>
      </c>
      <c r="W357">
        <v>645</v>
      </c>
      <c r="X357">
        <v>643</v>
      </c>
    </row>
    <row r="358" spans="1:24">
      <c r="A358" s="7" t="s">
        <v>457</v>
      </c>
      <c r="B358" s="16" t="s">
        <v>214</v>
      </c>
      <c r="C358">
        <v>178839009.63311821</v>
      </c>
      <c r="D358">
        <v>197319323.21899694</v>
      </c>
      <c r="F358">
        <v>473873.87387387402</v>
      </c>
      <c r="G358">
        <v>38</v>
      </c>
      <c r="H358">
        <v>30</v>
      </c>
      <c r="J358">
        <v>1</v>
      </c>
      <c r="M358">
        <v>40</v>
      </c>
      <c r="N358">
        <v>45</v>
      </c>
      <c r="O358">
        <v>450450.45045045001</v>
      </c>
      <c r="P358">
        <v>1014414.414414414</v>
      </c>
      <c r="R358">
        <v>7</v>
      </c>
      <c r="S358">
        <v>93162882.882882878</v>
      </c>
      <c r="T358">
        <v>101045594.5945946</v>
      </c>
      <c r="U358">
        <v>432432.43243243202</v>
      </c>
      <c r="V358">
        <v>1759909.9099099101</v>
      </c>
      <c r="W358">
        <v>2911</v>
      </c>
      <c r="X358">
        <v>3068</v>
      </c>
    </row>
    <row r="359" spans="1:24">
      <c r="A359" s="7" t="s">
        <v>458</v>
      </c>
      <c r="B359" s="16" t="s">
        <v>459</v>
      </c>
      <c r="C359">
        <v>809920848.55100727</v>
      </c>
      <c r="D359">
        <v>772001870.69191098</v>
      </c>
      <c r="E359">
        <v>221743963.96396396</v>
      </c>
      <c r="F359">
        <v>495876981.98198199</v>
      </c>
      <c r="G359">
        <v>398</v>
      </c>
      <c r="H359">
        <v>438</v>
      </c>
      <c r="I359">
        <v>37</v>
      </c>
      <c r="J359">
        <v>54</v>
      </c>
      <c r="K359">
        <v>2</v>
      </c>
      <c r="M359">
        <v>478</v>
      </c>
      <c r="N359">
        <v>690</v>
      </c>
      <c r="O359">
        <v>99581621.621621609</v>
      </c>
      <c r="P359">
        <v>278346486.48648649</v>
      </c>
      <c r="Q359">
        <v>911</v>
      </c>
      <c r="R359">
        <v>1032</v>
      </c>
      <c r="S359">
        <v>264763387.38738739</v>
      </c>
      <c r="T359">
        <v>274769822.07207209</v>
      </c>
      <c r="U359">
        <v>87404504.504504517</v>
      </c>
      <c r="V359">
        <v>212748378.37837836</v>
      </c>
      <c r="W359">
        <v>24507</v>
      </c>
      <c r="X359">
        <v>24540</v>
      </c>
    </row>
    <row r="360" spans="1:24">
      <c r="A360" s="7" t="s">
        <v>460</v>
      </c>
      <c r="B360" s="16" t="s">
        <v>459</v>
      </c>
      <c r="C360">
        <v>3070255341.1814179</v>
      </c>
      <c r="D360">
        <v>2508367479.8876581</v>
      </c>
      <c r="E360">
        <v>7558738.7387387436</v>
      </c>
      <c r="F360">
        <v>18494594.594594605</v>
      </c>
      <c r="G360">
        <v>722</v>
      </c>
      <c r="H360">
        <v>538</v>
      </c>
      <c r="I360">
        <v>24</v>
      </c>
      <c r="J360">
        <v>37</v>
      </c>
      <c r="K360">
        <v>3</v>
      </c>
      <c r="M360">
        <v>878</v>
      </c>
      <c r="N360">
        <v>877</v>
      </c>
      <c r="O360">
        <v>102852522.52252251</v>
      </c>
      <c r="P360">
        <v>135295990.99099097</v>
      </c>
      <c r="Q360">
        <v>601</v>
      </c>
      <c r="R360">
        <v>873</v>
      </c>
      <c r="S360">
        <v>2080797052.2522521</v>
      </c>
      <c r="T360">
        <v>1572393698.6486487</v>
      </c>
      <c r="U360">
        <v>96934549.549549535</v>
      </c>
      <c r="V360">
        <v>128240585.58558558</v>
      </c>
      <c r="W360">
        <v>33392</v>
      </c>
      <c r="X360">
        <v>31361</v>
      </c>
    </row>
    <row r="361" spans="1:24">
      <c r="A361" s="7" t="s">
        <v>461</v>
      </c>
      <c r="B361" s="16" t="s">
        <v>459</v>
      </c>
      <c r="C361">
        <v>1197605139.2089672</v>
      </c>
      <c r="D361">
        <v>1215364169.5292246</v>
      </c>
      <c r="E361">
        <v>22778170.270270273</v>
      </c>
      <c r="F361">
        <v>28718406.306306317</v>
      </c>
      <c r="G361">
        <v>600</v>
      </c>
      <c r="H361">
        <v>457</v>
      </c>
      <c r="I361">
        <v>24</v>
      </c>
      <c r="J361">
        <v>24</v>
      </c>
      <c r="K361">
        <v>8</v>
      </c>
      <c r="M361">
        <v>744</v>
      </c>
      <c r="N361">
        <v>741</v>
      </c>
      <c r="O361">
        <v>1033261758.5585586</v>
      </c>
      <c r="P361">
        <v>1532770983.7837837</v>
      </c>
      <c r="Q361">
        <v>673</v>
      </c>
      <c r="R361">
        <v>1715</v>
      </c>
      <c r="S361">
        <v>318472256.75675672</v>
      </c>
      <c r="T361">
        <v>336286671.17117119</v>
      </c>
      <c r="U361">
        <v>977861351.35135126</v>
      </c>
      <c r="V361">
        <v>1509655630.6306307</v>
      </c>
      <c r="W361">
        <v>27462</v>
      </c>
      <c r="X361">
        <v>23640</v>
      </c>
    </row>
    <row r="362" spans="1:24">
      <c r="A362" s="7" t="s">
        <v>462</v>
      </c>
      <c r="B362" s="16" t="s">
        <v>459</v>
      </c>
      <c r="C362">
        <v>919886453.98214972</v>
      </c>
      <c r="D362">
        <v>888220513.33973658</v>
      </c>
      <c r="E362">
        <v>583693.69369369803</v>
      </c>
      <c r="F362">
        <v>6018468.4684684826</v>
      </c>
      <c r="G362">
        <v>316</v>
      </c>
      <c r="H362">
        <v>326</v>
      </c>
      <c r="I362">
        <v>24</v>
      </c>
      <c r="J362">
        <v>23</v>
      </c>
      <c r="K362">
        <v>1</v>
      </c>
      <c r="M362">
        <v>388</v>
      </c>
      <c r="N362">
        <v>426</v>
      </c>
      <c r="O362">
        <v>60303243.243243247</v>
      </c>
      <c r="P362">
        <v>140763423.42342341</v>
      </c>
      <c r="Q362">
        <v>486</v>
      </c>
      <c r="R362">
        <v>579</v>
      </c>
      <c r="S362">
        <v>205793032.43243241</v>
      </c>
      <c r="T362">
        <v>201021585.58558559</v>
      </c>
      <c r="U362">
        <v>58122432.432432435</v>
      </c>
      <c r="V362">
        <v>94042702.702702701</v>
      </c>
      <c r="W362">
        <v>20133</v>
      </c>
      <c r="X362">
        <v>19602</v>
      </c>
    </row>
    <row r="363" spans="1:24">
      <c r="A363" s="7" t="s">
        <v>463</v>
      </c>
      <c r="B363" s="16" t="s">
        <v>459</v>
      </c>
      <c r="C363">
        <v>854161315.21003914</v>
      </c>
      <c r="D363">
        <v>850373513.0496974</v>
      </c>
      <c r="E363">
        <v>1978378.3783783829</v>
      </c>
      <c r="F363">
        <v>15918243.243243253</v>
      </c>
      <c r="G363">
        <v>540</v>
      </c>
      <c r="H363">
        <v>971</v>
      </c>
      <c r="I363">
        <v>34</v>
      </c>
      <c r="J363">
        <v>38</v>
      </c>
      <c r="M363">
        <v>609</v>
      </c>
      <c r="N363">
        <v>1389</v>
      </c>
      <c r="O363">
        <v>64915765.765765756</v>
      </c>
      <c r="P363">
        <v>182310270.27027026</v>
      </c>
      <c r="Q363">
        <v>508</v>
      </c>
      <c r="R363">
        <v>1013</v>
      </c>
      <c r="S363">
        <v>323713918.91891891</v>
      </c>
      <c r="T363">
        <v>346360511.26126122</v>
      </c>
      <c r="U363">
        <v>61591531.531531528</v>
      </c>
      <c r="V363">
        <v>167381081.08108109</v>
      </c>
      <c r="W363">
        <v>26283</v>
      </c>
      <c r="X363">
        <v>26502</v>
      </c>
    </row>
    <row r="364" spans="1:24">
      <c r="A364" s="7" t="s">
        <v>464</v>
      </c>
      <c r="B364" s="16" t="s">
        <v>459</v>
      </c>
      <c r="C364">
        <v>956105652.4360317</v>
      </c>
      <c r="D364">
        <v>989461564.97992933</v>
      </c>
      <c r="E364">
        <v>1564360105.4054055</v>
      </c>
      <c r="F364">
        <v>1972265445.0450449</v>
      </c>
      <c r="G364">
        <v>507</v>
      </c>
      <c r="H364">
        <v>370</v>
      </c>
      <c r="I364">
        <v>50</v>
      </c>
      <c r="J364">
        <v>51</v>
      </c>
      <c r="M364">
        <v>590</v>
      </c>
      <c r="N364">
        <v>480</v>
      </c>
      <c r="O364">
        <v>141832162.16216215</v>
      </c>
      <c r="P364">
        <v>142126557.65765765</v>
      </c>
      <c r="Q364">
        <v>1475</v>
      </c>
      <c r="R364">
        <v>1180</v>
      </c>
      <c r="S364">
        <v>425741863.06306303</v>
      </c>
      <c r="T364">
        <v>424986581.53153151</v>
      </c>
      <c r="U364">
        <v>132112972.97297297</v>
      </c>
      <c r="V364">
        <v>140179639.63963965</v>
      </c>
      <c r="W364">
        <v>27710</v>
      </c>
      <c r="X364">
        <v>28377</v>
      </c>
    </row>
    <row r="365" spans="1:24">
      <c r="A365" s="7" t="s">
        <v>465</v>
      </c>
      <c r="B365" s="16" t="s">
        <v>54</v>
      </c>
      <c r="C365">
        <v>68694512.102124169</v>
      </c>
      <c r="D365">
        <v>65408692.990024991</v>
      </c>
      <c r="E365">
        <v>220945.94594594699</v>
      </c>
      <c r="F365">
        <v>887387.38738738699</v>
      </c>
      <c r="G365">
        <v>45</v>
      </c>
      <c r="H365">
        <v>17</v>
      </c>
      <c r="I365">
        <v>3</v>
      </c>
      <c r="J365">
        <v>4</v>
      </c>
      <c r="M365">
        <v>45</v>
      </c>
      <c r="N365">
        <v>29</v>
      </c>
      <c r="O365">
        <v>6234234.2342342343</v>
      </c>
      <c r="P365">
        <v>7368288.2882882887</v>
      </c>
      <c r="Q365">
        <v>55</v>
      </c>
      <c r="R365">
        <v>57</v>
      </c>
      <c r="S365">
        <v>14090945.945945946</v>
      </c>
      <c r="T365">
        <v>13705936.936936935</v>
      </c>
      <c r="U365">
        <v>6231441.4414414419</v>
      </c>
      <c r="V365">
        <v>6726666.666666666</v>
      </c>
      <c r="W365">
        <v>1238</v>
      </c>
      <c r="X365">
        <v>1307</v>
      </c>
    </row>
    <row r="366" spans="1:24">
      <c r="A366" s="7" t="s">
        <v>466</v>
      </c>
      <c r="B366" s="16" t="s">
        <v>87</v>
      </c>
      <c r="C366">
        <v>2717137.7916437732</v>
      </c>
      <c r="D366">
        <v>2417776.2513009808</v>
      </c>
      <c r="S366">
        <v>410360.36036036001</v>
      </c>
      <c r="T366">
        <v>389864.86486486503</v>
      </c>
      <c r="W366">
        <v>85</v>
      </c>
      <c r="X366">
        <v>94</v>
      </c>
    </row>
    <row r="367" spans="1:24">
      <c r="A367" s="7" t="s">
        <v>467</v>
      </c>
      <c r="B367" s="16" t="s">
        <v>143</v>
      </c>
      <c r="C367">
        <v>311467940.49274904</v>
      </c>
      <c r="D367">
        <v>306522545.01311475</v>
      </c>
      <c r="E367">
        <v>71171.171171170994</v>
      </c>
      <c r="F367">
        <v>289189.18918918999</v>
      </c>
      <c r="G367">
        <v>81</v>
      </c>
      <c r="H367">
        <v>57</v>
      </c>
      <c r="I367">
        <v>2</v>
      </c>
      <c r="J367">
        <v>3</v>
      </c>
      <c r="M367">
        <v>93</v>
      </c>
      <c r="N367">
        <v>83</v>
      </c>
      <c r="O367">
        <v>15625225.225225223</v>
      </c>
      <c r="P367">
        <v>17667567.567567568</v>
      </c>
      <c r="Q367">
        <v>48</v>
      </c>
      <c r="R367">
        <v>37</v>
      </c>
      <c r="S367">
        <v>47837529.729729727</v>
      </c>
      <c r="T367">
        <v>48420762.162162162</v>
      </c>
      <c r="U367">
        <v>16256846.846846849</v>
      </c>
      <c r="V367">
        <v>14181621.62162162</v>
      </c>
      <c r="W367">
        <v>4956</v>
      </c>
      <c r="X367">
        <v>5027</v>
      </c>
    </row>
    <row r="368" spans="1:24">
      <c r="A368" s="7" t="s">
        <v>468</v>
      </c>
      <c r="B368" s="16" t="s">
        <v>80</v>
      </c>
      <c r="C368">
        <v>273984111.14121646</v>
      </c>
      <c r="D368">
        <v>263079349.43257645</v>
      </c>
      <c r="E368">
        <v>242117.117117118</v>
      </c>
      <c r="F368">
        <v>85135.135135138</v>
      </c>
      <c r="G368">
        <v>49</v>
      </c>
      <c r="H368">
        <v>41</v>
      </c>
      <c r="I368">
        <v>4</v>
      </c>
      <c r="J368">
        <v>0</v>
      </c>
      <c r="M368">
        <v>57</v>
      </c>
      <c r="N368">
        <v>45</v>
      </c>
      <c r="O368">
        <v>10020990.990990991</v>
      </c>
      <c r="P368">
        <v>7635585.5855855858</v>
      </c>
      <c r="Q368">
        <v>35</v>
      </c>
      <c r="R368">
        <v>33</v>
      </c>
      <c r="S368">
        <v>104642718.91891891</v>
      </c>
      <c r="T368">
        <v>99638963.963963971</v>
      </c>
      <c r="U368">
        <v>8793063.0630630627</v>
      </c>
      <c r="V368">
        <v>6015855.8558558561</v>
      </c>
      <c r="W368">
        <v>5105</v>
      </c>
      <c r="X368">
        <v>5141</v>
      </c>
    </row>
    <row r="369" spans="1:24">
      <c r="A369" s="7" t="s">
        <v>469</v>
      </c>
      <c r="B369" s="16" t="s">
        <v>470</v>
      </c>
      <c r="C369">
        <v>309074871.40080458</v>
      </c>
      <c r="D369">
        <v>317301814.75257134</v>
      </c>
      <c r="E369">
        <v>1329459.4594594589</v>
      </c>
      <c r="F369">
        <v>2641441.4414414428</v>
      </c>
      <c r="G369">
        <v>57</v>
      </c>
      <c r="H369">
        <v>35</v>
      </c>
      <c r="I369">
        <v>2</v>
      </c>
      <c r="J369">
        <v>2</v>
      </c>
      <c r="M369">
        <v>64</v>
      </c>
      <c r="N369">
        <v>39</v>
      </c>
      <c r="O369">
        <v>11344144.144144142</v>
      </c>
      <c r="P369">
        <v>28100450.450450446</v>
      </c>
      <c r="Q369">
        <v>30</v>
      </c>
      <c r="R369">
        <v>46</v>
      </c>
      <c r="S369">
        <v>94413612.612612605</v>
      </c>
      <c r="T369">
        <v>100011061.26126127</v>
      </c>
      <c r="U369">
        <v>12240450.450450452</v>
      </c>
      <c r="V369">
        <v>27313736.936936937</v>
      </c>
      <c r="W369">
        <v>5145</v>
      </c>
      <c r="X369">
        <v>5484</v>
      </c>
    </row>
    <row r="370" spans="1:24">
      <c r="A370" s="7" t="s">
        <v>471</v>
      </c>
      <c r="B370" s="16" t="s">
        <v>470</v>
      </c>
      <c r="C370">
        <v>28874080.351890288</v>
      </c>
      <c r="D370">
        <v>26545622.782958038</v>
      </c>
      <c r="E370">
        <v>32436261.261261258</v>
      </c>
      <c r="F370">
        <v>107076576.57657658</v>
      </c>
      <c r="H370">
        <v>3</v>
      </c>
      <c r="I370">
        <v>0</v>
      </c>
      <c r="J370">
        <v>1</v>
      </c>
      <c r="N370">
        <v>4</v>
      </c>
      <c r="O370">
        <v>11863783.783783784</v>
      </c>
      <c r="P370">
        <v>6038738.7387387389</v>
      </c>
      <c r="Q370">
        <v>6</v>
      </c>
      <c r="R370">
        <v>2</v>
      </c>
      <c r="S370">
        <v>2355810.8108108109</v>
      </c>
      <c r="T370">
        <v>2334549.5495495498</v>
      </c>
      <c r="U370">
        <v>178648.64864864899</v>
      </c>
      <c r="V370">
        <v>3069909.9099099091</v>
      </c>
      <c r="W370">
        <v>595</v>
      </c>
      <c r="X370">
        <v>624</v>
      </c>
    </row>
    <row r="371" spans="1:24">
      <c r="A371" s="7" t="s">
        <v>472</v>
      </c>
      <c r="B371" s="16" t="s">
        <v>470</v>
      </c>
      <c r="C371">
        <v>3685700.851364465</v>
      </c>
      <c r="D371">
        <v>3195034.5485532749</v>
      </c>
      <c r="E371">
        <v>1801.801801802</v>
      </c>
      <c r="F371">
        <v>375675.67567567597</v>
      </c>
      <c r="J371">
        <v>1</v>
      </c>
      <c r="N371">
        <v>1</v>
      </c>
      <c r="O371">
        <v>96936.936936936996</v>
      </c>
      <c r="P371">
        <v>2925225.225225226</v>
      </c>
      <c r="Q371">
        <v>6</v>
      </c>
      <c r="S371">
        <v>616216.21621621598</v>
      </c>
      <c r="T371">
        <v>759369.369369369</v>
      </c>
      <c r="U371">
        <v>232072.072072073</v>
      </c>
      <c r="V371">
        <v>2703603.6036036038</v>
      </c>
      <c r="W371">
        <v>408</v>
      </c>
      <c r="X371">
        <v>401</v>
      </c>
    </row>
    <row r="372" spans="1:24">
      <c r="A372" s="7" t="s">
        <v>473</v>
      </c>
      <c r="B372" s="16" t="s">
        <v>470</v>
      </c>
      <c r="C372">
        <v>105917806.89645062</v>
      </c>
      <c r="D372">
        <v>111931551.53198686</v>
      </c>
      <c r="E372">
        <v>554054.05405405397</v>
      </c>
      <c r="F372">
        <v>916216.21621621703</v>
      </c>
      <c r="G372">
        <v>18</v>
      </c>
      <c r="H372">
        <v>14</v>
      </c>
      <c r="I372">
        <v>2</v>
      </c>
      <c r="J372">
        <v>2</v>
      </c>
      <c r="M372">
        <v>20</v>
      </c>
      <c r="N372">
        <v>15</v>
      </c>
      <c r="O372">
        <v>979369.369369369</v>
      </c>
      <c r="P372">
        <v>26395945.945945945</v>
      </c>
      <c r="Q372">
        <v>6</v>
      </c>
      <c r="R372">
        <v>4</v>
      </c>
      <c r="S372">
        <v>14951881.081081079</v>
      </c>
      <c r="T372">
        <v>15394270.270270271</v>
      </c>
      <c r="U372">
        <v>8470360.3603603616</v>
      </c>
      <c r="V372">
        <v>32010810.810810808</v>
      </c>
      <c r="W372">
        <v>2401</v>
      </c>
      <c r="X372">
        <v>2276</v>
      </c>
    </row>
    <row r="373" spans="1:24">
      <c r="A373" s="7" t="s">
        <v>474</v>
      </c>
      <c r="B373" s="16" t="s">
        <v>470</v>
      </c>
      <c r="C373">
        <v>152040387.81561348</v>
      </c>
      <c r="D373">
        <v>156878782.08271784</v>
      </c>
      <c r="E373">
        <v>488828.82882882899</v>
      </c>
      <c r="F373">
        <v>1105405.4054054071</v>
      </c>
      <c r="G373">
        <v>25</v>
      </c>
      <c r="H373">
        <v>30</v>
      </c>
      <c r="I373">
        <v>2</v>
      </c>
      <c r="J373">
        <v>3</v>
      </c>
      <c r="M373">
        <v>28</v>
      </c>
      <c r="N373">
        <v>35</v>
      </c>
      <c r="O373">
        <v>6300630.6306306319</v>
      </c>
      <c r="P373">
        <v>12246936.936936935</v>
      </c>
      <c r="Q373">
        <v>37</v>
      </c>
      <c r="R373">
        <v>19</v>
      </c>
      <c r="S373">
        <v>35183648.648648649</v>
      </c>
      <c r="T373">
        <v>33672396.396396399</v>
      </c>
      <c r="U373">
        <v>5429369.3693693718</v>
      </c>
      <c r="V373">
        <v>12648558.558558561</v>
      </c>
      <c r="W373">
        <v>2265</v>
      </c>
      <c r="X373">
        <v>2381</v>
      </c>
    </row>
    <row r="374" spans="1:24">
      <c r="A374" s="7" t="s">
        <v>475</v>
      </c>
      <c r="B374" s="16" t="s">
        <v>470</v>
      </c>
      <c r="C374">
        <v>58902480.432583533</v>
      </c>
      <c r="D374">
        <v>58146233.360534765</v>
      </c>
      <c r="E374">
        <v>101753181.08108109</v>
      </c>
      <c r="F374">
        <v>185061283.78378376</v>
      </c>
      <c r="G374">
        <v>11</v>
      </c>
      <c r="H374">
        <v>6</v>
      </c>
      <c r="I374">
        <v>2</v>
      </c>
      <c r="J374">
        <v>6</v>
      </c>
      <c r="M374">
        <v>12</v>
      </c>
      <c r="N374">
        <v>6</v>
      </c>
      <c r="O374">
        <v>20712406.306306306</v>
      </c>
      <c r="P374">
        <v>31715010.810810808</v>
      </c>
      <c r="Q374">
        <v>10</v>
      </c>
      <c r="S374">
        <v>12791981.981981982</v>
      </c>
      <c r="T374">
        <v>12186772.972972972</v>
      </c>
      <c r="U374">
        <v>4849639.6396396412</v>
      </c>
      <c r="V374">
        <v>6886036.036036036</v>
      </c>
      <c r="W374">
        <v>1432</v>
      </c>
      <c r="X374">
        <v>1393</v>
      </c>
    </row>
    <row r="375" spans="1:24">
      <c r="A375" s="7" t="s">
        <v>476</v>
      </c>
      <c r="B375" s="16" t="s">
        <v>470</v>
      </c>
      <c r="C375">
        <v>586195631.69799578</v>
      </c>
      <c r="D375">
        <v>596222359.69707143</v>
      </c>
      <c r="E375">
        <v>2926261.261261269</v>
      </c>
      <c r="F375">
        <v>11931531.531531539</v>
      </c>
      <c r="G375">
        <v>205</v>
      </c>
      <c r="H375">
        <v>224</v>
      </c>
      <c r="I375">
        <v>39</v>
      </c>
      <c r="J375">
        <v>62</v>
      </c>
      <c r="M375">
        <v>295</v>
      </c>
      <c r="N375">
        <v>499</v>
      </c>
      <c r="O375">
        <v>110862710.81081082</v>
      </c>
      <c r="P375">
        <v>200649369.36936939</v>
      </c>
      <c r="Q375">
        <v>285</v>
      </c>
      <c r="R375">
        <v>399</v>
      </c>
      <c r="S375">
        <v>147008497.29729727</v>
      </c>
      <c r="T375">
        <v>157677682.88288289</v>
      </c>
      <c r="U375">
        <v>107245495.4954955</v>
      </c>
      <c r="V375">
        <v>197989729.72972974</v>
      </c>
      <c r="W375">
        <v>15990</v>
      </c>
      <c r="X375">
        <v>16328</v>
      </c>
    </row>
    <row r="376" spans="1:24">
      <c r="A376" s="7" t="s">
        <v>477</v>
      </c>
      <c r="B376" s="16" t="s">
        <v>260</v>
      </c>
      <c r="C376">
        <v>742350054.30024111</v>
      </c>
      <c r="D376">
        <v>702889159.42422938</v>
      </c>
      <c r="E376">
        <v>1107297.297297298</v>
      </c>
      <c r="F376">
        <v>2749324.3243243229</v>
      </c>
      <c r="G376">
        <v>156</v>
      </c>
      <c r="H376">
        <v>155</v>
      </c>
      <c r="I376">
        <v>1</v>
      </c>
      <c r="J376">
        <v>7</v>
      </c>
      <c r="M376">
        <v>164</v>
      </c>
      <c r="N376">
        <v>187</v>
      </c>
      <c r="O376">
        <v>98210900.9009009</v>
      </c>
      <c r="P376">
        <v>92804504.504504517</v>
      </c>
      <c r="Q376">
        <v>128</v>
      </c>
      <c r="R376">
        <v>85</v>
      </c>
      <c r="S376">
        <v>192809486.48648649</v>
      </c>
      <c r="T376">
        <v>188988581.08108109</v>
      </c>
      <c r="U376">
        <v>100142162.16216215</v>
      </c>
      <c r="V376">
        <v>88370540.540540546</v>
      </c>
      <c r="W376">
        <v>11663</v>
      </c>
      <c r="X376">
        <v>10973</v>
      </c>
    </row>
    <row r="377" spans="1:24">
      <c r="A377" s="7" t="s">
        <v>478</v>
      </c>
      <c r="B377" s="16" t="s">
        <v>479</v>
      </c>
      <c r="C377">
        <v>58572920.317533307</v>
      </c>
      <c r="D377">
        <v>51982421.001028143</v>
      </c>
      <c r="E377">
        <v>534234.23423423397</v>
      </c>
      <c r="F377">
        <v>816216.21621621703</v>
      </c>
      <c r="G377">
        <v>22</v>
      </c>
      <c r="H377">
        <v>14</v>
      </c>
      <c r="I377">
        <v>1</v>
      </c>
      <c r="J377">
        <v>3</v>
      </c>
      <c r="M377">
        <v>24</v>
      </c>
      <c r="N377">
        <v>15</v>
      </c>
      <c r="O377">
        <v>26830630.630630631</v>
      </c>
      <c r="P377">
        <v>17840540.540540542</v>
      </c>
      <c r="R377">
        <v>10</v>
      </c>
      <c r="S377">
        <v>13580945.945945946</v>
      </c>
      <c r="T377">
        <v>12406576.576576576</v>
      </c>
      <c r="U377">
        <v>27016666.666666668</v>
      </c>
      <c r="V377">
        <v>17698018.018018018</v>
      </c>
      <c r="W377">
        <v>939</v>
      </c>
      <c r="X377">
        <v>868</v>
      </c>
    </row>
    <row r="378" spans="1:24">
      <c r="A378" s="7" t="s">
        <v>480</v>
      </c>
      <c r="B378" s="16" t="s">
        <v>123</v>
      </c>
      <c r="C378">
        <v>388932839.24930161</v>
      </c>
      <c r="D378">
        <v>380269079.27524292</v>
      </c>
      <c r="E378">
        <v>2469819.8198198201</v>
      </c>
      <c r="F378">
        <v>2625225.225225227</v>
      </c>
      <c r="G378">
        <v>81</v>
      </c>
      <c r="H378">
        <v>79</v>
      </c>
      <c r="I378">
        <v>6</v>
      </c>
      <c r="J378">
        <v>6</v>
      </c>
      <c r="M378">
        <v>90</v>
      </c>
      <c r="N378">
        <v>85</v>
      </c>
      <c r="O378">
        <v>31063873.873873871</v>
      </c>
      <c r="P378">
        <v>26563063.063063063</v>
      </c>
      <c r="Q378">
        <v>59</v>
      </c>
      <c r="R378">
        <v>39</v>
      </c>
      <c r="S378">
        <v>146227243.24324322</v>
      </c>
      <c r="T378">
        <v>143312680.18018016</v>
      </c>
      <c r="U378">
        <v>28902522.52252252</v>
      </c>
      <c r="V378">
        <v>25088468.468468465</v>
      </c>
      <c r="W378">
        <v>5603</v>
      </c>
      <c r="X378">
        <v>5585</v>
      </c>
    </row>
    <row r="379" spans="1:24">
      <c r="A379" s="7" t="s">
        <v>481</v>
      </c>
      <c r="B379" s="16" t="s">
        <v>470</v>
      </c>
      <c r="C379">
        <v>31595758.120720897</v>
      </c>
      <c r="D379">
        <v>30032751.038716137</v>
      </c>
      <c r="E379">
        <v>27477.477477478002</v>
      </c>
      <c r="F379">
        <v>95495.495495495998</v>
      </c>
      <c r="G379">
        <v>7</v>
      </c>
      <c r="H379">
        <v>3</v>
      </c>
      <c r="I379">
        <v>3</v>
      </c>
      <c r="J379">
        <v>2</v>
      </c>
      <c r="M379">
        <v>7</v>
      </c>
      <c r="N379">
        <v>4</v>
      </c>
      <c r="O379">
        <v>486036.03603603703</v>
      </c>
      <c r="P379">
        <v>1897297.297297297</v>
      </c>
      <c r="Q379">
        <v>5</v>
      </c>
      <c r="S379">
        <v>4354090.0900900904</v>
      </c>
      <c r="T379">
        <v>3987603.6036036038</v>
      </c>
      <c r="U379">
        <v>1024054.054054054</v>
      </c>
      <c r="V379">
        <v>1041351.351351351</v>
      </c>
      <c r="W379">
        <v>605</v>
      </c>
      <c r="X379">
        <v>556</v>
      </c>
    </row>
    <row r="380" spans="1:24">
      <c r="A380" s="7" t="s">
        <v>482</v>
      </c>
      <c r="B380" s="16" t="s">
        <v>167</v>
      </c>
      <c r="C380">
        <v>327597964.32806355</v>
      </c>
      <c r="D380">
        <v>313057800.47487682</v>
      </c>
      <c r="E380">
        <v>392792.792792794</v>
      </c>
      <c r="F380">
        <v>2872972.972972976</v>
      </c>
      <c r="G380">
        <v>215</v>
      </c>
      <c r="H380">
        <v>239</v>
      </c>
      <c r="I380">
        <v>18</v>
      </c>
      <c r="J380">
        <v>9</v>
      </c>
      <c r="M380">
        <v>253</v>
      </c>
      <c r="N380">
        <v>345</v>
      </c>
      <c r="O380">
        <v>23313668.468468469</v>
      </c>
      <c r="P380">
        <v>24550487.387387387</v>
      </c>
      <c r="Q380">
        <v>44</v>
      </c>
      <c r="R380">
        <v>62</v>
      </c>
      <c r="S380">
        <v>127345041.44144145</v>
      </c>
      <c r="T380">
        <v>129797243.24324325</v>
      </c>
      <c r="U380">
        <v>22344684.684684679</v>
      </c>
      <c r="V380">
        <v>23834864.864864863</v>
      </c>
      <c r="W380">
        <v>9211</v>
      </c>
      <c r="X380">
        <v>9032</v>
      </c>
    </row>
    <row r="381" spans="1:24">
      <c r="A381" s="7" t="s">
        <v>483</v>
      </c>
      <c r="B381" s="16" t="s">
        <v>167</v>
      </c>
      <c r="C381">
        <v>323411322.62912834</v>
      </c>
      <c r="D381">
        <v>358528458.90402418</v>
      </c>
      <c r="E381">
        <v>531485015.31531531</v>
      </c>
      <c r="F381">
        <v>478484066.66666669</v>
      </c>
      <c r="G381">
        <v>400</v>
      </c>
      <c r="H381">
        <v>531</v>
      </c>
      <c r="I381">
        <v>13</v>
      </c>
      <c r="J381">
        <v>14</v>
      </c>
      <c r="M381">
        <v>508</v>
      </c>
      <c r="N381">
        <v>1367</v>
      </c>
      <c r="O381">
        <v>69354600</v>
      </c>
      <c r="P381">
        <v>56632658.558558561</v>
      </c>
      <c r="Q381">
        <v>418</v>
      </c>
      <c r="R381">
        <v>48</v>
      </c>
      <c r="S381">
        <v>125725854.05405405</v>
      </c>
      <c r="T381">
        <v>140286606.3063063</v>
      </c>
      <c r="U381">
        <v>61438962.162162162</v>
      </c>
      <c r="V381">
        <v>53152745.945945941</v>
      </c>
      <c r="W381">
        <v>9633</v>
      </c>
      <c r="X381">
        <v>9225</v>
      </c>
    </row>
    <row r="382" spans="1:24">
      <c r="A382" s="7" t="s">
        <v>484</v>
      </c>
      <c r="B382" s="16" t="s">
        <v>50</v>
      </c>
      <c r="C382">
        <v>221678617.98764172</v>
      </c>
      <c r="D382">
        <v>212113127.37388322</v>
      </c>
      <c r="E382">
        <v>329112094.5945946</v>
      </c>
      <c r="F382">
        <v>525503753.15315318</v>
      </c>
      <c r="G382">
        <v>61</v>
      </c>
      <c r="H382">
        <v>56</v>
      </c>
      <c r="I382">
        <v>19</v>
      </c>
      <c r="J382">
        <v>6</v>
      </c>
      <c r="M382">
        <v>62</v>
      </c>
      <c r="N382">
        <v>66</v>
      </c>
      <c r="O382">
        <v>134448067.56756756</v>
      </c>
      <c r="P382">
        <v>138975585.58558559</v>
      </c>
      <c r="Q382">
        <v>161</v>
      </c>
      <c r="R382">
        <v>58</v>
      </c>
      <c r="S382">
        <v>97454054.054054052</v>
      </c>
      <c r="T382">
        <v>93801178.378378391</v>
      </c>
      <c r="U382">
        <v>60996396.396396399</v>
      </c>
      <c r="V382">
        <v>41876936.936936937</v>
      </c>
      <c r="W382">
        <v>3804</v>
      </c>
      <c r="X382">
        <v>3594</v>
      </c>
    </row>
    <row r="383" spans="1:24">
      <c r="A383" s="7" t="s">
        <v>485</v>
      </c>
      <c r="B383" s="16" t="s">
        <v>134</v>
      </c>
      <c r="C383">
        <v>299021171.27457565</v>
      </c>
      <c r="D383">
        <v>283625184.26312178</v>
      </c>
      <c r="E383">
        <v>894594.59459459595</v>
      </c>
      <c r="F383">
        <v>2864189.1891891882</v>
      </c>
      <c r="G383">
        <v>73</v>
      </c>
      <c r="H383">
        <v>45</v>
      </c>
      <c r="I383">
        <v>10</v>
      </c>
      <c r="J383">
        <v>5</v>
      </c>
      <c r="M383">
        <v>81</v>
      </c>
      <c r="N383">
        <v>67</v>
      </c>
      <c r="O383">
        <v>63894594.59459459</v>
      </c>
      <c r="P383">
        <v>42280180.180180177</v>
      </c>
      <c r="Q383">
        <v>239</v>
      </c>
      <c r="R383">
        <v>120</v>
      </c>
      <c r="S383">
        <v>57649909.909909911</v>
      </c>
      <c r="T383">
        <v>54959917.117117122</v>
      </c>
      <c r="U383">
        <v>33916036.036036037</v>
      </c>
      <c r="V383">
        <v>30506846.846846845</v>
      </c>
      <c r="W383">
        <v>4649</v>
      </c>
      <c r="X383">
        <v>4631</v>
      </c>
    </row>
    <row r="384" spans="1:24">
      <c r="A384" s="7" t="s">
        <v>486</v>
      </c>
      <c r="B384" s="16" t="s">
        <v>76</v>
      </c>
      <c r="C384">
        <v>74012776.346372545</v>
      </c>
      <c r="D384">
        <v>61448011.235134996</v>
      </c>
      <c r="E384">
        <v>2234234.2342342362</v>
      </c>
      <c r="F384">
        <v>1355855.8558558561</v>
      </c>
      <c r="G384">
        <v>21</v>
      </c>
      <c r="H384">
        <v>18</v>
      </c>
      <c r="I384">
        <v>2</v>
      </c>
      <c r="J384">
        <v>2</v>
      </c>
      <c r="M384">
        <v>24</v>
      </c>
      <c r="N384">
        <v>18</v>
      </c>
      <c r="O384">
        <v>26846126.126126125</v>
      </c>
      <c r="P384">
        <v>13431621.621621622</v>
      </c>
      <c r="Q384">
        <v>17</v>
      </c>
      <c r="R384">
        <v>38</v>
      </c>
      <c r="S384">
        <v>27868031.531531531</v>
      </c>
      <c r="T384">
        <v>23820744.144144144</v>
      </c>
      <c r="U384">
        <v>25393513.513513513</v>
      </c>
      <c r="V384">
        <v>12582248.648648649</v>
      </c>
      <c r="W384">
        <v>1460</v>
      </c>
      <c r="X384">
        <v>1540</v>
      </c>
    </row>
    <row r="385" spans="1:24">
      <c r="A385" s="7" t="s">
        <v>487</v>
      </c>
      <c r="B385" s="16" t="s">
        <v>307</v>
      </c>
      <c r="C385">
        <v>468516966.99440634</v>
      </c>
      <c r="D385">
        <v>484987827.01168627</v>
      </c>
      <c r="E385">
        <v>1538738.7387387389</v>
      </c>
      <c r="F385">
        <v>6187387.3873873912</v>
      </c>
      <c r="G385">
        <v>210</v>
      </c>
      <c r="H385">
        <v>121</v>
      </c>
      <c r="I385">
        <v>4</v>
      </c>
      <c r="J385">
        <v>10</v>
      </c>
      <c r="M385">
        <v>225</v>
      </c>
      <c r="N385">
        <v>216</v>
      </c>
      <c r="O385">
        <v>74982207.207207203</v>
      </c>
      <c r="P385">
        <v>113761351.35135135</v>
      </c>
      <c r="Q385">
        <v>248</v>
      </c>
      <c r="R385">
        <v>360</v>
      </c>
      <c r="S385">
        <v>192887133.33333334</v>
      </c>
      <c r="T385">
        <v>205386909.90990993</v>
      </c>
      <c r="U385">
        <v>71670900.9009009</v>
      </c>
      <c r="V385">
        <v>109607837.83783785</v>
      </c>
      <c r="W385">
        <v>11492</v>
      </c>
      <c r="X385">
        <v>11523</v>
      </c>
    </row>
    <row r="386" spans="1:24">
      <c r="A386" s="7" t="s">
        <v>488</v>
      </c>
      <c r="B386" s="16" t="s">
        <v>315</v>
      </c>
      <c r="C386">
        <v>131462566.27629985</v>
      </c>
      <c r="D386">
        <v>111091196.8297769</v>
      </c>
      <c r="E386">
        <v>646846.84684684698</v>
      </c>
      <c r="F386">
        <v>1481981.9819819811</v>
      </c>
      <c r="G386">
        <v>19</v>
      </c>
      <c r="H386">
        <v>9</v>
      </c>
      <c r="I386">
        <v>6</v>
      </c>
      <c r="J386">
        <v>3</v>
      </c>
      <c r="M386">
        <v>19</v>
      </c>
      <c r="N386">
        <v>10</v>
      </c>
      <c r="O386">
        <v>107185765.76576576</v>
      </c>
      <c r="P386">
        <v>49134144.144144148</v>
      </c>
      <c r="Q386">
        <v>55</v>
      </c>
      <c r="S386">
        <v>55988630.630630635</v>
      </c>
      <c r="T386">
        <v>47893414.414414413</v>
      </c>
      <c r="U386">
        <v>104528018.01801802</v>
      </c>
      <c r="V386">
        <v>44881261.261261255</v>
      </c>
      <c r="W386">
        <v>1655</v>
      </c>
      <c r="X386">
        <v>1627</v>
      </c>
    </row>
    <row r="387" spans="1:24">
      <c r="A387" s="7" t="s">
        <v>489</v>
      </c>
      <c r="B387" s="16" t="s">
        <v>181</v>
      </c>
      <c r="C387">
        <v>272677534.55126929</v>
      </c>
      <c r="D387">
        <v>256704130.88783705</v>
      </c>
      <c r="E387">
        <v>79279.279279281996</v>
      </c>
      <c r="F387">
        <v>1391441.4414414431</v>
      </c>
      <c r="G387">
        <v>132</v>
      </c>
      <c r="H387">
        <v>137</v>
      </c>
      <c r="I387">
        <v>11</v>
      </c>
      <c r="J387">
        <v>9</v>
      </c>
      <c r="M387">
        <v>143</v>
      </c>
      <c r="N387">
        <v>180</v>
      </c>
      <c r="O387">
        <v>26678018.018018018</v>
      </c>
      <c r="P387">
        <v>25289729.729729727</v>
      </c>
      <c r="Q387">
        <v>155</v>
      </c>
      <c r="R387">
        <v>257</v>
      </c>
      <c r="S387">
        <v>72819711.711711705</v>
      </c>
      <c r="T387">
        <v>75381333.333333328</v>
      </c>
      <c r="U387">
        <v>24237387.387387387</v>
      </c>
      <c r="V387">
        <v>24602972.97297297</v>
      </c>
      <c r="W387">
        <v>6681</v>
      </c>
      <c r="X387">
        <v>6560</v>
      </c>
    </row>
    <row r="388" spans="1:24">
      <c r="A388" s="7" t="s">
        <v>490</v>
      </c>
      <c r="B388" s="16" t="s">
        <v>220</v>
      </c>
      <c r="C388">
        <v>157130424.54131484</v>
      </c>
      <c r="D388">
        <v>149930192.59493235</v>
      </c>
      <c r="E388">
        <v>9909.9099099100004</v>
      </c>
      <c r="F388">
        <v>102702.702702703</v>
      </c>
      <c r="G388">
        <v>52</v>
      </c>
      <c r="H388">
        <v>51</v>
      </c>
      <c r="I388">
        <v>1</v>
      </c>
      <c r="J388">
        <v>2</v>
      </c>
      <c r="M388">
        <v>63</v>
      </c>
      <c r="N388">
        <v>62</v>
      </c>
      <c r="O388">
        <v>5816396.3963963976</v>
      </c>
      <c r="P388">
        <v>2946306.3063063058</v>
      </c>
      <c r="Q388">
        <v>43</v>
      </c>
      <c r="S388">
        <v>39561045.045045048</v>
      </c>
      <c r="T388">
        <v>36977430.630630635</v>
      </c>
      <c r="U388">
        <v>4589099.0990990996</v>
      </c>
      <c r="V388">
        <v>1726756.7567567569</v>
      </c>
      <c r="W388">
        <v>3863</v>
      </c>
      <c r="X388">
        <v>4076</v>
      </c>
    </row>
    <row r="389" spans="1:24">
      <c r="A389" s="7" t="s">
        <v>491</v>
      </c>
      <c r="B389" s="16" t="s">
        <v>220</v>
      </c>
      <c r="C389">
        <v>39673954.401309848</v>
      </c>
      <c r="D389">
        <v>50319934.005893402</v>
      </c>
      <c r="E389">
        <v>584794412.61261261</v>
      </c>
      <c r="F389">
        <v>571312420.72072065</v>
      </c>
      <c r="G389">
        <v>35</v>
      </c>
      <c r="H389">
        <v>27</v>
      </c>
      <c r="I389">
        <v>6</v>
      </c>
      <c r="J389">
        <v>2</v>
      </c>
      <c r="M389">
        <v>41</v>
      </c>
      <c r="N389">
        <v>30</v>
      </c>
      <c r="O389">
        <v>97369504.504504517</v>
      </c>
      <c r="P389">
        <v>45367342.342342347</v>
      </c>
      <c r="Q389">
        <v>40</v>
      </c>
      <c r="R389">
        <v>16</v>
      </c>
      <c r="S389">
        <v>13341126.126126125</v>
      </c>
      <c r="T389">
        <v>14695981.981981982</v>
      </c>
      <c r="U389">
        <v>9339459.4594594575</v>
      </c>
      <c r="V389">
        <v>15420810.810810812</v>
      </c>
      <c r="W389">
        <v>1227</v>
      </c>
      <c r="X389">
        <v>1238</v>
      </c>
    </row>
    <row r="390" spans="1:24">
      <c r="A390" s="7" t="s">
        <v>492</v>
      </c>
      <c r="B390" s="16" t="s">
        <v>60</v>
      </c>
      <c r="C390">
        <v>187013995.43175265</v>
      </c>
      <c r="D390">
        <v>170897225.82868585</v>
      </c>
      <c r="E390">
        <v>1181081.0810810849</v>
      </c>
      <c r="F390">
        <v>2889189.1891891952</v>
      </c>
      <c r="G390">
        <v>43</v>
      </c>
      <c r="H390">
        <v>44</v>
      </c>
      <c r="I390">
        <v>10</v>
      </c>
      <c r="J390">
        <v>21</v>
      </c>
      <c r="M390">
        <v>47</v>
      </c>
      <c r="N390">
        <v>88</v>
      </c>
      <c r="O390">
        <v>44087387.387387395</v>
      </c>
      <c r="P390">
        <v>36100630.630630635</v>
      </c>
      <c r="Q390">
        <v>199</v>
      </c>
      <c r="R390">
        <v>83</v>
      </c>
      <c r="S390">
        <v>81827927.927927941</v>
      </c>
      <c r="T390">
        <v>76865810.810810819</v>
      </c>
      <c r="U390">
        <v>39649009.009009011</v>
      </c>
      <c r="V390">
        <v>32949189.189189188</v>
      </c>
      <c r="W390">
        <v>3647</v>
      </c>
      <c r="X390">
        <v>3733</v>
      </c>
    </row>
    <row r="391" spans="1:24">
      <c r="A391" s="7" t="s">
        <v>493</v>
      </c>
      <c r="B391" s="16" t="s">
        <v>448</v>
      </c>
      <c r="C391">
        <v>226378391.00718176</v>
      </c>
      <c r="D391">
        <v>206401107.69134891</v>
      </c>
      <c r="E391">
        <v>118018.01801801899</v>
      </c>
      <c r="F391">
        <v>738738.73873874103</v>
      </c>
      <c r="G391">
        <v>122</v>
      </c>
      <c r="H391">
        <v>128</v>
      </c>
      <c r="I391">
        <v>9</v>
      </c>
      <c r="J391">
        <v>2</v>
      </c>
      <c r="K391">
        <v>1</v>
      </c>
      <c r="M391">
        <v>128</v>
      </c>
      <c r="N391">
        <v>208</v>
      </c>
      <c r="O391">
        <v>57296171.171171166</v>
      </c>
      <c r="P391">
        <v>24718018.018018015</v>
      </c>
      <c r="Q391">
        <v>84</v>
      </c>
      <c r="R391">
        <v>20</v>
      </c>
      <c r="S391">
        <v>81235801.801801801</v>
      </c>
      <c r="T391">
        <v>74095486.48648648</v>
      </c>
      <c r="U391">
        <v>59787162.162162162</v>
      </c>
      <c r="V391">
        <v>23657567.567567568</v>
      </c>
      <c r="W391">
        <v>4889</v>
      </c>
      <c r="X391">
        <v>4997</v>
      </c>
    </row>
    <row r="392" spans="1:24">
      <c r="A392" s="7" t="s">
        <v>7</v>
      </c>
      <c r="B392" s="16" t="s">
        <v>193</v>
      </c>
      <c r="C392">
        <v>164814283.91888362</v>
      </c>
      <c r="D392">
        <v>174432989.30015138</v>
      </c>
      <c r="E392">
        <v>386624138.73873878</v>
      </c>
      <c r="F392">
        <v>401569750.45045042</v>
      </c>
      <c r="G392">
        <v>44</v>
      </c>
      <c r="H392">
        <v>49</v>
      </c>
      <c r="I392">
        <v>14</v>
      </c>
      <c r="J392">
        <v>3</v>
      </c>
      <c r="M392">
        <v>48</v>
      </c>
      <c r="N392">
        <v>65</v>
      </c>
      <c r="O392">
        <v>49127477.477477483</v>
      </c>
      <c r="P392">
        <v>39453378.378378376</v>
      </c>
      <c r="Q392">
        <v>252</v>
      </c>
      <c r="R392">
        <v>157</v>
      </c>
      <c r="S392">
        <v>113131963.96396397</v>
      </c>
      <c r="T392">
        <v>121581675.67567568</v>
      </c>
      <c r="U392">
        <v>45077567.567567565</v>
      </c>
      <c r="V392">
        <v>36136396.396396399</v>
      </c>
      <c r="W392">
        <v>5010</v>
      </c>
      <c r="X392">
        <v>4814</v>
      </c>
    </row>
    <row r="393" spans="1:24">
      <c r="A393" s="7" t="s">
        <v>494</v>
      </c>
      <c r="B393" s="16" t="s">
        <v>330</v>
      </c>
      <c r="C393">
        <v>204120868.77955291</v>
      </c>
      <c r="D393">
        <v>200604639.54325894</v>
      </c>
      <c r="E393">
        <v>104963063.06306306</v>
      </c>
      <c r="F393">
        <v>411800000</v>
      </c>
      <c r="G393">
        <v>95</v>
      </c>
      <c r="H393">
        <v>93</v>
      </c>
      <c r="I393">
        <v>4</v>
      </c>
      <c r="J393">
        <v>3</v>
      </c>
      <c r="M393">
        <v>110</v>
      </c>
      <c r="N393">
        <v>168</v>
      </c>
      <c r="O393">
        <v>16099009.009009007</v>
      </c>
      <c r="P393">
        <v>12666126.126126127</v>
      </c>
      <c r="Q393">
        <v>124</v>
      </c>
      <c r="R393">
        <v>139</v>
      </c>
      <c r="S393">
        <v>53710774.774774775</v>
      </c>
      <c r="T393">
        <v>49344126.126126125</v>
      </c>
      <c r="U393">
        <v>10097117.117117116</v>
      </c>
      <c r="V393">
        <v>11407207.207207205</v>
      </c>
      <c r="W393">
        <v>5834</v>
      </c>
      <c r="X393">
        <v>6202</v>
      </c>
    </row>
    <row r="394" spans="1:24">
      <c r="A394" s="7" t="s">
        <v>495</v>
      </c>
      <c r="B394" s="16" t="s">
        <v>330</v>
      </c>
      <c r="C394">
        <v>355989220.46098882</v>
      </c>
      <c r="D394">
        <v>338539973.76421946</v>
      </c>
      <c r="E394">
        <v>133333.33333333401</v>
      </c>
      <c r="F394">
        <v>3409459.4594594599</v>
      </c>
      <c r="G394">
        <v>122</v>
      </c>
      <c r="H394">
        <v>139</v>
      </c>
      <c r="I394">
        <v>7</v>
      </c>
      <c r="J394">
        <v>10</v>
      </c>
      <c r="M394">
        <v>138</v>
      </c>
      <c r="N394">
        <v>176</v>
      </c>
      <c r="O394">
        <v>11907657.657657661</v>
      </c>
      <c r="P394">
        <v>20021126.126126129</v>
      </c>
      <c r="Q394">
        <v>173</v>
      </c>
      <c r="R394">
        <v>166</v>
      </c>
      <c r="S394">
        <v>73149801.801801801</v>
      </c>
      <c r="T394">
        <v>77954824.324324325</v>
      </c>
      <c r="U394">
        <v>10481081.081081079</v>
      </c>
      <c r="V394">
        <v>18367027.02702703</v>
      </c>
      <c r="W394">
        <v>7972</v>
      </c>
      <c r="X394">
        <v>7159</v>
      </c>
    </row>
    <row r="395" spans="1:24">
      <c r="A395" s="7" t="s">
        <v>496</v>
      </c>
      <c r="B395" s="16" t="s">
        <v>330</v>
      </c>
      <c r="C395">
        <v>353804862.12502259</v>
      </c>
      <c r="D395">
        <v>341401145.72828376</v>
      </c>
      <c r="E395">
        <v>1220495.4954954991</v>
      </c>
      <c r="F395">
        <v>6810360.3603603607</v>
      </c>
      <c r="G395">
        <v>179</v>
      </c>
      <c r="H395">
        <v>163</v>
      </c>
      <c r="I395">
        <v>19</v>
      </c>
      <c r="J395">
        <v>18</v>
      </c>
      <c r="K395">
        <v>1</v>
      </c>
      <c r="M395">
        <v>215</v>
      </c>
      <c r="N395">
        <v>242</v>
      </c>
      <c r="O395">
        <v>101319279.27927928</v>
      </c>
      <c r="P395">
        <v>48701081.081081077</v>
      </c>
      <c r="Q395">
        <v>229</v>
      </c>
      <c r="R395">
        <v>197</v>
      </c>
      <c r="S395">
        <v>76442054.054054052</v>
      </c>
      <c r="T395">
        <v>76321639.639639646</v>
      </c>
      <c r="U395">
        <v>100606576.57657658</v>
      </c>
      <c r="V395">
        <v>45439189.189189196</v>
      </c>
      <c r="W395">
        <v>8615</v>
      </c>
      <c r="X395">
        <v>8511</v>
      </c>
    </row>
    <row r="396" spans="1:24">
      <c r="A396" s="7" t="s">
        <v>497</v>
      </c>
      <c r="B396" s="16" t="s">
        <v>330</v>
      </c>
      <c r="C396">
        <v>1585317904.2832088</v>
      </c>
      <c r="D396">
        <v>1413376598.8239026</v>
      </c>
      <c r="E396">
        <v>1184781918.9189188</v>
      </c>
      <c r="F396">
        <v>1337566389.1891892</v>
      </c>
      <c r="G396">
        <v>950</v>
      </c>
      <c r="H396">
        <v>799</v>
      </c>
      <c r="I396">
        <v>45</v>
      </c>
      <c r="J396">
        <v>47</v>
      </c>
      <c r="K396">
        <v>51</v>
      </c>
      <c r="M396">
        <v>1487</v>
      </c>
      <c r="N396">
        <v>2015</v>
      </c>
      <c r="O396">
        <v>533136306.3063063</v>
      </c>
      <c r="P396">
        <v>627700510.8108108</v>
      </c>
      <c r="Q396">
        <v>747</v>
      </c>
      <c r="R396">
        <v>686</v>
      </c>
      <c r="S396">
        <v>551632836.03603601</v>
      </c>
      <c r="T396">
        <v>397188441.44144142</v>
      </c>
      <c r="U396">
        <v>174977657.65765765</v>
      </c>
      <c r="V396">
        <v>225900630.63063061</v>
      </c>
      <c r="W396">
        <v>29474</v>
      </c>
      <c r="X396">
        <v>28932</v>
      </c>
    </row>
    <row r="397" spans="1:24">
      <c r="A397" s="7" t="s">
        <v>498</v>
      </c>
      <c r="B397" s="16" t="s">
        <v>330</v>
      </c>
      <c r="C397">
        <v>1150146611.674562</v>
      </c>
      <c r="D397">
        <v>1080171173.3117228</v>
      </c>
      <c r="E397">
        <v>2050180.1801801841</v>
      </c>
      <c r="F397">
        <v>13804504.504504509</v>
      </c>
      <c r="G397">
        <v>377</v>
      </c>
      <c r="H397">
        <v>397</v>
      </c>
      <c r="I397">
        <v>43</v>
      </c>
      <c r="J397">
        <v>41</v>
      </c>
      <c r="K397">
        <v>2</v>
      </c>
      <c r="M397">
        <v>456</v>
      </c>
      <c r="N397">
        <v>591</v>
      </c>
      <c r="O397">
        <v>206378108.1081081</v>
      </c>
      <c r="P397">
        <v>247048108.1081081</v>
      </c>
      <c r="Q397">
        <v>768</v>
      </c>
      <c r="R397">
        <v>643</v>
      </c>
      <c r="S397">
        <v>310375135.13513511</v>
      </c>
      <c r="T397">
        <v>314626867.11711711</v>
      </c>
      <c r="U397">
        <v>196444954.95495495</v>
      </c>
      <c r="V397">
        <v>239877747.74774775</v>
      </c>
      <c r="W397">
        <v>26930</v>
      </c>
      <c r="X397">
        <v>26800</v>
      </c>
    </row>
    <row r="398" spans="1:24">
      <c r="A398" s="7" t="s">
        <v>499</v>
      </c>
      <c r="B398" s="16" t="s">
        <v>143</v>
      </c>
      <c r="C398">
        <v>473148823.63148344</v>
      </c>
      <c r="D398">
        <v>439487476.41369945</v>
      </c>
      <c r="E398">
        <v>299774.774774777</v>
      </c>
      <c r="F398">
        <v>39196621.621621624</v>
      </c>
      <c r="G398">
        <v>271</v>
      </c>
      <c r="H398">
        <v>131</v>
      </c>
      <c r="I398">
        <v>19</v>
      </c>
      <c r="J398">
        <v>15</v>
      </c>
      <c r="K398">
        <v>3</v>
      </c>
      <c r="M398">
        <v>298</v>
      </c>
      <c r="N398">
        <v>270</v>
      </c>
      <c r="O398">
        <v>40526306.306306303</v>
      </c>
      <c r="P398">
        <v>41719819.819819815</v>
      </c>
      <c r="Q398">
        <v>205</v>
      </c>
      <c r="R398">
        <v>148</v>
      </c>
      <c r="S398">
        <v>68521282.882882878</v>
      </c>
      <c r="T398">
        <v>68214025.225225225</v>
      </c>
      <c r="U398">
        <v>25993873.873873875</v>
      </c>
      <c r="V398">
        <v>26364054.054054052</v>
      </c>
      <c r="W398">
        <v>8761</v>
      </c>
      <c r="X398">
        <v>7727</v>
      </c>
    </row>
    <row r="399" spans="1:24">
      <c r="A399" s="7" t="s">
        <v>500</v>
      </c>
      <c r="B399" s="16" t="s">
        <v>220</v>
      </c>
      <c r="C399">
        <v>546407379.84900033</v>
      </c>
      <c r="D399">
        <v>525101896.3502574</v>
      </c>
      <c r="E399">
        <v>1777027.0270270309</v>
      </c>
      <c r="F399">
        <v>5619144.1441441486</v>
      </c>
      <c r="G399">
        <v>366</v>
      </c>
      <c r="H399">
        <v>230</v>
      </c>
      <c r="I399">
        <v>32</v>
      </c>
      <c r="J399">
        <v>17</v>
      </c>
      <c r="K399">
        <v>3</v>
      </c>
      <c r="M399">
        <v>853</v>
      </c>
      <c r="N399">
        <v>298</v>
      </c>
      <c r="O399">
        <v>135882882.88288289</v>
      </c>
      <c r="P399">
        <v>178647297.2972973</v>
      </c>
      <c r="Q399">
        <v>443</v>
      </c>
      <c r="R399">
        <v>149</v>
      </c>
      <c r="S399">
        <v>166080675.67567569</v>
      </c>
      <c r="T399">
        <v>162125490.99099097</v>
      </c>
      <c r="U399">
        <v>140071531.53153154</v>
      </c>
      <c r="V399">
        <v>179864774.77477479</v>
      </c>
      <c r="W399">
        <v>12598</v>
      </c>
      <c r="X399">
        <v>12592</v>
      </c>
    </row>
    <row r="400" spans="1:24">
      <c r="A400" s="7" t="s">
        <v>501</v>
      </c>
      <c r="B400" s="16" t="s">
        <v>397</v>
      </c>
      <c r="C400">
        <v>1443172853.1075015</v>
      </c>
      <c r="D400">
        <v>1482372346.2704449</v>
      </c>
      <c r="E400">
        <v>405696803.6036036</v>
      </c>
      <c r="F400">
        <v>263343152.25225225</v>
      </c>
      <c r="G400">
        <v>493</v>
      </c>
      <c r="H400">
        <v>453</v>
      </c>
      <c r="I400">
        <v>31</v>
      </c>
      <c r="J400">
        <v>58</v>
      </c>
      <c r="M400">
        <v>634</v>
      </c>
      <c r="N400">
        <v>577</v>
      </c>
      <c r="O400">
        <v>214995090.09009007</v>
      </c>
      <c r="P400">
        <v>169641666.66666666</v>
      </c>
      <c r="Q400">
        <v>856</v>
      </c>
      <c r="R400">
        <v>799</v>
      </c>
      <c r="S400">
        <v>307268374.77477479</v>
      </c>
      <c r="T400">
        <v>313847744.14414412</v>
      </c>
      <c r="U400">
        <v>196729324.32432431</v>
      </c>
      <c r="V400">
        <v>156309234.23423424</v>
      </c>
      <c r="W400">
        <v>26914</v>
      </c>
      <c r="X400">
        <v>26525</v>
      </c>
    </row>
    <row r="401" spans="1:24">
      <c r="A401" s="7" t="s">
        <v>502</v>
      </c>
      <c r="B401" s="16" t="s">
        <v>70</v>
      </c>
      <c r="C401">
        <v>22483954.72279197</v>
      </c>
      <c r="D401">
        <v>22972748.08522398</v>
      </c>
      <c r="E401">
        <v>77927.927927928002</v>
      </c>
      <c r="F401">
        <v>242342.34234234301</v>
      </c>
      <c r="G401">
        <v>5</v>
      </c>
      <c r="H401">
        <v>10</v>
      </c>
      <c r="I401">
        <v>0</v>
      </c>
      <c r="J401">
        <v>1</v>
      </c>
      <c r="M401">
        <v>6</v>
      </c>
      <c r="N401">
        <v>10</v>
      </c>
      <c r="O401">
        <v>820720.72072072094</v>
      </c>
      <c r="P401">
        <v>1101801.801801801</v>
      </c>
      <c r="Q401">
        <v>1</v>
      </c>
      <c r="R401">
        <v>51</v>
      </c>
      <c r="S401">
        <v>16459324.324324325</v>
      </c>
      <c r="T401">
        <v>16300936.936936935</v>
      </c>
      <c r="U401">
        <v>2287837.8378378372</v>
      </c>
      <c r="V401">
        <v>907027.02702702605</v>
      </c>
      <c r="W401">
        <v>705</v>
      </c>
      <c r="X401">
        <v>594</v>
      </c>
    </row>
    <row r="402" spans="1:24">
      <c r="A402" s="7" t="s">
        <v>503</v>
      </c>
      <c r="B402" s="16" t="s">
        <v>330</v>
      </c>
      <c r="C402">
        <v>623412358.66982448</v>
      </c>
      <c r="D402">
        <v>624903058.65195453</v>
      </c>
      <c r="E402">
        <v>2435135.135135137</v>
      </c>
      <c r="F402">
        <v>5920945.9459459474</v>
      </c>
      <c r="G402">
        <v>225</v>
      </c>
      <c r="H402">
        <v>219</v>
      </c>
      <c r="I402">
        <v>14</v>
      </c>
      <c r="J402">
        <v>21</v>
      </c>
      <c r="M402">
        <v>289</v>
      </c>
      <c r="N402">
        <v>373</v>
      </c>
      <c r="O402">
        <v>57803063.063063063</v>
      </c>
      <c r="P402">
        <v>72454054.054054052</v>
      </c>
      <c r="Q402">
        <v>378</v>
      </c>
      <c r="R402">
        <v>195</v>
      </c>
      <c r="S402">
        <v>180982762.16216218</v>
      </c>
      <c r="T402">
        <v>195657704.95495495</v>
      </c>
      <c r="U402">
        <v>56667297.297297299</v>
      </c>
      <c r="V402">
        <v>73015225.225225225</v>
      </c>
      <c r="W402">
        <v>15707</v>
      </c>
      <c r="X402">
        <v>16146</v>
      </c>
    </row>
    <row r="403" spans="1:24">
      <c r="A403" s="7" t="s">
        <v>504</v>
      </c>
      <c r="B403" s="16" t="s">
        <v>283</v>
      </c>
      <c r="C403">
        <v>199577471.11080816</v>
      </c>
      <c r="D403">
        <v>191278497.00176403</v>
      </c>
      <c r="E403">
        <v>573873.87387387396</v>
      </c>
      <c r="F403">
        <v>336036.03603603598</v>
      </c>
      <c r="G403">
        <v>23</v>
      </c>
      <c r="H403">
        <v>36</v>
      </c>
      <c r="I403">
        <v>2</v>
      </c>
      <c r="J403">
        <v>1</v>
      </c>
      <c r="M403">
        <v>26</v>
      </c>
      <c r="N403">
        <v>37</v>
      </c>
      <c r="O403">
        <v>16010810.810810812</v>
      </c>
      <c r="P403">
        <v>14588288.288288288</v>
      </c>
      <c r="Q403">
        <v>35</v>
      </c>
      <c r="R403">
        <v>3</v>
      </c>
      <c r="S403">
        <v>36498513.513513513</v>
      </c>
      <c r="T403">
        <v>33294081.081081081</v>
      </c>
      <c r="U403">
        <v>17026846.846846845</v>
      </c>
      <c r="V403">
        <v>13976486.486486485</v>
      </c>
      <c r="W403">
        <v>3013</v>
      </c>
      <c r="X403">
        <v>3087</v>
      </c>
    </row>
    <row r="404" spans="1:24">
      <c r="A404" s="7" t="s">
        <v>505</v>
      </c>
      <c r="B404" s="16" t="s">
        <v>260</v>
      </c>
      <c r="C404">
        <v>115664675.17013079</v>
      </c>
      <c r="D404">
        <v>117759594.22265963</v>
      </c>
      <c r="E404">
        <v>9909.9099099100004</v>
      </c>
      <c r="F404">
        <v>100000</v>
      </c>
      <c r="G404">
        <v>8</v>
      </c>
      <c r="H404">
        <v>6</v>
      </c>
      <c r="I404">
        <v>1</v>
      </c>
      <c r="J404">
        <v>1</v>
      </c>
      <c r="K404">
        <v>1</v>
      </c>
      <c r="M404">
        <v>9</v>
      </c>
      <c r="N404">
        <v>8</v>
      </c>
      <c r="O404">
        <v>1640540.5405405399</v>
      </c>
      <c r="P404">
        <v>1991891.891891893</v>
      </c>
      <c r="Q404">
        <v>12</v>
      </c>
      <c r="R404">
        <v>9</v>
      </c>
      <c r="S404">
        <v>26221981.981981985</v>
      </c>
      <c r="T404">
        <v>26188000</v>
      </c>
      <c r="U404">
        <v>1469369.3693693699</v>
      </c>
      <c r="V404">
        <v>2265405.4054054059</v>
      </c>
      <c r="W404">
        <v>2272</v>
      </c>
      <c r="X404">
        <v>2191</v>
      </c>
    </row>
    <row r="405" spans="1:24">
      <c r="A405" s="7" t="s">
        <v>506</v>
      </c>
      <c r="B405" s="16" t="s">
        <v>236</v>
      </c>
      <c r="C405">
        <v>308075580.75605315</v>
      </c>
      <c r="D405">
        <v>288361756.98204744</v>
      </c>
      <c r="E405">
        <v>69700030.630630627</v>
      </c>
      <c r="F405">
        <v>79894936.036036029</v>
      </c>
      <c r="G405">
        <v>77</v>
      </c>
      <c r="H405">
        <v>40</v>
      </c>
      <c r="I405">
        <v>11</v>
      </c>
      <c r="J405">
        <v>12</v>
      </c>
      <c r="M405">
        <v>113</v>
      </c>
      <c r="N405">
        <v>215</v>
      </c>
      <c r="O405">
        <v>93039279.279279277</v>
      </c>
      <c r="P405">
        <v>91324639.639639646</v>
      </c>
      <c r="Q405">
        <v>219</v>
      </c>
      <c r="R405">
        <v>275</v>
      </c>
      <c r="S405">
        <v>68325238.738738731</v>
      </c>
      <c r="T405">
        <v>65203878.378378376</v>
      </c>
      <c r="U405">
        <v>71522612.61261262</v>
      </c>
      <c r="V405">
        <v>63123018.018018015</v>
      </c>
      <c r="W405">
        <v>4535</v>
      </c>
      <c r="X405">
        <v>4625</v>
      </c>
    </row>
    <row r="406" spans="1:24">
      <c r="A406" s="7" t="s">
        <v>507</v>
      </c>
      <c r="B406" s="16" t="s">
        <v>134</v>
      </c>
      <c r="C406">
        <v>48767196.907100521</v>
      </c>
      <c r="D406">
        <v>34125497.583794028</v>
      </c>
      <c r="E406">
        <v>318447862.16216218</v>
      </c>
      <c r="F406">
        <v>292337238.73873878</v>
      </c>
      <c r="G406">
        <v>1</v>
      </c>
      <c r="H406">
        <v>2</v>
      </c>
      <c r="I406">
        <v>0</v>
      </c>
      <c r="M406">
        <v>1</v>
      </c>
      <c r="N406">
        <v>2</v>
      </c>
      <c r="O406">
        <v>35326126.126126125</v>
      </c>
      <c r="P406">
        <v>47117117.117117122</v>
      </c>
      <c r="Q406">
        <v>5</v>
      </c>
      <c r="S406">
        <v>7789099.0990990987</v>
      </c>
      <c r="T406">
        <v>5971162.1621621624</v>
      </c>
      <c r="U406">
        <v>45045.045045045001</v>
      </c>
      <c r="W406">
        <v>1280</v>
      </c>
      <c r="X406">
        <v>1295</v>
      </c>
    </row>
    <row r="407" spans="1:24">
      <c r="A407" s="7" t="s">
        <v>508</v>
      </c>
      <c r="B407" s="16" t="s">
        <v>397</v>
      </c>
      <c r="C407">
        <v>311305705.42505807</v>
      </c>
      <c r="D407">
        <v>302033900.95491868</v>
      </c>
      <c r="E407">
        <v>218468.46846846899</v>
      </c>
      <c r="F407">
        <v>1695045.0450450459</v>
      </c>
      <c r="G407">
        <v>68</v>
      </c>
      <c r="H407">
        <v>55</v>
      </c>
      <c r="I407">
        <v>4</v>
      </c>
      <c r="J407">
        <v>9</v>
      </c>
      <c r="M407">
        <v>79</v>
      </c>
      <c r="N407">
        <v>81</v>
      </c>
      <c r="O407">
        <v>29525000</v>
      </c>
      <c r="P407">
        <v>34035585.585585587</v>
      </c>
      <c r="Q407">
        <v>51</v>
      </c>
      <c r="R407">
        <v>320</v>
      </c>
      <c r="S407">
        <v>44278783.783783786</v>
      </c>
      <c r="T407">
        <v>45555360.360360362</v>
      </c>
      <c r="U407">
        <v>24065450.450450446</v>
      </c>
      <c r="V407">
        <v>33012522.522522524</v>
      </c>
      <c r="W407">
        <v>4358</v>
      </c>
      <c r="X407">
        <v>4460</v>
      </c>
    </row>
    <row r="408" spans="1:24">
      <c r="A408" s="7" t="s">
        <v>509</v>
      </c>
      <c r="B408" s="16" t="s">
        <v>134</v>
      </c>
      <c r="C408">
        <v>337458121.85474044</v>
      </c>
      <c r="D408">
        <v>333392013.32585847</v>
      </c>
      <c r="E408">
        <v>1670045.0450450459</v>
      </c>
      <c r="F408">
        <v>1890990.9909909931</v>
      </c>
      <c r="G408">
        <v>90</v>
      </c>
      <c r="H408">
        <v>72</v>
      </c>
      <c r="I408">
        <v>17</v>
      </c>
      <c r="J408">
        <v>11</v>
      </c>
      <c r="K408">
        <v>2</v>
      </c>
      <c r="M408">
        <v>94</v>
      </c>
      <c r="N408">
        <v>92</v>
      </c>
      <c r="O408">
        <v>41461261.261261262</v>
      </c>
      <c r="P408">
        <v>31988288.288288288</v>
      </c>
      <c r="Q408">
        <v>294</v>
      </c>
      <c r="R408">
        <v>143</v>
      </c>
      <c r="S408">
        <v>60893975.675675683</v>
      </c>
      <c r="T408">
        <v>53829808.558558561</v>
      </c>
      <c r="U408">
        <v>31222342.342342339</v>
      </c>
      <c r="V408">
        <v>26567837.837837838</v>
      </c>
      <c r="W408">
        <v>5447</v>
      </c>
      <c r="X408">
        <v>5269</v>
      </c>
    </row>
    <row r="409" spans="1:24">
      <c r="A409" s="7" t="s">
        <v>510</v>
      </c>
      <c r="B409" s="16" t="s">
        <v>134</v>
      </c>
      <c r="C409">
        <v>924787261.81921816</v>
      </c>
      <c r="D409">
        <v>919612866.34686208</v>
      </c>
      <c r="E409">
        <v>2099954.9549549618</v>
      </c>
      <c r="F409">
        <v>5832657.6576576652</v>
      </c>
      <c r="G409">
        <v>342</v>
      </c>
      <c r="H409">
        <v>170</v>
      </c>
      <c r="I409">
        <v>34</v>
      </c>
      <c r="J409">
        <v>26</v>
      </c>
      <c r="K409">
        <v>10</v>
      </c>
      <c r="M409">
        <v>386</v>
      </c>
      <c r="N409">
        <v>262</v>
      </c>
      <c r="O409">
        <v>75632702.702702701</v>
      </c>
      <c r="P409">
        <v>75199099.0990991</v>
      </c>
      <c r="Q409">
        <v>530</v>
      </c>
      <c r="R409">
        <v>712</v>
      </c>
      <c r="S409">
        <v>110956882.88288288</v>
      </c>
      <c r="T409">
        <v>96320963.963963971</v>
      </c>
      <c r="U409">
        <v>71104144.144144148</v>
      </c>
      <c r="V409">
        <v>72225315.315315306</v>
      </c>
      <c r="W409">
        <v>16394</v>
      </c>
      <c r="X409">
        <v>16788</v>
      </c>
    </row>
    <row r="410" spans="1:24">
      <c r="A410" s="7" t="s">
        <v>8</v>
      </c>
      <c r="B410" s="16" t="s">
        <v>158</v>
      </c>
      <c r="C410">
        <v>247984249.28235719</v>
      </c>
      <c r="D410">
        <v>242236347.02309641</v>
      </c>
      <c r="E410">
        <v>2347747.747747751</v>
      </c>
      <c r="F410">
        <v>4654954.9549549557</v>
      </c>
      <c r="G410">
        <v>27</v>
      </c>
      <c r="H410">
        <v>21</v>
      </c>
      <c r="I410">
        <v>9</v>
      </c>
      <c r="J410">
        <v>4</v>
      </c>
      <c r="M410">
        <v>28</v>
      </c>
      <c r="N410">
        <v>24</v>
      </c>
      <c r="O410">
        <v>34618468.468468465</v>
      </c>
      <c r="P410">
        <v>42820720.720720723</v>
      </c>
      <c r="Q410">
        <v>117</v>
      </c>
      <c r="R410">
        <v>53</v>
      </c>
      <c r="S410">
        <v>71989630.630630627</v>
      </c>
      <c r="T410">
        <v>71533441.441441447</v>
      </c>
      <c r="U410">
        <v>33261891.891891889</v>
      </c>
      <c r="V410">
        <v>39952522.522522517</v>
      </c>
      <c r="W410">
        <v>3892</v>
      </c>
      <c r="X410">
        <v>4026</v>
      </c>
    </row>
    <row r="411" spans="1:24">
      <c r="A411" s="7" t="s">
        <v>511</v>
      </c>
      <c r="B411" s="16" t="s">
        <v>134</v>
      </c>
      <c r="C411">
        <v>161643265.45846754</v>
      </c>
      <c r="D411">
        <v>177702428.43808484</v>
      </c>
      <c r="E411">
        <v>281981.98198198201</v>
      </c>
      <c r="F411">
        <v>743243.24324324296</v>
      </c>
      <c r="G411">
        <v>57</v>
      </c>
      <c r="H411">
        <v>13</v>
      </c>
      <c r="I411">
        <v>4</v>
      </c>
      <c r="J411">
        <v>3</v>
      </c>
      <c r="M411">
        <v>101</v>
      </c>
      <c r="N411">
        <v>15</v>
      </c>
      <c r="O411">
        <v>7939639.6396396393</v>
      </c>
      <c r="P411">
        <v>6148648.6486486495</v>
      </c>
      <c r="Q411">
        <v>30</v>
      </c>
      <c r="S411">
        <v>21946612.612612613</v>
      </c>
      <c r="T411">
        <v>24579972.97297297</v>
      </c>
      <c r="U411">
        <v>4449909.9099099096</v>
      </c>
      <c r="V411">
        <v>4919459.4594594603</v>
      </c>
      <c r="W411">
        <v>3986</v>
      </c>
      <c r="X411">
        <v>3897</v>
      </c>
    </row>
    <row r="412" spans="1:24">
      <c r="A412" s="7" t="s">
        <v>512</v>
      </c>
      <c r="B412" s="16" t="s">
        <v>62</v>
      </c>
      <c r="C412">
        <v>790282704.25665319</v>
      </c>
      <c r="D412">
        <v>774327146.98011184</v>
      </c>
      <c r="E412">
        <v>3653153.1531531569</v>
      </c>
      <c r="F412">
        <v>5298198.1981982039</v>
      </c>
      <c r="G412">
        <v>98</v>
      </c>
      <c r="H412">
        <v>184</v>
      </c>
      <c r="I412">
        <v>14</v>
      </c>
      <c r="J412">
        <v>27</v>
      </c>
      <c r="M412">
        <v>125</v>
      </c>
      <c r="N412">
        <v>301</v>
      </c>
      <c r="O412">
        <v>35122522.522522517</v>
      </c>
      <c r="P412">
        <v>111851981.98198198</v>
      </c>
      <c r="Q412">
        <v>132</v>
      </c>
      <c r="R412">
        <v>204</v>
      </c>
      <c r="S412">
        <v>152272954.95495495</v>
      </c>
      <c r="T412">
        <v>160424649.54954955</v>
      </c>
      <c r="U412">
        <v>32481711.711711712</v>
      </c>
      <c r="V412">
        <v>110399639.63963965</v>
      </c>
      <c r="W412">
        <v>14358</v>
      </c>
      <c r="X412">
        <v>14625</v>
      </c>
    </row>
    <row r="413" spans="1:24">
      <c r="A413" s="7" t="s">
        <v>513</v>
      </c>
      <c r="B413" s="16" t="s">
        <v>117</v>
      </c>
      <c r="C413">
        <v>88750449.116147995</v>
      </c>
      <c r="D413">
        <v>79552801.100308895</v>
      </c>
      <c r="E413">
        <v>211476576.57657659</v>
      </c>
      <c r="F413">
        <v>4919819.8198198201</v>
      </c>
      <c r="G413">
        <v>97</v>
      </c>
      <c r="H413">
        <v>33</v>
      </c>
      <c r="I413">
        <v>4</v>
      </c>
      <c r="J413">
        <v>3</v>
      </c>
      <c r="M413">
        <v>99</v>
      </c>
      <c r="N413">
        <v>33</v>
      </c>
      <c r="O413">
        <v>11896801.801801803</v>
      </c>
      <c r="P413">
        <v>6702072.072072072</v>
      </c>
      <c r="Q413">
        <v>83</v>
      </c>
      <c r="R413">
        <v>2</v>
      </c>
      <c r="S413">
        <v>42503018.018018015</v>
      </c>
      <c r="T413">
        <v>34565783.783783786</v>
      </c>
      <c r="U413">
        <v>4257387.3873873856</v>
      </c>
      <c r="V413">
        <v>3123963.963963965</v>
      </c>
      <c r="W413">
        <v>1923</v>
      </c>
      <c r="X413">
        <v>1974</v>
      </c>
    </row>
    <row r="414" spans="1:24">
      <c r="A414" s="7" t="s">
        <v>514</v>
      </c>
      <c r="B414" s="16" t="s">
        <v>304</v>
      </c>
      <c r="C414">
        <v>149815563.6308133</v>
      </c>
      <c r="D414">
        <v>144208784.06021684</v>
      </c>
      <c r="E414">
        <v>434234.23423423403</v>
      </c>
      <c r="F414">
        <v>1739639.63963964</v>
      </c>
      <c r="G414">
        <v>58</v>
      </c>
      <c r="H414">
        <v>77</v>
      </c>
      <c r="I414">
        <v>6</v>
      </c>
      <c r="J414">
        <v>6</v>
      </c>
      <c r="M414">
        <v>62</v>
      </c>
      <c r="N414">
        <v>80</v>
      </c>
      <c r="O414">
        <v>3812612.612612613</v>
      </c>
      <c r="P414">
        <v>12186036.036036037</v>
      </c>
      <c r="Q414">
        <v>92</v>
      </c>
      <c r="R414">
        <v>71</v>
      </c>
      <c r="S414">
        <v>13691531.531531531</v>
      </c>
      <c r="T414">
        <v>14480045.045045044</v>
      </c>
      <c r="U414">
        <v>5361711.7117117113</v>
      </c>
      <c r="V414">
        <v>11783423.423423424</v>
      </c>
      <c r="W414">
        <v>1563</v>
      </c>
      <c r="X414">
        <v>1490</v>
      </c>
    </row>
    <row r="415" spans="1:24">
      <c r="A415" s="7" t="s">
        <v>515</v>
      </c>
      <c r="B415" s="16" t="s">
        <v>304</v>
      </c>
      <c r="C415">
        <v>43428606.382987954</v>
      </c>
      <c r="D415">
        <v>39916513.145629123</v>
      </c>
      <c r="E415">
        <v>196756.75675675701</v>
      </c>
      <c r="F415">
        <v>442342.34234234202</v>
      </c>
      <c r="G415">
        <v>12</v>
      </c>
      <c r="H415">
        <v>10</v>
      </c>
      <c r="I415">
        <v>3</v>
      </c>
      <c r="J415">
        <v>2</v>
      </c>
      <c r="M415">
        <v>12</v>
      </c>
      <c r="N415">
        <v>10</v>
      </c>
      <c r="O415">
        <v>5250810.81081081</v>
      </c>
      <c r="P415">
        <v>4493693.6936936928</v>
      </c>
      <c r="Q415">
        <v>14</v>
      </c>
      <c r="R415">
        <v>28</v>
      </c>
      <c r="S415">
        <v>6461711.7117117122</v>
      </c>
      <c r="T415">
        <v>5905234.2342342352</v>
      </c>
      <c r="U415">
        <v>5080450.4504504493</v>
      </c>
      <c r="V415">
        <v>3433063.0630630618</v>
      </c>
      <c r="W415">
        <v>591</v>
      </c>
      <c r="X415">
        <v>617</v>
      </c>
    </row>
    <row r="416" spans="1:24">
      <c r="A416" s="7" t="s">
        <v>516</v>
      </c>
      <c r="B416" s="16" t="s">
        <v>304</v>
      </c>
      <c r="C416">
        <v>79650852.623349085</v>
      </c>
      <c r="D416">
        <v>84775406.02453275</v>
      </c>
      <c r="E416">
        <v>23963.963963964001</v>
      </c>
      <c r="F416">
        <v>754954.95495495305</v>
      </c>
      <c r="G416">
        <v>35</v>
      </c>
      <c r="H416">
        <v>40</v>
      </c>
      <c r="I416">
        <v>2</v>
      </c>
      <c r="J416">
        <v>4</v>
      </c>
      <c r="M416">
        <v>38</v>
      </c>
      <c r="N416">
        <v>46</v>
      </c>
      <c r="O416">
        <v>6132072.0720720701</v>
      </c>
      <c r="P416">
        <v>4923423.4234234244</v>
      </c>
      <c r="Q416">
        <v>60</v>
      </c>
      <c r="R416">
        <v>28</v>
      </c>
      <c r="S416">
        <v>11552342.342342343</v>
      </c>
      <c r="T416">
        <v>13137981.981981982</v>
      </c>
      <c r="U416">
        <v>5479099.0990990987</v>
      </c>
      <c r="V416">
        <v>4327387.3873873875</v>
      </c>
      <c r="W416">
        <v>1074</v>
      </c>
      <c r="X416">
        <v>1089</v>
      </c>
    </row>
    <row r="417" spans="1:24">
      <c r="A417" s="7" t="s">
        <v>517</v>
      </c>
      <c r="B417" s="16" t="s">
        <v>304</v>
      </c>
      <c r="C417">
        <v>67922455.498463511</v>
      </c>
      <c r="D417">
        <v>66656560.169399142</v>
      </c>
      <c r="E417">
        <v>121279512.61261261</v>
      </c>
      <c r="F417">
        <v>128587946.84684685</v>
      </c>
      <c r="G417">
        <v>20</v>
      </c>
      <c r="H417">
        <v>24</v>
      </c>
      <c r="I417">
        <v>3</v>
      </c>
      <c r="J417">
        <v>2</v>
      </c>
      <c r="M417">
        <v>21</v>
      </c>
      <c r="N417">
        <v>25</v>
      </c>
      <c r="O417">
        <v>34002702.702702701</v>
      </c>
      <c r="P417">
        <v>1445945.945945946</v>
      </c>
      <c r="Q417">
        <v>4</v>
      </c>
      <c r="R417">
        <v>5</v>
      </c>
      <c r="S417">
        <v>8985810.8108108118</v>
      </c>
      <c r="T417">
        <v>8789630.630630631</v>
      </c>
      <c r="U417">
        <v>2151171.1711711702</v>
      </c>
      <c r="V417">
        <v>1197207.2072072059</v>
      </c>
      <c r="W417">
        <v>883</v>
      </c>
      <c r="X417">
        <v>835</v>
      </c>
    </row>
    <row r="418" spans="1:24">
      <c r="A418" s="7" t="s">
        <v>518</v>
      </c>
      <c r="B418" s="16" t="s">
        <v>448</v>
      </c>
      <c r="C418">
        <v>71374452.01485765</v>
      </c>
      <c r="D418">
        <v>68381679.001167983</v>
      </c>
      <c r="E418">
        <v>444144.14414414403</v>
      </c>
      <c r="F418">
        <v>350450.450450451</v>
      </c>
      <c r="G418">
        <v>43</v>
      </c>
      <c r="H418">
        <v>16</v>
      </c>
      <c r="I418">
        <v>3</v>
      </c>
      <c r="M418">
        <v>52</v>
      </c>
      <c r="N418">
        <v>18</v>
      </c>
      <c r="O418">
        <v>6981891.8918918921</v>
      </c>
      <c r="P418">
        <v>4164414.4144144151</v>
      </c>
      <c r="Q418">
        <v>20</v>
      </c>
      <c r="S418">
        <v>24931243.243243244</v>
      </c>
      <c r="T418">
        <v>23332425.675675675</v>
      </c>
      <c r="U418">
        <v>7262972.9729729732</v>
      </c>
      <c r="V418">
        <v>4675315.3153153146</v>
      </c>
      <c r="W418">
        <v>1808</v>
      </c>
      <c r="X418">
        <v>1829</v>
      </c>
    </row>
    <row r="419" spans="1:24">
      <c r="A419" s="7" t="s">
        <v>519</v>
      </c>
      <c r="B419" s="16" t="s">
        <v>85</v>
      </c>
      <c r="C419">
        <v>208437732.47847411</v>
      </c>
      <c r="D419">
        <v>212194688.32191268</v>
      </c>
      <c r="E419">
        <v>230630.63063063199</v>
      </c>
      <c r="F419">
        <v>1959459.459459461</v>
      </c>
      <c r="G419">
        <v>45</v>
      </c>
      <c r="H419">
        <v>32</v>
      </c>
      <c r="I419">
        <v>6</v>
      </c>
      <c r="J419">
        <v>7</v>
      </c>
      <c r="K419">
        <v>1</v>
      </c>
      <c r="M419">
        <v>48</v>
      </c>
      <c r="N419">
        <v>43</v>
      </c>
      <c r="O419">
        <v>33221621.621621624</v>
      </c>
      <c r="P419">
        <v>47600450.45045045</v>
      </c>
      <c r="Q419">
        <v>65</v>
      </c>
      <c r="R419">
        <v>48</v>
      </c>
      <c r="S419">
        <v>50151846.846846849</v>
      </c>
      <c r="T419">
        <v>52222349.54954955</v>
      </c>
      <c r="U419">
        <v>24320180.180180181</v>
      </c>
      <c r="V419">
        <v>42316529.729729727</v>
      </c>
      <c r="W419">
        <v>3982</v>
      </c>
      <c r="X419">
        <v>4118</v>
      </c>
    </row>
    <row r="420" spans="1:24">
      <c r="A420" s="7" t="s">
        <v>520</v>
      </c>
      <c r="B420" s="16" t="s">
        <v>304</v>
      </c>
      <c r="C420">
        <v>104114166.11847322</v>
      </c>
      <c r="D420">
        <v>105527897.64951846</v>
      </c>
      <c r="E420">
        <v>372072.07207207201</v>
      </c>
      <c r="F420">
        <v>44144.144144143997</v>
      </c>
      <c r="G420">
        <v>47</v>
      </c>
      <c r="H420">
        <v>12</v>
      </c>
      <c r="I420">
        <v>2</v>
      </c>
      <c r="J420">
        <v>0</v>
      </c>
      <c r="M420">
        <v>51</v>
      </c>
      <c r="N420">
        <v>14</v>
      </c>
      <c r="O420">
        <v>7831531.5315315314</v>
      </c>
      <c r="P420">
        <v>6027027.0270270268</v>
      </c>
      <c r="Q420">
        <v>18</v>
      </c>
      <c r="R420">
        <v>8</v>
      </c>
      <c r="S420">
        <v>18090225.225225225</v>
      </c>
      <c r="T420">
        <v>18351770.270270273</v>
      </c>
      <c r="U420">
        <v>3962522.5225225231</v>
      </c>
      <c r="V420">
        <v>3419189.1891891891</v>
      </c>
      <c r="W420">
        <v>1559</v>
      </c>
      <c r="X420">
        <v>1358</v>
      </c>
    </row>
    <row r="421" spans="1:24">
      <c r="A421" s="7" t="s">
        <v>521</v>
      </c>
      <c r="B421" s="16" t="s">
        <v>399</v>
      </c>
      <c r="C421">
        <v>763620513.57578158</v>
      </c>
      <c r="D421">
        <v>750147198.83244443</v>
      </c>
      <c r="E421">
        <v>267344767.56756759</v>
      </c>
      <c r="F421">
        <v>184341276.57657659</v>
      </c>
      <c r="G421">
        <v>468</v>
      </c>
      <c r="H421">
        <v>162</v>
      </c>
      <c r="I421">
        <v>52</v>
      </c>
      <c r="J421">
        <v>44</v>
      </c>
      <c r="K421">
        <v>6</v>
      </c>
      <c r="M421">
        <v>519</v>
      </c>
      <c r="N421">
        <v>651</v>
      </c>
      <c r="O421">
        <v>155500765.76576576</v>
      </c>
      <c r="P421">
        <v>140473648.64864865</v>
      </c>
      <c r="Q421">
        <v>579</v>
      </c>
      <c r="R421">
        <v>1084</v>
      </c>
      <c r="S421">
        <v>191703819.81981981</v>
      </c>
      <c r="T421">
        <v>190125738.73873875</v>
      </c>
      <c r="U421">
        <v>130816126.12612613</v>
      </c>
      <c r="V421">
        <v>115488468.46846846</v>
      </c>
      <c r="W421">
        <v>12691</v>
      </c>
      <c r="X421">
        <v>13657</v>
      </c>
    </row>
    <row r="422" spans="1:24">
      <c r="A422" s="7" t="s">
        <v>522</v>
      </c>
      <c r="B422" s="16" t="s">
        <v>143</v>
      </c>
      <c r="C422">
        <v>214565538.05686641</v>
      </c>
      <c r="D422">
        <v>210990772.8509993</v>
      </c>
      <c r="E422">
        <v>294594.59459459601</v>
      </c>
      <c r="F422">
        <v>573873.87387387396</v>
      </c>
      <c r="G422">
        <v>41</v>
      </c>
      <c r="H422">
        <v>58</v>
      </c>
      <c r="I422">
        <v>6</v>
      </c>
      <c r="J422">
        <v>2</v>
      </c>
      <c r="M422">
        <v>48</v>
      </c>
      <c r="N422">
        <v>60</v>
      </c>
      <c r="O422">
        <v>12672972.972972972</v>
      </c>
      <c r="P422">
        <v>12555855.855855856</v>
      </c>
      <c r="Q422">
        <v>18</v>
      </c>
      <c r="S422">
        <v>24307558.558558561</v>
      </c>
      <c r="T422">
        <v>26960315.315315317</v>
      </c>
      <c r="U422">
        <v>11197927.927927928</v>
      </c>
      <c r="V422">
        <v>12084864.864864863</v>
      </c>
      <c r="W422">
        <v>2928</v>
      </c>
      <c r="X422">
        <v>2997</v>
      </c>
    </row>
    <row r="423" spans="1:24">
      <c r="A423" s="7" t="s">
        <v>523</v>
      </c>
      <c r="B423" s="16" t="s">
        <v>66</v>
      </c>
      <c r="C423">
        <v>143486444.63456261</v>
      </c>
      <c r="D423">
        <v>147005745.15550387</v>
      </c>
      <c r="E423">
        <v>135697387.38738739</v>
      </c>
      <c r="F423">
        <v>456805405.40540546</v>
      </c>
      <c r="G423">
        <v>41</v>
      </c>
      <c r="H423">
        <v>34</v>
      </c>
      <c r="I423">
        <v>3</v>
      </c>
      <c r="J423">
        <v>7</v>
      </c>
      <c r="K423">
        <v>1</v>
      </c>
      <c r="M423">
        <v>43</v>
      </c>
      <c r="N423">
        <v>40</v>
      </c>
      <c r="O423">
        <v>38894504.504504502</v>
      </c>
      <c r="P423">
        <v>75566891.891891882</v>
      </c>
      <c r="Q423">
        <v>164</v>
      </c>
      <c r="R423">
        <v>12</v>
      </c>
      <c r="S423">
        <v>67314549.54954955</v>
      </c>
      <c r="T423">
        <v>69979054.054054052</v>
      </c>
      <c r="U423">
        <v>15310270.270270266</v>
      </c>
      <c r="V423">
        <v>57118198.198198199</v>
      </c>
      <c r="W423">
        <v>3702</v>
      </c>
      <c r="X423">
        <v>3848</v>
      </c>
    </row>
    <row r="424" spans="1:24">
      <c r="A424" s="7" t="s">
        <v>524</v>
      </c>
      <c r="B424" s="16" t="s">
        <v>220</v>
      </c>
      <c r="C424">
        <v>206512509.96021631</v>
      </c>
      <c r="D424">
        <v>188843818.48693353</v>
      </c>
      <c r="E424">
        <v>622522.522522524</v>
      </c>
      <c r="F424">
        <v>716216.21621621598</v>
      </c>
      <c r="G424">
        <v>78</v>
      </c>
      <c r="H424">
        <v>69</v>
      </c>
      <c r="I424">
        <v>5</v>
      </c>
      <c r="J424">
        <v>3</v>
      </c>
      <c r="M424">
        <v>85</v>
      </c>
      <c r="N424">
        <v>75</v>
      </c>
      <c r="O424">
        <v>12200000</v>
      </c>
      <c r="P424">
        <v>12887387.387387386</v>
      </c>
      <c r="Q424">
        <v>10</v>
      </c>
      <c r="R424">
        <v>7</v>
      </c>
      <c r="S424">
        <v>50002270.270270273</v>
      </c>
      <c r="T424">
        <v>47343459.459459454</v>
      </c>
      <c r="U424">
        <v>10291711.711711712</v>
      </c>
      <c r="V424">
        <v>9720810.8108108081</v>
      </c>
      <c r="W424">
        <v>4543</v>
      </c>
      <c r="X424">
        <v>4372</v>
      </c>
    </row>
    <row r="425" spans="1:24">
      <c r="A425" s="7" t="s">
        <v>525</v>
      </c>
      <c r="B425" s="16" t="s">
        <v>413</v>
      </c>
      <c r="C425">
        <v>2170035873.9821048</v>
      </c>
      <c r="D425">
        <v>2091242722.2110131</v>
      </c>
      <c r="E425">
        <v>925820682.88288295</v>
      </c>
      <c r="F425">
        <v>559960368.46846843</v>
      </c>
      <c r="G425">
        <v>534</v>
      </c>
      <c r="H425">
        <v>385</v>
      </c>
      <c r="I425">
        <v>29</v>
      </c>
      <c r="J425">
        <v>48</v>
      </c>
      <c r="K425">
        <v>1</v>
      </c>
      <c r="M425">
        <v>798</v>
      </c>
      <c r="N425">
        <v>1258</v>
      </c>
      <c r="O425">
        <v>184034109.90990993</v>
      </c>
      <c r="P425">
        <v>160947153.15315315</v>
      </c>
      <c r="Q425">
        <v>1556</v>
      </c>
      <c r="R425">
        <v>801</v>
      </c>
      <c r="S425">
        <v>614962495.49549556</v>
      </c>
      <c r="T425">
        <v>610872382.88288295</v>
      </c>
      <c r="U425">
        <v>172591394.5945946</v>
      </c>
      <c r="V425">
        <v>174940630.63063061</v>
      </c>
      <c r="W425">
        <v>32526</v>
      </c>
      <c r="X425">
        <v>31752</v>
      </c>
    </row>
    <row r="426" spans="1:24">
      <c r="A426" s="7" t="s">
        <v>526</v>
      </c>
      <c r="B426" s="16" t="s">
        <v>413</v>
      </c>
      <c r="C426">
        <v>255888031.62341207</v>
      </c>
      <c r="D426">
        <v>234887935.26966369</v>
      </c>
      <c r="E426">
        <v>16216.216216217001</v>
      </c>
      <c r="F426">
        <v>2777702.702702703</v>
      </c>
      <c r="G426">
        <v>38</v>
      </c>
      <c r="H426">
        <v>39</v>
      </c>
      <c r="I426">
        <v>1</v>
      </c>
      <c r="J426">
        <v>3</v>
      </c>
      <c r="M426">
        <v>43</v>
      </c>
      <c r="N426">
        <v>46</v>
      </c>
      <c r="O426">
        <v>13584504.504504504</v>
      </c>
      <c r="P426">
        <v>14037705.405405406</v>
      </c>
      <c r="Q426">
        <v>42</v>
      </c>
      <c r="R426">
        <v>30</v>
      </c>
      <c r="S426">
        <v>74160484.684684694</v>
      </c>
      <c r="T426">
        <v>73907189.189189181</v>
      </c>
      <c r="U426">
        <v>11408108.108108109</v>
      </c>
      <c r="V426">
        <v>11982252.252252253</v>
      </c>
      <c r="W426">
        <v>4479</v>
      </c>
      <c r="X426">
        <v>4356</v>
      </c>
    </row>
    <row r="427" spans="1:24">
      <c r="A427" s="7" t="s">
        <v>661</v>
      </c>
      <c r="B427" s="16" t="s">
        <v>189</v>
      </c>
      <c r="C427">
        <v>4393952.7191804033</v>
      </c>
      <c r="D427">
        <v>1179394.9987961301</v>
      </c>
      <c r="G427">
        <v>7</v>
      </c>
      <c r="H427">
        <v>3</v>
      </c>
      <c r="M427">
        <v>8</v>
      </c>
      <c r="N427">
        <v>4</v>
      </c>
      <c r="S427">
        <v>1450900.9009009011</v>
      </c>
      <c r="T427">
        <v>819639.63963963999</v>
      </c>
      <c r="W427">
        <v>152</v>
      </c>
      <c r="X427">
        <v>122</v>
      </c>
    </row>
    <row r="428" spans="1:24">
      <c r="A428" s="7" t="s">
        <v>527</v>
      </c>
      <c r="B428" s="16" t="s">
        <v>147</v>
      </c>
      <c r="C428">
        <v>499045906.33600026</v>
      </c>
      <c r="D428">
        <v>487206394.40910745</v>
      </c>
      <c r="E428">
        <v>2772972.972972977</v>
      </c>
      <c r="F428">
        <v>9465990.9909909926</v>
      </c>
      <c r="G428">
        <v>96</v>
      </c>
      <c r="H428">
        <v>151</v>
      </c>
      <c r="I428">
        <v>11</v>
      </c>
      <c r="J428">
        <v>8</v>
      </c>
      <c r="M428">
        <v>104</v>
      </c>
      <c r="N428">
        <v>485</v>
      </c>
      <c r="O428">
        <v>78290990.990990996</v>
      </c>
      <c r="P428">
        <v>137807866.66666669</v>
      </c>
      <c r="Q428">
        <v>244</v>
      </c>
      <c r="R428">
        <v>409</v>
      </c>
      <c r="S428">
        <v>158917738.73873875</v>
      </c>
      <c r="T428">
        <v>173607754.95495495</v>
      </c>
      <c r="U428">
        <v>80003243.243243247</v>
      </c>
      <c r="V428">
        <v>136636846.84684685</v>
      </c>
      <c r="W428">
        <v>10353</v>
      </c>
      <c r="X428">
        <v>9942</v>
      </c>
    </row>
    <row r="429" spans="1:24">
      <c r="A429" s="7" t="s">
        <v>528</v>
      </c>
      <c r="B429" s="16" t="s">
        <v>121</v>
      </c>
      <c r="C429">
        <v>55129269.413085073</v>
      </c>
      <c r="D429">
        <v>54822529.734232478</v>
      </c>
      <c r="E429">
        <v>152927.92792792901</v>
      </c>
      <c r="F429">
        <v>480180.18018018</v>
      </c>
      <c r="G429">
        <v>30</v>
      </c>
      <c r="H429">
        <v>25</v>
      </c>
      <c r="I429">
        <v>4</v>
      </c>
      <c r="J429">
        <v>4</v>
      </c>
      <c r="M429">
        <v>32</v>
      </c>
      <c r="N429">
        <v>30</v>
      </c>
      <c r="O429">
        <v>3067567.5675675678</v>
      </c>
      <c r="P429">
        <v>9194164.8648648635</v>
      </c>
      <c r="Q429">
        <v>13</v>
      </c>
      <c r="R429">
        <v>7</v>
      </c>
      <c r="S429">
        <v>6141216.2162162159</v>
      </c>
      <c r="T429">
        <v>7221905.405405405</v>
      </c>
      <c r="U429">
        <v>2791081.0810810812</v>
      </c>
      <c r="V429">
        <v>4663243.2432432426</v>
      </c>
      <c r="W429">
        <v>932</v>
      </c>
      <c r="X429">
        <v>1031</v>
      </c>
    </row>
    <row r="430" spans="1:24">
      <c r="A430" s="7" t="s">
        <v>529</v>
      </c>
      <c r="B430" s="16" t="s">
        <v>448</v>
      </c>
      <c r="C430">
        <v>129657643.13422772</v>
      </c>
      <c r="D430">
        <v>99066542.811340153</v>
      </c>
      <c r="E430">
        <v>910090.09009009099</v>
      </c>
      <c r="F430">
        <v>1125225.2252252251</v>
      </c>
      <c r="G430">
        <v>48</v>
      </c>
      <c r="H430">
        <v>102</v>
      </c>
      <c r="I430">
        <v>1</v>
      </c>
      <c r="J430">
        <v>3</v>
      </c>
      <c r="M430">
        <v>49</v>
      </c>
      <c r="N430">
        <v>151</v>
      </c>
      <c r="O430">
        <v>12556126.126126127</v>
      </c>
      <c r="P430">
        <v>13828828.82882883</v>
      </c>
      <c r="Q430">
        <v>59</v>
      </c>
      <c r="R430">
        <v>44</v>
      </c>
      <c r="S430">
        <v>60854576.576576576</v>
      </c>
      <c r="T430">
        <v>48708759.009009011</v>
      </c>
      <c r="U430">
        <v>12719279.279279282</v>
      </c>
      <c r="V430">
        <v>15381171.17117117</v>
      </c>
      <c r="W430">
        <v>2191</v>
      </c>
      <c r="X430">
        <v>2199</v>
      </c>
    </row>
    <row r="431" spans="1:24">
      <c r="A431" s="7" t="s">
        <v>530</v>
      </c>
      <c r="B431" s="16" t="s">
        <v>448</v>
      </c>
      <c r="C431">
        <v>227209876.35056189</v>
      </c>
      <c r="D431">
        <v>227813487.65340838</v>
      </c>
      <c r="E431">
        <v>102702.702702703</v>
      </c>
      <c r="F431">
        <v>1890090.0900900899</v>
      </c>
      <c r="G431">
        <v>214</v>
      </c>
      <c r="H431">
        <v>132</v>
      </c>
      <c r="I431">
        <v>9</v>
      </c>
      <c r="J431">
        <v>7</v>
      </c>
      <c r="M431">
        <v>237</v>
      </c>
      <c r="N431">
        <v>230</v>
      </c>
      <c r="O431">
        <v>55440900.9009009</v>
      </c>
      <c r="P431">
        <v>18857207.207207207</v>
      </c>
      <c r="Q431">
        <v>240</v>
      </c>
      <c r="R431">
        <v>70</v>
      </c>
      <c r="S431">
        <v>107422387.38738739</v>
      </c>
      <c r="T431">
        <v>108698216.21621622</v>
      </c>
      <c r="U431">
        <v>55900990.990990989</v>
      </c>
      <c r="V431">
        <v>20102522.522522524</v>
      </c>
      <c r="W431">
        <v>5041</v>
      </c>
      <c r="X431">
        <v>5137</v>
      </c>
    </row>
    <row r="432" spans="1:24">
      <c r="A432" s="7" t="s">
        <v>531</v>
      </c>
      <c r="B432" s="16" t="s">
        <v>123</v>
      </c>
      <c r="C432">
        <v>593186186.01119602</v>
      </c>
      <c r="D432">
        <v>601837404.66181695</v>
      </c>
      <c r="E432">
        <v>157989908.1081081</v>
      </c>
      <c r="F432">
        <v>316663664.86486489</v>
      </c>
      <c r="G432">
        <v>213</v>
      </c>
      <c r="H432">
        <v>363</v>
      </c>
      <c r="I432">
        <v>43</v>
      </c>
      <c r="J432">
        <v>39</v>
      </c>
      <c r="K432">
        <v>7</v>
      </c>
      <c r="M432">
        <v>949</v>
      </c>
      <c r="N432">
        <v>901</v>
      </c>
      <c r="O432">
        <v>231969279.27927929</v>
      </c>
      <c r="P432">
        <v>257218108.1081081</v>
      </c>
      <c r="Q432">
        <v>1594</v>
      </c>
      <c r="R432">
        <v>2783</v>
      </c>
      <c r="S432">
        <v>209061054.95495495</v>
      </c>
      <c r="T432">
        <v>212834597.2972973</v>
      </c>
      <c r="U432">
        <v>237865225.22522521</v>
      </c>
      <c r="V432">
        <v>256702882.88288289</v>
      </c>
      <c r="W432">
        <v>11757</v>
      </c>
      <c r="X432">
        <v>11546</v>
      </c>
    </row>
    <row r="433" spans="1:24">
      <c r="A433" s="7" t="s">
        <v>532</v>
      </c>
      <c r="B433" s="16" t="s">
        <v>85</v>
      </c>
      <c r="C433">
        <v>187976886.0648272</v>
      </c>
      <c r="D433">
        <v>173856102.88220617</v>
      </c>
      <c r="E433">
        <v>5167567.5675675683</v>
      </c>
      <c r="F433">
        <v>1891891.891891893</v>
      </c>
      <c r="G433">
        <v>14</v>
      </c>
      <c r="H433">
        <v>18</v>
      </c>
      <c r="I433">
        <v>6</v>
      </c>
      <c r="J433">
        <v>3</v>
      </c>
      <c r="M433">
        <v>14</v>
      </c>
      <c r="N433">
        <v>53</v>
      </c>
      <c r="O433">
        <v>33780180.180180177</v>
      </c>
      <c r="P433">
        <v>33605045.045045041</v>
      </c>
      <c r="Q433">
        <v>27</v>
      </c>
      <c r="R433">
        <v>24</v>
      </c>
      <c r="S433">
        <v>43369414.414414413</v>
      </c>
      <c r="T433">
        <v>37907387.387387387</v>
      </c>
      <c r="U433">
        <v>25831441.441441439</v>
      </c>
      <c r="V433">
        <v>26291711.711711712</v>
      </c>
      <c r="W433">
        <v>3818</v>
      </c>
      <c r="X433">
        <v>3686</v>
      </c>
    </row>
    <row r="434" spans="1:24">
      <c r="A434" s="7" t="s">
        <v>9</v>
      </c>
      <c r="B434" s="16" t="s">
        <v>158</v>
      </c>
      <c r="C434">
        <v>481864606.96392137</v>
      </c>
      <c r="D434">
        <v>469372816.47217286</v>
      </c>
      <c r="E434">
        <v>821133198.1981982</v>
      </c>
      <c r="F434">
        <v>767755217.11711717</v>
      </c>
      <c r="G434">
        <v>110</v>
      </c>
      <c r="H434">
        <v>74</v>
      </c>
      <c r="I434">
        <v>44</v>
      </c>
      <c r="J434">
        <v>12</v>
      </c>
      <c r="K434">
        <v>4</v>
      </c>
      <c r="M434">
        <v>127</v>
      </c>
      <c r="N434">
        <v>82</v>
      </c>
      <c r="O434">
        <v>746907991.89189184</v>
      </c>
      <c r="P434">
        <v>730716527.92792797</v>
      </c>
      <c r="Q434">
        <v>433</v>
      </c>
      <c r="R434">
        <v>343</v>
      </c>
      <c r="S434">
        <v>173032099.0990991</v>
      </c>
      <c r="T434">
        <v>170805684.68468466</v>
      </c>
      <c r="U434">
        <v>598062432.43243241</v>
      </c>
      <c r="V434">
        <v>584052252.25225234</v>
      </c>
      <c r="W434">
        <v>7251</v>
      </c>
      <c r="X434">
        <v>7067</v>
      </c>
    </row>
    <row r="435" spans="1:24">
      <c r="A435" s="7" t="s">
        <v>533</v>
      </c>
      <c r="B435" s="16" t="s">
        <v>94</v>
      </c>
      <c r="C435">
        <v>472963032.91739815</v>
      </c>
      <c r="D435">
        <v>450837660.31459993</v>
      </c>
      <c r="E435">
        <v>284684.68468468601</v>
      </c>
      <c r="F435">
        <v>1448648.6486486511</v>
      </c>
      <c r="G435">
        <v>81</v>
      </c>
      <c r="H435">
        <v>89</v>
      </c>
      <c r="I435">
        <v>12</v>
      </c>
      <c r="J435">
        <v>12</v>
      </c>
      <c r="K435">
        <v>1</v>
      </c>
      <c r="M435">
        <v>87</v>
      </c>
      <c r="N435">
        <v>103</v>
      </c>
      <c r="O435">
        <v>41199099.0990991</v>
      </c>
      <c r="P435">
        <v>37036036.036036029</v>
      </c>
      <c r="Q435">
        <v>138</v>
      </c>
      <c r="R435">
        <v>321</v>
      </c>
      <c r="S435">
        <v>55635807.20720721</v>
      </c>
      <c r="T435">
        <v>60240981.981981985</v>
      </c>
      <c r="U435">
        <v>28077567.567567568</v>
      </c>
      <c r="V435">
        <v>25685855.855855856</v>
      </c>
      <c r="W435">
        <v>6298</v>
      </c>
      <c r="X435">
        <v>6422</v>
      </c>
    </row>
    <row r="436" spans="1:24">
      <c r="A436" s="7" t="s">
        <v>534</v>
      </c>
      <c r="B436" s="16" t="s">
        <v>304</v>
      </c>
      <c r="C436">
        <v>12042673.469181972</v>
      </c>
      <c r="D436">
        <v>12288143.204615563</v>
      </c>
      <c r="G436">
        <v>8</v>
      </c>
      <c r="H436">
        <v>4</v>
      </c>
      <c r="M436">
        <v>10</v>
      </c>
      <c r="N436">
        <v>4</v>
      </c>
      <c r="S436">
        <v>1079414.414414414</v>
      </c>
      <c r="T436">
        <v>2113108.1081081089</v>
      </c>
      <c r="W436">
        <v>248</v>
      </c>
      <c r="X436">
        <v>413</v>
      </c>
    </row>
    <row r="437" spans="1:24">
      <c r="A437" s="7" t="s">
        <v>535</v>
      </c>
      <c r="B437" s="16" t="s">
        <v>304</v>
      </c>
      <c r="C437">
        <v>192641631.94615889</v>
      </c>
      <c r="D437">
        <v>184353181.85812938</v>
      </c>
      <c r="E437">
        <v>1052252.252252253</v>
      </c>
      <c r="F437">
        <v>880180.18018018</v>
      </c>
      <c r="G437">
        <v>57</v>
      </c>
      <c r="H437">
        <v>19</v>
      </c>
      <c r="I437">
        <v>6</v>
      </c>
      <c r="J437">
        <v>3</v>
      </c>
      <c r="M437">
        <v>60</v>
      </c>
      <c r="N437">
        <v>26</v>
      </c>
      <c r="O437">
        <v>14349549.549549552</v>
      </c>
      <c r="P437">
        <v>14395495.495495494</v>
      </c>
      <c r="Q437">
        <v>120</v>
      </c>
      <c r="R437">
        <v>101</v>
      </c>
      <c r="S437">
        <v>16907477.477477476</v>
      </c>
      <c r="T437">
        <v>16678873.873873875</v>
      </c>
      <c r="U437">
        <v>8010810.81081081</v>
      </c>
      <c r="V437">
        <v>6913153.1531531531</v>
      </c>
      <c r="W437">
        <v>2865</v>
      </c>
      <c r="X437">
        <v>2773</v>
      </c>
    </row>
    <row r="438" spans="1:24">
      <c r="A438" s="7" t="s">
        <v>536</v>
      </c>
      <c r="B438" s="16" t="s">
        <v>85</v>
      </c>
      <c r="C438">
        <v>168982323.54822478</v>
      </c>
      <c r="D438">
        <v>164561269.7045483</v>
      </c>
      <c r="E438">
        <v>303603.60360360303</v>
      </c>
      <c r="F438">
        <v>1056756.7567567581</v>
      </c>
      <c r="G438">
        <v>172</v>
      </c>
      <c r="H438">
        <v>75</v>
      </c>
      <c r="I438">
        <v>6</v>
      </c>
      <c r="J438">
        <v>5</v>
      </c>
      <c r="M438">
        <v>185</v>
      </c>
      <c r="N438">
        <v>89</v>
      </c>
      <c r="O438">
        <v>61790090.090090089</v>
      </c>
      <c r="P438">
        <v>63117927.927927926</v>
      </c>
      <c r="Q438">
        <v>66</v>
      </c>
      <c r="R438">
        <v>64</v>
      </c>
      <c r="S438">
        <v>76382072.072072059</v>
      </c>
      <c r="T438">
        <v>73505927.927927941</v>
      </c>
      <c r="U438">
        <v>52852072.072072074</v>
      </c>
      <c r="V438">
        <v>53358288.288288288</v>
      </c>
      <c r="W438">
        <v>3222</v>
      </c>
      <c r="X438">
        <v>2973</v>
      </c>
    </row>
    <row r="439" spans="1:24">
      <c r="A439" s="7" t="s">
        <v>537</v>
      </c>
      <c r="B439" s="16" t="s">
        <v>448</v>
      </c>
      <c r="C439">
        <v>229929398.03171012</v>
      </c>
      <c r="D439">
        <v>226168933.11435238</v>
      </c>
      <c r="E439">
        <v>168468.46846847099</v>
      </c>
      <c r="F439">
        <v>2508108.1081081098</v>
      </c>
      <c r="G439">
        <v>403</v>
      </c>
      <c r="H439">
        <v>106</v>
      </c>
      <c r="I439">
        <v>6</v>
      </c>
      <c r="J439">
        <v>7</v>
      </c>
      <c r="M439">
        <v>411</v>
      </c>
      <c r="N439">
        <v>263</v>
      </c>
      <c r="O439">
        <v>16100315.315315315</v>
      </c>
      <c r="P439">
        <v>26541171.17117117</v>
      </c>
      <c r="Q439">
        <v>85</v>
      </c>
      <c r="R439">
        <v>16</v>
      </c>
      <c r="S439">
        <v>66749738.738738738</v>
      </c>
      <c r="T439">
        <v>63237529.729729727</v>
      </c>
      <c r="U439">
        <v>16305495.495495496</v>
      </c>
      <c r="V439">
        <v>27273153.153153151</v>
      </c>
      <c r="W439">
        <v>4784</v>
      </c>
      <c r="X439">
        <v>4995</v>
      </c>
    </row>
    <row r="440" spans="1:24">
      <c r="A440" s="7" t="s">
        <v>538</v>
      </c>
      <c r="B440" s="16" t="s">
        <v>117</v>
      </c>
      <c r="C440">
        <v>517075084.32130134</v>
      </c>
      <c r="D440">
        <v>514016663.1634053</v>
      </c>
      <c r="E440">
        <v>1882927.927927935</v>
      </c>
      <c r="F440">
        <v>10826351.351351352</v>
      </c>
      <c r="G440">
        <v>247</v>
      </c>
      <c r="H440">
        <v>164</v>
      </c>
      <c r="I440">
        <v>38</v>
      </c>
      <c r="J440">
        <v>40</v>
      </c>
      <c r="K440">
        <v>1</v>
      </c>
      <c r="M440">
        <v>293</v>
      </c>
      <c r="N440">
        <v>209</v>
      </c>
      <c r="O440">
        <v>98180399.0990991</v>
      </c>
      <c r="P440">
        <v>118918107.2072072</v>
      </c>
      <c r="Q440">
        <v>328</v>
      </c>
      <c r="R440">
        <v>139</v>
      </c>
      <c r="S440">
        <v>277236981.98198199</v>
      </c>
      <c r="T440">
        <v>293343108.1081081</v>
      </c>
      <c r="U440">
        <v>96291891.891891882</v>
      </c>
      <c r="V440">
        <v>109501531.53153151</v>
      </c>
      <c r="W440">
        <v>11340</v>
      </c>
      <c r="X440">
        <v>11196</v>
      </c>
    </row>
    <row r="441" spans="1:24">
      <c r="A441" s="7" t="s">
        <v>539</v>
      </c>
      <c r="B441" s="16" t="s">
        <v>83</v>
      </c>
      <c r="C441">
        <v>1622627231.235323</v>
      </c>
      <c r="D441">
        <v>1600655649.0987301</v>
      </c>
      <c r="E441">
        <v>69408108.108108118</v>
      </c>
      <c r="F441">
        <v>74810888.288288295</v>
      </c>
      <c r="G441">
        <v>261</v>
      </c>
      <c r="H441">
        <v>317</v>
      </c>
      <c r="I441">
        <v>22</v>
      </c>
      <c r="J441">
        <v>23</v>
      </c>
      <c r="K441">
        <v>1</v>
      </c>
      <c r="M441">
        <v>291</v>
      </c>
      <c r="N441">
        <v>362</v>
      </c>
      <c r="O441">
        <v>96876801.801801801</v>
      </c>
      <c r="P441">
        <v>100374180.18018018</v>
      </c>
      <c r="Q441">
        <v>264</v>
      </c>
      <c r="R441">
        <v>429</v>
      </c>
      <c r="S441">
        <v>165772518.91891891</v>
      </c>
      <c r="T441">
        <v>174663174.32432431</v>
      </c>
      <c r="U441">
        <v>78676890.090090096</v>
      </c>
      <c r="V441">
        <v>88329052.252252251</v>
      </c>
      <c r="W441">
        <v>21490</v>
      </c>
      <c r="X441">
        <v>21769</v>
      </c>
    </row>
    <row r="442" spans="1:24">
      <c r="A442" s="7" t="s">
        <v>540</v>
      </c>
      <c r="B442" s="16" t="s">
        <v>315</v>
      </c>
      <c r="C442">
        <v>192332836.5208579</v>
      </c>
      <c r="D442">
        <v>195660250.30497581</v>
      </c>
      <c r="E442">
        <v>44713905.40540541</v>
      </c>
      <c r="F442">
        <v>82036261.261261269</v>
      </c>
      <c r="G442">
        <v>24</v>
      </c>
      <c r="H442">
        <v>31</v>
      </c>
      <c r="I442">
        <v>1</v>
      </c>
      <c r="J442">
        <v>2</v>
      </c>
      <c r="M442">
        <v>25</v>
      </c>
      <c r="N442">
        <v>47</v>
      </c>
      <c r="O442">
        <v>16663963.963963963</v>
      </c>
      <c r="P442">
        <v>13418018.018018017</v>
      </c>
      <c r="R442">
        <v>51</v>
      </c>
      <c r="S442">
        <v>34922655.855855852</v>
      </c>
      <c r="T442">
        <v>37196981.981981985</v>
      </c>
      <c r="U442">
        <v>17423196.396396395</v>
      </c>
      <c r="V442">
        <v>11504864.864864863</v>
      </c>
      <c r="W442">
        <v>2526</v>
      </c>
      <c r="X442">
        <v>2454</v>
      </c>
    </row>
    <row r="443" spans="1:24">
      <c r="A443" s="7" t="s">
        <v>541</v>
      </c>
      <c r="B443" s="16" t="s">
        <v>169</v>
      </c>
      <c r="C443">
        <v>1413828947.118943</v>
      </c>
      <c r="D443">
        <v>1352854332.5245018</v>
      </c>
      <c r="E443">
        <v>1775225.2252252251</v>
      </c>
      <c r="F443">
        <v>3265765.7657657661</v>
      </c>
      <c r="G443">
        <v>161</v>
      </c>
      <c r="H443">
        <v>130</v>
      </c>
      <c r="I443">
        <v>8</v>
      </c>
      <c r="J443">
        <v>7</v>
      </c>
      <c r="K443">
        <v>2</v>
      </c>
      <c r="M443">
        <v>190</v>
      </c>
      <c r="N443">
        <v>230</v>
      </c>
      <c r="O443">
        <v>65212944.144144148</v>
      </c>
      <c r="P443">
        <v>83941509.009009004</v>
      </c>
      <c r="Q443">
        <v>466</v>
      </c>
      <c r="R443">
        <v>210</v>
      </c>
      <c r="S443">
        <v>500883072.07207209</v>
      </c>
      <c r="T443">
        <v>498885736.48648643</v>
      </c>
      <c r="U443">
        <v>63289369.369369365</v>
      </c>
      <c r="V443">
        <v>82785855.855855852</v>
      </c>
      <c r="W443">
        <v>21431</v>
      </c>
      <c r="X443">
        <v>22019</v>
      </c>
    </row>
    <row r="444" spans="1:24">
      <c r="A444" s="7" t="s">
        <v>542</v>
      </c>
      <c r="B444" s="16" t="s">
        <v>479</v>
      </c>
      <c r="C444">
        <v>427684829.08292657</v>
      </c>
      <c r="D444">
        <v>420562420.16692168</v>
      </c>
      <c r="E444">
        <v>143064562.16216215</v>
      </c>
      <c r="F444">
        <v>155473023.42342341</v>
      </c>
      <c r="G444">
        <v>36</v>
      </c>
      <c r="H444">
        <v>44</v>
      </c>
      <c r="I444">
        <v>0</v>
      </c>
      <c r="J444">
        <v>0</v>
      </c>
      <c r="M444">
        <v>43</v>
      </c>
      <c r="N444">
        <v>47</v>
      </c>
      <c r="O444">
        <v>19223893.693693686</v>
      </c>
      <c r="P444">
        <v>7653067.5675675664</v>
      </c>
      <c r="Q444">
        <v>3</v>
      </c>
      <c r="R444">
        <v>80</v>
      </c>
      <c r="S444">
        <v>54360486.486486487</v>
      </c>
      <c r="T444">
        <v>54142576.576576576</v>
      </c>
      <c r="U444">
        <v>8658108.1081081033</v>
      </c>
      <c r="V444">
        <v>2529909.9099099082</v>
      </c>
      <c r="W444">
        <v>5519</v>
      </c>
      <c r="X444">
        <v>5622</v>
      </c>
    </row>
    <row r="445" spans="1:24">
      <c r="A445" s="7" t="s">
        <v>543</v>
      </c>
      <c r="B445" s="16" t="s">
        <v>80</v>
      </c>
      <c r="C445">
        <v>120701407.71739681</v>
      </c>
      <c r="D445">
        <v>102934890.8989854</v>
      </c>
      <c r="E445">
        <v>172972.972972972</v>
      </c>
      <c r="F445">
        <v>867117.11711711704</v>
      </c>
      <c r="G445">
        <v>32</v>
      </c>
      <c r="H445">
        <v>34</v>
      </c>
      <c r="I445">
        <v>5</v>
      </c>
      <c r="J445">
        <v>4</v>
      </c>
      <c r="M445">
        <v>37</v>
      </c>
      <c r="N445">
        <v>41</v>
      </c>
      <c r="O445">
        <v>12865765.765765768</v>
      </c>
      <c r="P445">
        <v>27588738.738738734</v>
      </c>
      <c r="Q445">
        <v>32</v>
      </c>
      <c r="R445">
        <v>55</v>
      </c>
      <c r="S445">
        <v>42965216.216216214</v>
      </c>
      <c r="T445">
        <v>38139567.567567565</v>
      </c>
      <c r="U445">
        <v>10379819.819819819</v>
      </c>
      <c r="V445">
        <v>27311081.081081081</v>
      </c>
      <c r="W445">
        <v>2444</v>
      </c>
      <c r="X445">
        <v>2135</v>
      </c>
    </row>
    <row r="446" spans="1:24">
      <c r="A446" s="7" t="s">
        <v>544</v>
      </c>
      <c r="B446" s="16" t="s">
        <v>169</v>
      </c>
      <c r="C446">
        <v>147449082.52609238</v>
      </c>
      <c r="D446">
        <v>108838968.16572396</v>
      </c>
      <c r="E446">
        <v>135135.135135135</v>
      </c>
      <c r="F446">
        <v>277477.47747747699</v>
      </c>
      <c r="G446">
        <v>39</v>
      </c>
      <c r="H446">
        <v>16</v>
      </c>
      <c r="J446">
        <v>0</v>
      </c>
      <c r="M446">
        <v>39</v>
      </c>
      <c r="N446">
        <v>17</v>
      </c>
      <c r="O446">
        <v>4639639.6396396402</v>
      </c>
      <c r="P446">
        <v>1178378.378378378</v>
      </c>
      <c r="S446">
        <v>58832601.801801801</v>
      </c>
      <c r="T446">
        <v>45348097.297297299</v>
      </c>
      <c r="U446">
        <v>3330270.2702702698</v>
      </c>
      <c r="V446">
        <v>814054.05405405397</v>
      </c>
      <c r="W446">
        <v>2583</v>
      </c>
      <c r="X446">
        <v>2478</v>
      </c>
    </row>
    <row r="447" spans="1:24">
      <c r="A447" s="7" t="s">
        <v>545</v>
      </c>
      <c r="B447" s="16" t="s">
        <v>224</v>
      </c>
      <c r="C447">
        <v>26197.590816716001</v>
      </c>
      <c r="D447">
        <v>11466.203271963999</v>
      </c>
      <c r="S447">
        <v>10585.585585586001</v>
      </c>
    </row>
    <row r="448" spans="1:24">
      <c r="A448" s="7" t="s">
        <v>546</v>
      </c>
      <c r="B448" s="16" t="s">
        <v>136</v>
      </c>
      <c r="C448">
        <v>270864782.57157779</v>
      </c>
      <c r="D448">
        <v>265196392.54199952</v>
      </c>
      <c r="E448">
        <v>478828.82882882998</v>
      </c>
      <c r="F448">
        <v>975675.67567567795</v>
      </c>
      <c r="G448">
        <v>104</v>
      </c>
      <c r="H448">
        <v>83</v>
      </c>
      <c r="I448">
        <v>8</v>
      </c>
      <c r="J448">
        <v>7</v>
      </c>
      <c r="M448">
        <v>110</v>
      </c>
      <c r="N448">
        <v>93</v>
      </c>
      <c r="O448">
        <v>61359189.189189181</v>
      </c>
      <c r="P448">
        <v>56753153.153153151</v>
      </c>
      <c r="Q448">
        <v>56</v>
      </c>
      <c r="R448">
        <v>62</v>
      </c>
      <c r="S448">
        <v>89026927.927927941</v>
      </c>
      <c r="T448">
        <v>87434160.360360354</v>
      </c>
      <c r="U448">
        <v>51780540.540540546</v>
      </c>
      <c r="V448">
        <v>47307927.927927926</v>
      </c>
      <c r="W448">
        <v>4422</v>
      </c>
      <c r="X448">
        <v>4426</v>
      </c>
    </row>
    <row r="449" spans="1:24">
      <c r="A449" s="7" t="s">
        <v>547</v>
      </c>
      <c r="B449" s="16" t="s">
        <v>136</v>
      </c>
      <c r="C449">
        <v>501886497.44425786</v>
      </c>
      <c r="D449">
        <v>500222771.63223666</v>
      </c>
      <c r="E449">
        <v>337407372.07207209</v>
      </c>
      <c r="F449">
        <v>269226011.7117117</v>
      </c>
      <c r="G449">
        <v>328</v>
      </c>
      <c r="H449">
        <v>232</v>
      </c>
      <c r="I449">
        <v>21</v>
      </c>
      <c r="J449">
        <v>20</v>
      </c>
      <c r="K449">
        <v>4</v>
      </c>
      <c r="M449">
        <v>357</v>
      </c>
      <c r="N449">
        <v>281</v>
      </c>
      <c r="O449">
        <v>130148648.64864863</v>
      </c>
      <c r="P449">
        <v>122991891.89189188</v>
      </c>
      <c r="Q449">
        <v>375</v>
      </c>
      <c r="R449">
        <v>155</v>
      </c>
      <c r="S449">
        <v>166328416.21621624</v>
      </c>
      <c r="T449">
        <v>165933831.53153151</v>
      </c>
      <c r="U449">
        <v>112380583.78378379</v>
      </c>
      <c r="V449">
        <v>107207063.06306306</v>
      </c>
      <c r="W449">
        <v>12482</v>
      </c>
      <c r="X449">
        <v>12697</v>
      </c>
    </row>
    <row r="450" spans="1:24">
      <c r="A450" s="7" t="s">
        <v>548</v>
      </c>
      <c r="B450" s="16" t="s">
        <v>136</v>
      </c>
      <c r="C450">
        <v>584345065.77203012</v>
      </c>
      <c r="D450">
        <v>562313241.35476148</v>
      </c>
      <c r="E450">
        <v>2316216.2162162149</v>
      </c>
      <c r="F450">
        <v>4485585.5855855877</v>
      </c>
      <c r="G450">
        <v>156</v>
      </c>
      <c r="H450">
        <v>82</v>
      </c>
      <c r="I450">
        <v>7</v>
      </c>
      <c r="J450">
        <v>3</v>
      </c>
      <c r="M450">
        <v>168</v>
      </c>
      <c r="N450">
        <v>93</v>
      </c>
      <c r="O450">
        <v>28262612.612612616</v>
      </c>
      <c r="P450">
        <v>20341441.441441443</v>
      </c>
      <c r="Q450">
        <v>78</v>
      </c>
      <c r="R450">
        <v>28</v>
      </c>
      <c r="S450">
        <v>91241657.657657668</v>
      </c>
      <c r="T450">
        <v>91911016.216216221</v>
      </c>
      <c r="U450">
        <v>24979729.729729731</v>
      </c>
      <c r="V450">
        <v>20097837.837837841</v>
      </c>
      <c r="W450">
        <v>8137</v>
      </c>
      <c r="X450">
        <v>8348</v>
      </c>
    </row>
    <row r="451" spans="1:24">
      <c r="A451" s="7" t="s">
        <v>549</v>
      </c>
      <c r="B451" s="16" t="s">
        <v>136</v>
      </c>
      <c r="C451">
        <v>275881606.92940891</v>
      </c>
      <c r="D451">
        <v>235358137.08755738</v>
      </c>
      <c r="E451">
        <v>352252.25225225301</v>
      </c>
      <c r="F451">
        <v>605405.40540540603</v>
      </c>
      <c r="G451">
        <v>59</v>
      </c>
      <c r="H451">
        <v>41</v>
      </c>
      <c r="I451">
        <v>6</v>
      </c>
      <c r="J451">
        <v>3</v>
      </c>
      <c r="M451">
        <v>64</v>
      </c>
      <c r="N451">
        <v>46</v>
      </c>
      <c r="O451">
        <v>22029909.909909911</v>
      </c>
      <c r="P451">
        <v>19154954.954954952</v>
      </c>
      <c r="Q451">
        <v>18</v>
      </c>
      <c r="R451">
        <v>15</v>
      </c>
      <c r="S451">
        <v>47494187.387387387</v>
      </c>
      <c r="T451">
        <v>39485918.918918923</v>
      </c>
      <c r="U451">
        <v>19224187.387387391</v>
      </c>
      <c r="V451">
        <v>14511441.441441439</v>
      </c>
      <c r="W451">
        <v>3754</v>
      </c>
      <c r="X451">
        <v>3794</v>
      </c>
    </row>
    <row r="452" spans="1:24">
      <c r="A452" s="7" t="s">
        <v>550</v>
      </c>
      <c r="B452" s="16" t="s">
        <v>87</v>
      </c>
      <c r="C452">
        <v>111252378.83723529</v>
      </c>
      <c r="D452">
        <v>97456024.883275777</v>
      </c>
      <c r="E452">
        <v>5419819.8198198201</v>
      </c>
      <c r="F452">
        <v>3762162.1621621628</v>
      </c>
      <c r="G452">
        <v>67</v>
      </c>
      <c r="H452">
        <v>46</v>
      </c>
      <c r="I452">
        <v>2</v>
      </c>
      <c r="J452">
        <v>2</v>
      </c>
      <c r="M452">
        <v>70</v>
      </c>
      <c r="N452">
        <v>61</v>
      </c>
      <c r="O452">
        <v>7015765.7657657657</v>
      </c>
      <c r="P452">
        <v>6082882.8828828838</v>
      </c>
      <c r="Q452">
        <v>9</v>
      </c>
      <c r="R452">
        <v>21</v>
      </c>
      <c r="S452">
        <v>18710924.324324325</v>
      </c>
      <c r="T452">
        <v>15665619.819819819</v>
      </c>
      <c r="U452">
        <v>6069909.9099099096</v>
      </c>
      <c r="V452">
        <v>5918648.6486486495</v>
      </c>
      <c r="W452">
        <v>1415</v>
      </c>
      <c r="X452">
        <v>1452</v>
      </c>
    </row>
    <row r="453" spans="1:24">
      <c r="A453" s="7" t="s">
        <v>551</v>
      </c>
      <c r="B453" s="16" t="s">
        <v>87</v>
      </c>
      <c r="C453">
        <v>161551462.00297502</v>
      </c>
      <c r="D453">
        <v>147316651.64036071</v>
      </c>
      <c r="E453">
        <v>51351.351351352001</v>
      </c>
      <c r="F453">
        <v>527027.02702702803</v>
      </c>
      <c r="G453">
        <v>145</v>
      </c>
      <c r="H453">
        <v>83</v>
      </c>
      <c r="I453">
        <v>4</v>
      </c>
      <c r="J453">
        <v>3</v>
      </c>
      <c r="K453">
        <v>1</v>
      </c>
      <c r="M453">
        <v>156</v>
      </c>
      <c r="N453">
        <v>109</v>
      </c>
      <c r="O453">
        <v>14709009.009009007</v>
      </c>
      <c r="P453">
        <v>11892792.792792792</v>
      </c>
      <c r="Q453">
        <v>6</v>
      </c>
      <c r="R453">
        <v>13</v>
      </c>
      <c r="S453">
        <v>22299144.144144144</v>
      </c>
      <c r="T453">
        <v>21852646.846846849</v>
      </c>
      <c r="U453">
        <v>10281621.621621622</v>
      </c>
      <c r="V453">
        <v>8684774.7747747749</v>
      </c>
      <c r="W453">
        <v>2654</v>
      </c>
      <c r="X453">
        <v>2597</v>
      </c>
    </row>
    <row r="454" spans="1:24">
      <c r="A454" s="7" t="s">
        <v>552</v>
      </c>
      <c r="B454" s="16" t="s">
        <v>66</v>
      </c>
      <c r="C454">
        <v>301288784.30095476</v>
      </c>
      <c r="D454">
        <v>296801553.48334521</v>
      </c>
      <c r="E454">
        <v>2089819.819819822</v>
      </c>
      <c r="F454">
        <v>10731531.531531535</v>
      </c>
      <c r="G454">
        <v>222</v>
      </c>
      <c r="H454">
        <v>94</v>
      </c>
      <c r="I454">
        <v>12</v>
      </c>
      <c r="J454">
        <v>14</v>
      </c>
      <c r="K454">
        <v>1</v>
      </c>
      <c r="M454">
        <v>273</v>
      </c>
      <c r="N454">
        <v>209</v>
      </c>
      <c r="O454">
        <v>60097927.927927926</v>
      </c>
      <c r="P454">
        <v>208893243.24324322</v>
      </c>
      <c r="Q454">
        <v>514</v>
      </c>
      <c r="R454">
        <v>221</v>
      </c>
      <c r="S454">
        <v>127763288.2882883</v>
      </c>
      <c r="T454">
        <v>126903957.2072072</v>
      </c>
      <c r="U454">
        <v>59123513.51351352</v>
      </c>
      <c r="V454">
        <v>192344144.14414415</v>
      </c>
      <c r="W454">
        <v>8810</v>
      </c>
      <c r="X454">
        <v>9123</v>
      </c>
    </row>
    <row r="455" spans="1:24">
      <c r="A455" s="7" t="s">
        <v>553</v>
      </c>
      <c r="B455" s="16" t="s">
        <v>554</v>
      </c>
      <c r="C455">
        <v>627268299.82236302</v>
      </c>
      <c r="D455">
        <v>588594674.69057882</v>
      </c>
      <c r="E455">
        <v>10445045.045045044</v>
      </c>
      <c r="F455">
        <v>12459009.009009011</v>
      </c>
      <c r="G455">
        <v>290</v>
      </c>
      <c r="H455">
        <v>123</v>
      </c>
      <c r="I455">
        <v>17</v>
      </c>
      <c r="J455">
        <v>18</v>
      </c>
      <c r="K455">
        <v>1</v>
      </c>
      <c r="M455">
        <v>366</v>
      </c>
      <c r="N455">
        <v>157</v>
      </c>
      <c r="O455">
        <v>113826396.3963964</v>
      </c>
      <c r="P455">
        <v>217335135.13513514</v>
      </c>
      <c r="Q455">
        <v>138</v>
      </c>
      <c r="R455">
        <v>341</v>
      </c>
      <c r="S455">
        <v>165712729.72972974</v>
      </c>
      <c r="T455">
        <v>160162630.63063061</v>
      </c>
      <c r="U455">
        <v>108935765.76576576</v>
      </c>
      <c r="V455">
        <v>208200900.9009009</v>
      </c>
      <c r="W455">
        <v>9183</v>
      </c>
      <c r="X455">
        <v>9622</v>
      </c>
    </row>
    <row r="456" spans="1:24">
      <c r="A456" s="7" t="s">
        <v>555</v>
      </c>
      <c r="B456" s="16" t="s">
        <v>554</v>
      </c>
      <c r="C456">
        <v>100777607.38762602</v>
      </c>
      <c r="D456">
        <v>90568324.06163007</v>
      </c>
      <c r="E456">
        <v>104590720.72072072</v>
      </c>
      <c r="F456">
        <v>184542377.47747746</v>
      </c>
      <c r="G456">
        <v>53</v>
      </c>
      <c r="H456">
        <v>34</v>
      </c>
      <c r="I456">
        <v>3</v>
      </c>
      <c r="J456">
        <v>3</v>
      </c>
      <c r="M456">
        <v>55</v>
      </c>
      <c r="N456">
        <v>36</v>
      </c>
      <c r="O456">
        <v>14498918.918918921</v>
      </c>
      <c r="P456">
        <v>22824324.324324328</v>
      </c>
      <c r="Q456">
        <v>20</v>
      </c>
      <c r="R456">
        <v>23</v>
      </c>
      <c r="S456">
        <v>37131846.846846849</v>
      </c>
      <c r="T456">
        <v>32393504.504504506</v>
      </c>
      <c r="U456">
        <v>10442342.342342341</v>
      </c>
      <c r="V456">
        <v>11643063.063063065</v>
      </c>
      <c r="W456">
        <v>1549</v>
      </c>
      <c r="X456">
        <v>1452</v>
      </c>
    </row>
    <row r="457" spans="1:24">
      <c r="A457" s="7" t="s">
        <v>556</v>
      </c>
      <c r="B457" s="16" t="s">
        <v>121</v>
      </c>
      <c r="C457">
        <v>72563541.492201179</v>
      </c>
      <c r="D457">
        <v>66638384.463220447</v>
      </c>
      <c r="E457">
        <v>315315.31531531498</v>
      </c>
      <c r="F457">
        <v>315315.31531531498</v>
      </c>
      <c r="G457">
        <v>59</v>
      </c>
      <c r="H457">
        <v>32</v>
      </c>
      <c r="I457">
        <v>1</v>
      </c>
      <c r="M457">
        <v>62</v>
      </c>
      <c r="N457">
        <v>37</v>
      </c>
      <c r="O457">
        <v>414414.41441441397</v>
      </c>
      <c r="P457">
        <v>315315.31531531498</v>
      </c>
      <c r="Q457">
        <v>11</v>
      </c>
      <c r="S457">
        <v>6817027.0270270277</v>
      </c>
      <c r="T457">
        <v>6005756.7567567583</v>
      </c>
      <c r="U457">
        <v>523873.87387387402</v>
      </c>
      <c r="V457">
        <v>190720.720720721</v>
      </c>
      <c r="W457">
        <v>1421</v>
      </c>
      <c r="X457">
        <v>1387</v>
      </c>
    </row>
    <row r="458" spans="1:24">
      <c r="A458" s="7" t="s">
        <v>557</v>
      </c>
      <c r="B458" s="16" t="s">
        <v>70</v>
      </c>
      <c r="C458">
        <v>545589500.21007359</v>
      </c>
      <c r="D458">
        <v>539335769.11121988</v>
      </c>
      <c r="E458">
        <v>78169099.0990991</v>
      </c>
      <c r="F458">
        <v>82965765.765765771</v>
      </c>
      <c r="G458">
        <v>124</v>
      </c>
      <c r="H458">
        <v>118</v>
      </c>
      <c r="I458">
        <v>10</v>
      </c>
      <c r="J458">
        <v>23</v>
      </c>
      <c r="M458">
        <v>139</v>
      </c>
      <c r="N458">
        <v>170</v>
      </c>
      <c r="O458">
        <v>83346351.351351365</v>
      </c>
      <c r="P458">
        <v>101849099.0990991</v>
      </c>
      <c r="Q458">
        <v>331</v>
      </c>
      <c r="R458">
        <v>283</v>
      </c>
      <c r="S458">
        <v>224710927.92792794</v>
      </c>
      <c r="T458">
        <v>226407855.85585585</v>
      </c>
      <c r="U458">
        <v>75442612.612612605</v>
      </c>
      <c r="V458">
        <v>74432072.072072074</v>
      </c>
      <c r="W458">
        <v>10812</v>
      </c>
      <c r="X458">
        <v>10324</v>
      </c>
    </row>
    <row r="459" spans="1:24">
      <c r="A459" s="7" t="s">
        <v>558</v>
      </c>
      <c r="B459" s="16" t="s">
        <v>62</v>
      </c>
      <c r="C459">
        <v>976646540.14014053</v>
      </c>
      <c r="D459">
        <v>978049441.35962856</v>
      </c>
      <c r="E459">
        <v>6233333.3333333433</v>
      </c>
      <c r="F459">
        <v>15991891.891891899</v>
      </c>
      <c r="G459">
        <v>319</v>
      </c>
      <c r="H459">
        <v>408</v>
      </c>
      <c r="I459">
        <v>44</v>
      </c>
      <c r="J459">
        <v>26</v>
      </c>
      <c r="K459">
        <v>10</v>
      </c>
      <c r="M459">
        <v>409</v>
      </c>
      <c r="N459">
        <v>703</v>
      </c>
      <c r="O459">
        <v>76126756.756756753</v>
      </c>
      <c r="P459">
        <v>142571711.7117117</v>
      </c>
      <c r="Q459">
        <v>313</v>
      </c>
      <c r="R459">
        <v>318</v>
      </c>
      <c r="S459">
        <v>232025295.4954955</v>
      </c>
      <c r="T459">
        <v>227706612.61261261</v>
      </c>
      <c r="U459">
        <v>74410180.180180177</v>
      </c>
      <c r="V459">
        <v>139158288.2882883</v>
      </c>
      <c r="W459">
        <v>18196</v>
      </c>
      <c r="X459">
        <v>18084</v>
      </c>
    </row>
    <row r="460" spans="1:24">
      <c r="A460" s="7" t="s">
        <v>559</v>
      </c>
      <c r="B460" s="16" t="s">
        <v>479</v>
      </c>
      <c r="C460">
        <v>517035138.00876087</v>
      </c>
      <c r="D460">
        <v>460661487.91106194</v>
      </c>
      <c r="E460">
        <v>951351.35135134996</v>
      </c>
      <c r="F460">
        <v>4731531.5315315332</v>
      </c>
      <c r="G460">
        <v>253</v>
      </c>
      <c r="H460">
        <v>176</v>
      </c>
      <c r="I460">
        <v>22</v>
      </c>
      <c r="J460">
        <v>26</v>
      </c>
      <c r="K460">
        <v>2</v>
      </c>
      <c r="M460">
        <v>260</v>
      </c>
      <c r="N460">
        <v>217</v>
      </c>
      <c r="O460">
        <v>49678558.558558561</v>
      </c>
      <c r="P460">
        <v>69333783.783783779</v>
      </c>
      <c r="Q460">
        <v>20</v>
      </c>
      <c r="R460">
        <v>119</v>
      </c>
      <c r="S460">
        <v>148872628.82882884</v>
      </c>
      <c r="T460">
        <v>141155489.1891892</v>
      </c>
      <c r="U460">
        <v>49425675.675675683</v>
      </c>
      <c r="V460">
        <v>60672612.612612613</v>
      </c>
      <c r="W460">
        <v>8042</v>
      </c>
      <c r="X460">
        <v>8044</v>
      </c>
    </row>
    <row r="461" spans="1:24">
      <c r="A461" s="7" t="s">
        <v>560</v>
      </c>
      <c r="B461" s="16" t="s">
        <v>236</v>
      </c>
      <c r="C461">
        <v>80441545.341034174</v>
      </c>
      <c r="D461">
        <v>80006550.845630065</v>
      </c>
      <c r="E461">
        <v>43243.243243245</v>
      </c>
      <c r="F461">
        <v>1321621.6216216211</v>
      </c>
      <c r="G461">
        <v>36</v>
      </c>
      <c r="H461">
        <v>26</v>
      </c>
      <c r="I461">
        <v>4</v>
      </c>
      <c r="J461">
        <v>1</v>
      </c>
      <c r="M461">
        <v>42</v>
      </c>
      <c r="N461">
        <v>60</v>
      </c>
      <c r="O461">
        <v>5483783.7837837832</v>
      </c>
      <c r="P461">
        <v>6133963.963963964</v>
      </c>
      <c r="Q461">
        <v>3</v>
      </c>
      <c r="R461">
        <v>20</v>
      </c>
      <c r="S461">
        <v>31042387.387387387</v>
      </c>
      <c r="T461">
        <v>29606684.684684686</v>
      </c>
      <c r="U461">
        <v>5971981.9819819815</v>
      </c>
      <c r="V461">
        <v>5941891.8918918902</v>
      </c>
      <c r="W461">
        <v>2388</v>
      </c>
      <c r="X461">
        <v>2165</v>
      </c>
    </row>
    <row r="462" spans="1:24">
      <c r="A462" s="7" t="s">
        <v>561</v>
      </c>
      <c r="B462" s="16" t="s">
        <v>60</v>
      </c>
      <c r="C462">
        <v>76012322.440031439</v>
      </c>
      <c r="D462">
        <v>75236968.396181762</v>
      </c>
      <c r="E462">
        <v>766216.21621621796</v>
      </c>
      <c r="F462">
        <v>3186486.4864864852</v>
      </c>
      <c r="G462">
        <v>22</v>
      </c>
      <c r="H462">
        <v>28</v>
      </c>
      <c r="I462">
        <v>3</v>
      </c>
      <c r="J462">
        <v>8</v>
      </c>
      <c r="M462">
        <v>25</v>
      </c>
      <c r="N462">
        <v>44</v>
      </c>
      <c r="O462">
        <v>16865315.315315314</v>
      </c>
      <c r="P462">
        <v>21428828.82882883</v>
      </c>
      <c r="Q462">
        <v>76</v>
      </c>
      <c r="R462">
        <v>88</v>
      </c>
      <c r="S462">
        <v>26395180.180180181</v>
      </c>
      <c r="T462">
        <v>26842702.702702705</v>
      </c>
      <c r="U462">
        <v>16516486.486486483</v>
      </c>
      <c r="V462">
        <v>21215585.585585587</v>
      </c>
      <c r="W462">
        <v>1192</v>
      </c>
      <c r="X462">
        <v>1268</v>
      </c>
    </row>
    <row r="463" spans="1:24">
      <c r="A463" s="7" t="s">
        <v>562</v>
      </c>
      <c r="B463" s="16" t="s">
        <v>563</v>
      </c>
      <c r="C463">
        <v>425695839.06314462</v>
      </c>
      <c r="D463">
        <v>423572892.86572802</v>
      </c>
      <c r="E463">
        <v>1653547397.2972975</v>
      </c>
      <c r="F463">
        <v>1038307081.081081</v>
      </c>
      <c r="G463">
        <v>477</v>
      </c>
      <c r="H463">
        <v>533</v>
      </c>
      <c r="I463">
        <v>22</v>
      </c>
      <c r="J463">
        <v>28</v>
      </c>
      <c r="K463">
        <v>4</v>
      </c>
      <c r="M463">
        <v>658</v>
      </c>
      <c r="N463">
        <v>1017</v>
      </c>
      <c r="O463">
        <v>699931225.22522521</v>
      </c>
      <c r="P463">
        <v>712879475.67567563</v>
      </c>
      <c r="Q463">
        <v>532</v>
      </c>
      <c r="R463">
        <v>367</v>
      </c>
      <c r="S463">
        <v>173329684.68468466</v>
      </c>
      <c r="T463">
        <v>179596711.7117117</v>
      </c>
      <c r="U463">
        <v>711304592.7927928</v>
      </c>
      <c r="V463">
        <v>560153198.1981982</v>
      </c>
      <c r="W463">
        <v>10209</v>
      </c>
      <c r="X463">
        <v>8883</v>
      </c>
    </row>
    <row r="464" spans="1:24">
      <c r="A464" s="7" t="s">
        <v>564</v>
      </c>
      <c r="B464" s="16" t="s">
        <v>563</v>
      </c>
      <c r="C464">
        <v>577895019.57593</v>
      </c>
      <c r="D464">
        <v>576355309.04324973</v>
      </c>
      <c r="E464">
        <v>1916576.5765765819</v>
      </c>
      <c r="F464">
        <v>7532432.4324324336</v>
      </c>
      <c r="G464">
        <v>232</v>
      </c>
      <c r="H464">
        <v>194</v>
      </c>
      <c r="I464">
        <v>31</v>
      </c>
      <c r="J464">
        <v>29</v>
      </c>
      <c r="K464">
        <v>1</v>
      </c>
      <c r="M464">
        <v>269</v>
      </c>
      <c r="N464">
        <v>239</v>
      </c>
      <c r="O464">
        <v>66614504.504504502</v>
      </c>
      <c r="P464">
        <v>62364281.08108107</v>
      </c>
      <c r="Q464">
        <v>653</v>
      </c>
      <c r="R464">
        <v>238</v>
      </c>
      <c r="S464">
        <v>235133963.96396396</v>
      </c>
      <c r="T464">
        <v>239049099.0990991</v>
      </c>
      <c r="U464">
        <v>76787747.747747749</v>
      </c>
      <c r="V464">
        <v>75620180.180180177</v>
      </c>
      <c r="W464">
        <v>11931</v>
      </c>
      <c r="X464">
        <v>11799</v>
      </c>
    </row>
    <row r="465" spans="1:24">
      <c r="A465" s="7" t="s">
        <v>565</v>
      </c>
      <c r="B465" s="16" t="s">
        <v>563</v>
      </c>
      <c r="C465">
        <v>427968732.73159695</v>
      </c>
      <c r="D465">
        <v>416492330.66905302</v>
      </c>
      <c r="E465">
        <v>38841171.171171166</v>
      </c>
      <c r="F465">
        <v>118785405.4054054</v>
      </c>
      <c r="G465">
        <v>189</v>
      </c>
      <c r="H465">
        <v>303</v>
      </c>
      <c r="I465">
        <v>25</v>
      </c>
      <c r="J465">
        <v>22</v>
      </c>
      <c r="K465">
        <v>1</v>
      </c>
      <c r="M465">
        <v>613</v>
      </c>
      <c r="N465">
        <v>397</v>
      </c>
      <c r="O465">
        <v>257328333.33333334</v>
      </c>
      <c r="P465">
        <v>71425406.306306303</v>
      </c>
      <c r="Q465">
        <v>441</v>
      </c>
      <c r="R465">
        <v>431</v>
      </c>
      <c r="S465">
        <v>191442468.46846849</v>
      </c>
      <c r="T465">
        <v>184642837.83783782</v>
      </c>
      <c r="U465">
        <v>255393513.51351351</v>
      </c>
      <c r="V465">
        <v>50624594.59459459</v>
      </c>
      <c r="W465">
        <v>12040</v>
      </c>
      <c r="X465">
        <v>11701</v>
      </c>
    </row>
    <row r="466" spans="1:24">
      <c r="A466" s="7" t="s">
        <v>566</v>
      </c>
      <c r="B466" s="16" t="s">
        <v>563</v>
      </c>
      <c r="C466">
        <v>266193004.82927719</v>
      </c>
      <c r="D466">
        <v>274525426.48203176</v>
      </c>
      <c r="E466">
        <v>370270.27027027198</v>
      </c>
      <c r="F466">
        <v>5736036.0360360388</v>
      </c>
      <c r="G466">
        <v>56</v>
      </c>
      <c r="H466">
        <v>31</v>
      </c>
      <c r="I466">
        <v>16</v>
      </c>
      <c r="J466">
        <v>16</v>
      </c>
      <c r="M466">
        <v>62</v>
      </c>
      <c r="N466">
        <v>40</v>
      </c>
      <c r="O466">
        <v>41622119.819819823</v>
      </c>
      <c r="P466">
        <v>58009385.585585587</v>
      </c>
      <c r="Q466">
        <v>87</v>
      </c>
      <c r="R466">
        <v>625</v>
      </c>
      <c r="S466">
        <v>152535981.98198199</v>
      </c>
      <c r="T466">
        <v>162897306.3063063</v>
      </c>
      <c r="U466">
        <v>40283018.018018015</v>
      </c>
      <c r="V466">
        <v>58109144.144144148</v>
      </c>
      <c r="W466">
        <v>6425</v>
      </c>
      <c r="X466">
        <v>6646</v>
      </c>
    </row>
    <row r="467" spans="1:24">
      <c r="A467" s="7" t="s">
        <v>567</v>
      </c>
      <c r="B467" s="16" t="s">
        <v>563</v>
      </c>
      <c r="C467">
        <v>160156834.12424237</v>
      </c>
      <c r="D467">
        <v>160549211.75357276</v>
      </c>
      <c r="E467">
        <v>485135.13513513398</v>
      </c>
      <c r="F467">
        <v>4689189.1891891891</v>
      </c>
      <c r="G467">
        <v>57</v>
      </c>
      <c r="H467">
        <v>47</v>
      </c>
      <c r="I467">
        <v>19</v>
      </c>
      <c r="J467">
        <v>18</v>
      </c>
      <c r="K467">
        <v>6</v>
      </c>
      <c r="M467">
        <v>66</v>
      </c>
      <c r="N467">
        <v>60</v>
      </c>
      <c r="O467">
        <v>42886081.081081077</v>
      </c>
      <c r="P467">
        <v>35338326.126126125</v>
      </c>
      <c r="Q467">
        <v>529</v>
      </c>
      <c r="R467">
        <v>116</v>
      </c>
      <c r="S467">
        <v>64665090.090090089</v>
      </c>
      <c r="T467">
        <v>65929628.828828834</v>
      </c>
      <c r="U467">
        <v>45828513.513513513</v>
      </c>
      <c r="V467">
        <v>35801261.261261262</v>
      </c>
      <c r="W467">
        <v>4492</v>
      </c>
      <c r="X467">
        <v>4640</v>
      </c>
    </row>
    <row r="468" spans="1:24">
      <c r="A468" s="7" t="s">
        <v>568</v>
      </c>
      <c r="B468" s="16" t="s">
        <v>48</v>
      </c>
      <c r="C468">
        <v>377201675.20214593</v>
      </c>
      <c r="D468">
        <v>357113345.76943815</v>
      </c>
      <c r="E468">
        <v>205855.85585585699</v>
      </c>
      <c r="F468">
        <v>1454054.054054054</v>
      </c>
      <c r="G468">
        <v>18</v>
      </c>
      <c r="H468">
        <v>9</v>
      </c>
      <c r="I468">
        <v>7</v>
      </c>
      <c r="J468">
        <v>6</v>
      </c>
      <c r="M468">
        <v>21</v>
      </c>
      <c r="N468">
        <v>60</v>
      </c>
      <c r="O468">
        <v>17322972.972972974</v>
      </c>
      <c r="P468">
        <v>16571171.171171172</v>
      </c>
      <c r="R468">
        <v>32</v>
      </c>
      <c r="S468">
        <v>44074223.423423424</v>
      </c>
      <c r="T468">
        <v>44632409.009009011</v>
      </c>
      <c r="U468">
        <v>19088558.558558561</v>
      </c>
      <c r="V468">
        <v>18794774.774774775</v>
      </c>
      <c r="W468">
        <v>6283</v>
      </c>
      <c r="X468">
        <v>6046</v>
      </c>
    </row>
    <row r="469" spans="1:24">
      <c r="A469" s="7" t="s">
        <v>569</v>
      </c>
      <c r="B469" s="16" t="s">
        <v>169</v>
      </c>
      <c r="C469">
        <v>4988891883.4776068</v>
      </c>
      <c r="D469">
        <v>4962872003.5265474</v>
      </c>
      <c r="E469">
        <v>4076279426.1261263</v>
      </c>
      <c r="F469">
        <v>3342387811.7117119</v>
      </c>
      <c r="G469">
        <v>1297</v>
      </c>
      <c r="H469">
        <v>1305</v>
      </c>
      <c r="I469">
        <v>92</v>
      </c>
      <c r="J469">
        <v>73</v>
      </c>
      <c r="K469">
        <v>10</v>
      </c>
      <c r="M469">
        <v>1568</v>
      </c>
      <c r="N469">
        <v>2344</v>
      </c>
      <c r="O469">
        <v>1552381267.5675676</v>
      </c>
      <c r="P469">
        <v>667841270.27027035</v>
      </c>
      <c r="Q469">
        <v>2000</v>
      </c>
      <c r="R469">
        <v>1384</v>
      </c>
      <c r="S469">
        <v>2963615140.5405402</v>
      </c>
      <c r="T469">
        <v>3038723957.6576576</v>
      </c>
      <c r="U469">
        <v>1325359142.3423424</v>
      </c>
      <c r="V469">
        <v>651570760.36036026</v>
      </c>
      <c r="W469">
        <v>56750</v>
      </c>
      <c r="X469">
        <v>54810</v>
      </c>
    </row>
    <row r="470" spans="1:24">
      <c r="A470" s="7" t="s">
        <v>676</v>
      </c>
      <c r="B470" s="16" t="s">
        <v>214</v>
      </c>
      <c r="E470">
        <v>178848648.64864865</v>
      </c>
      <c r="F470">
        <v>2477477.4774774769</v>
      </c>
      <c r="O470">
        <v>391891.89189189201</v>
      </c>
      <c r="P470">
        <v>1722522.5225225231</v>
      </c>
    </row>
    <row r="471" spans="1:24">
      <c r="A471" s="7" t="s">
        <v>570</v>
      </c>
      <c r="B471" s="16" t="s">
        <v>220</v>
      </c>
      <c r="C471">
        <v>351963692.91251719</v>
      </c>
      <c r="D471">
        <v>312910258.30753702</v>
      </c>
      <c r="E471">
        <v>965765.76576576801</v>
      </c>
      <c r="F471">
        <v>1550450.450450453</v>
      </c>
      <c r="G471">
        <v>43</v>
      </c>
      <c r="H471">
        <v>30</v>
      </c>
      <c r="I471">
        <v>7</v>
      </c>
      <c r="J471">
        <v>5</v>
      </c>
      <c r="M471">
        <v>48</v>
      </c>
      <c r="N471">
        <v>34</v>
      </c>
      <c r="O471">
        <v>12886936.936936939</v>
      </c>
      <c r="P471">
        <v>14454684.684684685</v>
      </c>
      <c r="Q471">
        <v>151</v>
      </c>
      <c r="S471">
        <v>57485630.630630635</v>
      </c>
      <c r="T471">
        <v>51925927.927927926</v>
      </c>
      <c r="U471">
        <v>13665045.045045046</v>
      </c>
      <c r="V471">
        <v>13439189.189189188</v>
      </c>
      <c r="W471">
        <v>5146</v>
      </c>
      <c r="X471">
        <v>4457</v>
      </c>
    </row>
    <row r="472" spans="1:24">
      <c r="A472" s="7" t="s">
        <v>571</v>
      </c>
      <c r="B472" s="16" t="s">
        <v>85</v>
      </c>
      <c r="C472">
        <v>386927423.63021827</v>
      </c>
      <c r="D472">
        <v>388673039.31762916</v>
      </c>
      <c r="E472">
        <v>833333.33333333302</v>
      </c>
      <c r="F472">
        <v>789189.18918919098</v>
      </c>
      <c r="G472">
        <v>20</v>
      </c>
      <c r="H472">
        <v>48</v>
      </c>
      <c r="I472">
        <v>3</v>
      </c>
      <c r="J472">
        <v>3</v>
      </c>
      <c r="K472">
        <v>1</v>
      </c>
      <c r="M472">
        <v>22</v>
      </c>
      <c r="N472">
        <v>54</v>
      </c>
      <c r="O472">
        <v>18310810.810810812</v>
      </c>
      <c r="P472">
        <v>52178456.75675676</v>
      </c>
      <c r="Q472">
        <v>190</v>
      </c>
      <c r="R472">
        <v>12</v>
      </c>
      <c r="S472">
        <v>88326967.567567572</v>
      </c>
      <c r="T472">
        <v>88634250.45045045</v>
      </c>
      <c r="U472">
        <v>18542432.432432432</v>
      </c>
      <c r="V472">
        <v>38509279.279279277</v>
      </c>
      <c r="W472">
        <v>4827</v>
      </c>
      <c r="X472">
        <v>5018</v>
      </c>
    </row>
    <row r="473" spans="1:24">
      <c r="A473" s="7" t="s">
        <v>572</v>
      </c>
      <c r="B473" s="16" t="s">
        <v>479</v>
      </c>
      <c r="C473">
        <v>192791056.48960453</v>
      </c>
      <c r="D473">
        <v>202825302.83661741</v>
      </c>
      <c r="E473">
        <v>43172297.297297299</v>
      </c>
      <c r="F473">
        <v>43976576.576576568</v>
      </c>
      <c r="G473">
        <v>104</v>
      </c>
      <c r="H473">
        <v>117</v>
      </c>
      <c r="I473">
        <v>7</v>
      </c>
      <c r="J473">
        <v>8</v>
      </c>
      <c r="M473">
        <v>181</v>
      </c>
      <c r="N473">
        <v>175</v>
      </c>
      <c r="O473">
        <v>42493648.648648649</v>
      </c>
      <c r="P473">
        <v>39604504.504504502</v>
      </c>
      <c r="Q473">
        <v>18</v>
      </c>
      <c r="R473">
        <v>197</v>
      </c>
      <c r="S473">
        <v>71146756.756756753</v>
      </c>
      <c r="T473">
        <v>83994309.909909904</v>
      </c>
      <c r="U473">
        <v>37601081.081081077</v>
      </c>
      <c r="V473">
        <v>35711801.801801808</v>
      </c>
      <c r="W473">
        <v>5092</v>
      </c>
      <c r="X473">
        <v>5052</v>
      </c>
    </row>
    <row r="474" spans="1:24">
      <c r="A474" s="7" t="s">
        <v>573</v>
      </c>
      <c r="B474" s="16" t="s">
        <v>94</v>
      </c>
      <c r="C474">
        <v>545477231.07714248</v>
      </c>
      <c r="D474">
        <v>522279829.30491942</v>
      </c>
      <c r="E474">
        <v>2086486.486486488</v>
      </c>
      <c r="F474">
        <v>3309009.0090090102</v>
      </c>
      <c r="G474">
        <v>145</v>
      </c>
      <c r="H474">
        <v>94</v>
      </c>
      <c r="I474">
        <v>11</v>
      </c>
      <c r="J474">
        <v>10</v>
      </c>
      <c r="K474">
        <v>1</v>
      </c>
      <c r="M474">
        <v>163</v>
      </c>
      <c r="N474">
        <v>132</v>
      </c>
      <c r="O474">
        <v>498393693.6936937</v>
      </c>
      <c r="P474">
        <v>853546846.84684682</v>
      </c>
      <c r="Q474">
        <v>166</v>
      </c>
      <c r="R474">
        <v>207</v>
      </c>
      <c r="S474">
        <v>119987004.50450452</v>
      </c>
      <c r="T474">
        <v>112184486.93693694</v>
      </c>
      <c r="U474">
        <v>39501171.171171166</v>
      </c>
      <c r="V474">
        <v>41337027.027027033</v>
      </c>
      <c r="W474">
        <v>9507</v>
      </c>
      <c r="X474">
        <v>9662</v>
      </c>
    </row>
    <row r="475" spans="1:24">
      <c r="A475" s="7" t="s">
        <v>574</v>
      </c>
      <c r="B475" s="16" t="s">
        <v>307</v>
      </c>
      <c r="C475">
        <v>1228788914.8563352</v>
      </c>
      <c r="D475">
        <v>1210744611.2766092</v>
      </c>
      <c r="E475">
        <v>14093333.333333334</v>
      </c>
      <c r="F475">
        <v>23171801.801801812</v>
      </c>
      <c r="G475">
        <v>470</v>
      </c>
      <c r="H475">
        <v>499</v>
      </c>
      <c r="I475">
        <v>17</v>
      </c>
      <c r="J475">
        <v>25</v>
      </c>
      <c r="K475">
        <v>2</v>
      </c>
      <c r="M475">
        <v>519</v>
      </c>
      <c r="N475">
        <v>700</v>
      </c>
      <c r="O475">
        <v>1827599639.6396396</v>
      </c>
      <c r="P475">
        <v>1389758153.1531532</v>
      </c>
      <c r="Q475">
        <v>1594</v>
      </c>
      <c r="R475">
        <v>1780</v>
      </c>
      <c r="S475">
        <v>488869252.25225222</v>
      </c>
      <c r="T475">
        <v>501867336.48648643</v>
      </c>
      <c r="U475">
        <v>109927792.7927928</v>
      </c>
      <c r="V475">
        <v>281744009.009009</v>
      </c>
      <c r="W475">
        <v>31978</v>
      </c>
      <c r="X475">
        <v>32677</v>
      </c>
    </row>
    <row r="476" spans="1:24">
      <c r="A476" s="7" t="s">
        <v>10</v>
      </c>
      <c r="B476" s="16" t="s">
        <v>193</v>
      </c>
      <c r="C476">
        <v>209164970.16062188</v>
      </c>
      <c r="D476">
        <v>197778772.50413093</v>
      </c>
      <c r="G476">
        <v>17</v>
      </c>
      <c r="H476">
        <v>29</v>
      </c>
      <c r="J476">
        <v>0</v>
      </c>
      <c r="M476">
        <v>17</v>
      </c>
      <c r="N476">
        <v>30</v>
      </c>
      <c r="S476">
        <v>120186801.8018018</v>
      </c>
      <c r="T476">
        <v>118247673.87387387</v>
      </c>
      <c r="V476">
        <v>19639.639639640001</v>
      </c>
      <c r="W476">
        <v>3760</v>
      </c>
      <c r="X476">
        <v>3693</v>
      </c>
    </row>
    <row r="477" spans="1:24">
      <c r="A477" s="7" t="s">
        <v>575</v>
      </c>
      <c r="B477" s="16" t="s">
        <v>87</v>
      </c>
      <c r="C477">
        <v>4673437.8837274304</v>
      </c>
      <c r="D477">
        <v>4272122.3502962925</v>
      </c>
      <c r="G477">
        <v>5</v>
      </c>
      <c r="H477">
        <v>18</v>
      </c>
      <c r="M477">
        <v>5</v>
      </c>
      <c r="N477">
        <v>19</v>
      </c>
      <c r="S477">
        <v>1311261.2612612611</v>
      </c>
      <c r="T477">
        <v>1418754.954954955</v>
      </c>
      <c r="W477">
        <v>240</v>
      </c>
      <c r="X477">
        <v>246</v>
      </c>
    </row>
    <row r="478" spans="1:24">
      <c r="A478" s="7" t="s">
        <v>576</v>
      </c>
      <c r="B478" s="16" t="s">
        <v>283</v>
      </c>
      <c r="C478">
        <v>294778908.94253278</v>
      </c>
      <c r="D478">
        <v>273714659.22572386</v>
      </c>
      <c r="E478">
        <v>159358349.54954955</v>
      </c>
      <c r="F478">
        <v>234257500</v>
      </c>
      <c r="G478">
        <v>39</v>
      </c>
      <c r="H478">
        <v>49</v>
      </c>
      <c r="I478">
        <v>2</v>
      </c>
      <c r="J478">
        <v>1</v>
      </c>
      <c r="M478">
        <v>40</v>
      </c>
      <c r="N478">
        <v>51</v>
      </c>
      <c r="O478">
        <v>32410954.954954952</v>
      </c>
      <c r="P478">
        <v>43444120.720720723</v>
      </c>
      <c r="Q478">
        <v>7</v>
      </c>
      <c r="R478">
        <v>8</v>
      </c>
      <c r="S478">
        <v>40691576.576576576</v>
      </c>
      <c r="T478">
        <v>43466459.459459454</v>
      </c>
      <c r="U478">
        <v>13297117.117117116</v>
      </c>
      <c r="V478">
        <v>20468018.018018018</v>
      </c>
      <c r="W478">
        <v>3597</v>
      </c>
      <c r="X478">
        <v>3596</v>
      </c>
    </row>
    <row r="479" spans="1:24">
      <c r="A479" s="7" t="s">
        <v>577</v>
      </c>
      <c r="B479" s="16" t="s">
        <v>307</v>
      </c>
      <c r="C479">
        <v>1220468518.459209</v>
      </c>
      <c r="D479">
        <v>1191912101.5733395</v>
      </c>
      <c r="E479">
        <v>187141036.03603604</v>
      </c>
      <c r="F479">
        <v>592550900.90090084</v>
      </c>
      <c r="G479">
        <v>647</v>
      </c>
      <c r="H479">
        <v>487</v>
      </c>
      <c r="I479">
        <v>38</v>
      </c>
      <c r="J479">
        <v>38</v>
      </c>
      <c r="K479">
        <v>1</v>
      </c>
      <c r="M479">
        <v>770</v>
      </c>
      <c r="N479">
        <v>682</v>
      </c>
      <c r="O479">
        <v>121403648.64864863</v>
      </c>
      <c r="P479">
        <v>145493963.96396396</v>
      </c>
      <c r="Q479">
        <v>1249</v>
      </c>
      <c r="R479">
        <v>1064</v>
      </c>
      <c r="S479">
        <v>477345522.52252251</v>
      </c>
      <c r="T479">
        <v>502260387.38738739</v>
      </c>
      <c r="U479">
        <v>102909099.0990991</v>
      </c>
      <c r="V479">
        <v>133018333.33333333</v>
      </c>
      <c r="W479">
        <v>38220</v>
      </c>
      <c r="X479">
        <v>39005</v>
      </c>
    </row>
    <row r="480" spans="1:24">
      <c r="A480" s="7" t="s">
        <v>578</v>
      </c>
      <c r="B480" s="16" t="s">
        <v>330</v>
      </c>
      <c r="C480">
        <v>1155780736.1854758</v>
      </c>
      <c r="D480">
        <v>1096999205.8441443</v>
      </c>
      <c r="E480">
        <v>3010360.360360363</v>
      </c>
      <c r="F480">
        <v>11794594.594594594</v>
      </c>
      <c r="G480">
        <v>418</v>
      </c>
      <c r="H480">
        <v>391</v>
      </c>
      <c r="I480">
        <v>36</v>
      </c>
      <c r="J480">
        <v>34</v>
      </c>
      <c r="K480">
        <v>17</v>
      </c>
      <c r="M480">
        <v>515</v>
      </c>
      <c r="N480">
        <v>611</v>
      </c>
      <c r="O480">
        <v>189807387.38738739</v>
      </c>
      <c r="P480">
        <v>193403243.24324322</v>
      </c>
      <c r="Q480">
        <v>783</v>
      </c>
      <c r="R480">
        <v>618</v>
      </c>
      <c r="S480">
        <v>232015603.6036036</v>
      </c>
      <c r="T480">
        <v>237636810.8108108</v>
      </c>
      <c r="U480">
        <v>181230000</v>
      </c>
      <c r="V480">
        <v>190099819.81981981</v>
      </c>
      <c r="W480">
        <v>28691</v>
      </c>
      <c r="X480">
        <v>28252</v>
      </c>
    </row>
    <row r="481" spans="1:24">
      <c r="A481" s="7" t="s">
        <v>579</v>
      </c>
      <c r="B481" s="16" t="s">
        <v>66</v>
      </c>
      <c r="C481">
        <v>180166528.04136419</v>
      </c>
      <c r="D481">
        <v>170787186.56153041</v>
      </c>
      <c r="E481">
        <v>145495.495495496</v>
      </c>
      <c r="F481">
        <v>447297.29729729798</v>
      </c>
      <c r="G481">
        <v>38</v>
      </c>
      <c r="H481">
        <v>29</v>
      </c>
      <c r="I481">
        <v>1</v>
      </c>
      <c r="J481">
        <v>2</v>
      </c>
      <c r="M481">
        <v>42</v>
      </c>
      <c r="N481">
        <v>34</v>
      </c>
      <c r="O481">
        <v>3194774.774774774</v>
      </c>
      <c r="P481">
        <v>4544144.1441441458</v>
      </c>
      <c r="Q481">
        <v>24</v>
      </c>
      <c r="R481">
        <v>15</v>
      </c>
      <c r="S481">
        <v>43915585.585585587</v>
      </c>
      <c r="T481">
        <v>46687157.657657653</v>
      </c>
      <c r="U481">
        <v>3112072.072072072</v>
      </c>
      <c r="V481">
        <v>4253693.6936936956</v>
      </c>
      <c r="W481">
        <v>3241</v>
      </c>
      <c r="X481">
        <v>3361</v>
      </c>
    </row>
    <row r="482" spans="1:24">
      <c r="A482" s="7" t="s">
        <v>580</v>
      </c>
      <c r="B482" s="16" t="s">
        <v>236</v>
      </c>
      <c r="C482">
        <v>368227.58123834501</v>
      </c>
      <c r="D482">
        <v>12027.629113666</v>
      </c>
      <c r="S482">
        <v>208558.55855855899</v>
      </c>
      <c r="W482">
        <v>644</v>
      </c>
      <c r="X482">
        <v>1</v>
      </c>
    </row>
    <row r="483" spans="1:24">
      <c r="A483" s="7" t="s">
        <v>581</v>
      </c>
      <c r="B483" s="16" t="s">
        <v>62</v>
      </c>
      <c r="C483">
        <v>438800794.21679825</v>
      </c>
      <c r="D483">
        <v>438013871.66382653</v>
      </c>
      <c r="E483">
        <v>73880855.855855867</v>
      </c>
      <c r="F483">
        <v>197301981.98198199</v>
      </c>
      <c r="G483">
        <v>100</v>
      </c>
      <c r="H483">
        <v>210</v>
      </c>
      <c r="I483">
        <v>19</v>
      </c>
      <c r="J483">
        <v>21</v>
      </c>
      <c r="M483">
        <v>105</v>
      </c>
      <c r="N483">
        <v>277</v>
      </c>
      <c r="O483">
        <v>41619369.369369365</v>
      </c>
      <c r="P483">
        <v>45008558.558558561</v>
      </c>
      <c r="Q483">
        <v>197</v>
      </c>
      <c r="R483">
        <v>188</v>
      </c>
      <c r="S483">
        <v>98796792.792792797</v>
      </c>
      <c r="T483">
        <v>99743720.720720723</v>
      </c>
      <c r="U483">
        <v>38741261.261261262</v>
      </c>
      <c r="V483">
        <v>39798378.378378376</v>
      </c>
      <c r="W483">
        <v>6604</v>
      </c>
      <c r="X483">
        <v>6710</v>
      </c>
    </row>
    <row r="484" spans="1:24">
      <c r="A484" s="7" t="s">
        <v>582</v>
      </c>
      <c r="B484" s="16" t="s">
        <v>48</v>
      </c>
      <c r="C484">
        <v>445655130.84528911</v>
      </c>
      <c r="D484">
        <v>393768417.69389772</v>
      </c>
      <c r="E484">
        <v>2768558.558558559</v>
      </c>
      <c r="F484">
        <v>2677972.9729729742</v>
      </c>
      <c r="G484">
        <v>166</v>
      </c>
      <c r="H484">
        <v>37</v>
      </c>
      <c r="I484">
        <v>6</v>
      </c>
      <c r="J484">
        <v>5</v>
      </c>
      <c r="M484">
        <v>168</v>
      </c>
      <c r="N484">
        <v>61</v>
      </c>
      <c r="O484">
        <v>165401261.26126125</v>
      </c>
      <c r="P484">
        <v>140603153.15315315</v>
      </c>
      <c r="S484">
        <v>64944324.324324325</v>
      </c>
      <c r="T484">
        <v>58143689.189189196</v>
      </c>
      <c r="U484">
        <v>133300540.54054055</v>
      </c>
      <c r="V484">
        <v>134224504.5045045</v>
      </c>
      <c r="W484">
        <v>5770</v>
      </c>
      <c r="X484">
        <v>5055</v>
      </c>
    </row>
    <row r="485" spans="1:24">
      <c r="A485" s="7" t="s">
        <v>583</v>
      </c>
      <c r="B485" s="16" t="s">
        <v>54</v>
      </c>
      <c r="C485">
        <v>79481626.906805873</v>
      </c>
      <c r="D485">
        <v>78154710.128197879</v>
      </c>
      <c r="E485">
        <v>925450.45045045298</v>
      </c>
      <c r="F485">
        <v>963063.06306306506</v>
      </c>
      <c r="G485">
        <v>20</v>
      </c>
      <c r="H485">
        <v>26</v>
      </c>
      <c r="I485">
        <v>7</v>
      </c>
      <c r="J485">
        <v>12</v>
      </c>
      <c r="M485">
        <v>23</v>
      </c>
      <c r="N485">
        <v>70</v>
      </c>
      <c r="O485">
        <v>15132432.432432432</v>
      </c>
      <c r="P485">
        <v>11988828.828828828</v>
      </c>
      <c r="Q485">
        <v>134</v>
      </c>
      <c r="R485">
        <v>242</v>
      </c>
      <c r="S485">
        <v>19798828.828828827</v>
      </c>
      <c r="T485">
        <v>20229740.990990993</v>
      </c>
      <c r="U485">
        <v>14393513.513513517</v>
      </c>
      <c r="V485">
        <v>10836486.486486485</v>
      </c>
      <c r="W485">
        <v>2002</v>
      </c>
      <c r="X485">
        <v>2073</v>
      </c>
    </row>
    <row r="486" spans="1:24">
      <c r="A486" s="7" t="s">
        <v>584</v>
      </c>
      <c r="B486" s="16" t="s">
        <v>70</v>
      </c>
      <c r="C486">
        <v>206670887.40535879</v>
      </c>
      <c r="D486">
        <v>201171168.70764908</v>
      </c>
      <c r="E486">
        <v>1000000</v>
      </c>
      <c r="F486">
        <v>113513.513513514</v>
      </c>
      <c r="G486">
        <v>31</v>
      </c>
      <c r="H486">
        <v>53</v>
      </c>
      <c r="J486">
        <v>1</v>
      </c>
      <c r="K486">
        <v>2</v>
      </c>
      <c r="M486">
        <v>34</v>
      </c>
      <c r="N486">
        <v>56</v>
      </c>
      <c r="O486">
        <v>2433333.333333334</v>
      </c>
      <c r="P486">
        <v>1601801.801801804</v>
      </c>
      <c r="Q486">
        <v>11</v>
      </c>
      <c r="R486">
        <v>8</v>
      </c>
      <c r="S486">
        <v>90112837.837837845</v>
      </c>
      <c r="T486">
        <v>91447081.081081092</v>
      </c>
      <c r="U486">
        <v>2485135.1351351351</v>
      </c>
      <c r="V486">
        <v>1812612.6126126139</v>
      </c>
      <c r="W486">
        <v>3717</v>
      </c>
      <c r="X486">
        <v>3724</v>
      </c>
    </row>
    <row r="487" spans="1:24">
      <c r="A487" s="7" t="s">
        <v>585</v>
      </c>
      <c r="B487" s="16" t="s">
        <v>330</v>
      </c>
      <c r="C487">
        <v>798733512.92718387</v>
      </c>
      <c r="D487">
        <v>755692106.02298188</v>
      </c>
      <c r="E487">
        <v>3053378.3783783792</v>
      </c>
      <c r="F487">
        <v>9840315.3153153155</v>
      </c>
      <c r="G487">
        <v>339</v>
      </c>
      <c r="H487">
        <v>308</v>
      </c>
      <c r="I487">
        <v>25</v>
      </c>
      <c r="J487">
        <v>19</v>
      </c>
      <c r="K487">
        <v>16</v>
      </c>
      <c r="M487">
        <v>397</v>
      </c>
      <c r="N487">
        <v>384</v>
      </c>
      <c r="O487">
        <v>50643783.783783779</v>
      </c>
      <c r="P487">
        <v>102472792.7927928</v>
      </c>
      <c r="Q487">
        <v>406</v>
      </c>
      <c r="R487">
        <v>402</v>
      </c>
      <c r="S487">
        <v>201630572.97297296</v>
      </c>
      <c r="T487">
        <v>223723823.42342341</v>
      </c>
      <c r="U487">
        <v>45364457.657657653</v>
      </c>
      <c r="V487">
        <v>94230180.180180177</v>
      </c>
      <c r="W487">
        <v>20872</v>
      </c>
      <c r="X487">
        <v>20460</v>
      </c>
    </row>
    <row r="488" spans="1:24">
      <c r="A488" s="7" t="s">
        <v>586</v>
      </c>
      <c r="B488" s="16" t="s">
        <v>66</v>
      </c>
      <c r="C488">
        <v>348370499.13631505</v>
      </c>
      <c r="D488">
        <v>363465325.59978414</v>
      </c>
      <c r="E488">
        <v>151644633.33333334</v>
      </c>
      <c r="F488">
        <v>714264071.17117119</v>
      </c>
      <c r="G488">
        <v>229</v>
      </c>
      <c r="H488">
        <v>176</v>
      </c>
      <c r="I488">
        <v>12</v>
      </c>
      <c r="J488">
        <v>21</v>
      </c>
      <c r="K488">
        <v>1</v>
      </c>
      <c r="M488">
        <v>619</v>
      </c>
      <c r="N488">
        <v>606</v>
      </c>
      <c r="O488">
        <v>43175135.135135137</v>
      </c>
      <c r="P488">
        <v>86895270.270270273</v>
      </c>
      <c r="Q488">
        <v>389</v>
      </c>
      <c r="R488">
        <v>58</v>
      </c>
      <c r="S488">
        <v>181839162.16216218</v>
      </c>
      <c r="T488">
        <v>180809855.85585585</v>
      </c>
      <c r="U488">
        <v>40352342.342342347</v>
      </c>
      <c r="V488">
        <v>77502567.567567572</v>
      </c>
      <c r="W488">
        <v>10503</v>
      </c>
      <c r="X488">
        <v>10714</v>
      </c>
    </row>
    <row r="489" spans="1:24">
      <c r="A489" s="7" t="s">
        <v>11</v>
      </c>
      <c r="B489" s="16" t="s">
        <v>193</v>
      </c>
      <c r="C489">
        <v>162910606.85154465</v>
      </c>
      <c r="D489">
        <v>173231765.37758097</v>
      </c>
      <c r="E489">
        <v>343243.24324324197</v>
      </c>
      <c r="F489">
        <v>600000.00000000198</v>
      </c>
      <c r="G489">
        <v>54</v>
      </c>
      <c r="H489">
        <v>37</v>
      </c>
      <c r="I489">
        <v>6</v>
      </c>
      <c r="J489">
        <v>0</v>
      </c>
      <c r="M489">
        <v>57</v>
      </c>
      <c r="N489">
        <v>44</v>
      </c>
      <c r="O489">
        <v>5127027.0270270258</v>
      </c>
      <c r="P489">
        <v>14518918.918918921</v>
      </c>
      <c r="Q489">
        <v>44</v>
      </c>
      <c r="S489">
        <v>54558738.738738738</v>
      </c>
      <c r="T489">
        <v>58589398.648648649</v>
      </c>
      <c r="U489">
        <v>5681351.3513513496</v>
      </c>
      <c r="V489">
        <v>15209639.63963964</v>
      </c>
      <c r="W489">
        <v>3742</v>
      </c>
      <c r="X489">
        <v>4075</v>
      </c>
    </row>
    <row r="490" spans="1:24">
      <c r="A490" s="7" t="s">
        <v>12</v>
      </c>
      <c r="B490" s="16" t="s">
        <v>193</v>
      </c>
      <c r="C490">
        <v>115418711.23352191</v>
      </c>
      <c r="D490">
        <v>117336424.29424089</v>
      </c>
      <c r="E490">
        <v>66666.666666664998</v>
      </c>
      <c r="F490">
        <v>5381981.9819819815</v>
      </c>
      <c r="G490">
        <v>37</v>
      </c>
      <c r="H490">
        <v>21</v>
      </c>
      <c r="I490">
        <v>8</v>
      </c>
      <c r="J490">
        <v>6</v>
      </c>
      <c r="M490">
        <v>44</v>
      </c>
      <c r="N490">
        <v>22</v>
      </c>
      <c r="O490">
        <v>10419369.369369367</v>
      </c>
      <c r="P490">
        <v>22589189.189189192</v>
      </c>
      <c r="Q490">
        <v>70</v>
      </c>
      <c r="S490">
        <v>44939000</v>
      </c>
      <c r="T490">
        <v>46503666.666666664</v>
      </c>
      <c r="U490">
        <v>6440900.9009008976</v>
      </c>
      <c r="V490">
        <v>25516396.396396395</v>
      </c>
      <c r="W490">
        <v>2868</v>
      </c>
      <c r="X490">
        <v>2861</v>
      </c>
    </row>
    <row r="491" spans="1:24">
      <c r="A491" s="7" t="s">
        <v>587</v>
      </c>
      <c r="B491" s="16" t="s">
        <v>60</v>
      </c>
      <c r="C491">
        <v>90495155.37339063</v>
      </c>
      <c r="D491">
        <v>91993897.339105815</v>
      </c>
      <c r="E491">
        <v>209009.009009011</v>
      </c>
      <c r="F491">
        <v>1648648.648648649</v>
      </c>
      <c r="G491">
        <v>47</v>
      </c>
      <c r="H491">
        <v>40</v>
      </c>
      <c r="I491">
        <v>6</v>
      </c>
      <c r="J491">
        <v>10</v>
      </c>
      <c r="K491">
        <v>1</v>
      </c>
      <c r="M491">
        <v>55</v>
      </c>
      <c r="N491">
        <v>65</v>
      </c>
      <c r="O491">
        <v>15136936.936936935</v>
      </c>
      <c r="P491">
        <v>15990990.990990993</v>
      </c>
      <c r="Q491">
        <v>99</v>
      </c>
      <c r="R491">
        <v>161</v>
      </c>
      <c r="S491">
        <v>34797297.297297299</v>
      </c>
      <c r="T491">
        <v>33918101.351351351</v>
      </c>
      <c r="U491">
        <v>13606846.846846849</v>
      </c>
      <c r="V491">
        <v>14686036.036036037</v>
      </c>
      <c r="W491">
        <v>1920</v>
      </c>
      <c r="X491">
        <v>1776</v>
      </c>
    </row>
    <row r="492" spans="1:24">
      <c r="A492" s="7" t="s">
        <v>588</v>
      </c>
      <c r="B492" s="16" t="s">
        <v>307</v>
      </c>
      <c r="C492">
        <v>2645389981.8367686</v>
      </c>
      <c r="D492">
        <v>2587842899.564815</v>
      </c>
      <c r="E492">
        <v>1907619304.5045047</v>
      </c>
      <c r="F492">
        <v>2478199023.4234233</v>
      </c>
      <c r="G492">
        <v>1226</v>
      </c>
      <c r="H492">
        <v>1285</v>
      </c>
      <c r="I492">
        <v>88</v>
      </c>
      <c r="J492">
        <v>92</v>
      </c>
      <c r="K492">
        <v>3</v>
      </c>
      <c r="M492">
        <v>1447</v>
      </c>
      <c r="N492">
        <v>1808</v>
      </c>
      <c r="O492">
        <v>264624639.63963965</v>
      </c>
      <c r="P492">
        <v>569813410.8108108</v>
      </c>
      <c r="Q492">
        <v>2321</v>
      </c>
      <c r="R492">
        <v>2748</v>
      </c>
      <c r="S492">
        <v>818096405.4054054</v>
      </c>
      <c r="T492">
        <v>833180536.03603613</v>
      </c>
      <c r="U492">
        <v>262435765.76576576</v>
      </c>
      <c r="V492">
        <v>531120000</v>
      </c>
      <c r="W492">
        <v>63905</v>
      </c>
      <c r="X492">
        <v>65971</v>
      </c>
    </row>
    <row r="493" spans="1:24">
      <c r="A493" s="7" t="s">
        <v>589</v>
      </c>
      <c r="B493" s="16" t="s">
        <v>52</v>
      </c>
      <c r="C493">
        <v>637965336.54613674</v>
      </c>
      <c r="D493">
        <v>624276098.49327672</v>
      </c>
      <c r="E493">
        <v>15737207.207207208</v>
      </c>
      <c r="F493">
        <v>11035433.333333338</v>
      </c>
      <c r="G493">
        <v>139</v>
      </c>
      <c r="H493">
        <v>142</v>
      </c>
      <c r="I493">
        <v>15</v>
      </c>
      <c r="J493">
        <v>22</v>
      </c>
      <c r="M493">
        <v>224</v>
      </c>
      <c r="N493">
        <v>361</v>
      </c>
      <c r="O493">
        <v>66625585.585585587</v>
      </c>
      <c r="P493">
        <v>155586612.61261261</v>
      </c>
      <c r="Q493">
        <v>603</v>
      </c>
      <c r="R493">
        <v>1921</v>
      </c>
      <c r="S493">
        <v>253918968.46846849</v>
      </c>
      <c r="T493">
        <v>250096720.72072071</v>
      </c>
      <c r="U493">
        <v>65440360.360360362</v>
      </c>
      <c r="V493">
        <v>166768063.06306309</v>
      </c>
      <c r="W493">
        <v>14536</v>
      </c>
      <c r="X493">
        <v>14339</v>
      </c>
    </row>
    <row r="494" spans="1:24">
      <c r="A494" s="7" t="s">
        <v>590</v>
      </c>
      <c r="B494" s="16" t="s">
        <v>54</v>
      </c>
      <c r="C494">
        <v>50783160.671817318</v>
      </c>
      <c r="D494">
        <v>53159135.470659167</v>
      </c>
      <c r="E494">
        <v>918693.69369369396</v>
      </c>
      <c r="F494">
        <v>1226126.1261261259</v>
      </c>
      <c r="G494">
        <v>14</v>
      </c>
      <c r="H494">
        <v>22</v>
      </c>
      <c r="I494">
        <v>3</v>
      </c>
      <c r="J494">
        <v>3</v>
      </c>
      <c r="M494">
        <v>16</v>
      </c>
      <c r="N494">
        <v>28</v>
      </c>
      <c r="O494">
        <v>14100000</v>
      </c>
      <c r="P494">
        <v>12767117.117117118</v>
      </c>
      <c r="Q494">
        <v>24</v>
      </c>
      <c r="R494">
        <v>16</v>
      </c>
      <c r="S494">
        <v>16838594.594594594</v>
      </c>
      <c r="T494">
        <v>16817995.495495494</v>
      </c>
      <c r="U494">
        <v>8859729.7297297306</v>
      </c>
      <c r="V494">
        <v>13117837.837837836</v>
      </c>
      <c r="W494">
        <v>1545</v>
      </c>
      <c r="X494">
        <v>1569</v>
      </c>
    </row>
    <row r="495" spans="1:24">
      <c r="A495" s="7" t="s">
        <v>591</v>
      </c>
      <c r="B495" s="16" t="s">
        <v>169</v>
      </c>
      <c r="C495">
        <v>1543696821.6160173</v>
      </c>
      <c r="D495">
        <v>1509860426.0590065</v>
      </c>
      <c r="E495">
        <v>7840720.7207207251</v>
      </c>
      <c r="F495">
        <v>9049324.3243243285</v>
      </c>
      <c r="G495">
        <v>161</v>
      </c>
      <c r="H495">
        <v>111</v>
      </c>
      <c r="I495">
        <v>24</v>
      </c>
      <c r="J495">
        <v>15</v>
      </c>
      <c r="K495">
        <v>3</v>
      </c>
      <c r="M495">
        <v>189</v>
      </c>
      <c r="N495">
        <v>178</v>
      </c>
      <c r="O495">
        <v>441477332.43243247</v>
      </c>
      <c r="P495">
        <v>281331709.9099099</v>
      </c>
      <c r="Q495">
        <v>430</v>
      </c>
      <c r="R495">
        <v>296</v>
      </c>
      <c r="S495">
        <v>518164007.2072072</v>
      </c>
      <c r="T495">
        <v>510498968.46846849</v>
      </c>
      <c r="U495">
        <v>186717927.92792794</v>
      </c>
      <c r="V495">
        <v>263915945.94594595</v>
      </c>
      <c r="W495">
        <v>23286</v>
      </c>
      <c r="X495">
        <v>23432</v>
      </c>
    </row>
    <row r="496" spans="1:24">
      <c r="A496" s="7" t="s">
        <v>592</v>
      </c>
      <c r="B496" s="16" t="s">
        <v>87</v>
      </c>
      <c r="C496">
        <v>8380393.6529764012</v>
      </c>
      <c r="D496">
        <v>7549157.213564788</v>
      </c>
      <c r="G496">
        <v>1</v>
      </c>
      <c r="H496">
        <v>2</v>
      </c>
      <c r="M496">
        <v>1</v>
      </c>
      <c r="N496">
        <v>2</v>
      </c>
      <c r="S496">
        <v>2392243.2432432431</v>
      </c>
      <c r="T496">
        <v>1849729.729729729</v>
      </c>
      <c r="W496">
        <v>341</v>
      </c>
      <c r="X496">
        <v>352</v>
      </c>
    </row>
    <row r="497" spans="1:24">
      <c r="A497" s="7" t="s">
        <v>36</v>
      </c>
      <c r="B497" s="16" t="s">
        <v>158</v>
      </c>
      <c r="E497">
        <v>3378378.3783783782</v>
      </c>
      <c r="F497">
        <v>358310810.8108108</v>
      </c>
      <c r="O497">
        <v>49102252.252252258</v>
      </c>
      <c r="P497">
        <v>22892567.567567568</v>
      </c>
    </row>
    <row r="498" spans="1:24">
      <c r="A498" s="7" t="s">
        <v>593</v>
      </c>
      <c r="B498" s="16" t="s">
        <v>143</v>
      </c>
      <c r="C498">
        <v>105349835.30789749</v>
      </c>
      <c r="D498">
        <v>105768493.75873962</v>
      </c>
      <c r="E498">
        <v>30630.630630632</v>
      </c>
      <c r="F498">
        <v>294369.36936937098</v>
      </c>
      <c r="G498">
        <v>19</v>
      </c>
      <c r="H498">
        <v>28</v>
      </c>
      <c r="I498">
        <v>4</v>
      </c>
      <c r="J498">
        <v>3</v>
      </c>
      <c r="M498">
        <v>20</v>
      </c>
      <c r="N498">
        <v>30</v>
      </c>
      <c r="O498">
        <v>6138738.7387387371</v>
      </c>
      <c r="P498">
        <v>10601801.801801803</v>
      </c>
      <c r="Q498">
        <v>50</v>
      </c>
      <c r="R498">
        <v>23</v>
      </c>
      <c r="S498">
        <v>9697792.7927927915</v>
      </c>
      <c r="T498">
        <v>11272603.603603603</v>
      </c>
      <c r="U498">
        <v>5051981.9819819806</v>
      </c>
      <c r="V498">
        <v>5935225.2252252251</v>
      </c>
      <c r="W498">
        <v>1674</v>
      </c>
      <c r="X498">
        <v>1591</v>
      </c>
    </row>
    <row r="499" spans="1:24">
      <c r="A499" s="7" t="s">
        <v>594</v>
      </c>
      <c r="B499" s="16" t="s">
        <v>290</v>
      </c>
      <c r="C499">
        <v>29050953.367220279</v>
      </c>
      <c r="D499">
        <v>28916700.234734751</v>
      </c>
      <c r="E499">
        <v>184596760.36036035</v>
      </c>
      <c r="F499">
        <v>321275936.93693697</v>
      </c>
      <c r="G499">
        <v>1</v>
      </c>
      <c r="H499">
        <v>1</v>
      </c>
      <c r="I499">
        <v>1</v>
      </c>
      <c r="M499">
        <v>1</v>
      </c>
      <c r="N499">
        <v>2</v>
      </c>
      <c r="O499">
        <v>22485408.108108107</v>
      </c>
      <c r="P499">
        <v>25261281.081081081</v>
      </c>
      <c r="S499">
        <v>1062702.702702703</v>
      </c>
      <c r="T499">
        <v>1576576.576576577</v>
      </c>
      <c r="W499">
        <v>618</v>
      </c>
      <c r="X499">
        <v>705</v>
      </c>
    </row>
    <row r="500" spans="1:24">
      <c r="A500" s="7" t="s">
        <v>595</v>
      </c>
      <c r="B500" s="16" t="s">
        <v>92</v>
      </c>
      <c r="C500">
        <v>38629967.376333185</v>
      </c>
      <c r="D500">
        <v>38762418.012358882</v>
      </c>
      <c r="E500">
        <v>642342.34234234295</v>
      </c>
      <c r="F500">
        <v>1338738.7387387389</v>
      </c>
      <c r="G500">
        <v>13</v>
      </c>
      <c r="H500">
        <v>19</v>
      </c>
      <c r="I500">
        <v>1</v>
      </c>
      <c r="J500">
        <v>2</v>
      </c>
      <c r="M500">
        <v>14</v>
      </c>
      <c r="N500">
        <v>28</v>
      </c>
      <c r="O500">
        <v>1177747.7477477479</v>
      </c>
      <c r="P500">
        <v>4270990.9909909908</v>
      </c>
      <c r="Q500">
        <v>27</v>
      </c>
      <c r="R500">
        <v>14</v>
      </c>
      <c r="S500">
        <v>5825495.4954954954</v>
      </c>
      <c r="T500">
        <v>6784765.7657657657</v>
      </c>
      <c r="U500">
        <v>1538738.738738738</v>
      </c>
      <c r="V500">
        <v>4213963.963963964</v>
      </c>
      <c r="W500">
        <v>610</v>
      </c>
      <c r="X500">
        <v>675</v>
      </c>
    </row>
    <row r="501" spans="1:24">
      <c r="A501" s="7" t="s">
        <v>596</v>
      </c>
      <c r="B501" s="16" t="s">
        <v>50</v>
      </c>
      <c r="C501">
        <v>138834975.70594221</v>
      </c>
      <c r="D501">
        <v>128828716.72240061</v>
      </c>
      <c r="E501">
        <v>1176576.5765765789</v>
      </c>
      <c r="F501">
        <v>4529504.5045045028</v>
      </c>
      <c r="G501">
        <v>16</v>
      </c>
      <c r="H501">
        <v>11</v>
      </c>
      <c r="I501">
        <v>5</v>
      </c>
      <c r="J501">
        <v>6</v>
      </c>
      <c r="M501">
        <v>18</v>
      </c>
      <c r="N501">
        <v>13</v>
      </c>
      <c r="O501">
        <v>24783963.963963963</v>
      </c>
      <c r="P501">
        <v>46280180.180180177</v>
      </c>
      <c r="Q501">
        <v>225</v>
      </c>
      <c r="R501">
        <v>68</v>
      </c>
      <c r="S501">
        <v>29134454.054054052</v>
      </c>
      <c r="T501">
        <v>28012383.783783782</v>
      </c>
      <c r="U501">
        <v>25642882.882882886</v>
      </c>
      <c r="V501">
        <v>43818378.378378376</v>
      </c>
      <c r="W501">
        <v>1648</v>
      </c>
      <c r="X501">
        <v>1620</v>
      </c>
    </row>
    <row r="502" spans="1:24">
      <c r="A502" s="7" t="s">
        <v>597</v>
      </c>
      <c r="B502" s="16" t="s">
        <v>89</v>
      </c>
      <c r="C502">
        <v>196994801.91569605</v>
      </c>
      <c r="D502">
        <v>196260447.96521461</v>
      </c>
      <c r="E502">
        <v>1105855.8558558589</v>
      </c>
      <c r="F502">
        <v>2763063.0630630678</v>
      </c>
      <c r="G502">
        <v>85</v>
      </c>
      <c r="H502">
        <v>48</v>
      </c>
      <c r="I502">
        <v>12</v>
      </c>
      <c r="J502">
        <v>19</v>
      </c>
      <c r="K502">
        <v>2</v>
      </c>
      <c r="M502">
        <v>134</v>
      </c>
      <c r="N502">
        <v>369</v>
      </c>
      <c r="O502">
        <v>13929729.729729729</v>
      </c>
      <c r="P502">
        <v>16261621.62162162</v>
      </c>
      <c r="Q502">
        <v>192</v>
      </c>
      <c r="R502">
        <v>274</v>
      </c>
      <c r="S502">
        <v>47880079.279279277</v>
      </c>
      <c r="T502">
        <v>49461418.918918923</v>
      </c>
      <c r="U502">
        <v>14694684.684684688</v>
      </c>
      <c r="V502">
        <v>15480360.360360356</v>
      </c>
      <c r="W502">
        <v>4152</v>
      </c>
      <c r="X502">
        <v>3532</v>
      </c>
    </row>
    <row r="503" spans="1:24">
      <c r="A503" s="7" t="s">
        <v>598</v>
      </c>
      <c r="B503" s="16" t="s">
        <v>143</v>
      </c>
      <c r="C503">
        <v>74355026.073006839</v>
      </c>
      <c r="D503">
        <v>75657191.934706569</v>
      </c>
      <c r="E503">
        <v>1254954.9549549541</v>
      </c>
      <c r="F503">
        <v>1402927.927927928</v>
      </c>
      <c r="G503">
        <v>16</v>
      </c>
      <c r="H503">
        <v>9</v>
      </c>
      <c r="I503">
        <v>4</v>
      </c>
      <c r="J503">
        <v>3</v>
      </c>
      <c r="M503">
        <v>16</v>
      </c>
      <c r="N503">
        <v>13</v>
      </c>
      <c r="O503">
        <v>6668557.6576576577</v>
      </c>
      <c r="P503">
        <v>7379279.2792792786</v>
      </c>
      <c r="Q503">
        <v>42</v>
      </c>
      <c r="R503">
        <v>173</v>
      </c>
      <c r="S503">
        <v>4819099.0990990996</v>
      </c>
      <c r="T503">
        <v>7149108.108108107</v>
      </c>
      <c r="U503">
        <v>4251801.8018018017</v>
      </c>
      <c r="V503">
        <v>5486306.3063063063</v>
      </c>
      <c r="W503">
        <v>1201</v>
      </c>
      <c r="X503">
        <v>1170</v>
      </c>
    </row>
    <row r="504" spans="1:24">
      <c r="A504" s="7" t="s">
        <v>599</v>
      </c>
      <c r="B504" s="16" t="s">
        <v>125</v>
      </c>
      <c r="C504">
        <v>200300989.27308643</v>
      </c>
      <c r="D504">
        <v>195476078.05258352</v>
      </c>
      <c r="E504">
        <v>173423.423423423</v>
      </c>
      <c r="F504">
        <v>376576.57657657599</v>
      </c>
      <c r="G504">
        <v>15</v>
      </c>
      <c r="H504">
        <v>23</v>
      </c>
      <c r="I504">
        <v>0</v>
      </c>
      <c r="J504">
        <v>1</v>
      </c>
      <c r="M504">
        <v>18</v>
      </c>
      <c r="N504">
        <v>27</v>
      </c>
      <c r="O504">
        <v>29830720.72072072</v>
      </c>
      <c r="P504">
        <v>19761621.621621624</v>
      </c>
      <c r="Q504">
        <v>45</v>
      </c>
      <c r="R504">
        <v>45</v>
      </c>
      <c r="S504">
        <v>75252972.972972974</v>
      </c>
      <c r="T504">
        <v>76105890.090090096</v>
      </c>
      <c r="U504">
        <v>30399639.639639638</v>
      </c>
      <c r="V504">
        <v>19607657.657657661</v>
      </c>
      <c r="W504">
        <v>3318</v>
      </c>
      <c r="X504">
        <v>3387</v>
      </c>
    </row>
    <row r="505" spans="1:24">
      <c r="A505" s="7" t="s">
        <v>600</v>
      </c>
      <c r="B505" s="16" t="s">
        <v>50</v>
      </c>
      <c r="C505">
        <v>474519530.6845637</v>
      </c>
      <c r="D505">
        <v>475318706.98666936</v>
      </c>
      <c r="E505">
        <v>2909549.5495495521</v>
      </c>
      <c r="F505">
        <v>6163063.0630630646</v>
      </c>
      <c r="G505">
        <v>72</v>
      </c>
      <c r="H505">
        <v>42</v>
      </c>
      <c r="I505">
        <v>11</v>
      </c>
      <c r="J505">
        <v>5</v>
      </c>
      <c r="K505">
        <v>1</v>
      </c>
      <c r="M505">
        <v>77</v>
      </c>
      <c r="N505">
        <v>59</v>
      </c>
      <c r="O505">
        <v>64677567.567567565</v>
      </c>
      <c r="P505">
        <v>91381171.171171173</v>
      </c>
      <c r="Q505">
        <v>184</v>
      </c>
      <c r="R505">
        <v>30</v>
      </c>
      <c r="S505">
        <v>199779036.03603604</v>
      </c>
      <c r="T505">
        <v>200919135.13513514</v>
      </c>
      <c r="U505">
        <v>64240540.540540546</v>
      </c>
      <c r="V505">
        <v>89246036.036036029</v>
      </c>
      <c r="W505">
        <v>7599</v>
      </c>
      <c r="X505">
        <v>7778</v>
      </c>
    </row>
    <row r="506" spans="1:24">
      <c r="A506" s="7" t="s">
        <v>601</v>
      </c>
      <c r="B506" s="16" t="s">
        <v>89</v>
      </c>
      <c r="C506">
        <v>142728865.29011804</v>
      </c>
      <c r="D506">
        <v>139147442.58709902</v>
      </c>
      <c r="E506">
        <v>3633063.0630630669</v>
      </c>
      <c r="F506">
        <v>1645945.94594595</v>
      </c>
      <c r="G506">
        <v>17</v>
      </c>
      <c r="H506">
        <v>11</v>
      </c>
      <c r="I506">
        <v>11</v>
      </c>
      <c r="J506">
        <v>13</v>
      </c>
      <c r="M506">
        <v>17</v>
      </c>
      <c r="N506">
        <v>14</v>
      </c>
      <c r="O506">
        <v>17610810.810810812</v>
      </c>
      <c r="P506">
        <v>32183063.063063063</v>
      </c>
      <c r="Q506">
        <v>92</v>
      </c>
      <c r="R506">
        <v>793</v>
      </c>
      <c r="S506">
        <v>42102792.79279279</v>
      </c>
      <c r="T506">
        <v>42780873.873873875</v>
      </c>
      <c r="U506">
        <v>12475315.315315314</v>
      </c>
      <c r="V506">
        <v>30565585.585585583</v>
      </c>
      <c r="W506">
        <v>2530</v>
      </c>
      <c r="X506">
        <v>2465</v>
      </c>
    </row>
    <row r="507" spans="1:24">
      <c r="A507" s="7" t="s">
        <v>602</v>
      </c>
      <c r="B507" s="16" t="s">
        <v>87</v>
      </c>
      <c r="C507">
        <v>132091306.44055882</v>
      </c>
      <c r="D507">
        <v>122765236.84970209</v>
      </c>
      <c r="E507">
        <v>763063.06306306296</v>
      </c>
      <c r="F507">
        <v>977477.47747747705</v>
      </c>
      <c r="G507">
        <v>20</v>
      </c>
      <c r="H507">
        <v>14</v>
      </c>
      <c r="I507">
        <v>1</v>
      </c>
      <c r="J507">
        <v>1</v>
      </c>
      <c r="M507">
        <v>21</v>
      </c>
      <c r="N507">
        <v>17</v>
      </c>
      <c r="O507">
        <v>2078378.378378378</v>
      </c>
      <c r="P507">
        <v>1617117.1171171169</v>
      </c>
      <c r="S507">
        <v>10454592.792792792</v>
      </c>
      <c r="T507">
        <v>9835927.927927928</v>
      </c>
      <c r="U507">
        <v>1282655.8558558561</v>
      </c>
      <c r="V507">
        <v>1662792.7927927929</v>
      </c>
      <c r="W507">
        <v>1257</v>
      </c>
      <c r="X507">
        <v>1294</v>
      </c>
    </row>
    <row r="508" spans="1:24">
      <c r="A508" s="7" t="s">
        <v>603</v>
      </c>
      <c r="B508" s="16" t="s">
        <v>140</v>
      </c>
      <c r="C508">
        <v>982398566.18229342</v>
      </c>
      <c r="D508">
        <v>990702481.27481759</v>
      </c>
      <c r="E508">
        <v>649952208.10810816</v>
      </c>
      <c r="F508">
        <v>698447289.1891892</v>
      </c>
      <c r="G508">
        <v>403</v>
      </c>
      <c r="H508">
        <v>712</v>
      </c>
      <c r="I508">
        <v>27</v>
      </c>
      <c r="J508">
        <v>48</v>
      </c>
      <c r="K508">
        <v>14</v>
      </c>
      <c r="M508">
        <v>647</v>
      </c>
      <c r="N508">
        <v>1141</v>
      </c>
      <c r="O508">
        <v>200858108.1081081</v>
      </c>
      <c r="P508">
        <v>189616666.66666666</v>
      </c>
      <c r="Q508">
        <v>917</v>
      </c>
      <c r="R508">
        <v>623</v>
      </c>
      <c r="S508">
        <v>242007517.11711711</v>
      </c>
      <c r="T508">
        <v>247236540.54054055</v>
      </c>
      <c r="U508">
        <v>189917387.38738739</v>
      </c>
      <c r="V508">
        <v>188511891.8918919</v>
      </c>
      <c r="W508">
        <v>19437</v>
      </c>
      <c r="X508">
        <v>18991</v>
      </c>
    </row>
    <row r="509" spans="1:24">
      <c r="A509" s="7" t="s">
        <v>604</v>
      </c>
      <c r="B509" s="16" t="s">
        <v>224</v>
      </c>
      <c r="C509">
        <v>198657294.24868211</v>
      </c>
      <c r="D509">
        <v>165609241.18595025</v>
      </c>
      <c r="E509">
        <v>1820720.7207207209</v>
      </c>
      <c r="F509">
        <v>86486.486486485999</v>
      </c>
      <c r="G509">
        <v>33</v>
      </c>
      <c r="H509">
        <v>29</v>
      </c>
      <c r="I509">
        <v>1</v>
      </c>
      <c r="J509">
        <v>1</v>
      </c>
      <c r="M509">
        <v>38</v>
      </c>
      <c r="N509">
        <v>36</v>
      </c>
      <c r="O509">
        <v>6932792.7927927934</v>
      </c>
      <c r="P509">
        <v>5311711.7117117113</v>
      </c>
      <c r="Q509">
        <v>15</v>
      </c>
      <c r="S509">
        <v>65479198.198198199</v>
      </c>
      <c r="T509">
        <v>54473207.20720721</v>
      </c>
      <c r="U509">
        <v>7125495.4954954954</v>
      </c>
      <c r="V509">
        <v>5984684.6846846836</v>
      </c>
      <c r="W509">
        <v>3667</v>
      </c>
      <c r="X509">
        <v>3566</v>
      </c>
    </row>
    <row r="510" spans="1:24">
      <c r="A510" s="7" t="s">
        <v>605</v>
      </c>
      <c r="B510" s="16" t="s">
        <v>224</v>
      </c>
      <c r="C510">
        <v>111673935.14875272</v>
      </c>
      <c r="D510">
        <v>109749499.95527439</v>
      </c>
      <c r="E510">
        <v>148931458.55855855</v>
      </c>
      <c r="F510">
        <v>121753693.6936937</v>
      </c>
      <c r="G510">
        <v>31</v>
      </c>
      <c r="H510">
        <v>40</v>
      </c>
      <c r="I510">
        <v>1</v>
      </c>
      <c r="J510">
        <v>1</v>
      </c>
      <c r="M510">
        <v>34</v>
      </c>
      <c r="N510">
        <v>43</v>
      </c>
      <c r="O510">
        <v>14915090.090090089</v>
      </c>
      <c r="P510">
        <v>10015765.765765766</v>
      </c>
      <c r="Q510">
        <v>10</v>
      </c>
      <c r="R510">
        <v>3</v>
      </c>
      <c r="S510">
        <v>32211216.216216218</v>
      </c>
      <c r="T510">
        <v>33504900.9009009</v>
      </c>
      <c r="U510">
        <v>7736126.1261261264</v>
      </c>
      <c r="V510">
        <v>6946576.5765765756</v>
      </c>
      <c r="W510">
        <v>2960</v>
      </c>
      <c r="X510">
        <v>3114</v>
      </c>
    </row>
    <row r="511" spans="1:24">
      <c r="A511" s="7" t="s">
        <v>606</v>
      </c>
      <c r="B511" s="16" t="s">
        <v>241</v>
      </c>
      <c r="C511">
        <v>101782576.57583238</v>
      </c>
      <c r="D511">
        <v>94818261.210677296</v>
      </c>
      <c r="E511">
        <v>14414.414414415</v>
      </c>
      <c r="F511">
        <v>839639.63963963999</v>
      </c>
      <c r="G511">
        <v>48</v>
      </c>
      <c r="H511">
        <v>51</v>
      </c>
      <c r="I511">
        <v>2</v>
      </c>
      <c r="J511">
        <v>1</v>
      </c>
      <c r="M511">
        <v>52</v>
      </c>
      <c r="N511">
        <v>60</v>
      </c>
      <c r="O511">
        <v>8126486.4864864852</v>
      </c>
      <c r="P511">
        <v>12689189.189189186</v>
      </c>
      <c r="R511">
        <v>93</v>
      </c>
      <c r="S511">
        <v>29456477.47747748</v>
      </c>
      <c r="T511">
        <v>29031810.810810812</v>
      </c>
      <c r="U511">
        <v>8397657.657657655</v>
      </c>
      <c r="V511">
        <v>11822342.342342339</v>
      </c>
      <c r="W511">
        <v>2289</v>
      </c>
      <c r="X511">
        <v>2384</v>
      </c>
    </row>
    <row r="512" spans="1:24">
      <c r="A512" s="7" t="s">
        <v>607</v>
      </c>
      <c r="B512" s="16" t="s">
        <v>140</v>
      </c>
      <c r="C512">
        <v>28911638.745986171</v>
      </c>
      <c r="D512">
        <v>28278760.332053289</v>
      </c>
      <c r="F512">
        <v>2702.7027027029999</v>
      </c>
      <c r="G512">
        <v>1</v>
      </c>
      <c r="H512">
        <v>4</v>
      </c>
      <c r="M512">
        <v>1</v>
      </c>
      <c r="N512">
        <v>4</v>
      </c>
      <c r="O512">
        <v>587387.38738738699</v>
      </c>
      <c r="P512">
        <v>318018.01801801799</v>
      </c>
      <c r="S512">
        <v>3392747.7477477482</v>
      </c>
      <c r="T512">
        <v>3372333.333333333</v>
      </c>
      <c r="U512">
        <v>822972.97297297302</v>
      </c>
      <c r="V512">
        <v>661891.89189189195</v>
      </c>
      <c r="W512">
        <v>344</v>
      </c>
      <c r="X512">
        <v>349</v>
      </c>
    </row>
    <row r="513" spans="1:24">
      <c r="A513" s="7" t="s">
        <v>677</v>
      </c>
      <c r="B513" s="16" t="s">
        <v>189</v>
      </c>
      <c r="W513">
        <v>1</v>
      </c>
    </row>
    <row r="514" spans="1:24">
      <c r="A514" s="7" t="s">
        <v>608</v>
      </c>
      <c r="B514" s="16" t="s">
        <v>189</v>
      </c>
      <c r="C514">
        <v>114643638.11262824</v>
      </c>
      <c r="D514">
        <v>103627409.03921553</v>
      </c>
      <c r="E514">
        <v>511486.48648648697</v>
      </c>
      <c r="F514">
        <v>2136036.036036036</v>
      </c>
      <c r="G514">
        <v>44</v>
      </c>
      <c r="H514">
        <v>58</v>
      </c>
      <c r="I514">
        <v>4</v>
      </c>
      <c r="J514">
        <v>2</v>
      </c>
      <c r="M514">
        <v>45</v>
      </c>
      <c r="N514">
        <v>65</v>
      </c>
      <c r="O514">
        <v>14855855.855855856</v>
      </c>
      <c r="P514">
        <v>14208108.108108109</v>
      </c>
      <c r="Q514">
        <v>54</v>
      </c>
      <c r="R514">
        <v>3</v>
      </c>
      <c r="S514">
        <v>23828783.783783782</v>
      </c>
      <c r="T514">
        <v>26489391.891891893</v>
      </c>
      <c r="U514">
        <v>10138288.28828829</v>
      </c>
      <c r="V514">
        <v>9872342.3423423432</v>
      </c>
      <c r="W514">
        <v>1564</v>
      </c>
      <c r="X514">
        <v>1702</v>
      </c>
    </row>
    <row r="515" spans="1:24">
      <c r="A515" s="7" t="s">
        <v>609</v>
      </c>
      <c r="B515" s="16" t="s">
        <v>189</v>
      </c>
      <c r="C515">
        <v>286681264.8949396</v>
      </c>
      <c r="D515">
        <v>276279295.29061097</v>
      </c>
      <c r="E515">
        <v>25225.225225225</v>
      </c>
      <c r="F515">
        <v>459459.45945946098</v>
      </c>
      <c r="G515">
        <v>115</v>
      </c>
      <c r="H515">
        <v>84</v>
      </c>
      <c r="I515">
        <v>6</v>
      </c>
      <c r="J515">
        <v>6</v>
      </c>
      <c r="M515">
        <v>126</v>
      </c>
      <c r="N515">
        <v>94</v>
      </c>
      <c r="O515">
        <v>16249549.549549548</v>
      </c>
      <c r="P515">
        <v>17028828.828828827</v>
      </c>
      <c r="Q515">
        <v>50</v>
      </c>
      <c r="R515">
        <v>51</v>
      </c>
      <c r="S515">
        <v>40064234.234234229</v>
      </c>
      <c r="T515">
        <v>40346963.963963963</v>
      </c>
      <c r="U515">
        <v>10790990.990990993</v>
      </c>
      <c r="V515">
        <v>9390720.7207207195</v>
      </c>
      <c r="W515">
        <v>4008</v>
      </c>
      <c r="X515">
        <v>3891</v>
      </c>
    </row>
    <row r="516" spans="1:24">
      <c r="A516" s="7" t="s">
        <v>610</v>
      </c>
      <c r="B516" s="16" t="s">
        <v>189</v>
      </c>
      <c r="C516">
        <v>127237998.2917289</v>
      </c>
      <c r="D516">
        <v>119140195.83958429</v>
      </c>
      <c r="E516">
        <v>51569272.972972974</v>
      </c>
      <c r="F516">
        <v>31004290.990990993</v>
      </c>
      <c r="G516">
        <v>33</v>
      </c>
      <c r="H516">
        <v>18</v>
      </c>
      <c r="I516">
        <v>4</v>
      </c>
      <c r="J516">
        <v>2</v>
      </c>
      <c r="M516">
        <v>33</v>
      </c>
      <c r="N516">
        <v>22</v>
      </c>
      <c r="O516">
        <v>27920720.72072072</v>
      </c>
      <c r="P516">
        <v>21607427.927927926</v>
      </c>
      <c r="Q516">
        <v>41</v>
      </c>
      <c r="R516">
        <v>187</v>
      </c>
      <c r="S516">
        <v>15444234.234234234</v>
      </c>
      <c r="T516">
        <v>14677468.468468469</v>
      </c>
      <c r="U516">
        <v>5898468.4684684677</v>
      </c>
      <c r="V516">
        <v>5819189.18918919</v>
      </c>
      <c r="W516">
        <v>1660</v>
      </c>
      <c r="X516">
        <v>1707</v>
      </c>
    </row>
    <row r="517" spans="1:24">
      <c r="A517" s="7" t="s">
        <v>611</v>
      </c>
      <c r="B517" s="16" t="s">
        <v>189</v>
      </c>
      <c r="C517">
        <v>39120801.176349171</v>
      </c>
      <c r="D517">
        <v>45121721.950597972</v>
      </c>
      <c r="E517">
        <v>10810.810810810999</v>
      </c>
      <c r="F517">
        <v>211261.261261262</v>
      </c>
      <c r="G517">
        <v>25</v>
      </c>
      <c r="H517">
        <v>22</v>
      </c>
      <c r="I517">
        <v>2</v>
      </c>
      <c r="J517">
        <v>2</v>
      </c>
      <c r="M517">
        <v>27</v>
      </c>
      <c r="N517">
        <v>26</v>
      </c>
      <c r="O517">
        <v>2768468.4684684691</v>
      </c>
      <c r="P517">
        <v>4045405.4054054059</v>
      </c>
      <c r="Q517">
        <v>17</v>
      </c>
      <c r="R517">
        <v>6</v>
      </c>
      <c r="S517">
        <v>6490135.1351351338</v>
      </c>
      <c r="T517">
        <v>8367135.1351351347</v>
      </c>
      <c r="U517">
        <v>1561801.8018018031</v>
      </c>
      <c r="V517">
        <v>3542612.612612613</v>
      </c>
      <c r="W517">
        <v>1008</v>
      </c>
      <c r="X517">
        <v>755</v>
      </c>
    </row>
    <row r="518" spans="1:24">
      <c r="A518" s="7" t="s">
        <v>612</v>
      </c>
      <c r="B518" s="16" t="s">
        <v>143</v>
      </c>
      <c r="C518">
        <v>362418120.06045073</v>
      </c>
      <c r="D518">
        <v>343653360.6160509</v>
      </c>
      <c r="E518">
        <v>716084.68468468694</v>
      </c>
      <c r="F518">
        <v>3796181.9819819811</v>
      </c>
      <c r="G518">
        <v>247</v>
      </c>
      <c r="H518">
        <v>131</v>
      </c>
      <c r="I518">
        <v>19</v>
      </c>
      <c r="J518">
        <v>14</v>
      </c>
      <c r="M518">
        <v>282</v>
      </c>
      <c r="N518">
        <v>539</v>
      </c>
      <c r="O518">
        <v>36583963.963963963</v>
      </c>
      <c r="P518">
        <v>32916216.216216218</v>
      </c>
      <c r="Q518">
        <v>217</v>
      </c>
      <c r="R518">
        <v>186</v>
      </c>
      <c r="S518">
        <v>42718745.945945941</v>
      </c>
      <c r="T518">
        <v>45401211.711711712</v>
      </c>
      <c r="U518">
        <v>37047297.297297299</v>
      </c>
      <c r="V518">
        <v>34157340.540540539</v>
      </c>
      <c r="W518">
        <v>6890</v>
      </c>
      <c r="X518">
        <v>7385</v>
      </c>
    </row>
    <row r="519" spans="1:24">
      <c r="A519" s="7" t="s">
        <v>613</v>
      </c>
      <c r="B519" s="16" t="s">
        <v>189</v>
      </c>
      <c r="C519">
        <v>419743601.96697694</v>
      </c>
      <c r="D519">
        <v>398466681.18485165</v>
      </c>
      <c r="E519">
        <v>612387.38738739002</v>
      </c>
      <c r="F519">
        <v>2002702.702702703</v>
      </c>
      <c r="G519">
        <v>162</v>
      </c>
      <c r="H519">
        <v>139</v>
      </c>
      <c r="I519">
        <v>13</v>
      </c>
      <c r="J519">
        <v>11</v>
      </c>
      <c r="K519">
        <v>2</v>
      </c>
      <c r="M519">
        <v>181</v>
      </c>
      <c r="N519">
        <v>191</v>
      </c>
      <c r="O519">
        <v>10210810.810810812</v>
      </c>
      <c r="P519">
        <v>13855675.675675675</v>
      </c>
      <c r="Q519">
        <v>122</v>
      </c>
      <c r="R519">
        <v>466</v>
      </c>
      <c r="S519">
        <v>37725949.54954955</v>
      </c>
      <c r="T519">
        <v>39157059.459459454</v>
      </c>
      <c r="U519">
        <v>8900760.3603603598</v>
      </c>
      <c r="V519">
        <v>12584908.108108113</v>
      </c>
      <c r="W519">
        <v>7638</v>
      </c>
      <c r="X519">
        <v>7701</v>
      </c>
    </row>
    <row r="520" spans="1:24">
      <c r="A520" s="7" t="s">
        <v>614</v>
      </c>
      <c r="B520" s="16" t="s">
        <v>54</v>
      </c>
      <c r="C520">
        <v>296533301.10656172</v>
      </c>
      <c r="D520">
        <v>283307114.10812283</v>
      </c>
      <c r="E520">
        <v>3987387.3873873898</v>
      </c>
      <c r="F520">
        <v>6175675.6756756781</v>
      </c>
      <c r="G520">
        <v>83</v>
      </c>
      <c r="H520">
        <v>89</v>
      </c>
      <c r="I520">
        <v>10</v>
      </c>
      <c r="J520">
        <v>15</v>
      </c>
      <c r="M520">
        <v>96</v>
      </c>
      <c r="N520">
        <v>207</v>
      </c>
      <c r="O520">
        <v>47252702.702702701</v>
      </c>
      <c r="P520">
        <v>48064864.864864863</v>
      </c>
      <c r="Q520">
        <v>193</v>
      </c>
      <c r="R520">
        <v>163</v>
      </c>
      <c r="S520">
        <v>86921216.216216221</v>
      </c>
      <c r="T520">
        <v>90489198.198198199</v>
      </c>
      <c r="U520">
        <v>49760540.540540546</v>
      </c>
      <c r="V520">
        <v>46237297.297297299</v>
      </c>
      <c r="W520">
        <v>6394</v>
      </c>
      <c r="X520">
        <v>7043</v>
      </c>
    </row>
    <row r="521" spans="1:24">
      <c r="A521" s="7" t="s">
        <v>615</v>
      </c>
      <c r="B521" s="16" t="s">
        <v>54</v>
      </c>
      <c r="C521">
        <v>155624876.91949487</v>
      </c>
      <c r="D521">
        <v>153644311.99118963</v>
      </c>
      <c r="E521">
        <v>103378.378378379</v>
      </c>
      <c r="F521">
        <v>814414.41441441595</v>
      </c>
      <c r="G521">
        <v>13</v>
      </c>
      <c r="H521">
        <v>17</v>
      </c>
      <c r="I521">
        <v>1</v>
      </c>
      <c r="J521">
        <v>5</v>
      </c>
      <c r="M521">
        <v>15</v>
      </c>
      <c r="N521">
        <v>22</v>
      </c>
      <c r="O521">
        <v>9051351.3513513505</v>
      </c>
      <c r="P521">
        <v>7767567.5675675683</v>
      </c>
      <c r="Q521">
        <v>48</v>
      </c>
      <c r="R521">
        <v>48</v>
      </c>
      <c r="S521">
        <v>25348684.684684683</v>
      </c>
      <c r="T521">
        <v>25651369.369369369</v>
      </c>
      <c r="U521">
        <v>7737657.6576576568</v>
      </c>
      <c r="V521">
        <v>6803243.2432432426</v>
      </c>
      <c r="W521">
        <v>2729</v>
      </c>
      <c r="X521">
        <v>2838</v>
      </c>
    </row>
    <row r="522" spans="1:24">
      <c r="A522" s="7" t="s">
        <v>616</v>
      </c>
      <c r="B522" s="16" t="s">
        <v>60</v>
      </c>
      <c r="C522">
        <v>240722480.08386502</v>
      </c>
      <c r="D522">
        <v>231760465.65188968</v>
      </c>
      <c r="E522">
        <v>36718018.018018022</v>
      </c>
      <c r="F522">
        <v>38917567.567567565</v>
      </c>
      <c r="G522">
        <v>49</v>
      </c>
      <c r="H522">
        <v>84</v>
      </c>
      <c r="I522">
        <v>9</v>
      </c>
      <c r="J522">
        <v>24</v>
      </c>
      <c r="M522">
        <v>57</v>
      </c>
      <c r="N522">
        <v>133</v>
      </c>
      <c r="O522">
        <v>40705405.40540541</v>
      </c>
      <c r="P522">
        <v>37828378.378378376</v>
      </c>
      <c r="Q522">
        <v>196</v>
      </c>
      <c r="R522">
        <v>116</v>
      </c>
      <c r="S522">
        <v>74317927.927927941</v>
      </c>
      <c r="T522">
        <v>76401477.477477476</v>
      </c>
      <c r="U522">
        <v>34075135.135135129</v>
      </c>
      <c r="V522">
        <v>36185405.40540541</v>
      </c>
      <c r="W522">
        <v>4471</v>
      </c>
      <c r="X522">
        <v>3934</v>
      </c>
    </row>
    <row r="523" spans="1:24">
      <c r="A523" s="7" t="s">
        <v>617</v>
      </c>
      <c r="B523" s="16" t="s">
        <v>60</v>
      </c>
      <c r="C523">
        <v>263540967.75089443</v>
      </c>
      <c r="D523">
        <v>255174518.7118617</v>
      </c>
      <c r="E523">
        <v>873423.42342342599</v>
      </c>
      <c r="F523">
        <v>2027027.0270270309</v>
      </c>
      <c r="G523">
        <v>53</v>
      </c>
      <c r="H523">
        <v>63</v>
      </c>
      <c r="I523">
        <v>7</v>
      </c>
      <c r="J523">
        <v>8</v>
      </c>
      <c r="K523">
        <v>2</v>
      </c>
      <c r="M523">
        <v>58</v>
      </c>
      <c r="N523">
        <v>72</v>
      </c>
      <c r="O523">
        <v>29372072.072072066</v>
      </c>
      <c r="P523">
        <v>32994594.594594602</v>
      </c>
      <c r="Q523">
        <v>129</v>
      </c>
      <c r="R523">
        <v>120</v>
      </c>
      <c r="S523">
        <v>135512027.02702701</v>
      </c>
      <c r="T523">
        <v>133127121.62162161</v>
      </c>
      <c r="U523">
        <v>31799729.729729727</v>
      </c>
      <c r="V523">
        <v>34362162.162162162</v>
      </c>
      <c r="W523">
        <v>5448</v>
      </c>
      <c r="X523">
        <v>5600</v>
      </c>
    </row>
    <row r="524" spans="1:24">
      <c r="A524" s="7" t="s">
        <v>618</v>
      </c>
      <c r="B524" s="16" t="s">
        <v>60</v>
      </c>
      <c r="C524">
        <v>335500233.80293792</v>
      </c>
      <c r="D524">
        <v>322663186.86483657</v>
      </c>
      <c r="E524">
        <v>2647297.297297298</v>
      </c>
      <c r="F524">
        <v>4189864.8648648681</v>
      </c>
      <c r="G524">
        <v>85</v>
      </c>
      <c r="H524">
        <v>53</v>
      </c>
      <c r="I524">
        <v>6</v>
      </c>
      <c r="J524">
        <v>9</v>
      </c>
      <c r="M524">
        <v>98</v>
      </c>
      <c r="N524">
        <v>65</v>
      </c>
      <c r="O524">
        <v>22772522.52252252</v>
      </c>
      <c r="P524">
        <v>47255855.855855852</v>
      </c>
      <c r="Q524">
        <v>138</v>
      </c>
      <c r="R524">
        <v>119</v>
      </c>
      <c r="S524">
        <v>106920567.56756757</v>
      </c>
      <c r="T524">
        <v>107358959.9099099</v>
      </c>
      <c r="U524">
        <v>21468468.468468465</v>
      </c>
      <c r="V524">
        <v>47240000</v>
      </c>
      <c r="W524">
        <v>5642</v>
      </c>
      <c r="X524">
        <v>5898</v>
      </c>
    </row>
    <row r="525" spans="1:24">
      <c r="A525" s="7" t="s">
        <v>619</v>
      </c>
      <c r="B525" s="16" t="s">
        <v>620</v>
      </c>
      <c r="C525">
        <v>377929175.73125035</v>
      </c>
      <c r="D525">
        <v>382218717.76124322</v>
      </c>
      <c r="E525">
        <v>103126144.14414415</v>
      </c>
      <c r="F525">
        <v>6374324.3243243266</v>
      </c>
      <c r="G525">
        <v>146</v>
      </c>
      <c r="H525">
        <v>249</v>
      </c>
      <c r="I525">
        <v>13</v>
      </c>
      <c r="J525">
        <v>15</v>
      </c>
      <c r="K525">
        <v>9</v>
      </c>
      <c r="M525">
        <v>171</v>
      </c>
      <c r="N525">
        <v>422</v>
      </c>
      <c r="O525">
        <v>38560990.990990989</v>
      </c>
      <c r="P525">
        <v>22217567.567567565</v>
      </c>
      <c r="Q525">
        <v>400</v>
      </c>
      <c r="R525">
        <v>66</v>
      </c>
      <c r="S525">
        <v>49159459.459459454</v>
      </c>
      <c r="T525">
        <v>46234756.756756753</v>
      </c>
      <c r="U525">
        <v>39553063.063063063</v>
      </c>
      <c r="V525">
        <v>26087297.297297295</v>
      </c>
      <c r="W525">
        <v>7277</v>
      </c>
      <c r="X525">
        <v>7658</v>
      </c>
    </row>
    <row r="526" spans="1:24">
      <c r="A526" s="7" t="s">
        <v>621</v>
      </c>
      <c r="B526" s="16" t="s">
        <v>620</v>
      </c>
      <c r="C526">
        <v>301441700.65351111</v>
      </c>
      <c r="D526">
        <v>279455052.09745497</v>
      </c>
      <c r="E526">
        <v>1378828.8288288291</v>
      </c>
      <c r="F526">
        <v>4542792.7927927943</v>
      </c>
      <c r="G526">
        <v>142</v>
      </c>
      <c r="H526">
        <v>102</v>
      </c>
      <c r="I526">
        <v>8</v>
      </c>
      <c r="J526">
        <v>12</v>
      </c>
      <c r="K526">
        <v>2</v>
      </c>
      <c r="M526">
        <v>162</v>
      </c>
      <c r="N526">
        <v>124</v>
      </c>
      <c r="O526">
        <v>26894414.414414417</v>
      </c>
      <c r="P526">
        <v>23814414.414414417</v>
      </c>
      <c r="Q526">
        <v>89</v>
      </c>
      <c r="R526">
        <v>25</v>
      </c>
      <c r="S526">
        <v>44606220.720720723</v>
      </c>
      <c r="T526">
        <v>44966572.972972974</v>
      </c>
      <c r="U526">
        <v>27590180.180180185</v>
      </c>
      <c r="V526">
        <v>21701081.081081081</v>
      </c>
      <c r="W526">
        <v>6215</v>
      </c>
      <c r="X526">
        <v>5853</v>
      </c>
    </row>
    <row r="527" spans="1:24">
      <c r="A527" s="7" t="s">
        <v>622</v>
      </c>
      <c r="B527" s="16" t="s">
        <v>620</v>
      </c>
      <c r="C527">
        <v>320477128.91940778</v>
      </c>
      <c r="D527">
        <v>292434807.41916448</v>
      </c>
      <c r="E527">
        <v>21542342.342342343</v>
      </c>
      <c r="F527">
        <v>1479729.729729733</v>
      </c>
      <c r="G527">
        <v>164</v>
      </c>
      <c r="H527">
        <v>122</v>
      </c>
      <c r="I527">
        <v>7</v>
      </c>
      <c r="J527">
        <v>8</v>
      </c>
      <c r="K527">
        <v>2</v>
      </c>
      <c r="M527">
        <v>184</v>
      </c>
      <c r="N527">
        <v>149</v>
      </c>
      <c r="O527">
        <v>34472702.702702701</v>
      </c>
      <c r="P527">
        <v>20356306.306306303</v>
      </c>
      <c r="Q527">
        <v>423</v>
      </c>
      <c r="R527">
        <v>52</v>
      </c>
      <c r="S527">
        <v>43869801.801801808</v>
      </c>
      <c r="T527">
        <v>45293092.79279279</v>
      </c>
      <c r="U527">
        <v>29693329.729729731</v>
      </c>
      <c r="V527">
        <v>17203063.063063063</v>
      </c>
      <c r="W527">
        <v>6043</v>
      </c>
      <c r="X527">
        <v>5924</v>
      </c>
    </row>
    <row r="528" spans="1:24">
      <c r="A528" s="7" t="s">
        <v>623</v>
      </c>
      <c r="B528" s="16" t="s">
        <v>620</v>
      </c>
      <c r="C528">
        <v>227644729.14228979</v>
      </c>
      <c r="D528">
        <v>214502761.7260083</v>
      </c>
      <c r="E528">
        <v>715770.27027026995</v>
      </c>
      <c r="F528">
        <v>57300541.441441439</v>
      </c>
      <c r="G528">
        <v>131</v>
      </c>
      <c r="H528">
        <v>51</v>
      </c>
      <c r="I528">
        <v>6</v>
      </c>
      <c r="J528">
        <v>5</v>
      </c>
      <c r="K528">
        <v>2</v>
      </c>
      <c r="M528">
        <v>143</v>
      </c>
      <c r="N528">
        <v>68</v>
      </c>
      <c r="O528">
        <v>24514274.774774775</v>
      </c>
      <c r="P528">
        <v>34917494.59459459</v>
      </c>
      <c r="Q528">
        <v>61</v>
      </c>
      <c r="R528">
        <v>10</v>
      </c>
      <c r="S528">
        <v>29164495.495495494</v>
      </c>
      <c r="T528">
        <v>27463130.630630631</v>
      </c>
      <c r="U528">
        <v>19892522.522522524</v>
      </c>
      <c r="V528">
        <v>17188288.288288288</v>
      </c>
      <c r="W528">
        <v>3711</v>
      </c>
      <c r="X528">
        <v>3655</v>
      </c>
    </row>
    <row r="529" spans="1:24">
      <c r="A529" s="7" t="s">
        <v>624</v>
      </c>
      <c r="B529" s="16" t="s">
        <v>260</v>
      </c>
      <c r="C529">
        <v>124555776.99909721</v>
      </c>
      <c r="D529">
        <v>113166382.51311746</v>
      </c>
      <c r="E529">
        <v>18918.918918919</v>
      </c>
      <c r="F529">
        <v>363963.96396396501</v>
      </c>
      <c r="G529">
        <v>15</v>
      </c>
      <c r="H529">
        <v>16</v>
      </c>
      <c r="I529">
        <v>0</v>
      </c>
      <c r="J529">
        <v>2</v>
      </c>
      <c r="M529">
        <v>16</v>
      </c>
      <c r="N529">
        <v>16</v>
      </c>
      <c r="O529">
        <v>16460360.36036036</v>
      </c>
      <c r="P529">
        <v>7275675.6756756771</v>
      </c>
      <c r="Q529">
        <v>10</v>
      </c>
      <c r="R529">
        <v>6</v>
      </c>
      <c r="S529">
        <v>43518855.855855852</v>
      </c>
      <c r="T529">
        <v>37161756.75675676</v>
      </c>
      <c r="U529">
        <v>13969639.63963964</v>
      </c>
      <c r="V529">
        <v>10670180.180180181</v>
      </c>
      <c r="W529">
        <v>2098</v>
      </c>
      <c r="X529">
        <v>2023</v>
      </c>
    </row>
    <row r="530" spans="1:24">
      <c r="A530" s="7" t="s">
        <v>625</v>
      </c>
      <c r="B530" s="16" t="s">
        <v>52</v>
      </c>
      <c r="C530">
        <v>178640426.30078822</v>
      </c>
      <c r="D530">
        <v>176196769.0867995</v>
      </c>
      <c r="E530">
        <v>37237117.117117122</v>
      </c>
      <c r="F530">
        <v>166381981.98198199</v>
      </c>
      <c r="G530">
        <v>86</v>
      </c>
      <c r="H530">
        <v>65</v>
      </c>
      <c r="I530">
        <v>3</v>
      </c>
      <c r="J530">
        <v>6</v>
      </c>
      <c r="M530">
        <v>104</v>
      </c>
      <c r="N530">
        <v>154</v>
      </c>
      <c r="O530">
        <v>7330810.8108108109</v>
      </c>
      <c r="P530">
        <v>6092792.7927927952</v>
      </c>
      <c r="Q530">
        <v>142</v>
      </c>
      <c r="R530">
        <v>26</v>
      </c>
      <c r="S530">
        <v>63090711.711711712</v>
      </c>
      <c r="T530">
        <v>63667837.837837838</v>
      </c>
      <c r="U530">
        <v>7053603.6036036024</v>
      </c>
      <c r="V530">
        <v>4631621.6216216227</v>
      </c>
      <c r="W530">
        <v>4576</v>
      </c>
      <c r="X530">
        <v>4364</v>
      </c>
    </row>
    <row r="531" spans="1:24">
      <c r="A531" s="7" t="s">
        <v>626</v>
      </c>
      <c r="B531" s="16" t="s">
        <v>96</v>
      </c>
      <c r="C531">
        <v>453883361.87681121</v>
      </c>
      <c r="D531">
        <v>447985227.44938278</v>
      </c>
      <c r="E531">
        <v>20063423.423423424</v>
      </c>
      <c r="F531">
        <v>86753153.153153151</v>
      </c>
      <c r="G531">
        <v>264</v>
      </c>
      <c r="H531">
        <v>202</v>
      </c>
      <c r="I531">
        <v>10</v>
      </c>
      <c r="J531">
        <v>10</v>
      </c>
      <c r="K531">
        <v>1</v>
      </c>
      <c r="M531">
        <v>308</v>
      </c>
      <c r="N531">
        <v>249</v>
      </c>
      <c r="O531">
        <v>74568333.333333328</v>
      </c>
      <c r="P531">
        <v>93334459.459459454</v>
      </c>
      <c r="Q531">
        <v>159</v>
      </c>
      <c r="R531">
        <v>349</v>
      </c>
      <c r="S531">
        <v>144072567.56756756</v>
      </c>
      <c r="T531">
        <v>146224734.68468466</v>
      </c>
      <c r="U531">
        <v>74359909.909909904</v>
      </c>
      <c r="V531">
        <v>83198918.918918908</v>
      </c>
      <c r="W531">
        <v>10546</v>
      </c>
      <c r="X531">
        <v>10791</v>
      </c>
    </row>
    <row r="532" spans="1:24">
      <c r="A532" s="7" t="s">
        <v>627</v>
      </c>
      <c r="B532" s="16" t="s">
        <v>96</v>
      </c>
      <c r="C532">
        <v>799946066.15273023</v>
      </c>
      <c r="D532">
        <v>741030407.53524363</v>
      </c>
      <c r="E532">
        <v>3164954.9549549562</v>
      </c>
      <c r="F532">
        <v>4171396.3963963971</v>
      </c>
      <c r="G532">
        <v>262</v>
      </c>
      <c r="H532">
        <v>190</v>
      </c>
      <c r="I532">
        <v>11</v>
      </c>
      <c r="J532">
        <v>7</v>
      </c>
      <c r="K532">
        <v>1</v>
      </c>
      <c r="M532">
        <v>317</v>
      </c>
      <c r="N532">
        <v>271</v>
      </c>
      <c r="O532">
        <v>195336216.21621624</v>
      </c>
      <c r="P532">
        <v>152294144.14414415</v>
      </c>
      <c r="Q532">
        <v>143</v>
      </c>
      <c r="R532">
        <v>126</v>
      </c>
      <c r="S532">
        <v>316312126.12612617</v>
      </c>
      <c r="T532">
        <v>301323371.62162161</v>
      </c>
      <c r="U532">
        <v>203999729.72972974</v>
      </c>
      <c r="V532">
        <v>158220450.45045042</v>
      </c>
      <c r="W532">
        <v>14091</v>
      </c>
      <c r="X532">
        <v>13915</v>
      </c>
    </row>
    <row r="533" spans="1:24">
      <c r="A533" s="7" t="s">
        <v>628</v>
      </c>
      <c r="B533" s="16" t="s">
        <v>448</v>
      </c>
      <c r="C533">
        <v>561120831.47834742</v>
      </c>
      <c r="D533">
        <v>540411243.40724099</v>
      </c>
      <c r="E533">
        <v>291366058.55855852</v>
      </c>
      <c r="F533">
        <v>488186446.84684682</v>
      </c>
      <c r="G533">
        <v>262</v>
      </c>
      <c r="H533">
        <v>193</v>
      </c>
      <c r="I533">
        <v>18</v>
      </c>
      <c r="J533">
        <v>18</v>
      </c>
      <c r="K533">
        <v>2</v>
      </c>
      <c r="M533">
        <v>289</v>
      </c>
      <c r="N533">
        <v>242</v>
      </c>
      <c r="O533">
        <v>247742612.61261261</v>
      </c>
      <c r="P533">
        <v>189907747.74774775</v>
      </c>
      <c r="Q533">
        <v>556</v>
      </c>
      <c r="R533">
        <v>1799</v>
      </c>
      <c r="S533">
        <v>164005756.75675678</v>
      </c>
      <c r="T533">
        <v>160782854.05405405</v>
      </c>
      <c r="U533">
        <v>225646126.12612611</v>
      </c>
      <c r="V533">
        <v>184415450.45045045</v>
      </c>
      <c r="W533">
        <v>11868</v>
      </c>
      <c r="X533">
        <v>11475</v>
      </c>
    </row>
    <row r="534" spans="1:24">
      <c r="A534" s="7" t="s">
        <v>629</v>
      </c>
      <c r="B534" s="16" t="s">
        <v>78</v>
      </c>
      <c r="C534">
        <v>25686849.306942247</v>
      </c>
      <c r="D534">
        <v>24262639.80299259</v>
      </c>
      <c r="E534">
        <v>186486.48648648601</v>
      </c>
      <c r="F534">
        <v>529729.72972972901</v>
      </c>
      <c r="G534">
        <v>2</v>
      </c>
      <c r="H534">
        <v>3</v>
      </c>
      <c r="I534">
        <v>0</v>
      </c>
      <c r="K534">
        <v>1</v>
      </c>
      <c r="M534">
        <v>2</v>
      </c>
      <c r="N534">
        <v>3</v>
      </c>
      <c r="O534">
        <v>790090.09009008994</v>
      </c>
      <c r="P534">
        <v>2754954.9549549539</v>
      </c>
      <c r="Q534">
        <v>12</v>
      </c>
      <c r="R534">
        <v>12</v>
      </c>
      <c r="S534">
        <v>6854009.0090090092</v>
      </c>
      <c r="T534">
        <v>6790612.6126126125</v>
      </c>
      <c r="U534">
        <v>856036.03603603598</v>
      </c>
      <c r="V534">
        <v>2350090.0900900909</v>
      </c>
      <c r="W534">
        <v>458</v>
      </c>
      <c r="X534">
        <v>394</v>
      </c>
    </row>
    <row r="535" spans="1:24">
      <c r="A535" s="7" t="s">
        <v>630</v>
      </c>
      <c r="B535" s="16" t="s">
        <v>241</v>
      </c>
      <c r="C535">
        <v>146413562.50976866</v>
      </c>
      <c r="D535">
        <v>142342743.0820812</v>
      </c>
      <c r="E535">
        <v>74954.954954954999</v>
      </c>
      <c r="F535">
        <v>1005180.1801801811</v>
      </c>
      <c r="G535">
        <v>110</v>
      </c>
      <c r="H535">
        <v>57</v>
      </c>
      <c r="I535">
        <v>6</v>
      </c>
      <c r="J535">
        <v>3</v>
      </c>
      <c r="K535">
        <v>1</v>
      </c>
      <c r="M535">
        <v>127</v>
      </c>
      <c r="N535">
        <v>66</v>
      </c>
      <c r="O535">
        <v>30946216.216216218</v>
      </c>
      <c r="P535">
        <v>22989909.909909911</v>
      </c>
      <c r="Q535">
        <v>242</v>
      </c>
      <c r="R535">
        <v>61</v>
      </c>
      <c r="S535">
        <v>34996576.576576576</v>
      </c>
      <c r="T535">
        <v>32604198.198198196</v>
      </c>
      <c r="U535">
        <v>32061531.531531528</v>
      </c>
      <c r="V535">
        <v>21291171.171171173</v>
      </c>
      <c r="W535">
        <v>2827</v>
      </c>
      <c r="X535">
        <v>2832</v>
      </c>
    </row>
    <row r="536" spans="1:24">
      <c r="A536" s="7" t="s">
        <v>631</v>
      </c>
      <c r="B536" s="16" t="s">
        <v>68</v>
      </c>
      <c r="C536">
        <v>656615093.56341207</v>
      </c>
      <c r="D536">
        <v>616396193.67865276</v>
      </c>
      <c r="E536">
        <v>2772747.74774775</v>
      </c>
      <c r="F536">
        <v>6735585.5855855849</v>
      </c>
      <c r="G536">
        <v>318</v>
      </c>
      <c r="H536">
        <v>236</v>
      </c>
      <c r="I536">
        <v>19</v>
      </c>
      <c r="J536">
        <v>15</v>
      </c>
      <c r="M536">
        <v>337</v>
      </c>
      <c r="N536">
        <v>487</v>
      </c>
      <c r="O536">
        <v>69224504.504504502</v>
      </c>
      <c r="P536">
        <v>57154054.054054059</v>
      </c>
      <c r="Q536">
        <v>398</v>
      </c>
      <c r="R536">
        <v>321</v>
      </c>
      <c r="S536">
        <v>110958279.27927928</v>
      </c>
      <c r="T536">
        <v>105703990.09009008</v>
      </c>
      <c r="U536">
        <v>51789189.189189196</v>
      </c>
      <c r="V536">
        <v>48562342.342342347</v>
      </c>
      <c r="W536">
        <v>8883</v>
      </c>
      <c r="X536">
        <v>8954</v>
      </c>
    </row>
    <row r="537" spans="1:24">
      <c r="A537" s="7" t="s">
        <v>632</v>
      </c>
      <c r="B537" s="16" t="s">
        <v>70</v>
      </c>
      <c r="C537">
        <v>4561951.1065471396</v>
      </c>
      <c r="D537">
        <v>4500844.4955967376</v>
      </c>
      <c r="E537">
        <v>266216.21621621598</v>
      </c>
      <c r="F537">
        <v>54054.054054054002</v>
      </c>
      <c r="G537">
        <v>7</v>
      </c>
      <c r="H537">
        <v>2</v>
      </c>
      <c r="J537">
        <v>1</v>
      </c>
      <c r="M537">
        <v>7</v>
      </c>
      <c r="N537">
        <v>2</v>
      </c>
      <c r="O537">
        <v>279279.279279279</v>
      </c>
      <c r="P537">
        <v>54054.054054054002</v>
      </c>
      <c r="R537">
        <v>18</v>
      </c>
      <c r="S537">
        <v>3066756.7567567569</v>
      </c>
      <c r="T537">
        <v>2701981.981981982</v>
      </c>
      <c r="U537">
        <v>252162.16216216201</v>
      </c>
      <c r="V537">
        <v>164864.864864865</v>
      </c>
      <c r="W537">
        <v>162</v>
      </c>
      <c r="X537">
        <v>189</v>
      </c>
    </row>
    <row r="538" spans="1:24">
      <c r="A538" s="7" t="s">
        <v>633</v>
      </c>
      <c r="B538" s="16" t="s">
        <v>60</v>
      </c>
      <c r="C538">
        <v>47187879.502860077</v>
      </c>
      <c r="D538">
        <v>47051116.734811135</v>
      </c>
      <c r="E538">
        <v>142342.34234234301</v>
      </c>
      <c r="F538">
        <v>151351.351351352</v>
      </c>
      <c r="G538">
        <v>10</v>
      </c>
      <c r="H538">
        <v>13</v>
      </c>
      <c r="I538">
        <v>3</v>
      </c>
      <c r="J538">
        <v>2</v>
      </c>
      <c r="M538">
        <v>10</v>
      </c>
      <c r="N538">
        <v>16</v>
      </c>
      <c r="O538">
        <v>2169369.369369369</v>
      </c>
      <c r="P538">
        <v>1772972.972972973</v>
      </c>
      <c r="Q538">
        <v>33</v>
      </c>
      <c r="R538">
        <v>21</v>
      </c>
      <c r="S538">
        <v>18047387.387387387</v>
      </c>
      <c r="T538">
        <v>20234918.918918919</v>
      </c>
      <c r="U538">
        <v>1472522.5225225219</v>
      </c>
      <c r="V538">
        <v>256306.30630630601</v>
      </c>
      <c r="W538">
        <v>907</v>
      </c>
      <c r="X538">
        <v>989</v>
      </c>
    </row>
    <row r="539" spans="1:24">
      <c r="A539" s="7" t="s">
        <v>634</v>
      </c>
      <c r="B539" s="16" t="s">
        <v>80</v>
      </c>
      <c r="C539">
        <v>502546334.12552357</v>
      </c>
      <c r="D539">
        <v>480989484.27280056</v>
      </c>
      <c r="E539">
        <v>5001801.8018018017</v>
      </c>
      <c r="F539">
        <v>4817567.5675675711</v>
      </c>
      <c r="G539">
        <v>167</v>
      </c>
      <c r="H539">
        <v>70</v>
      </c>
      <c r="I539">
        <v>4</v>
      </c>
      <c r="J539">
        <v>4</v>
      </c>
      <c r="M539">
        <v>185</v>
      </c>
      <c r="N539">
        <v>79</v>
      </c>
      <c r="O539">
        <v>62176936.936936937</v>
      </c>
      <c r="P539">
        <v>53217567.567567565</v>
      </c>
      <c r="Q539">
        <v>13</v>
      </c>
      <c r="R539">
        <v>26</v>
      </c>
      <c r="S539">
        <v>89805486.48648648</v>
      </c>
      <c r="T539">
        <v>96500391.891891882</v>
      </c>
      <c r="U539">
        <v>62385315.315315321</v>
      </c>
      <c r="V539">
        <v>51412882.882882878</v>
      </c>
      <c r="W539">
        <v>6065</v>
      </c>
      <c r="X539">
        <v>6187</v>
      </c>
    </row>
    <row r="540" spans="1:24">
      <c r="A540" s="7" t="s">
        <v>635</v>
      </c>
      <c r="B540" s="16" t="s">
        <v>134</v>
      </c>
      <c r="C540">
        <v>83468385.62368457</v>
      </c>
      <c r="D540">
        <v>87594934.976616621</v>
      </c>
      <c r="E540">
        <v>4504.5045045050001</v>
      </c>
      <c r="F540">
        <v>874774.77477477503</v>
      </c>
      <c r="G540">
        <v>9</v>
      </c>
      <c r="H540">
        <v>19</v>
      </c>
      <c r="I540">
        <v>2</v>
      </c>
      <c r="J540">
        <v>1</v>
      </c>
      <c r="M540">
        <v>9</v>
      </c>
      <c r="N540">
        <v>19</v>
      </c>
      <c r="O540">
        <v>905405.40540540498</v>
      </c>
      <c r="P540">
        <v>10933333.333333332</v>
      </c>
      <c r="R540">
        <v>140</v>
      </c>
      <c r="S540">
        <v>3967747.7477477482</v>
      </c>
      <c r="T540">
        <v>5062018.0180180185</v>
      </c>
      <c r="U540">
        <v>1086216.2162162161</v>
      </c>
      <c r="V540">
        <v>10158288.288288288</v>
      </c>
      <c r="W540">
        <v>1345</v>
      </c>
      <c r="X540">
        <v>1487</v>
      </c>
    </row>
    <row r="541" spans="1:24">
      <c r="A541" s="7" t="s">
        <v>636</v>
      </c>
      <c r="B541" s="16" t="s">
        <v>479</v>
      </c>
      <c r="C541">
        <v>282614586.00497591</v>
      </c>
      <c r="D541">
        <v>262813632.55858114</v>
      </c>
      <c r="E541">
        <v>571846.84684684698</v>
      </c>
      <c r="F541">
        <v>2644144.1441441509</v>
      </c>
      <c r="G541">
        <v>55</v>
      </c>
      <c r="H541">
        <v>69</v>
      </c>
      <c r="I541">
        <v>4</v>
      </c>
      <c r="J541">
        <v>6</v>
      </c>
      <c r="M541">
        <v>57</v>
      </c>
      <c r="N541">
        <v>92</v>
      </c>
      <c r="O541">
        <v>46537754.954954952</v>
      </c>
      <c r="P541">
        <v>69153719.819819823</v>
      </c>
      <c r="Q541">
        <v>29</v>
      </c>
      <c r="R541">
        <v>192</v>
      </c>
      <c r="S541">
        <v>99738373.873873875</v>
      </c>
      <c r="T541">
        <v>93957963.963963971</v>
      </c>
      <c r="U541">
        <v>49150090.090090089</v>
      </c>
      <c r="V541">
        <v>69350315.315315306</v>
      </c>
      <c r="W541">
        <v>5768</v>
      </c>
      <c r="X541">
        <v>5754</v>
      </c>
    </row>
    <row r="542" spans="1:24">
      <c r="A542" s="7" t="s">
        <v>637</v>
      </c>
      <c r="B542" s="16" t="s">
        <v>143</v>
      </c>
      <c r="C542">
        <v>448524191.05059928</v>
      </c>
      <c r="D542">
        <v>447950795.62856442</v>
      </c>
      <c r="E542">
        <v>2611036.0360360402</v>
      </c>
      <c r="F542">
        <v>4005405.405405404</v>
      </c>
      <c r="G542">
        <v>137</v>
      </c>
      <c r="H542">
        <v>92</v>
      </c>
      <c r="I542">
        <v>28</v>
      </c>
      <c r="J542">
        <v>19</v>
      </c>
      <c r="K542">
        <v>1</v>
      </c>
      <c r="M542">
        <v>163</v>
      </c>
      <c r="N542">
        <v>142</v>
      </c>
      <c r="O542">
        <v>53974054.054054059</v>
      </c>
      <c r="P542">
        <v>29495945.945945945</v>
      </c>
      <c r="Q542">
        <v>297</v>
      </c>
      <c r="R542">
        <v>291</v>
      </c>
      <c r="S542">
        <v>47518279.279279277</v>
      </c>
      <c r="T542">
        <v>57015547.297297299</v>
      </c>
      <c r="U542">
        <v>37774954.954954952</v>
      </c>
      <c r="V542">
        <v>24668198.198198196</v>
      </c>
      <c r="W542">
        <v>9356</v>
      </c>
      <c r="X542">
        <v>9745</v>
      </c>
    </row>
    <row r="543" spans="1:24">
      <c r="A543" s="7" t="s">
        <v>638</v>
      </c>
      <c r="B543" s="16" t="s">
        <v>241</v>
      </c>
      <c r="C543">
        <v>515058337.64478397</v>
      </c>
      <c r="D543">
        <v>489637400.01321226</v>
      </c>
      <c r="E543">
        <v>1223423.423423426</v>
      </c>
      <c r="F543">
        <v>2194594.594594595</v>
      </c>
      <c r="G543">
        <v>290</v>
      </c>
      <c r="H543">
        <v>247</v>
      </c>
      <c r="I543">
        <v>20</v>
      </c>
      <c r="J543">
        <v>20</v>
      </c>
      <c r="K543">
        <v>2</v>
      </c>
      <c r="M543">
        <v>305</v>
      </c>
      <c r="N543">
        <v>295</v>
      </c>
      <c r="O543">
        <v>48120000</v>
      </c>
      <c r="P543">
        <v>38584684.684684686</v>
      </c>
      <c r="Q543">
        <v>456</v>
      </c>
      <c r="R543">
        <v>272</v>
      </c>
      <c r="S543">
        <v>169780477.47747746</v>
      </c>
      <c r="T543">
        <v>159291043.24324322</v>
      </c>
      <c r="U543">
        <v>50352072.072072074</v>
      </c>
      <c r="V543">
        <v>35075495.495495498</v>
      </c>
      <c r="W543">
        <v>12689</v>
      </c>
      <c r="X543">
        <v>12699</v>
      </c>
    </row>
    <row r="544" spans="1:24">
      <c r="A544" s="7" t="s">
        <v>639</v>
      </c>
      <c r="B544" s="16" t="s">
        <v>132</v>
      </c>
      <c r="C544">
        <v>214569228.92639256</v>
      </c>
      <c r="D544">
        <v>187142350.01701513</v>
      </c>
      <c r="E544">
        <v>72046005.405405402</v>
      </c>
      <c r="F544">
        <v>45314180.180180177</v>
      </c>
      <c r="G544">
        <v>109</v>
      </c>
      <c r="H544">
        <v>66</v>
      </c>
      <c r="I544">
        <v>3</v>
      </c>
      <c r="J544">
        <v>2</v>
      </c>
      <c r="M544">
        <v>121</v>
      </c>
      <c r="N544">
        <v>91</v>
      </c>
      <c r="O544">
        <v>15899099.099099098</v>
      </c>
      <c r="P544">
        <v>11077477.477477478</v>
      </c>
      <c r="Q544">
        <v>1</v>
      </c>
      <c r="R544">
        <v>3</v>
      </c>
      <c r="S544">
        <v>74632756.756756753</v>
      </c>
      <c r="T544">
        <v>67710684.684684694</v>
      </c>
      <c r="U544">
        <v>9807747.7477477472</v>
      </c>
      <c r="V544">
        <v>4415405.405405405</v>
      </c>
      <c r="W544">
        <v>5520</v>
      </c>
      <c r="X544">
        <v>5336</v>
      </c>
    </row>
    <row r="545" spans="1:24">
      <c r="A545" s="7" t="s">
        <v>640</v>
      </c>
      <c r="B545" s="16" t="s">
        <v>134</v>
      </c>
      <c r="C545">
        <v>595039305.66877544</v>
      </c>
      <c r="D545">
        <v>563575158.60953462</v>
      </c>
      <c r="E545">
        <v>3163063.0630630651</v>
      </c>
      <c r="F545">
        <v>1772072.072072075</v>
      </c>
      <c r="G545">
        <v>142</v>
      </c>
      <c r="H545">
        <v>89</v>
      </c>
      <c r="I545">
        <v>18</v>
      </c>
      <c r="J545">
        <v>17</v>
      </c>
      <c r="M545">
        <v>147</v>
      </c>
      <c r="N545">
        <v>99</v>
      </c>
      <c r="O545">
        <v>46536216.216216214</v>
      </c>
      <c r="P545">
        <v>47489909.909909911</v>
      </c>
      <c r="Q545">
        <v>144</v>
      </c>
      <c r="R545">
        <v>147</v>
      </c>
      <c r="S545">
        <v>73186525.225225225</v>
      </c>
      <c r="T545">
        <v>75234172.072072059</v>
      </c>
      <c r="U545">
        <v>39588468.468468472</v>
      </c>
      <c r="V545">
        <v>37990313.513513513</v>
      </c>
      <c r="W545">
        <v>7444</v>
      </c>
      <c r="X545">
        <v>7458</v>
      </c>
    </row>
    <row r="546" spans="1:24">
      <c r="A546" s="7" t="s">
        <v>641</v>
      </c>
      <c r="B546" s="16" t="s">
        <v>80</v>
      </c>
      <c r="C546">
        <v>291146367.29512191</v>
      </c>
      <c r="D546">
        <v>297267004.17033124</v>
      </c>
      <c r="E546">
        <v>579279.27927927999</v>
      </c>
      <c r="F546">
        <v>1202702.702702705</v>
      </c>
      <c r="G546">
        <v>59</v>
      </c>
      <c r="H546">
        <v>50</v>
      </c>
      <c r="I546">
        <v>7</v>
      </c>
      <c r="J546">
        <v>2</v>
      </c>
      <c r="K546">
        <v>3</v>
      </c>
      <c r="M546">
        <v>65</v>
      </c>
      <c r="N546">
        <v>69</v>
      </c>
      <c r="O546">
        <v>36757567.567567565</v>
      </c>
      <c r="P546">
        <v>28084684.684684683</v>
      </c>
      <c r="Q546">
        <v>37</v>
      </c>
      <c r="R546">
        <v>18</v>
      </c>
      <c r="S546">
        <v>100994583.78378378</v>
      </c>
      <c r="T546">
        <v>107379200.9009009</v>
      </c>
      <c r="U546">
        <v>32688108.108108107</v>
      </c>
      <c r="V546">
        <v>29330900.9009009</v>
      </c>
      <c r="W546">
        <v>4688</v>
      </c>
      <c r="X546">
        <v>4940</v>
      </c>
    </row>
    <row r="547" spans="1:24">
      <c r="A547" s="7" t="s">
        <v>642</v>
      </c>
      <c r="B547" s="16" t="s">
        <v>169</v>
      </c>
      <c r="C547">
        <v>567715622.56518805</v>
      </c>
      <c r="D547">
        <v>492491230.70992225</v>
      </c>
      <c r="E547">
        <v>1968018.018018018</v>
      </c>
      <c r="F547">
        <v>1829729.7297297299</v>
      </c>
      <c r="G547">
        <v>58</v>
      </c>
      <c r="H547">
        <v>37</v>
      </c>
      <c r="I547">
        <v>0</v>
      </c>
      <c r="J547">
        <v>0</v>
      </c>
      <c r="K547">
        <v>1</v>
      </c>
      <c r="M547">
        <v>67</v>
      </c>
      <c r="N547">
        <v>55</v>
      </c>
      <c r="O547">
        <v>40211261.261261262</v>
      </c>
      <c r="P547">
        <v>43582177.477477483</v>
      </c>
      <c r="Q547">
        <v>15</v>
      </c>
      <c r="R547">
        <v>4</v>
      </c>
      <c r="S547">
        <v>192191234.23423424</v>
      </c>
      <c r="T547">
        <v>175888774.77477479</v>
      </c>
      <c r="U547">
        <v>41423963.963963963</v>
      </c>
      <c r="V547">
        <v>39903783.783783786</v>
      </c>
      <c r="W547">
        <v>9014</v>
      </c>
      <c r="X547">
        <v>9019</v>
      </c>
    </row>
    <row r="548" spans="1:24">
      <c r="A548" s="7" t="s">
        <v>643</v>
      </c>
      <c r="B548" s="16" t="s">
        <v>58</v>
      </c>
      <c r="C548">
        <v>858294450.52644491</v>
      </c>
      <c r="D548">
        <v>842336372.32370543</v>
      </c>
      <c r="E548">
        <v>60687612.612612613</v>
      </c>
      <c r="F548">
        <v>10939864.864864863</v>
      </c>
      <c r="G548">
        <v>275</v>
      </c>
      <c r="H548">
        <v>220</v>
      </c>
      <c r="I548">
        <v>30</v>
      </c>
      <c r="J548">
        <v>35</v>
      </c>
      <c r="K548">
        <v>1</v>
      </c>
      <c r="M548">
        <v>312</v>
      </c>
      <c r="N548">
        <v>307</v>
      </c>
      <c r="O548">
        <v>92360360.360360369</v>
      </c>
      <c r="P548">
        <v>75255405.405405402</v>
      </c>
      <c r="Q548">
        <v>559</v>
      </c>
      <c r="R548">
        <v>107</v>
      </c>
      <c r="S548">
        <v>170977061.26126125</v>
      </c>
      <c r="T548">
        <v>175275761.26126125</v>
      </c>
      <c r="U548">
        <v>75137297.297297299</v>
      </c>
      <c r="V548">
        <v>60795225.225225225</v>
      </c>
      <c r="W548">
        <v>17836</v>
      </c>
      <c r="X548">
        <v>17374</v>
      </c>
    </row>
    <row r="549" spans="1:24">
      <c r="A549" s="7" t="s">
        <v>644</v>
      </c>
      <c r="B549" s="16" t="s">
        <v>58</v>
      </c>
      <c r="C549">
        <v>1087270762.3233411</v>
      </c>
      <c r="D549">
        <v>1055105740.4099488</v>
      </c>
      <c r="E549">
        <v>376415836.93693697</v>
      </c>
      <c r="F549">
        <v>19141891.891891893</v>
      </c>
      <c r="G549">
        <v>522</v>
      </c>
      <c r="H549">
        <v>1156</v>
      </c>
      <c r="I549">
        <v>56</v>
      </c>
      <c r="J549">
        <v>50</v>
      </c>
      <c r="K549">
        <v>3</v>
      </c>
      <c r="M549">
        <v>669</v>
      </c>
      <c r="N549">
        <v>1422</v>
      </c>
      <c r="O549">
        <v>189255855.85585585</v>
      </c>
      <c r="P549">
        <v>174027927.92792794</v>
      </c>
      <c r="Q549">
        <v>1487</v>
      </c>
      <c r="R549">
        <v>219</v>
      </c>
      <c r="S549">
        <v>301077763.96396399</v>
      </c>
      <c r="T549">
        <v>323143554.05405408</v>
      </c>
      <c r="U549">
        <v>168647027.02702704</v>
      </c>
      <c r="V549">
        <v>164774954.95495495</v>
      </c>
      <c r="W549">
        <v>27420</v>
      </c>
      <c r="X549">
        <v>22136</v>
      </c>
    </row>
    <row r="550" spans="1:24">
      <c r="A550" s="7" t="s">
        <v>645</v>
      </c>
      <c r="B550" s="16" t="s">
        <v>307</v>
      </c>
      <c r="C550">
        <v>364309565.18992269</v>
      </c>
      <c r="D550">
        <v>347539530.77712119</v>
      </c>
      <c r="E550">
        <v>2776576.576576577</v>
      </c>
      <c r="F550">
        <v>1863963.963963964</v>
      </c>
      <c r="G550">
        <v>60</v>
      </c>
      <c r="H550">
        <v>43</v>
      </c>
      <c r="I550">
        <v>1</v>
      </c>
      <c r="J550">
        <v>1</v>
      </c>
      <c r="K550">
        <v>1</v>
      </c>
      <c r="M550">
        <v>63</v>
      </c>
      <c r="N550">
        <v>56</v>
      </c>
      <c r="O550">
        <v>7208108.108108107</v>
      </c>
      <c r="P550">
        <v>7172972.9729729732</v>
      </c>
      <c r="Q550">
        <v>38</v>
      </c>
      <c r="R550">
        <v>7</v>
      </c>
      <c r="S550">
        <v>58598783.783783786</v>
      </c>
      <c r="T550">
        <v>57700409.909909911</v>
      </c>
      <c r="U550">
        <v>7075855.8558558542</v>
      </c>
      <c r="V550">
        <v>6438648.6486486476</v>
      </c>
      <c r="W550">
        <v>5204</v>
      </c>
      <c r="X550">
        <v>5210</v>
      </c>
    </row>
    <row r="551" spans="1:24">
      <c r="A551" s="7" t="s">
        <v>13</v>
      </c>
      <c r="B551" s="16" t="s">
        <v>158</v>
      </c>
      <c r="C551">
        <v>409841679.95035136</v>
      </c>
      <c r="D551">
        <v>395818677.50341368</v>
      </c>
      <c r="E551">
        <v>1367567.5675675729</v>
      </c>
      <c r="F551">
        <v>4309009.0090090176</v>
      </c>
      <c r="G551">
        <v>268</v>
      </c>
      <c r="H551">
        <v>109</v>
      </c>
      <c r="I551">
        <v>37</v>
      </c>
      <c r="J551">
        <v>10</v>
      </c>
      <c r="K551">
        <v>2</v>
      </c>
      <c r="M551">
        <v>675</v>
      </c>
      <c r="N551">
        <v>320</v>
      </c>
      <c r="O551">
        <v>77679279.279279277</v>
      </c>
      <c r="P551">
        <v>89246531.531531543</v>
      </c>
      <c r="Q551">
        <v>436</v>
      </c>
      <c r="R551">
        <v>305</v>
      </c>
      <c r="S551">
        <v>243035184.68468466</v>
      </c>
      <c r="T551">
        <v>228676081.08108109</v>
      </c>
      <c r="U551">
        <v>83840360.360360369</v>
      </c>
      <c r="V551">
        <v>85148376.576576576</v>
      </c>
      <c r="W551">
        <v>7363</v>
      </c>
      <c r="X551">
        <v>7307</v>
      </c>
    </row>
    <row r="552" spans="1:24">
      <c r="A552" s="7" t="s">
        <v>646</v>
      </c>
      <c r="B552" s="16" t="s">
        <v>121</v>
      </c>
      <c r="C552">
        <v>262040190.59842783</v>
      </c>
      <c r="D552">
        <v>267911198.19817311</v>
      </c>
      <c r="E552">
        <v>14639.63963964</v>
      </c>
      <c r="F552">
        <v>163063.06306306299</v>
      </c>
      <c r="G552">
        <v>68</v>
      </c>
      <c r="H552">
        <v>63</v>
      </c>
      <c r="I552">
        <v>2</v>
      </c>
      <c r="J552">
        <v>2</v>
      </c>
      <c r="M552">
        <v>72</v>
      </c>
      <c r="N552">
        <v>70</v>
      </c>
      <c r="O552">
        <v>799099.09909909905</v>
      </c>
      <c r="P552">
        <v>1157657.657657658</v>
      </c>
      <c r="Q552">
        <v>27</v>
      </c>
      <c r="R552">
        <v>7</v>
      </c>
      <c r="S552">
        <v>21889414.414414417</v>
      </c>
      <c r="T552">
        <v>23030673.423423424</v>
      </c>
      <c r="U552">
        <v>1122162.1621621619</v>
      </c>
      <c r="V552">
        <v>1008468.468468469</v>
      </c>
      <c r="W552">
        <v>3352</v>
      </c>
      <c r="X552">
        <v>3158</v>
      </c>
    </row>
    <row r="553" spans="1:24">
      <c r="A553" s="7" t="s">
        <v>647</v>
      </c>
      <c r="B553" s="16" t="s">
        <v>315</v>
      </c>
      <c r="C553">
        <v>96265581.141593471</v>
      </c>
      <c r="D553">
        <v>96883817.362043425</v>
      </c>
      <c r="E553">
        <v>463063.06306306302</v>
      </c>
      <c r="F553">
        <v>1546846.8468468471</v>
      </c>
      <c r="G553">
        <v>109</v>
      </c>
      <c r="H553">
        <v>36</v>
      </c>
      <c r="I553">
        <v>6</v>
      </c>
      <c r="J553">
        <v>9</v>
      </c>
      <c r="M553">
        <v>111</v>
      </c>
      <c r="N553">
        <v>45</v>
      </c>
      <c r="O553">
        <v>11009909.909909908</v>
      </c>
      <c r="P553">
        <v>18427927.927927926</v>
      </c>
      <c r="Q553">
        <v>50</v>
      </c>
      <c r="S553">
        <v>25683220.72072072</v>
      </c>
      <c r="T553">
        <v>25012981.981981982</v>
      </c>
      <c r="U553">
        <v>13516576.576576576</v>
      </c>
      <c r="V553">
        <v>19481081.081081081</v>
      </c>
      <c r="W553">
        <v>1314</v>
      </c>
      <c r="X553">
        <v>1356</v>
      </c>
    </row>
    <row r="554" spans="1:24">
      <c r="A554" s="7" t="s">
        <v>648</v>
      </c>
      <c r="B554" s="16" t="s">
        <v>260</v>
      </c>
      <c r="C554">
        <v>264450210.65586323</v>
      </c>
      <c r="D554">
        <v>244939061.18233642</v>
      </c>
      <c r="E554">
        <v>208153.15315315299</v>
      </c>
      <c r="F554">
        <v>1373873.8738738729</v>
      </c>
      <c r="G554">
        <v>62</v>
      </c>
      <c r="H554">
        <v>73</v>
      </c>
      <c r="I554">
        <v>2</v>
      </c>
      <c r="J554">
        <v>2</v>
      </c>
      <c r="M554">
        <v>67</v>
      </c>
      <c r="N554">
        <v>93</v>
      </c>
      <c r="O554">
        <v>47362432.432432435</v>
      </c>
      <c r="P554">
        <v>48448648.648648649</v>
      </c>
      <c r="Q554">
        <v>21</v>
      </c>
      <c r="R554">
        <v>111</v>
      </c>
      <c r="S554">
        <v>86085450.45045045</v>
      </c>
      <c r="T554">
        <v>81134945.945945948</v>
      </c>
      <c r="U554">
        <v>42191171.171171166</v>
      </c>
      <c r="V554">
        <v>47290720.720720723</v>
      </c>
      <c r="W554">
        <v>4455</v>
      </c>
      <c r="X554">
        <v>4455</v>
      </c>
    </row>
    <row r="555" spans="1:24">
      <c r="A555" s="7" t="s">
        <v>649</v>
      </c>
      <c r="B555" s="16" t="s">
        <v>224</v>
      </c>
      <c r="C555">
        <v>272828118.76057684</v>
      </c>
      <c r="D555">
        <v>239173999.69097075</v>
      </c>
      <c r="E555">
        <v>95045.045045046005</v>
      </c>
      <c r="F555">
        <v>4461036.0360360378</v>
      </c>
      <c r="G555">
        <v>65</v>
      </c>
      <c r="H555">
        <v>64</v>
      </c>
      <c r="I555">
        <v>11</v>
      </c>
      <c r="J555">
        <v>8</v>
      </c>
      <c r="M555">
        <v>77</v>
      </c>
      <c r="N555">
        <v>79</v>
      </c>
      <c r="O555">
        <v>27459369.369369369</v>
      </c>
      <c r="P555">
        <v>68654954.954954952</v>
      </c>
      <c r="Q555">
        <v>124</v>
      </c>
      <c r="R555">
        <v>131</v>
      </c>
      <c r="S555">
        <v>56216646.846846849</v>
      </c>
      <c r="T555">
        <v>55775935.135135137</v>
      </c>
      <c r="U555">
        <v>28296756.75675676</v>
      </c>
      <c r="V555">
        <v>62759099.0990991</v>
      </c>
      <c r="W555">
        <v>5287</v>
      </c>
      <c r="X555">
        <v>5499</v>
      </c>
    </row>
    <row r="556" spans="1:24">
      <c r="A556" s="7" t="s">
        <v>650</v>
      </c>
      <c r="B556" s="16" t="s">
        <v>224</v>
      </c>
      <c r="C556">
        <v>223012491.7335788</v>
      </c>
      <c r="D556">
        <v>193108674.23367333</v>
      </c>
      <c r="E556">
        <v>27927.927927928002</v>
      </c>
      <c r="F556">
        <v>63963.963963964998</v>
      </c>
      <c r="G556">
        <v>38</v>
      </c>
      <c r="H556">
        <v>35</v>
      </c>
      <c r="I556">
        <v>2</v>
      </c>
      <c r="J556">
        <v>0</v>
      </c>
      <c r="K556">
        <v>1</v>
      </c>
      <c r="M556">
        <v>41</v>
      </c>
      <c r="N556">
        <v>44</v>
      </c>
      <c r="O556">
        <v>13946666.666666668</v>
      </c>
      <c r="P556">
        <v>10274414.414414413</v>
      </c>
      <c r="Q556">
        <v>53</v>
      </c>
      <c r="R556">
        <v>103</v>
      </c>
      <c r="S556">
        <v>29511081.081081081</v>
      </c>
      <c r="T556">
        <v>27048234.234234232</v>
      </c>
      <c r="U556">
        <v>10706846.846846849</v>
      </c>
      <c r="V556">
        <v>9270990.9909909926</v>
      </c>
      <c r="W556">
        <v>3130</v>
      </c>
      <c r="X556">
        <v>3112</v>
      </c>
    </row>
    <row r="557" spans="1:24">
      <c r="A557" s="7" t="s">
        <v>651</v>
      </c>
      <c r="B557" s="16" t="s">
        <v>224</v>
      </c>
      <c r="C557">
        <v>857348495.68066442</v>
      </c>
      <c r="D557">
        <v>747353243.98259509</v>
      </c>
      <c r="E557">
        <v>208439404.5045045</v>
      </c>
      <c r="F557">
        <v>294493255.85585588</v>
      </c>
      <c r="G557">
        <v>317</v>
      </c>
      <c r="H557">
        <v>265</v>
      </c>
      <c r="I557">
        <v>51</v>
      </c>
      <c r="J557">
        <v>39</v>
      </c>
      <c r="K557">
        <v>4</v>
      </c>
      <c r="M557">
        <v>382</v>
      </c>
      <c r="N557">
        <v>444</v>
      </c>
      <c r="O557">
        <v>177029009.009009</v>
      </c>
      <c r="P557">
        <v>213289189.1891892</v>
      </c>
      <c r="Q557">
        <v>620</v>
      </c>
      <c r="R557">
        <v>925</v>
      </c>
      <c r="S557">
        <v>194117944.14414412</v>
      </c>
      <c r="T557">
        <v>186454666.66666666</v>
      </c>
      <c r="U557">
        <v>160527881.08108109</v>
      </c>
      <c r="V557">
        <v>200075495.4954955</v>
      </c>
      <c r="W557">
        <v>18393</v>
      </c>
      <c r="X557">
        <v>18456</v>
      </c>
    </row>
    <row r="558" spans="1:24">
      <c r="A558" s="7" t="s">
        <v>652</v>
      </c>
      <c r="B558" s="16" t="s">
        <v>224</v>
      </c>
      <c r="C558">
        <v>98922500.269730091</v>
      </c>
      <c r="D558">
        <v>89248497.105304554</v>
      </c>
      <c r="E558">
        <v>273873.87387387402</v>
      </c>
      <c r="F558">
        <v>207207.207207208</v>
      </c>
      <c r="G558">
        <v>15</v>
      </c>
      <c r="H558">
        <v>24</v>
      </c>
      <c r="I558">
        <v>2</v>
      </c>
      <c r="J558">
        <v>1</v>
      </c>
      <c r="M558">
        <v>15</v>
      </c>
      <c r="N558">
        <v>27</v>
      </c>
      <c r="O558">
        <v>2375495.4954954959</v>
      </c>
      <c r="P558">
        <v>1648648.6486486481</v>
      </c>
      <c r="Q558">
        <v>9</v>
      </c>
      <c r="S558">
        <v>14456936.936936935</v>
      </c>
      <c r="T558">
        <v>14652153.153153151</v>
      </c>
      <c r="U558">
        <v>1656036.036036036</v>
      </c>
      <c r="V558">
        <v>1414594.5945945941</v>
      </c>
      <c r="W558">
        <v>1832</v>
      </c>
      <c r="X558">
        <v>1780</v>
      </c>
    </row>
    <row r="559" spans="1:24">
      <c r="A559" s="7" t="s">
        <v>653</v>
      </c>
      <c r="B559" s="16" t="s">
        <v>96</v>
      </c>
      <c r="C559">
        <v>503461730.08818519</v>
      </c>
      <c r="D559">
        <v>472335969.68265158</v>
      </c>
      <c r="E559">
        <v>106727670.27027027</v>
      </c>
      <c r="F559">
        <v>185279910.8108108</v>
      </c>
      <c r="G559">
        <v>117</v>
      </c>
      <c r="H559">
        <v>188</v>
      </c>
      <c r="I559">
        <v>1</v>
      </c>
      <c r="J559">
        <v>1</v>
      </c>
      <c r="M559">
        <v>131</v>
      </c>
      <c r="N559">
        <v>248</v>
      </c>
      <c r="O559">
        <v>49530213.513513513</v>
      </c>
      <c r="P559">
        <v>96937918.918918923</v>
      </c>
      <c r="Q559">
        <v>51</v>
      </c>
      <c r="R559">
        <v>94</v>
      </c>
      <c r="S559">
        <v>61362063.063063063</v>
      </c>
      <c r="T559">
        <v>63529765.765765771</v>
      </c>
      <c r="U559">
        <v>13441441.441441439</v>
      </c>
      <c r="V559">
        <v>9094414.4144144151</v>
      </c>
      <c r="W559">
        <v>8220</v>
      </c>
      <c r="X559">
        <v>9142</v>
      </c>
    </row>
    <row r="560" spans="1:24">
      <c r="A560" s="7" t="s">
        <v>654</v>
      </c>
      <c r="B560" s="16" t="s">
        <v>66</v>
      </c>
      <c r="C560">
        <v>304960538.50030106</v>
      </c>
      <c r="D560">
        <v>291900063.70552188</v>
      </c>
      <c r="E560">
        <v>3809909.9099099101</v>
      </c>
      <c r="F560">
        <v>9669369.3693693727</v>
      </c>
      <c r="G560">
        <v>126</v>
      </c>
      <c r="H560">
        <v>84</v>
      </c>
      <c r="I560">
        <v>5</v>
      </c>
      <c r="J560">
        <v>7</v>
      </c>
      <c r="M560">
        <v>131</v>
      </c>
      <c r="N560">
        <v>116</v>
      </c>
      <c r="O560">
        <v>38732162.162162162</v>
      </c>
      <c r="P560">
        <v>142340540.54054055</v>
      </c>
      <c r="Q560">
        <v>100</v>
      </c>
      <c r="R560">
        <v>11</v>
      </c>
      <c r="S560">
        <v>193782342.34234235</v>
      </c>
      <c r="T560">
        <v>189907225.22522521</v>
      </c>
      <c r="U560">
        <v>39118648.648648649</v>
      </c>
      <c r="V560">
        <v>136683783.78378379</v>
      </c>
      <c r="W560">
        <v>5525</v>
      </c>
      <c r="X560">
        <v>5632</v>
      </c>
    </row>
    <row r="561" spans="1:24">
      <c r="A561" s="7" t="s">
        <v>655</v>
      </c>
      <c r="B561" s="16" t="s">
        <v>68</v>
      </c>
      <c r="C561">
        <v>526076156.16256422</v>
      </c>
      <c r="D561">
        <v>464261112.97296166</v>
      </c>
      <c r="E561">
        <v>118068376.57657658</v>
      </c>
      <c r="F561">
        <v>107427782.88288288</v>
      </c>
      <c r="G561">
        <v>147</v>
      </c>
      <c r="H561">
        <v>77</v>
      </c>
      <c r="I561">
        <v>8</v>
      </c>
      <c r="J561">
        <v>6</v>
      </c>
      <c r="K561">
        <v>4</v>
      </c>
      <c r="M561">
        <v>159</v>
      </c>
      <c r="N561">
        <v>89</v>
      </c>
      <c r="O561">
        <v>27692972.97297297</v>
      </c>
      <c r="P561">
        <v>20275310.810810808</v>
      </c>
      <c r="Q561">
        <v>63</v>
      </c>
      <c r="R561">
        <v>87</v>
      </c>
      <c r="S561">
        <v>66165013.513513513</v>
      </c>
      <c r="T561">
        <v>62090432.432432435</v>
      </c>
      <c r="U561">
        <v>22452522.52252252</v>
      </c>
      <c r="V561">
        <v>15389639.63963964</v>
      </c>
      <c r="W561">
        <v>7312</v>
      </c>
      <c r="X561">
        <v>7049</v>
      </c>
    </row>
    <row r="562" spans="1:24">
      <c r="A562" s="7" t="s">
        <v>14</v>
      </c>
      <c r="B562" s="16" t="s">
        <v>158</v>
      </c>
      <c r="C562">
        <v>218989614.51544362</v>
      </c>
      <c r="D562">
        <v>200062125.12459168</v>
      </c>
      <c r="E562">
        <v>118018.018018022</v>
      </c>
      <c r="F562">
        <v>941441.44144144503</v>
      </c>
      <c r="G562">
        <v>20</v>
      </c>
      <c r="H562">
        <v>27</v>
      </c>
      <c r="I562">
        <v>8</v>
      </c>
      <c r="J562">
        <v>4</v>
      </c>
      <c r="M562">
        <v>22</v>
      </c>
      <c r="N562">
        <v>31</v>
      </c>
      <c r="O562">
        <v>25018738.738738742</v>
      </c>
      <c r="P562">
        <v>42677477.477477483</v>
      </c>
      <c r="Q562">
        <v>202</v>
      </c>
      <c r="R562">
        <v>43</v>
      </c>
      <c r="S562">
        <v>72303639.639639631</v>
      </c>
      <c r="T562">
        <v>66719414.414414413</v>
      </c>
      <c r="U562">
        <v>25977567.567567568</v>
      </c>
      <c r="V562">
        <v>41470270.270270273</v>
      </c>
      <c r="W562">
        <v>3999</v>
      </c>
      <c r="X562">
        <v>3760</v>
      </c>
    </row>
    <row r="563" spans="1:24">
      <c r="A563" s="7" t="s">
        <v>656</v>
      </c>
      <c r="B563" s="16" t="s">
        <v>304</v>
      </c>
      <c r="C563">
        <v>191124670.00715292</v>
      </c>
      <c r="D563">
        <v>210608280.37181628</v>
      </c>
      <c r="E563">
        <v>979279.27927928104</v>
      </c>
      <c r="F563">
        <v>803603.60360360099</v>
      </c>
      <c r="G563">
        <v>87</v>
      </c>
      <c r="H563">
        <v>47</v>
      </c>
      <c r="I563">
        <v>8</v>
      </c>
      <c r="J563">
        <v>6</v>
      </c>
      <c r="M563">
        <v>93</v>
      </c>
      <c r="N563">
        <v>288</v>
      </c>
      <c r="O563">
        <v>36745045.045045048</v>
      </c>
      <c r="P563">
        <v>36736036.036036029</v>
      </c>
      <c r="Q563">
        <v>70</v>
      </c>
      <c r="R563">
        <v>64</v>
      </c>
      <c r="S563">
        <v>60256333.333333336</v>
      </c>
      <c r="T563">
        <v>61903085.585585587</v>
      </c>
      <c r="U563">
        <v>33734684.684684679</v>
      </c>
      <c r="V563">
        <v>32666396.396396399</v>
      </c>
      <c r="W563">
        <v>3215</v>
      </c>
      <c r="X563">
        <v>3079</v>
      </c>
    </row>
    <row r="564" spans="1:24">
      <c r="A564" s="7" t="s">
        <v>657</v>
      </c>
      <c r="B564" s="16" t="s">
        <v>48</v>
      </c>
      <c r="C564">
        <v>312208770.12741548</v>
      </c>
      <c r="D564">
        <v>267294219.33169538</v>
      </c>
      <c r="E564">
        <v>2428828.8288288289</v>
      </c>
      <c r="F564">
        <v>1754054.0540540549</v>
      </c>
      <c r="G564">
        <v>103</v>
      </c>
      <c r="H564">
        <v>54</v>
      </c>
      <c r="I564">
        <v>7</v>
      </c>
      <c r="J564">
        <v>5</v>
      </c>
      <c r="M564">
        <v>116</v>
      </c>
      <c r="N564">
        <v>158</v>
      </c>
      <c r="O564">
        <v>31035315.315315317</v>
      </c>
      <c r="P564">
        <v>56120000</v>
      </c>
      <c r="R564">
        <v>5</v>
      </c>
      <c r="S564">
        <v>94465306.306306303</v>
      </c>
      <c r="T564">
        <v>85586369.369369373</v>
      </c>
      <c r="U564">
        <v>32036576.576576576</v>
      </c>
      <c r="V564">
        <v>55684684.684684686</v>
      </c>
      <c r="W564">
        <v>3396</v>
      </c>
      <c r="X564">
        <v>3266</v>
      </c>
    </row>
    <row r="565" spans="1:24">
      <c r="A565" s="7" t="s">
        <v>658</v>
      </c>
      <c r="B565" s="16" t="s">
        <v>54</v>
      </c>
      <c r="C565">
        <v>87320054.337057203</v>
      </c>
      <c r="D565">
        <v>87867697.874137059</v>
      </c>
      <c r="E565">
        <v>469369.369369369</v>
      </c>
      <c r="F565">
        <v>619819.81981982</v>
      </c>
      <c r="G565">
        <v>10</v>
      </c>
      <c r="H565">
        <v>1</v>
      </c>
      <c r="I565">
        <v>3</v>
      </c>
      <c r="J565">
        <v>2</v>
      </c>
      <c r="M565">
        <v>10</v>
      </c>
      <c r="N565">
        <v>2</v>
      </c>
      <c r="O565">
        <v>11787387.387387387</v>
      </c>
      <c r="P565">
        <v>7123423.4234234244</v>
      </c>
      <c r="Q565">
        <v>26</v>
      </c>
      <c r="R565">
        <v>15</v>
      </c>
      <c r="S565">
        <v>19959594.594594598</v>
      </c>
      <c r="T565">
        <v>20190540.540540539</v>
      </c>
      <c r="U565">
        <v>9954774.7747747768</v>
      </c>
      <c r="V565">
        <v>6413153.1531531541</v>
      </c>
      <c r="W565">
        <v>1582</v>
      </c>
      <c r="X565">
        <v>1566</v>
      </c>
    </row>
    <row r="566" spans="1:24">
      <c r="A566" s="7" t="s">
        <v>659</v>
      </c>
      <c r="B566" s="16" t="s">
        <v>50</v>
      </c>
      <c r="C566">
        <v>398475781.48937678</v>
      </c>
      <c r="D566">
        <v>389510611.8514443</v>
      </c>
      <c r="E566">
        <v>578108.10810811003</v>
      </c>
      <c r="F566">
        <v>1847747.747747751</v>
      </c>
      <c r="G566">
        <v>70</v>
      </c>
      <c r="H566">
        <v>72</v>
      </c>
      <c r="I566">
        <v>21</v>
      </c>
      <c r="J566">
        <v>9</v>
      </c>
      <c r="M566">
        <v>74</v>
      </c>
      <c r="N566">
        <v>95</v>
      </c>
      <c r="O566">
        <v>85912612.612612605</v>
      </c>
      <c r="P566">
        <v>98906666.666666672</v>
      </c>
      <c r="Q566">
        <v>65</v>
      </c>
      <c r="R566">
        <v>42</v>
      </c>
      <c r="S566">
        <v>199201682.88288289</v>
      </c>
      <c r="T566">
        <v>195468855.85585588</v>
      </c>
      <c r="U566">
        <v>86888781.981981978</v>
      </c>
      <c r="V566">
        <v>95967477.477477476</v>
      </c>
      <c r="W566">
        <v>5995</v>
      </c>
      <c r="X566">
        <v>6233</v>
      </c>
    </row>
    <row r="567" spans="1:24">
      <c r="A567" s="7" t="s">
        <v>660</v>
      </c>
      <c r="B567" s="16" t="s">
        <v>83</v>
      </c>
      <c r="C567">
        <v>452848632.26067591</v>
      </c>
      <c r="D567">
        <v>471180220.54561478</v>
      </c>
      <c r="E567">
        <v>2304144.1441441448</v>
      </c>
      <c r="F567">
        <v>3534026.1261261259</v>
      </c>
      <c r="G567">
        <v>143</v>
      </c>
      <c r="H567">
        <v>123</v>
      </c>
      <c r="I567">
        <v>10</v>
      </c>
      <c r="J567">
        <v>11</v>
      </c>
      <c r="K567">
        <v>2</v>
      </c>
      <c r="M567">
        <v>259</v>
      </c>
      <c r="N567">
        <v>142</v>
      </c>
      <c r="O567">
        <v>53995585.585585587</v>
      </c>
      <c r="P567">
        <v>65461623.423423424</v>
      </c>
      <c r="Q567">
        <v>310</v>
      </c>
      <c r="R567">
        <v>141</v>
      </c>
      <c r="S567">
        <v>115730603.6036036</v>
      </c>
      <c r="T567">
        <v>121179144.14414415</v>
      </c>
      <c r="U567">
        <v>46182972.972972974</v>
      </c>
      <c r="V567">
        <v>40845360.360360362</v>
      </c>
      <c r="W567">
        <v>8631</v>
      </c>
      <c r="X567">
        <v>9059</v>
      </c>
    </row>
    <row r="568" spans="1:24">
      <c r="A568" s="12" t="s">
        <v>665</v>
      </c>
      <c r="B568" s="13"/>
      <c r="C568" s="14">
        <v>202259380704.08121</v>
      </c>
      <c r="D568" s="14">
        <v>194882826044.75574</v>
      </c>
      <c r="E568" s="14">
        <v>44419983500.900902</v>
      </c>
      <c r="F568" s="14">
        <v>44351830416.216171</v>
      </c>
      <c r="G568" s="14">
        <v>69546</v>
      </c>
      <c r="H568" s="14">
        <v>62699</v>
      </c>
      <c r="I568" s="14">
        <v>6283</v>
      </c>
      <c r="J568" s="14">
        <v>6509</v>
      </c>
      <c r="K568" s="14">
        <v>713</v>
      </c>
      <c r="L568" s="14"/>
      <c r="M568" s="14">
        <v>90615</v>
      </c>
      <c r="N568" s="14">
        <v>102934</v>
      </c>
      <c r="O568" s="14">
        <v>41243742785.585579</v>
      </c>
      <c r="P568" s="14">
        <v>41681898448.648651</v>
      </c>
      <c r="Q568" s="14">
        <v>113689</v>
      </c>
      <c r="R568" s="14">
        <v>124890</v>
      </c>
      <c r="S568" s="14">
        <v>59214961798.198189</v>
      </c>
      <c r="T568" s="14">
        <v>58294710045.945938</v>
      </c>
      <c r="U568" s="14">
        <v>30348523702.702709</v>
      </c>
      <c r="V568" s="14">
        <v>31981356354.954964</v>
      </c>
      <c r="W568" s="14">
        <v>3721192</v>
      </c>
      <c r="X568" s="14">
        <v>3710948</v>
      </c>
    </row>
    <row r="569" spans="1:24">
      <c r="A569" s="7" t="s">
        <v>657</v>
      </c>
      <c r="B569" s="16" t="s">
        <v>48</v>
      </c>
      <c r="C569">
        <v>276140839.0605619</v>
      </c>
      <c r="D569">
        <v>234506782.22110707</v>
      </c>
      <c r="E569">
        <v>2425225.2252252251</v>
      </c>
      <c r="F569">
        <v>1551351.3513513519</v>
      </c>
      <c r="G569">
        <v>47</v>
      </c>
      <c r="H569">
        <v>49</v>
      </c>
      <c r="I569">
        <v>6</v>
      </c>
      <c r="J569">
        <v>5</v>
      </c>
      <c r="M569">
        <v>54</v>
      </c>
      <c r="N569">
        <v>158</v>
      </c>
      <c r="O569">
        <v>31022702.702702705</v>
      </c>
      <c r="P569">
        <v>53141801.801801801</v>
      </c>
      <c r="R569">
        <v>5</v>
      </c>
      <c r="S569">
        <v>82989135.135135129</v>
      </c>
      <c r="T569">
        <v>74986459.459459454</v>
      </c>
      <c r="U569">
        <v>30184594.59459459</v>
      </c>
      <c r="V569">
        <v>50438108.108108111</v>
      </c>
      <c r="W569">
        <v>3443</v>
      </c>
      <c r="X569">
        <v>3687</v>
      </c>
    </row>
    <row r="570" spans="1:24">
      <c r="A570" s="7" t="s">
        <v>658</v>
      </c>
      <c r="B570" s="16" t="s">
        <v>54</v>
      </c>
      <c r="C570">
        <v>76568898.204804853</v>
      </c>
      <c r="D570">
        <v>77530614.95521006</v>
      </c>
      <c r="E570">
        <v>199099.099099099</v>
      </c>
      <c r="F570">
        <v>595495.49549549597</v>
      </c>
      <c r="G570">
        <v>10</v>
      </c>
      <c r="H570">
        <v>1</v>
      </c>
      <c r="I570">
        <v>3</v>
      </c>
      <c r="J570">
        <v>2</v>
      </c>
      <c r="M570">
        <v>10</v>
      </c>
      <c r="N570">
        <v>2</v>
      </c>
      <c r="O570">
        <v>10796396.396396397</v>
      </c>
      <c r="P570">
        <v>6378378.3783783792</v>
      </c>
      <c r="Q570">
        <v>26</v>
      </c>
      <c r="R570">
        <v>15</v>
      </c>
      <c r="S570">
        <v>17320990.990990993</v>
      </c>
      <c r="T570">
        <v>18063378.378378376</v>
      </c>
      <c r="U570">
        <v>9046126.1261261255</v>
      </c>
      <c r="V570">
        <v>5773063.0630630637</v>
      </c>
      <c r="W570">
        <v>1566</v>
      </c>
      <c r="X570">
        <v>1521</v>
      </c>
    </row>
    <row r="571" spans="1:24">
      <c r="A571" s="7" t="s">
        <v>659</v>
      </c>
      <c r="B571" s="16" t="s">
        <v>50</v>
      </c>
      <c r="C571">
        <v>347391102.80854738</v>
      </c>
      <c r="D571">
        <v>340537179.69678855</v>
      </c>
      <c r="E571">
        <v>571801.80180180306</v>
      </c>
      <c r="F571">
        <v>1679279.279279283</v>
      </c>
      <c r="G571">
        <v>63</v>
      </c>
      <c r="H571">
        <v>64</v>
      </c>
      <c r="I571">
        <v>18</v>
      </c>
      <c r="J571">
        <v>9</v>
      </c>
      <c r="M571">
        <v>67</v>
      </c>
      <c r="N571">
        <v>90</v>
      </c>
      <c r="O571">
        <v>75984864.864864871</v>
      </c>
      <c r="P571">
        <v>86525855.855855852</v>
      </c>
      <c r="Q571">
        <v>65</v>
      </c>
      <c r="R571">
        <v>41</v>
      </c>
      <c r="S571">
        <v>173811998.1981982</v>
      </c>
      <c r="T571">
        <v>171298864.86486486</v>
      </c>
      <c r="U571">
        <v>78233917.117117122</v>
      </c>
      <c r="V571">
        <v>80741261.261261269</v>
      </c>
      <c r="W571">
        <v>5875</v>
      </c>
      <c r="X571">
        <v>5820</v>
      </c>
    </row>
    <row r="572" spans="1:24">
      <c r="A572" s="7" t="s">
        <v>660</v>
      </c>
      <c r="B572" s="16" t="s">
        <v>83</v>
      </c>
      <c r="C572">
        <v>398516194.16650575</v>
      </c>
      <c r="D572">
        <v>414757468.53338248</v>
      </c>
      <c r="E572">
        <v>2165405.4054054059</v>
      </c>
      <c r="F572">
        <v>3228620.72072072</v>
      </c>
      <c r="G572">
        <v>116</v>
      </c>
      <c r="H572">
        <v>113</v>
      </c>
      <c r="I572">
        <v>10</v>
      </c>
      <c r="J572">
        <v>11</v>
      </c>
      <c r="K572">
        <v>2</v>
      </c>
      <c r="M572">
        <v>252</v>
      </c>
      <c r="N572">
        <v>134</v>
      </c>
      <c r="O572">
        <v>45278468.468468465</v>
      </c>
      <c r="P572">
        <v>59891353.153153151</v>
      </c>
      <c r="Q572">
        <v>309</v>
      </c>
      <c r="R572">
        <v>90</v>
      </c>
      <c r="S572">
        <v>101786072.07207206</v>
      </c>
      <c r="T572">
        <v>107165225.22522523</v>
      </c>
      <c r="U572">
        <v>41165675.675675683</v>
      </c>
      <c r="V572">
        <v>36548783.783783786</v>
      </c>
      <c r="W572">
        <v>8657</v>
      </c>
      <c r="X572">
        <v>8999</v>
      </c>
    </row>
    <row r="573" spans="1:24">
      <c r="A573" s="12" t="s">
        <v>665</v>
      </c>
      <c r="B573" s="13"/>
      <c r="C573" s="14">
        <v>178504410962.55844</v>
      </c>
      <c r="D573" s="14">
        <v>172259556724.99863</v>
      </c>
      <c r="E573" s="14">
        <v>36575272365.765778</v>
      </c>
      <c r="F573" s="14">
        <v>38669568402.702713</v>
      </c>
      <c r="G573" s="14">
        <v>59915</v>
      </c>
      <c r="H573" s="14">
        <v>54098</v>
      </c>
      <c r="I573" s="14">
        <v>5607</v>
      </c>
      <c r="J573" s="14">
        <v>6429</v>
      </c>
      <c r="K573" s="14">
        <v>637</v>
      </c>
      <c r="L573" s="14"/>
      <c r="M573" s="14">
        <v>76186</v>
      </c>
      <c r="N573" s="14">
        <v>88600</v>
      </c>
      <c r="O573" s="14">
        <v>35288471990.990997</v>
      </c>
      <c r="P573" s="14">
        <v>35837360132.432426</v>
      </c>
      <c r="Q573" s="14">
        <v>97719</v>
      </c>
      <c r="R573" s="14">
        <v>114251</v>
      </c>
      <c r="S573" s="14">
        <v>51483064335.135132</v>
      </c>
      <c r="T573" s="14">
        <v>51685643409.909904</v>
      </c>
      <c r="U573" s="14">
        <v>25744805472.072067</v>
      </c>
      <c r="V573" s="14">
        <v>26768292895.495483</v>
      </c>
      <c r="W573" s="14">
        <v>3722851</v>
      </c>
      <c r="X573" s="14">
        <v>3716379</v>
      </c>
    </row>
    <row r="574" spans="1:24">
      <c r="A574" s="7" t="s">
        <v>659</v>
      </c>
      <c r="B574" s="16" t="s">
        <v>50</v>
      </c>
      <c r="C574">
        <v>331723796.98063087</v>
      </c>
      <c r="D574">
        <v>325757180.96824449</v>
      </c>
      <c r="E574">
        <v>436666.66666666802</v>
      </c>
      <c r="F574">
        <v>1651351.3513513559</v>
      </c>
      <c r="G574">
        <v>61</v>
      </c>
      <c r="H574">
        <v>59</v>
      </c>
      <c r="I574">
        <v>17</v>
      </c>
      <c r="J574">
        <v>8</v>
      </c>
      <c r="M574">
        <v>64</v>
      </c>
      <c r="N574">
        <v>84</v>
      </c>
      <c r="O574">
        <v>75247927.927927941</v>
      </c>
      <c r="P574">
        <v>86497927.927927941</v>
      </c>
      <c r="Q574">
        <v>65</v>
      </c>
      <c r="R574">
        <v>41</v>
      </c>
      <c r="S574">
        <v>165837360.36036035</v>
      </c>
      <c r="T574">
        <v>164119144.14414412</v>
      </c>
      <c r="U574">
        <v>73317207.207207203</v>
      </c>
      <c r="V574">
        <v>78835135.135135129</v>
      </c>
      <c r="W574">
        <v>5879</v>
      </c>
      <c r="X574">
        <v>5886</v>
      </c>
    </row>
    <row r="575" spans="1:24">
      <c r="A575" s="7" t="s">
        <v>660</v>
      </c>
      <c r="B575" s="16" t="s">
        <v>83</v>
      </c>
      <c r="C575">
        <v>382838809.07222694</v>
      </c>
      <c r="D575">
        <v>397807260.50249064</v>
      </c>
      <c r="E575">
        <v>2163603.6036036038</v>
      </c>
      <c r="F575">
        <v>3051143.2432432421</v>
      </c>
      <c r="G575">
        <v>112</v>
      </c>
      <c r="H575">
        <v>110</v>
      </c>
      <c r="I575">
        <v>9</v>
      </c>
      <c r="J575">
        <v>11</v>
      </c>
      <c r="K575">
        <v>2</v>
      </c>
      <c r="M575">
        <v>248</v>
      </c>
      <c r="N575">
        <v>130</v>
      </c>
      <c r="O575">
        <v>43433423.423423424</v>
      </c>
      <c r="P575">
        <v>59704866.666666664</v>
      </c>
      <c r="Q575">
        <v>309</v>
      </c>
      <c r="R575">
        <v>89</v>
      </c>
      <c r="S575">
        <v>97145801.801801801</v>
      </c>
      <c r="T575">
        <v>102423558.55855855</v>
      </c>
      <c r="U575">
        <v>39932522.522522517</v>
      </c>
      <c r="V575">
        <v>35365630.630630635</v>
      </c>
      <c r="W575">
        <v>8695</v>
      </c>
      <c r="X575">
        <v>8689</v>
      </c>
    </row>
    <row r="576" spans="1:24">
      <c r="A576" s="12" t="s">
        <v>665</v>
      </c>
      <c r="B576" s="13"/>
      <c r="C576" s="14">
        <v>170647571392.03604</v>
      </c>
      <c r="D576" s="14">
        <v>165176510778.63831</v>
      </c>
      <c r="E576" s="14">
        <v>32781030644.144142</v>
      </c>
      <c r="F576" s="14">
        <v>38543971790.090103</v>
      </c>
      <c r="G576" s="14">
        <v>56327</v>
      </c>
      <c r="H576" s="14">
        <v>51589</v>
      </c>
      <c r="I576" s="14">
        <v>5351</v>
      </c>
      <c r="J576" s="14">
        <v>6268</v>
      </c>
      <c r="K576" s="14">
        <v>529</v>
      </c>
      <c r="L576" s="14"/>
      <c r="M576" s="14">
        <v>71325</v>
      </c>
      <c r="N576" s="14">
        <v>86024</v>
      </c>
      <c r="O576" s="14">
        <v>33456758997.297302</v>
      </c>
      <c r="P576" s="14">
        <v>35706034837.837807</v>
      </c>
      <c r="Q576" s="14">
        <v>90449</v>
      </c>
      <c r="R576" s="14">
        <v>113108</v>
      </c>
      <c r="S576" s="14">
        <v>49157994558.558563</v>
      </c>
      <c r="T576" s="14">
        <v>49698301227.027039</v>
      </c>
      <c r="U576" s="14">
        <v>23769426241.44146</v>
      </c>
      <c r="V576" s="14">
        <v>26268212502.702713</v>
      </c>
      <c r="W576" s="14">
        <v>3720402</v>
      </c>
      <c r="X576" s="14">
        <v>3717608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2026-09-28T05:34:29Z</dcterms:modified>
</cp:coreProperties>
</file>