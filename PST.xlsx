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" l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X17" i="1"/>
  <c r="Y17" i="1"/>
  <c r="X18" i="1"/>
  <c r="Y18" i="1"/>
  <c r="X19" i="1"/>
  <c r="Y19" i="1"/>
  <c r="X20" i="1"/>
  <c r="Y20" i="1"/>
  <c r="X21" i="1"/>
  <c r="Y21" i="1"/>
  <c r="X22" i="1"/>
  <c r="Y22" i="1"/>
  <c r="Y6" i="1"/>
  <c r="X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U16" i="1"/>
  <c r="V16" i="1"/>
  <c r="U17" i="1"/>
  <c r="V17" i="1"/>
  <c r="U18" i="1"/>
  <c r="V18" i="1"/>
  <c r="U19" i="1"/>
  <c r="V19" i="1"/>
  <c r="U20" i="1"/>
  <c r="V20" i="1"/>
  <c r="U21" i="1"/>
  <c r="V21" i="1"/>
  <c r="U22" i="1"/>
  <c r="V22" i="1"/>
  <c r="V6" i="1"/>
  <c r="U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S6" i="1"/>
  <c r="R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P6" i="1"/>
  <c r="O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M6" i="1"/>
  <c r="L6" i="1"/>
  <c r="J6" i="1"/>
  <c r="I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F19" i="1"/>
  <c r="G19" i="1"/>
  <c r="F20" i="1"/>
  <c r="G20" i="1"/>
  <c r="F21" i="1"/>
  <c r="G21" i="1"/>
  <c r="F22" i="1"/>
  <c r="G22" i="1"/>
  <c r="G6" i="1"/>
  <c r="F6" i="1"/>
  <c r="D7" i="1"/>
  <c r="D8" i="1"/>
  <c r="E8" i="1" s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6" i="1"/>
  <c r="E19" i="1" l="1"/>
  <c r="E7" i="1"/>
  <c r="E18" i="1"/>
  <c r="E17" i="1"/>
  <c r="E16" i="1"/>
  <c r="E21" i="1"/>
  <c r="E9" i="1"/>
  <c r="E14" i="1"/>
  <c r="E20" i="1"/>
  <c r="E13" i="1"/>
  <c r="E12" i="1"/>
  <c r="E6" i="1"/>
  <c r="E11" i="1"/>
  <c r="E22" i="1"/>
  <c r="E10" i="1"/>
  <c r="E15" i="1"/>
  <c r="W13" i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Z16" i="1" l="1"/>
  <c r="Z20" i="1"/>
  <c r="Z22" i="1"/>
  <c r="Z10" i="1"/>
  <c r="Z18" i="1"/>
  <c r="Z15" i="1"/>
  <c r="Z9" i="1"/>
  <c r="T20" i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T15" i="1"/>
  <c r="T17" i="1"/>
  <c r="Z17" i="1" l="1"/>
  <c r="Z11" i="1"/>
  <c r="Z6" i="1"/>
  <c r="Z21" i="1"/>
  <c r="Z19" i="1"/>
  <c r="Z8" i="1"/>
  <c r="Z7" i="1"/>
  <c r="Z12" i="1"/>
  <c r="Z14" i="1"/>
  <c r="Z13" i="1"/>
  <c r="T14" i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</calcChain>
</file>

<file path=xl/sharedStrings.xml><?xml version="1.0" encoding="utf-8"?>
<sst xmlns="http://schemas.openxmlformats.org/spreadsheetml/2006/main" count="1251" uniqueCount="678">
  <si>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</si>
  <si>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</si>
  <si>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</si>
  <si>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</si>
  <si>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</si>
  <si>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</si>
  <si>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</si>
  <si>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</si>
  <si>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</si>
  <si>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</si>
  <si>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</si>
  <si>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</si>
  <si>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</si>
  <si>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</si>
  <si>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</si>
  <si>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</si>
  <si>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</si>
  <si>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</si>
  <si>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</si>
  <si>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</si>
  <si>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</si>
  <si>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</si>
  <si>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</si>
  <si>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</si>
  <si>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</si>
  <si>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</si>
  <si>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</si>
  <si>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</si>
  <si>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</si>
  <si>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</si>
  <si>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</si>
  <si>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</si>
  <si>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</si>
  <si>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</si>
  <si>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</si>
  <si>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</si>
  <si>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</si>
  <si>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</si>
  <si>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</si>
  <si>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</si>
  <si>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</si>
  <si>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</si>
  <si>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</si>
  <si>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</si>
  <si>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</si>
  <si>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</si>
  <si>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</si>
  <si>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</si>
  <si>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</si>
  <si>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</si>
  <si>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</si>
  <si>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</si>
  <si>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</si>
  <si>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</si>
  <si>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</si>
  <si>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</si>
  <si>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</si>
  <si>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</si>
  <si>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</si>
  <si>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</si>
  <si>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</si>
  <si>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</si>
  <si>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</si>
  <si>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</si>
  <si>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</si>
  <si>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</si>
  <si>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</si>
  <si>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</si>
  <si>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</si>
  <si>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</si>
  <si>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</si>
  <si>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</si>
  <si>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</si>
  <si>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</si>
  <si>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</si>
  <si>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</si>
  <si>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</si>
  <si>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</si>
  <si>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</si>
  <si>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</si>
  <si>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</si>
  <si>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</si>
  <si>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</si>
  <si>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</si>
  <si>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</si>
  <si>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</si>
  <si>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</si>
  <si>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</si>
  <si>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</si>
  <si>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</si>
  <si>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</si>
  <si>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</si>
  <si>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</si>
  <si>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</si>
  <si>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</si>
  <si>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</si>
  <si>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</si>
  <si>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</si>
  <si>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</si>
  <si>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</si>
  <si>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</si>
  <si>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</si>
  <si>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</si>
  <si>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</si>
  <si>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</si>
  <si>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</si>
  <si>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</si>
  <si>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</si>
  <si>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</si>
  <si>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</si>
  <si>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</si>
  <si>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</si>
  <si>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</si>
  <si>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</si>
  <si>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</si>
  <si>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</si>
  <si>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</si>
  <si>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</si>
  <si>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</si>
  <si>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</si>
  <si>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</si>
  <si>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</si>
  <si>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</si>
  <si>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</si>
  <si>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</si>
  <si>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</si>
  <si>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</si>
  <si>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</si>
  <si>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</si>
  <si>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</si>
  <si>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</si>
  <si>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</si>
  <si>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</si>
  <si>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</si>
  <si>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</si>
  <si>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</si>
  <si>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</si>
  <si>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</si>
  <si>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</si>
  <si>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</si>
  <si>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</si>
  <si>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</si>
  <si>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</si>
  <si>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</si>
  <si>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</si>
  <si>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</si>
  <si>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</si>
  <si>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</si>
  <si>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</si>
  <si>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</si>
  <si>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</si>
  <si>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</si>
  <si>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</si>
  <si>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</si>
  <si>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</si>
  <si>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</si>
  <si>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</si>
  <si>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</si>
  <si>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</si>
  <si>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</si>
  <si>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</si>
  <si>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</si>
  <si>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</si>
  <si>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</si>
  <si>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</si>
  <si>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</si>
  <si>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</si>
  <si>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</si>
  <si>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</si>
  <si>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</si>
  <si>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</si>
  <si>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</si>
  <si>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</si>
  <si>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</si>
  <si>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</si>
  <si>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</si>
  <si>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</si>
  <si>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</si>
  <si>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</si>
  <si>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</si>
  <si>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</si>
  <si>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</si>
  <si>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</si>
  <si>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</si>
  <si>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</si>
  <si>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</si>
  <si>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</si>
  <si>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</si>
  <si>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</si>
  <si>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</si>
  <si>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</si>
  <si>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</si>
  <si>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</si>
  <si>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</si>
  <si>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</si>
  <si>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</si>
  <si>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</si>
  <si>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</si>
  <si>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</si>
  <si>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</si>
  <si>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</si>
  <si>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</si>
  <si>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</si>
  <si>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</si>
  <si>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</si>
  <si>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</si>
  <si>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</si>
  <si>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</si>
  <si>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</si>
  <si>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</si>
  <si>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</si>
  <si>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</si>
  <si>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</si>
  <si>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</si>
  <si>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</si>
  <si>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</si>
  <si>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</si>
  <si>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</si>
  <si>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</si>
  <si>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</si>
  <si>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</si>
  <si>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</si>
  <si>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</si>
  <si>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</si>
  <si>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</si>
  <si>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</si>
  <si>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</si>
  <si>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</si>
  <si>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</si>
  <si>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</si>
  <si>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</si>
  <si>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</si>
  <si>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</si>
  <si>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</si>
  <si>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</si>
  <si>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</si>
  <si>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</si>
  <si>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</si>
  <si>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</si>
  <si>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</si>
  <si>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</si>
  <si>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</si>
  <si>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</si>
  <si>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</si>
  <si>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</si>
  <si>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</si>
  <si>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</si>
  <si>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</si>
  <si>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</si>
  <si>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</si>
  <si>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</si>
  <si>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</si>
  <si>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</si>
  <si>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</si>
  <si>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</si>
  <si>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</si>
  <si>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</si>
  <si>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</si>
  <si>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</si>
  <si>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</si>
  <si>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</si>
  <si>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</si>
  <si>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</si>
  <si>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</si>
  <si>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</si>
  <si>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</si>
  <si>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</si>
  <si>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</si>
  <si>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</si>
  <si>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</si>
  <si>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</si>
  <si>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</si>
  <si>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</si>
  <si>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</si>
  <si>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</si>
  <si>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</si>
  <si>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</si>
  <si>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</si>
  <si>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</si>
  <si>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</si>
  <si>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</si>
  <si>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</si>
  <si>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</si>
  <si>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</si>
  <si>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</si>
  <si>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</si>
  <si>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</si>
  <si>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</si>
  <si>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</si>
  <si>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</si>
  <si>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</si>
  <si>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</si>
  <si>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</si>
  <si>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</si>
  <si>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</si>
  <si>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</si>
  <si>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</si>
  <si>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</si>
  <si>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</si>
  <si>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</si>
  <si>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</si>
  <si>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</si>
  <si>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</si>
  <si>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</si>
  <si>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</si>
  <si>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</si>
  <si>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</si>
  <si>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</si>
  <si>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</si>
  <si>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</si>
  <si>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</si>
  <si>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</si>
  <si>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</si>
  <si>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</si>
  <si>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</si>
  <si>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</si>
  <si>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</si>
  <si>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</si>
  <si>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</si>
  <si>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</si>
  <si>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</si>
  <si>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</si>
  <si>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</si>
  <si>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</si>
  <si>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</si>
  <si>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</si>
  <si>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</si>
  <si>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</si>
  <si>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</si>
  <si>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</si>
  <si>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</si>
  <si>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</si>
  <si>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</si>
  <si>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</si>
  <si>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</si>
  <si>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</si>
  <si>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</si>
  <si>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</si>
  <si>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</si>
  <si>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</si>
  <si>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</si>
  <si>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</si>
  <si>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</si>
  <si>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</si>
  <si>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</si>
  <si>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</si>
  <si>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</si>
  <si>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</si>
  <si>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</si>
  <si>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</si>
  <si>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</si>
  <si>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</si>
  <si>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</si>
  <si>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</si>
  <si>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</si>
  <si>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</si>
  <si>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</si>
  <si>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</si>
  <si>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</si>
  <si>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</si>
  <si>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</si>
  <si>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</si>
  <si>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</si>
  <si>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</si>
  <si>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</si>
  <si>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</si>
  <si>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</si>
  <si>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</si>
  <si>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</si>
  <si>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</si>
  <si>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</si>
  <si>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</si>
  <si>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</si>
  <si>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</si>
  <si>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</si>
  <si>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</si>
  <si>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</si>
  <si>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</si>
  <si>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</si>
  <si>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</si>
  <si>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</si>
  <si>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</si>
  <si>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</si>
  <si>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</si>
  <si>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</si>
  <si>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</si>
  <si>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</si>
  <si>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</si>
  <si>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</si>
  <si>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</si>
  <si>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</si>
  <si>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</si>
  <si>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</si>
  <si>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</si>
  <si>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</si>
  <si>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</si>
  <si>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</si>
  <si>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</si>
  <si>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</si>
  <si>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</si>
  <si>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</si>
  <si>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</si>
  <si>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</si>
  <si>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</si>
  <si>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</si>
  <si>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</si>
  <si>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</si>
  <si>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</si>
  <si>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</si>
  <si>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</si>
  <si>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</si>
  <si>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</si>
  <si>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</si>
  <si>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</si>
  <si>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</si>
  <si>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</si>
  <si>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</si>
  <si>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</si>
  <si>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</si>
  <si>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</si>
  <si>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</si>
  <si>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</si>
  <si>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</si>
  <si>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</si>
  <si>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</si>
  <si>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</si>
  <si>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</si>
  <si>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</si>
  <si>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</si>
  <si>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</si>
  <si>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</si>
  <si>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</si>
  <si>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</si>
  <si>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</si>
  <si>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</si>
  <si>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</si>
  <si>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</si>
  <si>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</si>
  <si>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</si>
  <si>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</si>
  <si>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</si>
  <si>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</si>
  <si>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</si>
  <si>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</si>
  <si>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</si>
  <si>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</si>
  <si>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</si>
  <si>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</si>
  <si>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</si>
  <si>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</si>
  <si>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</si>
  <si>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</si>
  <si>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</si>
  <si>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</si>
  <si>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</si>
  <si>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</si>
  <si>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</si>
  <si>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</si>
  <si>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</si>
  <si>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</si>
  <si>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</si>
  <si>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</si>
  <si>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</si>
  <si>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</si>
  <si>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</si>
  <si>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</si>
  <si>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</si>
  <si>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</si>
  <si>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</si>
  <si>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</si>
  <si>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</si>
  <si>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</si>
  <si>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</si>
  <si>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</si>
  <si>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</si>
  <si>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</si>
  <si>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</si>
  <si>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</si>
  <si>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</si>
  <si>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</si>
  <si>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</si>
  <si>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</si>
  <si>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</si>
  <si>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</si>
  <si>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</si>
  <si>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</si>
  <si>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</si>
  <si>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</si>
  <si>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</si>
  <si>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</si>
  <si>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</si>
  <si>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</si>
  <si>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</si>
  <si>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</si>
  <si>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</si>
  <si>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</si>
  <si>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</si>
  <si>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</si>
  <si>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</si>
  <si>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</si>
  <si>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</si>
  <si>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</si>
  <si>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</si>
  <si>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</si>
  <si>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</si>
  <si>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</si>
  <si>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</si>
  <si>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</si>
  <si>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</si>
  <si>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</si>
  <si>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</si>
  <si>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</si>
  <si>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</si>
  <si>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</si>
  <si>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</si>
  <si>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</si>
  <si>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</si>
  <si>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</si>
  <si>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</si>
  <si>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</si>
  <si>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</si>
  <si>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</si>
  <si>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</si>
  <si>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</si>
  <si>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</si>
  <si>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</si>
  <si>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</si>
  <si>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</si>
  <si>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</si>
  <si>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</si>
  <si>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</si>
  <si>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</si>
  <si>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</si>
  <si>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</si>
  <si>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</si>
  <si>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</si>
  <si>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</si>
  <si>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</si>
  <si>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</si>
  <si>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</si>
  <si>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</si>
  <si>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</si>
  <si>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</si>
  <si>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</si>
  <si>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</si>
  <si>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</si>
  <si>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</si>
  <si>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</si>
  <si>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</si>
  <si>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</si>
  <si>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</si>
  <si>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</si>
  <si>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</si>
  <si>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</si>
  <si>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</si>
  <si>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</si>
  <si>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</si>
  <si>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</si>
  <si>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</si>
  <si>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</si>
  <si>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</si>
  <si>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</si>
  <si>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</si>
  <si>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</si>
  <si>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</si>
  <si>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</si>
  <si>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</si>
  <si>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</si>
  <si>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</si>
  <si>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</si>
  <si>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</si>
  <si>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</si>
  <si>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</si>
  <si>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</si>
  <si>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</si>
  <si>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</si>
  <si>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</si>
  <si>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</si>
  <si>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</si>
  <si>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</si>
  <si>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</si>
  <si>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</si>
  <si>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</si>
  <si>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</si>
  <si>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</si>
  <si>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</si>
  <si>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</si>
  <si>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</si>
  <si>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</si>
  <si>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</si>
  <si>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</si>
  <si>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</si>
  <si>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</si>
  <si>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</si>
  <si>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</si>
  <si>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</si>
  <si>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</si>
  <si>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</si>
  <si>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</si>
  <si>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</si>
  <si>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</si>
  <si>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</si>
  <si>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</si>
  <si>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</si>
  <si>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</si>
  <si>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</si>
  <si>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</si>
  <si>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</si>
  <si>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</si>
  <si>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</si>
  <si>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</si>
  <si>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</si>
  <si>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</si>
  <si>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</si>
  <si>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</si>
  <si>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</si>
  <si>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</si>
  <si>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</si>
  <si>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</si>
  <si>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</si>
  <si>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</si>
  <si>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</si>
  <si>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</si>
  <si>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</si>
  <si>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</si>
  <si>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</si>
  <si>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</si>
  <si>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</si>
  <si>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</si>
  <si>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</si>
  <si>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</si>
  <si>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</si>
  <si>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</si>
  <si>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</si>
  <si>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</si>
  <si>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</si>
  <si>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</si>
  <si>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</si>
  <si>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</si>
  <si>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</si>
  <si>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</si>
  <si>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</si>
  <si>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</si>
  <si>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</si>
  <si>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</si>
  <si>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</si>
  <si>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</si>
  <si>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</si>
  <si>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</si>
  <si>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</si>
  <si>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</si>
  <si>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</si>
  <si>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</si>
  <si>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</si>
  <si>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</si>
  <si>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</si>
  <si>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</si>
  <si>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</si>
  <si>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</si>
  <si>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</si>
  <si>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</si>
  <si>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</si>
  <si>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</si>
  <si>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</si>
  <si>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</si>
  <si>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Total</t>
  </si>
  <si>
    <t>MURUK RIAN|TANA TIDUNG</t>
  </si>
  <si>
    <t>SP SELL IN MTD</t>
  </si>
  <si>
    <t>SP SELL IN LMTD</t>
  </si>
  <si>
    <t>DD</t>
  </si>
  <si>
    <t>RETTAG_3GB</t>
  </si>
  <si>
    <t>SELLIN_3GB</t>
  </si>
  <si>
    <t>BATANG KAWA|LAMANDAU</t>
  </si>
  <si>
    <t>KELAY|BERAU</t>
  </si>
  <si>
    <t>KEPULAUAN KARIMATA|KAYONG UTARA</t>
  </si>
  <si>
    <t>MIRI MANASA|GUNUNG MAS</t>
  </si>
  <si>
    <t>PESO HILIR|BULUNGAN</t>
  </si>
  <si>
    <t>PESO|BULUNGAN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</si>
</sst>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b/>
      <sz val="11"/>
      <name val="Calibri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8" fillId="0" borderId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0" fontId="0" fillId="0" borderId="4" xfId="0" applyBorder="1" applyAlignment="1"/>
    <xf numFmtId="0" fontId="7" fillId="0" borderId="0" xfId="0" applyFont="1"/>
    <xf numFmtId="0" fontId="0" fillId="0" borderId="2" xfId="0" applyBorder="1"/>
    <xf numFmtId="0" fontId="0" fillId="0" borderId="4" xfId="0" applyBorder="1"/>
  </cellXfs>
  <cellStyles count="3">
    <cellStyle name="Normal" xfId="0" builtinId="0"/>
    <cellStyle name="Normal 2" xfId="2"/>
    <cellStyle name="Percent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Z22"/>
  <sheetViews>
    <sheetView zoomScale="44" workbookViewId="0">
      <pane xSplit="1" ySplit="5" topLeftCell="T18" activePane="bottomRight" state="frozen"/>
      <selection pane="topRight" activeCell="B1" sqref="B1"/>
      <selection pane="bottomLeft" activeCell="A6" sqref="A6"/>
      <selection pane="bottomRight" activeCell="Y6" sqref="X6:Y22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26" width="38" style="2" customWidth="1"/>
    <col min="27" max="16384" width="11.7265625" style="2"/>
  </cols>
  <sheetData>
    <row r="4" spans="1:26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6" ht="64.5" customHeight="1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662</v>
      </c>
      <c r="V5" s="3" t="s">
        <v>663</v>
      </c>
      <c r="W5" s="3" t="s">
        <v>33</v>
      </c>
      <c r="X5" s="3" t="s">
        <v>667</v>
      </c>
      <c r="Y5" s="3" t="s">
        <v>668</v>
      </c>
      <c r="Z5" s="3" t="s">
        <v>33</v>
      </c>
    </row>
    <row r="6" spans="1:26" ht="64.5" customHeight="1">
      <c r="A6" s="9" t="s">
        <v>1</v>
      </c>
      <c r="B6" s="1" t="s">
        <v>16</v>
      </c>
      <c r="C6" s="4">
        <f>IFERROR(VLOOKUP(A:A,MASTER!A:C,3,0),0)</f>
        <v>411465766.7283684</v>
      </c>
      <c r="D6" s="4">
        <f>IFERROR(VLOOKUP(A:A,MASTER!A:D,4,0),0)</f>
        <v>416446366.81849527</v>
      </c>
      <c r="E6" s="8">
        <f>IFERROR(C6/D6-1,0)</f>
        <v>-1.1959763578145544E-2</v>
      </c>
      <c r="F6" s="4">
        <f>IFERROR(VLOOKUP(A6,MASTER!A:E,5,0),0)</f>
        <v>568918.91891891998</v>
      </c>
      <c r="G6" s="4">
        <f>IFERROR(VLOOKUP(A6,MASTER!A:F,6,0),0)</f>
        <v>2831531.5315315342</v>
      </c>
      <c r="H6" s="8">
        <f>IFERROR(F6/G6-1,0)</f>
        <v>-0.79907731466751497</v>
      </c>
      <c r="I6" s="4">
        <f>IFERROR(VLOOKUP(A6,MASTER!A:O,15,0),0)</f>
        <v>49918108.108108111</v>
      </c>
      <c r="J6" s="4">
        <f>IFERROR(VLOOKUP(A6,MASTER!A:P,16,0),0)</f>
        <v>46886936.936936937</v>
      </c>
      <c r="K6" s="8">
        <f>IFERROR(I6/J6-1,0)</f>
        <v>6.4648521937956893E-2</v>
      </c>
      <c r="L6" s="4">
        <f>IFERROR(VLOOKUP(A6,MASTER!A:S,19,0),0)</f>
        <v>198793827.02702704</v>
      </c>
      <c r="M6" s="4">
        <f>IFERROR(VLOOKUP(A6,MASTER!A:T,20,0),0)</f>
        <v>198365477.47747746</v>
      </c>
      <c r="N6" s="8">
        <f>IFERROR(L6/M6-1,0)</f>
        <v>2.159395651888163E-3</v>
      </c>
      <c r="O6" s="4">
        <f>IFERROR(VLOOKUP(A6,MASTER!A:U,21,0),0)</f>
        <v>46916216.216216214</v>
      </c>
      <c r="P6" s="4">
        <f>IFERROR(VLOOKUP(A6,MASTER!A:V,22,0),0)</f>
        <v>44300000</v>
      </c>
      <c r="Q6" s="8">
        <f>IFERROR(O6/P6-1,0)</f>
        <v>5.9056799463119924E-2</v>
      </c>
      <c r="R6" s="4">
        <f>IFERROR(VLOOKUP(A6,MASTER!A:W,23,0),0)</f>
        <v>8220</v>
      </c>
      <c r="S6" s="4">
        <f>IFERROR(VLOOKUP(A6,MASTER!A:X,24,0),0)</f>
        <v>8307</v>
      </c>
      <c r="T6" s="8">
        <f>IFERROR(R6/S6-1,0)</f>
        <v>-1.0473094980137265E-2</v>
      </c>
      <c r="U6" s="11">
        <f>IFERROR(VLOOKUP(A6,MASTER!A:M,13,0),0)</f>
        <v>708</v>
      </c>
      <c r="V6" s="11">
        <f>IFERROR(VLOOKUP(A6,MASTER!A:N,14,0),0)</f>
        <v>518</v>
      </c>
      <c r="W6" s="8">
        <f>IFERROR(U6/V6-1,0)</f>
        <v>0.36679536679536673</v>
      </c>
      <c r="X6" s="11">
        <f>IFERROR(VLOOKUP(A6,MASTER!A:Q,17,0),0)</f>
        <v>217</v>
      </c>
      <c r="Y6" s="11">
        <f>IFERROR(VLOOKUP(A6,MASTER!A:R,18,0),0)</f>
        <v>144</v>
      </c>
      <c r="Z6" s="8">
        <f>IFERROR(X6/Y6-1,0)</f>
        <v>0.50694444444444442</v>
      </c>
    </row>
    <row r="7" spans="1:26" ht="64.5" customHeight="1">
      <c r="A7" s="9" t="s">
        <v>2</v>
      </c>
      <c r="B7" s="1" t="s">
        <v>17</v>
      </c>
      <c r="C7" s="4">
        <f>IFERROR(VLOOKUP(A:A,MASTER!A:C,3,0),0)</f>
        <v>48365116.464128777</v>
      </c>
      <c r="D7" s="4">
        <f>IFERROR(VLOOKUP(A:A,MASTER!A:D,4,0),0)</f>
        <v>40760914.843795151</v>
      </c>
      <c r="E7" s="8">
        <f t="shared" ref="E7:E22" si="0">IFERROR(C7/D7-1,0)</f>
        <v>0.18655620585245969</v>
      </c>
      <c r="F7" s="4">
        <f>IFERROR(VLOOKUP(A7,MASTER!A:E,5,0),0)</f>
        <v>57657.657657657001</v>
      </c>
      <c r="G7" s="4">
        <f>IFERROR(VLOOKUP(A7,MASTER!A:F,6,0),0)</f>
        <v>310810.81081081199</v>
      </c>
      <c r="H7" s="8">
        <f t="shared" ref="H7:H22" si="1">IFERROR(F7/G7-1,0)</f>
        <v>-0.81449275362319118</v>
      </c>
      <c r="I7" s="4">
        <f>IFERROR(VLOOKUP(A7,MASTER!A:O,15,0),0)</f>
        <v>324324.32432432403</v>
      </c>
      <c r="J7" s="4">
        <f>IFERROR(VLOOKUP(A7,MASTER!A:P,16,0),0)</f>
        <v>6662162.1621621633</v>
      </c>
      <c r="K7" s="8">
        <f t="shared" ref="K7:K22" si="2">IFERROR(I7/J7-1,0)</f>
        <v>-0.9513184584178499</v>
      </c>
      <c r="L7" s="4">
        <f>IFERROR(VLOOKUP(A7,MASTER!A:S,19,0),0)</f>
        <v>26336936.936936937</v>
      </c>
      <c r="M7" s="4">
        <f>IFERROR(VLOOKUP(A7,MASTER!A:T,20,0),0)</f>
        <v>23089792.792792793</v>
      </c>
      <c r="N7" s="8">
        <f t="shared" ref="N7:N22" si="3">IFERROR(L7/M7-1,0)</f>
        <v>0.14063115131798409</v>
      </c>
      <c r="O7" s="4">
        <f>IFERROR(VLOOKUP(A7,MASTER!A:U,21,0),0)</f>
        <v>330180.18018018099</v>
      </c>
      <c r="P7" s="4">
        <f>IFERROR(VLOOKUP(A7,MASTER!A:V,22,0),0)</f>
        <v>6763063.0630630637</v>
      </c>
      <c r="Q7" s="8">
        <f t="shared" ref="Q7:Q22" si="4">IFERROR(O7/P7-1,0)</f>
        <v>-0.95117889969361913</v>
      </c>
      <c r="R7" s="4">
        <f>IFERROR(VLOOKUP(A7,MASTER!A:W,23,0),0)</f>
        <v>1205</v>
      </c>
      <c r="S7" s="4">
        <f>IFERROR(VLOOKUP(A7,MASTER!A:X,24,0),0)</f>
        <v>1222</v>
      </c>
      <c r="T7" s="8">
        <f t="shared" ref="T7:T22" si="5">IFERROR(R7/S7-1,0)</f>
        <v>-1.3911620294599025E-2</v>
      </c>
      <c r="U7" s="11">
        <f>IFERROR(VLOOKUP(A7,MASTER!A:M,13,0),0)</f>
        <v>13</v>
      </c>
      <c r="V7" s="11">
        <f>IFERROR(VLOOKUP(A7,MASTER!A:N,14,0),0)</f>
        <v>6</v>
      </c>
      <c r="W7" s="8">
        <f t="shared" ref="W7:W22" si="6">IFERROR(U7/V7-1,0)</f>
        <v>1.1666666666666665</v>
      </c>
      <c r="X7" s="11">
        <f>IFERROR(VLOOKUP(A7,MASTER!A:Q,17,0),0)</f>
        <v>6</v>
      </c>
      <c r="Y7" s="11">
        <f>IFERROR(VLOOKUP(A7,MASTER!A:R,18,0),0)</f>
        <v>0</v>
      </c>
      <c r="Z7" s="8">
        <f t="shared" ref="Z7:Z22" si="7">IFERROR(X7/Y7-1,0)</f>
        <v>0</v>
      </c>
    </row>
    <row r="8" spans="1:26" ht="64.5" customHeight="1">
      <c r="A8" s="9" t="s">
        <v>3</v>
      </c>
      <c r="B8" s="1" t="s">
        <v>16</v>
      </c>
      <c r="C8" s="4">
        <f>IFERROR(VLOOKUP(A:A,MASTER!A:C,3,0),0)</f>
        <v>311284462.61866623</v>
      </c>
      <c r="D8" s="4">
        <f>IFERROR(VLOOKUP(A:A,MASTER!A:D,4,0),0)</f>
        <v>312060855.65355134</v>
      </c>
      <c r="E8" s="8">
        <f t="shared" si="0"/>
        <v>-2.4879539385326277E-3</v>
      </c>
      <c r="F8" s="4">
        <f>IFERROR(VLOOKUP(A8,MASTER!A:E,5,0),0)</f>
        <v>3265540.5405405411</v>
      </c>
      <c r="G8" s="4">
        <f>IFERROR(VLOOKUP(A8,MASTER!A:F,6,0),0)</f>
        <v>4639639.6396396421</v>
      </c>
      <c r="H8" s="8">
        <f t="shared" si="1"/>
        <v>-0.29616504854368964</v>
      </c>
      <c r="I8" s="4">
        <f>IFERROR(VLOOKUP(A8,MASTER!A:O,15,0),0)</f>
        <v>64537387.387387395</v>
      </c>
      <c r="J8" s="4">
        <f>IFERROR(VLOOKUP(A8,MASTER!A:P,16,0),0)</f>
        <v>62177477.477477483</v>
      </c>
      <c r="K8" s="8">
        <f t="shared" si="2"/>
        <v>3.7954417027688869E-2</v>
      </c>
      <c r="L8" s="4">
        <f>IFERROR(VLOOKUP(A8,MASTER!A:S,19,0),0)</f>
        <v>82628378.378378391</v>
      </c>
      <c r="M8" s="4">
        <f>IFERROR(VLOOKUP(A8,MASTER!A:T,20,0),0)</f>
        <v>86993990.990990996</v>
      </c>
      <c r="N8" s="8">
        <f t="shared" si="3"/>
        <v>-5.0182921405050873E-2</v>
      </c>
      <c r="O8" s="4">
        <f>IFERROR(VLOOKUP(A8,MASTER!A:U,21,0),0)</f>
        <v>59819099.099099107</v>
      </c>
      <c r="P8" s="4">
        <f>IFERROR(VLOOKUP(A8,MASTER!A:V,22,0),0)</f>
        <v>57432972.972972974</v>
      </c>
      <c r="Q8" s="8">
        <f t="shared" si="4"/>
        <v>4.1546275642895925E-2</v>
      </c>
      <c r="R8" s="4">
        <f>IFERROR(VLOOKUP(A8,MASTER!A:W,23,0),0)</f>
        <v>4291</v>
      </c>
      <c r="S8" s="4">
        <f>IFERROR(VLOOKUP(A8,MASTER!A:X,24,0),0)</f>
        <v>3575</v>
      </c>
      <c r="T8" s="8">
        <f t="shared" si="5"/>
        <v>0.20027972027972019</v>
      </c>
      <c r="U8" s="11">
        <f>IFERROR(VLOOKUP(A8,MASTER!A:M,13,0),0)</f>
        <v>50</v>
      </c>
      <c r="V8" s="11">
        <f>IFERROR(VLOOKUP(A8,MASTER!A:N,14,0),0)</f>
        <v>55</v>
      </c>
      <c r="W8" s="8">
        <f t="shared" si="6"/>
        <v>-9.0909090909090939E-2</v>
      </c>
      <c r="X8" s="11">
        <f>IFERROR(VLOOKUP(A8,MASTER!A:Q,17,0),0)</f>
        <v>102</v>
      </c>
      <c r="Y8" s="11">
        <f>IFERROR(VLOOKUP(A8,MASTER!A:R,18,0),0)</f>
        <v>74</v>
      </c>
      <c r="Z8" s="8">
        <f t="shared" si="7"/>
        <v>0.37837837837837829</v>
      </c>
    </row>
    <row r="9" spans="1:26" ht="64.5" customHeight="1">
      <c r="A9" s="9" t="s">
        <v>4</v>
      </c>
      <c r="B9" s="1" t="s">
        <v>16</v>
      </c>
      <c r="C9" s="4">
        <f>IFERROR(VLOOKUP(A:A,MASTER!A:C,3,0),0)</f>
        <v>181699696.72417471</v>
      </c>
      <c r="D9" s="4">
        <f>IFERROR(VLOOKUP(A:A,MASTER!A:D,4,0),0)</f>
        <v>184628403.90384224</v>
      </c>
      <c r="E9" s="8">
        <f t="shared" si="0"/>
        <v>-1.5862711899913617E-2</v>
      </c>
      <c r="F9" s="4">
        <f>IFERROR(VLOOKUP(A9,MASTER!A:E,5,0),0)</f>
        <v>1290090.0900900899</v>
      </c>
      <c r="G9" s="4">
        <f>IFERROR(VLOOKUP(A9,MASTER!A:F,6,0),0)</f>
        <v>2844144.1441441458</v>
      </c>
      <c r="H9" s="8">
        <f t="shared" si="1"/>
        <v>-0.54640481469749791</v>
      </c>
      <c r="I9" s="4">
        <f>IFERROR(VLOOKUP(A9,MASTER!A:O,15,0),0)</f>
        <v>30233783.783783782</v>
      </c>
      <c r="J9" s="4">
        <f>IFERROR(VLOOKUP(A9,MASTER!A:P,16,0),0)</f>
        <v>28870270.270270273</v>
      </c>
      <c r="K9" s="8">
        <f t="shared" si="2"/>
        <v>4.7228983336453645E-2</v>
      </c>
      <c r="L9" s="4">
        <f>IFERROR(VLOOKUP(A9,MASTER!A:S,19,0),0)</f>
        <v>68629144.144144148</v>
      </c>
      <c r="M9" s="4">
        <f>IFERROR(VLOOKUP(A9,MASTER!A:T,20,0),0)</f>
        <v>65445567.567567565</v>
      </c>
      <c r="N9" s="8">
        <f t="shared" si="3"/>
        <v>4.8644647680529118E-2</v>
      </c>
      <c r="O9" s="4">
        <f>IFERROR(VLOOKUP(A9,MASTER!A:U,21,0),0)</f>
        <v>31164684.684684683</v>
      </c>
      <c r="P9" s="4">
        <f>IFERROR(VLOOKUP(A9,MASTER!A:V,22,0),0)</f>
        <v>35459099.0990991</v>
      </c>
      <c r="Q9" s="8">
        <f t="shared" si="4"/>
        <v>-0.12110895435929236</v>
      </c>
      <c r="R9" s="4">
        <f>IFERROR(VLOOKUP(A9,MASTER!A:W,23,0),0)</f>
        <v>3256</v>
      </c>
      <c r="S9" s="4">
        <f>IFERROR(VLOOKUP(A9,MASTER!A:X,24,0),0)</f>
        <v>3655</v>
      </c>
      <c r="T9" s="8">
        <f t="shared" si="5"/>
        <v>-0.10916552667578661</v>
      </c>
      <c r="U9" s="11">
        <f>IFERROR(VLOOKUP(A9,MASTER!A:M,13,0),0)</f>
        <v>14</v>
      </c>
      <c r="V9" s="11">
        <f>IFERROR(VLOOKUP(A9,MASTER!A:N,14,0),0)</f>
        <v>19</v>
      </c>
      <c r="W9" s="8">
        <f t="shared" si="6"/>
        <v>-0.26315789473684215</v>
      </c>
      <c r="X9" s="11">
        <f>IFERROR(VLOOKUP(A9,MASTER!A:Q,17,0),0)</f>
        <v>95</v>
      </c>
      <c r="Y9" s="11">
        <f>IFERROR(VLOOKUP(A9,MASTER!A:R,18,0),0)</f>
        <v>49</v>
      </c>
      <c r="Z9" s="8">
        <f t="shared" si="7"/>
        <v>0.93877551020408156</v>
      </c>
    </row>
    <row r="10" spans="1:26" ht="64.5" customHeight="1">
      <c r="A10" s="9" t="s">
        <v>34</v>
      </c>
      <c r="B10" s="1" t="s">
        <v>17</v>
      </c>
      <c r="C10" s="4">
        <f>IFERROR(VLOOKUP(A:A,MASTER!A:C,3,0),0)</f>
        <v>0</v>
      </c>
      <c r="D10" s="4">
        <f>IFERROR(VLOOKUP(A:A,MASTER!A:D,4,0),0)</f>
        <v>0</v>
      </c>
      <c r="E10" s="8">
        <f t="shared" si="0"/>
        <v>0</v>
      </c>
      <c r="F10" s="4">
        <f>IFERROR(VLOOKUP(A10,MASTER!A:E,5,0),0)</f>
        <v>0</v>
      </c>
      <c r="G10" s="4">
        <f>IFERROR(VLOOKUP(A10,MASTER!A:F,6,0),0)</f>
        <v>0</v>
      </c>
      <c r="H10" s="8">
        <f t="shared" si="1"/>
        <v>0</v>
      </c>
      <c r="I10" s="4">
        <f>IFERROR(VLOOKUP(A10,MASTER!A:O,15,0),0)</f>
        <v>0</v>
      </c>
      <c r="J10" s="4">
        <f>IFERROR(VLOOKUP(A10,MASTER!A:P,16,0),0)</f>
        <v>0</v>
      </c>
      <c r="K10" s="8">
        <f t="shared" si="2"/>
        <v>0</v>
      </c>
      <c r="L10" s="4">
        <f>IFERROR(VLOOKUP(A10,MASTER!A:S,19,0),0)</f>
        <v>0</v>
      </c>
      <c r="M10" s="4">
        <f>IFERROR(VLOOKUP(A10,MASTER!A:T,20,0),0)</f>
        <v>0</v>
      </c>
      <c r="N10" s="8">
        <f t="shared" si="3"/>
        <v>0</v>
      </c>
      <c r="O10" s="4">
        <f>IFERROR(VLOOKUP(A10,MASTER!A:U,21,0),0)</f>
        <v>0</v>
      </c>
      <c r="P10" s="4">
        <f>IFERROR(VLOOKUP(A10,MASTER!A:V,22,0),0)</f>
        <v>0</v>
      </c>
      <c r="Q10" s="8">
        <f t="shared" si="4"/>
        <v>0</v>
      </c>
      <c r="R10" s="4">
        <f>IFERROR(VLOOKUP(A10,MASTER!A:W,23,0),0)</f>
        <v>0</v>
      </c>
      <c r="S10" s="4">
        <f>IFERROR(VLOOKUP(A10,MASTER!A:X,24,0),0)</f>
        <v>0</v>
      </c>
      <c r="T10" s="8">
        <f t="shared" si="5"/>
        <v>0</v>
      </c>
      <c r="U10" s="11">
        <f>IFERROR(VLOOKUP(A10,MASTER!A:M,13,0),0)</f>
        <v>0</v>
      </c>
      <c r="V10" s="11">
        <f>IFERROR(VLOOKUP(A10,MASTER!A:N,14,0),0)</f>
        <v>0</v>
      </c>
      <c r="W10" s="8">
        <f t="shared" si="6"/>
        <v>0</v>
      </c>
      <c r="X10" s="11">
        <f>IFERROR(VLOOKUP(A10,MASTER!A:Q,17,0),0)</f>
        <v>0</v>
      </c>
      <c r="Y10" s="11">
        <f>IFERROR(VLOOKUP(A10,MASTER!A:R,18,0),0)</f>
        <v>0</v>
      </c>
      <c r="Z10" s="8">
        <f t="shared" si="7"/>
        <v>0</v>
      </c>
    </row>
    <row r="11" spans="1:26" ht="64.5" customHeight="1">
      <c r="A11" s="9" t="s">
        <v>5</v>
      </c>
      <c r="B11" s="1" t="s">
        <v>16</v>
      </c>
      <c r="C11" s="4">
        <f>IFERROR(VLOOKUP(A:A,MASTER!A:C,3,0),0)</f>
        <v>191278087.50061959</v>
      </c>
      <c r="D11" s="4">
        <f>IFERROR(VLOOKUP(A:A,MASTER!A:D,4,0),0)</f>
        <v>195980721.5016717</v>
      </c>
      <c r="E11" s="8">
        <f t="shared" si="0"/>
        <v>-2.3995390796701432E-2</v>
      </c>
      <c r="F11" s="4">
        <f>IFERROR(VLOOKUP(A11,MASTER!A:E,5,0),0)</f>
        <v>2143693.6936936942</v>
      </c>
      <c r="G11" s="4">
        <f>IFERROR(VLOOKUP(A11,MASTER!A:F,6,0),0)</f>
        <v>1052252.252252253</v>
      </c>
      <c r="H11" s="8">
        <f t="shared" si="1"/>
        <v>1.0372431506849304</v>
      </c>
      <c r="I11" s="4">
        <f>IFERROR(VLOOKUP(A11,MASTER!A:O,15,0),0)</f>
        <v>15564594.594594596</v>
      </c>
      <c r="J11" s="4">
        <f>IFERROR(VLOOKUP(A11,MASTER!A:P,16,0),0)</f>
        <v>14059459.459459459</v>
      </c>
      <c r="K11" s="8">
        <f t="shared" si="2"/>
        <v>0.10705497885428694</v>
      </c>
      <c r="L11" s="4">
        <f>IFERROR(VLOOKUP(A11,MASTER!A:S,19,0),0)</f>
        <v>84164819.819819823</v>
      </c>
      <c r="M11" s="4">
        <f>IFERROR(VLOOKUP(A11,MASTER!A:T,20,0),0)</f>
        <v>83785441.441441447</v>
      </c>
      <c r="N11" s="8">
        <f t="shared" si="3"/>
        <v>4.5279749303883676E-3</v>
      </c>
      <c r="O11" s="4">
        <f>IFERROR(VLOOKUP(A11,MASTER!A:U,21,0),0)</f>
        <v>14017567.567567568</v>
      </c>
      <c r="P11" s="4">
        <f>IFERROR(VLOOKUP(A11,MASTER!A:V,22,0),0)</f>
        <v>12987837.837837836</v>
      </c>
      <c r="Q11" s="8">
        <f t="shared" si="4"/>
        <v>7.928415357403007E-2</v>
      </c>
      <c r="R11" s="4">
        <f>IFERROR(VLOOKUP(A11,MASTER!A:W,23,0),0)</f>
        <v>3166</v>
      </c>
      <c r="S11" s="4">
        <f>IFERROR(VLOOKUP(A11,MASTER!A:X,24,0),0)</f>
        <v>3147</v>
      </c>
      <c r="T11" s="8">
        <f t="shared" si="5"/>
        <v>6.0374960279632184E-3</v>
      </c>
      <c r="U11" s="11">
        <f>IFERROR(VLOOKUP(A11,MASTER!A:M,13,0),0)</f>
        <v>13</v>
      </c>
      <c r="V11" s="11">
        <f>IFERROR(VLOOKUP(A11,MASTER!A:N,14,0),0)</f>
        <v>36</v>
      </c>
      <c r="W11" s="8">
        <f t="shared" si="6"/>
        <v>-0.63888888888888884</v>
      </c>
      <c r="X11" s="11">
        <f>IFERROR(VLOOKUP(A11,MASTER!A:Q,17,0),0)</f>
        <v>86</v>
      </c>
      <c r="Y11" s="11">
        <f>IFERROR(VLOOKUP(A11,MASTER!A:R,18,0),0)</f>
        <v>27</v>
      </c>
      <c r="Z11" s="8">
        <f t="shared" si="7"/>
        <v>2.1851851851851851</v>
      </c>
    </row>
    <row r="12" spans="1:26" ht="64.5" customHeight="1">
      <c r="A12" s="9" t="s">
        <v>6</v>
      </c>
      <c r="B12" s="1" t="s">
        <v>17</v>
      </c>
      <c r="C12" s="4">
        <f>IFERROR(VLOOKUP(A:A,MASTER!A:C,3,0),0)</f>
        <v>715853680.52974629</v>
      </c>
      <c r="D12" s="4">
        <f>IFERROR(VLOOKUP(A:A,MASTER!A:D,4,0),0)</f>
        <v>711561576.23647344</v>
      </c>
      <c r="E12" s="8">
        <f t="shared" si="0"/>
        <v>6.0319506232675568E-3</v>
      </c>
      <c r="F12" s="4">
        <f>IFERROR(VLOOKUP(A12,MASTER!A:E,5,0),0)</f>
        <v>251516454.05405405</v>
      </c>
      <c r="G12" s="4">
        <f>IFERROR(VLOOKUP(A12,MASTER!A:F,6,0),0)</f>
        <v>315966468.46846849</v>
      </c>
      <c r="H12" s="8">
        <f t="shared" si="1"/>
        <v>-0.20397738635625551</v>
      </c>
      <c r="I12" s="4">
        <f>IFERROR(VLOOKUP(A12,MASTER!A:O,15,0),0)</f>
        <v>313298198.1981982</v>
      </c>
      <c r="J12" s="4">
        <f>IFERROR(VLOOKUP(A12,MASTER!A:P,16,0),0)</f>
        <v>233787057.65765765</v>
      </c>
      <c r="K12" s="8">
        <f t="shared" si="2"/>
        <v>0.34010069392708386</v>
      </c>
      <c r="L12" s="4">
        <f>IFERROR(VLOOKUP(A12,MASTER!A:S,19,0),0)</f>
        <v>480697792.7927928</v>
      </c>
      <c r="M12" s="4">
        <f>IFERROR(VLOOKUP(A12,MASTER!A:T,20,0),0)</f>
        <v>483888990.990991</v>
      </c>
      <c r="N12" s="8">
        <f t="shared" si="3"/>
        <v>-6.5948972958915775E-3</v>
      </c>
      <c r="O12" s="4">
        <f>IFERROR(VLOOKUP(A12,MASTER!A:U,21,0),0)</f>
        <v>273265135.13513511</v>
      </c>
      <c r="P12" s="4">
        <f>IFERROR(VLOOKUP(A12,MASTER!A:V,22,0),0)</f>
        <v>209303333.33333334</v>
      </c>
      <c r="Q12" s="8">
        <f t="shared" si="4"/>
        <v>0.30559380389770086</v>
      </c>
      <c r="R12" s="4">
        <f>IFERROR(VLOOKUP(A12,MASTER!A:W,23,0),0)</f>
        <v>13363</v>
      </c>
      <c r="S12" s="4">
        <f>IFERROR(VLOOKUP(A12,MASTER!A:X,24,0),0)</f>
        <v>13301</v>
      </c>
      <c r="T12" s="8">
        <f t="shared" si="5"/>
        <v>4.6613036613787351E-3</v>
      </c>
      <c r="U12" s="11">
        <f>IFERROR(VLOOKUP(A12,MASTER!A:M,13,0),0)</f>
        <v>1239</v>
      </c>
      <c r="V12" s="11">
        <f>IFERROR(VLOOKUP(A12,MASTER!A:N,14,0),0)</f>
        <v>894</v>
      </c>
      <c r="W12" s="8">
        <f t="shared" si="6"/>
        <v>0.38590604026845643</v>
      </c>
      <c r="X12" s="11">
        <f>IFERROR(VLOOKUP(A12,MASTER!A:Q,17,0),0)</f>
        <v>728</v>
      </c>
      <c r="Y12" s="11">
        <f>IFERROR(VLOOKUP(A12,MASTER!A:R,18,0),0)</f>
        <v>819</v>
      </c>
      <c r="Z12" s="8">
        <f t="shared" si="7"/>
        <v>-0.11111111111111116</v>
      </c>
    </row>
    <row r="13" spans="1:26" ht="64.5" customHeight="1">
      <c r="A13" s="9" t="s">
        <v>7</v>
      </c>
      <c r="B13" s="1" t="s">
        <v>17</v>
      </c>
      <c r="C13" s="4">
        <f>IFERROR(VLOOKUP(A:A,MASTER!A:C,3,0),0)</f>
        <v>156477804.23647913</v>
      </c>
      <c r="D13" s="4">
        <f>IFERROR(VLOOKUP(A:A,MASTER!A:D,4,0),0)</f>
        <v>168037627.2902734</v>
      </c>
      <c r="E13" s="8">
        <f t="shared" si="0"/>
        <v>-6.8793062840773578E-2</v>
      </c>
      <c r="F13" s="4">
        <f>IFERROR(VLOOKUP(A13,MASTER!A:E,5,0),0)</f>
        <v>40090.090090090001</v>
      </c>
      <c r="G13" s="4">
        <f>IFERROR(VLOOKUP(A13,MASTER!A:F,6,0),0)</f>
        <v>421621.62162162398</v>
      </c>
      <c r="H13" s="8">
        <f t="shared" si="1"/>
        <v>-0.9049145299145307</v>
      </c>
      <c r="I13" s="4">
        <f>IFERROR(VLOOKUP(A13,MASTER!A:O,15,0),0)</f>
        <v>46487837.837837838</v>
      </c>
      <c r="J13" s="4">
        <f>IFERROR(VLOOKUP(A13,MASTER!A:P,16,0),0)</f>
        <v>28293243.243243244</v>
      </c>
      <c r="K13" s="8">
        <f t="shared" si="2"/>
        <v>0.64307207336294603</v>
      </c>
      <c r="L13" s="4">
        <f>IFERROR(VLOOKUP(A13,MASTER!A:S,19,0),0)</f>
        <v>107381828.82882883</v>
      </c>
      <c r="M13" s="4">
        <f>IFERROR(VLOOKUP(A13,MASTER!A:T,20,0),0)</f>
        <v>117225774.77477477</v>
      </c>
      <c r="N13" s="8">
        <f t="shared" si="3"/>
        <v>-8.3974245125349456E-2</v>
      </c>
      <c r="O13" s="4">
        <f>IFERROR(VLOOKUP(A13,MASTER!A:U,21,0),0)</f>
        <v>44650090.090090089</v>
      </c>
      <c r="P13" s="4">
        <f>IFERROR(VLOOKUP(A13,MASTER!A:V,22,0),0)</f>
        <v>30243153.153153151</v>
      </c>
      <c r="Q13" s="8">
        <f t="shared" si="4"/>
        <v>0.47637020068573332</v>
      </c>
      <c r="R13" s="4">
        <f>IFERROR(VLOOKUP(A13,MASTER!A:W,23,0),0)</f>
        <v>4858</v>
      </c>
      <c r="S13" s="4">
        <f>IFERROR(VLOOKUP(A13,MASTER!A:X,24,0),0)</f>
        <v>4796</v>
      </c>
      <c r="T13" s="8">
        <f t="shared" si="5"/>
        <v>1.2927439532944174E-2</v>
      </c>
      <c r="U13" s="11">
        <f>IFERROR(VLOOKUP(A13,MASTER!A:M,13,0),0)</f>
        <v>43</v>
      </c>
      <c r="V13" s="11">
        <f>IFERROR(VLOOKUP(A13,MASTER!A:N,14,0),0)</f>
        <v>63</v>
      </c>
      <c r="W13" s="8">
        <f t="shared" si="6"/>
        <v>-0.31746031746031744</v>
      </c>
      <c r="X13" s="11">
        <f>IFERROR(VLOOKUP(A13,MASTER!A:Q,17,0),0)</f>
        <v>252</v>
      </c>
      <c r="Y13" s="11">
        <f>IFERROR(VLOOKUP(A13,MASTER!A:R,18,0),0)</f>
        <v>157</v>
      </c>
      <c r="Z13" s="8">
        <f t="shared" si="7"/>
        <v>0.60509554140127397</v>
      </c>
    </row>
    <row r="14" spans="1:26" ht="64.5" customHeight="1">
      <c r="A14" s="9" t="s">
        <v>8</v>
      </c>
      <c r="B14" s="1" t="s">
        <v>16</v>
      </c>
      <c r="C14" s="4">
        <f>IFERROR(VLOOKUP(A:A,MASTER!A:C,3,0),0)</f>
        <v>234949442.59144345</v>
      </c>
      <c r="D14" s="4">
        <f>IFERROR(VLOOKUP(A:A,MASTER!A:D,4,0),0)</f>
        <v>232854144.29944199</v>
      </c>
      <c r="E14" s="8">
        <f t="shared" si="0"/>
        <v>8.9983293975948175E-3</v>
      </c>
      <c r="F14" s="4">
        <f>IFERROR(VLOOKUP(A14,MASTER!A:E,5,0),0)</f>
        <v>2347747.747747751</v>
      </c>
      <c r="G14" s="4">
        <f>IFERROR(VLOOKUP(A14,MASTER!A:F,6,0),0)</f>
        <v>4509009.0090090111</v>
      </c>
      <c r="H14" s="8">
        <f t="shared" si="1"/>
        <v>-0.4793206793206789</v>
      </c>
      <c r="I14" s="4">
        <f>IFERROR(VLOOKUP(A14,MASTER!A:O,15,0),0)</f>
        <v>32816666.666666664</v>
      </c>
      <c r="J14" s="4">
        <f>IFERROR(VLOOKUP(A14,MASTER!A:P,16,0),0)</f>
        <v>42172072.072072074</v>
      </c>
      <c r="K14" s="8">
        <f t="shared" si="2"/>
        <v>-0.22183888402298613</v>
      </c>
      <c r="L14" s="4">
        <f>IFERROR(VLOOKUP(A14,MASTER!A:S,19,0),0)</f>
        <v>69177828.828828827</v>
      </c>
      <c r="M14" s="4">
        <f>IFERROR(VLOOKUP(A14,MASTER!A:T,20,0),0)</f>
        <v>68903666.666666657</v>
      </c>
      <c r="N14" s="8">
        <f t="shared" si="3"/>
        <v>3.9789197792401421E-3</v>
      </c>
      <c r="O14" s="4">
        <f>IFERROR(VLOOKUP(A14,MASTER!A:U,21,0),0)</f>
        <v>32813243.24324324</v>
      </c>
      <c r="P14" s="4">
        <f>IFERROR(VLOOKUP(A14,MASTER!A:V,22,0),0)</f>
        <v>39336756.756756753</v>
      </c>
      <c r="Q14" s="8">
        <f t="shared" si="4"/>
        <v>-0.16583760460610386</v>
      </c>
      <c r="R14" s="4">
        <f>IFERROR(VLOOKUP(A14,MASTER!A:W,23,0),0)</f>
        <v>4074</v>
      </c>
      <c r="S14" s="4">
        <f>IFERROR(VLOOKUP(A14,MASTER!A:X,24,0),0)</f>
        <v>3882</v>
      </c>
      <c r="T14" s="8">
        <f t="shared" si="5"/>
        <v>4.9459041731066522E-2</v>
      </c>
      <c r="U14" s="11">
        <f>IFERROR(VLOOKUP(A14,MASTER!A:M,13,0),0)</f>
        <v>25</v>
      </c>
      <c r="V14" s="11">
        <f>IFERROR(VLOOKUP(A14,MASTER!A:N,14,0),0)</f>
        <v>23</v>
      </c>
      <c r="W14" s="8">
        <f t="shared" si="6"/>
        <v>8.6956521739130377E-2</v>
      </c>
      <c r="X14" s="11">
        <f>IFERROR(VLOOKUP(A14,MASTER!A:Q,17,0),0)</f>
        <v>117</v>
      </c>
      <c r="Y14" s="11">
        <f>IFERROR(VLOOKUP(A14,MASTER!A:R,18,0),0)</f>
        <v>51</v>
      </c>
      <c r="Z14" s="8">
        <f t="shared" si="7"/>
        <v>1.2941176470588234</v>
      </c>
    </row>
    <row r="15" spans="1:26" ht="64.5" customHeight="1">
      <c r="A15" s="9" t="s">
        <v>9</v>
      </c>
      <c r="B15" s="1" t="s">
        <v>16</v>
      </c>
      <c r="C15" s="4">
        <f>IFERROR(VLOOKUP(A:A,MASTER!A:C,3,0),0)</f>
        <v>462250046.24077028</v>
      </c>
      <c r="D15" s="4">
        <f>IFERROR(VLOOKUP(A:A,MASTER!A:D,4,0),0)</f>
        <v>452998023.773929</v>
      </c>
      <c r="E15" s="8">
        <f t="shared" si="0"/>
        <v>2.0423979755502364E-2</v>
      </c>
      <c r="F15" s="4">
        <f>IFERROR(VLOOKUP(A15,MASTER!A:E,5,0),0)</f>
        <v>822548997.29729724</v>
      </c>
      <c r="G15" s="4">
        <f>IFERROR(VLOOKUP(A15,MASTER!A:F,6,0),0)</f>
        <v>962064467.56756759</v>
      </c>
      <c r="H15" s="8">
        <f t="shared" si="1"/>
        <v>-0.14501675820437876</v>
      </c>
      <c r="I15" s="4">
        <f>IFERROR(VLOOKUP(A15,MASTER!A:O,15,0),0)</f>
        <v>772919027.92792797</v>
      </c>
      <c r="J15" s="4">
        <f>IFERROR(VLOOKUP(A15,MASTER!A:P,16,0),0)</f>
        <v>714955041.44144142</v>
      </c>
      <c r="K15" s="8">
        <f t="shared" si="2"/>
        <v>8.1073610404402086E-2</v>
      </c>
      <c r="L15" s="4">
        <f>IFERROR(VLOOKUP(A15,MASTER!A:S,19,0),0)</f>
        <v>166499261.26126125</v>
      </c>
      <c r="M15" s="4">
        <f>IFERROR(VLOOKUP(A15,MASTER!A:T,20,0),0)</f>
        <v>164936405.4054054</v>
      </c>
      <c r="N15" s="8">
        <f t="shared" si="3"/>
        <v>9.4755057381930019E-3</v>
      </c>
      <c r="O15" s="4">
        <f>IFERROR(VLOOKUP(A15,MASTER!A:U,21,0),0)</f>
        <v>583209909.90990984</v>
      </c>
      <c r="P15" s="4">
        <f>IFERROR(VLOOKUP(A15,MASTER!A:V,22,0),0)</f>
        <v>557382342.34234238</v>
      </c>
      <c r="Q15" s="8">
        <f t="shared" si="4"/>
        <v>4.6337254709271525E-2</v>
      </c>
      <c r="R15" s="4">
        <f>IFERROR(VLOOKUP(A15,MASTER!A:W,23,0),0)</f>
        <v>6697</v>
      </c>
      <c r="S15" s="4">
        <f>IFERROR(VLOOKUP(A15,MASTER!A:X,24,0),0)</f>
        <v>7183</v>
      </c>
      <c r="T15" s="8">
        <f t="shared" si="5"/>
        <v>-6.7659752192677169E-2</v>
      </c>
      <c r="U15" s="11">
        <f>IFERROR(VLOOKUP(A15,MASTER!A:M,13,0),0)</f>
        <v>120</v>
      </c>
      <c r="V15" s="11">
        <f>IFERROR(VLOOKUP(A15,MASTER!A:N,14,0),0)</f>
        <v>76</v>
      </c>
      <c r="W15" s="8">
        <f t="shared" si="6"/>
        <v>0.57894736842105265</v>
      </c>
      <c r="X15" s="11">
        <f>IFERROR(VLOOKUP(A15,MASTER!A:Q,17,0),0)</f>
        <v>333</v>
      </c>
      <c r="Y15" s="11">
        <f>IFERROR(VLOOKUP(A15,MASTER!A:R,18,0),0)</f>
        <v>148</v>
      </c>
      <c r="Z15" s="8">
        <f t="shared" si="7"/>
        <v>1.25</v>
      </c>
    </row>
    <row r="16" spans="1:26" ht="64.5" customHeight="1">
      <c r="A16" s="9" t="s">
        <v>35</v>
      </c>
      <c r="B16" s="1" t="s">
        <v>16</v>
      </c>
      <c r="C16" s="4">
        <f>IFERROR(VLOOKUP(A:A,MASTER!A:C,3,0),0)</f>
        <v>0</v>
      </c>
      <c r="D16" s="4">
        <f>IFERROR(VLOOKUP(A:A,MASTER!A:D,4,0),0)</f>
        <v>0</v>
      </c>
      <c r="E16" s="8">
        <f t="shared" si="0"/>
        <v>0</v>
      </c>
      <c r="F16" s="4">
        <f>IFERROR(VLOOKUP(A16,MASTER!A:E,5,0),0)</f>
        <v>0</v>
      </c>
      <c r="G16" s="4">
        <f>IFERROR(VLOOKUP(A16,MASTER!A:F,6,0),0)</f>
        <v>0</v>
      </c>
      <c r="H16" s="8">
        <f t="shared" si="1"/>
        <v>0</v>
      </c>
      <c r="I16" s="4">
        <f>IFERROR(VLOOKUP(A16,MASTER!A:O,15,0),0)</f>
        <v>0</v>
      </c>
      <c r="J16" s="4">
        <f>IFERROR(VLOOKUP(A16,MASTER!A:P,16,0),0)</f>
        <v>0</v>
      </c>
      <c r="K16" s="8">
        <f t="shared" si="2"/>
        <v>0</v>
      </c>
      <c r="L16" s="4">
        <f>IFERROR(VLOOKUP(A16,MASTER!A:S,19,0),0)</f>
        <v>0</v>
      </c>
      <c r="M16" s="4">
        <f>IFERROR(VLOOKUP(A16,MASTER!A:T,20,0),0)</f>
        <v>0</v>
      </c>
      <c r="N16" s="8">
        <f t="shared" si="3"/>
        <v>0</v>
      </c>
      <c r="O16" s="4">
        <f>IFERROR(VLOOKUP(A16,MASTER!A:U,21,0),0)</f>
        <v>0</v>
      </c>
      <c r="P16" s="4">
        <f>IFERROR(VLOOKUP(A16,MASTER!A:V,22,0),0)</f>
        <v>0</v>
      </c>
      <c r="Q16" s="8">
        <f t="shared" si="4"/>
        <v>0</v>
      </c>
      <c r="R16" s="4">
        <f>IFERROR(VLOOKUP(A16,MASTER!A:W,23,0),0)</f>
        <v>0</v>
      </c>
      <c r="S16" s="4">
        <f>IFERROR(VLOOKUP(A16,MASTER!A:X,24,0),0)</f>
        <v>0</v>
      </c>
      <c r="T16" s="8">
        <f t="shared" si="5"/>
        <v>0</v>
      </c>
      <c r="U16" s="11">
        <f>IFERROR(VLOOKUP(A16,MASTER!A:M,13,0),0)</f>
        <v>0</v>
      </c>
      <c r="V16" s="11">
        <f>IFERROR(VLOOKUP(A16,MASTER!A:N,14,0),0)</f>
        <v>0</v>
      </c>
      <c r="W16" s="8">
        <f t="shared" si="6"/>
        <v>0</v>
      </c>
      <c r="X16" s="11">
        <f>IFERROR(VLOOKUP(A16,MASTER!A:Q,17,0),0)</f>
        <v>0</v>
      </c>
      <c r="Y16" s="11">
        <f>IFERROR(VLOOKUP(A16,MASTER!A:R,18,0),0)</f>
        <v>0</v>
      </c>
      <c r="Z16" s="8">
        <f t="shared" si="7"/>
        <v>0</v>
      </c>
    </row>
    <row r="17" spans="1:26" ht="64.5" customHeight="1">
      <c r="A17" s="9" t="s">
        <v>10</v>
      </c>
      <c r="B17" s="1" t="s">
        <v>17</v>
      </c>
      <c r="C17" s="4">
        <f>IFERROR(VLOOKUP(A:A,MASTER!A:C,3,0),0)</f>
        <v>199419094.83854869</v>
      </c>
      <c r="D17" s="4">
        <f>IFERROR(VLOOKUP(A:A,MASTER!A:D,4,0),0)</f>
        <v>189909293.8427375</v>
      </c>
      <c r="E17" s="8">
        <f t="shared" si="0"/>
        <v>5.0075490268981726E-2</v>
      </c>
      <c r="F17" s="4">
        <f>IFERROR(VLOOKUP(A17,MASTER!A:E,5,0),0)</f>
        <v>0</v>
      </c>
      <c r="G17" s="4">
        <f>IFERROR(VLOOKUP(A17,MASTER!A:F,6,0),0)</f>
        <v>0</v>
      </c>
      <c r="H17" s="8">
        <f t="shared" si="1"/>
        <v>0</v>
      </c>
      <c r="I17" s="4">
        <f>IFERROR(VLOOKUP(A17,MASTER!A:O,15,0),0)</f>
        <v>0</v>
      </c>
      <c r="J17" s="4">
        <f>IFERROR(VLOOKUP(A17,MASTER!A:P,16,0),0)</f>
        <v>0</v>
      </c>
      <c r="K17" s="8">
        <f t="shared" si="2"/>
        <v>0</v>
      </c>
      <c r="L17" s="4">
        <f>IFERROR(VLOOKUP(A17,MASTER!A:S,19,0),0)</f>
        <v>115081801.8018018</v>
      </c>
      <c r="M17" s="4">
        <f>IFERROR(VLOOKUP(A17,MASTER!A:T,20,0),0)</f>
        <v>113579340.54054055</v>
      </c>
      <c r="N17" s="8">
        <f t="shared" si="3"/>
        <v>1.3228297101487207E-2</v>
      </c>
      <c r="O17" s="4">
        <f>IFERROR(VLOOKUP(A17,MASTER!A:U,21,0),0)</f>
        <v>0</v>
      </c>
      <c r="P17" s="4">
        <f>IFERROR(VLOOKUP(A17,MASTER!A:V,22,0),0)</f>
        <v>19639.639639640001</v>
      </c>
      <c r="Q17" s="8">
        <f t="shared" si="4"/>
        <v>-1</v>
      </c>
      <c r="R17" s="4">
        <f>IFERROR(VLOOKUP(A17,MASTER!A:W,23,0),0)</f>
        <v>3777</v>
      </c>
      <c r="S17" s="4">
        <f>IFERROR(VLOOKUP(A17,MASTER!A:X,24,0),0)</f>
        <v>3719</v>
      </c>
      <c r="T17" s="8">
        <f t="shared" si="5"/>
        <v>1.5595590212422739E-2</v>
      </c>
      <c r="U17" s="11">
        <f>IFERROR(VLOOKUP(A17,MASTER!A:M,13,0),0)</f>
        <v>15</v>
      </c>
      <c r="V17" s="11">
        <f>IFERROR(VLOOKUP(A17,MASTER!A:N,14,0),0)</f>
        <v>30</v>
      </c>
      <c r="W17" s="8">
        <f t="shared" si="6"/>
        <v>-0.5</v>
      </c>
      <c r="X17" s="11">
        <f>IFERROR(VLOOKUP(A17,MASTER!A:Q,17,0),0)</f>
        <v>0</v>
      </c>
      <c r="Y17" s="11">
        <f>IFERROR(VLOOKUP(A17,MASTER!A:R,18,0),0)</f>
        <v>0</v>
      </c>
      <c r="Z17" s="8">
        <f t="shared" si="7"/>
        <v>0</v>
      </c>
    </row>
    <row r="18" spans="1:26" ht="64.5" customHeight="1">
      <c r="A18" s="9" t="s">
        <v>11</v>
      </c>
      <c r="B18" s="1" t="s">
        <v>17</v>
      </c>
      <c r="C18" s="4">
        <f>IFERROR(VLOOKUP(A:A,MASTER!A:C,3,0),0)</f>
        <v>155593304.53925359</v>
      </c>
      <c r="D18" s="4">
        <f>IFERROR(VLOOKUP(A:A,MASTER!A:D,4,0),0)</f>
        <v>166439726.21087494</v>
      </c>
      <c r="E18" s="8">
        <f t="shared" si="0"/>
        <v>-6.5167264562062566E-2</v>
      </c>
      <c r="F18" s="4">
        <f>IFERROR(VLOOKUP(A18,MASTER!A:E,5,0),0)</f>
        <v>343243.24324324197</v>
      </c>
      <c r="G18" s="4">
        <f>IFERROR(VLOOKUP(A18,MASTER!A:F,6,0),0)</f>
        <v>586486.48648648802</v>
      </c>
      <c r="H18" s="8">
        <f t="shared" si="1"/>
        <v>-0.41474654377880549</v>
      </c>
      <c r="I18" s="4">
        <f>IFERROR(VLOOKUP(A18,MASTER!A:O,15,0),0)</f>
        <v>5127027.0270270258</v>
      </c>
      <c r="J18" s="4">
        <f>IFERROR(VLOOKUP(A18,MASTER!A:P,16,0),0)</f>
        <v>14505405.405405408</v>
      </c>
      <c r="K18" s="8">
        <f t="shared" si="2"/>
        <v>-0.64654369293832703</v>
      </c>
      <c r="L18" s="4">
        <f>IFERROR(VLOOKUP(A18,MASTER!A:S,19,0),0)</f>
        <v>51854909.909909911</v>
      </c>
      <c r="M18" s="4">
        <f>IFERROR(VLOOKUP(A18,MASTER!A:T,20,0),0)</f>
        <v>56073227.477477483</v>
      </c>
      <c r="N18" s="8">
        <f t="shared" si="3"/>
        <v>-7.5228727814212415E-2</v>
      </c>
      <c r="O18" s="4">
        <f>IFERROR(VLOOKUP(A18,MASTER!A:U,21,0),0)</f>
        <v>5627567.5675675664</v>
      </c>
      <c r="P18" s="4">
        <f>IFERROR(VLOOKUP(A18,MASTER!A:V,22,0),0)</f>
        <v>15209639.63963964</v>
      </c>
      <c r="Q18" s="8">
        <f t="shared" si="4"/>
        <v>-0.62999994076776833</v>
      </c>
      <c r="R18" s="4">
        <f>IFERROR(VLOOKUP(A18,MASTER!A:W,23,0),0)</f>
        <v>3805</v>
      </c>
      <c r="S18" s="4">
        <f>IFERROR(VLOOKUP(A18,MASTER!A:X,24,0),0)</f>
        <v>4094</v>
      </c>
      <c r="T18" s="8">
        <f t="shared" si="5"/>
        <v>-7.0591108939912051E-2</v>
      </c>
      <c r="U18" s="11">
        <f>IFERROR(VLOOKUP(A18,MASTER!A:M,13,0),0)</f>
        <v>53</v>
      </c>
      <c r="V18" s="11">
        <f>IFERROR(VLOOKUP(A18,MASTER!A:N,14,0),0)</f>
        <v>41</v>
      </c>
      <c r="W18" s="8">
        <f t="shared" si="6"/>
        <v>0.29268292682926833</v>
      </c>
      <c r="X18" s="11">
        <f>IFERROR(VLOOKUP(A18,MASTER!A:Q,17,0),0)</f>
        <v>44</v>
      </c>
      <c r="Y18" s="11">
        <f>IFERROR(VLOOKUP(A18,MASTER!A:R,18,0),0)</f>
        <v>0</v>
      </c>
      <c r="Z18" s="8">
        <f t="shared" si="7"/>
        <v>0</v>
      </c>
    </row>
    <row r="19" spans="1:26" ht="64.5" customHeight="1">
      <c r="A19" s="9" t="s">
        <v>12</v>
      </c>
      <c r="B19" s="1" t="s">
        <v>17</v>
      </c>
      <c r="C19" s="4">
        <f>IFERROR(VLOOKUP(A:A,MASTER!A:C,3,0),0)</f>
        <v>109905903.32686886</v>
      </c>
      <c r="D19" s="4">
        <f>IFERROR(VLOOKUP(A:A,MASTER!A:D,4,0),0)</f>
        <v>112357529.49476807</v>
      </c>
      <c r="E19" s="8">
        <f t="shared" si="0"/>
        <v>-2.1819865379056447E-2</v>
      </c>
      <c r="F19" s="4">
        <f>IFERROR(VLOOKUP(A19,MASTER!A:E,5,0),0)</f>
        <v>57318243.24324324</v>
      </c>
      <c r="G19" s="4">
        <f>IFERROR(VLOOKUP(A19,MASTER!A:F,6,0),0)</f>
        <v>95999099.0990991</v>
      </c>
      <c r="H19" s="8">
        <f t="shared" si="1"/>
        <v>-0.4029293630758547</v>
      </c>
      <c r="I19" s="4">
        <f>IFERROR(VLOOKUP(A19,MASTER!A:O,15,0),0)</f>
        <v>13038513.513513513</v>
      </c>
      <c r="J19" s="4">
        <f>IFERROR(VLOOKUP(A19,MASTER!A:P,16,0),0)</f>
        <v>22190765.765765764</v>
      </c>
      <c r="K19" s="8">
        <f t="shared" si="2"/>
        <v>-0.41243517005490882</v>
      </c>
      <c r="L19" s="4">
        <f>IFERROR(VLOOKUP(A19,MASTER!A:S,19,0),0)</f>
        <v>42772648.648648649</v>
      </c>
      <c r="M19" s="4">
        <f>IFERROR(VLOOKUP(A19,MASTER!A:T,20,0),0)</f>
        <v>44983306.306306303</v>
      </c>
      <c r="N19" s="8">
        <f t="shared" si="3"/>
        <v>-4.9143956707062619E-2</v>
      </c>
      <c r="O19" s="4">
        <f>IFERROR(VLOOKUP(A19,MASTER!A:U,21,0),0)</f>
        <v>6307117.1171171153</v>
      </c>
      <c r="P19" s="4">
        <f>IFERROR(VLOOKUP(A19,MASTER!A:V,22,0),0)</f>
        <v>23661441.441441439</v>
      </c>
      <c r="Q19" s="8">
        <f t="shared" si="4"/>
        <v>-0.73344324213187539</v>
      </c>
      <c r="R19" s="4">
        <f>IFERROR(VLOOKUP(A19,MASTER!A:W,23,0),0)</f>
        <v>2844</v>
      </c>
      <c r="S19" s="4">
        <f>IFERROR(VLOOKUP(A19,MASTER!A:X,24,0),0)</f>
        <v>3094</v>
      </c>
      <c r="T19" s="8">
        <f t="shared" si="5"/>
        <v>-8.080155138978673E-2</v>
      </c>
      <c r="U19" s="11">
        <f>IFERROR(VLOOKUP(A19,MASTER!A:M,13,0),0)</f>
        <v>40</v>
      </c>
      <c r="V19" s="11">
        <f>IFERROR(VLOOKUP(A19,MASTER!A:N,14,0),0)</f>
        <v>20</v>
      </c>
      <c r="W19" s="8">
        <f t="shared" si="6"/>
        <v>1</v>
      </c>
      <c r="X19" s="11">
        <f>IFERROR(VLOOKUP(A19,MASTER!A:Q,17,0),0)</f>
        <v>70</v>
      </c>
      <c r="Y19" s="11">
        <f>IFERROR(VLOOKUP(A19,MASTER!A:R,18,0),0)</f>
        <v>0</v>
      </c>
      <c r="Z19" s="8">
        <f t="shared" si="7"/>
        <v>0</v>
      </c>
    </row>
    <row r="20" spans="1:26" ht="64.5" customHeight="1">
      <c r="A20" s="9" t="s">
        <v>36</v>
      </c>
      <c r="B20" s="1" t="s">
        <v>16</v>
      </c>
      <c r="C20" s="4">
        <f>IFERROR(VLOOKUP(A:A,MASTER!A:C,3,0),0)</f>
        <v>0</v>
      </c>
      <c r="D20" s="4">
        <f>IFERROR(VLOOKUP(A:A,MASTER!A:D,4,0),0)</f>
        <v>0</v>
      </c>
      <c r="E20" s="8">
        <f t="shared" si="0"/>
        <v>0</v>
      </c>
      <c r="F20" s="4">
        <f>IFERROR(VLOOKUP(A20,MASTER!A:E,5,0),0)</f>
        <v>0</v>
      </c>
      <c r="G20" s="4">
        <f>IFERROR(VLOOKUP(A20,MASTER!A:F,6,0),0)</f>
        <v>0</v>
      </c>
      <c r="H20" s="8">
        <f t="shared" si="1"/>
        <v>0</v>
      </c>
      <c r="I20" s="4">
        <f>IFERROR(VLOOKUP(A20,MASTER!A:O,15,0),0)</f>
        <v>0</v>
      </c>
      <c r="J20" s="4">
        <f>IFERROR(VLOOKUP(A20,MASTER!A:P,16,0),0)</f>
        <v>0</v>
      </c>
      <c r="K20" s="8">
        <f t="shared" si="2"/>
        <v>0</v>
      </c>
      <c r="L20" s="4">
        <f>IFERROR(VLOOKUP(A20,MASTER!A:S,19,0),0)</f>
        <v>0</v>
      </c>
      <c r="M20" s="4">
        <f>IFERROR(VLOOKUP(A20,MASTER!A:T,20,0),0)</f>
        <v>0</v>
      </c>
      <c r="N20" s="8">
        <f t="shared" si="3"/>
        <v>0</v>
      </c>
      <c r="O20" s="4">
        <f>IFERROR(VLOOKUP(A20,MASTER!A:U,21,0),0)</f>
        <v>0</v>
      </c>
      <c r="P20" s="4">
        <f>IFERROR(VLOOKUP(A20,MASTER!A:V,22,0),0)</f>
        <v>0</v>
      </c>
      <c r="Q20" s="8">
        <f t="shared" si="4"/>
        <v>0</v>
      </c>
      <c r="R20" s="4">
        <f>IFERROR(VLOOKUP(A20,MASTER!A:W,23,0),0)</f>
        <v>0</v>
      </c>
      <c r="S20" s="4">
        <f>IFERROR(VLOOKUP(A20,MASTER!A:X,24,0),0)</f>
        <v>0</v>
      </c>
      <c r="T20" s="8">
        <f t="shared" si="5"/>
        <v>0</v>
      </c>
      <c r="U20" s="11">
        <f>IFERROR(VLOOKUP(A20,MASTER!A:M,13,0),0)</f>
        <v>0</v>
      </c>
      <c r="V20" s="11">
        <f>IFERROR(VLOOKUP(A20,MASTER!A:N,14,0),0)</f>
        <v>0</v>
      </c>
      <c r="W20" s="8">
        <f t="shared" si="6"/>
        <v>0</v>
      </c>
      <c r="X20" s="11">
        <f>IFERROR(VLOOKUP(A20,MASTER!A:Q,17,0),0)</f>
        <v>0</v>
      </c>
      <c r="Y20" s="11">
        <f>IFERROR(VLOOKUP(A20,MASTER!A:R,18,0),0)</f>
        <v>0</v>
      </c>
      <c r="Z20" s="8">
        <f t="shared" si="7"/>
        <v>0</v>
      </c>
    </row>
    <row r="21" spans="1:26" ht="64.5" customHeight="1">
      <c r="A21" s="9" t="s">
        <v>13</v>
      </c>
      <c r="B21" s="1" t="s">
        <v>16</v>
      </c>
      <c r="C21" s="4">
        <f>IFERROR(VLOOKUP(A:A,MASTER!A:C,3,0),0)</f>
        <v>395190549.57460684</v>
      </c>
      <c r="D21" s="4">
        <f>IFERROR(VLOOKUP(A:A,MASTER!A:D,4,0),0)</f>
        <v>380229499.64957148</v>
      </c>
      <c r="E21" s="8">
        <f t="shared" si="0"/>
        <v>3.9347420278604828E-2</v>
      </c>
      <c r="F21" s="4">
        <f>IFERROR(VLOOKUP(A21,MASTER!A:E,5,0),0)</f>
        <v>1363963.9639639689</v>
      </c>
      <c r="G21" s="4">
        <f>IFERROR(VLOOKUP(A21,MASTER!A:F,6,0),0)</f>
        <v>4042342.342342352</v>
      </c>
      <c r="H21" s="8">
        <f t="shared" si="1"/>
        <v>-0.66258078894584316</v>
      </c>
      <c r="I21" s="4">
        <f>IFERROR(VLOOKUP(A21,MASTER!A:O,15,0),0)</f>
        <v>70768108.108108118</v>
      </c>
      <c r="J21" s="4">
        <f>IFERROR(VLOOKUP(A21,MASTER!A:P,16,0),0)</f>
        <v>86551396.396396399</v>
      </c>
      <c r="K21" s="8">
        <f t="shared" si="2"/>
        <v>-0.18235740779966692</v>
      </c>
      <c r="L21" s="4">
        <f>IFERROR(VLOOKUP(A21,MASTER!A:S,19,0),0)</f>
        <v>234629509.00900903</v>
      </c>
      <c r="M21" s="4">
        <f>IFERROR(VLOOKUP(A21,MASTER!A:T,20,0),0)</f>
        <v>219722927.92792794</v>
      </c>
      <c r="N21" s="8">
        <f t="shared" si="3"/>
        <v>6.7842628994870591E-2</v>
      </c>
      <c r="O21" s="4">
        <f>IFERROR(VLOOKUP(A21,MASTER!A:U,21,0),0)</f>
        <v>76571801.801801801</v>
      </c>
      <c r="P21" s="4">
        <f>IFERROR(VLOOKUP(A21,MASTER!A:V,22,0),0)</f>
        <v>82289007.207207218</v>
      </c>
      <c r="Q21" s="8">
        <f t="shared" si="4"/>
        <v>-6.9477146455409922E-2</v>
      </c>
      <c r="R21" s="4">
        <f>IFERROR(VLOOKUP(A21,MASTER!A:W,23,0),0)</f>
        <v>7358</v>
      </c>
      <c r="S21" s="4">
        <f>IFERROR(VLOOKUP(A21,MASTER!A:X,24,0),0)</f>
        <v>7127</v>
      </c>
      <c r="T21" s="8">
        <f t="shared" si="5"/>
        <v>3.2411954539076859E-2</v>
      </c>
      <c r="U21" s="11">
        <f>IFERROR(VLOOKUP(A21,MASTER!A:M,13,0),0)</f>
        <v>550</v>
      </c>
      <c r="V21" s="11">
        <f>IFERROR(VLOOKUP(A21,MASTER!A:N,14,0),0)</f>
        <v>317</v>
      </c>
      <c r="W21" s="8">
        <f t="shared" si="6"/>
        <v>0.73501577287066255</v>
      </c>
      <c r="X21" s="11">
        <f>IFERROR(VLOOKUP(A21,MASTER!A:Q,17,0),0)</f>
        <v>430</v>
      </c>
      <c r="Y21" s="11">
        <f>IFERROR(VLOOKUP(A21,MASTER!A:R,18,0),0)</f>
        <v>269</v>
      </c>
      <c r="Z21" s="8">
        <f t="shared" si="7"/>
        <v>0.5985130111524164</v>
      </c>
    </row>
    <row r="22" spans="1:26" ht="64.5" customHeight="1">
      <c r="A22" s="9" t="s">
        <v>14</v>
      </c>
      <c r="B22" s="1" t="s">
        <v>16</v>
      </c>
      <c r="C22" s="4">
        <f>IFERROR(VLOOKUP(A:A,MASTER!A:C,3,0),0)</f>
        <v>208581906.10644227</v>
      </c>
      <c r="D22" s="4">
        <f>IFERROR(VLOOKUP(A:A,MASTER!A:D,4,0),0)</f>
        <v>193879675.17056084</v>
      </c>
      <c r="E22" s="8">
        <f t="shared" si="0"/>
        <v>7.5831728740764159E-2</v>
      </c>
      <c r="F22" s="4">
        <f>IFERROR(VLOOKUP(A22,MASTER!A:E,5,0),0)</f>
        <v>118018.018018022</v>
      </c>
      <c r="G22" s="4">
        <f>IFERROR(VLOOKUP(A22,MASTER!A:F,6,0),0)</f>
        <v>933333.33333333698</v>
      </c>
      <c r="H22" s="8">
        <f t="shared" si="1"/>
        <v>-0.87355212355211975</v>
      </c>
      <c r="I22" s="4">
        <f>IFERROR(VLOOKUP(A22,MASTER!A:O,15,0),0)</f>
        <v>25018738.738738742</v>
      </c>
      <c r="J22" s="4">
        <f>IFERROR(VLOOKUP(A22,MASTER!A:P,16,0),0)</f>
        <v>36453153.153153151</v>
      </c>
      <c r="K22" s="8">
        <f t="shared" si="2"/>
        <v>-0.31367422089316155</v>
      </c>
      <c r="L22" s="4">
        <f>IFERROR(VLOOKUP(A22,MASTER!A:S,19,0),0)</f>
        <v>69474270.270270273</v>
      </c>
      <c r="M22" s="4">
        <f>IFERROR(VLOOKUP(A22,MASTER!A:T,20,0),0)</f>
        <v>65305000</v>
      </c>
      <c r="N22" s="8">
        <f t="shared" si="3"/>
        <v>6.3843048315906481E-2</v>
      </c>
      <c r="O22" s="4">
        <f>IFERROR(VLOOKUP(A22,MASTER!A:U,21,0),0)</f>
        <v>25355045.045045048</v>
      </c>
      <c r="P22" s="4">
        <f>IFERROR(VLOOKUP(A22,MASTER!A:V,22,0),0)</f>
        <v>40746306.306306303</v>
      </c>
      <c r="Q22" s="8">
        <f t="shared" si="4"/>
        <v>-0.37773390170777643</v>
      </c>
      <c r="R22" s="4">
        <f>IFERROR(VLOOKUP(A22,MASTER!A:W,23,0),0)</f>
        <v>4075</v>
      </c>
      <c r="S22" s="4">
        <f>IFERROR(VLOOKUP(A22,MASTER!A:X,24,0),0)</f>
        <v>4037</v>
      </c>
      <c r="T22" s="8">
        <f t="shared" si="5"/>
        <v>9.4129303938568221E-3</v>
      </c>
      <c r="U22" s="11">
        <f>IFERROR(VLOOKUP(A22,MASTER!A:M,13,0),0)</f>
        <v>20</v>
      </c>
      <c r="V22" s="11">
        <f>IFERROR(VLOOKUP(A22,MASTER!A:N,14,0),0)</f>
        <v>31</v>
      </c>
      <c r="W22" s="8">
        <f t="shared" si="6"/>
        <v>-0.35483870967741937</v>
      </c>
      <c r="X22" s="11">
        <f>IFERROR(VLOOKUP(A22,MASTER!A:Q,17,0),0)</f>
        <v>202</v>
      </c>
      <c r="Y22" s="11">
        <f>IFERROR(VLOOKUP(A22,MASTER!A:R,18,0),0)</f>
        <v>43</v>
      </c>
      <c r="Z22" s="8">
        <f t="shared" si="7"/>
        <v>3.6976744186046515</v>
      </c>
    </row>
  </sheetData>
  <autoFilter ref="A5:T22"/>
  <conditionalFormatting sqref="E6:E22">
    <cfRule type="cellIs" dxfId="8" priority="14" operator="lessThan">
      <formula>0</formula>
    </cfRule>
  </conditionalFormatting>
  <conditionalFormatting sqref="H6:H22">
    <cfRule type="cellIs" dxfId="7" priority="8" operator="lessThan">
      <formula>0</formula>
    </cfRule>
  </conditionalFormatting>
  <conditionalFormatting sqref="K6:K22">
    <cfRule type="cellIs" dxfId="6" priority="7" operator="lessThan">
      <formula>0</formula>
    </cfRule>
  </conditionalFormatting>
  <conditionalFormatting sqref="N6:N22">
    <cfRule type="cellIs" dxfId="5" priority="6" operator="lessThan">
      <formula>0</formula>
    </cfRule>
  </conditionalFormatting>
  <conditionalFormatting sqref="Q6:Q22">
    <cfRule type="cellIs" dxfId="4" priority="5" operator="lessThan">
      <formula>0</formula>
    </cfRule>
  </conditionalFormatting>
  <conditionalFormatting sqref="T6:T22">
    <cfRule type="cellIs" dxfId="3" priority="4" operator="lessThan">
      <formula>0</formula>
    </cfRule>
  </conditionalFormatting>
  <conditionalFormatting sqref="W6:W22">
    <cfRule type="cellIs" dxfId="2" priority="3" operator="lessThan">
      <formula>0</formula>
    </cfRule>
  </conditionalFormatting>
  <conditionalFormatting sqref="Z7:Z22">
    <cfRule type="cellIs" dxfId="1" priority="2" operator="lessThan">
      <formula>0</formula>
    </cfRule>
  </conditionalFormatting>
  <conditionalFormatting sqref="Z6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76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3" sqref="A3:X567"/>
    </sheetView>
  </sheetViews>
  <sheetFormatPr defaultRowHeight="14.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10.453125" customWidth="1"/>
    <col min="11" max="12" width="11.36328125" bestFit="1" customWidth="1"/>
    <col min="13" max="18" width="11.81640625" bestFit="1" customWidth="1"/>
  </cols>
  <sheetData>
    <row r="1" spans="1:24">
      <c r="L1" s="7"/>
      <c r="M1" s="7"/>
    </row>
    <row r="2" spans="1:24">
      <c r="A2" s="7" t="s">
        <v>37</v>
      </c>
      <c r="B2" s="10" t="s">
        <v>669</v>
      </c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670</v>
      </c>
      <c r="J2" s="7" t="s">
        <v>670</v>
      </c>
      <c r="K2" s="7" t="s">
        <v>664</v>
      </c>
      <c r="L2" s="7" t="s">
        <v>664</v>
      </c>
      <c r="M2" s="7" t="s">
        <v>41</v>
      </c>
      <c r="N2" s="7" t="s">
        <v>41</v>
      </c>
      <c r="O2" s="7" t="s">
        <v>42</v>
      </c>
      <c r="P2" s="7" t="s">
        <v>42</v>
      </c>
      <c r="Q2" s="7" t="s">
        <v>671</v>
      </c>
      <c r="R2" s="7" t="s">
        <v>671</v>
      </c>
      <c r="S2" s="7" t="s">
        <v>43</v>
      </c>
      <c r="T2" s="7" t="s">
        <v>43</v>
      </c>
      <c r="U2" s="7" t="s">
        <v>44</v>
      </c>
      <c r="V2" s="7" t="s">
        <v>44</v>
      </c>
      <c r="W2" s="7" t="s">
        <v>30</v>
      </c>
      <c r="X2" s="7" t="s">
        <v>30</v>
      </c>
    </row>
    <row r="3" spans="1:24">
      <c r="A3" s="15" t="s">
        <v>45</v>
      </c>
      <c r="B3" s="15" t="s">
        <v>46</v>
      </c>
      <c r="C3" s="15" t="s">
        <v>31</v>
      </c>
      <c r="D3" s="15" t="s">
        <v>32</v>
      </c>
      <c r="E3" s="15" t="s">
        <v>31</v>
      </c>
      <c r="F3" s="15" t="s">
        <v>32</v>
      </c>
      <c r="G3" s="15" t="s">
        <v>31</v>
      </c>
      <c r="H3" s="15" t="s">
        <v>32</v>
      </c>
      <c r="I3" s="15" t="s">
        <v>31</v>
      </c>
      <c r="J3" s="15" t="s">
        <v>32</v>
      </c>
      <c r="K3" s="15" t="s">
        <v>31</v>
      </c>
      <c r="L3" s="15" t="s">
        <v>32</v>
      </c>
      <c r="M3" s="15" t="s">
        <v>31</v>
      </c>
      <c r="N3" s="15" t="s">
        <v>32</v>
      </c>
      <c r="O3" s="15" t="s">
        <v>31</v>
      </c>
      <c r="P3" s="15" t="s">
        <v>32</v>
      </c>
      <c r="Q3" s="15" t="s">
        <v>31</v>
      </c>
      <c r="R3" s="15" t="s">
        <v>32</v>
      </c>
      <c r="S3" s="15" t="s">
        <v>31</v>
      </c>
      <c r="T3" s="15" t="s">
        <v>32</v>
      </c>
      <c r="U3" s="15" t="s">
        <v>31</v>
      </c>
      <c r="V3" s="15" t="s">
        <v>32</v>
      </c>
      <c r="W3" s="15" t="s">
        <v>31</v>
      </c>
      <c r="X3" s="15" t="s">
        <v>32</v>
      </c>
    </row>
    <row r="4" spans="1:24">
      <c r="A4" s="7" t="s">
        <v>47</v>
      </c>
      <c r="B4" s="16" t="s">
        <v>48</v>
      </c>
      <c r="C4">
        <v>547213965.15809095</v>
      </c>
      <c r="D4">
        <v>604084060.93860722</v>
      </c>
      <c r="E4">
        <v>1678153.1531531541</v>
      </c>
      <c r="F4">
        <v>3008783.7837837851</v>
      </c>
      <c r="G4">
        <v>57</v>
      </c>
      <c r="H4">
        <v>65</v>
      </c>
      <c r="I4">
        <v>10</v>
      </c>
      <c r="J4">
        <v>8</v>
      </c>
      <c r="M4">
        <v>100</v>
      </c>
      <c r="N4">
        <v>184</v>
      </c>
      <c r="O4">
        <v>12949909.909909908</v>
      </c>
      <c r="P4">
        <v>35296396.396396399</v>
      </c>
      <c r="R4">
        <v>23</v>
      </c>
      <c r="S4">
        <v>70309729.729729727</v>
      </c>
      <c r="T4">
        <v>76926142.342342332</v>
      </c>
      <c r="U4">
        <v>11029009.009009004</v>
      </c>
      <c r="V4">
        <v>33325135.135135137</v>
      </c>
      <c r="W4">
        <v>8575</v>
      </c>
      <c r="X4">
        <v>8437</v>
      </c>
    </row>
    <row r="5" spans="1:24">
      <c r="A5" s="7" t="s">
        <v>49</v>
      </c>
      <c r="B5" s="16" t="s">
        <v>50</v>
      </c>
      <c r="C5">
        <v>950126463.33265173</v>
      </c>
      <c r="D5">
        <v>904216516.60766554</v>
      </c>
      <c r="E5">
        <v>6003333.3333333479</v>
      </c>
      <c r="F5">
        <v>14119819.81981983</v>
      </c>
      <c r="G5">
        <v>751</v>
      </c>
      <c r="H5">
        <v>537</v>
      </c>
      <c r="I5">
        <v>47</v>
      </c>
      <c r="J5">
        <v>25</v>
      </c>
      <c r="K5">
        <v>11</v>
      </c>
      <c r="M5">
        <v>812</v>
      </c>
      <c r="N5">
        <v>1205</v>
      </c>
      <c r="O5">
        <v>259249099.0990991</v>
      </c>
      <c r="P5">
        <v>243441801.8018018</v>
      </c>
      <c r="Q5">
        <v>378</v>
      </c>
      <c r="R5">
        <v>790</v>
      </c>
      <c r="S5">
        <v>295534509.009009</v>
      </c>
      <c r="T5">
        <v>290566229.72972971</v>
      </c>
      <c r="U5">
        <v>252915945.94594595</v>
      </c>
      <c r="V5">
        <v>234879279.27927929</v>
      </c>
      <c r="W5">
        <v>20957</v>
      </c>
      <c r="X5">
        <v>19829</v>
      </c>
    </row>
    <row r="6" spans="1:24">
      <c r="A6" s="7" t="s">
        <v>51</v>
      </c>
      <c r="B6" s="16" t="s">
        <v>52</v>
      </c>
      <c r="C6">
        <v>220325692.35913625</v>
      </c>
      <c r="D6">
        <v>229226228.82455239</v>
      </c>
      <c r="E6">
        <v>1955630.630630631</v>
      </c>
      <c r="F6">
        <v>5829729.7297297306</v>
      </c>
      <c r="G6">
        <v>127</v>
      </c>
      <c r="H6">
        <v>113</v>
      </c>
      <c r="I6">
        <v>7</v>
      </c>
      <c r="J6">
        <v>15</v>
      </c>
      <c r="M6">
        <v>128</v>
      </c>
      <c r="N6">
        <v>160</v>
      </c>
      <c r="O6">
        <v>56998648.648648649</v>
      </c>
      <c r="P6">
        <v>68985135.135135129</v>
      </c>
      <c r="Q6">
        <v>311</v>
      </c>
      <c r="R6">
        <v>281</v>
      </c>
      <c r="S6">
        <v>78198045.045045033</v>
      </c>
      <c r="T6">
        <v>76892648.648648635</v>
      </c>
      <c r="U6">
        <v>19599819.819819819</v>
      </c>
      <c r="V6">
        <v>56639729.729729734</v>
      </c>
      <c r="W6">
        <v>4527</v>
      </c>
      <c r="X6">
        <v>4477</v>
      </c>
    </row>
    <row r="7" spans="1:24">
      <c r="A7" s="7" t="s">
        <v>53</v>
      </c>
      <c r="B7" s="16" t="s">
        <v>54</v>
      </c>
      <c r="C7">
        <v>125480761.69107543</v>
      </c>
      <c r="D7">
        <v>124156661.44729474</v>
      </c>
      <c r="E7">
        <v>1051801.801801804</v>
      </c>
      <c r="F7">
        <v>2462162.162162167</v>
      </c>
      <c r="G7">
        <v>34</v>
      </c>
      <c r="H7">
        <v>30</v>
      </c>
      <c r="I7">
        <v>4</v>
      </c>
      <c r="J7">
        <v>7</v>
      </c>
      <c r="M7">
        <v>38</v>
      </c>
      <c r="N7">
        <v>74</v>
      </c>
      <c r="O7">
        <v>15330630.630630627</v>
      </c>
      <c r="P7">
        <v>13325855.85585586</v>
      </c>
      <c r="Q7">
        <v>149</v>
      </c>
      <c r="R7">
        <v>92</v>
      </c>
      <c r="S7">
        <v>41124153.153153151</v>
      </c>
      <c r="T7">
        <v>39477263.513513513</v>
      </c>
      <c r="U7">
        <v>15216306.306306306</v>
      </c>
      <c r="V7">
        <v>14325045.045045044</v>
      </c>
      <c r="W7">
        <v>3683</v>
      </c>
      <c r="X7">
        <v>3796</v>
      </c>
    </row>
    <row r="8" spans="1:24">
      <c r="A8" s="7" t="s">
        <v>55</v>
      </c>
      <c r="B8" s="16" t="s">
        <v>54</v>
      </c>
      <c r="C8">
        <v>204827625.94269967</v>
      </c>
      <c r="D8">
        <v>203170528.7917248</v>
      </c>
      <c r="E8">
        <v>865315.31531531794</v>
      </c>
      <c r="F8">
        <v>3874774.7747747758</v>
      </c>
      <c r="G8">
        <v>74</v>
      </c>
      <c r="H8">
        <v>102</v>
      </c>
      <c r="I8">
        <v>8</v>
      </c>
      <c r="J8">
        <v>19</v>
      </c>
      <c r="M8">
        <v>92</v>
      </c>
      <c r="N8">
        <v>551</v>
      </c>
      <c r="O8">
        <v>58300450.45045045</v>
      </c>
      <c r="P8">
        <v>80656036.036036029</v>
      </c>
      <c r="Q8">
        <v>195</v>
      </c>
      <c r="R8">
        <v>162</v>
      </c>
      <c r="S8">
        <v>52727414.414414413</v>
      </c>
      <c r="T8">
        <v>59084585.585585587</v>
      </c>
      <c r="U8">
        <v>47552072.072072074</v>
      </c>
      <c r="V8">
        <v>61514234.234234229</v>
      </c>
      <c r="W8">
        <v>4324</v>
      </c>
      <c r="X8">
        <v>4330</v>
      </c>
    </row>
    <row r="9" spans="1:24">
      <c r="A9" s="7" t="s">
        <v>56</v>
      </c>
      <c r="B9" s="16" t="s">
        <v>54</v>
      </c>
      <c r="C9">
        <v>103200107.35615526</v>
      </c>
      <c r="D9">
        <v>99957378.391962394</v>
      </c>
      <c r="E9">
        <v>826306.30630630802</v>
      </c>
      <c r="F9">
        <v>1698198.198198199</v>
      </c>
      <c r="G9">
        <v>21</v>
      </c>
      <c r="H9">
        <v>25</v>
      </c>
      <c r="I9">
        <v>3</v>
      </c>
      <c r="J9">
        <v>4</v>
      </c>
      <c r="M9">
        <v>24</v>
      </c>
      <c r="N9">
        <v>31</v>
      </c>
      <c r="O9">
        <v>7583963.9639639631</v>
      </c>
      <c r="P9">
        <v>10816756.756756756</v>
      </c>
      <c r="Q9">
        <v>66</v>
      </c>
      <c r="R9">
        <v>61</v>
      </c>
      <c r="S9">
        <v>31155628.828828827</v>
      </c>
      <c r="T9">
        <v>29489612.612612613</v>
      </c>
      <c r="U9">
        <v>7270090.0900900885</v>
      </c>
      <c r="V9">
        <v>9227477.4774774779</v>
      </c>
      <c r="W9">
        <v>2087</v>
      </c>
      <c r="X9">
        <v>2075</v>
      </c>
    </row>
    <row r="10" spans="1:24">
      <c r="A10" s="7" t="s">
        <v>57</v>
      </c>
      <c r="B10" s="16" t="s">
        <v>58</v>
      </c>
      <c r="C10">
        <v>264310422.31093502</v>
      </c>
      <c r="D10">
        <v>265691319.86153394</v>
      </c>
      <c r="E10">
        <v>1813513.5135135141</v>
      </c>
      <c r="F10">
        <v>1095495.4954954961</v>
      </c>
      <c r="G10">
        <v>68</v>
      </c>
      <c r="H10">
        <v>88</v>
      </c>
      <c r="I10">
        <v>1</v>
      </c>
      <c r="J10">
        <v>3</v>
      </c>
      <c r="M10">
        <v>80</v>
      </c>
      <c r="N10">
        <v>97</v>
      </c>
      <c r="O10">
        <v>6146846.8468468469</v>
      </c>
      <c r="P10">
        <v>4527927.9279279271</v>
      </c>
      <c r="Q10">
        <v>10</v>
      </c>
      <c r="S10">
        <v>47386396.396396399</v>
      </c>
      <c r="T10">
        <v>49568142.342342347</v>
      </c>
      <c r="U10">
        <v>5329099.0990990996</v>
      </c>
      <c r="V10">
        <v>4180360.3603603612</v>
      </c>
      <c r="W10">
        <v>5578</v>
      </c>
      <c r="X10">
        <v>5544</v>
      </c>
    </row>
    <row r="11" spans="1:24">
      <c r="A11" s="7" t="s">
        <v>59</v>
      </c>
      <c r="B11" s="16" t="s">
        <v>60</v>
      </c>
      <c r="C11">
        <v>114103541.80779564</v>
      </c>
      <c r="D11">
        <v>115532613.43105024</v>
      </c>
      <c r="E11">
        <v>223963.963963966</v>
      </c>
      <c r="F11">
        <v>1091891.8918918951</v>
      </c>
      <c r="G11">
        <v>30</v>
      </c>
      <c r="H11">
        <v>44</v>
      </c>
      <c r="I11">
        <v>8</v>
      </c>
      <c r="J11">
        <v>10</v>
      </c>
      <c r="M11">
        <v>38</v>
      </c>
      <c r="N11">
        <v>136</v>
      </c>
      <c r="O11">
        <v>14611351.351351349</v>
      </c>
      <c r="P11">
        <v>17575379.27927928</v>
      </c>
      <c r="Q11">
        <v>87</v>
      </c>
      <c r="R11">
        <v>66</v>
      </c>
      <c r="S11">
        <v>53037783.783783786</v>
      </c>
      <c r="T11">
        <v>53604288.288288288</v>
      </c>
      <c r="U11">
        <v>10090000</v>
      </c>
      <c r="V11">
        <v>11697747.747747747</v>
      </c>
      <c r="W11">
        <v>3125</v>
      </c>
      <c r="X11">
        <v>2964</v>
      </c>
    </row>
    <row r="12" spans="1:24">
      <c r="A12" s="7" t="s">
        <v>61</v>
      </c>
      <c r="B12" s="16" t="s">
        <v>62</v>
      </c>
      <c r="C12">
        <v>533695890.50230694</v>
      </c>
      <c r="D12">
        <v>526174991.68318838</v>
      </c>
      <c r="E12">
        <v>218918.918918924</v>
      </c>
      <c r="F12">
        <v>5307657.6576576652</v>
      </c>
      <c r="G12">
        <v>36</v>
      </c>
      <c r="H12">
        <v>75</v>
      </c>
      <c r="I12">
        <v>9</v>
      </c>
      <c r="J12">
        <v>14</v>
      </c>
      <c r="M12">
        <v>41</v>
      </c>
      <c r="N12">
        <v>78</v>
      </c>
      <c r="O12">
        <v>16795855.855855856</v>
      </c>
      <c r="P12">
        <v>70642342.342342347</v>
      </c>
      <c r="Q12">
        <v>157</v>
      </c>
      <c r="R12">
        <v>156</v>
      </c>
      <c r="S12">
        <v>58205540.540540546</v>
      </c>
      <c r="T12">
        <v>55647619.819819823</v>
      </c>
      <c r="U12">
        <v>15739189.189189188</v>
      </c>
      <c r="V12">
        <v>68855135.135135129</v>
      </c>
      <c r="W12">
        <v>9315</v>
      </c>
      <c r="X12">
        <v>8773</v>
      </c>
    </row>
    <row r="13" spans="1:24">
      <c r="A13" s="7" t="s">
        <v>63</v>
      </c>
      <c r="B13" s="16" t="s">
        <v>50</v>
      </c>
      <c r="C13">
        <v>275879987.73775148</v>
      </c>
      <c r="D13">
        <v>278810494.82726836</v>
      </c>
      <c r="E13">
        <v>406366779.27927929</v>
      </c>
      <c r="F13">
        <v>633838468.46846843</v>
      </c>
      <c r="G13">
        <v>49</v>
      </c>
      <c r="H13">
        <v>83</v>
      </c>
      <c r="I13">
        <v>22</v>
      </c>
      <c r="J13">
        <v>23</v>
      </c>
      <c r="K13">
        <v>2</v>
      </c>
      <c r="M13">
        <v>54</v>
      </c>
      <c r="N13">
        <v>121</v>
      </c>
      <c r="O13">
        <v>118595413.51351352</v>
      </c>
      <c r="P13">
        <v>85895585.585585579</v>
      </c>
      <c r="Q13">
        <v>85</v>
      </c>
      <c r="R13">
        <v>223</v>
      </c>
      <c r="S13">
        <v>107715288.2882883</v>
      </c>
      <c r="T13">
        <v>108707261.26126127</v>
      </c>
      <c r="U13">
        <v>97565628.828828827</v>
      </c>
      <c r="V13">
        <v>83506936.93693693</v>
      </c>
      <c r="W13">
        <v>5353</v>
      </c>
      <c r="X13">
        <v>5645</v>
      </c>
    </row>
    <row r="14" spans="1:24">
      <c r="A14" s="7" t="s">
        <v>64</v>
      </c>
      <c r="B14" s="16" t="s">
        <v>50</v>
      </c>
      <c r="C14">
        <v>288322725.26269776</v>
      </c>
      <c r="D14">
        <v>285942512.98018724</v>
      </c>
      <c r="E14">
        <v>2189639.639639643</v>
      </c>
      <c r="F14">
        <v>3872072.0720720729</v>
      </c>
      <c r="G14">
        <v>43</v>
      </c>
      <c r="H14">
        <v>66</v>
      </c>
      <c r="I14">
        <v>13</v>
      </c>
      <c r="J14">
        <v>13</v>
      </c>
      <c r="K14">
        <v>1</v>
      </c>
      <c r="M14">
        <v>47</v>
      </c>
      <c r="N14">
        <v>85</v>
      </c>
      <c r="O14">
        <v>71213775.675675675</v>
      </c>
      <c r="P14">
        <v>31433603.603603605</v>
      </c>
      <c r="Q14">
        <v>234</v>
      </c>
      <c r="R14">
        <v>106</v>
      </c>
      <c r="S14">
        <v>109757945.94594595</v>
      </c>
      <c r="T14">
        <v>108830360.36036037</v>
      </c>
      <c r="U14">
        <v>69036846.846846849</v>
      </c>
      <c r="V14">
        <v>30959099.099099096</v>
      </c>
      <c r="W14">
        <v>5417</v>
      </c>
      <c r="X14">
        <v>5561</v>
      </c>
    </row>
    <row r="15" spans="1:24">
      <c r="A15" s="7" t="s">
        <v>65</v>
      </c>
      <c r="B15" s="16" t="s">
        <v>66</v>
      </c>
      <c r="C15">
        <v>294769398.85764879</v>
      </c>
      <c r="D15">
        <v>290110864.33562189</v>
      </c>
      <c r="E15">
        <v>1624414.414414417</v>
      </c>
      <c r="F15">
        <v>4939639.639639644</v>
      </c>
      <c r="G15">
        <v>126</v>
      </c>
      <c r="H15">
        <v>58</v>
      </c>
      <c r="I15">
        <v>13</v>
      </c>
      <c r="J15">
        <v>10</v>
      </c>
      <c r="M15">
        <v>139</v>
      </c>
      <c r="N15">
        <v>88</v>
      </c>
      <c r="O15">
        <v>70423423.423423424</v>
      </c>
      <c r="P15">
        <v>98201171.171171173</v>
      </c>
      <c r="Q15">
        <v>408</v>
      </c>
      <c r="R15">
        <v>12</v>
      </c>
      <c r="S15">
        <v>147086207.2072072</v>
      </c>
      <c r="T15">
        <v>147176288.2882883</v>
      </c>
      <c r="U15">
        <v>67113783.783783779</v>
      </c>
      <c r="V15">
        <v>88511711.711711705</v>
      </c>
      <c r="W15">
        <v>5440</v>
      </c>
      <c r="X15">
        <v>6349</v>
      </c>
    </row>
    <row r="16" spans="1:24">
      <c r="A16" s="7" t="s">
        <v>67</v>
      </c>
      <c r="B16" s="16" t="s">
        <v>68</v>
      </c>
      <c r="C16">
        <v>177427919.08793879</v>
      </c>
      <c r="D16">
        <v>168861396.49466598</v>
      </c>
      <c r="E16">
        <v>117185116.21621622</v>
      </c>
      <c r="F16">
        <v>107071580.18018018</v>
      </c>
      <c r="G16">
        <v>78</v>
      </c>
      <c r="H16">
        <v>56</v>
      </c>
      <c r="I16">
        <v>7</v>
      </c>
      <c r="J16">
        <v>4</v>
      </c>
      <c r="M16">
        <v>86</v>
      </c>
      <c r="N16">
        <v>75</v>
      </c>
      <c r="O16">
        <v>24735720.72072072</v>
      </c>
      <c r="P16">
        <v>28845585.585585587</v>
      </c>
      <c r="Q16">
        <v>102</v>
      </c>
      <c r="R16">
        <v>90</v>
      </c>
      <c r="S16">
        <v>47885315.315315314</v>
      </c>
      <c r="T16">
        <v>46353378.378378376</v>
      </c>
      <c r="U16">
        <v>23504234.234234232</v>
      </c>
      <c r="V16">
        <v>21673693.693693697</v>
      </c>
      <c r="W16">
        <v>3471</v>
      </c>
      <c r="X16">
        <v>3316</v>
      </c>
    </row>
    <row r="17" spans="1:24">
      <c r="A17" s="7" t="s">
        <v>69</v>
      </c>
      <c r="B17" s="16" t="s">
        <v>70</v>
      </c>
      <c r="C17">
        <v>12868275.578520428</v>
      </c>
      <c r="D17">
        <v>13203296.86427425</v>
      </c>
      <c r="E17">
        <v>25675.675675676001</v>
      </c>
      <c r="F17">
        <v>116216.216216217</v>
      </c>
      <c r="G17">
        <v>3</v>
      </c>
      <c r="H17">
        <v>4</v>
      </c>
      <c r="I17">
        <v>0</v>
      </c>
      <c r="J17">
        <v>2</v>
      </c>
      <c r="M17">
        <v>3</v>
      </c>
      <c r="N17">
        <v>4</v>
      </c>
      <c r="O17">
        <v>302702.70270270301</v>
      </c>
      <c r="P17">
        <v>404504.50450450502</v>
      </c>
      <c r="Q17">
        <v>2</v>
      </c>
      <c r="R17">
        <v>4</v>
      </c>
      <c r="S17">
        <v>2737027.0270270272</v>
      </c>
      <c r="T17">
        <v>3808617.1171171172</v>
      </c>
      <c r="U17">
        <v>298828.828828828</v>
      </c>
      <c r="V17">
        <v>404054.05405405402</v>
      </c>
      <c r="W17">
        <v>396</v>
      </c>
      <c r="X17">
        <v>394</v>
      </c>
    </row>
    <row r="18" spans="1:24">
      <c r="A18" s="7" t="s">
        <v>71</v>
      </c>
      <c r="B18" s="16" t="s">
        <v>72</v>
      </c>
      <c r="C18">
        <v>2317597935.9761643</v>
      </c>
      <c r="D18">
        <v>2240627577.7202888</v>
      </c>
      <c r="E18">
        <v>481097145.94594598</v>
      </c>
      <c r="F18">
        <v>527049590.99099106</v>
      </c>
      <c r="G18">
        <v>748</v>
      </c>
      <c r="H18">
        <v>695</v>
      </c>
      <c r="I18">
        <v>128</v>
      </c>
      <c r="J18">
        <v>142</v>
      </c>
      <c r="K18">
        <v>28</v>
      </c>
      <c r="M18">
        <v>1028</v>
      </c>
      <c r="N18">
        <v>1159</v>
      </c>
      <c r="O18">
        <v>257818385.58558556</v>
      </c>
      <c r="P18">
        <v>242671628.82882884</v>
      </c>
      <c r="Q18">
        <v>646</v>
      </c>
      <c r="R18">
        <v>1757</v>
      </c>
      <c r="S18">
        <v>450967454.05405408</v>
      </c>
      <c r="T18">
        <v>462255162.16216218</v>
      </c>
      <c r="U18">
        <v>229230900.9009009</v>
      </c>
      <c r="V18">
        <v>210815448.64864865</v>
      </c>
      <c r="W18">
        <v>45573</v>
      </c>
      <c r="X18">
        <v>45129</v>
      </c>
    </row>
    <row r="19" spans="1:24">
      <c r="A19" s="7" t="s">
        <v>73</v>
      </c>
      <c r="B19" s="16" t="s">
        <v>72</v>
      </c>
      <c r="C19">
        <v>238950823.63336676</v>
      </c>
      <c r="D19">
        <v>211483914.05541873</v>
      </c>
      <c r="E19">
        <v>3603.603603604</v>
      </c>
      <c r="F19">
        <v>254954.95495495599</v>
      </c>
      <c r="G19">
        <v>51</v>
      </c>
      <c r="H19">
        <v>47</v>
      </c>
      <c r="I19">
        <v>4</v>
      </c>
      <c r="J19">
        <v>1</v>
      </c>
      <c r="K19">
        <v>1</v>
      </c>
      <c r="M19">
        <v>55</v>
      </c>
      <c r="N19">
        <v>64</v>
      </c>
      <c r="O19">
        <v>3886486.4864864862</v>
      </c>
      <c r="P19">
        <v>5795495.4954954963</v>
      </c>
      <c r="Q19">
        <v>22</v>
      </c>
      <c r="R19">
        <v>20</v>
      </c>
      <c r="S19">
        <v>31117342.342342343</v>
      </c>
      <c r="T19">
        <v>31389702.702702705</v>
      </c>
      <c r="U19">
        <v>4221171.1711711707</v>
      </c>
      <c r="V19">
        <v>5666486.4864864871</v>
      </c>
      <c r="W19">
        <v>3897</v>
      </c>
      <c r="X19">
        <v>3536</v>
      </c>
    </row>
    <row r="20" spans="1:24">
      <c r="A20" s="7" t="s">
        <v>74</v>
      </c>
      <c r="B20" s="16" t="s">
        <v>70</v>
      </c>
      <c r="C20">
        <v>232713095.04429629</v>
      </c>
      <c r="D20">
        <v>232480226.24559847</v>
      </c>
      <c r="E20">
        <v>1739729.729729732</v>
      </c>
      <c r="F20">
        <v>6176576.5765765803</v>
      </c>
      <c r="G20">
        <v>54</v>
      </c>
      <c r="H20">
        <v>69</v>
      </c>
      <c r="I20">
        <v>10</v>
      </c>
      <c r="J20">
        <v>22</v>
      </c>
      <c r="M20">
        <v>62</v>
      </c>
      <c r="N20">
        <v>135</v>
      </c>
      <c r="O20">
        <v>43019459.459459461</v>
      </c>
      <c r="P20">
        <v>53069369.369369373</v>
      </c>
      <c r="Q20">
        <v>105</v>
      </c>
      <c r="R20">
        <v>290</v>
      </c>
      <c r="S20">
        <v>81750927.927927941</v>
      </c>
      <c r="T20">
        <v>84756864.864864871</v>
      </c>
      <c r="U20">
        <v>59935225.225225225</v>
      </c>
      <c r="V20">
        <v>50412972.972972974</v>
      </c>
      <c r="W20">
        <v>4399</v>
      </c>
      <c r="X20">
        <v>4396</v>
      </c>
    </row>
    <row r="21" spans="1:24">
      <c r="A21" s="7" t="s">
        <v>75</v>
      </c>
      <c r="B21" s="16" t="s">
        <v>76</v>
      </c>
      <c r="C21">
        <v>67285660.678426787</v>
      </c>
      <c r="D21">
        <v>66402077.708940014</v>
      </c>
      <c r="E21">
        <v>79279.279279280003</v>
      </c>
      <c r="F21">
        <v>584684.68468468497</v>
      </c>
      <c r="G21">
        <v>16</v>
      </c>
      <c r="H21">
        <v>20</v>
      </c>
      <c r="I21">
        <v>1</v>
      </c>
      <c r="J21">
        <v>3</v>
      </c>
      <c r="M21">
        <v>16</v>
      </c>
      <c r="N21">
        <v>22</v>
      </c>
      <c r="O21">
        <v>7339639.6396396402</v>
      </c>
      <c r="P21">
        <v>8553513.5135135148</v>
      </c>
      <c r="Q21">
        <v>15</v>
      </c>
      <c r="R21">
        <v>8</v>
      </c>
      <c r="S21">
        <v>16668108.108108109</v>
      </c>
      <c r="T21">
        <v>16637351.351351352</v>
      </c>
      <c r="U21">
        <v>6376486.4864864871</v>
      </c>
      <c r="V21">
        <v>6069099.0990990996</v>
      </c>
      <c r="W21">
        <v>1448</v>
      </c>
      <c r="X21">
        <v>1843</v>
      </c>
    </row>
    <row r="22" spans="1:24">
      <c r="A22" s="7" t="s">
        <v>77</v>
      </c>
      <c r="B22" s="16" t="s">
        <v>78</v>
      </c>
      <c r="C22">
        <v>153099168.94209248</v>
      </c>
      <c r="D22">
        <v>144407240.40655684</v>
      </c>
      <c r="E22">
        <v>607297.297297296</v>
      </c>
      <c r="F22">
        <v>2171171.1711711702</v>
      </c>
      <c r="G22">
        <v>37</v>
      </c>
      <c r="H22">
        <v>25</v>
      </c>
      <c r="I22">
        <v>4</v>
      </c>
      <c r="J22">
        <v>5</v>
      </c>
      <c r="K22">
        <v>1</v>
      </c>
      <c r="M22">
        <v>40</v>
      </c>
      <c r="N22">
        <v>37</v>
      </c>
      <c r="O22">
        <v>17155045.045045044</v>
      </c>
      <c r="P22">
        <v>17527927.927927926</v>
      </c>
      <c r="Q22">
        <v>94</v>
      </c>
      <c r="R22">
        <v>59</v>
      </c>
      <c r="S22">
        <v>48091693.693693697</v>
      </c>
      <c r="T22">
        <v>47299063.063063063</v>
      </c>
      <c r="U22">
        <v>15813873.873873876</v>
      </c>
      <c r="V22">
        <v>17105585.585585583</v>
      </c>
      <c r="W22">
        <v>2418</v>
      </c>
      <c r="X22">
        <v>2526</v>
      </c>
    </row>
    <row r="23" spans="1:24">
      <c r="A23" s="7" t="s">
        <v>79</v>
      </c>
      <c r="B23" s="16" t="s">
        <v>80</v>
      </c>
      <c r="C23">
        <v>1378906761.4641881</v>
      </c>
      <c r="D23">
        <v>1333396714.7952487</v>
      </c>
      <c r="E23">
        <v>4143918.9189189239</v>
      </c>
      <c r="F23">
        <v>8112612.6126126274</v>
      </c>
      <c r="G23">
        <v>466</v>
      </c>
      <c r="H23">
        <v>881</v>
      </c>
      <c r="I23">
        <v>49</v>
      </c>
      <c r="J23">
        <v>37</v>
      </c>
      <c r="K23">
        <v>4</v>
      </c>
      <c r="M23">
        <v>548</v>
      </c>
      <c r="N23">
        <v>1125</v>
      </c>
      <c r="O23">
        <v>444828198.1981982</v>
      </c>
      <c r="P23">
        <v>184092792.7927928</v>
      </c>
      <c r="Q23">
        <v>305</v>
      </c>
      <c r="R23">
        <v>468</v>
      </c>
      <c r="S23">
        <v>339499680.18018013</v>
      </c>
      <c r="T23">
        <v>348396988.73873878</v>
      </c>
      <c r="U23">
        <v>116400450.45045045</v>
      </c>
      <c r="V23">
        <v>171301441.44144145</v>
      </c>
      <c r="W23">
        <v>25837</v>
      </c>
      <c r="X23">
        <v>26314</v>
      </c>
    </row>
    <row r="24" spans="1:24">
      <c r="A24" s="7" t="s">
        <v>81</v>
      </c>
      <c r="B24" s="16" t="s">
        <v>54</v>
      </c>
      <c r="C24">
        <v>41148913.876382522</v>
      </c>
      <c r="D24">
        <v>41697789.300667472</v>
      </c>
      <c r="E24">
        <v>143243.24324324401</v>
      </c>
      <c r="F24">
        <v>445045.04504504701</v>
      </c>
      <c r="G24">
        <v>13</v>
      </c>
      <c r="H24">
        <v>12</v>
      </c>
      <c r="I24">
        <v>0</v>
      </c>
      <c r="J24">
        <v>4</v>
      </c>
      <c r="M24">
        <v>16</v>
      </c>
      <c r="N24">
        <v>18</v>
      </c>
      <c r="O24">
        <v>3774324.3243243219</v>
      </c>
      <c r="P24">
        <v>3132252.2522522518</v>
      </c>
      <c r="Q24">
        <v>51</v>
      </c>
      <c r="R24">
        <v>30</v>
      </c>
      <c r="S24">
        <v>9467747.7477477472</v>
      </c>
      <c r="T24">
        <v>9889081.0810810812</v>
      </c>
      <c r="U24">
        <v>3659549.5495495489</v>
      </c>
      <c r="V24">
        <v>2713063.0630630632</v>
      </c>
      <c r="W24">
        <v>1384</v>
      </c>
      <c r="X24">
        <v>1340</v>
      </c>
    </row>
    <row r="25" spans="1:24">
      <c r="A25" s="7" t="s">
        <v>82</v>
      </c>
      <c r="B25" s="16" t="s">
        <v>83</v>
      </c>
      <c r="C25">
        <v>958774475.62201977</v>
      </c>
      <c r="D25">
        <v>958115325.11430454</v>
      </c>
      <c r="E25">
        <v>7796261.2612612611</v>
      </c>
      <c r="F25">
        <v>10762387.387387387</v>
      </c>
      <c r="G25">
        <v>177</v>
      </c>
      <c r="H25">
        <v>187</v>
      </c>
      <c r="I25">
        <v>17</v>
      </c>
      <c r="J25">
        <v>25</v>
      </c>
      <c r="K25">
        <v>1</v>
      </c>
      <c r="M25">
        <v>212</v>
      </c>
      <c r="N25">
        <v>225</v>
      </c>
      <c r="O25">
        <v>166809774.77477479</v>
      </c>
      <c r="P25">
        <v>189288738.73873875</v>
      </c>
      <c r="Q25">
        <v>378</v>
      </c>
      <c r="R25">
        <v>559</v>
      </c>
      <c r="S25">
        <v>275577509.9099099</v>
      </c>
      <c r="T25">
        <v>284905300.45045048</v>
      </c>
      <c r="U25">
        <v>150662117.11711711</v>
      </c>
      <c r="V25">
        <v>144869729.72972974</v>
      </c>
      <c r="W25">
        <v>15342</v>
      </c>
      <c r="X25">
        <v>14929</v>
      </c>
    </row>
    <row r="26" spans="1:24">
      <c r="A26" s="7" t="s">
        <v>84</v>
      </c>
      <c r="B26" s="16" t="s">
        <v>85</v>
      </c>
      <c r="C26">
        <v>95052242.048484534</v>
      </c>
      <c r="D26">
        <v>89602247.634494662</v>
      </c>
      <c r="E26">
        <v>331081.08108108299</v>
      </c>
      <c r="F26">
        <v>1783558.558558559</v>
      </c>
      <c r="G26">
        <v>46</v>
      </c>
      <c r="H26">
        <v>50</v>
      </c>
      <c r="I26">
        <v>13</v>
      </c>
      <c r="J26">
        <v>11</v>
      </c>
      <c r="M26">
        <v>51</v>
      </c>
      <c r="N26">
        <v>59</v>
      </c>
      <c r="O26">
        <v>117003153.15315315</v>
      </c>
      <c r="P26">
        <v>206373423.42342341</v>
      </c>
      <c r="Q26">
        <v>270</v>
      </c>
      <c r="R26">
        <v>297</v>
      </c>
      <c r="S26">
        <v>32158738.738738742</v>
      </c>
      <c r="T26">
        <v>31951918.918918919</v>
      </c>
      <c r="U26">
        <v>94456396.396396399</v>
      </c>
      <c r="V26">
        <v>182931891.8918919</v>
      </c>
      <c r="W26">
        <v>2018</v>
      </c>
      <c r="X26">
        <v>2283</v>
      </c>
    </row>
    <row r="27" spans="1:24">
      <c r="A27" s="7" t="s">
        <v>86</v>
      </c>
      <c r="B27" s="16" t="s">
        <v>87</v>
      </c>
      <c r="C27">
        <v>3892377.3658024981</v>
      </c>
      <c r="D27">
        <v>3414975.7639042209</v>
      </c>
      <c r="G27">
        <v>3</v>
      </c>
      <c r="H27">
        <v>3</v>
      </c>
      <c r="M27">
        <v>4</v>
      </c>
      <c r="N27">
        <v>3</v>
      </c>
      <c r="O27">
        <v>135135.135135135</v>
      </c>
      <c r="P27">
        <v>1081081.0810810809</v>
      </c>
      <c r="S27">
        <v>1072792.792792792</v>
      </c>
      <c r="T27">
        <v>1651135.1351351361</v>
      </c>
      <c r="W27">
        <v>158</v>
      </c>
      <c r="X27">
        <v>181</v>
      </c>
    </row>
    <row r="28" spans="1:24">
      <c r="A28" s="7" t="s">
        <v>88</v>
      </c>
      <c r="B28" s="16" t="s">
        <v>89</v>
      </c>
      <c r="C28">
        <v>194879756.89463133</v>
      </c>
      <c r="D28">
        <v>196023120.50789225</v>
      </c>
      <c r="E28">
        <v>571846.84684684803</v>
      </c>
      <c r="F28">
        <v>3459459.4594594641</v>
      </c>
      <c r="G28">
        <v>21</v>
      </c>
      <c r="H28">
        <v>30</v>
      </c>
      <c r="I28">
        <v>16</v>
      </c>
      <c r="J28">
        <v>27</v>
      </c>
      <c r="K28">
        <v>1</v>
      </c>
      <c r="M28">
        <v>22</v>
      </c>
      <c r="N28">
        <v>33</v>
      </c>
      <c r="O28">
        <v>16861801.801801801</v>
      </c>
      <c r="P28">
        <v>33626306.306306303</v>
      </c>
      <c r="Q28">
        <v>112</v>
      </c>
      <c r="R28">
        <v>192</v>
      </c>
      <c r="S28">
        <v>69016108.108108118</v>
      </c>
      <c r="T28">
        <v>70113153.153153151</v>
      </c>
      <c r="U28">
        <v>14983693.69369369</v>
      </c>
      <c r="V28">
        <v>27277027.027027026</v>
      </c>
      <c r="W28">
        <v>3277</v>
      </c>
      <c r="X28">
        <v>3485</v>
      </c>
    </row>
    <row r="29" spans="1:24">
      <c r="A29" s="7" t="s">
        <v>90</v>
      </c>
      <c r="B29" s="16" t="s">
        <v>60</v>
      </c>
      <c r="C29">
        <v>61604307.1037421</v>
      </c>
      <c r="D29">
        <v>70010970.542686567</v>
      </c>
      <c r="E29">
        <v>66666.666666667006</v>
      </c>
      <c r="F29">
        <v>122522.522522524</v>
      </c>
      <c r="G29">
        <v>45</v>
      </c>
      <c r="H29">
        <v>17</v>
      </c>
      <c r="I29">
        <v>2</v>
      </c>
      <c r="J29">
        <v>0</v>
      </c>
      <c r="M29">
        <v>119</v>
      </c>
      <c r="N29">
        <v>150</v>
      </c>
      <c r="O29">
        <v>6372972.9729729732</v>
      </c>
      <c r="P29">
        <v>4600000</v>
      </c>
      <c r="Q29">
        <v>88</v>
      </c>
      <c r="R29">
        <v>36</v>
      </c>
      <c r="S29">
        <v>37704144.144144148</v>
      </c>
      <c r="T29">
        <v>41454576.576576576</v>
      </c>
      <c r="U29">
        <v>5670270.2702702703</v>
      </c>
      <c r="V29">
        <v>4002972.9729729728</v>
      </c>
      <c r="W29">
        <v>1616</v>
      </c>
      <c r="X29">
        <v>1595</v>
      </c>
    </row>
    <row r="30" spans="1:24">
      <c r="A30" s="7" t="s">
        <v>91</v>
      </c>
      <c r="B30" s="16" t="s">
        <v>92</v>
      </c>
      <c r="C30">
        <v>59119660.827891491</v>
      </c>
      <c r="D30">
        <v>58285444.49593056</v>
      </c>
      <c r="E30">
        <v>44905079.279279277</v>
      </c>
      <c r="F30">
        <v>136759827.92792794</v>
      </c>
      <c r="G30">
        <v>19</v>
      </c>
      <c r="H30">
        <v>13</v>
      </c>
      <c r="I30">
        <v>4</v>
      </c>
      <c r="J30">
        <v>2</v>
      </c>
      <c r="M30">
        <v>20</v>
      </c>
      <c r="N30">
        <v>19</v>
      </c>
      <c r="O30">
        <v>27595135.135135137</v>
      </c>
      <c r="P30">
        <v>25544684.684684683</v>
      </c>
      <c r="Q30">
        <v>89</v>
      </c>
      <c r="R30">
        <v>2</v>
      </c>
      <c r="S30">
        <v>19887747.747747749</v>
      </c>
      <c r="T30">
        <v>18906135.135135137</v>
      </c>
      <c r="U30">
        <v>21808648.648648649</v>
      </c>
      <c r="V30">
        <v>16771711.711711712</v>
      </c>
      <c r="W30">
        <v>1079</v>
      </c>
      <c r="X30">
        <v>1069</v>
      </c>
    </row>
    <row r="31" spans="1:24">
      <c r="A31" s="7" t="s">
        <v>93</v>
      </c>
      <c r="B31" s="16" t="s">
        <v>94</v>
      </c>
      <c r="C31">
        <v>254713952.63951406</v>
      </c>
      <c r="D31">
        <v>247982944.7276046</v>
      </c>
      <c r="E31">
        <v>594594.59459459502</v>
      </c>
      <c r="F31">
        <v>520270.27027027099</v>
      </c>
      <c r="G31">
        <v>64</v>
      </c>
      <c r="H31">
        <v>43</v>
      </c>
      <c r="I31">
        <v>9</v>
      </c>
      <c r="J31">
        <v>6</v>
      </c>
      <c r="M31">
        <v>68</v>
      </c>
      <c r="N31">
        <v>53</v>
      </c>
      <c r="O31">
        <v>32272972.972972974</v>
      </c>
      <c r="P31">
        <v>32556306.306306303</v>
      </c>
      <c r="Q31">
        <v>143</v>
      </c>
      <c r="R31">
        <v>126</v>
      </c>
      <c r="S31">
        <v>36766432.432432435</v>
      </c>
      <c r="T31">
        <v>36567097.297297299</v>
      </c>
      <c r="U31">
        <v>29778288.288288288</v>
      </c>
      <c r="V31">
        <v>27394144.144144144</v>
      </c>
      <c r="W31">
        <v>4406</v>
      </c>
      <c r="X31">
        <v>4483</v>
      </c>
    </row>
    <row r="32" spans="1:24">
      <c r="A32" s="7" t="s">
        <v>95</v>
      </c>
      <c r="B32" s="16" t="s">
        <v>96</v>
      </c>
      <c r="C32">
        <v>265119715.5338496</v>
      </c>
      <c r="D32">
        <v>265573709.8803255</v>
      </c>
      <c r="E32">
        <v>234234.234234234</v>
      </c>
      <c r="F32">
        <v>1704504.5045045039</v>
      </c>
      <c r="G32">
        <v>74</v>
      </c>
      <c r="H32">
        <v>62</v>
      </c>
      <c r="I32">
        <v>5</v>
      </c>
      <c r="J32">
        <v>6</v>
      </c>
      <c r="K32">
        <v>1</v>
      </c>
      <c r="M32">
        <v>82</v>
      </c>
      <c r="N32">
        <v>69</v>
      </c>
      <c r="O32">
        <v>39709279.279279277</v>
      </c>
      <c r="P32">
        <v>54238738.738738738</v>
      </c>
      <c r="Q32">
        <v>190</v>
      </c>
      <c r="R32">
        <v>96</v>
      </c>
      <c r="S32">
        <v>130079180.18018018</v>
      </c>
      <c r="T32">
        <v>133382018.01801802</v>
      </c>
      <c r="U32">
        <v>44883153.153153151</v>
      </c>
      <c r="V32">
        <v>48236306.306306303</v>
      </c>
      <c r="W32">
        <v>6216</v>
      </c>
      <c r="X32">
        <v>6021</v>
      </c>
    </row>
    <row r="33" spans="1:24">
      <c r="A33" s="7" t="s">
        <v>97</v>
      </c>
      <c r="B33" s="16" t="s">
        <v>98</v>
      </c>
      <c r="C33">
        <v>922073385.75585902</v>
      </c>
      <c r="D33">
        <v>921128027.98253322</v>
      </c>
      <c r="E33">
        <v>3125990.9909909968</v>
      </c>
      <c r="F33">
        <v>9917117.11711712</v>
      </c>
      <c r="G33">
        <v>421</v>
      </c>
      <c r="H33">
        <v>371</v>
      </c>
      <c r="I33">
        <v>37</v>
      </c>
      <c r="J33">
        <v>40</v>
      </c>
      <c r="M33">
        <v>485</v>
      </c>
      <c r="N33">
        <v>479</v>
      </c>
      <c r="O33">
        <v>139325585.58558559</v>
      </c>
      <c r="P33">
        <v>172121171.17117116</v>
      </c>
      <c r="Q33">
        <v>754</v>
      </c>
      <c r="R33">
        <v>1186</v>
      </c>
      <c r="S33">
        <v>244282682.88288289</v>
      </c>
      <c r="T33">
        <v>238838750.9009009</v>
      </c>
      <c r="U33">
        <v>137303333.33333331</v>
      </c>
      <c r="V33">
        <v>120986666.66666667</v>
      </c>
      <c r="W33">
        <v>22331</v>
      </c>
      <c r="X33">
        <v>22410</v>
      </c>
    </row>
    <row r="34" spans="1:24">
      <c r="A34" s="7" t="s">
        <v>99</v>
      </c>
      <c r="B34" s="16" t="s">
        <v>98</v>
      </c>
      <c r="C34">
        <v>1524365342.7723911</v>
      </c>
      <c r="D34">
        <v>1484539925.0351224</v>
      </c>
      <c r="E34">
        <v>164852551.35135135</v>
      </c>
      <c r="F34">
        <v>185631819.81981984</v>
      </c>
      <c r="G34">
        <v>439</v>
      </c>
      <c r="H34">
        <v>445</v>
      </c>
      <c r="I34">
        <v>34</v>
      </c>
      <c r="J34">
        <v>39</v>
      </c>
      <c r="K34">
        <v>14</v>
      </c>
      <c r="M34">
        <v>550</v>
      </c>
      <c r="N34">
        <v>766</v>
      </c>
      <c r="O34">
        <v>91407387.387387395</v>
      </c>
      <c r="P34">
        <v>103924324.32432432</v>
      </c>
      <c r="Q34">
        <v>461</v>
      </c>
      <c r="R34">
        <v>435</v>
      </c>
      <c r="S34">
        <v>292388779.27927929</v>
      </c>
      <c r="T34">
        <v>286792995.94594598</v>
      </c>
      <c r="U34">
        <v>84912207.207207203</v>
      </c>
      <c r="V34">
        <v>79791351.351351351</v>
      </c>
      <c r="W34">
        <v>28604</v>
      </c>
      <c r="X34">
        <v>27357</v>
      </c>
    </row>
    <row r="35" spans="1:24">
      <c r="A35" s="7" t="s">
        <v>100</v>
      </c>
      <c r="B35" s="16" t="s">
        <v>98</v>
      </c>
      <c r="C35">
        <v>2271076907.701179</v>
      </c>
      <c r="D35">
        <v>1972069715.6499624</v>
      </c>
      <c r="E35">
        <v>7102432.4324324392</v>
      </c>
      <c r="F35">
        <v>15927027.027027031</v>
      </c>
      <c r="G35">
        <v>385</v>
      </c>
      <c r="H35">
        <v>407</v>
      </c>
      <c r="I35">
        <v>43</v>
      </c>
      <c r="J35">
        <v>71</v>
      </c>
      <c r="K35">
        <v>20</v>
      </c>
      <c r="M35">
        <v>594</v>
      </c>
      <c r="N35">
        <v>1073</v>
      </c>
      <c r="O35">
        <v>1070399504.5045044</v>
      </c>
      <c r="P35">
        <v>733855990.990991</v>
      </c>
      <c r="Q35">
        <v>1128</v>
      </c>
      <c r="R35">
        <v>1039</v>
      </c>
      <c r="S35">
        <v>1100020800</v>
      </c>
      <c r="T35">
        <v>887574407.65765762</v>
      </c>
      <c r="U35">
        <v>656080088.28828824</v>
      </c>
      <c r="V35">
        <v>181527522.52252254</v>
      </c>
      <c r="W35">
        <v>33030</v>
      </c>
      <c r="X35">
        <v>33028</v>
      </c>
    </row>
    <row r="36" spans="1:24">
      <c r="A36" s="7" t="s">
        <v>101</v>
      </c>
      <c r="B36" s="16" t="s">
        <v>98</v>
      </c>
      <c r="C36">
        <v>877428374.9059931</v>
      </c>
      <c r="D36">
        <v>857686270.99585438</v>
      </c>
      <c r="E36">
        <v>1146621.621621622</v>
      </c>
      <c r="F36">
        <v>4690990.9909909889</v>
      </c>
      <c r="G36">
        <v>298</v>
      </c>
      <c r="H36">
        <v>248</v>
      </c>
      <c r="I36">
        <v>22</v>
      </c>
      <c r="J36">
        <v>29</v>
      </c>
      <c r="K36">
        <v>1</v>
      </c>
      <c r="M36">
        <v>382</v>
      </c>
      <c r="N36">
        <v>311</v>
      </c>
      <c r="O36">
        <v>49369189.189189181</v>
      </c>
      <c r="P36">
        <v>64520720.720720723</v>
      </c>
      <c r="Q36">
        <v>88</v>
      </c>
      <c r="R36">
        <v>320</v>
      </c>
      <c r="S36">
        <v>191703763.96396396</v>
      </c>
      <c r="T36">
        <v>189539099.0990991</v>
      </c>
      <c r="U36">
        <v>50922702.702702694</v>
      </c>
      <c r="V36">
        <v>61098288.288288288</v>
      </c>
      <c r="W36">
        <v>21448</v>
      </c>
      <c r="X36">
        <v>21518</v>
      </c>
    </row>
    <row r="37" spans="1:24">
      <c r="A37" s="7" t="s">
        <v>102</v>
      </c>
      <c r="B37" s="16" t="s">
        <v>98</v>
      </c>
      <c r="C37">
        <v>963370312.47882235</v>
      </c>
      <c r="D37">
        <v>970402514.99348569</v>
      </c>
      <c r="E37">
        <v>5790585.5855855877</v>
      </c>
      <c r="F37">
        <v>9435135.1351351365</v>
      </c>
      <c r="G37">
        <v>217</v>
      </c>
      <c r="H37">
        <v>218</v>
      </c>
      <c r="I37">
        <v>30</v>
      </c>
      <c r="J37">
        <v>26</v>
      </c>
      <c r="K37">
        <v>2</v>
      </c>
      <c r="M37">
        <v>350</v>
      </c>
      <c r="N37">
        <v>283</v>
      </c>
      <c r="O37">
        <v>143460450.45045045</v>
      </c>
      <c r="P37">
        <v>157473873.87387389</v>
      </c>
      <c r="Q37">
        <v>771</v>
      </c>
      <c r="R37">
        <v>298</v>
      </c>
      <c r="S37">
        <v>280704464.86486489</v>
      </c>
      <c r="T37">
        <v>284227860.36036032</v>
      </c>
      <c r="U37">
        <v>122484774.77477477</v>
      </c>
      <c r="V37">
        <v>181265765.76576576</v>
      </c>
      <c r="W37">
        <v>24844</v>
      </c>
      <c r="X37">
        <v>25109</v>
      </c>
    </row>
    <row r="38" spans="1:24">
      <c r="A38" s="7" t="s">
        <v>103</v>
      </c>
      <c r="B38" s="16" t="s">
        <v>98</v>
      </c>
      <c r="C38">
        <v>2498648747.417419</v>
      </c>
      <c r="D38">
        <v>2497100788.8899345</v>
      </c>
      <c r="E38">
        <v>1662194663.963964</v>
      </c>
      <c r="F38">
        <v>948921167.56756759</v>
      </c>
      <c r="G38">
        <v>785</v>
      </c>
      <c r="H38">
        <v>714</v>
      </c>
      <c r="I38">
        <v>70</v>
      </c>
      <c r="J38">
        <v>69</v>
      </c>
      <c r="K38">
        <v>24</v>
      </c>
      <c r="M38">
        <v>1034</v>
      </c>
      <c r="N38">
        <v>1115</v>
      </c>
      <c r="O38">
        <v>693675810.8108108</v>
      </c>
      <c r="P38">
        <v>259555703.6036036</v>
      </c>
      <c r="Q38">
        <v>1691</v>
      </c>
      <c r="R38">
        <v>919</v>
      </c>
      <c r="S38">
        <v>517931374.77477479</v>
      </c>
      <c r="T38">
        <v>532706872.07207209</v>
      </c>
      <c r="U38">
        <v>280418466.66666663</v>
      </c>
      <c r="V38">
        <v>235705405.4054054</v>
      </c>
      <c r="W38">
        <v>55113</v>
      </c>
      <c r="X38">
        <v>55115</v>
      </c>
    </row>
    <row r="39" spans="1:24">
      <c r="A39" s="7" t="s">
        <v>104</v>
      </c>
      <c r="B39" s="16" t="s">
        <v>105</v>
      </c>
      <c r="C39">
        <v>193189526.45522863</v>
      </c>
      <c r="D39">
        <v>174023605.41454384</v>
      </c>
      <c r="E39">
        <v>126721396.3963964</v>
      </c>
      <c r="F39">
        <v>6660360.3603603588</v>
      </c>
      <c r="G39">
        <v>58</v>
      </c>
      <c r="H39">
        <v>36</v>
      </c>
      <c r="I39">
        <v>1</v>
      </c>
      <c r="J39">
        <v>0</v>
      </c>
      <c r="M39">
        <v>59</v>
      </c>
      <c r="N39">
        <v>40</v>
      </c>
      <c r="O39">
        <v>1683783.783783783</v>
      </c>
      <c r="P39">
        <v>2355405.405405405</v>
      </c>
      <c r="Q39">
        <v>1</v>
      </c>
      <c r="R39">
        <v>50</v>
      </c>
      <c r="S39">
        <v>38221891.891891889</v>
      </c>
      <c r="T39">
        <v>37671423.423423424</v>
      </c>
      <c r="U39">
        <v>1254414.414414414</v>
      </c>
      <c r="V39">
        <v>1101261.2612612611</v>
      </c>
      <c r="W39">
        <v>2615</v>
      </c>
      <c r="X39">
        <v>2520</v>
      </c>
    </row>
    <row r="40" spans="1:24">
      <c r="A40" s="7" t="s">
        <v>106</v>
      </c>
      <c r="B40" s="16" t="s">
        <v>54</v>
      </c>
      <c r="C40">
        <v>62091891.148262382</v>
      </c>
      <c r="D40">
        <v>59810742.228529163</v>
      </c>
      <c r="E40">
        <v>277477.47747747798</v>
      </c>
      <c r="F40">
        <v>48648.648648649003</v>
      </c>
      <c r="G40">
        <v>48</v>
      </c>
      <c r="H40">
        <v>32</v>
      </c>
      <c r="I40">
        <v>0</v>
      </c>
      <c r="J40">
        <v>0</v>
      </c>
      <c r="M40">
        <v>66</v>
      </c>
      <c r="N40">
        <v>39</v>
      </c>
      <c r="O40">
        <v>3273423.4234234248</v>
      </c>
      <c r="P40">
        <v>1791171.1711711721</v>
      </c>
      <c r="Q40">
        <v>39</v>
      </c>
      <c r="R40">
        <v>22</v>
      </c>
      <c r="S40">
        <v>16993648.648648649</v>
      </c>
      <c r="T40">
        <v>15498522.522522522</v>
      </c>
      <c r="U40">
        <v>3389729.7297297302</v>
      </c>
      <c r="V40">
        <v>1827927.927927928</v>
      </c>
      <c r="W40">
        <v>1371</v>
      </c>
      <c r="X40">
        <v>1399</v>
      </c>
    </row>
    <row r="41" spans="1:24">
      <c r="A41" s="7" t="s">
        <v>107</v>
      </c>
      <c r="B41" s="16" t="s">
        <v>108</v>
      </c>
      <c r="C41">
        <v>515235393.72225803</v>
      </c>
      <c r="D41">
        <v>482368378.91075528</v>
      </c>
      <c r="E41">
        <v>815351531.53153157</v>
      </c>
      <c r="F41">
        <v>100621441.44144145</v>
      </c>
      <c r="G41">
        <v>141</v>
      </c>
      <c r="H41">
        <v>135</v>
      </c>
      <c r="I41">
        <v>13</v>
      </c>
      <c r="J41">
        <v>15</v>
      </c>
      <c r="M41">
        <v>159</v>
      </c>
      <c r="N41">
        <v>174</v>
      </c>
      <c r="O41">
        <v>129312342.34234233</v>
      </c>
      <c r="P41">
        <v>76167747.747747749</v>
      </c>
      <c r="Q41">
        <v>488</v>
      </c>
      <c r="R41">
        <v>711</v>
      </c>
      <c r="S41">
        <v>106008600</v>
      </c>
      <c r="T41">
        <v>106451180.18018018</v>
      </c>
      <c r="U41">
        <v>89629189.189189181</v>
      </c>
      <c r="V41">
        <v>60413603.603603601</v>
      </c>
      <c r="W41">
        <v>10493</v>
      </c>
      <c r="X41">
        <v>9491</v>
      </c>
    </row>
    <row r="42" spans="1:24">
      <c r="A42" s="7" t="s">
        <v>109</v>
      </c>
      <c r="B42" s="16" t="s">
        <v>108</v>
      </c>
      <c r="C42">
        <v>691633859.34607744</v>
      </c>
      <c r="D42">
        <v>683784512.83162391</v>
      </c>
      <c r="E42">
        <v>5828378.378378382</v>
      </c>
      <c r="F42">
        <v>6805481.9819819871</v>
      </c>
      <c r="G42">
        <v>174</v>
      </c>
      <c r="H42">
        <v>237</v>
      </c>
      <c r="I42">
        <v>17</v>
      </c>
      <c r="J42">
        <v>24</v>
      </c>
      <c r="K42">
        <v>1</v>
      </c>
      <c r="M42">
        <v>335</v>
      </c>
      <c r="N42">
        <v>399</v>
      </c>
      <c r="O42">
        <v>349037837.83783782</v>
      </c>
      <c r="P42">
        <v>50172872.972972974</v>
      </c>
      <c r="Q42">
        <v>752</v>
      </c>
      <c r="R42">
        <v>334</v>
      </c>
      <c r="S42">
        <v>176704977.47747746</v>
      </c>
      <c r="T42">
        <v>194244198.1981982</v>
      </c>
      <c r="U42">
        <v>249534684.68468466</v>
      </c>
      <c r="V42">
        <v>171358468.46846849</v>
      </c>
      <c r="W42">
        <v>14282</v>
      </c>
      <c r="X42">
        <v>13410</v>
      </c>
    </row>
    <row r="43" spans="1:24">
      <c r="A43" s="7" t="s">
        <v>110</v>
      </c>
      <c r="B43" s="16" t="s">
        <v>111</v>
      </c>
      <c r="C43">
        <v>826088784.32399166</v>
      </c>
      <c r="D43">
        <v>782811432.52197909</v>
      </c>
      <c r="E43">
        <v>4976216.2162162149</v>
      </c>
      <c r="F43">
        <v>8801801.8018018045</v>
      </c>
      <c r="G43">
        <v>177</v>
      </c>
      <c r="H43">
        <v>259</v>
      </c>
      <c r="I43">
        <v>27</v>
      </c>
      <c r="J43">
        <v>37</v>
      </c>
      <c r="K43">
        <v>1</v>
      </c>
      <c r="M43">
        <v>249</v>
      </c>
      <c r="N43">
        <v>553</v>
      </c>
      <c r="O43">
        <v>71467927.927927926</v>
      </c>
      <c r="P43">
        <v>75446150.45045045</v>
      </c>
      <c r="Q43">
        <v>757</v>
      </c>
      <c r="R43">
        <v>935</v>
      </c>
      <c r="S43">
        <v>266499603.6036036</v>
      </c>
      <c r="T43">
        <v>276158414.41441441</v>
      </c>
      <c r="U43">
        <v>69470810.810810804</v>
      </c>
      <c r="V43">
        <v>67381124.324324325</v>
      </c>
      <c r="W43">
        <v>19820</v>
      </c>
      <c r="X43">
        <v>19455</v>
      </c>
    </row>
    <row r="44" spans="1:24">
      <c r="A44" s="7" t="s">
        <v>112</v>
      </c>
      <c r="B44" s="16" t="s">
        <v>111</v>
      </c>
      <c r="C44">
        <v>1027525387.5658343</v>
      </c>
      <c r="D44">
        <v>1013002655.4491359</v>
      </c>
      <c r="E44">
        <v>15042702.702702709</v>
      </c>
      <c r="F44">
        <v>13100900.900900904</v>
      </c>
      <c r="G44">
        <v>214</v>
      </c>
      <c r="H44">
        <v>381</v>
      </c>
      <c r="I44">
        <v>22</v>
      </c>
      <c r="J44">
        <v>52</v>
      </c>
      <c r="K44">
        <v>8</v>
      </c>
      <c r="M44">
        <v>571</v>
      </c>
      <c r="N44">
        <v>672</v>
      </c>
      <c r="O44">
        <v>91511351.351351351</v>
      </c>
      <c r="P44">
        <v>81590643.243243232</v>
      </c>
      <c r="Q44">
        <v>1506</v>
      </c>
      <c r="R44">
        <v>2058</v>
      </c>
      <c r="S44">
        <v>361518747.74774778</v>
      </c>
      <c r="T44">
        <v>377441399.0990991</v>
      </c>
      <c r="U44">
        <v>86351171.171171173</v>
      </c>
      <c r="V44">
        <v>79335225.22522521</v>
      </c>
      <c r="W44">
        <v>27566</v>
      </c>
      <c r="X44">
        <v>26878</v>
      </c>
    </row>
    <row r="45" spans="1:24">
      <c r="A45" s="7" t="s">
        <v>113</v>
      </c>
      <c r="B45" s="16" t="s">
        <v>111</v>
      </c>
      <c r="C45">
        <v>1352613074.7877181</v>
      </c>
      <c r="D45">
        <v>1118739256.9806976</v>
      </c>
      <c r="E45">
        <v>13584594.5945946</v>
      </c>
      <c r="F45">
        <v>7646621.6216216274</v>
      </c>
      <c r="G45">
        <v>305</v>
      </c>
      <c r="H45">
        <v>367</v>
      </c>
      <c r="I45">
        <v>38</v>
      </c>
      <c r="J45">
        <v>45</v>
      </c>
      <c r="K45">
        <v>7</v>
      </c>
      <c r="M45">
        <v>401</v>
      </c>
      <c r="N45">
        <v>618</v>
      </c>
      <c r="O45">
        <v>556839819.81981981</v>
      </c>
      <c r="P45">
        <v>493161456.75675672</v>
      </c>
      <c r="Q45">
        <v>2523</v>
      </c>
      <c r="R45">
        <v>1253</v>
      </c>
      <c r="S45">
        <v>1196880756.7567568</v>
      </c>
      <c r="T45">
        <v>653880971.17117119</v>
      </c>
      <c r="U45">
        <v>105287657.65765765</v>
      </c>
      <c r="V45">
        <v>40086890.090090089</v>
      </c>
      <c r="W45">
        <v>14445</v>
      </c>
      <c r="X45">
        <v>13732</v>
      </c>
    </row>
    <row r="46" spans="1:24">
      <c r="A46" s="7" t="s">
        <v>114</v>
      </c>
      <c r="B46" s="16" t="s">
        <v>111</v>
      </c>
      <c r="C46">
        <v>802378101.91923201</v>
      </c>
      <c r="D46">
        <v>808882503.6453563</v>
      </c>
      <c r="E46">
        <v>737420720.72072077</v>
      </c>
      <c r="F46">
        <v>90966351.351351365</v>
      </c>
      <c r="G46">
        <v>1346</v>
      </c>
      <c r="H46">
        <v>454</v>
      </c>
      <c r="I46">
        <v>34</v>
      </c>
      <c r="J46">
        <v>64</v>
      </c>
      <c r="K46">
        <v>30</v>
      </c>
      <c r="M46">
        <v>3927</v>
      </c>
      <c r="N46">
        <v>1057</v>
      </c>
      <c r="O46">
        <v>83726126.126126125</v>
      </c>
      <c r="P46">
        <v>81527927.927927941</v>
      </c>
      <c r="Q46">
        <v>946</v>
      </c>
      <c r="R46">
        <v>1008</v>
      </c>
      <c r="S46">
        <v>264310684.68468466</v>
      </c>
      <c r="T46">
        <v>242089063.06306309</v>
      </c>
      <c r="U46">
        <v>83748378.378378361</v>
      </c>
      <c r="V46">
        <v>73805675.675675675</v>
      </c>
      <c r="W46">
        <v>22596</v>
      </c>
      <c r="X46">
        <v>19735</v>
      </c>
    </row>
    <row r="47" spans="1:24">
      <c r="A47" s="7" t="s">
        <v>115</v>
      </c>
      <c r="B47" s="16" t="s">
        <v>111</v>
      </c>
      <c r="C47">
        <v>1127435704.3622324</v>
      </c>
      <c r="D47">
        <v>989569983.2375083</v>
      </c>
      <c r="E47">
        <v>1129108084.6846848</v>
      </c>
      <c r="F47">
        <v>1680133109.90991</v>
      </c>
      <c r="G47">
        <v>504</v>
      </c>
      <c r="H47">
        <v>429</v>
      </c>
      <c r="I47">
        <v>54</v>
      </c>
      <c r="J47">
        <v>79</v>
      </c>
      <c r="K47">
        <v>1</v>
      </c>
      <c r="M47">
        <v>563</v>
      </c>
      <c r="N47">
        <v>692</v>
      </c>
      <c r="O47">
        <v>776378545.04504502</v>
      </c>
      <c r="P47">
        <v>807370369.36936939</v>
      </c>
      <c r="Q47">
        <v>1119</v>
      </c>
      <c r="R47">
        <v>8110</v>
      </c>
      <c r="S47">
        <v>375985603.6036036</v>
      </c>
      <c r="T47">
        <v>294340818.46846849</v>
      </c>
      <c r="U47">
        <v>182358108.1081081</v>
      </c>
      <c r="V47">
        <v>166803690.09009007</v>
      </c>
      <c r="W47">
        <v>23897</v>
      </c>
      <c r="X47">
        <v>24191</v>
      </c>
    </row>
    <row r="48" spans="1:24">
      <c r="A48" s="7" t="s">
        <v>116</v>
      </c>
      <c r="B48" s="16" t="s">
        <v>54</v>
      </c>
      <c r="C48">
        <v>55679886.524504557</v>
      </c>
      <c r="D48">
        <v>55290792.168199405</v>
      </c>
      <c r="E48">
        <v>825450.450450451</v>
      </c>
      <c r="F48">
        <v>1143918.9189189179</v>
      </c>
      <c r="G48">
        <v>8</v>
      </c>
      <c r="H48">
        <v>10</v>
      </c>
      <c r="I48">
        <v>5</v>
      </c>
      <c r="J48">
        <v>3</v>
      </c>
      <c r="M48">
        <v>8</v>
      </c>
      <c r="N48">
        <v>12</v>
      </c>
      <c r="O48">
        <v>5831531.5315315323</v>
      </c>
      <c r="P48">
        <v>4887837.8378378367</v>
      </c>
      <c r="Q48">
        <v>31</v>
      </c>
      <c r="R48">
        <v>24</v>
      </c>
      <c r="S48">
        <v>12933324.324324325</v>
      </c>
      <c r="T48">
        <v>13822135.135135137</v>
      </c>
      <c r="U48">
        <v>4844954.9549549539</v>
      </c>
      <c r="V48">
        <v>4371441.441441441</v>
      </c>
      <c r="W48">
        <v>996</v>
      </c>
      <c r="X48">
        <v>1049</v>
      </c>
    </row>
    <row r="49" spans="1:24">
      <c r="A49" s="7" t="s">
        <v>118</v>
      </c>
      <c r="B49" s="16" t="s">
        <v>78</v>
      </c>
      <c r="C49">
        <v>490954496.94788706</v>
      </c>
      <c r="D49">
        <v>465193849.48881453</v>
      </c>
      <c r="E49">
        <v>455041434.23423421</v>
      </c>
      <c r="F49">
        <v>272739293.6936937</v>
      </c>
      <c r="G49">
        <v>187</v>
      </c>
      <c r="H49">
        <v>164</v>
      </c>
      <c r="I49">
        <v>18</v>
      </c>
      <c r="J49">
        <v>28</v>
      </c>
      <c r="K49">
        <v>2</v>
      </c>
      <c r="M49">
        <v>220</v>
      </c>
      <c r="N49">
        <v>223</v>
      </c>
      <c r="O49">
        <v>76214144.144144148</v>
      </c>
      <c r="P49">
        <v>99963513.513513505</v>
      </c>
      <c r="Q49">
        <v>363</v>
      </c>
      <c r="R49">
        <v>1693</v>
      </c>
      <c r="S49">
        <v>190362232.43243244</v>
      </c>
      <c r="T49">
        <v>187068937.38738739</v>
      </c>
      <c r="U49">
        <v>77346529.729729727</v>
      </c>
      <c r="V49">
        <v>97737747.747747749</v>
      </c>
      <c r="W49">
        <v>11975</v>
      </c>
      <c r="X49">
        <v>11328</v>
      </c>
    </row>
    <row r="50" spans="1:24">
      <c r="A50" s="7" t="s">
        <v>119</v>
      </c>
      <c r="B50" s="16" t="s">
        <v>50</v>
      </c>
      <c r="C50">
        <v>154546450.74037626</v>
      </c>
      <c r="D50">
        <v>148093991.39370078</v>
      </c>
      <c r="E50">
        <v>429054.054054056</v>
      </c>
      <c r="F50">
        <v>4138738.7387387389</v>
      </c>
      <c r="G50">
        <v>83</v>
      </c>
      <c r="H50">
        <v>46</v>
      </c>
      <c r="I50">
        <v>13</v>
      </c>
      <c r="J50">
        <v>11</v>
      </c>
      <c r="M50">
        <v>86</v>
      </c>
      <c r="N50">
        <v>52</v>
      </c>
      <c r="O50">
        <v>101612612.61261261</v>
      </c>
      <c r="P50">
        <v>73644504.504504502</v>
      </c>
      <c r="Q50">
        <v>250</v>
      </c>
      <c r="R50">
        <v>308</v>
      </c>
      <c r="S50">
        <v>55043603.603603601</v>
      </c>
      <c r="T50">
        <v>53986432.432432435</v>
      </c>
      <c r="U50">
        <v>102321351.35135135</v>
      </c>
      <c r="V50">
        <v>69269819.819819823</v>
      </c>
      <c r="W50">
        <v>2471</v>
      </c>
      <c r="X50">
        <v>2424</v>
      </c>
    </row>
    <row r="51" spans="1:24">
      <c r="A51" s="7" t="s">
        <v>120</v>
      </c>
      <c r="B51" s="16" t="s">
        <v>121</v>
      </c>
      <c r="C51">
        <v>544000757.39782667</v>
      </c>
      <c r="D51">
        <v>501482904.19098932</v>
      </c>
      <c r="E51">
        <v>1399324.324324325</v>
      </c>
      <c r="F51">
        <v>3743468.468468471</v>
      </c>
      <c r="G51">
        <v>225</v>
      </c>
      <c r="H51">
        <v>188</v>
      </c>
      <c r="I51">
        <v>14</v>
      </c>
      <c r="J51">
        <v>17</v>
      </c>
      <c r="K51">
        <v>9</v>
      </c>
      <c r="M51">
        <v>243</v>
      </c>
      <c r="N51">
        <v>212</v>
      </c>
      <c r="O51">
        <v>20436936.936936937</v>
      </c>
      <c r="P51">
        <v>19987387.387387387</v>
      </c>
      <c r="Q51">
        <v>109</v>
      </c>
      <c r="R51">
        <v>81</v>
      </c>
      <c r="S51">
        <v>38711225.225225225</v>
      </c>
      <c r="T51">
        <v>41837963.963963963</v>
      </c>
      <c r="U51">
        <v>20089729.729729727</v>
      </c>
      <c r="V51">
        <v>17837207.207207207</v>
      </c>
      <c r="W51">
        <v>8114</v>
      </c>
      <c r="X51">
        <v>8042</v>
      </c>
    </row>
    <row r="52" spans="1:24">
      <c r="A52" s="7" t="s">
        <v>122</v>
      </c>
      <c r="B52" s="16" t="s">
        <v>123</v>
      </c>
      <c r="C52">
        <v>244263027.85304168</v>
      </c>
      <c r="D52">
        <v>263252583.96415246</v>
      </c>
      <c r="E52">
        <v>350000</v>
      </c>
      <c r="F52">
        <v>1048423.4234234249</v>
      </c>
      <c r="G52">
        <v>34</v>
      </c>
      <c r="H52">
        <v>36</v>
      </c>
      <c r="I52">
        <v>5</v>
      </c>
      <c r="J52">
        <v>3</v>
      </c>
      <c r="M52">
        <v>41</v>
      </c>
      <c r="N52">
        <v>50</v>
      </c>
      <c r="O52">
        <v>53948378.378378376</v>
      </c>
      <c r="P52">
        <v>46005045.045045048</v>
      </c>
      <c r="Q52">
        <v>93</v>
      </c>
      <c r="R52">
        <v>52</v>
      </c>
      <c r="S52">
        <v>112249275.67567568</v>
      </c>
      <c r="T52">
        <v>119612009.009009</v>
      </c>
      <c r="U52">
        <v>53094054.054054059</v>
      </c>
      <c r="V52">
        <v>46022522.522522517</v>
      </c>
      <c r="W52">
        <v>4556</v>
      </c>
      <c r="X52">
        <v>4803</v>
      </c>
    </row>
    <row r="53" spans="1:24">
      <c r="A53" s="7" t="s">
        <v>124</v>
      </c>
      <c r="B53" s="16" t="s">
        <v>125</v>
      </c>
      <c r="C53">
        <v>366835235.0820592</v>
      </c>
      <c r="D53">
        <v>345825602.52157313</v>
      </c>
      <c r="E53">
        <v>56928018.018018015</v>
      </c>
      <c r="F53">
        <v>108405855.85585585</v>
      </c>
      <c r="G53">
        <v>68</v>
      </c>
      <c r="H53">
        <v>74</v>
      </c>
      <c r="I53">
        <v>10</v>
      </c>
      <c r="J53">
        <v>8</v>
      </c>
      <c r="M53">
        <v>76</v>
      </c>
      <c r="N53">
        <v>155</v>
      </c>
      <c r="O53">
        <v>107298648.64864865</v>
      </c>
      <c r="P53">
        <v>101158558.55855855</v>
      </c>
      <c r="Q53">
        <v>176</v>
      </c>
      <c r="R53">
        <v>258</v>
      </c>
      <c r="S53">
        <v>108330709.9099099</v>
      </c>
      <c r="T53">
        <v>107341535.13513513</v>
      </c>
      <c r="U53">
        <v>89617927.927927941</v>
      </c>
      <c r="V53">
        <v>109018061.26126127</v>
      </c>
      <c r="W53">
        <v>6511</v>
      </c>
      <c r="X53">
        <v>6335</v>
      </c>
    </row>
    <row r="54" spans="1:24">
      <c r="A54" s="7" t="s">
        <v>126</v>
      </c>
      <c r="B54" s="16" t="s">
        <v>78</v>
      </c>
      <c r="C54">
        <v>234956663.09634236</v>
      </c>
      <c r="D54">
        <v>226257330.96369976</v>
      </c>
      <c r="E54">
        <v>2903333.333333334</v>
      </c>
      <c r="F54">
        <v>4450450.4504504539</v>
      </c>
      <c r="G54">
        <v>56</v>
      </c>
      <c r="H54">
        <v>70</v>
      </c>
      <c r="I54">
        <v>8</v>
      </c>
      <c r="J54">
        <v>8</v>
      </c>
      <c r="M54">
        <v>59</v>
      </c>
      <c r="N54">
        <v>90</v>
      </c>
      <c r="O54">
        <v>45957387.387387387</v>
      </c>
      <c r="P54">
        <v>40950450.45045045</v>
      </c>
      <c r="Q54">
        <v>135</v>
      </c>
      <c r="R54">
        <v>144</v>
      </c>
      <c r="S54">
        <v>93110819.819819823</v>
      </c>
      <c r="T54">
        <v>92827621.621621609</v>
      </c>
      <c r="U54">
        <v>45563063.063063063</v>
      </c>
      <c r="V54">
        <v>37449009.009009011</v>
      </c>
      <c r="W54">
        <v>5031</v>
      </c>
      <c r="X54">
        <v>4977</v>
      </c>
    </row>
    <row r="55" spans="1:24">
      <c r="A55" s="7" t="s">
        <v>127</v>
      </c>
      <c r="B55" s="16" t="s">
        <v>78</v>
      </c>
      <c r="C55">
        <v>42424928.849241853</v>
      </c>
      <c r="D55">
        <v>37669151.442888729</v>
      </c>
      <c r="E55">
        <v>37387.387387388997</v>
      </c>
      <c r="F55">
        <v>708108.108108107</v>
      </c>
      <c r="G55">
        <v>18</v>
      </c>
      <c r="H55">
        <v>14</v>
      </c>
      <c r="I55">
        <v>4</v>
      </c>
      <c r="J55">
        <v>8</v>
      </c>
      <c r="K55">
        <v>1</v>
      </c>
      <c r="M55">
        <v>20</v>
      </c>
      <c r="N55">
        <v>18</v>
      </c>
      <c r="O55">
        <v>10695045.045045044</v>
      </c>
      <c r="P55">
        <v>12014414.414414413</v>
      </c>
      <c r="Q55">
        <v>18</v>
      </c>
      <c r="R55">
        <v>32</v>
      </c>
      <c r="S55">
        <v>23335585.585585583</v>
      </c>
      <c r="T55">
        <v>21958198.198198199</v>
      </c>
      <c r="U55">
        <v>10135585.585585587</v>
      </c>
      <c r="V55">
        <v>13468738.73873874</v>
      </c>
      <c r="W55">
        <v>1241</v>
      </c>
      <c r="X55">
        <v>1232</v>
      </c>
    </row>
    <row r="56" spans="1:24">
      <c r="A56" s="7" t="s">
        <v>128</v>
      </c>
      <c r="B56" s="16" t="s">
        <v>78</v>
      </c>
      <c r="C56">
        <v>227085856.79476619</v>
      </c>
      <c r="D56">
        <v>217006636.36429894</v>
      </c>
      <c r="E56">
        <v>1220945.945945947</v>
      </c>
      <c r="F56">
        <v>2519819.8198198238</v>
      </c>
      <c r="G56">
        <v>99</v>
      </c>
      <c r="H56">
        <v>154</v>
      </c>
      <c r="I56">
        <v>9</v>
      </c>
      <c r="J56">
        <v>12</v>
      </c>
      <c r="K56">
        <v>2</v>
      </c>
      <c r="M56">
        <v>111</v>
      </c>
      <c r="N56">
        <v>199</v>
      </c>
      <c r="O56">
        <v>25241441.441441439</v>
      </c>
      <c r="P56">
        <v>30159459.459459461</v>
      </c>
      <c r="Q56">
        <v>88</v>
      </c>
      <c r="R56">
        <v>135</v>
      </c>
      <c r="S56">
        <v>87419648.648648649</v>
      </c>
      <c r="T56">
        <v>83923872.072072059</v>
      </c>
      <c r="U56">
        <v>24931801.801801801</v>
      </c>
      <c r="V56">
        <v>27192612.612612609</v>
      </c>
      <c r="W56">
        <v>5803</v>
      </c>
      <c r="X56">
        <v>5778</v>
      </c>
    </row>
    <row r="57" spans="1:24">
      <c r="A57" s="7" t="s">
        <v>672</v>
      </c>
      <c r="B57" s="16" t="s">
        <v>94</v>
      </c>
      <c r="E57">
        <v>58851351.351351351</v>
      </c>
      <c r="F57">
        <v>56371621.621621624</v>
      </c>
      <c r="O57">
        <v>8760360.3603603598</v>
      </c>
      <c r="P57">
        <v>9918918.9189189207</v>
      </c>
    </row>
    <row r="58" spans="1:24">
      <c r="A58" s="7" t="s">
        <v>129</v>
      </c>
      <c r="B58" s="16" t="s">
        <v>85</v>
      </c>
      <c r="C58">
        <v>68927063.006156474</v>
      </c>
      <c r="D58">
        <v>63857433.292326264</v>
      </c>
      <c r="E58">
        <v>56756.756756756004</v>
      </c>
      <c r="F58">
        <v>187387.387387389</v>
      </c>
      <c r="G58">
        <v>26</v>
      </c>
      <c r="H58">
        <v>14</v>
      </c>
      <c r="I58">
        <v>4</v>
      </c>
      <c r="J58">
        <v>2</v>
      </c>
      <c r="M58">
        <v>27</v>
      </c>
      <c r="N58">
        <v>16</v>
      </c>
      <c r="O58">
        <v>44381081.081081077</v>
      </c>
      <c r="P58">
        <v>77642972.972972974</v>
      </c>
      <c r="Q58">
        <v>70</v>
      </c>
      <c r="R58">
        <v>50</v>
      </c>
      <c r="S58">
        <v>30044549.54954955</v>
      </c>
      <c r="T58">
        <v>30497594.594594598</v>
      </c>
      <c r="U58">
        <v>31513063.063063063</v>
      </c>
      <c r="V58">
        <v>66433873.873873875</v>
      </c>
      <c r="W58">
        <v>1152</v>
      </c>
      <c r="X58">
        <v>1349</v>
      </c>
    </row>
    <row r="59" spans="1:24">
      <c r="A59" s="7" t="s">
        <v>130</v>
      </c>
      <c r="B59" s="16" t="s">
        <v>89</v>
      </c>
      <c r="C59">
        <v>595837582.94188344</v>
      </c>
      <c r="D59">
        <v>592317743.05921805</v>
      </c>
      <c r="E59">
        <v>2198423.423423429</v>
      </c>
      <c r="F59">
        <v>4377927.9279279336</v>
      </c>
      <c r="G59">
        <v>78</v>
      </c>
      <c r="H59">
        <v>77</v>
      </c>
      <c r="I59">
        <v>21</v>
      </c>
      <c r="J59">
        <v>40</v>
      </c>
      <c r="M59">
        <v>87</v>
      </c>
      <c r="N59">
        <v>105</v>
      </c>
      <c r="O59">
        <v>37606846.846846849</v>
      </c>
      <c r="P59">
        <v>38877027.027027033</v>
      </c>
      <c r="Q59">
        <v>256</v>
      </c>
      <c r="R59">
        <v>431</v>
      </c>
      <c r="S59">
        <v>179639989.1891892</v>
      </c>
      <c r="T59">
        <v>185812655.85585585</v>
      </c>
      <c r="U59">
        <v>35708511.711711712</v>
      </c>
      <c r="V59">
        <v>36866439.639639631</v>
      </c>
      <c r="W59">
        <v>10702</v>
      </c>
      <c r="X59">
        <v>10624</v>
      </c>
    </row>
    <row r="60" spans="1:24">
      <c r="A60" s="7" t="s">
        <v>131</v>
      </c>
      <c r="B60" s="16" t="s">
        <v>132</v>
      </c>
      <c r="C60">
        <v>355320001.14539528</v>
      </c>
      <c r="D60">
        <v>326715414.8090573</v>
      </c>
      <c r="E60">
        <v>54074913.513513513</v>
      </c>
      <c r="F60">
        <v>46574500</v>
      </c>
      <c r="G60">
        <v>153</v>
      </c>
      <c r="H60">
        <v>184</v>
      </c>
      <c r="I60">
        <v>6</v>
      </c>
      <c r="J60">
        <v>8</v>
      </c>
      <c r="K60">
        <v>1</v>
      </c>
      <c r="M60">
        <v>165</v>
      </c>
      <c r="N60">
        <v>202</v>
      </c>
      <c r="O60">
        <v>30378378.37837838</v>
      </c>
      <c r="P60">
        <v>39228828.828828834</v>
      </c>
      <c r="Q60">
        <v>47</v>
      </c>
      <c r="R60">
        <v>56</v>
      </c>
      <c r="S60">
        <v>109684081.08108109</v>
      </c>
      <c r="T60">
        <v>103242511.26126127</v>
      </c>
      <c r="U60">
        <v>22137567.567567568</v>
      </c>
      <c r="V60">
        <v>31118828.82882883</v>
      </c>
      <c r="W60">
        <v>7352</v>
      </c>
      <c r="X60">
        <v>7240</v>
      </c>
    </row>
    <row r="61" spans="1:24">
      <c r="A61" s="7" t="s">
        <v>133</v>
      </c>
      <c r="B61" s="16" t="s">
        <v>134</v>
      </c>
      <c r="C61">
        <v>55585880.312729001</v>
      </c>
      <c r="D61">
        <v>36003122.088907517</v>
      </c>
      <c r="G61">
        <v>16</v>
      </c>
      <c r="H61">
        <v>3</v>
      </c>
      <c r="M61">
        <v>19</v>
      </c>
      <c r="N61">
        <v>3</v>
      </c>
      <c r="S61">
        <v>6962108.1081081079</v>
      </c>
      <c r="T61">
        <v>6252872.072072072</v>
      </c>
      <c r="W61">
        <v>2210</v>
      </c>
      <c r="X61">
        <v>2185</v>
      </c>
    </row>
    <row r="62" spans="1:24">
      <c r="A62" s="7" t="s">
        <v>135</v>
      </c>
      <c r="B62" s="16" t="s">
        <v>136</v>
      </c>
      <c r="C62">
        <v>290437491.53018504</v>
      </c>
      <c r="D62">
        <v>267696956.44832629</v>
      </c>
      <c r="E62">
        <v>463963.96396396402</v>
      </c>
      <c r="F62">
        <v>1007207.20720721</v>
      </c>
      <c r="G62">
        <v>97</v>
      </c>
      <c r="H62">
        <v>74</v>
      </c>
      <c r="I62">
        <v>5</v>
      </c>
      <c r="J62">
        <v>4</v>
      </c>
      <c r="M62">
        <v>105</v>
      </c>
      <c r="N62">
        <v>82</v>
      </c>
      <c r="O62">
        <v>28447027.02702703</v>
      </c>
      <c r="P62">
        <v>21007207.207207207</v>
      </c>
      <c r="Q62">
        <v>23</v>
      </c>
      <c r="S62">
        <v>49689270.270270273</v>
      </c>
      <c r="T62">
        <v>41967630.630630635</v>
      </c>
      <c r="U62">
        <v>27075495.495495494</v>
      </c>
      <c r="V62">
        <v>19551261.261261258</v>
      </c>
      <c r="W62">
        <v>3558</v>
      </c>
      <c r="X62">
        <v>3515</v>
      </c>
    </row>
    <row r="63" spans="1:24">
      <c r="A63" s="7" t="s">
        <v>137</v>
      </c>
      <c r="B63" s="16" t="s">
        <v>89</v>
      </c>
      <c r="C63">
        <v>299767088.87259024</v>
      </c>
      <c r="D63">
        <v>291917112.41306376</v>
      </c>
      <c r="E63">
        <v>359684.68468468997</v>
      </c>
      <c r="F63">
        <v>3104279.279279287</v>
      </c>
      <c r="G63">
        <v>41</v>
      </c>
      <c r="H63">
        <v>62</v>
      </c>
      <c r="I63">
        <v>29</v>
      </c>
      <c r="J63">
        <v>31</v>
      </c>
      <c r="K63">
        <v>4</v>
      </c>
      <c r="M63">
        <v>120</v>
      </c>
      <c r="N63">
        <v>256</v>
      </c>
      <c r="O63">
        <v>40622252.252252251</v>
      </c>
      <c r="P63">
        <v>43608918.918918923</v>
      </c>
      <c r="Q63">
        <v>283</v>
      </c>
      <c r="R63">
        <v>288</v>
      </c>
      <c r="S63">
        <v>104041441.44144145</v>
      </c>
      <c r="T63">
        <v>104851403.6036036</v>
      </c>
      <c r="U63">
        <v>40111711.711711712</v>
      </c>
      <c r="V63">
        <v>34654504.504504509</v>
      </c>
      <c r="W63">
        <v>4805</v>
      </c>
      <c r="X63">
        <v>4829</v>
      </c>
    </row>
    <row r="64" spans="1:24">
      <c r="A64" s="7" t="s">
        <v>138</v>
      </c>
      <c r="B64" s="16" t="s">
        <v>78</v>
      </c>
      <c r="C64">
        <v>219981030.36364171</v>
      </c>
      <c r="D64">
        <v>211095438.48407865</v>
      </c>
      <c r="E64">
        <v>3231261.261261262</v>
      </c>
      <c r="F64">
        <v>5683783.7837837869</v>
      </c>
      <c r="G64">
        <v>95</v>
      </c>
      <c r="H64">
        <v>88</v>
      </c>
      <c r="I64">
        <v>9</v>
      </c>
      <c r="J64">
        <v>18</v>
      </c>
      <c r="K64">
        <v>5</v>
      </c>
      <c r="M64">
        <v>106</v>
      </c>
      <c r="N64">
        <v>112</v>
      </c>
      <c r="O64">
        <v>27303333.333333332</v>
      </c>
      <c r="P64">
        <v>28990090.090090089</v>
      </c>
      <c r="Q64">
        <v>51</v>
      </c>
      <c r="R64">
        <v>98</v>
      </c>
      <c r="S64">
        <v>93485765.765765756</v>
      </c>
      <c r="T64">
        <v>91763020.270270273</v>
      </c>
      <c r="U64">
        <v>25271171.171171173</v>
      </c>
      <c r="V64">
        <v>27113153.153153151</v>
      </c>
      <c r="W64">
        <v>5426</v>
      </c>
      <c r="X64">
        <v>5227</v>
      </c>
    </row>
    <row r="65" spans="1:24">
      <c r="A65" s="7" t="s">
        <v>139</v>
      </c>
      <c r="B65" s="16" t="s">
        <v>140</v>
      </c>
      <c r="C65">
        <v>282578991.56412888</v>
      </c>
      <c r="D65">
        <v>290325393.18225926</v>
      </c>
      <c r="E65">
        <v>2355855.855855857</v>
      </c>
      <c r="F65">
        <v>3143243.243243244</v>
      </c>
      <c r="G65">
        <v>27</v>
      </c>
      <c r="H65">
        <v>24</v>
      </c>
      <c r="I65">
        <v>2</v>
      </c>
      <c r="J65">
        <v>3</v>
      </c>
      <c r="M65">
        <v>28</v>
      </c>
      <c r="N65">
        <v>25</v>
      </c>
      <c r="O65">
        <v>32210810.810810812</v>
      </c>
      <c r="P65">
        <v>32009729.729729727</v>
      </c>
      <c r="Q65">
        <v>197</v>
      </c>
      <c r="R65">
        <v>66</v>
      </c>
      <c r="S65">
        <v>48690630.630630635</v>
      </c>
      <c r="T65">
        <v>52376477.477477483</v>
      </c>
      <c r="U65">
        <v>30913333.333333332</v>
      </c>
      <c r="V65">
        <v>25115405.405405402</v>
      </c>
      <c r="W65">
        <v>4488</v>
      </c>
      <c r="X65">
        <v>4508</v>
      </c>
    </row>
    <row r="66" spans="1:24">
      <c r="A66" s="7" t="s">
        <v>141</v>
      </c>
      <c r="B66" s="16" t="s">
        <v>62</v>
      </c>
      <c r="C66">
        <v>196120778.65515065</v>
      </c>
      <c r="D66">
        <v>193172177.92595974</v>
      </c>
      <c r="E66">
        <v>1420720.720720724</v>
      </c>
      <c r="F66">
        <v>3335925.2252252279</v>
      </c>
      <c r="G66">
        <v>45</v>
      </c>
      <c r="H66">
        <v>93</v>
      </c>
      <c r="I66">
        <v>9</v>
      </c>
      <c r="J66">
        <v>9</v>
      </c>
      <c r="M66">
        <v>54</v>
      </c>
      <c r="N66">
        <v>116</v>
      </c>
      <c r="O66">
        <v>110986576.57657658</v>
      </c>
      <c r="P66">
        <v>104828551.35135137</v>
      </c>
      <c r="Q66">
        <v>59</v>
      </c>
      <c r="R66">
        <v>63</v>
      </c>
      <c r="S66">
        <v>42972828.828828834</v>
      </c>
      <c r="T66">
        <v>42707450.45045045</v>
      </c>
      <c r="U66">
        <v>110265045.04504503</v>
      </c>
      <c r="V66">
        <v>106367027.02702703</v>
      </c>
      <c r="W66">
        <v>3828</v>
      </c>
      <c r="X66">
        <v>3785</v>
      </c>
    </row>
    <row r="67" spans="1:24">
      <c r="A67" s="7" t="s">
        <v>142</v>
      </c>
      <c r="B67" s="16" t="s">
        <v>143</v>
      </c>
      <c r="C67">
        <v>2227026.872896703</v>
      </c>
      <c r="D67">
        <v>1902652.059887785</v>
      </c>
      <c r="E67">
        <v>18018.018018018</v>
      </c>
      <c r="G67">
        <v>1</v>
      </c>
      <c r="H67">
        <v>1</v>
      </c>
      <c r="M67">
        <v>1</v>
      </c>
      <c r="N67">
        <v>1</v>
      </c>
      <c r="O67">
        <v>18018.018018018</v>
      </c>
      <c r="S67">
        <v>179054.054054054</v>
      </c>
      <c r="T67">
        <v>164504.50450450499</v>
      </c>
      <c r="W67">
        <v>136</v>
      </c>
      <c r="X67">
        <v>154</v>
      </c>
    </row>
    <row r="68" spans="1:24">
      <c r="A68" s="7" t="s">
        <v>144</v>
      </c>
      <c r="B68" s="16" t="s">
        <v>140</v>
      </c>
      <c r="C68">
        <v>414843860.90599978</v>
      </c>
      <c r="D68">
        <v>412925822.16281497</v>
      </c>
      <c r="E68">
        <v>389909.90990991198</v>
      </c>
      <c r="F68">
        <v>2759009.0090090111</v>
      </c>
      <c r="G68">
        <v>62</v>
      </c>
      <c r="H68">
        <v>92</v>
      </c>
      <c r="I68">
        <v>10</v>
      </c>
      <c r="J68">
        <v>11</v>
      </c>
      <c r="K68">
        <v>2</v>
      </c>
      <c r="M68">
        <v>69</v>
      </c>
      <c r="N68">
        <v>115</v>
      </c>
      <c r="O68">
        <v>49229549.54954955</v>
      </c>
      <c r="P68">
        <v>46297657.657657653</v>
      </c>
      <c r="Q68">
        <v>263</v>
      </c>
      <c r="R68">
        <v>248</v>
      </c>
      <c r="S68">
        <v>77724909.909909904</v>
      </c>
      <c r="T68">
        <v>77528450.45045045</v>
      </c>
      <c r="U68">
        <v>45745675.675675675</v>
      </c>
      <c r="V68">
        <v>43996846.846846849</v>
      </c>
      <c r="W68">
        <v>7519</v>
      </c>
      <c r="X68">
        <v>7496</v>
      </c>
    </row>
    <row r="69" spans="1:24">
      <c r="A69" s="7" t="s">
        <v>145</v>
      </c>
      <c r="B69" s="16" t="s">
        <v>78</v>
      </c>
      <c r="C69">
        <v>294198027.58287358</v>
      </c>
      <c r="D69">
        <v>295157107.30017829</v>
      </c>
      <c r="E69">
        <v>1713333.333333334</v>
      </c>
      <c r="F69">
        <v>3260360.3603603598</v>
      </c>
      <c r="G69">
        <v>62</v>
      </c>
      <c r="H69">
        <v>89</v>
      </c>
      <c r="I69">
        <v>7</v>
      </c>
      <c r="J69">
        <v>5</v>
      </c>
      <c r="M69">
        <v>69</v>
      </c>
      <c r="N69">
        <v>106</v>
      </c>
      <c r="O69">
        <v>31019639.639639635</v>
      </c>
      <c r="P69">
        <v>27142342.342342343</v>
      </c>
      <c r="Q69">
        <v>82</v>
      </c>
      <c r="R69">
        <v>104</v>
      </c>
      <c r="S69">
        <v>80010360.360360354</v>
      </c>
      <c r="T69">
        <v>83697720.720720723</v>
      </c>
      <c r="U69">
        <v>29493873.873873871</v>
      </c>
      <c r="V69">
        <v>29356126.126126125</v>
      </c>
      <c r="W69">
        <v>6330</v>
      </c>
      <c r="X69">
        <v>6411</v>
      </c>
    </row>
    <row r="70" spans="1:24">
      <c r="A70" s="7" t="s">
        <v>146</v>
      </c>
      <c r="B70" s="16" t="s">
        <v>147</v>
      </c>
      <c r="C70">
        <v>205050016.11893287</v>
      </c>
      <c r="D70">
        <v>194301752.17501062</v>
      </c>
      <c r="E70">
        <v>333333.33333333401</v>
      </c>
      <c r="F70">
        <v>3170270.2702702731</v>
      </c>
      <c r="G70">
        <v>45</v>
      </c>
      <c r="H70">
        <v>36</v>
      </c>
      <c r="I70">
        <v>10</v>
      </c>
      <c r="J70">
        <v>2</v>
      </c>
      <c r="M70">
        <v>50</v>
      </c>
      <c r="N70">
        <v>44</v>
      </c>
      <c r="O70">
        <v>22530090.090090089</v>
      </c>
      <c r="P70">
        <v>48049182.882882878</v>
      </c>
      <c r="Q70">
        <v>160</v>
      </c>
      <c r="R70">
        <v>34</v>
      </c>
      <c r="S70">
        <v>56387918.918918923</v>
      </c>
      <c r="T70">
        <v>62840171.171171166</v>
      </c>
      <c r="U70">
        <v>21424504.504504506</v>
      </c>
      <c r="V70">
        <v>47600720.720720723</v>
      </c>
      <c r="W70">
        <v>3769</v>
      </c>
      <c r="X70">
        <v>3781</v>
      </c>
    </row>
    <row r="71" spans="1:24">
      <c r="A71" s="7" t="s">
        <v>148</v>
      </c>
      <c r="B71" s="16" t="s">
        <v>94</v>
      </c>
      <c r="D71">
        <v>17.531949365999999</v>
      </c>
      <c r="X71">
        <v>1</v>
      </c>
    </row>
    <row r="72" spans="1:24">
      <c r="A72" s="7" t="s">
        <v>149</v>
      </c>
      <c r="B72" s="16" t="s">
        <v>50</v>
      </c>
      <c r="C72">
        <v>167396410.04152182</v>
      </c>
      <c r="D72">
        <v>172129246.22222844</v>
      </c>
      <c r="E72">
        <v>237837.837837839</v>
      </c>
      <c r="F72">
        <v>762162.16216216295</v>
      </c>
      <c r="G72">
        <v>38</v>
      </c>
      <c r="H72">
        <v>56</v>
      </c>
      <c r="I72">
        <v>7</v>
      </c>
      <c r="J72">
        <v>3</v>
      </c>
      <c r="M72">
        <v>42</v>
      </c>
      <c r="N72">
        <v>59</v>
      </c>
      <c r="O72">
        <v>17983063.063063063</v>
      </c>
      <c r="P72">
        <v>10672522.522522524</v>
      </c>
      <c r="Q72">
        <v>24</v>
      </c>
      <c r="R72">
        <v>15</v>
      </c>
      <c r="S72">
        <v>76249234.234234244</v>
      </c>
      <c r="T72">
        <v>76965495.495495483</v>
      </c>
      <c r="U72">
        <v>18688558.558558561</v>
      </c>
      <c r="V72">
        <v>10420000</v>
      </c>
      <c r="W72">
        <v>3462</v>
      </c>
      <c r="X72">
        <v>3640</v>
      </c>
    </row>
    <row r="73" spans="1:24">
      <c r="A73" s="7" t="s">
        <v>150</v>
      </c>
      <c r="B73" s="16" t="s">
        <v>151</v>
      </c>
      <c r="C73">
        <v>50807722.744626909</v>
      </c>
      <c r="D73">
        <v>52122472.764902718</v>
      </c>
      <c r="E73">
        <v>90090.090090090001</v>
      </c>
      <c r="F73">
        <v>900900.90090090199</v>
      </c>
      <c r="G73">
        <v>13</v>
      </c>
      <c r="H73">
        <v>7</v>
      </c>
      <c r="I73">
        <v>9</v>
      </c>
      <c r="J73">
        <v>1</v>
      </c>
      <c r="M73">
        <v>13</v>
      </c>
      <c r="N73">
        <v>12</v>
      </c>
      <c r="O73">
        <v>64448108.108108103</v>
      </c>
      <c r="P73">
        <v>44324324.324324317</v>
      </c>
      <c r="Q73">
        <v>27</v>
      </c>
      <c r="R73">
        <v>17</v>
      </c>
      <c r="S73">
        <v>12748603.603603603</v>
      </c>
      <c r="T73">
        <v>14424000</v>
      </c>
      <c r="U73">
        <v>43078018.018018015</v>
      </c>
      <c r="V73">
        <v>24236216.216216218</v>
      </c>
      <c r="W73">
        <v>657</v>
      </c>
      <c r="X73">
        <v>699</v>
      </c>
    </row>
    <row r="74" spans="1:24">
      <c r="A74" s="7" t="s">
        <v>152</v>
      </c>
      <c r="B74" s="16" t="s">
        <v>151</v>
      </c>
      <c r="C74">
        <v>509964880.05760956</v>
      </c>
      <c r="D74">
        <v>509865329.43905693</v>
      </c>
      <c r="E74">
        <v>340861861.26126122</v>
      </c>
      <c r="F74">
        <v>620990429.72972977</v>
      </c>
      <c r="G74">
        <v>171</v>
      </c>
      <c r="H74">
        <v>290</v>
      </c>
      <c r="I74">
        <v>28</v>
      </c>
      <c r="J74">
        <v>23</v>
      </c>
      <c r="M74">
        <v>185</v>
      </c>
      <c r="N74">
        <v>345</v>
      </c>
      <c r="O74">
        <v>611524234.23423421</v>
      </c>
      <c r="P74">
        <v>384089711.71171176</v>
      </c>
      <c r="Q74">
        <v>273</v>
      </c>
      <c r="R74">
        <v>282</v>
      </c>
      <c r="S74">
        <v>176783457.65765765</v>
      </c>
      <c r="T74">
        <v>183175081.08108109</v>
      </c>
      <c r="U74">
        <v>510913463.06306303</v>
      </c>
      <c r="V74">
        <v>281908547.74774772</v>
      </c>
      <c r="W74">
        <v>8023</v>
      </c>
      <c r="X74">
        <v>8196</v>
      </c>
    </row>
    <row r="75" spans="1:24">
      <c r="A75" s="7" t="s">
        <v>153</v>
      </c>
      <c r="B75" s="16" t="s">
        <v>154</v>
      </c>
      <c r="C75">
        <v>465075793.18497312</v>
      </c>
      <c r="D75">
        <v>441810406.44618022</v>
      </c>
      <c r="E75">
        <v>187475437.83783782</v>
      </c>
      <c r="F75">
        <v>93299956.756756753</v>
      </c>
      <c r="G75">
        <v>40</v>
      </c>
      <c r="H75">
        <v>66</v>
      </c>
      <c r="I75">
        <v>1</v>
      </c>
      <c r="J75">
        <v>1</v>
      </c>
      <c r="M75">
        <v>76</v>
      </c>
      <c r="N75">
        <v>74</v>
      </c>
      <c r="O75">
        <v>78909369.369369358</v>
      </c>
      <c r="P75">
        <v>79112612.612612605</v>
      </c>
      <c r="Q75">
        <v>71</v>
      </c>
      <c r="R75">
        <v>88</v>
      </c>
      <c r="S75">
        <v>202535628.82882884</v>
      </c>
      <c r="T75">
        <v>184329594.5945946</v>
      </c>
      <c r="U75">
        <v>56472342.342342347</v>
      </c>
      <c r="V75">
        <v>52466036.036036029</v>
      </c>
      <c r="W75">
        <v>7249</v>
      </c>
      <c r="X75">
        <v>7210</v>
      </c>
    </row>
    <row r="76" spans="1:24">
      <c r="A76" s="7" t="s">
        <v>155</v>
      </c>
      <c r="B76" s="16" t="s">
        <v>154</v>
      </c>
      <c r="C76">
        <v>69408379.84943825</v>
      </c>
      <c r="D76">
        <v>43931808.874359839</v>
      </c>
      <c r="E76">
        <v>44144.144144143997</v>
      </c>
      <c r="F76">
        <v>223423.423423425</v>
      </c>
      <c r="G76">
        <v>18</v>
      </c>
      <c r="H76">
        <v>11</v>
      </c>
      <c r="I76">
        <v>3</v>
      </c>
      <c r="J76">
        <v>2</v>
      </c>
      <c r="M76">
        <v>21</v>
      </c>
      <c r="N76">
        <v>12</v>
      </c>
      <c r="O76">
        <v>5009009.0090090092</v>
      </c>
      <c r="P76">
        <v>5332432.4324324336</v>
      </c>
      <c r="Q76">
        <v>11</v>
      </c>
      <c r="R76">
        <v>33</v>
      </c>
      <c r="S76">
        <v>19323603.603603605</v>
      </c>
      <c r="T76">
        <v>11454270.270270269</v>
      </c>
      <c r="U76">
        <v>5123873.8738738727</v>
      </c>
      <c r="V76">
        <v>4039549.5495495489</v>
      </c>
      <c r="W76">
        <v>1966</v>
      </c>
      <c r="X76">
        <v>1272</v>
      </c>
    </row>
    <row r="77" spans="1:24">
      <c r="A77" s="7" t="s">
        <v>156</v>
      </c>
      <c r="B77" s="16" t="s">
        <v>154</v>
      </c>
      <c r="C77">
        <v>606599845.08524156</v>
      </c>
      <c r="D77">
        <v>498052481.59006882</v>
      </c>
      <c r="E77">
        <v>63805630.630630635</v>
      </c>
      <c r="F77">
        <v>132643468.46846849</v>
      </c>
      <c r="G77">
        <v>92</v>
      </c>
      <c r="H77">
        <v>39</v>
      </c>
      <c r="I77">
        <v>10</v>
      </c>
      <c r="J77">
        <v>8</v>
      </c>
      <c r="M77">
        <v>189</v>
      </c>
      <c r="N77">
        <v>140</v>
      </c>
      <c r="O77">
        <v>176951198.1981982</v>
      </c>
      <c r="P77">
        <v>89639189.189189181</v>
      </c>
      <c r="Q77">
        <v>160</v>
      </c>
      <c r="R77">
        <v>183</v>
      </c>
      <c r="S77">
        <v>235229673.87387389</v>
      </c>
      <c r="T77">
        <v>193690261.26126125</v>
      </c>
      <c r="U77">
        <v>173168738.73873875</v>
      </c>
      <c r="V77">
        <v>99537567.567567572</v>
      </c>
      <c r="W77">
        <v>7884</v>
      </c>
      <c r="X77">
        <v>8239</v>
      </c>
    </row>
    <row r="78" spans="1:24">
      <c r="A78" s="7" t="s">
        <v>157</v>
      </c>
      <c r="B78" s="16" t="s">
        <v>134</v>
      </c>
      <c r="C78">
        <v>231965875.14350244</v>
      </c>
      <c r="D78">
        <v>230963395.63792714</v>
      </c>
      <c r="E78">
        <v>749549.54954955203</v>
      </c>
      <c r="F78">
        <v>1075675.675675679</v>
      </c>
      <c r="G78">
        <v>54</v>
      </c>
      <c r="H78">
        <v>43</v>
      </c>
      <c r="I78">
        <v>14</v>
      </c>
      <c r="J78">
        <v>7</v>
      </c>
      <c r="K78">
        <v>1</v>
      </c>
      <c r="M78">
        <v>61</v>
      </c>
      <c r="N78">
        <v>50</v>
      </c>
      <c r="O78">
        <v>29154954.954954956</v>
      </c>
      <c r="P78">
        <v>25413521.621621624</v>
      </c>
      <c r="Q78">
        <v>129</v>
      </c>
      <c r="R78">
        <v>287</v>
      </c>
      <c r="S78">
        <v>21171531.531531531</v>
      </c>
      <c r="T78">
        <v>22932846.846846849</v>
      </c>
      <c r="U78">
        <v>10155495.495495496</v>
      </c>
      <c r="V78">
        <v>11536666.666666668</v>
      </c>
      <c r="W78">
        <v>4603</v>
      </c>
      <c r="X78">
        <v>4468</v>
      </c>
    </row>
    <row r="79" spans="1:24">
      <c r="A79" s="7" t="s">
        <v>1</v>
      </c>
      <c r="B79" s="16" t="s">
        <v>158</v>
      </c>
      <c r="C79">
        <v>411465766.7283684</v>
      </c>
      <c r="D79">
        <v>416446366.81849527</v>
      </c>
      <c r="E79">
        <v>568918.91891891998</v>
      </c>
      <c r="F79">
        <v>2831531.5315315342</v>
      </c>
      <c r="G79">
        <v>318</v>
      </c>
      <c r="H79">
        <v>144</v>
      </c>
      <c r="I79">
        <v>21</v>
      </c>
      <c r="J79">
        <v>9</v>
      </c>
      <c r="K79">
        <v>2</v>
      </c>
      <c r="M79">
        <v>708</v>
      </c>
      <c r="N79">
        <v>518</v>
      </c>
      <c r="O79">
        <v>49918108.108108111</v>
      </c>
      <c r="P79">
        <v>46886936.936936937</v>
      </c>
      <c r="Q79">
        <v>217</v>
      </c>
      <c r="R79">
        <v>144</v>
      </c>
      <c r="S79">
        <v>198793827.02702704</v>
      </c>
      <c r="T79">
        <v>198365477.47747746</v>
      </c>
      <c r="U79">
        <v>46916216.216216214</v>
      </c>
      <c r="V79">
        <v>44300000</v>
      </c>
      <c r="W79">
        <v>8220</v>
      </c>
      <c r="X79">
        <v>8307</v>
      </c>
    </row>
    <row r="80" spans="1:24">
      <c r="A80" s="7" t="s">
        <v>159</v>
      </c>
      <c r="B80" s="16" t="s">
        <v>121</v>
      </c>
      <c r="C80">
        <v>18685958.400706664</v>
      </c>
      <c r="D80">
        <v>15297145.24068238</v>
      </c>
      <c r="E80">
        <v>900.900900901</v>
      </c>
      <c r="G80">
        <v>24</v>
      </c>
      <c r="H80">
        <v>7</v>
      </c>
      <c r="I80">
        <v>0</v>
      </c>
      <c r="M80">
        <v>24</v>
      </c>
      <c r="N80">
        <v>8</v>
      </c>
      <c r="O80">
        <v>973873.87387387396</v>
      </c>
      <c r="Q80">
        <v>8</v>
      </c>
      <c r="S80">
        <v>1923063.063063063</v>
      </c>
      <c r="T80">
        <v>1360180.1801801799</v>
      </c>
      <c r="U80">
        <v>391261.26126126101</v>
      </c>
      <c r="V80">
        <v>29729.729729729999</v>
      </c>
      <c r="W80">
        <v>629</v>
      </c>
      <c r="X80">
        <v>497</v>
      </c>
    </row>
    <row r="81" spans="1:24">
      <c r="A81" s="7" t="s">
        <v>160</v>
      </c>
      <c r="B81" s="16" t="s">
        <v>161</v>
      </c>
      <c r="C81">
        <v>212753482.71330026</v>
      </c>
      <c r="D81">
        <v>221450114.31471452</v>
      </c>
      <c r="E81">
        <v>165818185.58558559</v>
      </c>
      <c r="F81">
        <v>138206048.64864865</v>
      </c>
      <c r="G81">
        <v>114</v>
      </c>
      <c r="H81">
        <v>130</v>
      </c>
      <c r="I81">
        <v>41</v>
      </c>
      <c r="J81">
        <v>21</v>
      </c>
      <c r="M81">
        <v>242</v>
      </c>
      <c r="N81">
        <v>238</v>
      </c>
      <c r="O81">
        <v>69279834.234234229</v>
      </c>
      <c r="P81">
        <v>79891458.558558553</v>
      </c>
      <c r="Q81">
        <v>283</v>
      </c>
      <c r="R81">
        <v>249</v>
      </c>
      <c r="S81">
        <v>94920108.108108118</v>
      </c>
      <c r="T81">
        <v>96866369.369369373</v>
      </c>
      <c r="U81">
        <v>61643693.69369369</v>
      </c>
      <c r="V81">
        <v>65735855.855855852</v>
      </c>
      <c r="W81">
        <v>6247</v>
      </c>
      <c r="X81">
        <v>5952</v>
      </c>
    </row>
    <row r="82" spans="1:24">
      <c r="A82" s="7" t="s">
        <v>162</v>
      </c>
      <c r="B82" s="16" t="s">
        <v>76</v>
      </c>
      <c r="C82">
        <v>99751766.477735117</v>
      </c>
      <c r="D82">
        <v>98515408.248415574</v>
      </c>
      <c r="E82">
        <v>191891.89189189201</v>
      </c>
      <c r="F82">
        <v>367567.56756756798</v>
      </c>
      <c r="G82">
        <v>20</v>
      </c>
      <c r="H82">
        <v>43</v>
      </c>
      <c r="I82">
        <v>1</v>
      </c>
      <c r="J82">
        <v>1</v>
      </c>
      <c r="M82">
        <v>22</v>
      </c>
      <c r="N82">
        <v>48</v>
      </c>
      <c r="O82">
        <v>1286486.4864864859</v>
      </c>
      <c r="P82">
        <v>1691891.8918918921</v>
      </c>
      <c r="Q82">
        <v>11</v>
      </c>
      <c r="R82">
        <v>9</v>
      </c>
      <c r="S82">
        <v>5707927.927927928</v>
      </c>
      <c r="T82">
        <v>5356063.0630630627</v>
      </c>
      <c r="U82">
        <v>1404144.1441441439</v>
      </c>
      <c r="V82">
        <v>1435675.675675676</v>
      </c>
      <c r="W82">
        <v>967</v>
      </c>
      <c r="X82">
        <v>947</v>
      </c>
    </row>
    <row r="83" spans="1:24">
      <c r="A83" s="7" t="s">
        <v>163</v>
      </c>
      <c r="B83" s="16" t="s">
        <v>52</v>
      </c>
      <c r="C83">
        <v>75648263.338476405</v>
      </c>
      <c r="D83">
        <v>76675206.998527348</v>
      </c>
      <c r="E83">
        <v>944819.81981982</v>
      </c>
      <c r="F83">
        <v>1116216.216216217</v>
      </c>
      <c r="G83">
        <v>9</v>
      </c>
      <c r="H83">
        <v>23</v>
      </c>
      <c r="I83">
        <v>1</v>
      </c>
      <c r="J83">
        <v>4</v>
      </c>
      <c r="M83">
        <v>11</v>
      </c>
      <c r="N83">
        <v>28</v>
      </c>
      <c r="O83">
        <v>1867567.567567568</v>
      </c>
      <c r="P83">
        <v>1368468.4684684691</v>
      </c>
      <c r="Q83">
        <v>2</v>
      </c>
      <c r="R83">
        <v>16</v>
      </c>
      <c r="S83">
        <v>38019990.990990989</v>
      </c>
      <c r="T83">
        <v>37363738.738738738</v>
      </c>
      <c r="U83">
        <v>1695945.945945946</v>
      </c>
      <c r="V83">
        <v>1533333.333333334</v>
      </c>
      <c r="W83">
        <v>1463</v>
      </c>
      <c r="X83">
        <v>1548</v>
      </c>
    </row>
    <row r="84" spans="1:24">
      <c r="A84" s="7" t="s">
        <v>164</v>
      </c>
      <c r="B84" s="16" t="s">
        <v>87</v>
      </c>
      <c r="C84">
        <v>65617066.157992259</v>
      </c>
      <c r="D84">
        <v>40379764.875623293</v>
      </c>
      <c r="E84">
        <v>48648.648648649003</v>
      </c>
      <c r="F84">
        <v>172972.97297297299</v>
      </c>
      <c r="G84">
        <v>92</v>
      </c>
      <c r="H84">
        <v>11</v>
      </c>
      <c r="I84">
        <v>1</v>
      </c>
      <c r="J84">
        <v>1</v>
      </c>
      <c r="M84">
        <v>98</v>
      </c>
      <c r="N84">
        <v>15</v>
      </c>
      <c r="O84">
        <v>1913513.5135135129</v>
      </c>
      <c r="P84">
        <v>1563963.9639639631</v>
      </c>
      <c r="Q84">
        <v>30</v>
      </c>
      <c r="R84">
        <v>102</v>
      </c>
      <c r="S84">
        <v>6372747.7477477482</v>
      </c>
      <c r="T84">
        <v>3939864.8648648649</v>
      </c>
      <c r="U84">
        <v>2334594.594594595</v>
      </c>
      <c r="V84">
        <v>1411801.8018018019</v>
      </c>
      <c r="W84">
        <v>1258</v>
      </c>
      <c r="X84">
        <v>1136</v>
      </c>
    </row>
    <row r="85" spans="1:24">
      <c r="A85" s="7" t="s">
        <v>165</v>
      </c>
      <c r="B85" s="16" t="s">
        <v>143</v>
      </c>
      <c r="C85">
        <v>11759595.081617022</v>
      </c>
      <c r="D85">
        <v>13207853.915446706</v>
      </c>
      <c r="E85">
        <v>287387.38738738699</v>
      </c>
      <c r="F85">
        <v>130630.630630631</v>
      </c>
      <c r="G85">
        <v>6</v>
      </c>
      <c r="H85">
        <v>10</v>
      </c>
      <c r="I85">
        <v>3</v>
      </c>
      <c r="J85">
        <v>2</v>
      </c>
      <c r="M85">
        <v>8</v>
      </c>
      <c r="N85">
        <v>10</v>
      </c>
      <c r="O85">
        <v>3098198.1981981979</v>
      </c>
      <c r="P85">
        <v>1635135.1351351349</v>
      </c>
      <c r="Q85">
        <v>25</v>
      </c>
      <c r="R85">
        <v>11</v>
      </c>
      <c r="S85">
        <v>1755315.315315315</v>
      </c>
      <c r="T85">
        <v>1475063.063063063</v>
      </c>
      <c r="U85">
        <v>2044684.684684684</v>
      </c>
      <c r="V85">
        <v>756936.93693693704</v>
      </c>
      <c r="W85">
        <v>336</v>
      </c>
      <c r="X85">
        <v>351</v>
      </c>
    </row>
    <row r="86" spans="1:24">
      <c r="A86" s="7" t="s">
        <v>166</v>
      </c>
      <c r="B86" s="16" t="s">
        <v>167</v>
      </c>
      <c r="C86">
        <v>50342895.861262783</v>
      </c>
      <c r="D86">
        <v>53425960.980752215</v>
      </c>
      <c r="E86">
        <v>18918.918918919</v>
      </c>
      <c r="F86">
        <v>741441.441441442</v>
      </c>
      <c r="G86">
        <v>24</v>
      </c>
      <c r="H86">
        <v>15</v>
      </c>
      <c r="I86">
        <v>3</v>
      </c>
      <c r="J86">
        <v>2</v>
      </c>
      <c r="M86">
        <v>26</v>
      </c>
      <c r="N86">
        <v>17</v>
      </c>
      <c r="O86">
        <v>6562691.891891893</v>
      </c>
      <c r="P86">
        <v>4577027.0270270268</v>
      </c>
      <c r="R86">
        <v>32</v>
      </c>
      <c r="S86">
        <v>23559234.234234232</v>
      </c>
      <c r="T86">
        <v>25911809.009009007</v>
      </c>
      <c r="U86">
        <v>5744684.6846846864</v>
      </c>
      <c r="V86">
        <v>4570180.180180178</v>
      </c>
      <c r="W86">
        <v>1352</v>
      </c>
      <c r="X86">
        <v>1383</v>
      </c>
    </row>
    <row r="87" spans="1:24">
      <c r="A87" s="7" t="s">
        <v>168</v>
      </c>
      <c r="B87" s="16" t="s">
        <v>169</v>
      </c>
      <c r="C87">
        <v>240864705.07110065</v>
      </c>
      <c r="D87">
        <v>250812830.70945519</v>
      </c>
      <c r="E87">
        <v>794144.14414414403</v>
      </c>
      <c r="F87">
        <v>1525225.225225227</v>
      </c>
      <c r="G87">
        <v>62</v>
      </c>
      <c r="H87">
        <v>33</v>
      </c>
      <c r="I87">
        <v>7</v>
      </c>
      <c r="J87">
        <v>3</v>
      </c>
      <c r="K87">
        <v>1</v>
      </c>
      <c r="M87">
        <v>72</v>
      </c>
      <c r="N87">
        <v>53</v>
      </c>
      <c r="O87">
        <v>29600990.990990993</v>
      </c>
      <c r="P87">
        <v>37939889.189189181</v>
      </c>
      <c r="Q87">
        <v>125</v>
      </c>
      <c r="R87">
        <v>29</v>
      </c>
      <c r="S87">
        <v>67163045.045045048</v>
      </c>
      <c r="T87">
        <v>77739903.153153151</v>
      </c>
      <c r="U87">
        <v>29059819.819819819</v>
      </c>
      <c r="V87">
        <v>36592702.702702701</v>
      </c>
      <c r="W87">
        <v>6680</v>
      </c>
      <c r="X87">
        <v>6984</v>
      </c>
    </row>
    <row r="88" spans="1:24">
      <c r="A88" s="7" t="s">
        <v>170</v>
      </c>
      <c r="B88" s="16" t="s">
        <v>54</v>
      </c>
      <c r="C88">
        <v>36958955.611078687</v>
      </c>
      <c r="D88">
        <v>37051405.585478857</v>
      </c>
      <c r="E88">
        <v>45945.945945947002</v>
      </c>
      <c r="F88">
        <v>381081.08108108101</v>
      </c>
      <c r="G88">
        <v>5</v>
      </c>
      <c r="H88">
        <v>3</v>
      </c>
      <c r="I88">
        <v>2</v>
      </c>
      <c r="J88">
        <v>1</v>
      </c>
      <c r="M88">
        <v>7</v>
      </c>
      <c r="N88">
        <v>3</v>
      </c>
      <c r="O88">
        <v>6960360.3603603607</v>
      </c>
      <c r="P88">
        <v>2680630.630630631</v>
      </c>
      <c r="Q88">
        <v>18</v>
      </c>
      <c r="R88">
        <v>6</v>
      </c>
      <c r="S88">
        <v>6177387.3873873884</v>
      </c>
      <c r="T88">
        <v>6004054.0540540544</v>
      </c>
      <c r="U88">
        <v>5260810.81081081</v>
      </c>
      <c r="V88">
        <v>3724504.5045045041</v>
      </c>
      <c r="W88">
        <v>639</v>
      </c>
      <c r="X88">
        <v>701</v>
      </c>
    </row>
    <row r="89" spans="1:24">
      <c r="A89" s="7" t="s">
        <v>171</v>
      </c>
      <c r="B89" s="16" t="s">
        <v>60</v>
      </c>
      <c r="C89">
        <v>799401392.73276949</v>
      </c>
      <c r="D89">
        <v>781893130.37386811</v>
      </c>
      <c r="E89">
        <v>4994819.8198198248</v>
      </c>
      <c r="F89">
        <v>9753153.1531531569</v>
      </c>
      <c r="G89">
        <v>119</v>
      </c>
      <c r="H89">
        <v>209</v>
      </c>
      <c r="I89">
        <v>34</v>
      </c>
      <c r="J89">
        <v>40</v>
      </c>
      <c r="M89">
        <v>132</v>
      </c>
      <c r="N89">
        <v>239</v>
      </c>
      <c r="O89">
        <v>43936936.936936937</v>
      </c>
      <c r="P89">
        <v>37371171.171171166</v>
      </c>
      <c r="Q89">
        <v>274</v>
      </c>
      <c r="R89">
        <v>240</v>
      </c>
      <c r="S89">
        <v>279044617.11711711</v>
      </c>
      <c r="T89">
        <v>288393432.43243247</v>
      </c>
      <c r="U89">
        <v>45802072.072072074</v>
      </c>
      <c r="V89">
        <v>36649909.909909911</v>
      </c>
      <c r="W89">
        <v>12050</v>
      </c>
      <c r="X89">
        <v>12702</v>
      </c>
    </row>
    <row r="90" spans="1:24">
      <c r="A90" s="7" t="s">
        <v>172</v>
      </c>
      <c r="B90" s="16" t="s">
        <v>121</v>
      </c>
      <c r="C90">
        <v>335764068.59619212</v>
      </c>
      <c r="D90">
        <v>323020926.14711481</v>
      </c>
      <c r="E90">
        <v>1186486.4864864899</v>
      </c>
      <c r="F90">
        <v>2181081.0810810821</v>
      </c>
      <c r="G90">
        <v>231</v>
      </c>
      <c r="H90">
        <v>146</v>
      </c>
      <c r="I90">
        <v>18</v>
      </c>
      <c r="J90">
        <v>15</v>
      </c>
      <c r="M90">
        <v>245</v>
      </c>
      <c r="N90">
        <v>163</v>
      </c>
      <c r="O90">
        <v>97480180.180180177</v>
      </c>
      <c r="P90">
        <v>20574774.774774771</v>
      </c>
      <c r="Q90">
        <v>290</v>
      </c>
      <c r="R90">
        <v>138</v>
      </c>
      <c r="S90">
        <v>48922927.927927926</v>
      </c>
      <c r="T90">
        <v>43698907.657657653</v>
      </c>
      <c r="U90">
        <v>92122792.792792782</v>
      </c>
      <c r="V90">
        <v>14815405.405405404</v>
      </c>
      <c r="W90">
        <v>5823</v>
      </c>
      <c r="X90">
        <v>5741</v>
      </c>
    </row>
    <row r="91" spans="1:24">
      <c r="A91" s="7" t="s">
        <v>173</v>
      </c>
      <c r="B91" s="16" t="s">
        <v>174</v>
      </c>
      <c r="C91">
        <v>237340500.71375194</v>
      </c>
      <c r="D91">
        <v>228430118.04207495</v>
      </c>
      <c r="E91">
        <v>2483108.1081081098</v>
      </c>
      <c r="F91">
        <v>5656531.5315315314</v>
      </c>
      <c r="G91">
        <v>81</v>
      </c>
      <c r="H91">
        <v>49</v>
      </c>
      <c r="I91">
        <v>17</v>
      </c>
      <c r="J91">
        <v>15</v>
      </c>
      <c r="K91">
        <v>5</v>
      </c>
      <c r="M91">
        <v>88</v>
      </c>
      <c r="N91">
        <v>164</v>
      </c>
      <c r="O91">
        <v>31980585.585585583</v>
      </c>
      <c r="P91">
        <v>38452702.702702701</v>
      </c>
      <c r="Q91">
        <v>424</v>
      </c>
      <c r="R91">
        <v>560</v>
      </c>
      <c r="S91">
        <v>30459612.612612613</v>
      </c>
      <c r="T91">
        <v>28728126.126126129</v>
      </c>
      <c r="U91">
        <v>23906306.306306306</v>
      </c>
      <c r="V91">
        <v>33201351.351351351</v>
      </c>
      <c r="W91">
        <v>4578</v>
      </c>
      <c r="X91">
        <v>4567</v>
      </c>
    </row>
    <row r="92" spans="1:24">
      <c r="A92" s="7" t="s">
        <v>175</v>
      </c>
      <c r="B92" s="16" t="s">
        <v>174</v>
      </c>
      <c r="C92">
        <v>360755184.5834406</v>
      </c>
      <c r="D92">
        <v>359079522.32586378</v>
      </c>
      <c r="E92">
        <v>892792.79279279895</v>
      </c>
      <c r="F92">
        <v>2585360.360360364</v>
      </c>
      <c r="G92">
        <v>145</v>
      </c>
      <c r="H92">
        <v>137</v>
      </c>
      <c r="I92">
        <v>33</v>
      </c>
      <c r="J92">
        <v>16</v>
      </c>
      <c r="K92">
        <v>1</v>
      </c>
      <c r="M92">
        <v>179</v>
      </c>
      <c r="N92">
        <v>199</v>
      </c>
      <c r="O92">
        <v>59311747.747747742</v>
      </c>
      <c r="P92">
        <v>45454954.954954952</v>
      </c>
      <c r="Q92">
        <v>391</v>
      </c>
      <c r="R92">
        <v>333</v>
      </c>
      <c r="S92">
        <v>63351868.468468465</v>
      </c>
      <c r="T92">
        <v>60158630.630630635</v>
      </c>
      <c r="U92">
        <v>51334500.9009009</v>
      </c>
      <c r="V92">
        <v>40640360.360360369</v>
      </c>
      <c r="W92">
        <v>8593</v>
      </c>
      <c r="X92">
        <v>8779</v>
      </c>
    </row>
    <row r="93" spans="1:24">
      <c r="A93" s="7" t="s">
        <v>176</v>
      </c>
      <c r="B93" s="16" t="s">
        <v>174</v>
      </c>
      <c r="C93">
        <v>487042987.12902194</v>
      </c>
      <c r="D93">
        <v>489819777.47848499</v>
      </c>
      <c r="E93">
        <v>131286151.35135137</v>
      </c>
      <c r="F93">
        <v>137514830.63063064</v>
      </c>
      <c r="G93">
        <v>258</v>
      </c>
      <c r="H93">
        <v>225</v>
      </c>
      <c r="I93">
        <v>21</v>
      </c>
      <c r="J93">
        <v>19</v>
      </c>
      <c r="K93">
        <v>4</v>
      </c>
      <c r="M93">
        <v>304</v>
      </c>
      <c r="N93">
        <v>290</v>
      </c>
      <c r="O93">
        <v>81409917.117117122</v>
      </c>
      <c r="P93">
        <v>66015315.315315314</v>
      </c>
      <c r="Q93">
        <v>411</v>
      </c>
      <c r="R93">
        <v>228</v>
      </c>
      <c r="S93">
        <v>83850554.054054052</v>
      </c>
      <c r="T93">
        <v>74594581.081081092</v>
      </c>
      <c r="U93">
        <v>45564144.144144148</v>
      </c>
      <c r="V93">
        <v>39910810.810810804</v>
      </c>
      <c r="W93">
        <v>11472</v>
      </c>
      <c r="X93">
        <v>11795</v>
      </c>
    </row>
    <row r="94" spans="1:24">
      <c r="A94" s="7" t="s">
        <v>177</v>
      </c>
      <c r="B94" s="16" t="s">
        <v>178</v>
      </c>
      <c r="C94">
        <v>175377863.70752922</v>
      </c>
      <c r="D94">
        <v>168517487.0056169</v>
      </c>
      <c r="E94">
        <v>813513.51351351396</v>
      </c>
      <c r="F94">
        <v>499099.099099099</v>
      </c>
      <c r="G94">
        <v>59</v>
      </c>
      <c r="H94">
        <v>31</v>
      </c>
      <c r="I94">
        <v>1</v>
      </c>
      <c r="J94">
        <v>5</v>
      </c>
      <c r="M94">
        <v>71</v>
      </c>
      <c r="N94">
        <v>40</v>
      </c>
      <c r="O94">
        <v>8249635.1351351347</v>
      </c>
      <c r="P94">
        <v>9615540.5405405406</v>
      </c>
      <c r="Q94">
        <v>39</v>
      </c>
      <c r="R94">
        <v>12</v>
      </c>
      <c r="S94">
        <v>61090360.360360362</v>
      </c>
      <c r="T94">
        <v>67554403.603603601</v>
      </c>
      <c r="U94">
        <v>5754774.7747747768</v>
      </c>
      <c r="V94">
        <v>9226171.1711711716</v>
      </c>
      <c r="W94">
        <v>3705</v>
      </c>
      <c r="X94">
        <v>3575</v>
      </c>
    </row>
    <row r="95" spans="1:24">
      <c r="A95" s="7" t="s">
        <v>179</v>
      </c>
      <c r="B95" s="16" t="s">
        <v>167</v>
      </c>
      <c r="C95">
        <v>220949775.10495359</v>
      </c>
      <c r="D95">
        <v>195389008.27680543</v>
      </c>
      <c r="E95">
        <v>632432.43243243406</v>
      </c>
      <c r="F95">
        <v>2315090.0900900899</v>
      </c>
      <c r="G95">
        <v>98</v>
      </c>
      <c r="H95">
        <v>28</v>
      </c>
      <c r="I95">
        <v>1</v>
      </c>
      <c r="J95">
        <v>2</v>
      </c>
      <c r="M95">
        <v>108</v>
      </c>
      <c r="N95">
        <v>50</v>
      </c>
      <c r="O95">
        <v>7097117.117117119</v>
      </c>
      <c r="P95">
        <v>5534234.2342342352</v>
      </c>
      <c r="Q95">
        <v>43</v>
      </c>
      <c r="S95">
        <v>54721306.306306303</v>
      </c>
      <c r="T95">
        <v>49039693.693693697</v>
      </c>
      <c r="U95">
        <v>8946036.0360360369</v>
      </c>
      <c r="V95">
        <v>2926576.5765765798</v>
      </c>
      <c r="W95">
        <v>4598</v>
      </c>
      <c r="X95">
        <v>4521</v>
      </c>
    </row>
    <row r="96" spans="1:24">
      <c r="A96" s="7" t="s">
        <v>180</v>
      </c>
      <c r="B96" s="16" t="s">
        <v>181</v>
      </c>
      <c r="C96">
        <v>166679314.5532347</v>
      </c>
      <c r="D96">
        <v>157586001.47923166</v>
      </c>
      <c r="E96">
        <v>907207.20720720803</v>
      </c>
      <c r="F96">
        <v>357657.65765765798</v>
      </c>
      <c r="G96">
        <v>22</v>
      </c>
      <c r="H96">
        <v>21</v>
      </c>
      <c r="I96">
        <v>1</v>
      </c>
      <c r="J96">
        <v>1</v>
      </c>
      <c r="M96">
        <v>24</v>
      </c>
      <c r="N96">
        <v>27</v>
      </c>
      <c r="O96">
        <v>10480630.630630629</v>
      </c>
      <c r="P96">
        <v>8787207.2072072048</v>
      </c>
      <c r="Q96">
        <v>43</v>
      </c>
      <c r="R96">
        <v>54</v>
      </c>
      <c r="S96">
        <v>34850765.765765771</v>
      </c>
      <c r="T96">
        <v>39395452.702702701</v>
      </c>
      <c r="U96">
        <v>12401891.891891891</v>
      </c>
      <c r="V96">
        <v>10502522.52252252</v>
      </c>
      <c r="W96">
        <v>3061</v>
      </c>
      <c r="X96">
        <v>2981</v>
      </c>
    </row>
    <row r="97" spans="1:24">
      <c r="A97" s="7" t="s">
        <v>182</v>
      </c>
      <c r="B97" s="16" t="s">
        <v>94</v>
      </c>
      <c r="C97">
        <v>148337175.89444846</v>
      </c>
      <c r="D97">
        <v>152704108.35602748</v>
      </c>
      <c r="E97">
        <v>141441.44144144101</v>
      </c>
      <c r="F97">
        <v>54054.054054054002</v>
      </c>
      <c r="G97">
        <v>67</v>
      </c>
      <c r="H97">
        <v>44</v>
      </c>
      <c r="I97">
        <v>0</v>
      </c>
      <c r="J97">
        <v>0</v>
      </c>
      <c r="K97">
        <v>1</v>
      </c>
      <c r="M97">
        <v>77</v>
      </c>
      <c r="N97">
        <v>54</v>
      </c>
      <c r="O97">
        <v>141441.44144144101</v>
      </c>
      <c r="P97">
        <v>4477477.4774774769</v>
      </c>
      <c r="R97">
        <v>17</v>
      </c>
      <c r="S97">
        <v>13005090.09009009</v>
      </c>
      <c r="T97">
        <v>16127558.558558557</v>
      </c>
      <c r="U97">
        <v>1044684.684684685</v>
      </c>
      <c r="V97">
        <v>1783423.423423423</v>
      </c>
      <c r="W97">
        <v>3784</v>
      </c>
      <c r="X97">
        <v>3716</v>
      </c>
    </row>
    <row r="98" spans="1:24">
      <c r="A98" s="7" t="s">
        <v>183</v>
      </c>
      <c r="B98" s="16" t="s">
        <v>94</v>
      </c>
      <c r="C98">
        <v>992515166.88728166</v>
      </c>
      <c r="D98">
        <v>939342232.27258265</v>
      </c>
      <c r="E98">
        <v>545169883.78378379</v>
      </c>
      <c r="F98">
        <v>1066725757.6576577</v>
      </c>
      <c r="G98">
        <v>243</v>
      </c>
      <c r="H98">
        <v>192</v>
      </c>
      <c r="I98">
        <v>32</v>
      </c>
      <c r="J98">
        <v>25</v>
      </c>
      <c r="K98">
        <v>2</v>
      </c>
      <c r="M98">
        <v>269</v>
      </c>
      <c r="N98">
        <v>233</v>
      </c>
      <c r="O98">
        <v>55514684.684684679</v>
      </c>
      <c r="P98">
        <v>61207657.657657653</v>
      </c>
      <c r="Q98">
        <v>202</v>
      </c>
      <c r="R98">
        <v>523</v>
      </c>
      <c r="S98">
        <v>113663130.63063063</v>
      </c>
      <c r="T98">
        <v>115366473.42342342</v>
      </c>
      <c r="U98">
        <v>46583963.963963971</v>
      </c>
      <c r="V98">
        <v>53034414.414414413</v>
      </c>
      <c r="W98">
        <v>16030</v>
      </c>
      <c r="X98">
        <v>16264</v>
      </c>
    </row>
    <row r="99" spans="1:24">
      <c r="A99" s="7" t="s">
        <v>184</v>
      </c>
      <c r="B99" s="16" t="s">
        <v>89</v>
      </c>
      <c r="C99">
        <v>89346474.086883485</v>
      </c>
      <c r="D99">
        <v>85398855.046554253</v>
      </c>
      <c r="E99">
        <v>1047297.297297298</v>
      </c>
      <c r="F99">
        <v>798873.87387387396</v>
      </c>
      <c r="G99">
        <v>20</v>
      </c>
      <c r="H99">
        <v>18</v>
      </c>
      <c r="I99">
        <v>2</v>
      </c>
      <c r="J99">
        <v>6</v>
      </c>
      <c r="M99">
        <v>21</v>
      </c>
      <c r="N99">
        <v>20</v>
      </c>
      <c r="O99">
        <v>3381531.53153153</v>
      </c>
      <c r="P99">
        <v>4585945.9459459456</v>
      </c>
      <c r="Q99">
        <v>25</v>
      </c>
      <c r="R99">
        <v>45</v>
      </c>
      <c r="S99">
        <v>28926261.261261258</v>
      </c>
      <c r="T99">
        <v>28882234.234234232</v>
      </c>
      <c r="U99">
        <v>3312792.792792792</v>
      </c>
      <c r="V99">
        <v>3572612.6126126121</v>
      </c>
      <c r="W99">
        <v>1797</v>
      </c>
      <c r="X99">
        <v>1635</v>
      </c>
    </row>
    <row r="100" spans="1:24">
      <c r="A100" s="7" t="s">
        <v>185</v>
      </c>
      <c r="B100" s="16" t="s">
        <v>60</v>
      </c>
      <c r="C100">
        <v>49238017.904106431</v>
      </c>
      <c r="D100">
        <v>51572227.415388994</v>
      </c>
      <c r="E100">
        <v>36373873.873873875</v>
      </c>
      <c r="F100">
        <v>35754954.954954959</v>
      </c>
      <c r="G100">
        <v>8</v>
      </c>
      <c r="H100">
        <v>11</v>
      </c>
      <c r="I100">
        <v>1</v>
      </c>
      <c r="J100">
        <v>3</v>
      </c>
      <c r="M100">
        <v>8</v>
      </c>
      <c r="N100">
        <v>13</v>
      </c>
      <c r="O100">
        <v>7806756.7567567565</v>
      </c>
      <c r="P100">
        <v>1790990.9909909931</v>
      </c>
      <c r="Q100">
        <v>18</v>
      </c>
      <c r="S100">
        <v>18220765.765765764</v>
      </c>
      <c r="T100">
        <v>17858623.873873875</v>
      </c>
      <c r="U100">
        <v>2629279.2792792791</v>
      </c>
      <c r="V100">
        <v>953603.60360360402</v>
      </c>
      <c r="W100">
        <v>809</v>
      </c>
      <c r="X100">
        <v>844</v>
      </c>
    </row>
    <row r="101" spans="1:24">
      <c r="A101" s="7" t="s">
        <v>186</v>
      </c>
      <c r="B101" s="16" t="s">
        <v>167</v>
      </c>
      <c r="C101">
        <v>118721021.13809866</v>
      </c>
      <c r="D101">
        <v>127698340.96538222</v>
      </c>
      <c r="E101">
        <v>7207.207207208</v>
      </c>
      <c r="F101">
        <v>1630405.4054054059</v>
      </c>
      <c r="G101">
        <v>22</v>
      </c>
      <c r="H101">
        <v>5</v>
      </c>
      <c r="I101">
        <v>2</v>
      </c>
      <c r="J101">
        <v>5</v>
      </c>
      <c r="M101">
        <v>27</v>
      </c>
      <c r="N101">
        <v>6</v>
      </c>
      <c r="O101">
        <v>268468.468468468</v>
      </c>
      <c r="P101">
        <v>1968468.4684684691</v>
      </c>
      <c r="S101">
        <v>30540225.225225225</v>
      </c>
      <c r="T101">
        <v>33847954.954954959</v>
      </c>
      <c r="U101">
        <v>396396.39639639598</v>
      </c>
      <c r="V101">
        <v>268828.82882882899</v>
      </c>
      <c r="W101">
        <v>2474</v>
      </c>
      <c r="X101">
        <v>2752</v>
      </c>
    </row>
    <row r="102" spans="1:24">
      <c r="A102" s="7" t="s">
        <v>187</v>
      </c>
      <c r="B102" s="16" t="s">
        <v>167</v>
      </c>
      <c r="C102">
        <v>355099466.00808936</v>
      </c>
      <c r="D102">
        <v>337417482.71776265</v>
      </c>
      <c r="E102">
        <v>22522.522522523999</v>
      </c>
      <c r="F102">
        <v>1312612.6126126151</v>
      </c>
      <c r="G102">
        <v>118</v>
      </c>
      <c r="H102">
        <v>42</v>
      </c>
      <c r="I102">
        <v>3</v>
      </c>
      <c r="J102">
        <v>7</v>
      </c>
      <c r="M102">
        <v>133</v>
      </c>
      <c r="N102">
        <v>46</v>
      </c>
      <c r="O102">
        <v>8463963.9639639668</v>
      </c>
      <c r="P102">
        <v>13520301.801801804</v>
      </c>
      <c r="Q102">
        <v>30</v>
      </c>
      <c r="R102">
        <v>15</v>
      </c>
      <c r="S102">
        <v>72578702.702702701</v>
      </c>
      <c r="T102">
        <v>69760864.864864871</v>
      </c>
      <c r="U102">
        <v>9194684.6846846845</v>
      </c>
      <c r="V102">
        <v>10273963.963963967</v>
      </c>
      <c r="W102">
        <v>5336</v>
      </c>
      <c r="X102">
        <v>5944</v>
      </c>
    </row>
    <row r="103" spans="1:24">
      <c r="A103" s="7" t="s">
        <v>188</v>
      </c>
      <c r="B103" s="16" t="s">
        <v>189</v>
      </c>
      <c r="C103">
        <v>155837081.2758995</v>
      </c>
      <c r="D103">
        <v>148782700.16273332</v>
      </c>
      <c r="E103">
        <v>632432.43243243196</v>
      </c>
      <c r="F103">
        <v>270270.27027027</v>
      </c>
      <c r="G103">
        <v>25</v>
      </c>
      <c r="H103">
        <v>19</v>
      </c>
      <c r="I103">
        <v>0</v>
      </c>
      <c r="M103">
        <v>30</v>
      </c>
      <c r="N103">
        <v>22</v>
      </c>
      <c r="O103">
        <v>2614414.4144144142</v>
      </c>
      <c r="P103">
        <v>2072072.072072072</v>
      </c>
      <c r="Q103">
        <v>1</v>
      </c>
      <c r="S103">
        <v>12191621.621621622</v>
      </c>
      <c r="T103">
        <v>10608954.954954956</v>
      </c>
      <c r="U103">
        <v>2659459.4594594589</v>
      </c>
      <c r="V103">
        <v>1937387.387387387</v>
      </c>
      <c r="W103">
        <v>1800</v>
      </c>
      <c r="X103">
        <v>1685</v>
      </c>
    </row>
    <row r="104" spans="1:24">
      <c r="A104" s="7" t="s">
        <v>190</v>
      </c>
      <c r="B104" s="16" t="s">
        <v>134</v>
      </c>
      <c r="C104">
        <v>36605923.495831594</v>
      </c>
      <c r="D104">
        <v>35520205.030872688</v>
      </c>
      <c r="F104">
        <v>13513.513513514001</v>
      </c>
      <c r="G104">
        <v>24</v>
      </c>
      <c r="H104">
        <v>20</v>
      </c>
      <c r="J104">
        <v>0</v>
      </c>
      <c r="M104">
        <v>28</v>
      </c>
      <c r="N104">
        <v>23</v>
      </c>
      <c r="O104">
        <v>45045.045045045001</v>
      </c>
      <c r="P104">
        <v>58558.558558559002</v>
      </c>
      <c r="Q104">
        <v>5</v>
      </c>
      <c r="R104">
        <v>6</v>
      </c>
      <c r="S104">
        <v>4383513.5135135129</v>
      </c>
      <c r="T104">
        <v>2441351.3513513519</v>
      </c>
      <c r="U104">
        <v>45045.045045045001</v>
      </c>
      <c r="V104">
        <v>200900.900900901</v>
      </c>
      <c r="W104">
        <v>1345</v>
      </c>
      <c r="X104">
        <v>1036</v>
      </c>
    </row>
    <row r="105" spans="1:24">
      <c r="A105" s="7" t="s">
        <v>191</v>
      </c>
      <c r="B105" s="16" t="s">
        <v>60</v>
      </c>
      <c r="C105">
        <v>226650104.77920926</v>
      </c>
      <c r="D105">
        <v>214576801.01124027</v>
      </c>
      <c r="E105">
        <v>1338738.7387387401</v>
      </c>
      <c r="F105">
        <v>3081756.756756756</v>
      </c>
      <c r="G105">
        <v>58</v>
      </c>
      <c r="H105">
        <v>21</v>
      </c>
      <c r="I105">
        <v>3</v>
      </c>
      <c r="J105">
        <v>4</v>
      </c>
      <c r="M105">
        <v>70</v>
      </c>
      <c r="N105">
        <v>76</v>
      </c>
      <c r="O105">
        <v>15302702.702702705</v>
      </c>
      <c r="P105">
        <v>18253153.153153151</v>
      </c>
      <c r="Q105">
        <v>95</v>
      </c>
      <c r="R105">
        <v>127</v>
      </c>
      <c r="S105">
        <v>76410252.252252251</v>
      </c>
      <c r="T105">
        <v>71871873.873873875</v>
      </c>
      <c r="U105">
        <v>16177207.207207205</v>
      </c>
      <c r="V105">
        <v>17398108.108108107</v>
      </c>
      <c r="W105">
        <v>4036</v>
      </c>
      <c r="X105">
        <v>3989</v>
      </c>
    </row>
    <row r="106" spans="1:24">
      <c r="A106" s="7" t="s">
        <v>192</v>
      </c>
      <c r="B106" s="16" t="s">
        <v>60</v>
      </c>
      <c r="C106">
        <v>385825393.15151763</v>
      </c>
      <c r="D106">
        <v>371299873.81789547</v>
      </c>
      <c r="E106">
        <v>2902702.702702703</v>
      </c>
      <c r="F106">
        <v>3701801.8018018012</v>
      </c>
      <c r="G106">
        <v>74</v>
      </c>
      <c r="H106">
        <v>31</v>
      </c>
      <c r="I106">
        <v>5</v>
      </c>
      <c r="J106">
        <v>9</v>
      </c>
      <c r="M106">
        <v>81</v>
      </c>
      <c r="N106">
        <v>42</v>
      </c>
      <c r="O106">
        <v>15871171.171171172</v>
      </c>
      <c r="P106">
        <v>20071171.17117117</v>
      </c>
      <c r="Q106">
        <v>80</v>
      </c>
      <c r="R106">
        <v>50</v>
      </c>
      <c r="S106">
        <v>89357477.477477476</v>
      </c>
      <c r="T106">
        <v>87884234.234234244</v>
      </c>
      <c r="U106">
        <v>14347837.837837836</v>
      </c>
      <c r="V106">
        <v>19293513.513513517</v>
      </c>
      <c r="W106">
        <v>6644</v>
      </c>
      <c r="X106">
        <v>6457</v>
      </c>
    </row>
    <row r="107" spans="1:24">
      <c r="A107" s="7" t="s">
        <v>2</v>
      </c>
      <c r="B107" s="16" t="s">
        <v>193</v>
      </c>
      <c r="C107">
        <v>48365116.464128777</v>
      </c>
      <c r="D107">
        <v>40760914.843795151</v>
      </c>
      <c r="E107">
        <v>57657.657657657001</v>
      </c>
      <c r="F107">
        <v>310810.81081081199</v>
      </c>
      <c r="G107">
        <v>13</v>
      </c>
      <c r="H107">
        <v>4</v>
      </c>
      <c r="I107">
        <v>3</v>
      </c>
      <c r="J107">
        <v>0</v>
      </c>
      <c r="M107">
        <v>13</v>
      </c>
      <c r="N107">
        <v>6</v>
      </c>
      <c r="O107">
        <v>324324.32432432403</v>
      </c>
      <c r="P107">
        <v>6662162.1621621633</v>
      </c>
      <c r="Q107">
        <v>6</v>
      </c>
      <c r="S107">
        <v>26336936.936936937</v>
      </c>
      <c r="T107">
        <v>23089792.792792793</v>
      </c>
      <c r="U107">
        <v>330180.18018018099</v>
      </c>
      <c r="V107">
        <v>6763063.0630630637</v>
      </c>
      <c r="W107">
        <v>1205</v>
      </c>
      <c r="X107">
        <v>1222</v>
      </c>
    </row>
    <row r="108" spans="1:24">
      <c r="A108" s="7" t="s">
        <v>194</v>
      </c>
      <c r="B108" s="16" t="s">
        <v>195</v>
      </c>
      <c r="C108">
        <v>1281742236.9060109</v>
      </c>
      <c r="D108">
        <v>1286840722.5824323</v>
      </c>
      <c r="E108">
        <v>2405855.855855857</v>
      </c>
      <c r="F108">
        <v>4043918.9189189202</v>
      </c>
      <c r="G108">
        <v>317</v>
      </c>
      <c r="H108">
        <v>304</v>
      </c>
      <c r="I108">
        <v>4</v>
      </c>
      <c r="J108">
        <v>10</v>
      </c>
      <c r="M108">
        <v>354</v>
      </c>
      <c r="N108">
        <v>470</v>
      </c>
      <c r="O108">
        <v>54299549.54954955</v>
      </c>
      <c r="P108">
        <v>56353873.873873875</v>
      </c>
      <c r="Q108">
        <v>160</v>
      </c>
      <c r="R108">
        <v>278</v>
      </c>
      <c r="S108">
        <v>230922828.82882884</v>
      </c>
      <c r="T108">
        <v>248949504.5045045</v>
      </c>
      <c r="U108">
        <v>53950810.810810804</v>
      </c>
      <c r="V108">
        <v>49921351.351351351</v>
      </c>
      <c r="W108">
        <v>18191</v>
      </c>
      <c r="X108">
        <v>17619</v>
      </c>
    </row>
    <row r="109" spans="1:24">
      <c r="A109" s="7" t="s">
        <v>196</v>
      </c>
      <c r="B109" s="16" t="s">
        <v>80</v>
      </c>
      <c r="C109">
        <v>391095947.34825581</v>
      </c>
      <c r="D109">
        <v>395491779.34766418</v>
      </c>
      <c r="E109">
        <v>246846.846846848</v>
      </c>
      <c r="F109">
        <v>1952252.2522522539</v>
      </c>
      <c r="G109">
        <v>96</v>
      </c>
      <c r="H109">
        <v>96</v>
      </c>
      <c r="I109">
        <v>17</v>
      </c>
      <c r="J109">
        <v>11</v>
      </c>
      <c r="M109">
        <v>101</v>
      </c>
      <c r="N109">
        <v>107</v>
      </c>
      <c r="O109">
        <v>54926126.126126125</v>
      </c>
      <c r="P109">
        <v>47534234.234234229</v>
      </c>
      <c r="Q109">
        <v>139</v>
      </c>
      <c r="R109">
        <v>325</v>
      </c>
      <c r="S109">
        <v>103319043.24324325</v>
      </c>
      <c r="T109">
        <v>107743189.18918918</v>
      </c>
      <c r="U109">
        <v>54141124.324324317</v>
      </c>
      <c r="V109">
        <v>49583063.063063063</v>
      </c>
      <c r="W109">
        <v>6740</v>
      </c>
      <c r="X109">
        <v>6727</v>
      </c>
    </row>
    <row r="110" spans="1:24">
      <c r="A110" s="7" t="s">
        <v>197</v>
      </c>
      <c r="B110" s="16" t="s">
        <v>108</v>
      </c>
      <c r="C110">
        <v>305841498.3542949</v>
      </c>
      <c r="D110">
        <v>315592463.59825784</v>
      </c>
      <c r="E110">
        <v>1115585.5855855891</v>
      </c>
      <c r="F110">
        <v>2811711.7117117108</v>
      </c>
      <c r="G110">
        <v>87</v>
      </c>
      <c r="H110">
        <v>112</v>
      </c>
      <c r="I110">
        <v>3</v>
      </c>
      <c r="J110">
        <v>7</v>
      </c>
      <c r="M110">
        <v>103</v>
      </c>
      <c r="N110">
        <v>130</v>
      </c>
      <c r="O110">
        <v>21646216.216216218</v>
      </c>
      <c r="P110">
        <v>17596396.396396391</v>
      </c>
      <c r="Q110">
        <v>185</v>
      </c>
      <c r="R110">
        <v>76</v>
      </c>
      <c r="S110">
        <v>90297702.702702701</v>
      </c>
      <c r="T110">
        <v>96842432.432432428</v>
      </c>
      <c r="U110">
        <v>21277657.657657657</v>
      </c>
      <c r="V110">
        <v>17060540.540540539</v>
      </c>
      <c r="W110">
        <v>7118</v>
      </c>
      <c r="X110">
        <v>7006</v>
      </c>
    </row>
    <row r="111" spans="1:24">
      <c r="A111" s="7" t="s">
        <v>198</v>
      </c>
      <c r="B111" s="16" t="s">
        <v>92</v>
      </c>
      <c r="C111">
        <v>168730459.07047656</v>
      </c>
      <c r="D111">
        <v>169808460.35810292</v>
      </c>
      <c r="E111">
        <v>3512792.7927927952</v>
      </c>
      <c r="F111">
        <v>5422522.5225225212</v>
      </c>
      <c r="G111">
        <v>38</v>
      </c>
      <c r="H111">
        <v>157</v>
      </c>
      <c r="I111">
        <v>7</v>
      </c>
      <c r="J111">
        <v>4</v>
      </c>
      <c r="M111">
        <v>38</v>
      </c>
      <c r="N111">
        <v>247</v>
      </c>
      <c r="O111">
        <v>19694774.774774775</v>
      </c>
      <c r="P111">
        <v>50437387.387387395</v>
      </c>
      <c r="Q111">
        <v>113</v>
      </c>
      <c r="R111">
        <v>152</v>
      </c>
      <c r="S111">
        <v>43722837.837837838</v>
      </c>
      <c r="T111">
        <v>46643954.954954952</v>
      </c>
      <c r="U111">
        <v>20398738.738738734</v>
      </c>
      <c r="V111">
        <v>49551891.891891897</v>
      </c>
      <c r="W111">
        <v>2462</v>
      </c>
      <c r="X111">
        <v>2734</v>
      </c>
    </row>
    <row r="112" spans="1:24">
      <c r="A112" s="7" t="s">
        <v>199</v>
      </c>
      <c r="B112" s="16" t="s">
        <v>123</v>
      </c>
      <c r="C112">
        <v>165774021.6677525</v>
      </c>
      <c r="D112">
        <v>158044543.11212224</v>
      </c>
      <c r="E112">
        <v>491891.89189189201</v>
      </c>
      <c r="F112">
        <v>557657.65765765705</v>
      </c>
      <c r="G112">
        <v>58</v>
      </c>
      <c r="H112">
        <v>51</v>
      </c>
      <c r="I112">
        <v>3</v>
      </c>
      <c r="J112">
        <v>2</v>
      </c>
      <c r="M112">
        <v>62</v>
      </c>
      <c r="N112">
        <v>55</v>
      </c>
      <c r="O112">
        <v>8592432.4324324336</v>
      </c>
      <c r="P112">
        <v>4332072.0720720729</v>
      </c>
      <c r="Q112">
        <v>10</v>
      </c>
      <c r="R112">
        <v>6</v>
      </c>
      <c r="S112">
        <v>33893063.063063063</v>
      </c>
      <c r="T112">
        <v>29697882.882882886</v>
      </c>
      <c r="U112">
        <v>6586666.666666667</v>
      </c>
      <c r="V112">
        <v>6317477.4774774779</v>
      </c>
      <c r="W112">
        <v>2499</v>
      </c>
      <c r="X112">
        <v>2492</v>
      </c>
    </row>
    <row r="113" spans="1:24">
      <c r="A113" s="7" t="s">
        <v>200</v>
      </c>
      <c r="B113" s="16" t="s">
        <v>60</v>
      </c>
      <c r="C113">
        <v>114514610.4951281</v>
      </c>
      <c r="D113">
        <v>115219862.9472522</v>
      </c>
      <c r="E113">
        <v>336936.93693693797</v>
      </c>
      <c r="F113">
        <v>1796396.3963963981</v>
      </c>
      <c r="G113">
        <v>34</v>
      </c>
      <c r="H113">
        <v>26</v>
      </c>
      <c r="I113">
        <v>8</v>
      </c>
      <c r="J113">
        <v>5</v>
      </c>
      <c r="M113">
        <v>43</v>
      </c>
      <c r="N113">
        <v>31</v>
      </c>
      <c r="O113">
        <v>14796396.396396397</v>
      </c>
      <c r="P113">
        <v>13643243.243243244</v>
      </c>
      <c r="Q113">
        <v>112</v>
      </c>
      <c r="R113">
        <v>117</v>
      </c>
      <c r="S113">
        <v>19310981.981981985</v>
      </c>
      <c r="T113">
        <v>21343076.576576576</v>
      </c>
      <c r="U113">
        <v>9670720.7207207195</v>
      </c>
      <c r="V113">
        <v>8323243.2432432426</v>
      </c>
      <c r="W113">
        <v>3413</v>
      </c>
      <c r="X113">
        <v>3609</v>
      </c>
    </row>
    <row r="114" spans="1:24">
      <c r="A114" s="7" t="s">
        <v>201</v>
      </c>
      <c r="B114" s="16" t="s">
        <v>60</v>
      </c>
      <c r="C114">
        <v>39522725.85866148</v>
      </c>
      <c r="D114">
        <v>38475194.714580677</v>
      </c>
      <c r="E114">
        <v>227207.207207208</v>
      </c>
      <c r="F114">
        <v>226126.126126127</v>
      </c>
      <c r="G114">
        <v>14</v>
      </c>
      <c r="H114">
        <v>15</v>
      </c>
      <c r="I114">
        <v>3</v>
      </c>
      <c r="J114">
        <v>2</v>
      </c>
      <c r="M114">
        <v>14</v>
      </c>
      <c r="N114">
        <v>16</v>
      </c>
      <c r="O114">
        <v>2416396.3963963971</v>
      </c>
      <c r="P114">
        <v>2298198.1981981979</v>
      </c>
      <c r="Q114">
        <v>26</v>
      </c>
      <c r="R114">
        <v>25</v>
      </c>
      <c r="S114">
        <v>7930405.405405405</v>
      </c>
      <c r="T114">
        <v>6907324.3243243238</v>
      </c>
      <c r="U114">
        <v>1545045.045045045</v>
      </c>
      <c r="V114">
        <v>1027747.747747747</v>
      </c>
      <c r="W114">
        <v>1175</v>
      </c>
      <c r="X114">
        <v>1121</v>
      </c>
    </row>
    <row r="115" spans="1:24">
      <c r="A115" s="7" t="s">
        <v>202</v>
      </c>
      <c r="B115" s="16" t="s">
        <v>121</v>
      </c>
      <c r="C115">
        <v>78302672.588989079</v>
      </c>
      <c r="D115">
        <v>73399103.869366109</v>
      </c>
      <c r="E115">
        <v>127027.02702702599</v>
      </c>
      <c r="F115">
        <v>585585.58558558603</v>
      </c>
      <c r="G115">
        <v>48</v>
      </c>
      <c r="H115">
        <v>41</v>
      </c>
      <c r="I115">
        <v>5</v>
      </c>
      <c r="J115">
        <v>6</v>
      </c>
      <c r="M115">
        <v>53</v>
      </c>
      <c r="N115">
        <v>45</v>
      </c>
      <c r="O115">
        <v>325225.22522522497</v>
      </c>
      <c r="P115">
        <v>1941441.4414414419</v>
      </c>
      <c r="Q115">
        <v>3</v>
      </c>
      <c r="R115">
        <v>100</v>
      </c>
      <c r="S115">
        <v>6979144.1441441448</v>
      </c>
      <c r="T115">
        <v>7161378.3783783782</v>
      </c>
      <c r="U115">
        <v>337567.56756756798</v>
      </c>
      <c r="V115">
        <v>1427477.4774774781</v>
      </c>
      <c r="W115">
        <v>1611</v>
      </c>
      <c r="X115">
        <v>1428</v>
      </c>
    </row>
    <row r="116" spans="1:24">
      <c r="A116" s="7" t="s">
        <v>203</v>
      </c>
      <c r="B116" s="16" t="s">
        <v>54</v>
      </c>
      <c r="C116">
        <v>122101667.68691325</v>
      </c>
      <c r="D116">
        <v>117779847.24947216</v>
      </c>
      <c r="E116">
        <v>598198.19819819904</v>
      </c>
      <c r="F116">
        <v>1115315.315315316</v>
      </c>
      <c r="G116">
        <v>26</v>
      </c>
      <c r="H116">
        <v>27</v>
      </c>
      <c r="I116">
        <v>2</v>
      </c>
      <c r="J116">
        <v>4</v>
      </c>
      <c r="M116">
        <v>28</v>
      </c>
      <c r="N116">
        <v>28</v>
      </c>
      <c r="O116">
        <v>7120720.7207207195</v>
      </c>
      <c r="P116">
        <v>6236936.9369369354</v>
      </c>
      <c r="Q116">
        <v>58</v>
      </c>
      <c r="R116">
        <v>40</v>
      </c>
      <c r="S116">
        <v>30756486.486486487</v>
      </c>
      <c r="T116">
        <v>30610657.657657657</v>
      </c>
      <c r="U116">
        <v>6637027.0270270286</v>
      </c>
      <c r="V116">
        <v>6651981.9819819815</v>
      </c>
      <c r="W116">
        <v>3707</v>
      </c>
      <c r="X116">
        <v>3930</v>
      </c>
    </row>
    <row r="117" spans="1:24">
      <c r="A117" s="7" t="s">
        <v>204</v>
      </c>
      <c r="B117" s="16" t="s">
        <v>136</v>
      </c>
      <c r="C117">
        <v>468214137.87772506</v>
      </c>
      <c r="D117">
        <v>423253191.38396168</v>
      </c>
      <c r="E117">
        <v>402252.25225225202</v>
      </c>
      <c r="F117">
        <v>967567.56756756897</v>
      </c>
      <c r="G117">
        <v>102</v>
      </c>
      <c r="H117">
        <v>60</v>
      </c>
      <c r="I117">
        <v>9</v>
      </c>
      <c r="J117">
        <v>10</v>
      </c>
      <c r="M117">
        <v>109</v>
      </c>
      <c r="N117">
        <v>68</v>
      </c>
      <c r="O117">
        <v>46700630.630630635</v>
      </c>
      <c r="P117">
        <v>35985585.585585587</v>
      </c>
      <c r="Q117">
        <v>90</v>
      </c>
      <c r="R117">
        <v>95</v>
      </c>
      <c r="S117">
        <v>76382702.702702701</v>
      </c>
      <c r="T117">
        <v>73941184.684684694</v>
      </c>
      <c r="U117">
        <v>40207297.297297299</v>
      </c>
      <c r="V117">
        <v>29728558.558558557</v>
      </c>
      <c r="W117">
        <v>5861</v>
      </c>
      <c r="X117">
        <v>5851</v>
      </c>
    </row>
    <row r="118" spans="1:24">
      <c r="A118" s="7" t="s">
        <v>205</v>
      </c>
      <c r="B118" s="16" t="s">
        <v>136</v>
      </c>
      <c r="C118">
        <v>216142066.06885663</v>
      </c>
      <c r="D118">
        <v>210320864.81101763</v>
      </c>
      <c r="E118">
        <v>278378.37837837799</v>
      </c>
      <c r="F118">
        <v>658558.55855855905</v>
      </c>
      <c r="G118">
        <v>55</v>
      </c>
      <c r="H118">
        <v>39</v>
      </c>
      <c r="I118">
        <v>5</v>
      </c>
      <c r="J118">
        <v>1</v>
      </c>
      <c r="M118">
        <v>61</v>
      </c>
      <c r="N118">
        <v>45</v>
      </c>
      <c r="O118">
        <v>10581981.981981982</v>
      </c>
      <c r="P118">
        <v>6856756.7567567565</v>
      </c>
      <c r="Q118">
        <v>50</v>
      </c>
      <c r="R118">
        <v>18</v>
      </c>
      <c r="S118">
        <v>39212881.081081077</v>
      </c>
      <c r="T118">
        <v>40947178.378378376</v>
      </c>
      <c r="U118">
        <v>7187027.0270270277</v>
      </c>
      <c r="V118">
        <v>3893513.5135135138</v>
      </c>
      <c r="W118">
        <v>3186</v>
      </c>
      <c r="X118">
        <v>3022</v>
      </c>
    </row>
    <row r="119" spans="1:24">
      <c r="A119" s="7" t="s">
        <v>206</v>
      </c>
      <c r="B119" s="16" t="s">
        <v>169</v>
      </c>
      <c r="C119">
        <v>482314050.21045548</v>
      </c>
      <c r="D119">
        <v>494481999.85564202</v>
      </c>
      <c r="E119">
        <v>341441.441441442</v>
      </c>
      <c r="F119">
        <v>1480180.1801801799</v>
      </c>
      <c r="G119">
        <v>61</v>
      </c>
      <c r="H119">
        <v>20</v>
      </c>
      <c r="I119">
        <v>0</v>
      </c>
      <c r="J119">
        <v>2</v>
      </c>
      <c r="M119">
        <v>61</v>
      </c>
      <c r="N119">
        <v>22</v>
      </c>
      <c r="O119">
        <v>2917053873.8738737</v>
      </c>
      <c r="P119">
        <v>2467695337.8378377</v>
      </c>
      <c r="Q119">
        <v>1506</v>
      </c>
      <c r="R119">
        <v>45</v>
      </c>
      <c r="S119">
        <v>231795666.66666666</v>
      </c>
      <c r="T119">
        <v>233578198.1981982</v>
      </c>
      <c r="U119">
        <v>1233619794.5945945</v>
      </c>
      <c r="V119">
        <v>737026684.68468463</v>
      </c>
      <c r="W119">
        <v>7480</v>
      </c>
      <c r="X119">
        <v>7784</v>
      </c>
    </row>
    <row r="120" spans="1:24">
      <c r="A120" s="7" t="s">
        <v>207</v>
      </c>
      <c r="B120" s="16" t="s">
        <v>161</v>
      </c>
      <c r="C120">
        <v>547732116.68258393</v>
      </c>
      <c r="D120">
        <v>549593478.35779667</v>
      </c>
      <c r="E120">
        <v>1073288.2882882981</v>
      </c>
      <c r="F120">
        <v>3995945.945945947</v>
      </c>
      <c r="G120">
        <v>282</v>
      </c>
      <c r="H120">
        <v>343</v>
      </c>
      <c r="I120">
        <v>38</v>
      </c>
      <c r="J120">
        <v>17</v>
      </c>
      <c r="M120">
        <v>370</v>
      </c>
      <c r="N120">
        <v>554</v>
      </c>
      <c r="O120">
        <v>89912792.792792782</v>
      </c>
      <c r="P120">
        <v>68489909.909909919</v>
      </c>
      <c r="Q120">
        <v>381</v>
      </c>
      <c r="R120">
        <v>311</v>
      </c>
      <c r="S120">
        <v>161416279.27927929</v>
      </c>
      <c r="T120">
        <v>159193346.84684685</v>
      </c>
      <c r="U120">
        <v>84562154.954954937</v>
      </c>
      <c r="V120">
        <v>69614000</v>
      </c>
      <c r="W120">
        <v>12135</v>
      </c>
      <c r="X120">
        <v>11941</v>
      </c>
    </row>
    <row r="121" spans="1:24">
      <c r="A121" s="7" t="s">
        <v>208</v>
      </c>
      <c r="B121" s="16" t="s">
        <v>76</v>
      </c>
      <c r="C121">
        <v>22946947.872706365</v>
      </c>
      <c r="D121">
        <v>16630718.421112474</v>
      </c>
      <c r="G121">
        <v>3</v>
      </c>
      <c r="I121">
        <v>0</v>
      </c>
      <c r="J121">
        <v>0</v>
      </c>
      <c r="M121">
        <v>3</v>
      </c>
      <c r="S121">
        <v>1114189.1891891891</v>
      </c>
      <c r="T121">
        <v>1123108.1081081079</v>
      </c>
      <c r="W121">
        <v>515</v>
      </c>
      <c r="X121">
        <v>505</v>
      </c>
    </row>
    <row r="122" spans="1:24">
      <c r="A122" s="7" t="s">
        <v>209</v>
      </c>
      <c r="B122" s="16" t="s">
        <v>76</v>
      </c>
      <c r="C122">
        <v>265926973.02780104</v>
      </c>
      <c r="D122">
        <v>244070696.50297272</v>
      </c>
      <c r="E122">
        <v>419779946.84684682</v>
      </c>
      <c r="F122">
        <v>222788688.2882883</v>
      </c>
      <c r="G122">
        <v>101</v>
      </c>
      <c r="H122">
        <v>131</v>
      </c>
      <c r="I122">
        <v>8</v>
      </c>
      <c r="J122">
        <v>14</v>
      </c>
      <c r="K122">
        <v>5</v>
      </c>
      <c r="M122">
        <v>122</v>
      </c>
      <c r="N122">
        <v>248</v>
      </c>
      <c r="O122">
        <v>33350548.648648657</v>
      </c>
      <c r="P122">
        <v>26906486.486486483</v>
      </c>
      <c r="Q122">
        <v>207</v>
      </c>
      <c r="R122">
        <v>245</v>
      </c>
      <c r="S122">
        <v>36421378.378378376</v>
      </c>
      <c r="T122">
        <v>38104693.693693697</v>
      </c>
      <c r="U122">
        <v>36012882.882882878</v>
      </c>
      <c r="V122">
        <v>25161351.351351351</v>
      </c>
      <c r="W122">
        <v>5292</v>
      </c>
      <c r="X122">
        <v>4571</v>
      </c>
    </row>
    <row r="123" spans="1:24">
      <c r="A123" s="7" t="s">
        <v>210</v>
      </c>
      <c r="B123" s="16" t="s">
        <v>76</v>
      </c>
      <c r="C123">
        <v>314151388.05959594</v>
      </c>
      <c r="D123">
        <v>307543118.29349101</v>
      </c>
      <c r="E123">
        <v>1884009.009009013</v>
      </c>
      <c r="F123">
        <v>4404504.5045045102</v>
      </c>
      <c r="G123">
        <v>156</v>
      </c>
      <c r="H123">
        <v>167</v>
      </c>
      <c r="I123">
        <v>22</v>
      </c>
      <c r="J123">
        <v>19</v>
      </c>
      <c r="K123">
        <v>8</v>
      </c>
      <c r="M123">
        <v>183</v>
      </c>
      <c r="N123">
        <v>257</v>
      </c>
      <c r="O123">
        <v>157764954.95495495</v>
      </c>
      <c r="P123">
        <v>99465675.675675675</v>
      </c>
      <c r="Q123">
        <v>288</v>
      </c>
      <c r="R123">
        <v>553</v>
      </c>
      <c r="S123">
        <v>93986762.162162155</v>
      </c>
      <c r="T123">
        <v>93829917.117117122</v>
      </c>
      <c r="U123">
        <v>129837473.87387387</v>
      </c>
      <c r="V123">
        <v>74753196.396396399</v>
      </c>
      <c r="W123">
        <v>6800</v>
      </c>
      <c r="X123">
        <v>6885</v>
      </c>
    </row>
    <row r="124" spans="1:24">
      <c r="A124" s="7" t="s">
        <v>211</v>
      </c>
      <c r="B124" s="16" t="s">
        <v>76</v>
      </c>
      <c r="C124">
        <v>214582987.30108476</v>
      </c>
      <c r="D124">
        <v>225209509.38076535</v>
      </c>
      <c r="E124">
        <v>2140315.3153153178</v>
      </c>
      <c r="F124">
        <v>3366441.441441447</v>
      </c>
      <c r="G124">
        <v>98</v>
      </c>
      <c r="H124">
        <v>95</v>
      </c>
      <c r="I124">
        <v>13</v>
      </c>
      <c r="J124">
        <v>18</v>
      </c>
      <c r="M124">
        <v>109</v>
      </c>
      <c r="N124">
        <v>113</v>
      </c>
      <c r="O124">
        <v>18848198.198198199</v>
      </c>
      <c r="P124">
        <v>18230990.990990993</v>
      </c>
      <c r="Q124">
        <v>110</v>
      </c>
      <c r="R124">
        <v>21</v>
      </c>
      <c r="S124">
        <v>31281648.648648649</v>
      </c>
      <c r="T124">
        <v>34418524.774774775</v>
      </c>
      <c r="U124">
        <v>18923423.423423424</v>
      </c>
      <c r="V124">
        <v>17744054.054054052</v>
      </c>
      <c r="W124">
        <v>3878</v>
      </c>
      <c r="X124">
        <v>4066</v>
      </c>
    </row>
    <row r="125" spans="1:24">
      <c r="A125" s="7" t="s">
        <v>212</v>
      </c>
      <c r="B125" s="16" t="s">
        <v>76</v>
      </c>
      <c r="C125">
        <v>85699759.81033437</v>
      </c>
      <c r="D125">
        <v>81435437.588884011</v>
      </c>
      <c r="E125">
        <v>44594.594594595001</v>
      </c>
      <c r="F125">
        <v>65765.765765764998</v>
      </c>
      <c r="G125">
        <v>21</v>
      </c>
      <c r="H125">
        <v>16</v>
      </c>
      <c r="I125">
        <v>2</v>
      </c>
      <c r="J125">
        <v>0</v>
      </c>
      <c r="M125">
        <v>21</v>
      </c>
      <c r="N125">
        <v>17</v>
      </c>
      <c r="O125">
        <v>1395945.945945946</v>
      </c>
      <c r="P125">
        <v>1540720.7207207191</v>
      </c>
      <c r="Q125">
        <v>5</v>
      </c>
      <c r="R125">
        <v>7</v>
      </c>
      <c r="S125">
        <v>12397747.747747747</v>
      </c>
      <c r="T125">
        <v>12870504.504504504</v>
      </c>
      <c r="U125">
        <v>999729.72972973005</v>
      </c>
      <c r="V125">
        <v>1986396.396396396</v>
      </c>
      <c r="W125">
        <v>1784</v>
      </c>
      <c r="X125">
        <v>1820</v>
      </c>
    </row>
    <row r="126" spans="1:24">
      <c r="A126" s="7" t="s">
        <v>213</v>
      </c>
      <c r="B126" s="16" t="s">
        <v>214</v>
      </c>
      <c r="C126">
        <v>104025569.24271104</v>
      </c>
      <c r="D126">
        <v>115800576.66435401</v>
      </c>
      <c r="E126">
        <v>213963.96396396399</v>
      </c>
      <c r="F126">
        <v>809909.90990991006</v>
      </c>
      <c r="G126">
        <v>25</v>
      </c>
      <c r="H126">
        <v>35</v>
      </c>
      <c r="I126">
        <v>5</v>
      </c>
      <c r="J126">
        <v>4</v>
      </c>
      <c r="M126">
        <v>26</v>
      </c>
      <c r="N126">
        <v>41</v>
      </c>
      <c r="O126">
        <v>13557387.387387389</v>
      </c>
      <c r="P126">
        <v>13512180.180180181</v>
      </c>
      <c r="Q126">
        <v>23</v>
      </c>
      <c r="R126">
        <v>46</v>
      </c>
      <c r="S126">
        <v>50099729.729729727</v>
      </c>
      <c r="T126">
        <v>52557693.693693697</v>
      </c>
      <c r="U126">
        <v>12368108.108108113</v>
      </c>
      <c r="V126">
        <v>11783603.603603603</v>
      </c>
      <c r="W126">
        <v>2400</v>
      </c>
      <c r="X126">
        <v>2309</v>
      </c>
    </row>
    <row r="127" spans="1:24">
      <c r="A127" s="7" t="s">
        <v>215</v>
      </c>
      <c r="B127" s="16" t="s">
        <v>167</v>
      </c>
      <c r="C127">
        <v>96325594.267217889</v>
      </c>
      <c r="D127">
        <v>126482517.04659064</v>
      </c>
      <c r="E127">
        <v>8108.1081081089997</v>
      </c>
      <c r="F127">
        <v>1833333.333333333</v>
      </c>
      <c r="G127">
        <v>8</v>
      </c>
      <c r="H127">
        <v>7</v>
      </c>
      <c r="I127">
        <v>1</v>
      </c>
      <c r="J127">
        <v>3</v>
      </c>
      <c r="M127">
        <v>9</v>
      </c>
      <c r="N127">
        <v>7</v>
      </c>
      <c r="O127">
        <v>8809909.9099099096</v>
      </c>
      <c r="P127">
        <v>2462162.1621621619</v>
      </c>
      <c r="Q127">
        <v>309</v>
      </c>
      <c r="R127">
        <v>19</v>
      </c>
      <c r="S127">
        <v>17294504.504504506</v>
      </c>
      <c r="T127">
        <v>21969549.54954955</v>
      </c>
      <c r="U127">
        <v>9098648.6486486476</v>
      </c>
      <c r="V127">
        <v>240090.09009009099</v>
      </c>
      <c r="W127">
        <v>1652</v>
      </c>
      <c r="X127">
        <v>1838</v>
      </c>
    </row>
    <row r="128" spans="1:24">
      <c r="A128" s="7" t="s">
        <v>216</v>
      </c>
      <c r="B128" s="16" t="s">
        <v>85</v>
      </c>
      <c r="C128">
        <v>23691032.756660622</v>
      </c>
      <c r="D128">
        <v>29429432.449517231</v>
      </c>
      <c r="E128">
        <v>13513.513513514001</v>
      </c>
      <c r="F128">
        <v>729729.72972973005</v>
      </c>
      <c r="G128">
        <v>3</v>
      </c>
      <c r="H128">
        <v>10</v>
      </c>
      <c r="I128">
        <v>4</v>
      </c>
      <c r="J128">
        <v>2</v>
      </c>
      <c r="M128">
        <v>3</v>
      </c>
      <c r="N128">
        <v>12</v>
      </c>
      <c r="O128">
        <v>48004504.504504502</v>
      </c>
      <c r="P128">
        <v>51184234.234234229</v>
      </c>
      <c r="Q128">
        <v>49</v>
      </c>
      <c r="R128">
        <v>126</v>
      </c>
      <c r="S128">
        <v>7022153.1531531531</v>
      </c>
      <c r="T128">
        <v>9218090.0900900904</v>
      </c>
      <c r="U128">
        <v>37775585.585585587</v>
      </c>
      <c r="V128">
        <v>43588378.378378376</v>
      </c>
      <c r="W128">
        <v>604</v>
      </c>
      <c r="X128">
        <v>644</v>
      </c>
    </row>
    <row r="129" spans="1:24">
      <c r="A129" s="7" t="s">
        <v>217</v>
      </c>
      <c r="B129" s="16" t="s">
        <v>85</v>
      </c>
      <c r="C129">
        <v>116657938.86639838</v>
      </c>
      <c r="D129">
        <v>113112187.71568434</v>
      </c>
      <c r="E129">
        <v>367083125.22522521</v>
      </c>
      <c r="F129">
        <v>387442305.4054054</v>
      </c>
      <c r="G129">
        <v>48</v>
      </c>
      <c r="H129">
        <v>39</v>
      </c>
      <c r="I129">
        <v>5</v>
      </c>
      <c r="J129">
        <v>4</v>
      </c>
      <c r="M129">
        <v>56</v>
      </c>
      <c r="N129">
        <v>43</v>
      </c>
      <c r="O129">
        <v>37290990.990990989</v>
      </c>
      <c r="P129">
        <v>59679909.909909911</v>
      </c>
      <c r="Q129">
        <v>52</v>
      </c>
      <c r="R129">
        <v>28</v>
      </c>
      <c r="S129">
        <v>20395990.990990993</v>
      </c>
      <c r="T129">
        <v>21864405.405405402</v>
      </c>
      <c r="U129">
        <v>29168198.198198199</v>
      </c>
      <c r="V129">
        <v>27409819.819819819</v>
      </c>
      <c r="W129">
        <v>2469</v>
      </c>
      <c r="X129">
        <v>2472</v>
      </c>
    </row>
    <row r="130" spans="1:24">
      <c r="A130" s="7" t="s">
        <v>218</v>
      </c>
      <c r="B130" s="16" t="s">
        <v>147</v>
      </c>
      <c r="C130">
        <v>113402590.94783701</v>
      </c>
      <c r="D130">
        <v>110310564.8282052</v>
      </c>
      <c r="E130">
        <v>584684.68468468694</v>
      </c>
      <c r="F130">
        <v>7689189.1891891882</v>
      </c>
      <c r="G130">
        <v>49</v>
      </c>
      <c r="H130">
        <v>70</v>
      </c>
      <c r="I130">
        <v>3</v>
      </c>
      <c r="J130">
        <v>8</v>
      </c>
      <c r="M130">
        <v>53</v>
      </c>
      <c r="N130">
        <v>85</v>
      </c>
      <c r="O130">
        <v>19111261.261261266</v>
      </c>
      <c r="P130">
        <v>61528854.954954959</v>
      </c>
      <c r="Q130">
        <v>68</v>
      </c>
      <c r="R130">
        <v>292</v>
      </c>
      <c r="S130">
        <v>30658360.360360362</v>
      </c>
      <c r="T130">
        <v>35488018.018018015</v>
      </c>
      <c r="U130">
        <v>21065405.40540541</v>
      </c>
      <c r="V130">
        <v>60667837.837837838</v>
      </c>
      <c r="W130">
        <v>2464</v>
      </c>
      <c r="X130">
        <v>2471</v>
      </c>
    </row>
    <row r="131" spans="1:24">
      <c r="A131" s="7" t="s">
        <v>219</v>
      </c>
      <c r="B131" s="16" t="s">
        <v>220</v>
      </c>
      <c r="C131">
        <v>220514601.16508833</v>
      </c>
      <c r="D131">
        <v>218382777.31282496</v>
      </c>
      <c r="E131">
        <v>503378886.48648643</v>
      </c>
      <c r="F131">
        <v>452092536.93693697</v>
      </c>
      <c r="G131">
        <v>93</v>
      </c>
      <c r="H131">
        <v>69</v>
      </c>
      <c r="I131">
        <v>7</v>
      </c>
      <c r="J131">
        <v>9</v>
      </c>
      <c r="K131">
        <v>1</v>
      </c>
      <c r="M131">
        <v>109</v>
      </c>
      <c r="N131">
        <v>86</v>
      </c>
      <c r="O131">
        <v>268581898.1981982</v>
      </c>
      <c r="P131">
        <v>197622167.56756759</v>
      </c>
      <c r="Q131">
        <v>745</v>
      </c>
      <c r="R131">
        <v>70</v>
      </c>
      <c r="S131">
        <v>59957315.315315314</v>
      </c>
      <c r="T131">
        <v>55953461.711711712</v>
      </c>
      <c r="U131">
        <v>366261621.62162161</v>
      </c>
      <c r="V131">
        <v>306351981.98198199</v>
      </c>
      <c r="W131">
        <v>6253</v>
      </c>
      <c r="X131">
        <v>6324</v>
      </c>
    </row>
    <row r="132" spans="1:24">
      <c r="A132" s="7" t="s">
        <v>221</v>
      </c>
      <c r="B132" s="16" t="s">
        <v>52</v>
      </c>
      <c r="C132">
        <v>532698693.3567332</v>
      </c>
      <c r="D132">
        <v>512811268.11555296</v>
      </c>
      <c r="E132">
        <v>2489864.8648648681</v>
      </c>
      <c r="F132">
        <v>5004504.5045045055</v>
      </c>
      <c r="G132">
        <v>106</v>
      </c>
      <c r="H132">
        <v>108</v>
      </c>
      <c r="I132">
        <v>13</v>
      </c>
      <c r="J132">
        <v>26</v>
      </c>
      <c r="M132">
        <v>135</v>
      </c>
      <c r="N132">
        <v>149</v>
      </c>
      <c r="O132">
        <v>64447567.567567565</v>
      </c>
      <c r="P132">
        <v>40112612.612612613</v>
      </c>
      <c r="Q132">
        <v>491</v>
      </c>
      <c r="R132">
        <v>988</v>
      </c>
      <c r="S132">
        <v>169836009.009009</v>
      </c>
      <c r="T132">
        <v>165527972.97297296</v>
      </c>
      <c r="U132">
        <v>35502072.072072066</v>
      </c>
      <c r="V132">
        <v>50720990.990990989</v>
      </c>
      <c r="W132">
        <v>10759</v>
      </c>
      <c r="X132">
        <v>10873</v>
      </c>
    </row>
    <row r="133" spans="1:24">
      <c r="A133" s="7" t="s">
        <v>222</v>
      </c>
      <c r="B133" s="16" t="s">
        <v>76</v>
      </c>
      <c r="C133">
        <v>405904670.89040911</v>
      </c>
      <c r="D133">
        <v>398483520.86696064</v>
      </c>
      <c r="E133">
        <v>145810.810810811</v>
      </c>
      <c r="F133">
        <v>1269369.3693693781</v>
      </c>
      <c r="G133">
        <v>112</v>
      </c>
      <c r="H133">
        <v>110</v>
      </c>
      <c r="I133">
        <v>11</v>
      </c>
      <c r="J133">
        <v>14</v>
      </c>
      <c r="K133">
        <v>5</v>
      </c>
      <c r="M133">
        <v>124</v>
      </c>
      <c r="N133">
        <v>125</v>
      </c>
      <c r="O133">
        <v>28853333.333333336</v>
      </c>
      <c r="P133">
        <v>27988108.108108107</v>
      </c>
      <c r="Q133">
        <v>55</v>
      </c>
      <c r="R133">
        <v>38</v>
      </c>
      <c r="S133">
        <v>77012637.837837845</v>
      </c>
      <c r="T133">
        <v>76832579.279279277</v>
      </c>
      <c r="U133">
        <v>23891261.261261266</v>
      </c>
      <c r="V133">
        <v>22350720.72072072</v>
      </c>
      <c r="W133">
        <v>6799</v>
      </c>
      <c r="X133">
        <v>7016</v>
      </c>
    </row>
    <row r="134" spans="1:24">
      <c r="A134" s="7" t="s">
        <v>223</v>
      </c>
      <c r="B134" s="16" t="s">
        <v>224</v>
      </c>
      <c r="C134">
        <v>42549610.879311949</v>
      </c>
      <c r="D134">
        <v>34923913.020579822</v>
      </c>
      <c r="F134">
        <v>5405.4054054050002</v>
      </c>
      <c r="G134">
        <v>28</v>
      </c>
      <c r="H134">
        <v>3</v>
      </c>
      <c r="M134">
        <v>29</v>
      </c>
      <c r="N134">
        <v>3</v>
      </c>
      <c r="O134">
        <v>1751351.351351351</v>
      </c>
      <c r="P134">
        <v>5405.4054054050002</v>
      </c>
      <c r="Q134">
        <v>6</v>
      </c>
      <c r="S134">
        <v>9904414.4144144133</v>
      </c>
      <c r="T134">
        <v>8767819.8198198192</v>
      </c>
      <c r="U134">
        <v>1567477.4774774769</v>
      </c>
      <c r="V134">
        <v>837567.56756756804</v>
      </c>
      <c r="W134">
        <v>840</v>
      </c>
      <c r="X134">
        <v>791</v>
      </c>
    </row>
    <row r="135" spans="1:24">
      <c r="A135" s="7" t="s">
        <v>225</v>
      </c>
      <c r="B135" s="16" t="s">
        <v>143</v>
      </c>
      <c r="C135">
        <v>328882958.85189199</v>
      </c>
      <c r="D135">
        <v>322774540.38057065</v>
      </c>
      <c r="E135">
        <v>463063.063063065</v>
      </c>
      <c r="F135">
        <v>3682882.8828828861</v>
      </c>
      <c r="G135">
        <v>76</v>
      </c>
      <c r="H135">
        <v>98</v>
      </c>
      <c r="I135">
        <v>15</v>
      </c>
      <c r="J135">
        <v>7</v>
      </c>
      <c r="K135">
        <v>1</v>
      </c>
      <c r="M135">
        <v>88</v>
      </c>
      <c r="N135">
        <v>152</v>
      </c>
      <c r="O135">
        <v>17670990.990990993</v>
      </c>
      <c r="P135">
        <v>20416216.216216218</v>
      </c>
      <c r="Q135">
        <v>218</v>
      </c>
      <c r="R135">
        <v>100</v>
      </c>
      <c r="S135">
        <v>35600054.054054059</v>
      </c>
      <c r="T135">
        <v>40852113.963963971</v>
      </c>
      <c r="U135">
        <v>13743063.063063065</v>
      </c>
      <c r="V135">
        <v>12664774.774774777</v>
      </c>
      <c r="W135">
        <v>5566</v>
      </c>
      <c r="X135">
        <v>5940</v>
      </c>
    </row>
    <row r="136" spans="1:24">
      <c r="A136" s="7" t="s">
        <v>226</v>
      </c>
      <c r="B136" s="16" t="s">
        <v>224</v>
      </c>
      <c r="C136">
        <v>39931117.752954751</v>
      </c>
      <c r="D136">
        <v>37840123.443275981</v>
      </c>
      <c r="E136">
        <v>4504.5045045050001</v>
      </c>
      <c r="F136">
        <v>121621.62162162201</v>
      </c>
      <c r="G136">
        <v>7</v>
      </c>
      <c r="H136">
        <v>13</v>
      </c>
      <c r="I136">
        <v>3</v>
      </c>
      <c r="J136">
        <v>2</v>
      </c>
      <c r="M136">
        <v>9</v>
      </c>
      <c r="N136">
        <v>15</v>
      </c>
      <c r="O136">
        <v>5937117.1171171162</v>
      </c>
      <c r="P136">
        <v>4954054.0540540544</v>
      </c>
      <c r="Q136">
        <v>35</v>
      </c>
      <c r="R136">
        <v>25</v>
      </c>
      <c r="S136">
        <v>8452117.1171171162</v>
      </c>
      <c r="T136">
        <v>10140481.981981982</v>
      </c>
      <c r="U136">
        <v>4773963.9639639631</v>
      </c>
      <c r="V136">
        <v>4422882.8828828828</v>
      </c>
      <c r="W136">
        <v>815</v>
      </c>
      <c r="X136">
        <v>785</v>
      </c>
    </row>
    <row r="137" spans="1:24">
      <c r="A137" s="7" t="s">
        <v>227</v>
      </c>
      <c r="B137" s="16" t="s">
        <v>78</v>
      </c>
      <c r="C137">
        <v>318300997.03593892</v>
      </c>
      <c r="D137">
        <v>305754673.92180705</v>
      </c>
      <c r="E137">
        <v>1495495.4954954979</v>
      </c>
      <c r="F137">
        <v>3663063.0630630641</v>
      </c>
      <c r="G137">
        <v>58</v>
      </c>
      <c r="H137">
        <v>63</v>
      </c>
      <c r="I137">
        <v>7</v>
      </c>
      <c r="J137">
        <v>13</v>
      </c>
      <c r="M137">
        <v>63</v>
      </c>
      <c r="N137">
        <v>72</v>
      </c>
      <c r="O137">
        <v>27771981.981981985</v>
      </c>
      <c r="P137">
        <v>34837207.20720721</v>
      </c>
      <c r="Q137">
        <v>150</v>
      </c>
      <c r="R137">
        <v>87</v>
      </c>
      <c r="S137">
        <v>121958818.01801802</v>
      </c>
      <c r="T137">
        <v>123219675.67567568</v>
      </c>
      <c r="U137">
        <v>24585538.738738742</v>
      </c>
      <c r="V137">
        <v>27549279.27927928</v>
      </c>
      <c r="W137">
        <v>5004</v>
      </c>
      <c r="X137">
        <v>4824</v>
      </c>
    </row>
    <row r="138" spans="1:24">
      <c r="A138" s="7" t="s">
        <v>228</v>
      </c>
      <c r="B138" s="16" t="s">
        <v>136</v>
      </c>
      <c r="C138">
        <v>434655115.96230805</v>
      </c>
      <c r="D138">
        <v>401600001.95323688</v>
      </c>
      <c r="E138">
        <v>859684.68468468601</v>
      </c>
      <c r="F138">
        <v>2912162.1621621661</v>
      </c>
      <c r="G138">
        <v>104</v>
      </c>
      <c r="H138">
        <v>102</v>
      </c>
      <c r="I138">
        <v>10</v>
      </c>
      <c r="J138">
        <v>12</v>
      </c>
      <c r="M138">
        <v>120</v>
      </c>
      <c r="N138">
        <v>117</v>
      </c>
      <c r="O138">
        <v>66610360.360360362</v>
      </c>
      <c r="P138">
        <v>45242342.342342347</v>
      </c>
      <c r="Q138">
        <v>155</v>
      </c>
      <c r="R138">
        <v>148</v>
      </c>
      <c r="S138">
        <v>91543093.693693697</v>
      </c>
      <c r="T138">
        <v>93950567.567567572</v>
      </c>
      <c r="U138">
        <v>57003153.153153151</v>
      </c>
      <c r="V138">
        <v>37581351.351351343</v>
      </c>
      <c r="W138">
        <v>7623</v>
      </c>
      <c r="X138">
        <v>7513</v>
      </c>
    </row>
    <row r="139" spans="1:24">
      <c r="A139" s="7" t="s">
        <v>229</v>
      </c>
      <c r="B139" s="16" t="s">
        <v>78</v>
      </c>
      <c r="C139">
        <v>112022568.03348008</v>
      </c>
      <c r="D139">
        <v>114737892.05529679</v>
      </c>
      <c r="E139">
        <v>3342792.7927927929</v>
      </c>
      <c r="F139">
        <v>4309459.4594594575</v>
      </c>
      <c r="G139">
        <v>39</v>
      </c>
      <c r="H139">
        <v>45</v>
      </c>
      <c r="I139">
        <v>1</v>
      </c>
      <c r="J139">
        <v>3</v>
      </c>
      <c r="M139">
        <v>41</v>
      </c>
      <c r="N139">
        <v>54</v>
      </c>
      <c r="O139">
        <v>19108558.558558561</v>
      </c>
      <c r="P139">
        <v>23321621.621621624</v>
      </c>
      <c r="Q139">
        <v>21</v>
      </c>
      <c r="R139">
        <v>19</v>
      </c>
      <c r="S139">
        <v>51651441.441441439</v>
      </c>
      <c r="T139">
        <v>55227863.063063063</v>
      </c>
      <c r="U139">
        <v>18184774.774774775</v>
      </c>
      <c r="V139">
        <v>24138511.711711712</v>
      </c>
      <c r="W139">
        <v>2458</v>
      </c>
      <c r="X139">
        <v>2471</v>
      </c>
    </row>
    <row r="140" spans="1:24">
      <c r="A140" s="7" t="s">
        <v>230</v>
      </c>
      <c r="B140" s="16" t="s">
        <v>54</v>
      </c>
      <c r="C140">
        <v>345939328.78012925</v>
      </c>
      <c r="D140">
        <v>332864317.39241624</v>
      </c>
      <c r="E140">
        <v>635360.36036036303</v>
      </c>
      <c r="F140">
        <v>982882.88288288296</v>
      </c>
      <c r="G140">
        <v>52</v>
      </c>
      <c r="H140">
        <v>35</v>
      </c>
      <c r="I140">
        <v>12</v>
      </c>
      <c r="J140">
        <v>8</v>
      </c>
      <c r="M140">
        <v>58</v>
      </c>
      <c r="N140">
        <v>50</v>
      </c>
      <c r="O140">
        <v>9503603.6036036033</v>
      </c>
      <c r="P140">
        <v>22565765.765765768</v>
      </c>
      <c r="Q140">
        <v>97</v>
      </c>
      <c r="R140">
        <v>2288</v>
      </c>
      <c r="S140">
        <v>79209369.369369373</v>
      </c>
      <c r="T140">
        <v>81644104.504504517</v>
      </c>
      <c r="U140">
        <v>10438288.288288288</v>
      </c>
      <c r="V140">
        <v>26045675.675675679</v>
      </c>
      <c r="W140">
        <v>6715</v>
      </c>
      <c r="X140">
        <v>6764</v>
      </c>
    </row>
    <row r="141" spans="1:24">
      <c r="A141" s="7" t="s">
        <v>231</v>
      </c>
      <c r="B141" s="16" t="s">
        <v>78</v>
      </c>
      <c r="C141">
        <v>132462392.70914903</v>
      </c>
      <c r="D141">
        <v>128045482.13784355</v>
      </c>
      <c r="E141">
        <v>481981.98198198498</v>
      </c>
      <c r="F141">
        <v>3071171.1711711721</v>
      </c>
      <c r="G141">
        <v>66</v>
      </c>
      <c r="H141">
        <v>61</v>
      </c>
      <c r="I141">
        <v>13</v>
      </c>
      <c r="J141">
        <v>11</v>
      </c>
      <c r="M141">
        <v>74</v>
      </c>
      <c r="N141">
        <v>77</v>
      </c>
      <c r="O141">
        <v>33409189.189189188</v>
      </c>
      <c r="P141">
        <v>29158558.558558561</v>
      </c>
      <c r="Q141">
        <v>36</v>
      </c>
      <c r="R141">
        <v>118</v>
      </c>
      <c r="S141">
        <v>62430675.675675683</v>
      </c>
      <c r="T141">
        <v>61053468.468468465</v>
      </c>
      <c r="U141">
        <v>32649549.549549554</v>
      </c>
      <c r="V141">
        <v>30125405.405405402</v>
      </c>
      <c r="W141">
        <v>3993</v>
      </c>
      <c r="X141">
        <v>4073</v>
      </c>
    </row>
    <row r="142" spans="1:24">
      <c r="A142" s="7" t="s">
        <v>232</v>
      </c>
      <c r="B142" s="16" t="s">
        <v>60</v>
      </c>
      <c r="C142">
        <v>111127259.0458762</v>
      </c>
      <c r="D142">
        <v>115649765.69384438</v>
      </c>
      <c r="E142">
        <v>2702.7027027029999</v>
      </c>
      <c r="G142">
        <v>18</v>
      </c>
      <c r="H142">
        <v>39</v>
      </c>
      <c r="I142">
        <v>1</v>
      </c>
      <c r="M142">
        <v>18</v>
      </c>
      <c r="N142">
        <v>44</v>
      </c>
      <c r="O142">
        <v>83783.783783784005</v>
      </c>
      <c r="Q142">
        <v>3</v>
      </c>
      <c r="S142">
        <v>44713558.558558561</v>
      </c>
      <c r="T142">
        <v>48401306.306306303</v>
      </c>
      <c r="U142">
        <v>81081.081081081007</v>
      </c>
      <c r="W142">
        <v>1950</v>
      </c>
      <c r="X142">
        <v>1938</v>
      </c>
    </row>
    <row r="143" spans="1:24">
      <c r="A143" s="7" t="s">
        <v>233</v>
      </c>
      <c r="B143" s="16" t="s">
        <v>54</v>
      </c>
      <c r="C143">
        <v>55216829.880670533</v>
      </c>
      <c r="D143">
        <v>56050465.058582053</v>
      </c>
      <c r="E143">
        <v>573873.87387387396</v>
      </c>
      <c r="F143">
        <v>98198.198198198996</v>
      </c>
      <c r="G143">
        <v>32</v>
      </c>
      <c r="H143">
        <v>41</v>
      </c>
      <c r="I143">
        <v>1</v>
      </c>
      <c r="J143">
        <v>0</v>
      </c>
      <c r="M143">
        <v>49</v>
      </c>
      <c r="N143">
        <v>61</v>
      </c>
      <c r="O143">
        <v>3218018.0180180161</v>
      </c>
      <c r="P143">
        <v>2336306.3063063058</v>
      </c>
      <c r="Q143">
        <v>60</v>
      </c>
      <c r="R143">
        <v>29</v>
      </c>
      <c r="S143">
        <v>11535585.585585587</v>
      </c>
      <c r="T143">
        <v>12170801.801801803</v>
      </c>
      <c r="U143">
        <v>3924774.7747747749</v>
      </c>
      <c r="V143">
        <v>2544684.684684684</v>
      </c>
      <c r="W143">
        <v>1060</v>
      </c>
      <c r="X143">
        <v>1308</v>
      </c>
    </row>
    <row r="144" spans="1:24">
      <c r="A144" s="7" t="s">
        <v>234</v>
      </c>
      <c r="B144" s="16" t="s">
        <v>167</v>
      </c>
      <c r="C144">
        <v>260766260.60217741</v>
      </c>
      <c r="D144">
        <v>258335183.57821426</v>
      </c>
      <c r="E144">
        <v>169419819.81981981</v>
      </c>
      <c r="F144">
        <v>6022522.5225225231</v>
      </c>
      <c r="G144">
        <v>66</v>
      </c>
      <c r="H144">
        <v>15</v>
      </c>
      <c r="I144">
        <v>1</v>
      </c>
      <c r="J144">
        <v>2</v>
      </c>
      <c r="M144">
        <v>77</v>
      </c>
      <c r="N144">
        <v>23</v>
      </c>
      <c r="O144">
        <v>23795270.270270273</v>
      </c>
      <c r="P144">
        <v>26687736.036036037</v>
      </c>
      <c r="Q144">
        <v>9</v>
      </c>
      <c r="R144">
        <v>2</v>
      </c>
      <c r="S144">
        <v>71502837.837837845</v>
      </c>
      <c r="T144">
        <v>72222743.243243247</v>
      </c>
      <c r="U144">
        <v>17220854.054054055</v>
      </c>
      <c r="V144">
        <v>13591351.351351352</v>
      </c>
      <c r="W144">
        <v>4880</v>
      </c>
      <c r="X144">
        <v>5034</v>
      </c>
    </row>
    <row r="145" spans="1:24">
      <c r="A145" s="7" t="s">
        <v>235</v>
      </c>
      <c r="B145" s="16" t="s">
        <v>236</v>
      </c>
      <c r="C145">
        <v>6196.4937303839997</v>
      </c>
      <c r="D145">
        <v>186.326401981</v>
      </c>
      <c r="T145">
        <v>9009.0090090089998</v>
      </c>
    </row>
    <row r="146" spans="1:24">
      <c r="A146" s="7" t="s">
        <v>237</v>
      </c>
      <c r="B146" s="16" t="s">
        <v>105</v>
      </c>
      <c r="C146">
        <v>158925106.02658603</v>
      </c>
      <c r="D146">
        <v>151670586.76603213</v>
      </c>
      <c r="E146">
        <v>267927.92792792799</v>
      </c>
      <c r="F146">
        <v>854954.95495495398</v>
      </c>
      <c r="G146">
        <v>33</v>
      </c>
      <c r="H146">
        <v>21</v>
      </c>
      <c r="I146">
        <v>1</v>
      </c>
      <c r="J146">
        <v>0</v>
      </c>
      <c r="M146">
        <v>36</v>
      </c>
      <c r="N146">
        <v>22</v>
      </c>
      <c r="O146">
        <v>21016846.846846849</v>
      </c>
      <c r="P146">
        <v>21854414.414414417</v>
      </c>
      <c r="Q146">
        <v>45</v>
      </c>
      <c r="R146">
        <v>50</v>
      </c>
      <c r="S146">
        <v>45468367.567567565</v>
      </c>
      <c r="T146">
        <v>44460072.072072074</v>
      </c>
      <c r="U146">
        <v>20789772.972972974</v>
      </c>
      <c r="V146">
        <v>22943603.603603605</v>
      </c>
      <c r="W146">
        <v>2093</v>
      </c>
      <c r="X146">
        <v>1963</v>
      </c>
    </row>
    <row r="147" spans="1:24">
      <c r="A147" s="7" t="s">
        <v>3</v>
      </c>
      <c r="B147" s="16" t="s">
        <v>158</v>
      </c>
      <c r="C147">
        <v>311284462.61866623</v>
      </c>
      <c r="D147">
        <v>312060855.65355134</v>
      </c>
      <c r="E147">
        <v>3265540.5405405411</v>
      </c>
      <c r="F147">
        <v>4639639.6396396421</v>
      </c>
      <c r="G147">
        <v>48</v>
      </c>
      <c r="H147">
        <v>49</v>
      </c>
      <c r="I147">
        <v>17</v>
      </c>
      <c r="J147">
        <v>9</v>
      </c>
      <c r="M147">
        <v>50</v>
      </c>
      <c r="N147">
        <v>55</v>
      </c>
      <c r="O147">
        <v>64537387.387387395</v>
      </c>
      <c r="P147">
        <v>62177477.477477483</v>
      </c>
      <c r="Q147">
        <v>102</v>
      </c>
      <c r="R147">
        <v>74</v>
      </c>
      <c r="S147">
        <v>82628378.378378391</v>
      </c>
      <c r="T147">
        <v>86993990.990990996</v>
      </c>
      <c r="U147">
        <v>59819099.099099107</v>
      </c>
      <c r="V147">
        <v>57432972.972972974</v>
      </c>
      <c r="W147">
        <v>4291</v>
      </c>
      <c r="X147">
        <v>3575</v>
      </c>
    </row>
    <row r="148" spans="1:24">
      <c r="A148" s="7" t="s">
        <v>238</v>
      </c>
      <c r="B148" s="16" t="s">
        <v>178</v>
      </c>
      <c r="C148">
        <v>276595800.64225256</v>
      </c>
      <c r="D148">
        <v>239755147.9228912</v>
      </c>
      <c r="E148">
        <v>4554054.0540540554</v>
      </c>
      <c r="F148">
        <v>525225.22522522602</v>
      </c>
      <c r="G148">
        <v>62</v>
      </c>
      <c r="H148">
        <v>48</v>
      </c>
      <c r="I148">
        <v>3</v>
      </c>
      <c r="J148">
        <v>4</v>
      </c>
      <c r="M148">
        <v>68</v>
      </c>
      <c r="N148">
        <v>83</v>
      </c>
      <c r="O148">
        <v>30366367.567567568</v>
      </c>
      <c r="P148">
        <v>32845045.045045044</v>
      </c>
      <c r="S148">
        <v>83821144.144144148</v>
      </c>
      <c r="T148">
        <v>75900864.864864871</v>
      </c>
      <c r="U148">
        <v>23280090.090090089</v>
      </c>
      <c r="V148">
        <v>28731441.441441443</v>
      </c>
      <c r="W148">
        <v>5494</v>
      </c>
      <c r="X148">
        <v>5288</v>
      </c>
    </row>
    <row r="149" spans="1:24">
      <c r="A149" s="7" t="s">
        <v>239</v>
      </c>
      <c r="B149" s="16" t="s">
        <v>54</v>
      </c>
      <c r="C149">
        <v>188709291.76837549</v>
      </c>
      <c r="D149">
        <v>172377936.96280307</v>
      </c>
      <c r="E149">
        <v>2136351.3513513519</v>
      </c>
      <c r="F149">
        <v>3860360.3603603612</v>
      </c>
      <c r="G149">
        <v>44</v>
      </c>
      <c r="H149">
        <v>31</v>
      </c>
      <c r="I149">
        <v>4</v>
      </c>
      <c r="J149">
        <v>4</v>
      </c>
      <c r="M149">
        <v>48</v>
      </c>
      <c r="N149">
        <v>34</v>
      </c>
      <c r="O149">
        <v>23022162.162162159</v>
      </c>
      <c r="P149">
        <v>23103963.963963963</v>
      </c>
      <c r="Q149">
        <v>90</v>
      </c>
      <c r="R149">
        <v>27</v>
      </c>
      <c r="S149">
        <v>53854086.486486487</v>
      </c>
      <c r="T149">
        <v>48369302.702702701</v>
      </c>
      <c r="U149">
        <v>21254727.927927926</v>
      </c>
      <c r="V149">
        <v>20123149.54954955</v>
      </c>
      <c r="W149">
        <v>3446</v>
      </c>
      <c r="X149">
        <v>3471</v>
      </c>
    </row>
    <row r="150" spans="1:24">
      <c r="A150" s="7" t="s">
        <v>240</v>
      </c>
      <c r="B150" s="16" t="s">
        <v>241</v>
      </c>
      <c r="C150">
        <v>161415997.35504374</v>
      </c>
      <c r="D150">
        <v>148369123.78267694</v>
      </c>
      <c r="E150">
        <v>76165990.990990996</v>
      </c>
      <c r="F150">
        <v>117073873.87387387</v>
      </c>
      <c r="G150">
        <v>73</v>
      </c>
      <c r="H150">
        <v>67</v>
      </c>
      <c r="I150">
        <v>6</v>
      </c>
      <c r="J150">
        <v>5</v>
      </c>
      <c r="M150">
        <v>83</v>
      </c>
      <c r="N150">
        <v>76</v>
      </c>
      <c r="O150">
        <v>139397837.83783785</v>
      </c>
      <c r="P150">
        <v>29285765.765765768</v>
      </c>
      <c r="Q150">
        <v>138</v>
      </c>
      <c r="R150">
        <v>23</v>
      </c>
      <c r="S150">
        <v>38103018.018018015</v>
      </c>
      <c r="T150">
        <v>34879637.837837838</v>
      </c>
      <c r="U150">
        <v>126349369.36936937</v>
      </c>
      <c r="V150">
        <v>19541981.981981985</v>
      </c>
      <c r="W150">
        <v>2937</v>
      </c>
      <c r="X150">
        <v>2851</v>
      </c>
    </row>
    <row r="151" spans="1:24">
      <c r="A151" s="7" t="s">
        <v>242</v>
      </c>
      <c r="B151" s="16" t="s">
        <v>241</v>
      </c>
      <c r="C151">
        <v>402200454.4241339</v>
      </c>
      <c r="D151">
        <v>386966796.03536481</v>
      </c>
      <c r="E151">
        <v>833333.33333333395</v>
      </c>
      <c r="F151">
        <v>4143243.2432432449</v>
      </c>
      <c r="G151">
        <v>204</v>
      </c>
      <c r="H151">
        <v>151</v>
      </c>
      <c r="I151">
        <v>25</v>
      </c>
      <c r="J151">
        <v>20</v>
      </c>
      <c r="K151">
        <v>1</v>
      </c>
      <c r="M151">
        <v>219</v>
      </c>
      <c r="N151">
        <v>177</v>
      </c>
      <c r="O151">
        <v>110105675.67567568</v>
      </c>
      <c r="P151">
        <v>95947387.387387395</v>
      </c>
      <c r="Q151">
        <v>363</v>
      </c>
      <c r="R151">
        <v>204</v>
      </c>
      <c r="S151">
        <v>122292837.83783785</v>
      </c>
      <c r="T151">
        <v>114618882.88288288</v>
      </c>
      <c r="U151">
        <v>106911891.89189188</v>
      </c>
      <c r="V151">
        <v>88122342.342342332</v>
      </c>
      <c r="W151">
        <v>6807</v>
      </c>
      <c r="X151">
        <v>6821</v>
      </c>
    </row>
    <row r="152" spans="1:24">
      <c r="A152" s="7" t="s">
        <v>243</v>
      </c>
      <c r="B152" s="16" t="s">
        <v>50</v>
      </c>
      <c r="C152">
        <v>65574037.623580784</v>
      </c>
      <c r="D152">
        <v>67870689.472977817</v>
      </c>
      <c r="E152">
        <v>4465540.5405405425</v>
      </c>
      <c r="F152">
        <v>2869369.3693693699</v>
      </c>
      <c r="G152">
        <v>14</v>
      </c>
      <c r="H152">
        <v>13</v>
      </c>
      <c r="I152">
        <v>7</v>
      </c>
      <c r="J152">
        <v>2</v>
      </c>
      <c r="M152">
        <v>14</v>
      </c>
      <c r="N152">
        <v>25</v>
      </c>
      <c r="O152">
        <v>16260810.810810812</v>
      </c>
      <c r="P152">
        <v>12853513.513513517</v>
      </c>
      <c r="Q152">
        <v>9</v>
      </c>
      <c r="R152">
        <v>25</v>
      </c>
      <c r="S152">
        <v>24257972.97297297</v>
      </c>
      <c r="T152">
        <v>22033567.567567568</v>
      </c>
      <c r="U152">
        <v>14678918.918918919</v>
      </c>
      <c r="V152">
        <v>11431351.351351352</v>
      </c>
      <c r="W152">
        <v>1173</v>
      </c>
      <c r="X152">
        <v>1192</v>
      </c>
    </row>
    <row r="153" spans="1:24">
      <c r="A153" s="7" t="s">
        <v>244</v>
      </c>
      <c r="B153" s="16" t="s">
        <v>181</v>
      </c>
      <c r="C153">
        <v>2239393134.3025284</v>
      </c>
      <c r="D153">
        <v>2117043500.1204789</v>
      </c>
      <c r="E153">
        <v>296138778.37837839</v>
      </c>
      <c r="F153">
        <v>227743396.3963964</v>
      </c>
      <c r="G153">
        <v>1067</v>
      </c>
      <c r="H153">
        <v>893</v>
      </c>
      <c r="I153">
        <v>100</v>
      </c>
      <c r="J153">
        <v>90</v>
      </c>
      <c r="K153">
        <v>17</v>
      </c>
      <c r="M153">
        <v>1232</v>
      </c>
      <c r="N153">
        <v>1428</v>
      </c>
      <c r="O153">
        <v>233172792.79279277</v>
      </c>
      <c r="P153">
        <v>283676666.66666663</v>
      </c>
      <c r="Q153">
        <v>1572</v>
      </c>
      <c r="R153">
        <v>953</v>
      </c>
      <c r="S153">
        <v>452907293.6936937</v>
      </c>
      <c r="T153">
        <v>471389649.54954958</v>
      </c>
      <c r="U153">
        <v>224355765.76576576</v>
      </c>
      <c r="V153">
        <v>280099729.72972971</v>
      </c>
      <c r="W153">
        <v>44321</v>
      </c>
      <c r="X153">
        <v>44010</v>
      </c>
    </row>
    <row r="154" spans="1:24">
      <c r="A154" s="7" t="s">
        <v>245</v>
      </c>
      <c r="B154" s="16" t="s">
        <v>48</v>
      </c>
      <c r="C154">
        <v>95758860.428720474</v>
      </c>
      <c r="D154">
        <v>91575719.764663383</v>
      </c>
      <c r="E154">
        <v>278378.37837837898</v>
      </c>
      <c r="F154">
        <v>2002027.0270270279</v>
      </c>
      <c r="G154">
        <v>10</v>
      </c>
      <c r="H154">
        <v>5</v>
      </c>
      <c r="I154">
        <v>4</v>
      </c>
      <c r="J154">
        <v>7</v>
      </c>
      <c r="M154">
        <v>24</v>
      </c>
      <c r="N154">
        <v>18</v>
      </c>
      <c r="O154">
        <v>11316756.756756758</v>
      </c>
      <c r="P154">
        <v>21905585.585585583</v>
      </c>
      <c r="R154">
        <v>25</v>
      </c>
      <c r="S154">
        <v>22765216.216216218</v>
      </c>
      <c r="T154">
        <v>21954828.828828827</v>
      </c>
      <c r="U154">
        <v>12199099.0990991</v>
      </c>
      <c r="V154">
        <v>23136396.396396395</v>
      </c>
      <c r="W154">
        <v>1844</v>
      </c>
      <c r="X154">
        <v>1883</v>
      </c>
    </row>
    <row r="155" spans="1:24">
      <c r="A155" s="7" t="s">
        <v>246</v>
      </c>
      <c r="B155" s="16" t="s">
        <v>94</v>
      </c>
      <c r="C155">
        <v>40376739.104178093</v>
      </c>
      <c r="D155">
        <v>27465876.129413038</v>
      </c>
      <c r="G155">
        <v>6</v>
      </c>
      <c r="H155">
        <v>5</v>
      </c>
      <c r="J155">
        <v>0</v>
      </c>
      <c r="M155">
        <v>7</v>
      </c>
      <c r="N155">
        <v>5</v>
      </c>
      <c r="S155">
        <v>7382360.3603603598</v>
      </c>
      <c r="T155">
        <v>5495639.6396396402</v>
      </c>
      <c r="W155">
        <v>701</v>
      </c>
      <c r="X155">
        <v>682</v>
      </c>
    </row>
    <row r="156" spans="1:24">
      <c r="A156" s="7" t="s">
        <v>247</v>
      </c>
      <c r="B156" s="16" t="s">
        <v>117</v>
      </c>
      <c r="C156">
        <v>84649246.394867614</v>
      </c>
      <c r="D156">
        <v>85928853.376732171</v>
      </c>
      <c r="E156">
        <v>212224902.70270273</v>
      </c>
      <c r="F156">
        <v>6541400.9009009013</v>
      </c>
      <c r="G156">
        <v>28</v>
      </c>
      <c r="H156">
        <v>11</v>
      </c>
      <c r="I156">
        <v>7</v>
      </c>
      <c r="J156">
        <v>3</v>
      </c>
      <c r="M156">
        <v>30</v>
      </c>
      <c r="N156">
        <v>14</v>
      </c>
      <c r="O156">
        <v>25396007.207207207</v>
      </c>
      <c r="P156">
        <v>15321733.333333334</v>
      </c>
      <c r="Q156">
        <v>89</v>
      </c>
      <c r="R156">
        <v>46</v>
      </c>
      <c r="S156">
        <v>40765855.855855852</v>
      </c>
      <c r="T156">
        <v>40951099.0990991</v>
      </c>
      <c r="U156">
        <v>18156036.036036033</v>
      </c>
      <c r="V156">
        <v>14457837.837837838</v>
      </c>
      <c r="W156">
        <v>1713</v>
      </c>
      <c r="X156">
        <v>1790</v>
      </c>
    </row>
    <row r="157" spans="1:24">
      <c r="A157" s="7" t="s">
        <v>248</v>
      </c>
      <c r="B157" s="16" t="s">
        <v>121</v>
      </c>
      <c r="C157">
        <v>143038830.12191108</v>
      </c>
      <c r="D157">
        <v>140255533.61210418</v>
      </c>
      <c r="E157">
        <v>102252.25225225301</v>
      </c>
      <c r="F157">
        <v>850450.450450451</v>
      </c>
      <c r="G157">
        <v>136</v>
      </c>
      <c r="H157">
        <v>83</v>
      </c>
      <c r="I157">
        <v>4</v>
      </c>
      <c r="J157">
        <v>5</v>
      </c>
      <c r="M157">
        <v>146</v>
      </c>
      <c r="N157">
        <v>90</v>
      </c>
      <c r="O157">
        <v>7005405.405405405</v>
      </c>
      <c r="P157">
        <v>6761261.2612612611</v>
      </c>
      <c r="Q157">
        <v>132</v>
      </c>
      <c r="R157">
        <v>14</v>
      </c>
      <c r="S157">
        <v>16784603.603603605</v>
      </c>
      <c r="T157">
        <v>16320324.324324325</v>
      </c>
      <c r="U157">
        <v>8021081.0810810803</v>
      </c>
      <c r="V157">
        <v>4874594.5945945941</v>
      </c>
      <c r="W157">
        <v>2437</v>
      </c>
      <c r="X157">
        <v>2355</v>
      </c>
    </row>
    <row r="158" spans="1:24">
      <c r="A158" s="7" t="s">
        <v>249</v>
      </c>
      <c r="B158" s="16" t="s">
        <v>76</v>
      </c>
      <c r="C158">
        <v>67576365.799871206</v>
      </c>
      <c r="D158">
        <v>60903906.097808234</v>
      </c>
      <c r="G158">
        <v>6</v>
      </c>
      <c r="H158">
        <v>5</v>
      </c>
      <c r="I158">
        <v>0</v>
      </c>
      <c r="J158">
        <v>0</v>
      </c>
      <c r="M158">
        <v>9</v>
      </c>
      <c r="N158">
        <v>7</v>
      </c>
      <c r="S158">
        <v>7304351.3513513505</v>
      </c>
      <c r="T158">
        <v>5889549.5495495489</v>
      </c>
      <c r="W158">
        <v>1691</v>
      </c>
      <c r="X158">
        <v>1613</v>
      </c>
    </row>
    <row r="159" spans="1:24">
      <c r="A159" s="7" t="s">
        <v>250</v>
      </c>
      <c r="B159" s="16" t="s">
        <v>167</v>
      </c>
      <c r="C159">
        <v>211283882.32257745</v>
      </c>
      <c r="D159">
        <v>197374484.16830707</v>
      </c>
      <c r="G159">
        <v>27</v>
      </c>
      <c r="H159">
        <v>14</v>
      </c>
      <c r="M159">
        <v>35</v>
      </c>
      <c r="N159">
        <v>42</v>
      </c>
      <c r="O159">
        <v>6925405.405405405</v>
      </c>
      <c r="P159">
        <v>3612612.6126126111</v>
      </c>
      <c r="Q159">
        <v>9</v>
      </c>
      <c r="S159">
        <v>39335720.720720723</v>
      </c>
      <c r="T159">
        <v>37644099.0990991</v>
      </c>
      <c r="U159">
        <v>3291621.6216216208</v>
      </c>
      <c r="V159">
        <v>2806756.756756756</v>
      </c>
      <c r="W159">
        <v>3870</v>
      </c>
      <c r="X159">
        <v>3662</v>
      </c>
    </row>
    <row r="160" spans="1:24">
      <c r="A160" s="7" t="s">
        <v>251</v>
      </c>
      <c r="B160" s="16" t="s">
        <v>89</v>
      </c>
      <c r="C160">
        <v>583695337.28048742</v>
      </c>
      <c r="D160">
        <v>579058323.80686033</v>
      </c>
      <c r="E160">
        <v>72250810.810810819</v>
      </c>
      <c r="F160">
        <v>145469819.81981984</v>
      </c>
      <c r="G160">
        <v>51</v>
      </c>
      <c r="H160">
        <v>107</v>
      </c>
      <c r="I160">
        <v>24</v>
      </c>
      <c r="J160">
        <v>40</v>
      </c>
      <c r="M160">
        <v>58</v>
      </c>
      <c r="N160">
        <v>124</v>
      </c>
      <c r="O160">
        <v>54057477.477477483</v>
      </c>
      <c r="P160">
        <v>47626936.936936937</v>
      </c>
      <c r="Q160">
        <v>339</v>
      </c>
      <c r="R160">
        <v>507</v>
      </c>
      <c r="S160">
        <v>142027236.03603604</v>
      </c>
      <c r="T160">
        <v>143430045.04504505</v>
      </c>
      <c r="U160">
        <v>50173153.153153151</v>
      </c>
      <c r="V160">
        <v>43933693.693693697</v>
      </c>
      <c r="W160">
        <v>10436</v>
      </c>
      <c r="X160">
        <v>10086</v>
      </c>
    </row>
    <row r="161" spans="1:24">
      <c r="A161" s="7" t="s">
        <v>252</v>
      </c>
      <c r="B161" s="16" t="s">
        <v>78</v>
      </c>
      <c r="C161">
        <v>176219235.14996991</v>
      </c>
      <c r="D161">
        <v>171260815.54310375</v>
      </c>
      <c r="E161">
        <v>695495.49549549504</v>
      </c>
      <c r="F161">
        <v>2372972.9729729751</v>
      </c>
      <c r="G161">
        <v>41</v>
      </c>
      <c r="H161">
        <v>27</v>
      </c>
      <c r="I161">
        <v>4</v>
      </c>
      <c r="J161">
        <v>12</v>
      </c>
      <c r="M161">
        <v>43</v>
      </c>
      <c r="N161">
        <v>31</v>
      </c>
      <c r="O161">
        <v>20687297.297297295</v>
      </c>
      <c r="P161">
        <v>32396126.126126129</v>
      </c>
      <c r="Q161">
        <v>27</v>
      </c>
      <c r="R161">
        <v>71</v>
      </c>
      <c r="S161">
        <v>49353900.900900893</v>
      </c>
      <c r="T161">
        <v>48558513.513513513</v>
      </c>
      <c r="U161">
        <v>20444684.684684686</v>
      </c>
      <c r="V161">
        <v>29955855.855855856</v>
      </c>
      <c r="W161">
        <v>2860</v>
      </c>
      <c r="X161">
        <v>3147</v>
      </c>
    </row>
    <row r="162" spans="1:24">
      <c r="A162" s="7" t="s">
        <v>253</v>
      </c>
      <c r="B162" s="16" t="s">
        <v>105</v>
      </c>
      <c r="C162">
        <v>340511155.98033881</v>
      </c>
      <c r="D162">
        <v>335108420.26340199</v>
      </c>
      <c r="E162">
        <v>57337089.189189196</v>
      </c>
      <c r="F162">
        <v>172261454.95495495</v>
      </c>
      <c r="G162">
        <v>78</v>
      </c>
      <c r="H162">
        <v>148</v>
      </c>
      <c r="I162">
        <v>13</v>
      </c>
      <c r="J162">
        <v>17</v>
      </c>
      <c r="K162">
        <v>1</v>
      </c>
      <c r="M162">
        <v>97</v>
      </c>
      <c r="N162">
        <v>206</v>
      </c>
      <c r="O162">
        <v>83920810.810810819</v>
      </c>
      <c r="P162">
        <v>47533513.513513513</v>
      </c>
      <c r="Q162">
        <v>230</v>
      </c>
      <c r="R162">
        <v>361</v>
      </c>
      <c r="S162">
        <v>99776684.684684694</v>
      </c>
      <c r="T162">
        <v>98038621.621621609</v>
      </c>
      <c r="U162">
        <v>80889189.189189181</v>
      </c>
      <c r="V162">
        <v>48141171.171171166</v>
      </c>
      <c r="W162">
        <v>5474</v>
      </c>
      <c r="X162">
        <v>5303</v>
      </c>
    </row>
    <row r="163" spans="1:24">
      <c r="A163" s="7" t="s">
        <v>254</v>
      </c>
      <c r="B163" s="16" t="s">
        <v>105</v>
      </c>
      <c r="C163">
        <v>217251649.09117934</v>
      </c>
      <c r="D163">
        <v>222409516.34392083</v>
      </c>
      <c r="E163">
        <v>1931531.5315315309</v>
      </c>
      <c r="F163">
        <v>2345045.0450450471</v>
      </c>
      <c r="G163">
        <v>32</v>
      </c>
      <c r="H163">
        <v>26</v>
      </c>
      <c r="I163">
        <v>3</v>
      </c>
      <c r="J163">
        <v>1</v>
      </c>
      <c r="M163">
        <v>39</v>
      </c>
      <c r="N163">
        <v>33</v>
      </c>
      <c r="O163">
        <v>18290630.630630631</v>
      </c>
      <c r="P163">
        <v>15815675.675675675</v>
      </c>
      <c r="Q163">
        <v>74</v>
      </c>
      <c r="R163">
        <v>45</v>
      </c>
      <c r="S163">
        <v>65835854.054054059</v>
      </c>
      <c r="T163">
        <v>69166729.729729727</v>
      </c>
      <c r="U163">
        <v>15152432.432432432</v>
      </c>
      <c r="V163">
        <v>15390270.270270269</v>
      </c>
      <c r="W163">
        <v>3731</v>
      </c>
      <c r="X163">
        <v>3873</v>
      </c>
    </row>
    <row r="164" spans="1:24">
      <c r="A164" s="7" t="s">
        <v>255</v>
      </c>
      <c r="B164" s="16" t="s">
        <v>105</v>
      </c>
      <c r="C164">
        <v>184261065.86021379</v>
      </c>
      <c r="D164">
        <v>183495177.11508569</v>
      </c>
      <c r="E164">
        <v>1122522.5225225231</v>
      </c>
      <c r="F164">
        <v>132432.43243243301</v>
      </c>
      <c r="G164">
        <v>31</v>
      </c>
      <c r="H164">
        <v>32</v>
      </c>
      <c r="I164">
        <v>0</v>
      </c>
      <c r="J164">
        <v>0</v>
      </c>
      <c r="M164">
        <v>31</v>
      </c>
      <c r="N164">
        <v>34</v>
      </c>
      <c r="O164">
        <v>2158558.558558559</v>
      </c>
      <c r="P164">
        <v>2384684.684684685</v>
      </c>
      <c r="Q164">
        <v>1</v>
      </c>
      <c r="S164">
        <v>38223828.828828834</v>
      </c>
      <c r="T164">
        <v>39283980.180180177</v>
      </c>
      <c r="U164">
        <v>2620990.9909909908</v>
      </c>
      <c r="V164">
        <v>2338918.9189189188</v>
      </c>
      <c r="W164">
        <v>2082</v>
      </c>
      <c r="X164">
        <v>2178</v>
      </c>
    </row>
    <row r="165" spans="1:24">
      <c r="A165" s="7" t="s">
        <v>256</v>
      </c>
      <c r="B165" s="16" t="s">
        <v>134</v>
      </c>
      <c r="C165">
        <v>290885571.88968164</v>
      </c>
      <c r="D165">
        <v>284697313.97000325</v>
      </c>
      <c r="E165">
        <v>408108.10810810799</v>
      </c>
      <c r="F165">
        <v>909909.90990991099</v>
      </c>
      <c r="G165">
        <v>29</v>
      </c>
      <c r="H165">
        <v>22</v>
      </c>
      <c r="I165">
        <v>1</v>
      </c>
      <c r="J165">
        <v>2</v>
      </c>
      <c r="M165">
        <v>30</v>
      </c>
      <c r="N165">
        <v>24</v>
      </c>
      <c r="O165">
        <v>8786486.4864864852</v>
      </c>
      <c r="P165">
        <v>3531531.5315315318</v>
      </c>
      <c r="Q165">
        <v>185</v>
      </c>
      <c r="S165">
        <v>19746522.52252252</v>
      </c>
      <c r="T165">
        <v>20091873.873873875</v>
      </c>
      <c r="U165">
        <v>6714144.1441441439</v>
      </c>
      <c r="V165">
        <v>4376576.5765765766</v>
      </c>
      <c r="W165">
        <v>4889</v>
      </c>
      <c r="X165">
        <v>4167</v>
      </c>
    </row>
    <row r="166" spans="1:24">
      <c r="A166" s="7" t="s">
        <v>257</v>
      </c>
      <c r="B166" s="16" t="s">
        <v>167</v>
      </c>
      <c r="C166">
        <v>110193951.5104</v>
      </c>
      <c r="D166">
        <v>100887802.51660055</v>
      </c>
      <c r="E166">
        <v>905405.40540540603</v>
      </c>
      <c r="F166">
        <v>1184684.684684685</v>
      </c>
      <c r="G166">
        <v>62</v>
      </c>
      <c r="H166">
        <v>25</v>
      </c>
      <c r="I166">
        <v>2</v>
      </c>
      <c r="J166">
        <v>0</v>
      </c>
      <c r="M166">
        <v>73</v>
      </c>
      <c r="N166">
        <v>27</v>
      </c>
      <c r="O166">
        <v>6876126.1261261273</v>
      </c>
      <c r="P166">
        <v>4388981.0810810812</v>
      </c>
      <c r="Q166">
        <v>12</v>
      </c>
      <c r="S166">
        <v>39214908.108108111</v>
      </c>
      <c r="T166">
        <v>33876182.882882886</v>
      </c>
      <c r="U166">
        <v>6341621.6216216227</v>
      </c>
      <c r="V166">
        <v>5056396.3963963958</v>
      </c>
      <c r="W166">
        <v>2451</v>
      </c>
      <c r="X166">
        <v>2545</v>
      </c>
    </row>
    <row r="167" spans="1:24">
      <c r="A167" s="7" t="s">
        <v>258</v>
      </c>
      <c r="B167" s="16" t="s">
        <v>60</v>
      </c>
      <c r="C167">
        <v>44215000.516170703</v>
      </c>
      <c r="D167">
        <v>39576513.851045109</v>
      </c>
      <c r="E167">
        <v>15765.765765766</v>
      </c>
      <c r="F167">
        <v>320720.720720721</v>
      </c>
      <c r="G167">
        <v>21</v>
      </c>
      <c r="H167">
        <v>18</v>
      </c>
      <c r="I167">
        <v>1</v>
      </c>
      <c r="J167">
        <v>4</v>
      </c>
      <c r="K167">
        <v>2</v>
      </c>
      <c r="M167">
        <v>35</v>
      </c>
      <c r="N167">
        <v>26</v>
      </c>
      <c r="O167">
        <v>9655405.405405404</v>
      </c>
      <c r="P167">
        <v>7609009.0090090102</v>
      </c>
      <c r="Q167">
        <v>16</v>
      </c>
      <c r="R167">
        <v>19</v>
      </c>
      <c r="S167">
        <v>16024369.369369367</v>
      </c>
      <c r="T167">
        <v>14313585.585585585</v>
      </c>
      <c r="U167">
        <v>8561801.8018018007</v>
      </c>
      <c r="V167">
        <v>7670540.5405405397</v>
      </c>
      <c r="W167">
        <v>651</v>
      </c>
      <c r="X167">
        <v>658</v>
      </c>
    </row>
    <row r="168" spans="1:24">
      <c r="A168" s="7" t="s">
        <v>259</v>
      </c>
      <c r="B168" s="16" t="s">
        <v>260</v>
      </c>
      <c r="C168">
        <v>21930525.662943728</v>
      </c>
      <c r="D168">
        <v>23877179.639036726</v>
      </c>
      <c r="E168">
        <v>2342342.3423423418</v>
      </c>
      <c r="F168">
        <v>13513.513513514001</v>
      </c>
      <c r="G168">
        <v>10</v>
      </c>
      <c r="H168">
        <v>7</v>
      </c>
      <c r="M168">
        <v>10</v>
      </c>
      <c r="N168">
        <v>11</v>
      </c>
      <c r="O168">
        <v>3243243.2432432431</v>
      </c>
      <c r="P168">
        <v>4101351.351351351</v>
      </c>
      <c r="S168">
        <v>4525675.6756756762</v>
      </c>
      <c r="T168">
        <v>4247414.4144144142</v>
      </c>
      <c r="U168">
        <v>5314144.1441441439</v>
      </c>
      <c r="V168">
        <v>2028648.6486486481</v>
      </c>
      <c r="W168">
        <v>586</v>
      </c>
      <c r="X168">
        <v>555</v>
      </c>
    </row>
    <row r="169" spans="1:24">
      <c r="A169" s="7" t="s">
        <v>261</v>
      </c>
      <c r="B169" s="16" t="s">
        <v>60</v>
      </c>
      <c r="C169">
        <v>373405478.07752603</v>
      </c>
      <c r="D169">
        <v>371775670.47715521</v>
      </c>
      <c r="E169">
        <v>408327957.65765768</v>
      </c>
      <c r="F169">
        <v>236371106.3063063</v>
      </c>
      <c r="G169">
        <v>223</v>
      </c>
      <c r="H169">
        <v>243</v>
      </c>
      <c r="I169">
        <v>31</v>
      </c>
      <c r="J169">
        <v>51</v>
      </c>
      <c r="K169">
        <v>13</v>
      </c>
      <c r="M169">
        <v>282</v>
      </c>
      <c r="N169">
        <v>818</v>
      </c>
      <c r="O169">
        <v>71481621.621621609</v>
      </c>
      <c r="P169">
        <v>72731981.981981978</v>
      </c>
      <c r="Q169">
        <v>593</v>
      </c>
      <c r="R169">
        <v>1793</v>
      </c>
      <c r="S169">
        <v>132722144.14414415</v>
      </c>
      <c r="T169">
        <v>137904596.84684685</v>
      </c>
      <c r="U169">
        <v>68069459.459459454</v>
      </c>
      <c r="V169">
        <v>78794504.504504517</v>
      </c>
      <c r="W169">
        <v>6248</v>
      </c>
      <c r="X169">
        <v>6464</v>
      </c>
    </row>
    <row r="170" spans="1:24">
      <c r="A170" s="7" t="s">
        <v>262</v>
      </c>
      <c r="B170" s="16" t="s">
        <v>123</v>
      </c>
      <c r="C170">
        <v>295902673.80829877</v>
      </c>
      <c r="D170">
        <v>286773126.64602596</v>
      </c>
      <c r="E170">
        <v>306756.75675675803</v>
      </c>
      <c r="F170">
        <v>426126.12612612703</v>
      </c>
      <c r="G170">
        <v>43</v>
      </c>
      <c r="H170">
        <v>80</v>
      </c>
      <c r="I170">
        <v>1</v>
      </c>
      <c r="J170">
        <v>2</v>
      </c>
      <c r="K170">
        <v>1</v>
      </c>
      <c r="M170">
        <v>54</v>
      </c>
      <c r="N170">
        <v>104</v>
      </c>
      <c r="O170">
        <v>20389279.27927928</v>
      </c>
      <c r="P170">
        <v>18919639.639639638</v>
      </c>
      <c r="Q170">
        <v>29</v>
      </c>
      <c r="R170">
        <v>34</v>
      </c>
      <c r="S170">
        <v>113847918.91891891</v>
      </c>
      <c r="T170">
        <v>112601909.9099099</v>
      </c>
      <c r="U170">
        <v>18817837.837837838</v>
      </c>
      <c r="V170">
        <v>17095765.765765764</v>
      </c>
      <c r="W170">
        <v>5578</v>
      </c>
      <c r="X170">
        <v>5487</v>
      </c>
    </row>
    <row r="171" spans="1:24">
      <c r="A171" s="7" t="s">
        <v>263</v>
      </c>
      <c r="B171" s="16" t="s">
        <v>123</v>
      </c>
      <c r="C171">
        <v>128570450.83782831</v>
      </c>
      <c r="D171">
        <v>121993064.41613457</v>
      </c>
      <c r="E171">
        <v>638738.73873873998</v>
      </c>
      <c r="F171">
        <v>3789414.4144144161</v>
      </c>
      <c r="G171">
        <v>53</v>
      </c>
      <c r="H171">
        <v>76</v>
      </c>
      <c r="I171">
        <v>7</v>
      </c>
      <c r="J171">
        <v>8</v>
      </c>
      <c r="K171">
        <v>2</v>
      </c>
      <c r="M171">
        <v>136</v>
      </c>
      <c r="N171">
        <v>278</v>
      </c>
      <c r="O171">
        <v>62408018.018018015</v>
      </c>
      <c r="P171">
        <v>53125225.225225225</v>
      </c>
      <c r="Q171">
        <v>268</v>
      </c>
      <c r="R171">
        <v>442</v>
      </c>
      <c r="S171">
        <v>55137963.963963971</v>
      </c>
      <c r="T171">
        <v>51163504.504504502</v>
      </c>
      <c r="U171">
        <v>64862972.972972974</v>
      </c>
      <c r="V171">
        <v>52183513.513513513</v>
      </c>
      <c r="W171">
        <v>2476</v>
      </c>
      <c r="X171">
        <v>2348</v>
      </c>
    </row>
    <row r="172" spans="1:24">
      <c r="A172" s="7" t="s">
        <v>264</v>
      </c>
      <c r="B172" s="16" t="s">
        <v>125</v>
      </c>
      <c r="C172">
        <v>304553104.2267682</v>
      </c>
      <c r="D172">
        <v>310152248.63410932</v>
      </c>
      <c r="E172">
        <v>41710645.045045048</v>
      </c>
      <c r="F172">
        <v>62376427.027027026</v>
      </c>
      <c r="G172">
        <v>46</v>
      </c>
      <c r="H172">
        <v>86</v>
      </c>
      <c r="I172">
        <v>4</v>
      </c>
      <c r="J172">
        <v>5</v>
      </c>
      <c r="M172">
        <v>49</v>
      </c>
      <c r="N172">
        <v>87</v>
      </c>
      <c r="O172">
        <v>38242792.79279279</v>
      </c>
      <c r="P172">
        <v>34648648.648648649</v>
      </c>
      <c r="Q172">
        <v>60</v>
      </c>
      <c r="R172">
        <v>8</v>
      </c>
      <c r="S172">
        <v>105829954.95495497</v>
      </c>
      <c r="T172">
        <v>112639545.94594595</v>
      </c>
      <c r="U172">
        <v>30693873.873873871</v>
      </c>
      <c r="V172">
        <v>22774144.144144144</v>
      </c>
      <c r="W172">
        <v>4406</v>
      </c>
      <c r="X172">
        <v>4475</v>
      </c>
    </row>
    <row r="173" spans="1:24">
      <c r="A173" s="7" t="s">
        <v>265</v>
      </c>
      <c r="B173" s="16" t="s">
        <v>123</v>
      </c>
      <c r="C173">
        <v>306447048.21810383</v>
      </c>
      <c r="D173">
        <v>295101249.89852995</v>
      </c>
      <c r="E173">
        <v>342342.34234234301</v>
      </c>
      <c r="F173">
        <v>2066666.666666667</v>
      </c>
      <c r="G173">
        <v>82</v>
      </c>
      <c r="H173">
        <v>45</v>
      </c>
      <c r="I173">
        <v>10</v>
      </c>
      <c r="J173">
        <v>7</v>
      </c>
      <c r="M173">
        <v>88</v>
      </c>
      <c r="N173">
        <v>51</v>
      </c>
      <c r="O173">
        <v>26732252.252252251</v>
      </c>
      <c r="P173">
        <v>33449099.0990991</v>
      </c>
      <c r="Q173">
        <v>56</v>
      </c>
      <c r="R173">
        <v>57</v>
      </c>
      <c r="S173">
        <v>107307342.34234233</v>
      </c>
      <c r="T173">
        <v>103899661.26126127</v>
      </c>
      <c r="U173">
        <v>26813963.963963963</v>
      </c>
      <c r="V173">
        <v>33958738.738738738</v>
      </c>
      <c r="W173">
        <v>4821</v>
      </c>
      <c r="X173">
        <v>4811</v>
      </c>
    </row>
    <row r="174" spans="1:24">
      <c r="A174" s="7" t="s">
        <v>266</v>
      </c>
      <c r="B174" s="16" t="s">
        <v>123</v>
      </c>
      <c r="C174">
        <v>298708494.29226232</v>
      </c>
      <c r="D174">
        <v>307218471.83400404</v>
      </c>
      <c r="E174">
        <v>2263063.063063066</v>
      </c>
      <c r="F174">
        <v>2893243.2432432431</v>
      </c>
      <c r="G174">
        <v>44</v>
      </c>
      <c r="H174">
        <v>64</v>
      </c>
      <c r="I174">
        <v>4</v>
      </c>
      <c r="J174">
        <v>8</v>
      </c>
      <c r="M174">
        <v>49</v>
      </c>
      <c r="N174">
        <v>72</v>
      </c>
      <c r="O174">
        <v>43943063.063063055</v>
      </c>
      <c r="P174">
        <v>44241351.351351351</v>
      </c>
      <c r="Q174">
        <v>182</v>
      </c>
      <c r="R174">
        <v>107</v>
      </c>
      <c r="S174">
        <v>117902511.7117117</v>
      </c>
      <c r="T174">
        <v>125455700.9009009</v>
      </c>
      <c r="U174">
        <v>42212432.432432435</v>
      </c>
      <c r="V174">
        <v>43859189.189189196</v>
      </c>
      <c r="W174">
        <v>5482</v>
      </c>
      <c r="X174">
        <v>5518</v>
      </c>
    </row>
    <row r="175" spans="1:24">
      <c r="A175" s="7" t="s">
        <v>267</v>
      </c>
      <c r="B175" s="16" t="s">
        <v>178</v>
      </c>
      <c r="C175">
        <v>1621480706.9862714</v>
      </c>
      <c r="D175">
        <v>1560995178.8974104</v>
      </c>
      <c r="E175">
        <v>1220635200.9009008</v>
      </c>
      <c r="F175">
        <v>989338249.54954958</v>
      </c>
      <c r="G175">
        <v>846</v>
      </c>
      <c r="H175">
        <v>759</v>
      </c>
      <c r="I175">
        <v>48</v>
      </c>
      <c r="J175">
        <v>87</v>
      </c>
      <c r="K175">
        <v>6</v>
      </c>
      <c r="M175">
        <v>1063</v>
      </c>
      <c r="N175">
        <v>1350</v>
      </c>
      <c r="O175">
        <v>236307745.04504505</v>
      </c>
      <c r="P175">
        <v>211693627.02702704</v>
      </c>
      <c r="Q175">
        <v>602</v>
      </c>
      <c r="R175">
        <v>1129</v>
      </c>
      <c r="S175">
        <v>461821565.76576579</v>
      </c>
      <c r="T175">
        <v>468796912.61261261</v>
      </c>
      <c r="U175">
        <v>222608828.82882884</v>
      </c>
      <c r="V175">
        <v>197081531.53153151</v>
      </c>
      <c r="W175">
        <v>32707</v>
      </c>
      <c r="X175">
        <v>31940</v>
      </c>
    </row>
    <row r="176" spans="1:24">
      <c r="A176" s="7" t="s">
        <v>268</v>
      </c>
      <c r="B176" s="16" t="s">
        <v>62</v>
      </c>
      <c r="C176">
        <v>240353444.19843331</v>
      </c>
      <c r="D176">
        <v>253990782.12776542</v>
      </c>
      <c r="E176">
        <v>410328513.51351357</v>
      </c>
      <c r="F176">
        <v>697229783.78378379</v>
      </c>
      <c r="G176">
        <v>40</v>
      </c>
      <c r="H176">
        <v>54</v>
      </c>
      <c r="I176">
        <v>18</v>
      </c>
      <c r="J176">
        <v>22</v>
      </c>
      <c r="M176">
        <v>42</v>
      </c>
      <c r="N176">
        <v>81</v>
      </c>
      <c r="O176">
        <v>65570181.981981978</v>
      </c>
      <c r="P176">
        <v>140067652.25225225</v>
      </c>
      <c r="Q176">
        <v>178</v>
      </c>
      <c r="R176">
        <v>134</v>
      </c>
      <c r="S176">
        <v>80659864.864864871</v>
      </c>
      <c r="T176">
        <v>84403918.918918908</v>
      </c>
      <c r="U176">
        <v>23562792.792792793</v>
      </c>
      <c r="V176">
        <v>69346486.486486495</v>
      </c>
      <c r="W176">
        <v>4580</v>
      </c>
      <c r="X176">
        <v>4775</v>
      </c>
    </row>
    <row r="177" spans="1:24">
      <c r="A177" s="7" t="s">
        <v>269</v>
      </c>
      <c r="B177" s="16" t="s">
        <v>70</v>
      </c>
      <c r="C177">
        <v>322917127.76675373</v>
      </c>
      <c r="D177">
        <v>328166045.81829107</v>
      </c>
      <c r="E177">
        <v>4549999.9999999981</v>
      </c>
      <c r="F177">
        <v>6033243.2432432491</v>
      </c>
      <c r="G177">
        <v>72</v>
      </c>
      <c r="H177">
        <v>121</v>
      </c>
      <c r="I177">
        <v>5</v>
      </c>
      <c r="J177">
        <v>31</v>
      </c>
      <c r="K177">
        <v>1</v>
      </c>
      <c r="M177">
        <v>74</v>
      </c>
      <c r="N177">
        <v>410</v>
      </c>
      <c r="O177">
        <v>47746171.171171166</v>
      </c>
      <c r="P177">
        <v>31681081.081081089</v>
      </c>
      <c r="Q177">
        <v>209</v>
      </c>
      <c r="R177">
        <v>177</v>
      </c>
      <c r="S177">
        <v>148970702.70270273</v>
      </c>
      <c r="T177">
        <v>153338990.99099097</v>
      </c>
      <c r="U177">
        <v>47557072.072072074</v>
      </c>
      <c r="V177">
        <v>23133963.963963967</v>
      </c>
      <c r="W177">
        <v>6919</v>
      </c>
      <c r="X177">
        <v>7016</v>
      </c>
    </row>
    <row r="178" spans="1:24">
      <c r="A178" s="7" t="s">
        <v>270</v>
      </c>
      <c r="B178" s="16" t="s">
        <v>134</v>
      </c>
      <c r="C178">
        <v>4759919.4072319157</v>
      </c>
      <c r="D178">
        <v>4924330.5726759564</v>
      </c>
      <c r="E178">
        <v>19819819.819819819</v>
      </c>
      <c r="F178">
        <v>26576576.576576576</v>
      </c>
      <c r="G178">
        <v>2</v>
      </c>
      <c r="M178">
        <v>3</v>
      </c>
      <c r="S178">
        <v>238963.96396396399</v>
      </c>
      <c r="T178">
        <v>261801.80180180201</v>
      </c>
      <c r="W178">
        <v>216</v>
      </c>
      <c r="X178">
        <v>223</v>
      </c>
    </row>
    <row r="179" spans="1:24">
      <c r="A179" s="7" t="s">
        <v>271</v>
      </c>
      <c r="B179" s="16" t="s">
        <v>76</v>
      </c>
      <c r="C179">
        <v>155931909.04296744</v>
      </c>
      <c r="D179">
        <v>152381478.7587193</v>
      </c>
      <c r="E179">
        <v>12612.612612613</v>
      </c>
      <c r="F179">
        <v>76576.576576577005</v>
      </c>
      <c r="G179">
        <v>24</v>
      </c>
      <c r="H179">
        <v>18</v>
      </c>
      <c r="I179">
        <v>0</v>
      </c>
      <c r="J179">
        <v>0</v>
      </c>
      <c r="M179">
        <v>25</v>
      </c>
      <c r="N179">
        <v>20</v>
      </c>
      <c r="O179">
        <v>192792.79279279301</v>
      </c>
      <c r="P179">
        <v>166666.66666666701</v>
      </c>
      <c r="S179">
        <v>8992927.9279279299</v>
      </c>
      <c r="T179">
        <v>9042157.6576576568</v>
      </c>
      <c r="U179">
        <v>385585.58558558498</v>
      </c>
      <c r="V179">
        <v>271171.17117117101</v>
      </c>
      <c r="W179">
        <v>2334</v>
      </c>
      <c r="X179">
        <v>2418</v>
      </c>
    </row>
    <row r="180" spans="1:24">
      <c r="A180" s="7" t="s">
        <v>272</v>
      </c>
      <c r="B180" s="16" t="s">
        <v>76</v>
      </c>
      <c r="C180">
        <v>56606421.789547779</v>
      </c>
      <c r="D180">
        <v>53228382.146195613</v>
      </c>
      <c r="E180">
        <v>58108.108108107997</v>
      </c>
      <c r="F180">
        <v>150450.450450451</v>
      </c>
      <c r="G180">
        <v>16</v>
      </c>
      <c r="H180">
        <v>5</v>
      </c>
      <c r="I180">
        <v>1</v>
      </c>
      <c r="J180">
        <v>1</v>
      </c>
      <c r="M180">
        <v>18</v>
      </c>
      <c r="N180">
        <v>6</v>
      </c>
      <c r="O180">
        <v>15675225.225225223</v>
      </c>
      <c r="P180">
        <v>12775855.855855856</v>
      </c>
      <c r="Q180">
        <v>24</v>
      </c>
      <c r="R180">
        <v>23</v>
      </c>
      <c r="S180">
        <v>16938828.828828827</v>
      </c>
      <c r="T180">
        <v>13175639.63963964</v>
      </c>
      <c r="U180">
        <v>11348468.468468469</v>
      </c>
      <c r="V180">
        <v>9461261.2612612601</v>
      </c>
      <c r="W180">
        <v>776</v>
      </c>
      <c r="X180">
        <v>755</v>
      </c>
    </row>
    <row r="181" spans="1:24">
      <c r="A181" s="7" t="s">
        <v>273</v>
      </c>
      <c r="B181" s="16" t="s">
        <v>260</v>
      </c>
      <c r="C181">
        <v>1156366720.9490921</v>
      </c>
      <c r="D181">
        <v>1098223310.1306107</v>
      </c>
      <c r="E181">
        <v>11383333.33333334</v>
      </c>
      <c r="F181">
        <v>13549549.549549548</v>
      </c>
      <c r="G181">
        <v>323</v>
      </c>
      <c r="H181">
        <v>312</v>
      </c>
      <c r="I181">
        <v>27</v>
      </c>
      <c r="J181">
        <v>35</v>
      </c>
      <c r="K181">
        <v>1</v>
      </c>
      <c r="M181">
        <v>360</v>
      </c>
      <c r="N181">
        <v>588</v>
      </c>
      <c r="O181">
        <v>184892342.34234235</v>
      </c>
      <c r="P181">
        <v>216462162.16216218</v>
      </c>
      <c r="Q181">
        <v>185</v>
      </c>
      <c r="R181">
        <v>211</v>
      </c>
      <c r="S181">
        <v>337206054.05405408</v>
      </c>
      <c r="T181">
        <v>342003319.81981987</v>
      </c>
      <c r="U181">
        <v>185971801.8018018</v>
      </c>
      <c r="V181">
        <v>197901711.7117117</v>
      </c>
      <c r="W181">
        <v>19668</v>
      </c>
      <c r="X181">
        <v>18865</v>
      </c>
    </row>
    <row r="182" spans="1:24">
      <c r="A182" s="7" t="s">
        <v>274</v>
      </c>
      <c r="B182" s="16" t="s">
        <v>260</v>
      </c>
      <c r="C182">
        <v>268694005.59968275</v>
      </c>
      <c r="D182">
        <v>244824222.75890529</v>
      </c>
      <c r="E182">
        <v>3163063.0630630641</v>
      </c>
      <c r="F182">
        <v>1367117.117117119</v>
      </c>
      <c r="G182">
        <v>25</v>
      </c>
      <c r="H182">
        <v>14</v>
      </c>
      <c r="I182">
        <v>3</v>
      </c>
      <c r="J182">
        <v>3</v>
      </c>
      <c r="M182">
        <v>25</v>
      </c>
      <c r="N182">
        <v>18</v>
      </c>
      <c r="O182">
        <v>15986486.486486483</v>
      </c>
      <c r="P182">
        <v>17319369.369369369</v>
      </c>
      <c r="Q182">
        <v>76</v>
      </c>
      <c r="R182">
        <v>66</v>
      </c>
      <c r="S182">
        <v>49342900.900900893</v>
      </c>
      <c r="T182">
        <v>50104216.216216214</v>
      </c>
      <c r="U182">
        <v>15141891.891891895</v>
      </c>
      <c r="V182">
        <v>14485585.585585585</v>
      </c>
      <c r="W182">
        <v>3856</v>
      </c>
      <c r="X182">
        <v>3787</v>
      </c>
    </row>
    <row r="183" spans="1:24">
      <c r="A183" s="7" t="s">
        <v>275</v>
      </c>
      <c r="B183" s="16" t="s">
        <v>260</v>
      </c>
      <c r="C183">
        <v>281524208.70415926</v>
      </c>
      <c r="D183">
        <v>272059939.4207108</v>
      </c>
      <c r="E183">
        <v>6515225.2252252251</v>
      </c>
      <c r="F183">
        <v>6493333.333333334</v>
      </c>
      <c r="G183">
        <v>186</v>
      </c>
      <c r="H183">
        <v>36</v>
      </c>
      <c r="I183">
        <v>5</v>
      </c>
      <c r="J183">
        <v>8</v>
      </c>
      <c r="K183">
        <v>1</v>
      </c>
      <c r="M183">
        <v>190</v>
      </c>
      <c r="N183">
        <v>215</v>
      </c>
      <c r="O183">
        <v>46878378.378378376</v>
      </c>
      <c r="P183">
        <v>49969369.369369365</v>
      </c>
      <c r="Q183">
        <v>342</v>
      </c>
      <c r="R183">
        <v>119</v>
      </c>
      <c r="S183">
        <v>66939324.324324317</v>
      </c>
      <c r="T183">
        <v>66388351.351351351</v>
      </c>
      <c r="U183">
        <v>45770180.180180177</v>
      </c>
      <c r="V183">
        <v>49460720.720720723</v>
      </c>
      <c r="W183">
        <v>5809</v>
      </c>
      <c r="X183">
        <v>5854</v>
      </c>
    </row>
    <row r="184" spans="1:24">
      <c r="A184" s="7" t="s">
        <v>276</v>
      </c>
      <c r="B184" s="16" t="s">
        <v>134</v>
      </c>
      <c r="C184">
        <v>332067040.40602505</v>
      </c>
      <c r="D184">
        <v>343466407.57346129</v>
      </c>
      <c r="E184">
        <v>30630.630630631</v>
      </c>
      <c r="F184">
        <v>2211711.7117117131</v>
      </c>
      <c r="G184">
        <v>52</v>
      </c>
      <c r="H184">
        <v>65</v>
      </c>
      <c r="I184">
        <v>4</v>
      </c>
      <c r="J184">
        <v>6</v>
      </c>
      <c r="M184">
        <v>55</v>
      </c>
      <c r="N184">
        <v>76</v>
      </c>
      <c r="O184">
        <v>16156756.756756756</v>
      </c>
      <c r="P184">
        <v>17527027.02702703</v>
      </c>
      <c r="Q184">
        <v>20</v>
      </c>
      <c r="S184">
        <v>29919576.576576576</v>
      </c>
      <c r="T184">
        <v>30857076.576576576</v>
      </c>
      <c r="U184">
        <v>9482072.072072072</v>
      </c>
      <c r="V184">
        <v>8109369.369369369</v>
      </c>
      <c r="W184">
        <v>4253</v>
      </c>
      <c r="X184">
        <v>5625</v>
      </c>
    </row>
    <row r="185" spans="1:24">
      <c r="A185" s="7" t="s">
        <v>277</v>
      </c>
      <c r="B185" s="16" t="s">
        <v>169</v>
      </c>
      <c r="C185">
        <v>261575756.05353168</v>
      </c>
      <c r="D185">
        <v>197747591.95097876</v>
      </c>
      <c r="E185">
        <v>587387.38738738699</v>
      </c>
      <c r="F185">
        <v>1505405.4054054059</v>
      </c>
      <c r="G185">
        <v>55</v>
      </c>
      <c r="H185">
        <v>33</v>
      </c>
      <c r="I185">
        <v>1</v>
      </c>
      <c r="J185">
        <v>1</v>
      </c>
      <c r="M185">
        <v>58</v>
      </c>
      <c r="N185">
        <v>53</v>
      </c>
      <c r="O185">
        <v>22375423.423423424</v>
      </c>
      <c r="P185">
        <v>15057207.207207208</v>
      </c>
      <c r="Q185">
        <v>16</v>
      </c>
      <c r="R185">
        <v>15</v>
      </c>
      <c r="S185">
        <v>107809891.89189188</v>
      </c>
      <c r="T185">
        <v>90249943.693693697</v>
      </c>
      <c r="U185">
        <v>17890990.990990993</v>
      </c>
      <c r="V185">
        <v>12189009.009009007</v>
      </c>
      <c r="W185">
        <v>3384</v>
      </c>
      <c r="X185">
        <v>5370</v>
      </c>
    </row>
    <row r="186" spans="1:24">
      <c r="A186" s="7" t="s">
        <v>278</v>
      </c>
      <c r="B186" s="16" t="s">
        <v>169</v>
      </c>
      <c r="C186">
        <v>116997940.65038677</v>
      </c>
      <c r="D186">
        <v>118404075.76631635</v>
      </c>
      <c r="E186">
        <v>900.900900901</v>
      </c>
      <c r="F186">
        <v>3603.603603604</v>
      </c>
      <c r="G186">
        <v>8</v>
      </c>
      <c r="H186">
        <v>20</v>
      </c>
      <c r="M186">
        <v>8</v>
      </c>
      <c r="N186">
        <v>21</v>
      </c>
      <c r="O186">
        <v>5885602.702702703</v>
      </c>
      <c r="P186">
        <v>6973536.036036036</v>
      </c>
      <c r="S186">
        <v>45051720.720720723</v>
      </c>
      <c r="T186">
        <v>52231878.378378376</v>
      </c>
      <c r="U186">
        <v>4969909.9099099096</v>
      </c>
      <c r="V186">
        <v>6133063.0630630637</v>
      </c>
      <c r="W186">
        <v>2080</v>
      </c>
      <c r="X186">
        <v>2081</v>
      </c>
    </row>
    <row r="187" spans="1:24">
      <c r="A187" s="7" t="s">
        <v>279</v>
      </c>
      <c r="B187" s="16" t="s">
        <v>87</v>
      </c>
      <c r="C187">
        <v>3004763.9828353971</v>
      </c>
      <c r="D187">
        <v>2789202.4668053179</v>
      </c>
      <c r="G187">
        <v>4</v>
      </c>
      <c r="H187">
        <v>6</v>
      </c>
      <c r="M187">
        <v>5</v>
      </c>
      <c r="N187">
        <v>7</v>
      </c>
      <c r="S187">
        <v>1437385.585585586</v>
      </c>
      <c r="T187">
        <v>1046945.945945946</v>
      </c>
      <c r="W187">
        <v>199</v>
      </c>
      <c r="X187">
        <v>199</v>
      </c>
    </row>
    <row r="188" spans="1:24">
      <c r="A188" s="7" t="s">
        <v>280</v>
      </c>
      <c r="B188" s="16" t="s">
        <v>169</v>
      </c>
      <c r="C188">
        <v>202171346.43705741</v>
      </c>
      <c r="D188">
        <v>195856775.16600224</v>
      </c>
      <c r="E188">
        <v>912837.83783783705</v>
      </c>
      <c r="F188">
        <v>926126.12612612697</v>
      </c>
      <c r="G188">
        <v>46</v>
      </c>
      <c r="H188">
        <v>27</v>
      </c>
      <c r="I188">
        <v>6</v>
      </c>
      <c r="J188">
        <v>3</v>
      </c>
      <c r="M188">
        <v>50</v>
      </c>
      <c r="N188">
        <v>42</v>
      </c>
      <c r="O188">
        <v>24570193.693693697</v>
      </c>
      <c r="P188">
        <v>23784504.504504506</v>
      </c>
      <c r="Q188">
        <v>116</v>
      </c>
      <c r="R188">
        <v>95</v>
      </c>
      <c r="S188">
        <v>79191036.036036029</v>
      </c>
      <c r="T188">
        <v>79025909.909909904</v>
      </c>
      <c r="U188">
        <v>22787387.387387387</v>
      </c>
      <c r="V188">
        <v>23505675.675675675</v>
      </c>
      <c r="W188">
        <v>4111</v>
      </c>
      <c r="X188">
        <v>4155</v>
      </c>
    </row>
    <row r="189" spans="1:24">
      <c r="A189" s="7" t="s">
        <v>673</v>
      </c>
      <c r="B189" s="16" t="s">
        <v>143</v>
      </c>
      <c r="F189">
        <v>36846846.846846849</v>
      </c>
      <c r="O189">
        <v>624324.32432432403</v>
      </c>
      <c r="P189">
        <v>918918.91891891905</v>
      </c>
    </row>
    <row r="190" spans="1:24">
      <c r="A190" s="7" t="s">
        <v>281</v>
      </c>
      <c r="B190" s="16" t="s">
        <v>54</v>
      </c>
      <c r="C190">
        <v>154659574.16369358</v>
      </c>
      <c r="D190">
        <v>149872740.44295514</v>
      </c>
      <c r="E190">
        <v>607432.43243243499</v>
      </c>
      <c r="F190">
        <v>2517117.117117119</v>
      </c>
      <c r="G190">
        <v>49</v>
      </c>
      <c r="H190">
        <v>57</v>
      </c>
      <c r="I190">
        <v>11</v>
      </c>
      <c r="J190">
        <v>12</v>
      </c>
      <c r="K190">
        <v>3</v>
      </c>
      <c r="M190">
        <v>55</v>
      </c>
      <c r="N190">
        <v>65</v>
      </c>
      <c r="O190">
        <v>16029279.27927928</v>
      </c>
      <c r="P190">
        <v>16974774.774774775</v>
      </c>
      <c r="Q190">
        <v>116</v>
      </c>
      <c r="R190">
        <v>56</v>
      </c>
      <c r="S190">
        <v>32726063.063063063</v>
      </c>
      <c r="T190">
        <v>32287279.27927928</v>
      </c>
      <c r="U190">
        <v>15261081.081081079</v>
      </c>
      <c r="V190">
        <v>16585405.405405406</v>
      </c>
      <c r="W190">
        <v>4258</v>
      </c>
      <c r="X190">
        <v>3751</v>
      </c>
    </row>
    <row r="191" spans="1:24">
      <c r="A191" s="7" t="s">
        <v>282</v>
      </c>
      <c r="B191" s="16" t="s">
        <v>283</v>
      </c>
      <c r="C191">
        <v>250083924.77252001</v>
      </c>
      <c r="D191">
        <v>212424575.96199071</v>
      </c>
      <c r="E191">
        <v>1857207.207207208</v>
      </c>
      <c r="F191">
        <v>352252.25225225399</v>
      </c>
      <c r="G191">
        <v>25</v>
      </c>
      <c r="H191">
        <v>100</v>
      </c>
      <c r="I191">
        <v>4</v>
      </c>
      <c r="J191">
        <v>2</v>
      </c>
      <c r="M191">
        <v>27</v>
      </c>
      <c r="N191">
        <v>125</v>
      </c>
      <c r="O191">
        <v>8244594.594594595</v>
      </c>
      <c r="P191">
        <v>10238738.73873874</v>
      </c>
      <c r="Q191">
        <v>8</v>
      </c>
      <c r="R191">
        <v>3</v>
      </c>
      <c r="S191">
        <v>30880675.675675675</v>
      </c>
      <c r="T191">
        <v>32929180.180180181</v>
      </c>
      <c r="U191">
        <v>8423693.6936936956</v>
      </c>
      <c r="V191">
        <v>10276216.216216216</v>
      </c>
      <c r="W191">
        <v>3394</v>
      </c>
      <c r="X191">
        <v>3326</v>
      </c>
    </row>
    <row r="192" spans="1:24">
      <c r="A192" s="7" t="s">
        <v>284</v>
      </c>
      <c r="B192" s="16" t="s">
        <v>283</v>
      </c>
      <c r="C192">
        <v>406043929.98445845</v>
      </c>
      <c r="D192">
        <v>420910588.32747763</v>
      </c>
      <c r="E192">
        <v>1646621.6216216229</v>
      </c>
      <c r="F192">
        <v>3237387.3873873921</v>
      </c>
      <c r="G192">
        <v>142</v>
      </c>
      <c r="H192">
        <v>79</v>
      </c>
      <c r="I192">
        <v>8</v>
      </c>
      <c r="J192">
        <v>13</v>
      </c>
      <c r="K192">
        <v>1</v>
      </c>
      <c r="M192">
        <v>213</v>
      </c>
      <c r="N192">
        <v>141</v>
      </c>
      <c r="O192">
        <v>48186756.75675676</v>
      </c>
      <c r="P192">
        <v>50322162.162162162</v>
      </c>
      <c r="Q192">
        <v>53</v>
      </c>
      <c r="R192">
        <v>113</v>
      </c>
      <c r="S192">
        <v>83350855.855855852</v>
      </c>
      <c r="T192">
        <v>89509828.828828827</v>
      </c>
      <c r="U192">
        <v>41568828.828828834</v>
      </c>
      <c r="V192">
        <v>45522252.252252251</v>
      </c>
      <c r="W192">
        <v>8090</v>
      </c>
      <c r="X192">
        <v>7915</v>
      </c>
    </row>
    <row r="193" spans="1:24">
      <c r="A193" s="7" t="s">
        <v>285</v>
      </c>
      <c r="B193" s="16" t="s">
        <v>283</v>
      </c>
      <c r="C193">
        <v>216466328.90213859</v>
      </c>
      <c r="D193">
        <v>222451509.14810836</v>
      </c>
      <c r="E193">
        <v>35459684.684684686</v>
      </c>
      <c r="F193">
        <v>136967477.47747746</v>
      </c>
      <c r="G193">
        <v>39</v>
      </c>
      <c r="H193">
        <v>36</v>
      </c>
      <c r="I193">
        <v>13</v>
      </c>
      <c r="J193">
        <v>7</v>
      </c>
      <c r="M193">
        <v>41</v>
      </c>
      <c r="N193">
        <v>70</v>
      </c>
      <c r="O193">
        <v>81956756.756756753</v>
      </c>
      <c r="P193">
        <v>61064684.684684679</v>
      </c>
      <c r="Q193">
        <v>38</v>
      </c>
      <c r="R193">
        <v>87</v>
      </c>
      <c r="S193">
        <v>68851648.648648649</v>
      </c>
      <c r="T193">
        <v>69239666.666666657</v>
      </c>
      <c r="U193">
        <v>48834594.59459459</v>
      </c>
      <c r="V193">
        <v>51892882.882882878</v>
      </c>
      <c r="W193">
        <v>4670</v>
      </c>
      <c r="X193">
        <v>4765</v>
      </c>
    </row>
    <row r="194" spans="1:24">
      <c r="A194" s="7" t="s">
        <v>286</v>
      </c>
      <c r="B194" s="16" t="s">
        <v>283</v>
      </c>
      <c r="C194">
        <v>156078062.52124843</v>
      </c>
      <c r="D194">
        <v>166981043.75803077</v>
      </c>
      <c r="E194">
        <v>161936.936936938</v>
      </c>
      <c r="F194">
        <v>643243.24324324494</v>
      </c>
      <c r="G194">
        <v>20</v>
      </c>
      <c r="H194">
        <v>14</v>
      </c>
      <c r="I194">
        <v>6</v>
      </c>
      <c r="J194">
        <v>2</v>
      </c>
      <c r="M194">
        <v>22</v>
      </c>
      <c r="N194">
        <v>16</v>
      </c>
      <c r="O194">
        <v>8031531.5315315323</v>
      </c>
      <c r="P194">
        <v>32460540.540540542</v>
      </c>
      <c r="Q194">
        <v>124</v>
      </c>
      <c r="R194">
        <v>115</v>
      </c>
      <c r="S194">
        <v>26452414.414414417</v>
      </c>
      <c r="T194">
        <v>31733765.765765768</v>
      </c>
      <c r="U194">
        <v>7632342.3423423432</v>
      </c>
      <c r="V194">
        <v>32240630.630630631</v>
      </c>
      <c r="W194">
        <v>2483</v>
      </c>
      <c r="X194">
        <v>2525</v>
      </c>
    </row>
    <row r="195" spans="1:24">
      <c r="A195" s="7" t="s">
        <v>287</v>
      </c>
      <c r="B195" s="16" t="s">
        <v>283</v>
      </c>
      <c r="C195">
        <v>80347490.064036071</v>
      </c>
      <c r="D195">
        <v>83925318.605696842</v>
      </c>
      <c r="E195">
        <v>82882.882882883001</v>
      </c>
      <c r="F195">
        <v>456756.75675675902</v>
      </c>
      <c r="G195">
        <v>3</v>
      </c>
      <c r="I195">
        <v>2</v>
      </c>
      <c r="J195">
        <v>1</v>
      </c>
      <c r="M195">
        <v>3</v>
      </c>
      <c r="N195">
        <v>2</v>
      </c>
      <c r="O195">
        <v>82882.882882883001</v>
      </c>
      <c r="P195">
        <v>12880180.180180181</v>
      </c>
      <c r="Q195">
        <v>2</v>
      </c>
      <c r="R195">
        <v>2</v>
      </c>
      <c r="S195">
        <v>13793198.198198197</v>
      </c>
      <c r="T195">
        <v>14968576.576576576</v>
      </c>
      <c r="U195">
        <v>13063.063063063</v>
      </c>
      <c r="V195">
        <v>12440630.630630633</v>
      </c>
      <c r="W195">
        <v>1360</v>
      </c>
      <c r="X195">
        <v>1384</v>
      </c>
    </row>
    <row r="196" spans="1:24">
      <c r="A196" s="7" t="s">
        <v>288</v>
      </c>
      <c r="B196" s="16" t="s">
        <v>283</v>
      </c>
      <c r="C196">
        <v>13818290.200152852</v>
      </c>
      <c r="D196">
        <v>13362425.018067177</v>
      </c>
      <c r="E196">
        <v>5180.1801801800002</v>
      </c>
      <c r="F196">
        <v>370270.27027027</v>
      </c>
      <c r="G196">
        <v>6</v>
      </c>
      <c r="M196">
        <v>6</v>
      </c>
      <c r="O196">
        <v>1694594.594594595</v>
      </c>
      <c r="P196">
        <v>19847747.747747749</v>
      </c>
      <c r="Q196">
        <v>68</v>
      </c>
      <c r="R196">
        <v>98</v>
      </c>
      <c r="S196">
        <v>2126072.072072072</v>
      </c>
      <c r="T196">
        <v>2208837.8378378381</v>
      </c>
      <c r="U196">
        <v>1689189.1891891891</v>
      </c>
      <c r="V196">
        <v>19450450.45045045</v>
      </c>
      <c r="W196">
        <v>362</v>
      </c>
      <c r="X196">
        <v>312</v>
      </c>
    </row>
    <row r="197" spans="1:24">
      <c r="A197" s="7" t="s">
        <v>289</v>
      </c>
      <c r="B197" s="16" t="s">
        <v>290</v>
      </c>
      <c r="C197">
        <v>169989211.5421651</v>
      </c>
      <c r="D197">
        <v>165493684.3140431</v>
      </c>
      <c r="E197">
        <v>32432.432432433001</v>
      </c>
      <c r="F197">
        <v>133333.33333333401</v>
      </c>
      <c r="G197">
        <v>56</v>
      </c>
      <c r="H197">
        <v>43</v>
      </c>
      <c r="I197">
        <v>2</v>
      </c>
      <c r="J197">
        <v>1</v>
      </c>
      <c r="M197">
        <v>63</v>
      </c>
      <c r="N197">
        <v>50</v>
      </c>
      <c r="O197">
        <v>2149549.5495495498</v>
      </c>
      <c r="P197">
        <v>639639.63963963999</v>
      </c>
      <c r="Q197">
        <v>17</v>
      </c>
      <c r="R197">
        <v>8</v>
      </c>
      <c r="S197">
        <v>15586841.441441439</v>
      </c>
      <c r="T197">
        <v>15461974.774774777</v>
      </c>
      <c r="U197">
        <v>1654414.414414414</v>
      </c>
      <c r="V197">
        <v>1033963.963963964</v>
      </c>
      <c r="W197">
        <v>4052</v>
      </c>
      <c r="X197">
        <v>4243</v>
      </c>
    </row>
    <row r="198" spans="1:24">
      <c r="A198" s="7" t="s">
        <v>291</v>
      </c>
      <c r="B198" s="16" t="s">
        <v>147</v>
      </c>
      <c r="C198">
        <v>397490259.32688898</v>
      </c>
      <c r="D198">
        <v>401135422.34102768</v>
      </c>
      <c r="E198">
        <v>315144505.40540546</v>
      </c>
      <c r="F198">
        <v>453555948.64864862</v>
      </c>
      <c r="G198">
        <v>100</v>
      </c>
      <c r="H198">
        <v>94</v>
      </c>
      <c r="I198">
        <v>12</v>
      </c>
      <c r="J198">
        <v>7</v>
      </c>
      <c r="K198">
        <v>2</v>
      </c>
      <c r="M198">
        <v>326</v>
      </c>
      <c r="N198">
        <v>208</v>
      </c>
      <c r="O198">
        <v>109275720.72072072</v>
      </c>
      <c r="P198">
        <v>154432758.55855855</v>
      </c>
      <c r="Q198">
        <v>280</v>
      </c>
      <c r="R198">
        <v>241</v>
      </c>
      <c r="S198">
        <v>145130315.31531534</v>
      </c>
      <c r="T198">
        <v>157771324.32432431</v>
      </c>
      <c r="U198">
        <v>87746756.756756753</v>
      </c>
      <c r="V198">
        <v>134106486.48648648</v>
      </c>
      <c r="W198">
        <v>7817</v>
      </c>
      <c r="X198">
        <v>7512</v>
      </c>
    </row>
    <row r="199" spans="1:24">
      <c r="A199" s="7" t="s">
        <v>292</v>
      </c>
      <c r="B199" s="16" t="s">
        <v>293</v>
      </c>
      <c r="C199">
        <v>203198576.21219194</v>
      </c>
      <c r="D199">
        <v>194952517.54717904</v>
      </c>
      <c r="E199">
        <v>63562598.198198199</v>
      </c>
      <c r="F199">
        <v>38292340.540540546</v>
      </c>
      <c r="G199">
        <v>29</v>
      </c>
      <c r="H199">
        <v>20</v>
      </c>
      <c r="I199">
        <v>15</v>
      </c>
      <c r="J199">
        <v>7</v>
      </c>
      <c r="M199">
        <v>38</v>
      </c>
      <c r="N199">
        <v>28</v>
      </c>
      <c r="O199">
        <v>46295855.855855852</v>
      </c>
      <c r="P199">
        <v>51912702.702702701</v>
      </c>
      <c r="Q199">
        <v>230</v>
      </c>
      <c r="R199">
        <v>50</v>
      </c>
      <c r="S199">
        <v>24976342.342342343</v>
      </c>
      <c r="T199">
        <v>27036243.243243244</v>
      </c>
      <c r="U199">
        <v>39289729.729729727</v>
      </c>
      <c r="V199">
        <v>44338018.018018022</v>
      </c>
      <c r="W199">
        <v>3590</v>
      </c>
      <c r="X199">
        <v>3569</v>
      </c>
    </row>
    <row r="200" spans="1:24">
      <c r="A200" s="7" t="s">
        <v>294</v>
      </c>
      <c r="B200" s="16" t="s">
        <v>290</v>
      </c>
      <c r="C200">
        <v>55976433.850908369</v>
      </c>
      <c r="D200">
        <v>43296309.169607855</v>
      </c>
      <c r="E200">
        <v>710810.810810811</v>
      </c>
      <c r="F200">
        <v>977477.47747747705</v>
      </c>
      <c r="G200">
        <v>20</v>
      </c>
      <c r="H200">
        <v>9</v>
      </c>
      <c r="I200">
        <v>2</v>
      </c>
      <c r="J200">
        <v>2</v>
      </c>
      <c r="M200">
        <v>21</v>
      </c>
      <c r="N200">
        <v>8</v>
      </c>
      <c r="O200">
        <v>3557657.6576576582</v>
      </c>
      <c r="P200">
        <v>2825225.2252252251</v>
      </c>
      <c r="Q200">
        <v>10</v>
      </c>
      <c r="R200">
        <v>8</v>
      </c>
      <c r="S200">
        <v>5859009.0090090092</v>
      </c>
      <c r="T200">
        <v>6016439.6396396402</v>
      </c>
      <c r="U200">
        <v>2308018.018018018</v>
      </c>
      <c r="V200">
        <v>2474234.2342342348</v>
      </c>
      <c r="W200">
        <v>1119</v>
      </c>
      <c r="X200">
        <v>1248</v>
      </c>
    </row>
    <row r="201" spans="1:24">
      <c r="A201" s="7" t="s">
        <v>674</v>
      </c>
      <c r="B201" s="16" t="s">
        <v>479</v>
      </c>
      <c r="E201">
        <v>40625450.45045045</v>
      </c>
      <c r="F201">
        <v>40360360.360360362</v>
      </c>
      <c r="O201">
        <v>3295270.2702702698</v>
      </c>
      <c r="P201">
        <v>3326576.576576577</v>
      </c>
    </row>
    <row r="202" spans="1:24">
      <c r="A202" s="7" t="s">
        <v>295</v>
      </c>
      <c r="B202" s="16" t="s">
        <v>52</v>
      </c>
      <c r="C202">
        <v>557911383.45472789</v>
      </c>
      <c r="D202">
        <v>556029441.12673569</v>
      </c>
      <c r="E202">
        <v>4927651.3513513533</v>
      </c>
      <c r="F202">
        <v>6931531.531531536</v>
      </c>
      <c r="G202">
        <v>111</v>
      </c>
      <c r="H202">
        <v>154</v>
      </c>
      <c r="I202">
        <v>13</v>
      </c>
      <c r="J202">
        <v>15</v>
      </c>
      <c r="K202">
        <v>5</v>
      </c>
      <c r="M202">
        <v>684</v>
      </c>
      <c r="N202">
        <v>288</v>
      </c>
      <c r="O202">
        <v>440221404.5045045</v>
      </c>
      <c r="P202">
        <v>297238558.55855858</v>
      </c>
      <c r="Q202">
        <v>364</v>
      </c>
      <c r="R202">
        <v>558</v>
      </c>
      <c r="S202">
        <v>150645432.43243244</v>
      </c>
      <c r="T202">
        <v>151250466.66666666</v>
      </c>
      <c r="U202">
        <v>428270360.36036038</v>
      </c>
      <c r="V202">
        <v>311020630.63063067</v>
      </c>
      <c r="W202">
        <v>12092</v>
      </c>
      <c r="X202">
        <v>11776</v>
      </c>
    </row>
    <row r="203" spans="1:24">
      <c r="A203" s="7" t="s">
        <v>296</v>
      </c>
      <c r="B203" s="16" t="s">
        <v>169</v>
      </c>
      <c r="C203">
        <v>180579176.78742254</v>
      </c>
      <c r="D203">
        <v>147758491.78965297</v>
      </c>
      <c r="E203">
        <v>571888738.73873878</v>
      </c>
      <c r="F203">
        <v>74973873.873873875</v>
      </c>
      <c r="G203">
        <v>20</v>
      </c>
      <c r="H203">
        <v>20</v>
      </c>
      <c r="I203">
        <v>0</v>
      </c>
      <c r="J203">
        <v>0</v>
      </c>
      <c r="K203">
        <v>1</v>
      </c>
      <c r="M203">
        <v>25</v>
      </c>
      <c r="N203">
        <v>29</v>
      </c>
      <c r="O203">
        <v>15375675.675675675</v>
      </c>
      <c r="P203">
        <v>19151171.171171173</v>
      </c>
      <c r="R203">
        <v>1</v>
      </c>
      <c r="S203">
        <v>35868621.621621624</v>
      </c>
      <c r="T203">
        <v>32931612.612612613</v>
      </c>
      <c r="U203">
        <v>8166036.036036035</v>
      </c>
      <c r="V203">
        <v>9714054.0540540554</v>
      </c>
      <c r="W203">
        <v>4180</v>
      </c>
      <c r="X203">
        <v>3153</v>
      </c>
    </row>
    <row r="204" spans="1:24">
      <c r="A204" s="7" t="s">
        <v>297</v>
      </c>
      <c r="B204" s="16" t="s">
        <v>169</v>
      </c>
      <c r="C204">
        <v>175421828.14470118</v>
      </c>
      <c r="D204">
        <v>209138856.5482907</v>
      </c>
      <c r="E204">
        <v>900.900900901</v>
      </c>
      <c r="F204">
        <v>707774.77477477503</v>
      </c>
      <c r="G204">
        <v>16</v>
      </c>
      <c r="H204">
        <v>26</v>
      </c>
      <c r="J204">
        <v>0</v>
      </c>
      <c r="M204">
        <v>16</v>
      </c>
      <c r="N204">
        <v>45</v>
      </c>
      <c r="O204">
        <v>991022674.77477479</v>
      </c>
      <c r="P204">
        <v>1841362567.5675676</v>
      </c>
      <c r="S204">
        <v>63036927.927927926</v>
      </c>
      <c r="T204">
        <v>75183702.702702701</v>
      </c>
      <c r="U204">
        <v>991799578.37837839</v>
      </c>
      <c r="V204">
        <v>1829712515.3153152</v>
      </c>
      <c r="W204">
        <v>2842</v>
      </c>
      <c r="X204">
        <v>2860</v>
      </c>
    </row>
    <row r="205" spans="1:24">
      <c r="A205" s="7" t="s">
        <v>298</v>
      </c>
      <c r="B205" s="16" t="s">
        <v>89</v>
      </c>
      <c r="C205">
        <v>648654714.95999026</v>
      </c>
      <c r="D205">
        <v>636734265.28672266</v>
      </c>
      <c r="E205">
        <v>2084099.0990991101</v>
      </c>
      <c r="F205">
        <v>9152118.0180180259</v>
      </c>
      <c r="G205">
        <v>84</v>
      </c>
      <c r="H205">
        <v>118</v>
      </c>
      <c r="I205">
        <v>49</v>
      </c>
      <c r="J205">
        <v>37</v>
      </c>
      <c r="K205">
        <v>2</v>
      </c>
      <c r="M205">
        <v>93</v>
      </c>
      <c r="N205">
        <v>223</v>
      </c>
      <c r="O205">
        <v>41952432.432432435</v>
      </c>
      <c r="P205">
        <v>45001745.045045041</v>
      </c>
      <c r="Q205">
        <v>379</v>
      </c>
      <c r="R205">
        <v>348</v>
      </c>
      <c r="S205">
        <v>119009369.36936937</v>
      </c>
      <c r="T205">
        <v>124987306.3063063</v>
      </c>
      <c r="U205">
        <v>40053063.063063055</v>
      </c>
      <c r="V205">
        <v>41199549.54954955</v>
      </c>
      <c r="W205">
        <v>10703</v>
      </c>
      <c r="X205">
        <v>10991</v>
      </c>
    </row>
    <row r="206" spans="1:24">
      <c r="A206" s="7" t="s">
        <v>299</v>
      </c>
      <c r="B206" s="16" t="s">
        <v>134</v>
      </c>
      <c r="C206">
        <v>331611387.19178116</v>
      </c>
      <c r="D206">
        <v>352729033.79497421</v>
      </c>
      <c r="E206">
        <v>2638063.063063072</v>
      </c>
      <c r="F206">
        <v>2968468.468468471</v>
      </c>
      <c r="G206">
        <v>140</v>
      </c>
      <c r="H206">
        <v>78</v>
      </c>
      <c r="I206">
        <v>37</v>
      </c>
      <c r="J206">
        <v>11</v>
      </c>
      <c r="M206">
        <v>216</v>
      </c>
      <c r="N206">
        <v>101</v>
      </c>
      <c r="O206">
        <v>34645945.945945948</v>
      </c>
      <c r="P206">
        <v>25099099.0990991</v>
      </c>
      <c r="Q206">
        <v>271</v>
      </c>
      <c r="R206">
        <v>141</v>
      </c>
      <c r="S206">
        <v>45732574.774774775</v>
      </c>
      <c r="T206">
        <v>43945342.342342347</v>
      </c>
      <c r="U206">
        <v>29311754.954954956</v>
      </c>
      <c r="V206">
        <v>22039009.009009007</v>
      </c>
      <c r="W206">
        <v>6986</v>
      </c>
      <c r="X206">
        <v>6893</v>
      </c>
    </row>
    <row r="207" spans="1:24">
      <c r="A207" s="7" t="s">
        <v>300</v>
      </c>
      <c r="B207" s="16" t="s">
        <v>290</v>
      </c>
      <c r="C207">
        <v>256524381.73713559</v>
      </c>
      <c r="D207">
        <v>239543157.39172286</v>
      </c>
      <c r="E207">
        <v>203548706.3063063</v>
      </c>
      <c r="F207">
        <v>194777469.36936939</v>
      </c>
      <c r="G207">
        <v>121</v>
      </c>
      <c r="H207">
        <v>71</v>
      </c>
      <c r="I207">
        <v>19</v>
      </c>
      <c r="J207">
        <v>17</v>
      </c>
      <c r="M207">
        <v>128</v>
      </c>
      <c r="N207">
        <v>85</v>
      </c>
      <c r="O207">
        <v>50519191.891891897</v>
      </c>
      <c r="P207">
        <v>38332928.828828834</v>
      </c>
      <c r="Q207">
        <v>217</v>
      </c>
      <c r="R207">
        <v>56</v>
      </c>
      <c r="S207">
        <v>35231801.801801801</v>
      </c>
      <c r="T207">
        <v>34085705.40540541</v>
      </c>
      <c r="U207">
        <v>24891801.801801801</v>
      </c>
      <c r="V207">
        <v>16584054.054054054</v>
      </c>
      <c r="W207">
        <v>4552</v>
      </c>
      <c r="X207">
        <v>4389</v>
      </c>
    </row>
    <row r="208" spans="1:24">
      <c r="A208" s="7" t="s">
        <v>301</v>
      </c>
      <c r="B208" s="16" t="s">
        <v>80</v>
      </c>
      <c r="C208">
        <v>378861912.50133795</v>
      </c>
      <c r="D208">
        <v>353464523.59457767</v>
      </c>
      <c r="E208">
        <v>1358108.1081081091</v>
      </c>
      <c r="F208">
        <v>4534009.0090090102</v>
      </c>
      <c r="G208">
        <v>113</v>
      </c>
      <c r="H208">
        <v>57</v>
      </c>
      <c r="I208">
        <v>10</v>
      </c>
      <c r="J208">
        <v>14</v>
      </c>
      <c r="M208">
        <v>119</v>
      </c>
      <c r="N208">
        <v>69</v>
      </c>
      <c r="O208">
        <v>34254684.684684679</v>
      </c>
      <c r="P208">
        <v>53279279.279279277</v>
      </c>
      <c r="Q208">
        <v>119</v>
      </c>
      <c r="R208">
        <v>155</v>
      </c>
      <c r="S208">
        <v>82834148.648648649</v>
      </c>
      <c r="T208">
        <v>74110232.432432428</v>
      </c>
      <c r="U208">
        <v>31024414.414414417</v>
      </c>
      <c r="V208">
        <v>50438468.468468472</v>
      </c>
      <c r="W208">
        <v>5745</v>
      </c>
      <c r="X208">
        <v>5710</v>
      </c>
    </row>
    <row r="209" spans="1:24">
      <c r="A209" s="7" t="s">
        <v>302</v>
      </c>
      <c r="B209" s="16" t="s">
        <v>72</v>
      </c>
      <c r="C209">
        <v>529428936.58434963</v>
      </c>
      <c r="D209">
        <v>531302979.98464859</v>
      </c>
      <c r="E209">
        <v>205405.40540540699</v>
      </c>
      <c r="F209">
        <v>1445045.045045048</v>
      </c>
      <c r="G209">
        <v>89</v>
      </c>
      <c r="H209">
        <v>121</v>
      </c>
      <c r="I209">
        <v>16</v>
      </c>
      <c r="J209">
        <v>17</v>
      </c>
      <c r="K209">
        <v>3</v>
      </c>
      <c r="M209">
        <v>95</v>
      </c>
      <c r="N209">
        <v>137</v>
      </c>
      <c r="O209">
        <v>38259459.459459454</v>
      </c>
      <c r="P209">
        <v>28240540.540540542</v>
      </c>
      <c r="Q209">
        <v>77</v>
      </c>
      <c r="R209">
        <v>60</v>
      </c>
      <c r="S209">
        <v>71491117.117117122</v>
      </c>
      <c r="T209">
        <v>78415342.342342332</v>
      </c>
      <c r="U209">
        <v>28649009.009009007</v>
      </c>
      <c r="V209">
        <v>27095405.405405402</v>
      </c>
      <c r="W209">
        <v>9101</v>
      </c>
      <c r="X209">
        <v>9140</v>
      </c>
    </row>
    <row r="210" spans="1:24">
      <c r="A210" s="7" t="s">
        <v>303</v>
      </c>
      <c r="B210" s="16" t="s">
        <v>304</v>
      </c>
      <c r="C210">
        <v>1854201.3636352629</v>
      </c>
      <c r="D210">
        <v>1855876.7222570011</v>
      </c>
      <c r="E210">
        <v>11711711.711711712</v>
      </c>
      <c r="F210">
        <v>7207207.2072072066</v>
      </c>
      <c r="P210">
        <v>44594.594594595001</v>
      </c>
      <c r="S210">
        <v>863738.73873873905</v>
      </c>
      <c r="T210">
        <v>725315.31531531503</v>
      </c>
      <c r="W210">
        <v>72</v>
      </c>
      <c r="X210">
        <v>74</v>
      </c>
    </row>
    <row r="211" spans="1:24">
      <c r="A211" s="7" t="s">
        <v>305</v>
      </c>
      <c r="B211" s="16" t="s">
        <v>117</v>
      </c>
      <c r="C211">
        <v>81139718.709744409</v>
      </c>
      <c r="D211">
        <v>69966906.612861499</v>
      </c>
      <c r="E211">
        <v>16216.216216217999</v>
      </c>
      <c r="F211">
        <v>308108.10810810601</v>
      </c>
      <c r="G211">
        <v>14</v>
      </c>
      <c r="H211">
        <v>26</v>
      </c>
      <c r="I211">
        <v>6</v>
      </c>
      <c r="J211">
        <v>6</v>
      </c>
      <c r="M211">
        <v>16</v>
      </c>
      <c r="N211">
        <v>40</v>
      </c>
      <c r="O211">
        <v>3927117.1171171172</v>
      </c>
      <c r="P211">
        <v>3283243.243243244</v>
      </c>
      <c r="Q211">
        <v>66</v>
      </c>
      <c r="R211">
        <v>21</v>
      </c>
      <c r="S211">
        <v>32488288.288288288</v>
      </c>
      <c r="T211">
        <v>30373513.513513513</v>
      </c>
      <c r="U211">
        <v>3974774.774774774</v>
      </c>
      <c r="V211">
        <v>3187747.7477477472</v>
      </c>
      <c r="W211">
        <v>1821</v>
      </c>
      <c r="X211">
        <v>1782</v>
      </c>
    </row>
    <row r="212" spans="1:24">
      <c r="A212" s="7" t="s">
        <v>306</v>
      </c>
      <c r="B212" s="16" t="s">
        <v>307</v>
      </c>
      <c r="C212">
        <v>88523425.323013216</v>
      </c>
      <c r="D212">
        <v>87977444.211028755</v>
      </c>
      <c r="E212">
        <v>43243.243243243996</v>
      </c>
      <c r="F212">
        <v>271171.17117117101</v>
      </c>
      <c r="G212">
        <v>43</v>
      </c>
      <c r="H212">
        <v>40</v>
      </c>
      <c r="M212">
        <v>48</v>
      </c>
      <c r="N212">
        <v>58</v>
      </c>
      <c r="O212">
        <v>1545225.2252252239</v>
      </c>
      <c r="P212">
        <v>1239639.6396396391</v>
      </c>
      <c r="Q212">
        <v>35</v>
      </c>
      <c r="R212">
        <v>24</v>
      </c>
      <c r="S212">
        <v>44700846.846846849</v>
      </c>
      <c r="T212">
        <v>47746837.837837838</v>
      </c>
      <c r="U212">
        <v>1307027.0270270249</v>
      </c>
      <c r="V212">
        <v>1253963.963963964</v>
      </c>
      <c r="W212">
        <v>4367</v>
      </c>
      <c r="X212">
        <v>4820</v>
      </c>
    </row>
    <row r="213" spans="1:24">
      <c r="A213" s="7" t="s">
        <v>308</v>
      </c>
      <c r="B213" s="16" t="s">
        <v>140</v>
      </c>
      <c r="C213">
        <v>546791470.08783472</v>
      </c>
      <c r="D213">
        <v>565616005.9926883</v>
      </c>
      <c r="E213">
        <v>1102162.162162164</v>
      </c>
      <c r="F213">
        <v>2767117.1171171232</v>
      </c>
      <c r="G213">
        <v>43</v>
      </c>
      <c r="H213">
        <v>85</v>
      </c>
      <c r="I213">
        <v>11</v>
      </c>
      <c r="J213">
        <v>15</v>
      </c>
      <c r="M213">
        <v>57</v>
      </c>
      <c r="N213">
        <v>101</v>
      </c>
      <c r="O213">
        <v>93569099.0990991</v>
      </c>
      <c r="P213">
        <v>101059909.9099099</v>
      </c>
      <c r="Q213">
        <v>18</v>
      </c>
      <c r="R213">
        <v>261</v>
      </c>
      <c r="S213">
        <v>117019367.56756757</v>
      </c>
      <c r="T213">
        <v>125795103.6036036</v>
      </c>
      <c r="U213">
        <v>59521711.711711712</v>
      </c>
      <c r="V213">
        <v>58006396.396396399</v>
      </c>
      <c r="W213">
        <v>7849</v>
      </c>
      <c r="X213">
        <v>8106</v>
      </c>
    </row>
    <row r="214" spans="1:24">
      <c r="A214" s="7" t="s">
        <v>309</v>
      </c>
      <c r="B214" s="16" t="s">
        <v>132</v>
      </c>
      <c r="C214">
        <v>654276086.45663238</v>
      </c>
      <c r="D214">
        <v>564427319.59444869</v>
      </c>
      <c r="E214">
        <v>3234234.2342342348</v>
      </c>
      <c r="F214">
        <v>3919819.819819821</v>
      </c>
      <c r="G214">
        <v>204</v>
      </c>
      <c r="H214">
        <v>146</v>
      </c>
      <c r="I214">
        <v>3</v>
      </c>
      <c r="J214">
        <v>3</v>
      </c>
      <c r="M214">
        <v>229</v>
      </c>
      <c r="N214">
        <v>183</v>
      </c>
      <c r="O214">
        <v>42850225.225225225</v>
      </c>
      <c r="P214">
        <v>24703603.603603605</v>
      </c>
      <c r="Q214">
        <v>112</v>
      </c>
      <c r="R214">
        <v>27</v>
      </c>
      <c r="S214">
        <v>171516018.01801801</v>
      </c>
      <c r="T214">
        <v>151091621.62162164</v>
      </c>
      <c r="U214">
        <v>37795270.270270273</v>
      </c>
      <c r="V214">
        <v>18584684.684684686</v>
      </c>
      <c r="W214">
        <v>11813</v>
      </c>
      <c r="X214">
        <v>12154</v>
      </c>
    </row>
    <row r="215" spans="1:24">
      <c r="A215" s="7" t="s">
        <v>310</v>
      </c>
      <c r="B215" s="16" t="s">
        <v>72</v>
      </c>
      <c r="C215">
        <v>954879899.51369905</v>
      </c>
      <c r="D215">
        <v>906510115.7879653</v>
      </c>
      <c r="E215">
        <v>59285000.000000007</v>
      </c>
      <c r="F215">
        <v>47753738.738738745</v>
      </c>
      <c r="G215">
        <v>230</v>
      </c>
      <c r="H215">
        <v>211</v>
      </c>
      <c r="I215">
        <v>49</v>
      </c>
      <c r="J215">
        <v>55</v>
      </c>
      <c r="K215">
        <v>1</v>
      </c>
      <c r="M215">
        <v>255</v>
      </c>
      <c r="N215">
        <v>259</v>
      </c>
      <c r="O215">
        <v>149373198.1981982</v>
      </c>
      <c r="P215">
        <v>134401351.35135135</v>
      </c>
      <c r="Q215">
        <v>243</v>
      </c>
      <c r="R215">
        <v>162</v>
      </c>
      <c r="S215">
        <v>229030890.09009007</v>
      </c>
      <c r="T215">
        <v>230440667.56756756</v>
      </c>
      <c r="U215">
        <v>120892342.34234233</v>
      </c>
      <c r="V215">
        <v>114867700.90090092</v>
      </c>
      <c r="W215">
        <v>16997</v>
      </c>
      <c r="X215">
        <v>16744</v>
      </c>
    </row>
    <row r="216" spans="1:24">
      <c r="A216" s="7" t="s">
        <v>311</v>
      </c>
      <c r="B216" s="16" t="s">
        <v>62</v>
      </c>
      <c r="C216">
        <v>165046488.65627956</v>
      </c>
      <c r="D216">
        <v>160425862.38330826</v>
      </c>
      <c r="E216">
        <v>210810.81081081199</v>
      </c>
      <c r="F216">
        <v>1725225.225225227</v>
      </c>
      <c r="G216">
        <v>23</v>
      </c>
      <c r="H216">
        <v>18</v>
      </c>
      <c r="I216">
        <v>6</v>
      </c>
      <c r="J216">
        <v>6</v>
      </c>
      <c r="M216">
        <v>26</v>
      </c>
      <c r="N216">
        <v>19</v>
      </c>
      <c r="O216">
        <v>28198738.738738734</v>
      </c>
      <c r="P216">
        <v>32876756.75675676</v>
      </c>
      <c r="Q216">
        <v>19</v>
      </c>
      <c r="R216">
        <v>49</v>
      </c>
      <c r="S216">
        <v>45203459.459459454</v>
      </c>
      <c r="T216">
        <v>44352729.729729727</v>
      </c>
      <c r="U216">
        <v>26192252.252252251</v>
      </c>
      <c r="V216">
        <v>28021981.981981985</v>
      </c>
      <c r="W216">
        <v>2064</v>
      </c>
      <c r="X216">
        <v>2254</v>
      </c>
    </row>
    <row r="217" spans="1:24">
      <c r="A217" s="7" t="s">
        <v>312</v>
      </c>
      <c r="B217" s="16" t="s">
        <v>89</v>
      </c>
      <c r="C217">
        <v>53381944.086023875</v>
      </c>
      <c r="D217">
        <v>55219918.754988633</v>
      </c>
      <c r="E217">
        <v>42342.342342344004</v>
      </c>
      <c r="F217">
        <v>863963.96396396204</v>
      </c>
      <c r="G217">
        <v>10</v>
      </c>
      <c r="H217">
        <v>13</v>
      </c>
      <c r="I217">
        <v>8</v>
      </c>
      <c r="J217">
        <v>14</v>
      </c>
      <c r="M217">
        <v>12</v>
      </c>
      <c r="N217">
        <v>18</v>
      </c>
      <c r="O217">
        <v>4015585.5855855839</v>
      </c>
      <c r="P217">
        <v>6172612.6126126125</v>
      </c>
      <c r="Q217">
        <v>52</v>
      </c>
      <c r="R217">
        <v>111</v>
      </c>
      <c r="S217">
        <v>16097567.567567568</v>
      </c>
      <c r="T217">
        <v>18990477.477477476</v>
      </c>
      <c r="U217">
        <v>3432252.252252249</v>
      </c>
      <c r="V217">
        <v>6220270.2702702712</v>
      </c>
      <c r="W217">
        <v>1193</v>
      </c>
      <c r="X217">
        <v>1222</v>
      </c>
    </row>
    <row r="218" spans="1:24">
      <c r="A218" s="7" t="s">
        <v>313</v>
      </c>
      <c r="B218" s="16" t="s">
        <v>92</v>
      </c>
      <c r="C218">
        <v>24850669.437902689</v>
      </c>
      <c r="D218">
        <v>24353211.164607689</v>
      </c>
      <c r="E218">
        <v>1801.801801802</v>
      </c>
      <c r="F218">
        <v>144144.144144144</v>
      </c>
      <c r="G218">
        <v>4</v>
      </c>
      <c r="H218">
        <v>4</v>
      </c>
      <c r="I218">
        <v>1</v>
      </c>
      <c r="M218">
        <v>4</v>
      </c>
      <c r="N218">
        <v>5</v>
      </c>
      <c r="O218">
        <v>28828.828828828999</v>
      </c>
      <c r="P218">
        <v>1360360.36036036</v>
      </c>
      <c r="Q218">
        <v>1</v>
      </c>
      <c r="S218">
        <v>1795810.8108108109</v>
      </c>
      <c r="T218">
        <v>1748288.2882882881</v>
      </c>
      <c r="U218">
        <v>27027.027027027001</v>
      </c>
      <c r="V218">
        <v>1361261.2612612611</v>
      </c>
      <c r="W218">
        <v>526</v>
      </c>
      <c r="X218">
        <v>531</v>
      </c>
    </row>
    <row r="219" spans="1:24">
      <c r="A219" s="7" t="s">
        <v>314</v>
      </c>
      <c r="B219" s="16" t="s">
        <v>315</v>
      </c>
      <c r="C219">
        <v>199436539.29736301</v>
      </c>
      <c r="D219">
        <v>185855602.41067201</v>
      </c>
      <c r="E219">
        <v>41611067.567567565</v>
      </c>
      <c r="F219">
        <v>65692342.342342347</v>
      </c>
      <c r="G219">
        <v>61</v>
      </c>
      <c r="H219">
        <v>37</v>
      </c>
      <c r="I219">
        <v>1</v>
      </c>
      <c r="J219">
        <v>3</v>
      </c>
      <c r="M219">
        <v>70</v>
      </c>
      <c r="N219">
        <v>42</v>
      </c>
      <c r="O219">
        <v>11705405.405405404</v>
      </c>
      <c r="P219">
        <v>21994594.59459459</v>
      </c>
      <c r="S219">
        <v>32402990.990990993</v>
      </c>
      <c r="T219">
        <v>28914809.009009007</v>
      </c>
      <c r="U219">
        <v>10732702.702702701</v>
      </c>
      <c r="V219">
        <v>21752252.252252251</v>
      </c>
      <c r="W219">
        <v>3608</v>
      </c>
      <c r="X219">
        <v>3426</v>
      </c>
    </row>
    <row r="220" spans="1:24">
      <c r="A220" s="7" t="s">
        <v>316</v>
      </c>
      <c r="B220" s="16" t="s">
        <v>62</v>
      </c>
      <c r="C220">
        <v>307200038.59701711</v>
      </c>
      <c r="D220">
        <v>314888542.61293441</v>
      </c>
      <c r="E220">
        <v>1339189.1891891931</v>
      </c>
      <c r="F220">
        <v>6394594.5945946006</v>
      </c>
      <c r="G220">
        <v>67</v>
      </c>
      <c r="H220">
        <v>157</v>
      </c>
      <c r="I220">
        <v>15</v>
      </c>
      <c r="J220">
        <v>16</v>
      </c>
      <c r="M220">
        <v>99</v>
      </c>
      <c r="N220">
        <v>218</v>
      </c>
      <c r="O220">
        <v>21482522.52252252</v>
      </c>
      <c r="P220">
        <v>52152792.79279279</v>
      </c>
      <c r="Q220">
        <v>151</v>
      </c>
      <c r="R220">
        <v>175</v>
      </c>
      <c r="S220">
        <v>109155981.98198198</v>
      </c>
      <c r="T220">
        <v>110517144.14414415</v>
      </c>
      <c r="U220">
        <v>21501531.531531528</v>
      </c>
      <c r="V220">
        <v>49566126.126126118</v>
      </c>
      <c r="W220">
        <v>8716</v>
      </c>
      <c r="X220">
        <v>8771</v>
      </c>
    </row>
    <row r="221" spans="1:24">
      <c r="A221" s="7" t="s">
        <v>317</v>
      </c>
      <c r="B221" s="16" t="s">
        <v>62</v>
      </c>
      <c r="C221">
        <v>308813398.49665391</v>
      </c>
      <c r="D221">
        <v>291303409.78247285</v>
      </c>
      <c r="E221">
        <v>895945.94594594894</v>
      </c>
      <c r="F221">
        <v>2222522.5225225249</v>
      </c>
      <c r="G221">
        <v>98</v>
      </c>
      <c r="H221">
        <v>47</v>
      </c>
      <c r="I221">
        <v>19</v>
      </c>
      <c r="J221">
        <v>14</v>
      </c>
      <c r="K221">
        <v>1</v>
      </c>
      <c r="M221">
        <v>133</v>
      </c>
      <c r="N221">
        <v>58</v>
      </c>
      <c r="O221">
        <v>26767477.477477476</v>
      </c>
      <c r="P221">
        <v>39173693.693693697</v>
      </c>
      <c r="Q221">
        <v>24</v>
      </c>
      <c r="R221">
        <v>122</v>
      </c>
      <c r="S221">
        <v>105332972.97297297</v>
      </c>
      <c r="T221">
        <v>102122270.27027027</v>
      </c>
      <c r="U221">
        <v>26750360.360360362</v>
      </c>
      <c r="V221">
        <v>39098828.828828834</v>
      </c>
      <c r="W221">
        <v>6064</v>
      </c>
      <c r="X221">
        <v>5540</v>
      </c>
    </row>
    <row r="222" spans="1:24">
      <c r="A222" s="7" t="s">
        <v>318</v>
      </c>
      <c r="B222" s="16" t="s">
        <v>78</v>
      </c>
      <c r="C222">
        <v>321960053.09068459</v>
      </c>
      <c r="D222">
        <v>305939440.27661139</v>
      </c>
      <c r="E222">
        <v>33779144.144144148</v>
      </c>
      <c r="F222">
        <v>90895495.495495498</v>
      </c>
      <c r="G222">
        <v>129</v>
      </c>
      <c r="H222">
        <v>124</v>
      </c>
      <c r="I222">
        <v>17</v>
      </c>
      <c r="J222">
        <v>27</v>
      </c>
      <c r="M222">
        <v>141</v>
      </c>
      <c r="N222">
        <v>169</v>
      </c>
      <c r="O222">
        <v>67919279.279279277</v>
      </c>
      <c r="P222">
        <v>79714864.864864871</v>
      </c>
      <c r="Q222">
        <v>173</v>
      </c>
      <c r="R222">
        <v>216</v>
      </c>
      <c r="S222">
        <v>137746756.75675675</v>
      </c>
      <c r="T222">
        <v>133302509.009009</v>
      </c>
      <c r="U222">
        <v>65950000</v>
      </c>
      <c r="V222">
        <v>78816396.396396399</v>
      </c>
      <c r="W222">
        <v>8520</v>
      </c>
      <c r="X222">
        <v>8684</v>
      </c>
    </row>
    <row r="223" spans="1:24">
      <c r="A223" s="7" t="s">
        <v>319</v>
      </c>
      <c r="B223" s="16" t="s">
        <v>78</v>
      </c>
      <c r="C223">
        <v>190869308.30849138</v>
      </c>
      <c r="D223">
        <v>184534096.81835267</v>
      </c>
      <c r="E223">
        <v>2902882.8828828838</v>
      </c>
      <c r="F223">
        <v>3544144.1441441448</v>
      </c>
      <c r="G223">
        <v>65</v>
      </c>
      <c r="H223">
        <v>84</v>
      </c>
      <c r="I223">
        <v>1</v>
      </c>
      <c r="J223">
        <v>5</v>
      </c>
      <c r="K223">
        <v>2</v>
      </c>
      <c r="M223">
        <v>74</v>
      </c>
      <c r="N223">
        <v>132</v>
      </c>
      <c r="O223">
        <v>20853333.333333332</v>
      </c>
      <c r="P223">
        <v>17427027.027027026</v>
      </c>
      <c r="Q223">
        <v>149</v>
      </c>
      <c r="R223">
        <v>124</v>
      </c>
      <c r="S223">
        <v>67635108.108108118</v>
      </c>
      <c r="T223">
        <v>69484144.144144148</v>
      </c>
      <c r="U223">
        <v>18573963.963963963</v>
      </c>
      <c r="V223">
        <v>15451171.171171172</v>
      </c>
      <c r="W223">
        <v>5698</v>
      </c>
      <c r="X223">
        <v>5638</v>
      </c>
    </row>
    <row r="224" spans="1:24">
      <c r="A224" s="7" t="s">
        <v>320</v>
      </c>
      <c r="B224" s="16" t="s">
        <v>121</v>
      </c>
      <c r="C224">
        <v>1328979.5206369839</v>
      </c>
      <c r="D224">
        <v>1407714.2224944499</v>
      </c>
      <c r="G224">
        <v>3</v>
      </c>
      <c r="M224">
        <v>3</v>
      </c>
      <c r="S224">
        <v>442387.38738738699</v>
      </c>
      <c r="T224">
        <v>147387.38738738699</v>
      </c>
      <c r="W224">
        <v>62</v>
      </c>
      <c r="X224">
        <v>64</v>
      </c>
    </row>
    <row r="225" spans="1:24">
      <c r="A225" s="7" t="s">
        <v>321</v>
      </c>
      <c r="B225" s="16" t="s">
        <v>224</v>
      </c>
      <c r="C225">
        <v>240022039.83449984</v>
      </c>
      <c r="D225">
        <v>210605979.62704742</v>
      </c>
      <c r="E225">
        <v>1801.801801802</v>
      </c>
      <c r="F225">
        <v>69369.369369370004</v>
      </c>
      <c r="G225">
        <v>52</v>
      </c>
      <c r="H225">
        <v>43</v>
      </c>
      <c r="I225">
        <v>1</v>
      </c>
      <c r="J225">
        <v>1</v>
      </c>
      <c r="M225">
        <v>56</v>
      </c>
      <c r="N225">
        <v>57</v>
      </c>
      <c r="O225">
        <v>18005945.945945945</v>
      </c>
      <c r="P225">
        <v>9117297.2972973008</v>
      </c>
      <c r="Q225">
        <v>51</v>
      </c>
      <c r="R225">
        <v>51</v>
      </c>
      <c r="S225">
        <v>88362567.567567572</v>
      </c>
      <c r="T225">
        <v>86015340.540540546</v>
      </c>
      <c r="U225">
        <v>18428378.378378376</v>
      </c>
      <c r="V225">
        <v>9671711.7117117122</v>
      </c>
      <c r="W225">
        <v>3908</v>
      </c>
      <c r="X225">
        <v>3965</v>
      </c>
    </row>
    <row r="226" spans="1:24">
      <c r="A226" s="7" t="s">
        <v>322</v>
      </c>
      <c r="B226" s="16" t="s">
        <v>224</v>
      </c>
      <c r="C226">
        <v>173077622.6627543</v>
      </c>
      <c r="D226">
        <v>149917163.67271313</v>
      </c>
      <c r="E226">
        <v>149221504.5045045</v>
      </c>
      <c r="F226">
        <v>121748288.2882883</v>
      </c>
      <c r="G226">
        <v>23</v>
      </c>
      <c r="H226">
        <v>11</v>
      </c>
      <c r="I226">
        <v>4</v>
      </c>
      <c r="J226">
        <v>0</v>
      </c>
      <c r="M226">
        <v>24</v>
      </c>
      <c r="N226">
        <v>12</v>
      </c>
      <c r="O226">
        <v>32043378.378378376</v>
      </c>
      <c r="P226">
        <v>19660765.765765768</v>
      </c>
      <c r="Q226">
        <v>56</v>
      </c>
      <c r="R226">
        <v>105</v>
      </c>
      <c r="S226">
        <v>48796396.396396399</v>
      </c>
      <c r="T226">
        <v>45813968.468468465</v>
      </c>
      <c r="U226">
        <v>21100000</v>
      </c>
      <c r="V226">
        <v>11837387.387387386</v>
      </c>
      <c r="W226">
        <v>2240</v>
      </c>
      <c r="X226">
        <v>2212</v>
      </c>
    </row>
    <row r="227" spans="1:24">
      <c r="A227" s="7" t="s">
        <v>323</v>
      </c>
      <c r="B227" s="16" t="s">
        <v>78</v>
      </c>
      <c r="C227">
        <v>232122083.79277226</v>
      </c>
      <c r="D227">
        <v>230491958.06504765</v>
      </c>
      <c r="E227">
        <v>786936.93693693704</v>
      </c>
      <c r="F227">
        <v>1171171.1711711739</v>
      </c>
      <c r="G227">
        <v>93</v>
      </c>
      <c r="H227">
        <v>98</v>
      </c>
      <c r="I227">
        <v>10</v>
      </c>
      <c r="J227">
        <v>9</v>
      </c>
      <c r="M227">
        <v>101</v>
      </c>
      <c r="N227">
        <v>168</v>
      </c>
      <c r="O227">
        <v>25827477.477477472</v>
      </c>
      <c r="P227">
        <v>22441441.441441439</v>
      </c>
      <c r="Q227">
        <v>183</v>
      </c>
      <c r="R227">
        <v>130</v>
      </c>
      <c r="S227">
        <v>67174518.018018022</v>
      </c>
      <c r="T227">
        <v>68668306.306306303</v>
      </c>
      <c r="U227">
        <v>23245045.045045044</v>
      </c>
      <c r="V227">
        <v>22827477.477477476</v>
      </c>
      <c r="W227">
        <v>4493</v>
      </c>
      <c r="X227">
        <v>4611</v>
      </c>
    </row>
    <row r="228" spans="1:24">
      <c r="A228" s="7" t="s">
        <v>324</v>
      </c>
      <c r="B228" s="16" t="s">
        <v>108</v>
      </c>
      <c r="C228">
        <v>1530113668.2101867</v>
      </c>
      <c r="D228">
        <v>1499980810.6768219</v>
      </c>
      <c r="E228">
        <v>2016084280.1801803</v>
      </c>
      <c r="F228">
        <v>1825431879.2792795</v>
      </c>
      <c r="G228">
        <v>259</v>
      </c>
      <c r="H228">
        <v>406</v>
      </c>
      <c r="I228">
        <v>30</v>
      </c>
      <c r="J228">
        <v>46</v>
      </c>
      <c r="K228">
        <v>1</v>
      </c>
      <c r="M228">
        <v>500</v>
      </c>
      <c r="N228">
        <v>703</v>
      </c>
      <c r="O228">
        <v>632904594.5945946</v>
      </c>
      <c r="P228">
        <v>575007657.65765762</v>
      </c>
      <c r="Q228">
        <v>1096</v>
      </c>
      <c r="R228">
        <v>2507</v>
      </c>
      <c r="S228">
        <v>352351400.9009009</v>
      </c>
      <c r="T228">
        <v>724040090.09009016</v>
      </c>
      <c r="U228">
        <v>137501351.35135135</v>
      </c>
      <c r="V228">
        <v>126443693.6936937</v>
      </c>
      <c r="W228">
        <v>22292</v>
      </c>
      <c r="X228">
        <v>22569</v>
      </c>
    </row>
    <row r="229" spans="1:24">
      <c r="A229" s="7" t="s">
        <v>325</v>
      </c>
      <c r="B229" s="16" t="s">
        <v>224</v>
      </c>
      <c r="C229">
        <v>234818542.11794007</v>
      </c>
      <c r="D229">
        <v>213833700.08811778</v>
      </c>
      <c r="E229">
        <v>556396.39639639598</v>
      </c>
      <c r="F229">
        <v>649549.54954955005</v>
      </c>
      <c r="G229">
        <v>46</v>
      </c>
      <c r="H229">
        <v>35</v>
      </c>
      <c r="I229">
        <v>4</v>
      </c>
      <c r="J229">
        <v>1</v>
      </c>
      <c r="M229">
        <v>49</v>
      </c>
      <c r="N229">
        <v>37</v>
      </c>
      <c r="O229">
        <v>25567207.207207207</v>
      </c>
      <c r="P229">
        <v>18310450.450450446</v>
      </c>
      <c r="Q229">
        <v>19</v>
      </c>
      <c r="S229">
        <v>47102090.090090089</v>
      </c>
      <c r="T229">
        <v>45400207.20720721</v>
      </c>
      <c r="U229">
        <v>22409189.189189192</v>
      </c>
      <c r="V229">
        <v>17783873.873873871</v>
      </c>
      <c r="W229">
        <v>4368</v>
      </c>
      <c r="X229">
        <v>4317</v>
      </c>
    </row>
    <row r="230" spans="1:24">
      <c r="A230" s="7" t="s">
        <v>4</v>
      </c>
      <c r="B230" s="16" t="s">
        <v>158</v>
      </c>
      <c r="C230">
        <v>181699696.72417471</v>
      </c>
      <c r="D230">
        <v>184628403.90384224</v>
      </c>
      <c r="E230">
        <v>1290090.0900900899</v>
      </c>
      <c r="F230">
        <v>2844144.1441441458</v>
      </c>
      <c r="G230">
        <v>14</v>
      </c>
      <c r="H230">
        <v>16</v>
      </c>
      <c r="I230">
        <v>11</v>
      </c>
      <c r="J230">
        <v>3</v>
      </c>
      <c r="M230">
        <v>14</v>
      </c>
      <c r="N230">
        <v>19</v>
      </c>
      <c r="O230">
        <v>30233783.783783782</v>
      </c>
      <c r="P230">
        <v>28870270.270270273</v>
      </c>
      <c r="Q230">
        <v>95</v>
      </c>
      <c r="R230">
        <v>49</v>
      </c>
      <c r="S230">
        <v>68629144.144144148</v>
      </c>
      <c r="T230">
        <v>65445567.567567565</v>
      </c>
      <c r="U230">
        <v>31164684.684684683</v>
      </c>
      <c r="V230">
        <v>35459099.0990991</v>
      </c>
      <c r="W230">
        <v>3256</v>
      </c>
      <c r="X230">
        <v>3655</v>
      </c>
    </row>
    <row r="231" spans="1:24">
      <c r="A231" s="7" t="s">
        <v>326</v>
      </c>
      <c r="B231" s="16" t="s">
        <v>108</v>
      </c>
      <c r="C231">
        <v>856452356.44824111</v>
      </c>
      <c r="D231">
        <v>862739224.55602121</v>
      </c>
      <c r="E231">
        <v>19114009.909909911</v>
      </c>
      <c r="F231">
        <v>13649480.180180186</v>
      </c>
      <c r="G231">
        <v>340</v>
      </c>
      <c r="H231">
        <v>296</v>
      </c>
      <c r="I231">
        <v>42</v>
      </c>
      <c r="J231">
        <v>38</v>
      </c>
      <c r="M231">
        <v>630</v>
      </c>
      <c r="N231">
        <v>1054</v>
      </c>
      <c r="O231">
        <v>643918459.45945942</v>
      </c>
      <c r="P231">
        <v>574554075.67567563</v>
      </c>
      <c r="Q231">
        <v>1473</v>
      </c>
      <c r="R231">
        <v>1602</v>
      </c>
      <c r="S231">
        <v>254413693.6936937</v>
      </c>
      <c r="T231">
        <v>267542768.01801801</v>
      </c>
      <c r="U231">
        <v>159354684.68468466</v>
      </c>
      <c r="V231">
        <v>113995585.58558558</v>
      </c>
      <c r="W231">
        <v>19787</v>
      </c>
      <c r="X231">
        <v>19784</v>
      </c>
    </row>
    <row r="232" spans="1:24">
      <c r="A232" s="7" t="s">
        <v>327</v>
      </c>
      <c r="B232" s="16" t="s">
        <v>78</v>
      </c>
      <c r="C232">
        <v>89256411.366343871</v>
      </c>
      <c r="D232">
        <v>91280988.194475308</v>
      </c>
      <c r="E232">
        <v>157657.65765765801</v>
      </c>
      <c r="F232">
        <v>570270.27027027204</v>
      </c>
      <c r="G232">
        <v>41</v>
      </c>
      <c r="H232">
        <v>28</v>
      </c>
      <c r="I232">
        <v>3</v>
      </c>
      <c r="J232">
        <v>4</v>
      </c>
      <c r="M232">
        <v>41</v>
      </c>
      <c r="N232">
        <v>36</v>
      </c>
      <c r="O232">
        <v>6581081.0810810812</v>
      </c>
      <c r="P232">
        <v>8137837.8378378367</v>
      </c>
      <c r="Q232">
        <v>43</v>
      </c>
      <c r="R232">
        <v>62</v>
      </c>
      <c r="S232">
        <v>27639189.189189188</v>
      </c>
      <c r="T232">
        <v>28800405.405405402</v>
      </c>
      <c r="U232">
        <v>7337567.5675675673</v>
      </c>
      <c r="V232">
        <v>7830000.0000000009</v>
      </c>
      <c r="W232">
        <v>2015</v>
      </c>
      <c r="X232">
        <v>2081</v>
      </c>
    </row>
    <row r="233" spans="1:24">
      <c r="A233" s="7" t="s">
        <v>328</v>
      </c>
      <c r="B233" s="16" t="s">
        <v>121</v>
      </c>
      <c r="C233">
        <v>250085612.08950961</v>
      </c>
      <c r="D233">
        <v>233069539.89823619</v>
      </c>
      <c r="E233">
        <v>457657.65765765699</v>
      </c>
      <c r="F233">
        <v>1088063.063063063</v>
      </c>
      <c r="G233">
        <v>87</v>
      </c>
      <c r="H233">
        <v>75</v>
      </c>
      <c r="I233">
        <v>10</v>
      </c>
      <c r="J233">
        <v>8</v>
      </c>
      <c r="M233">
        <v>96</v>
      </c>
      <c r="N233">
        <v>81</v>
      </c>
      <c r="O233">
        <v>13163063.063063065</v>
      </c>
      <c r="P233">
        <v>20708108.108108107</v>
      </c>
      <c r="Q233">
        <v>78</v>
      </c>
      <c r="R233">
        <v>150</v>
      </c>
      <c r="S233">
        <v>36106628.828828834</v>
      </c>
      <c r="T233">
        <v>36734888.288288288</v>
      </c>
      <c r="U233">
        <v>11496576.576576576</v>
      </c>
      <c r="V233">
        <v>15444684.684684685</v>
      </c>
      <c r="W233">
        <v>3745</v>
      </c>
      <c r="X233">
        <v>6794</v>
      </c>
    </row>
    <row r="234" spans="1:24">
      <c r="A234" s="7" t="s">
        <v>329</v>
      </c>
      <c r="B234" s="16" t="s">
        <v>330</v>
      </c>
      <c r="C234">
        <v>578771583.33367848</v>
      </c>
      <c r="D234">
        <v>562029191.29804182</v>
      </c>
      <c r="E234">
        <v>3483558.558558559</v>
      </c>
      <c r="F234">
        <v>8680405.4054054078</v>
      </c>
      <c r="G234">
        <v>231</v>
      </c>
      <c r="H234">
        <v>215</v>
      </c>
      <c r="I234">
        <v>21</v>
      </c>
      <c r="J234">
        <v>23</v>
      </c>
      <c r="K234">
        <v>12</v>
      </c>
      <c r="M234">
        <v>319</v>
      </c>
      <c r="N234">
        <v>363</v>
      </c>
      <c r="O234">
        <v>113194864.86486487</v>
      </c>
      <c r="P234">
        <v>81047387.387387395</v>
      </c>
      <c r="Q234">
        <v>444</v>
      </c>
      <c r="R234">
        <v>429</v>
      </c>
      <c r="S234">
        <v>122544495.49549548</v>
      </c>
      <c r="T234">
        <v>132147011.26126127</v>
      </c>
      <c r="U234">
        <v>113959592.7927928</v>
      </c>
      <c r="V234">
        <v>75405405.405405402</v>
      </c>
      <c r="W234">
        <v>14007</v>
      </c>
      <c r="X234">
        <v>14453</v>
      </c>
    </row>
    <row r="235" spans="1:24">
      <c r="A235" s="7" t="s">
        <v>331</v>
      </c>
      <c r="B235" s="16" t="s">
        <v>290</v>
      </c>
      <c r="C235">
        <v>843014305.8579967</v>
      </c>
      <c r="D235">
        <v>827638284.74375284</v>
      </c>
      <c r="E235">
        <v>1570270.270270275</v>
      </c>
      <c r="F235">
        <v>4297747.74774775</v>
      </c>
      <c r="G235">
        <v>271</v>
      </c>
      <c r="H235">
        <v>321</v>
      </c>
      <c r="I235">
        <v>40</v>
      </c>
      <c r="J235">
        <v>32</v>
      </c>
      <c r="K235">
        <v>16</v>
      </c>
      <c r="M235">
        <v>323</v>
      </c>
      <c r="N235">
        <v>420</v>
      </c>
      <c r="O235">
        <v>89568468.468468487</v>
      </c>
      <c r="P235">
        <v>88948648.648648635</v>
      </c>
      <c r="Q235">
        <v>416</v>
      </c>
      <c r="R235">
        <v>243</v>
      </c>
      <c r="S235">
        <v>157254234.23423424</v>
      </c>
      <c r="T235">
        <v>150266908.1081081</v>
      </c>
      <c r="U235">
        <v>83039772.972972974</v>
      </c>
      <c r="V235">
        <v>76614774.77477479</v>
      </c>
      <c r="W235">
        <v>17060</v>
      </c>
      <c r="X235">
        <v>17014</v>
      </c>
    </row>
    <row r="236" spans="1:24">
      <c r="A236" s="7" t="s">
        <v>332</v>
      </c>
      <c r="B236" s="16" t="s">
        <v>290</v>
      </c>
      <c r="C236">
        <v>621368196.52173698</v>
      </c>
      <c r="D236">
        <v>629449557.67785692</v>
      </c>
      <c r="E236">
        <v>3464414.4144144212</v>
      </c>
      <c r="F236">
        <v>6418018.0180180278</v>
      </c>
      <c r="G236">
        <v>197</v>
      </c>
      <c r="H236">
        <v>169</v>
      </c>
      <c r="I236">
        <v>27</v>
      </c>
      <c r="J236">
        <v>30</v>
      </c>
      <c r="K236">
        <v>3</v>
      </c>
      <c r="M236">
        <v>249</v>
      </c>
      <c r="N236">
        <v>235</v>
      </c>
      <c r="O236">
        <v>82150900.9009009</v>
      </c>
      <c r="P236">
        <v>85432432.432432428</v>
      </c>
      <c r="Q236">
        <v>426</v>
      </c>
      <c r="R236">
        <v>175</v>
      </c>
      <c r="S236">
        <v>159133864.86486486</v>
      </c>
      <c r="T236">
        <v>169934801.8018018</v>
      </c>
      <c r="U236">
        <v>82506936.936936945</v>
      </c>
      <c r="V236">
        <v>87714234.234234244</v>
      </c>
      <c r="W236">
        <v>14609</v>
      </c>
      <c r="X236">
        <v>14740</v>
      </c>
    </row>
    <row r="237" spans="1:24">
      <c r="A237" s="7" t="s">
        <v>333</v>
      </c>
      <c r="B237" s="16" t="s">
        <v>60</v>
      </c>
      <c r="C237">
        <v>87298456.085986733</v>
      </c>
      <c r="D237">
        <v>86523152.986499503</v>
      </c>
      <c r="E237">
        <v>1131306.306306307</v>
      </c>
      <c r="F237">
        <v>2383783.783783786</v>
      </c>
      <c r="G237">
        <v>40</v>
      </c>
      <c r="H237">
        <v>90</v>
      </c>
      <c r="I237">
        <v>3</v>
      </c>
      <c r="J237">
        <v>6</v>
      </c>
      <c r="M237">
        <v>85</v>
      </c>
      <c r="N237">
        <v>130</v>
      </c>
      <c r="O237">
        <v>21993693.693693694</v>
      </c>
      <c r="P237">
        <v>34127927.927927926</v>
      </c>
      <c r="Q237">
        <v>55</v>
      </c>
      <c r="R237">
        <v>144</v>
      </c>
      <c r="S237">
        <v>31279054.054054055</v>
      </c>
      <c r="T237">
        <v>30426198.198198199</v>
      </c>
      <c r="U237">
        <v>20624774.774774771</v>
      </c>
      <c r="V237">
        <v>31584234.234234232</v>
      </c>
      <c r="W237">
        <v>1981</v>
      </c>
      <c r="X237">
        <v>1985</v>
      </c>
    </row>
    <row r="238" spans="1:24">
      <c r="A238" s="7" t="s">
        <v>334</v>
      </c>
      <c r="B238" s="16" t="s">
        <v>60</v>
      </c>
      <c r="C238">
        <v>11975553.560760463</v>
      </c>
      <c r="D238">
        <v>17076748.14209085</v>
      </c>
      <c r="E238">
        <v>130630.630630631</v>
      </c>
      <c r="F238">
        <v>243243.24324324299</v>
      </c>
      <c r="G238">
        <v>10</v>
      </c>
      <c r="H238">
        <v>5</v>
      </c>
      <c r="I238">
        <v>2</v>
      </c>
      <c r="J238">
        <v>4</v>
      </c>
      <c r="M238">
        <v>12</v>
      </c>
      <c r="N238">
        <v>8</v>
      </c>
      <c r="O238">
        <v>844144.14414414403</v>
      </c>
      <c r="P238">
        <v>631981.98198198201</v>
      </c>
      <c r="Q238">
        <v>13</v>
      </c>
      <c r="R238">
        <v>12</v>
      </c>
      <c r="S238">
        <v>8360090.0900900904</v>
      </c>
      <c r="T238">
        <v>9550720.7207207195</v>
      </c>
      <c r="U238">
        <v>707207.20720720699</v>
      </c>
      <c r="V238">
        <v>850720.72072072094</v>
      </c>
      <c r="W238">
        <v>1025</v>
      </c>
      <c r="X238">
        <v>964</v>
      </c>
    </row>
    <row r="239" spans="1:24">
      <c r="A239" s="7" t="s">
        <v>335</v>
      </c>
      <c r="B239" s="16" t="s">
        <v>121</v>
      </c>
      <c r="C239">
        <v>88566.362517062007</v>
      </c>
      <c r="D239">
        <v>1823840.503907027</v>
      </c>
      <c r="M239">
        <v>1</v>
      </c>
      <c r="N239">
        <v>1</v>
      </c>
      <c r="S239">
        <v>55855.855855856003</v>
      </c>
      <c r="T239">
        <v>97747.747747747999</v>
      </c>
      <c r="W239">
        <v>63</v>
      </c>
      <c r="X239">
        <v>157</v>
      </c>
    </row>
    <row r="240" spans="1:24">
      <c r="A240" s="7" t="s">
        <v>336</v>
      </c>
      <c r="B240" s="16" t="s">
        <v>121</v>
      </c>
      <c r="C240">
        <v>3118585.2193598282</v>
      </c>
      <c r="D240">
        <v>3038182.8870828231</v>
      </c>
      <c r="G240">
        <v>3</v>
      </c>
      <c r="H240">
        <v>2</v>
      </c>
      <c r="M240">
        <v>3</v>
      </c>
      <c r="N240">
        <v>2</v>
      </c>
      <c r="S240">
        <v>647567.56756756804</v>
      </c>
      <c r="T240">
        <v>567612.61261261301</v>
      </c>
      <c r="W240">
        <v>107</v>
      </c>
      <c r="X240">
        <v>94</v>
      </c>
    </row>
    <row r="241" spans="1:24">
      <c r="A241" s="7" t="s">
        <v>337</v>
      </c>
      <c r="B241" s="16" t="s">
        <v>121</v>
      </c>
      <c r="C241">
        <v>2633874.1547862119</v>
      </c>
      <c r="D241">
        <v>2425300.7573605441</v>
      </c>
      <c r="G241">
        <v>2</v>
      </c>
      <c r="H241">
        <v>1</v>
      </c>
      <c r="M241">
        <v>2</v>
      </c>
      <c r="N241">
        <v>1</v>
      </c>
      <c r="S241">
        <v>99774.774774774996</v>
      </c>
      <c r="T241">
        <v>29504.504504504999</v>
      </c>
      <c r="W241">
        <v>149</v>
      </c>
      <c r="X241">
        <v>142</v>
      </c>
    </row>
    <row r="242" spans="1:24">
      <c r="A242" s="7" t="s">
        <v>338</v>
      </c>
      <c r="B242" s="16" t="s">
        <v>140</v>
      </c>
      <c r="C242">
        <v>962293488.41608512</v>
      </c>
      <c r="D242">
        <v>948861016.36385584</v>
      </c>
      <c r="E242">
        <v>75724873.873873875</v>
      </c>
      <c r="F242">
        <v>114007657.65765767</v>
      </c>
      <c r="G242">
        <v>290</v>
      </c>
      <c r="H242">
        <v>301</v>
      </c>
      <c r="I242">
        <v>32</v>
      </c>
      <c r="J242">
        <v>29</v>
      </c>
      <c r="K242">
        <v>1</v>
      </c>
      <c r="M242">
        <v>311</v>
      </c>
      <c r="N242">
        <v>343</v>
      </c>
      <c r="O242">
        <v>102929963.06306306</v>
      </c>
      <c r="P242">
        <v>91564459.459459454</v>
      </c>
      <c r="Q242">
        <v>333</v>
      </c>
      <c r="R242">
        <v>267</v>
      </c>
      <c r="S242">
        <v>189470439.63963965</v>
      </c>
      <c r="T242">
        <v>190681331.53153151</v>
      </c>
      <c r="U242">
        <v>84469189.189189181</v>
      </c>
      <c r="V242">
        <v>83237747.747747749</v>
      </c>
      <c r="W242">
        <v>16350</v>
      </c>
      <c r="X242">
        <v>16167</v>
      </c>
    </row>
    <row r="243" spans="1:24">
      <c r="A243" s="7" t="s">
        <v>339</v>
      </c>
      <c r="B243" s="16" t="s">
        <v>121</v>
      </c>
      <c r="C243">
        <v>156281564.71459618</v>
      </c>
      <c r="D243">
        <v>143625379.42127189</v>
      </c>
      <c r="E243">
        <v>129547234.23423424</v>
      </c>
      <c r="F243">
        <v>73906821.621621609</v>
      </c>
      <c r="G243">
        <v>93</v>
      </c>
      <c r="H243">
        <v>46</v>
      </c>
      <c r="I243">
        <v>0</v>
      </c>
      <c r="J243">
        <v>1</v>
      </c>
      <c r="M243">
        <v>97</v>
      </c>
      <c r="N243">
        <v>49</v>
      </c>
      <c r="O243">
        <v>3891116.2162162159</v>
      </c>
      <c r="P243">
        <v>14220375.675675675</v>
      </c>
      <c r="Q243">
        <v>18</v>
      </c>
      <c r="S243">
        <v>10887963.963963963</v>
      </c>
      <c r="T243">
        <v>9452162.1621621624</v>
      </c>
      <c r="U243">
        <v>162162.16216216201</v>
      </c>
      <c r="W243">
        <v>2440</v>
      </c>
      <c r="X243">
        <v>2319</v>
      </c>
    </row>
    <row r="244" spans="1:24">
      <c r="A244" s="7" t="s">
        <v>340</v>
      </c>
      <c r="B244" s="16" t="s">
        <v>140</v>
      </c>
      <c r="C244">
        <v>480507840.31260258</v>
      </c>
      <c r="D244">
        <v>501278616.53347492</v>
      </c>
      <c r="E244">
        <v>661936.93693693995</v>
      </c>
      <c r="F244">
        <v>2829279.2792792819</v>
      </c>
      <c r="G244">
        <v>73</v>
      </c>
      <c r="H244">
        <v>97</v>
      </c>
      <c r="I244">
        <v>18</v>
      </c>
      <c r="J244">
        <v>10</v>
      </c>
      <c r="K244">
        <v>5</v>
      </c>
      <c r="M244">
        <v>125</v>
      </c>
      <c r="N244">
        <v>133</v>
      </c>
      <c r="O244">
        <v>85733783.783783793</v>
      </c>
      <c r="P244">
        <v>83565045.045045063</v>
      </c>
      <c r="Q244">
        <v>69</v>
      </c>
      <c r="R244">
        <v>149</v>
      </c>
      <c r="S244">
        <v>134521774.77477476</v>
      </c>
      <c r="T244">
        <v>150535730.18018019</v>
      </c>
      <c r="U244">
        <v>77907387.387387395</v>
      </c>
      <c r="V244">
        <v>81005405.405405402</v>
      </c>
      <c r="W244">
        <v>8537</v>
      </c>
      <c r="X244">
        <v>8867</v>
      </c>
    </row>
    <row r="245" spans="1:24">
      <c r="A245" s="7" t="s">
        <v>341</v>
      </c>
      <c r="B245" s="16" t="s">
        <v>134</v>
      </c>
      <c r="C245">
        <v>62611461.425320111</v>
      </c>
      <c r="D245">
        <v>56658032.488028117</v>
      </c>
      <c r="E245">
        <v>5405.4054054059998</v>
      </c>
      <c r="F245">
        <v>54054.054054054002</v>
      </c>
      <c r="G245">
        <v>22</v>
      </c>
      <c r="H245">
        <v>13</v>
      </c>
      <c r="I245">
        <v>2</v>
      </c>
      <c r="J245">
        <v>1</v>
      </c>
      <c r="M245">
        <v>24</v>
      </c>
      <c r="N245">
        <v>13</v>
      </c>
      <c r="O245">
        <v>2212612.6126126121</v>
      </c>
      <c r="P245">
        <v>1765765.7657657659</v>
      </c>
      <c r="Q245">
        <v>25</v>
      </c>
      <c r="S245">
        <v>5720360.3603603607</v>
      </c>
      <c r="T245">
        <v>5362171.1711711716</v>
      </c>
      <c r="U245">
        <v>1904774.7747747749</v>
      </c>
      <c r="V245">
        <v>1369279.2792792791</v>
      </c>
      <c r="W245">
        <v>1195</v>
      </c>
      <c r="X245">
        <v>1307</v>
      </c>
    </row>
    <row r="246" spans="1:24">
      <c r="A246" s="7" t="s">
        <v>342</v>
      </c>
      <c r="B246" s="16" t="s">
        <v>121</v>
      </c>
      <c r="C246">
        <v>2946137.200233337</v>
      </c>
      <c r="D246">
        <v>2400968.4935163092</v>
      </c>
      <c r="G246">
        <v>6</v>
      </c>
      <c r="H246">
        <v>10</v>
      </c>
      <c r="M246">
        <v>7</v>
      </c>
      <c r="N246">
        <v>14</v>
      </c>
      <c r="P246">
        <v>3448218.9189189188</v>
      </c>
      <c r="S246">
        <v>1227747.7477477479</v>
      </c>
      <c r="T246">
        <v>1024729.7297297301</v>
      </c>
      <c r="W246">
        <v>383</v>
      </c>
      <c r="X246">
        <v>392</v>
      </c>
    </row>
    <row r="247" spans="1:24">
      <c r="A247" s="7" t="s">
        <v>5</v>
      </c>
      <c r="B247" s="16" t="s">
        <v>158</v>
      </c>
      <c r="C247">
        <v>191278087.50061959</v>
      </c>
      <c r="D247">
        <v>195980721.5016717</v>
      </c>
      <c r="E247">
        <v>2143693.6936936942</v>
      </c>
      <c r="F247">
        <v>1052252.252252253</v>
      </c>
      <c r="G247">
        <v>13</v>
      </c>
      <c r="H247">
        <v>34</v>
      </c>
      <c r="I247">
        <v>5</v>
      </c>
      <c r="J247">
        <v>1</v>
      </c>
      <c r="K247">
        <v>2</v>
      </c>
      <c r="M247">
        <v>13</v>
      </c>
      <c r="N247">
        <v>36</v>
      </c>
      <c r="O247">
        <v>15564594.594594596</v>
      </c>
      <c r="P247">
        <v>14059459.459459459</v>
      </c>
      <c r="Q247">
        <v>86</v>
      </c>
      <c r="R247">
        <v>27</v>
      </c>
      <c r="S247">
        <v>84164819.819819823</v>
      </c>
      <c r="T247">
        <v>83785441.441441447</v>
      </c>
      <c r="U247">
        <v>14017567.567567568</v>
      </c>
      <c r="V247">
        <v>12987837.837837836</v>
      </c>
      <c r="W247">
        <v>3166</v>
      </c>
      <c r="X247">
        <v>3147</v>
      </c>
    </row>
    <row r="248" spans="1:24">
      <c r="A248" s="7" t="s">
        <v>343</v>
      </c>
      <c r="B248" s="16" t="s">
        <v>304</v>
      </c>
      <c r="C248">
        <v>18857095.186251186</v>
      </c>
      <c r="D248">
        <v>19415912.7445902</v>
      </c>
      <c r="E248">
        <v>1801.801801802</v>
      </c>
      <c r="F248">
        <v>900900.90090090095</v>
      </c>
      <c r="G248">
        <v>34</v>
      </c>
      <c r="H248">
        <v>15</v>
      </c>
      <c r="I248">
        <v>0</v>
      </c>
      <c r="M248">
        <v>36</v>
      </c>
      <c r="N248">
        <v>21</v>
      </c>
      <c r="O248">
        <v>452252.25225225202</v>
      </c>
      <c r="P248">
        <v>1351351.351351351</v>
      </c>
      <c r="S248">
        <v>4293108.1081081079</v>
      </c>
      <c r="T248">
        <v>3340729.7297297302</v>
      </c>
      <c r="U248">
        <v>445405.40540540498</v>
      </c>
      <c r="V248">
        <v>294954.95495495503</v>
      </c>
      <c r="W248">
        <v>573</v>
      </c>
      <c r="X248">
        <v>544</v>
      </c>
    </row>
    <row r="249" spans="1:24">
      <c r="A249" s="7" t="s">
        <v>344</v>
      </c>
      <c r="B249" s="16" t="s">
        <v>105</v>
      </c>
      <c r="C249">
        <v>398788898.3611908</v>
      </c>
      <c r="D249">
        <v>395466457.71065283</v>
      </c>
      <c r="E249">
        <v>291666.66666666802</v>
      </c>
      <c r="F249">
        <v>2701351.3513513529</v>
      </c>
      <c r="G249">
        <v>110</v>
      </c>
      <c r="H249">
        <v>89</v>
      </c>
      <c r="I249">
        <v>13</v>
      </c>
      <c r="J249">
        <v>8</v>
      </c>
      <c r="K249">
        <v>1</v>
      </c>
      <c r="M249">
        <v>148</v>
      </c>
      <c r="N249">
        <v>194</v>
      </c>
      <c r="O249">
        <v>78278558.558558553</v>
      </c>
      <c r="P249">
        <v>57920000</v>
      </c>
      <c r="Q249">
        <v>164</v>
      </c>
      <c r="R249">
        <v>342</v>
      </c>
      <c r="S249">
        <v>97725981.981981978</v>
      </c>
      <c r="T249">
        <v>98001558.558558553</v>
      </c>
      <c r="U249">
        <v>78662432.432432428</v>
      </c>
      <c r="V249">
        <v>51492792.79279279</v>
      </c>
      <c r="W249">
        <v>5866</v>
      </c>
      <c r="X249">
        <v>5853</v>
      </c>
    </row>
    <row r="250" spans="1:24">
      <c r="A250" s="7" t="s">
        <v>345</v>
      </c>
      <c r="B250" s="16" t="s">
        <v>87</v>
      </c>
      <c r="C250">
        <v>116463903.38769481</v>
      </c>
      <c r="D250">
        <v>116405982.64523114</v>
      </c>
      <c r="E250">
        <v>342342.34234234301</v>
      </c>
      <c r="F250">
        <v>932432.43243243103</v>
      </c>
      <c r="G250">
        <v>67</v>
      </c>
      <c r="H250">
        <v>52</v>
      </c>
      <c r="I250">
        <v>7</v>
      </c>
      <c r="J250">
        <v>6</v>
      </c>
      <c r="K250">
        <v>1</v>
      </c>
      <c r="M250">
        <v>76</v>
      </c>
      <c r="N250">
        <v>58</v>
      </c>
      <c r="O250">
        <v>28045045.045045044</v>
      </c>
      <c r="P250">
        <v>32737837.837837841</v>
      </c>
      <c r="Q250">
        <v>52</v>
      </c>
      <c r="R250">
        <v>176</v>
      </c>
      <c r="S250">
        <v>29923581.081081081</v>
      </c>
      <c r="T250">
        <v>31168892.792792793</v>
      </c>
      <c r="U250">
        <v>19977387.387387387</v>
      </c>
      <c r="V250">
        <v>24533509.909909911</v>
      </c>
      <c r="W250">
        <v>2209</v>
      </c>
      <c r="X250">
        <v>2321</v>
      </c>
    </row>
    <row r="251" spans="1:24">
      <c r="A251" s="7" t="s">
        <v>346</v>
      </c>
      <c r="B251" s="16" t="s">
        <v>87</v>
      </c>
      <c r="C251">
        <v>362711141.99777186</v>
      </c>
      <c r="D251">
        <v>328042121.45441258</v>
      </c>
      <c r="E251">
        <v>84437518.018018022</v>
      </c>
      <c r="F251">
        <v>100727058.55855855</v>
      </c>
      <c r="G251">
        <v>283</v>
      </c>
      <c r="H251">
        <v>190</v>
      </c>
      <c r="I251">
        <v>17</v>
      </c>
      <c r="J251">
        <v>20</v>
      </c>
      <c r="K251">
        <v>1</v>
      </c>
      <c r="M251">
        <v>312</v>
      </c>
      <c r="N251">
        <v>238</v>
      </c>
      <c r="O251">
        <v>52001351.351351351</v>
      </c>
      <c r="P251">
        <v>29141441.441441443</v>
      </c>
      <c r="Q251">
        <v>187</v>
      </c>
      <c r="R251">
        <v>151</v>
      </c>
      <c r="S251">
        <v>57846020.720720723</v>
      </c>
      <c r="T251">
        <v>54638196.396396399</v>
      </c>
      <c r="U251">
        <v>24826126.126126129</v>
      </c>
      <c r="V251">
        <v>23003783.783783782</v>
      </c>
      <c r="W251">
        <v>6702</v>
      </c>
      <c r="X251">
        <v>6528</v>
      </c>
    </row>
    <row r="252" spans="1:24">
      <c r="A252" s="7" t="s">
        <v>347</v>
      </c>
      <c r="B252" s="16" t="s">
        <v>87</v>
      </c>
      <c r="C252">
        <v>8553556.6978650894</v>
      </c>
      <c r="D252">
        <v>9851425.9355486203</v>
      </c>
      <c r="G252">
        <v>6</v>
      </c>
      <c r="H252">
        <v>18</v>
      </c>
      <c r="M252">
        <v>10</v>
      </c>
      <c r="N252">
        <v>23</v>
      </c>
      <c r="S252">
        <v>4041036.036036036</v>
      </c>
      <c r="T252">
        <v>4174135.1351351351</v>
      </c>
      <c r="W252">
        <v>779</v>
      </c>
      <c r="X252">
        <v>833</v>
      </c>
    </row>
    <row r="253" spans="1:24">
      <c r="A253" s="7" t="s">
        <v>348</v>
      </c>
      <c r="B253" s="16" t="s">
        <v>87</v>
      </c>
      <c r="C253">
        <v>4734631.7985761864</v>
      </c>
      <c r="D253">
        <v>4467184.401403429</v>
      </c>
      <c r="G253">
        <v>2</v>
      </c>
      <c r="H253">
        <v>3</v>
      </c>
      <c r="M253">
        <v>2</v>
      </c>
      <c r="N253">
        <v>3</v>
      </c>
      <c r="S253">
        <v>880495.49549549504</v>
      </c>
      <c r="T253">
        <v>1640810.8108108109</v>
      </c>
      <c r="W253">
        <v>391</v>
      </c>
      <c r="X253">
        <v>191</v>
      </c>
    </row>
    <row r="254" spans="1:24">
      <c r="A254" s="7" t="s">
        <v>349</v>
      </c>
      <c r="B254" s="16" t="s">
        <v>87</v>
      </c>
      <c r="C254">
        <v>3747759.364670861</v>
      </c>
      <c r="D254">
        <v>3683588.411018732</v>
      </c>
      <c r="G254">
        <v>1</v>
      </c>
      <c r="H254">
        <v>6</v>
      </c>
      <c r="M254">
        <v>3</v>
      </c>
      <c r="N254">
        <v>12</v>
      </c>
      <c r="S254">
        <v>1337027.027027027</v>
      </c>
      <c r="T254">
        <v>2133027.0270270272</v>
      </c>
      <c r="W254">
        <v>630</v>
      </c>
      <c r="X254">
        <v>616</v>
      </c>
    </row>
    <row r="255" spans="1:24">
      <c r="A255" s="7" t="s">
        <v>350</v>
      </c>
      <c r="B255" s="16" t="s">
        <v>87</v>
      </c>
      <c r="C255">
        <v>98431028.515339941</v>
      </c>
      <c r="D255">
        <v>108346885.73895593</v>
      </c>
      <c r="E255">
        <v>12612.612612613</v>
      </c>
      <c r="F255">
        <v>173873.87387387501</v>
      </c>
      <c r="G255">
        <v>91</v>
      </c>
      <c r="H255">
        <v>87</v>
      </c>
      <c r="I255">
        <v>4</v>
      </c>
      <c r="J255">
        <v>4</v>
      </c>
      <c r="M255">
        <v>98</v>
      </c>
      <c r="N255">
        <v>93</v>
      </c>
      <c r="O255">
        <v>7882882.8828828838</v>
      </c>
      <c r="P255">
        <v>7988288.2882882878</v>
      </c>
      <c r="Q255">
        <v>28</v>
      </c>
      <c r="R255">
        <v>55</v>
      </c>
      <c r="S255">
        <v>18734504.504504506</v>
      </c>
      <c r="T255">
        <v>20242635.135135137</v>
      </c>
      <c r="U255">
        <v>6510360.3603603616</v>
      </c>
      <c r="V255">
        <v>6204504.5045045028</v>
      </c>
      <c r="W255">
        <v>2184</v>
      </c>
      <c r="X255">
        <v>1988</v>
      </c>
    </row>
    <row r="256" spans="1:24">
      <c r="A256" s="7" t="s">
        <v>351</v>
      </c>
      <c r="B256" s="16" t="s">
        <v>50</v>
      </c>
      <c r="C256">
        <v>274276912.31949097</v>
      </c>
      <c r="D256">
        <v>288694227.10318953</v>
      </c>
      <c r="E256">
        <v>424774.77477477898</v>
      </c>
      <c r="F256">
        <v>3384684.6846846868</v>
      </c>
      <c r="G256">
        <v>41</v>
      </c>
      <c r="H256">
        <v>73</v>
      </c>
      <c r="I256">
        <v>17</v>
      </c>
      <c r="J256">
        <v>5</v>
      </c>
      <c r="M256">
        <v>44</v>
      </c>
      <c r="N256">
        <v>89</v>
      </c>
      <c r="O256">
        <v>52759909.909909911</v>
      </c>
      <c r="P256">
        <v>46940900.9009009</v>
      </c>
      <c r="Q256">
        <v>78</v>
      </c>
      <c r="R256">
        <v>254</v>
      </c>
      <c r="S256">
        <v>111014549.54954955</v>
      </c>
      <c r="T256">
        <v>112894977.47747748</v>
      </c>
      <c r="U256">
        <v>52612252.252252258</v>
      </c>
      <c r="V256">
        <v>43027207.20720721</v>
      </c>
      <c r="W256">
        <v>5324</v>
      </c>
      <c r="X256">
        <v>5298</v>
      </c>
    </row>
    <row r="257" spans="1:24">
      <c r="A257" s="7" t="s">
        <v>352</v>
      </c>
      <c r="B257" s="16" t="s">
        <v>123</v>
      </c>
      <c r="C257">
        <v>1146598.1039890409</v>
      </c>
      <c r="D257">
        <v>1731458.4264533061</v>
      </c>
      <c r="G257">
        <v>1</v>
      </c>
      <c r="H257">
        <v>1</v>
      </c>
      <c r="M257">
        <v>1</v>
      </c>
      <c r="N257">
        <v>1</v>
      </c>
      <c r="S257">
        <v>438783.78378378402</v>
      </c>
      <c r="T257">
        <v>580495.49549549504</v>
      </c>
      <c r="X257">
        <v>103</v>
      </c>
    </row>
    <row r="258" spans="1:24">
      <c r="A258" s="7" t="s">
        <v>353</v>
      </c>
      <c r="B258" s="16" t="s">
        <v>354</v>
      </c>
      <c r="C258">
        <v>528195512.09699321</v>
      </c>
      <c r="D258">
        <v>502084657.18869764</v>
      </c>
      <c r="E258">
        <v>198550894.5945946</v>
      </c>
      <c r="F258">
        <v>254991487.38738739</v>
      </c>
      <c r="G258">
        <v>224</v>
      </c>
      <c r="H258">
        <v>392</v>
      </c>
      <c r="I258">
        <v>38</v>
      </c>
      <c r="J258">
        <v>14</v>
      </c>
      <c r="M258">
        <v>260</v>
      </c>
      <c r="N258">
        <v>563</v>
      </c>
      <c r="O258">
        <v>190335225.22522521</v>
      </c>
      <c r="P258">
        <v>274721171.17117119</v>
      </c>
      <c r="Q258">
        <v>375</v>
      </c>
      <c r="R258">
        <v>451</v>
      </c>
      <c r="S258">
        <v>310214187.38738739</v>
      </c>
      <c r="T258">
        <v>299253774.77477479</v>
      </c>
      <c r="U258">
        <v>182890180.18018019</v>
      </c>
      <c r="V258">
        <v>294826216.21621621</v>
      </c>
      <c r="W258">
        <v>10061</v>
      </c>
      <c r="X258">
        <v>8847</v>
      </c>
    </row>
    <row r="259" spans="1:24">
      <c r="A259" s="7" t="s">
        <v>355</v>
      </c>
      <c r="B259" s="16" t="s">
        <v>48</v>
      </c>
      <c r="C259">
        <v>337578680.93029505</v>
      </c>
      <c r="D259">
        <v>348363997.51969063</v>
      </c>
      <c r="E259">
        <v>235135.135135138</v>
      </c>
      <c r="F259">
        <v>931531.53153153195</v>
      </c>
      <c r="G259">
        <v>66</v>
      </c>
      <c r="H259">
        <v>32</v>
      </c>
      <c r="I259">
        <v>11</v>
      </c>
      <c r="J259">
        <v>6</v>
      </c>
      <c r="M259">
        <v>70</v>
      </c>
      <c r="N259">
        <v>33</v>
      </c>
      <c r="O259">
        <v>1866846.8468468471</v>
      </c>
      <c r="P259">
        <v>2163963.9639639631</v>
      </c>
      <c r="R259">
        <v>35</v>
      </c>
      <c r="S259">
        <v>25351198.198198199</v>
      </c>
      <c r="T259">
        <v>26775657.657657657</v>
      </c>
      <c r="U259">
        <v>1164954.954954952</v>
      </c>
      <c r="V259">
        <v>2121081.0810810798</v>
      </c>
      <c r="W259">
        <v>5535</v>
      </c>
      <c r="X259">
        <v>5744</v>
      </c>
    </row>
    <row r="260" spans="1:24">
      <c r="A260" s="7" t="s">
        <v>356</v>
      </c>
      <c r="B260" s="16" t="s">
        <v>123</v>
      </c>
      <c r="C260">
        <v>390469037.16268104</v>
      </c>
      <c r="D260">
        <v>371625638.55814594</v>
      </c>
      <c r="E260">
        <v>241530855.85585588</v>
      </c>
      <c r="F260">
        <v>156542162.16216218</v>
      </c>
      <c r="G260">
        <v>94</v>
      </c>
      <c r="H260">
        <v>82</v>
      </c>
      <c r="I260">
        <v>3</v>
      </c>
      <c r="J260">
        <v>4</v>
      </c>
      <c r="M260">
        <v>96</v>
      </c>
      <c r="N260">
        <v>87</v>
      </c>
      <c r="O260">
        <v>14871711.711711712</v>
      </c>
      <c r="P260">
        <v>22372432.432432432</v>
      </c>
      <c r="Q260">
        <v>29</v>
      </c>
      <c r="R260">
        <v>165</v>
      </c>
      <c r="S260">
        <v>84321385.585585579</v>
      </c>
      <c r="T260">
        <v>81109882.882882878</v>
      </c>
      <c r="U260">
        <v>12032072.072072072</v>
      </c>
      <c r="V260">
        <v>20386396.396396395</v>
      </c>
      <c r="W260">
        <v>5919</v>
      </c>
      <c r="X260">
        <v>6016</v>
      </c>
    </row>
    <row r="261" spans="1:24">
      <c r="A261" s="7" t="s">
        <v>357</v>
      </c>
      <c r="B261" s="16" t="s">
        <v>62</v>
      </c>
      <c r="C261">
        <v>210662052.62546161</v>
      </c>
      <c r="D261">
        <v>206774711.97275826</v>
      </c>
      <c r="E261">
        <v>685585.58558558498</v>
      </c>
      <c r="F261">
        <v>2452252.2522522528</v>
      </c>
      <c r="G261">
        <v>37</v>
      </c>
      <c r="H261">
        <v>47</v>
      </c>
      <c r="I261">
        <v>3</v>
      </c>
      <c r="J261">
        <v>9</v>
      </c>
      <c r="M261">
        <v>41</v>
      </c>
      <c r="N261">
        <v>51</v>
      </c>
      <c r="O261">
        <v>17953693.693693694</v>
      </c>
      <c r="P261">
        <v>35124504.504504502</v>
      </c>
      <c r="Q261">
        <v>37</v>
      </c>
      <c r="R261">
        <v>140</v>
      </c>
      <c r="S261">
        <v>57552927.927927926</v>
      </c>
      <c r="T261">
        <v>58362405.40540541</v>
      </c>
      <c r="U261">
        <v>18689549.549549554</v>
      </c>
      <c r="V261">
        <v>33885495.495495498</v>
      </c>
      <c r="W261">
        <v>3847</v>
      </c>
      <c r="X261">
        <v>3846</v>
      </c>
    </row>
    <row r="262" spans="1:24">
      <c r="A262" s="7" t="s">
        <v>358</v>
      </c>
      <c r="B262" s="16" t="s">
        <v>315</v>
      </c>
      <c r="C262">
        <v>13706694.190644424</v>
      </c>
      <c r="D262">
        <v>5705099.5029165857</v>
      </c>
      <c r="G262">
        <v>13</v>
      </c>
      <c r="H262">
        <v>10</v>
      </c>
      <c r="M262">
        <v>13</v>
      </c>
      <c r="N262">
        <v>11</v>
      </c>
      <c r="S262">
        <v>7211981.9819819815</v>
      </c>
      <c r="T262">
        <v>2316846.8468468469</v>
      </c>
      <c r="W262">
        <v>710</v>
      </c>
    </row>
    <row r="263" spans="1:24">
      <c r="A263" s="7" t="s">
        <v>359</v>
      </c>
      <c r="B263" s="16" t="s">
        <v>315</v>
      </c>
      <c r="C263">
        <v>235540863.64888152</v>
      </c>
      <c r="D263">
        <v>208779940.63803631</v>
      </c>
      <c r="E263">
        <v>358558.55855855899</v>
      </c>
      <c r="F263">
        <v>1341441.4414414419</v>
      </c>
      <c r="G263">
        <v>41</v>
      </c>
      <c r="H263">
        <v>48</v>
      </c>
      <c r="I263">
        <v>15</v>
      </c>
      <c r="J263">
        <v>8</v>
      </c>
      <c r="M263">
        <v>43</v>
      </c>
      <c r="N263">
        <v>56</v>
      </c>
      <c r="O263">
        <v>42436756.756756753</v>
      </c>
      <c r="P263">
        <v>38303963.963963963</v>
      </c>
      <c r="Q263">
        <v>121</v>
      </c>
      <c r="S263">
        <v>84466171.171171173</v>
      </c>
      <c r="T263">
        <v>76077684.684684694</v>
      </c>
      <c r="U263">
        <v>48168918.918918923</v>
      </c>
      <c r="V263">
        <v>41518378.378378376</v>
      </c>
      <c r="W263">
        <v>2975</v>
      </c>
      <c r="X263">
        <v>3217</v>
      </c>
    </row>
    <row r="264" spans="1:24">
      <c r="A264" s="7" t="s">
        <v>360</v>
      </c>
      <c r="B264" s="16" t="s">
        <v>92</v>
      </c>
      <c r="C264">
        <v>390297966.91966927</v>
      </c>
      <c r="D264">
        <v>381083997.9667381</v>
      </c>
      <c r="E264">
        <v>2325270.2702702712</v>
      </c>
      <c r="F264">
        <v>7483783.7837837841</v>
      </c>
      <c r="G264">
        <v>158</v>
      </c>
      <c r="H264">
        <v>82</v>
      </c>
      <c r="I264">
        <v>6</v>
      </c>
      <c r="J264">
        <v>8</v>
      </c>
      <c r="M264">
        <v>203</v>
      </c>
      <c r="N264">
        <v>242</v>
      </c>
      <c r="O264">
        <v>37829459.459459454</v>
      </c>
      <c r="P264">
        <v>88931531.531531543</v>
      </c>
      <c r="Q264">
        <v>79</v>
      </c>
      <c r="R264">
        <v>273</v>
      </c>
      <c r="S264">
        <v>113183864.86486487</v>
      </c>
      <c r="T264">
        <v>112419376.57657658</v>
      </c>
      <c r="U264">
        <v>38949639.639639638</v>
      </c>
      <c r="V264">
        <v>84905989.189189181</v>
      </c>
      <c r="W264">
        <v>6873</v>
      </c>
      <c r="X264">
        <v>6862</v>
      </c>
    </row>
    <row r="265" spans="1:24">
      <c r="A265" s="7" t="s">
        <v>361</v>
      </c>
      <c r="B265" s="16" t="s">
        <v>58</v>
      </c>
      <c r="C265">
        <v>776111432.58547533</v>
      </c>
      <c r="D265">
        <v>744286223.02959657</v>
      </c>
      <c r="E265">
        <v>2351351.3513513538</v>
      </c>
      <c r="F265">
        <v>1602702.7027027039</v>
      </c>
      <c r="G265">
        <v>124</v>
      </c>
      <c r="H265">
        <v>121</v>
      </c>
      <c r="I265">
        <v>20</v>
      </c>
      <c r="J265">
        <v>15</v>
      </c>
      <c r="M265">
        <v>132</v>
      </c>
      <c r="N265">
        <v>136</v>
      </c>
      <c r="O265">
        <v>42398198.198198199</v>
      </c>
      <c r="P265">
        <v>30617117.117117122</v>
      </c>
      <c r="Q265">
        <v>533</v>
      </c>
      <c r="R265">
        <v>53</v>
      </c>
      <c r="S265">
        <v>117736657.65765767</v>
      </c>
      <c r="T265">
        <v>118478819.81981982</v>
      </c>
      <c r="U265">
        <v>35954054.054054059</v>
      </c>
      <c r="V265">
        <v>30288828.82882883</v>
      </c>
      <c r="W265">
        <v>12986</v>
      </c>
      <c r="X265">
        <v>12941</v>
      </c>
    </row>
    <row r="266" spans="1:24">
      <c r="A266" s="7" t="s">
        <v>362</v>
      </c>
      <c r="B266" s="16" t="s">
        <v>48</v>
      </c>
      <c r="C266">
        <v>253866333.79083407</v>
      </c>
      <c r="D266">
        <v>264070676.12784377</v>
      </c>
      <c r="E266">
        <v>222522.52252252301</v>
      </c>
      <c r="F266">
        <v>480180.18018018</v>
      </c>
      <c r="G266">
        <v>23</v>
      </c>
      <c r="H266">
        <v>8</v>
      </c>
      <c r="I266">
        <v>11</v>
      </c>
      <c r="J266">
        <v>4</v>
      </c>
      <c r="M266">
        <v>27</v>
      </c>
      <c r="N266">
        <v>30</v>
      </c>
      <c r="O266">
        <v>19487207.207207207</v>
      </c>
      <c r="P266">
        <v>37114774.774774775</v>
      </c>
      <c r="R266">
        <v>12</v>
      </c>
      <c r="S266">
        <v>44996657.657657653</v>
      </c>
      <c r="T266">
        <v>43417279.279279277</v>
      </c>
      <c r="U266">
        <v>17756396.396396395</v>
      </c>
      <c r="V266">
        <v>29825675.675675675</v>
      </c>
      <c r="W266">
        <v>3218</v>
      </c>
      <c r="X266">
        <v>3768</v>
      </c>
    </row>
    <row r="267" spans="1:24">
      <c r="A267" s="7" t="s">
        <v>363</v>
      </c>
      <c r="B267" s="16" t="s">
        <v>52</v>
      </c>
      <c r="C267">
        <v>107108539.53215088</v>
      </c>
      <c r="D267">
        <v>112264796.94599369</v>
      </c>
      <c r="E267">
        <v>365405.40540540603</v>
      </c>
      <c r="F267">
        <v>285585.58558558603</v>
      </c>
      <c r="G267">
        <v>19</v>
      </c>
      <c r="H267">
        <v>64</v>
      </c>
      <c r="I267">
        <v>4</v>
      </c>
      <c r="J267">
        <v>5</v>
      </c>
      <c r="M267">
        <v>26</v>
      </c>
      <c r="N267">
        <v>74</v>
      </c>
      <c r="O267">
        <v>7105945.9459459446</v>
      </c>
      <c r="P267">
        <v>2375675.6756756739</v>
      </c>
      <c r="Q267">
        <v>82</v>
      </c>
      <c r="R267">
        <v>65</v>
      </c>
      <c r="S267">
        <v>52441441.441441439</v>
      </c>
      <c r="T267">
        <v>54248198.198198199</v>
      </c>
      <c r="U267">
        <v>6827117.1171171153</v>
      </c>
      <c r="V267">
        <v>2492072.072072071</v>
      </c>
      <c r="W267">
        <v>2494</v>
      </c>
      <c r="X267">
        <v>2351</v>
      </c>
    </row>
    <row r="268" spans="1:24">
      <c r="A268" s="7" t="s">
        <v>364</v>
      </c>
      <c r="B268" s="16" t="s">
        <v>52</v>
      </c>
      <c r="C268">
        <v>86425626.485354066</v>
      </c>
      <c r="D268">
        <v>86367824.214358091</v>
      </c>
      <c r="E268">
        <v>40099774.774774775</v>
      </c>
      <c r="F268">
        <v>168872972.97297296</v>
      </c>
      <c r="G268">
        <v>63</v>
      </c>
      <c r="H268">
        <v>97</v>
      </c>
      <c r="I268">
        <v>3</v>
      </c>
      <c r="J268">
        <v>10</v>
      </c>
      <c r="M268">
        <v>155</v>
      </c>
      <c r="N268">
        <v>394</v>
      </c>
      <c r="O268">
        <v>19659459.459459461</v>
      </c>
      <c r="P268">
        <v>9178378.3783783801</v>
      </c>
      <c r="Q268">
        <v>217</v>
      </c>
      <c r="R268">
        <v>467</v>
      </c>
      <c r="S268">
        <v>49680837.837837838</v>
      </c>
      <c r="T268">
        <v>48176378.378378376</v>
      </c>
      <c r="U268">
        <v>17736036.036036037</v>
      </c>
      <c r="V268">
        <v>13182342.342342339</v>
      </c>
      <c r="W268">
        <v>2493</v>
      </c>
      <c r="X268">
        <v>2516</v>
      </c>
    </row>
    <row r="269" spans="1:24">
      <c r="A269" s="7" t="s">
        <v>365</v>
      </c>
      <c r="B269" s="16" t="s">
        <v>52</v>
      </c>
      <c r="C269">
        <v>934643506.79822302</v>
      </c>
      <c r="D269">
        <v>976293441.80733812</v>
      </c>
      <c r="E269">
        <v>544170082.88288283</v>
      </c>
      <c r="F269">
        <v>337800693.6936937</v>
      </c>
      <c r="G269">
        <v>256</v>
      </c>
      <c r="H269">
        <v>320</v>
      </c>
      <c r="I269">
        <v>30</v>
      </c>
      <c r="J269">
        <v>67</v>
      </c>
      <c r="K269">
        <v>2</v>
      </c>
      <c r="M269">
        <v>418</v>
      </c>
      <c r="N269">
        <v>580</v>
      </c>
      <c r="O269">
        <v>92115945.945945933</v>
      </c>
      <c r="P269">
        <v>59499106.30630631</v>
      </c>
      <c r="Q269">
        <v>1213</v>
      </c>
      <c r="R269">
        <v>4602</v>
      </c>
      <c r="S269">
        <v>339840427.92792791</v>
      </c>
      <c r="T269">
        <v>357536598.1981982</v>
      </c>
      <c r="U269">
        <v>87539279.279279277</v>
      </c>
      <c r="V269">
        <v>75078288.288288295</v>
      </c>
      <c r="W269">
        <v>20646</v>
      </c>
      <c r="X269">
        <v>20346</v>
      </c>
    </row>
    <row r="270" spans="1:24">
      <c r="A270" s="7" t="s">
        <v>366</v>
      </c>
      <c r="B270" s="16" t="s">
        <v>293</v>
      </c>
      <c r="C270">
        <v>612953819.00782335</v>
      </c>
      <c r="D270">
        <v>564493820.25853217</v>
      </c>
      <c r="E270">
        <v>109509684.68468469</v>
      </c>
      <c r="F270">
        <v>94704414.414414421</v>
      </c>
      <c r="G270">
        <v>213</v>
      </c>
      <c r="H270">
        <v>153</v>
      </c>
      <c r="I270">
        <v>24</v>
      </c>
      <c r="J270">
        <v>22</v>
      </c>
      <c r="K270">
        <v>2</v>
      </c>
      <c r="M270">
        <v>241</v>
      </c>
      <c r="N270">
        <v>392</v>
      </c>
      <c r="O270">
        <v>79096306.306306303</v>
      </c>
      <c r="P270">
        <v>57435585.585585594</v>
      </c>
      <c r="Q270">
        <v>397</v>
      </c>
      <c r="R270">
        <v>53</v>
      </c>
      <c r="S270">
        <v>191922250.45045045</v>
      </c>
      <c r="T270">
        <v>184114290.99099097</v>
      </c>
      <c r="U270">
        <v>74236126.126126125</v>
      </c>
      <c r="V270">
        <v>62558648.648648649</v>
      </c>
      <c r="W270">
        <v>11318</v>
      </c>
      <c r="X270">
        <v>11019</v>
      </c>
    </row>
    <row r="271" spans="1:24">
      <c r="A271" s="7" t="s">
        <v>367</v>
      </c>
      <c r="B271" s="16" t="s">
        <v>368</v>
      </c>
      <c r="C271">
        <v>256282503.74449405</v>
      </c>
      <c r="D271">
        <v>238260281.15980062</v>
      </c>
      <c r="E271">
        <v>53621112.612612613</v>
      </c>
      <c r="F271">
        <v>91931531.531531543</v>
      </c>
      <c r="G271">
        <v>41</v>
      </c>
      <c r="H271">
        <v>55</v>
      </c>
      <c r="I271">
        <v>17</v>
      </c>
      <c r="J271">
        <v>10</v>
      </c>
      <c r="K271">
        <v>1</v>
      </c>
      <c r="M271">
        <v>46</v>
      </c>
      <c r="N271">
        <v>72</v>
      </c>
      <c r="O271">
        <v>50511441.441441439</v>
      </c>
      <c r="P271">
        <v>62825855.855855852</v>
      </c>
      <c r="Q271">
        <v>490</v>
      </c>
      <c r="R271">
        <v>70</v>
      </c>
      <c r="S271">
        <v>105904971.17117117</v>
      </c>
      <c r="T271">
        <v>101627423.42342342</v>
      </c>
      <c r="U271">
        <v>49811621.621621624</v>
      </c>
      <c r="V271">
        <v>66084414.414414413</v>
      </c>
      <c r="W271">
        <v>3978</v>
      </c>
      <c r="X271">
        <v>4004</v>
      </c>
    </row>
    <row r="272" spans="1:24">
      <c r="A272" s="7" t="s">
        <v>369</v>
      </c>
      <c r="B272" s="16" t="s">
        <v>70</v>
      </c>
      <c r="C272">
        <v>68602443.749987304</v>
      </c>
      <c r="D272">
        <v>69520172.277209654</v>
      </c>
      <c r="E272">
        <v>88514285.585585579</v>
      </c>
      <c r="F272">
        <v>96428877.477477476</v>
      </c>
      <c r="G272">
        <v>19</v>
      </c>
      <c r="H272">
        <v>45</v>
      </c>
      <c r="I272">
        <v>2</v>
      </c>
      <c r="J272">
        <v>7</v>
      </c>
      <c r="M272">
        <v>19</v>
      </c>
      <c r="N272">
        <v>53</v>
      </c>
      <c r="O272">
        <v>50434950.45045045</v>
      </c>
      <c r="P272">
        <v>49960370.270270273</v>
      </c>
      <c r="Q272">
        <v>12</v>
      </c>
      <c r="R272">
        <v>48</v>
      </c>
      <c r="S272">
        <v>21756846.846846849</v>
      </c>
      <c r="T272">
        <v>22869828.828828827</v>
      </c>
      <c r="U272">
        <v>12584324.324324327</v>
      </c>
      <c r="V272">
        <v>13797117.11711712</v>
      </c>
      <c r="W272">
        <v>1301</v>
      </c>
      <c r="X272">
        <v>1190</v>
      </c>
    </row>
    <row r="273" spans="1:24">
      <c r="A273" s="7" t="s">
        <v>370</v>
      </c>
      <c r="B273" s="16" t="s">
        <v>50</v>
      </c>
      <c r="C273">
        <v>137028237.992172</v>
      </c>
      <c r="D273">
        <v>145371001.81859905</v>
      </c>
      <c r="E273">
        <v>770270.27027027099</v>
      </c>
      <c r="F273">
        <v>1215315.3153153169</v>
      </c>
      <c r="G273">
        <v>27</v>
      </c>
      <c r="H273">
        <v>33</v>
      </c>
      <c r="I273">
        <v>2</v>
      </c>
      <c r="J273">
        <v>7</v>
      </c>
      <c r="M273">
        <v>28</v>
      </c>
      <c r="N273">
        <v>37</v>
      </c>
      <c r="O273">
        <v>15694594.594594596</v>
      </c>
      <c r="P273">
        <v>13444144.144144144</v>
      </c>
      <c r="Q273">
        <v>13</v>
      </c>
      <c r="R273">
        <v>9</v>
      </c>
      <c r="S273">
        <v>63205036.036036029</v>
      </c>
      <c r="T273">
        <v>65975576.576576576</v>
      </c>
      <c r="U273">
        <v>14115405.405405404</v>
      </c>
      <c r="V273">
        <v>11478108.108108109</v>
      </c>
      <c r="W273">
        <v>2750</v>
      </c>
      <c r="X273">
        <v>2769</v>
      </c>
    </row>
    <row r="274" spans="1:24">
      <c r="A274" s="7" t="s">
        <v>371</v>
      </c>
      <c r="B274" s="16" t="s">
        <v>121</v>
      </c>
      <c r="C274">
        <v>149889051.1257211</v>
      </c>
      <c r="D274">
        <v>142622583.37517667</v>
      </c>
      <c r="E274">
        <v>139639.63963963999</v>
      </c>
      <c r="F274">
        <v>972072.07207207195</v>
      </c>
      <c r="G274">
        <v>54</v>
      </c>
      <c r="H274">
        <v>59</v>
      </c>
      <c r="I274">
        <v>7</v>
      </c>
      <c r="J274">
        <v>5</v>
      </c>
      <c r="M274">
        <v>59</v>
      </c>
      <c r="N274">
        <v>71</v>
      </c>
      <c r="O274">
        <v>3472972.9729729742</v>
      </c>
      <c r="P274">
        <v>6355855.8558558552</v>
      </c>
      <c r="Q274">
        <v>40</v>
      </c>
      <c r="R274">
        <v>68</v>
      </c>
      <c r="S274">
        <v>13950495.495495496</v>
      </c>
      <c r="T274">
        <v>14405846.846846849</v>
      </c>
      <c r="U274">
        <v>2058738.7387387401</v>
      </c>
      <c r="V274">
        <v>4869999.9999999991</v>
      </c>
      <c r="W274">
        <v>2806</v>
      </c>
      <c r="X274">
        <v>2785</v>
      </c>
    </row>
    <row r="275" spans="1:24">
      <c r="A275" s="7" t="s">
        <v>372</v>
      </c>
      <c r="B275" s="16" t="s">
        <v>373</v>
      </c>
      <c r="C275">
        <v>377121832.15974289</v>
      </c>
      <c r="D275">
        <v>323283937.68795335</v>
      </c>
      <c r="E275">
        <v>66360877.477477483</v>
      </c>
      <c r="F275">
        <v>50597639.639639638</v>
      </c>
      <c r="G275">
        <v>479</v>
      </c>
      <c r="H275">
        <v>46</v>
      </c>
      <c r="I275">
        <v>21</v>
      </c>
      <c r="J275">
        <v>6</v>
      </c>
      <c r="K275">
        <v>1</v>
      </c>
      <c r="M275">
        <v>505</v>
      </c>
      <c r="N275">
        <v>51</v>
      </c>
      <c r="O275">
        <v>65531261.261261262</v>
      </c>
      <c r="P275">
        <v>64402522.522522517</v>
      </c>
      <c r="Q275">
        <v>34</v>
      </c>
      <c r="R275">
        <v>41</v>
      </c>
      <c r="S275">
        <v>153165164.86486486</v>
      </c>
      <c r="T275">
        <v>123137774.77477477</v>
      </c>
      <c r="U275">
        <v>72665088.288288295</v>
      </c>
      <c r="V275">
        <v>57538828.828828827</v>
      </c>
      <c r="W275">
        <v>10005</v>
      </c>
      <c r="X275">
        <v>10049</v>
      </c>
    </row>
    <row r="276" spans="1:24">
      <c r="A276" s="7" t="s">
        <v>374</v>
      </c>
      <c r="B276" s="16" t="s">
        <v>66</v>
      </c>
      <c r="C276">
        <v>238943360.97351268</v>
      </c>
      <c r="D276">
        <v>241658336.91845638</v>
      </c>
      <c r="E276">
        <v>1598648.6486486481</v>
      </c>
      <c r="F276">
        <v>9841441.4414414447</v>
      </c>
      <c r="G276">
        <v>99</v>
      </c>
      <c r="H276">
        <v>90</v>
      </c>
      <c r="I276">
        <v>11</v>
      </c>
      <c r="J276">
        <v>14</v>
      </c>
      <c r="M276">
        <v>114</v>
      </c>
      <c r="N276">
        <v>118</v>
      </c>
      <c r="O276">
        <v>43127657.657657653</v>
      </c>
      <c r="P276">
        <v>186481981.98198199</v>
      </c>
      <c r="Q276">
        <v>478</v>
      </c>
      <c r="R276">
        <v>1197</v>
      </c>
      <c r="S276">
        <v>86309234.234234244</v>
      </c>
      <c r="T276">
        <v>88828459.459459454</v>
      </c>
      <c r="U276">
        <v>36766756.75675676</v>
      </c>
      <c r="V276">
        <v>155306396.3963964</v>
      </c>
      <c r="W276">
        <v>7055</v>
      </c>
      <c r="X276">
        <v>7265</v>
      </c>
    </row>
    <row r="277" spans="1:24">
      <c r="A277" s="7" t="s">
        <v>375</v>
      </c>
      <c r="B277" s="16" t="s">
        <v>354</v>
      </c>
      <c r="C277">
        <v>374443060.30000031</v>
      </c>
      <c r="D277">
        <v>361619784.21632731</v>
      </c>
      <c r="E277">
        <v>1725900.9009009011</v>
      </c>
      <c r="F277">
        <v>2832432.4324324359</v>
      </c>
      <c r="G277">
        <v>512</v>
      </c>
      <c r="H277">
        <v>427</v>
      </c>
      <c r="I277">
        <v>8</v>
      </c>
      <c r="J277">
        <v>7</v>
      </c>
      <c r="M277">
        <v>528</v>
      </c>
      <c r="N277">
        <v>503</v>
      </c>
      <c r="O277">
        <v>64664504.504504502</v>
      </c>
      <c r="P277">
        <v>78915225.225225225</v>
      </c>
      <c r="Q277">
        <v>205</v>
      </c>
      <c r="R277">
        <v>310</v>
      </c>
      <c r="S277">
        <v>222902018.01801801</v>
      </c>
      <c r="T277">
        <v>222117045.04504505</v>
      </c>
      <c r="U277">
        <v>69244054.054054052</v>
      </c>
      <c r="V277">
        <v>84039819.819819823</v>
      </c>
      <c r="W277">
        <v>6958</v>
      </c>
      <c r="X277">
        <v>7059</v>
      </c>
    </row>
    <row r="278" spans="1:24">
      <c r="A278" s="7" t="s">
        <v>376</v>
      </c>
      <c r="B278" s="16" t="s">
        <v>66</v>
      </c>
      <c r="C278">
        <v>127273496.95054463</v>
      </c>
      <c r="D278">
        <v>139769466.37886795</v>
      </c>
      <c r="E278">
        <v>45045.045045047002</v>
      </c>
      <c r="F278">
        <v>1215315.315315316</v>
      </c>
      <c r="G278">
        <v>51</v>
      </c>
      <c r="H278">
        <v>59</v>
      </c>
      <c r="I278">
        <v>5</v>
      </c>
      <c r="J278">
        <v>5</v>
      </c>
      <c r="M278">
        <v>67</v>
      </c>
      <c r="N278">
        <v>74</v>
      </c>
      <c r="O278">
        <v>10856216.216216214</v>
      </c>
      <c r="P278">
        <v>14306126.126126124</v>
      </c>
      <c r="Q278">
        <v>135</v>
      </c>
      <c r="R278">
        <v>99</v>
      </c>
      <c r="S278">
        <v>57025286.486486487</v>
      </c>
      <c r="T278">
        <v>66372472.972972974</v>
      </c>
      <c r="U278">
        <v>16678738.738738738</v>
      </c>
      <c r="V278">
        <v>15807927.927927928</v>
      </c>
      <c r="W278">
        <v>4681</v>
      </c>
      <c r="X278">
        <v>5107</v>
      </c>
    </row>
    <row r="279" spans="1:24">
      <c r="A279" s="7" t="s">
        <v>377</v>
      </c>
      <c r="B279" s="16" t="s">
        <v>260</v>
      </c>
      <c r="C279">
        <v>122210093.30647404</v>
      </c>
      <c r="D279">
        <v>115465098.38954435</v>
      </c>
      <c r="E279">
        <v>416965640.54054052</v>
      </c>
      <c r="F279">
        <v>385681884.68468469</v>
      </c>
      <c r="G279">
        <v>6</v>
      </c>
      <c r="H279">
        <v>10</v>
      </c>
      <c r="I279">
        <v>1</v>
      </c>
      <c r="J279">
        <v>0</v>
      </c>
      <c r="M279">
        <v>6</v>
      </c>
      <c r="N279">
        <v>10</v>
      </c>
      <c r="O279">
        <v>6760360.3603603598</v>
      </c>
      <c r="P279">
        <v>61436936.936936937</v>
      </c>
      <c r="Q279">
        <v>4</v>
      </c>
      <c r="R279">
        <v>1</v>
      </c>
      <c r="S279">
        <v>19848378.378378376</v>
      </c>
      <c r="T279">
        <v>19386639.639639638</v>
      </c>
      <c r="U279">
        <v>7776396.3963963958</v>
      </c>
      <c r="V279">
        <v>3098288.2882882878</v>
      </c>
      <c r="W279">
        <v>1617</v>
      </c>
      <c r="X279">
        <v>1665</v>
      </c>
    </row>
    <row r="280" spans="1:24">
      <c r="A280" s="7" t="s">
        <v>378</v>
      </c>
      <c r="B280" s="16" t="s">
        <v>354</v>
      </c>
      <c r="C280">
        <v>308827469.77390736</v>
      </c>
      <c r="D280">
        <v>304205522.12918359</v>
      </c>
      <c r="E280">
        <v>132704495.4954955</v>
      </c>
      <c r="F280">
        <v>146846846.84684685</v>
      </c>
      <c r="G280">
        <v>53</v>
      </c>
      <c r="H280">
        <v>57</v>
      </c>
      <c r="I280">
        <v>4</v>
      </c>
      <c r="J280">
        <v>8</v>
      </c>
      <c r="M280">
        <v>55</v>
      </c>
      <c r="N280">
        <v>65</v>
      </c>
      <c r="O280">
        <v>81021216.216216207</v>
      </c>
      <c r="P280">
        <v>66505540.540540546</v>
      </c>
      <c r="Q280">
        <v>145</v>
      </c>
      <c r="R280">
        <v>43</v>
      </c>
      <c r="S280">
        <v>161047927.92792794</v>
      </c>
      <c r="T280">
        <v>168349194.5945946</v>
      </c>
      <c r="U280">
        <v>68858828.828828827</v>
      </c>
      <c r="V280">
        <v>54068108.108108111</v>
      </c>
      <c r="W280">
        <v>4660</v>
      </c>
      <c r="X280">
        <v>4805</v>
      </c>
    </row>
    <row r="281" spans="1:24">
      <c r="A281" s="7" t="s">
        <v>379</v>
      </c>
      <c r="B281" s="16" t="s">
        <v>87</v>
      </c>
      <c r="C281">
        <v>6442440.3881213572</v>
      </c>
      <c r="D281">
        <v>7834962.7153971922</v>
      </c>
      <c r="H281">
        <v>1</v>
      </c>
      <c r="N281">
        <v>3</v>
      </c>
      <c r="S281">
        <v>245270.27027027</v>
      </c>
      <c r="T281">
        <v>434144.14414414403</v>
      </c>
      <c r="W281">
        <v>201</v>
      </c>
      <c r="X281">
        <v>133</v>
      </c>
    </row>
    <row r="282" spans="1:24">
      <c r="A282" s="7" t="s">
        <v>380</v>
      </c>
      <c r="B282" s="16" t="s">
        <v>87</v>
      </c>
      <c r="C282">
        <v>26393674.147951968</v>
      </c>
      <c r="D282">
        <v>11114825.185031908</v>
      </c>
      <c r="E282">
        <v>24324.324324323999</v>
      </c>
      <c r="G282">
        <v>185</v>
      </c>
      <c r="H282">
        <v>21</v>
      </c>
      <c r="I282">
        <v>1</v>
      </c>
      <c r="M282">
        <v>187</v>
      </c>
      <c r="N282">
        <v>23</v>
      </c>
      <c r="O282">
        <v>91891.891891891995</v>
      </c>
      <c r="Q282">
        <v>3</v>
      </c>
      <c r="S282">
        <v>4509009.0090090092</v>
      </c>
      <c r="T282">
        <v>1385414.414414414</v>
      </c>
      <c r="U282">
        <v>86036.036036036006</v>
      </c>
      <c r="W282">
        <v>633</v>
      </c>
      <c r="X282">
        <v>238</v>
      </c>
    </row>
    <row r="283" spans="1:24">
      <c r="A283" s="7" t="s">
        <v>381</v>
      </c>
      <c r="B283" s="16" t="s">
        <v>80</v>
      </c>
      <c r="C283">
        <v>2058564353.995954</v>
      </c>
      <c r="D283">
        <v>2027175616.9065545</v>
      </c>
      <c r="E283">
        <v>1793249538.7387388</v>
      </c>
      <c r="F283">
        <v>1041003329.7297298</v>
      </c>
      <c r="G283">
        <v>632</v>
      </c>
      <c r="H283">
        <v>738</v>
      </c>
      <c r="I283">
        <v>71</v>
      </c>
      <c r="J283">
        <v>67</v>
      </c>
      <c r="K283">
        <v>1</v>
      </c>
      <c r="M283">
        <v>733</v>
      </c>
      <c r="N283">
        <v>968</v>
      </c>
      <c r="O283">
        <v>272032432.43243241</v>
      </c>
      <c r="P283">
        <v>322841891.8918919</v>
      </c>
      <c r="Q283">
        <v>1164</v>
      </c>
      <c r="R283">
        <v>872</v>
      </c>
      <c r="S283">
        <v>504621176.57657659</v>
      </c>
      <c r="T283">
        <v>527368468.91891891</v>
      </c>
      <c r="U283">
        <v>234538648.64864865</v>
      </c>
      <c r="V283">
        <v>286156936.93693691</v>
      </c>
      <c r="W283">
        <v>36709</v>
      </c>
      <c r="X283">
        <v>36789</v>
      </c>
    </row>
    <row r="284" spans="1:24">
      <c r="A284" s="7" t="s">
        <v>382</v>
      </c>
      <c r="B284" s="16" t="s">
        <v>80</v>
      </c>
      <c r="C284">
        <v>555364294.86372769</v>
      </c>
      <c r="D284">
        <v>557634846.59330499</v>
      </c>
      <c r="E284">
        <v>3826126.126126125</v>
      </c>
      <c r="F284">
        <v>7065090.0900900932</v>
      </c>
      <c r="G284">
        <v>154</v>
      </c>
      <c r="H284">
        <v>171</v>
      </c>
      <c r="I284">
        <v>16</v>
      </c>
      <c r="J284">
        <v>23</v>
      </c>
      <c r="K284">
        <v>1</v>
      </c>
      <c r="M284">
        <v>173</v>
      </c>
      <c r="N284">
        <v>229</v>
      </c>
      <c r="O284">
        <v>109918648.64864863</v>
      </c>
      <c r="P284">
        <v>108572072.07207206</v>
      </c>
      <c r="Q284">
        <v>250</v>
      </c>
      <c r="R284">
        <v>197</v>
      </c>
      <c r="S284">
        <v>231391508.1081081</v>
      </c>
      <c r="T284">
        <v>231337636.48648649</v>
      </c>
      <c r="U284">
        <v>100550000</v>
      </c>
      <c r="V284">
        <v>97982291.891891882</v>
      </c>
      <c r="W284">
        <v>9740</v>
      </c>
      <c r="X284">
        <v>10508</v>
      </c>
    </row>
    <row r="285" spans="1:24">
      <c r="A285" s="7" t="s">
        <v>383</v>
      </c>
      <c r="B285" s="16" t="s">
        <v>80</v>
      </c>
      <c r="C285">
        <v>772951680.008255</v>
      </c>
      <c r="D285">
        <v>701257224.96603215</v>
      </c>
      <c r="E285">
        <v>70495.495495495998</v>
      </c>
      <c r="F285">
        <v>749168.46846847096</v>
      </c>
      <c r="G285">
        <v>176</v>
      </c>
      <c r="H285">
        <v>98</v>
      </c>
      <c r="I285">
        <v>2</v>
      </c>
      <c r="J285">
        <v>3</v>
      </c>
      <c r="M285">
        <v>191</v>
      </c>
      <c r="N285">
        <v>115</v>
      </c>
      <c r="O285">
        <v>31752252.252252251</v>
      </c>
      <c r="P285">
        <v>54823022.522522531</v>
      </c>
      <c r="Q285">
        <v>36</v>
      </c>
      <c r="R285">
        <v>15</v>
      </c>
      <c r="S285">
        <v>143967605.4054054</v>
      </c>
      <c r="T285">
        <v>142395810.8108108</v>
      </c>
      <c r="U285">
        <v>30713153.153153151</v>
      </c>
      <c r="V285">
        <v>56682252.252252251</v>
      </c>
      <c r="W285">
        <v>10028</v>
      </c>
      <c r="X285">
        <v>9705</v>
      </c>
    </row>
    <row r="286" spans="1:24">
      <c r="A286" s="7" t="s">
        <v>384</v>
      </c>
      <c r="B286" s="16" t="s">
        <v>68</v>
      </c>
      <c r="C286">
        <v>307035045.21603835</v>
      </c>
      <c r="D286">
        <v>303124992.52572793</v>
      </c>
      <c r="E286">
        <v>17111126.126126129</v>
      </c>
      <c r="F286">
        <v>36324324.324324325</v>
      </c>
      <c r="G286">
        <v>96</v>
      </c>
      <c r="H286">
        <v>60</v>
      </c>
      <c r="I286">
        <v>5</v>
      </c>
      <c r="J286">
        <v>3</v>
      </c>
      <c r="M286">
        <v>108</v>
      </c>
      <c r="N286">
        <v>69</v>
      </c>
      <c r="O286">
        <v>19450900.9009009</v>
      </c>
      <c r="P286">
        <v>13916216.216216216</v>
      </c>
      <c r="Q286">
        <v>78</v>
      </c>
      <c r="R286">
        <v>50</v>
      </c>
      <c r="S286">
        <v>41408810.810810804</v>
      </c>
      <c r="T286">
        <v>43271324.324324325</v>
      </c>
      <c r="U286">
        <v>14844144.144144146</v>
      </c>
      <c r="V286">
        <v>11398468.46846847</v>
      </c>
      <c r="W286">
        <v>5202</v>
      </c>
      <c r="X286">
        <v>4907</v>
      </c>
    </row>
    <row r="287" spans="1:24">
      <c r="A287" s="7" t="s">
        <v>385</v>
      </c>
      <c r="B287" s="16" t="s">
        <v>167</v>
      </c>
      <c r="C287">
        <v>111039670.74089214</v>
      </c>
      <c r="D287">
        <v>101844954.83813067</v>
      </c>
      <c r="E287">
        <v>25225.225225227001</v>
      </c>
      <c r="F287">
        <v>1724324.3243243271</v>
      </c>
      <c r="G287">
        <v>51</v>
      </c>
      <c r="H287">
        <v>35</v>
      </c>
      <c r="I287">
        <v>5</v>
      </c>
      <c r="J287">
        <v>7</v>
      </c>
      <c r="M287">
        <v>55</v>
      </c>
      <c r="N287">
        <v>45</v>
      </c>
      <c r="O287">
        <v>30318727.02702703</v>
      </c>
      <c r="P287">
        <v>23341507.207207207</v>
      </c>
      <c r="Q287">
        <v>45</v>
      </c>
      <c r="R287">
        <v>17</v>
      </c>
      <c r="S287">
        <v>45839007.20720721</v>
      </c>
      <c r="T287">
        <v>43402990.990990989</v>
      </c>
      <c r="U287">
        <v>22652072.072072074</v>
      </c>
      <c r="V287">
        <v>21914054.054054055</v>
      </c>
      <c r="W287">
        <v>2263</v>
      </c>
      <c r="X287">
        <v>2333</v>
      </c>
    </row>
    <row r="288" spans="1:24">
      <c r="A288" s="7" t="s">
        <v>386</v>
      </c>
      <c r="B288" s="16" t="s">
        <v>94</v>
      </c>
      <c r="C288">
        <v>609936534.65616834</v>
      </c>
      <c r="D288">
        <v>603465394.78153265</v>
      </c>
      <c r="E288">
        <v>1274774.7747747749</v>
      </c>
      <c r="F288">
        <v>770270.27027027099</v>
      </c>
      <c r="G288">
        <v>147</v>
      </c>
      <c r="H288">
        <v>140</v>
      </c>
      <c r="I288">
        <v>6</v>
      </c>
      <c r="J288">
        <v>8</v>
      </c>
      <c r="K288">
        <v>2</v>
      </c>
      <c r="M288">
        <v>163</v>
      </c>
      <c r="N288">
        <v>150</v>
      </c>
      <c r="O288">
        <v>20277477.477477476</v>
      </c>
      <c r="P288">
        <v>21653153.153153151</v>
      </c>
      <c r="Q288">
        <v>43</v>
      </c>
      <c r="R288">
        <v>144</v>
      </c>
      <c r="S288">
        <v>63244365.765765771</v>
      </c>
      <c r="T288">
        <v>71254729.729729727</v>
      </c>
      <c r="U288">
        <v>14593333.333333332</v>
      </c>
      <c r="V288">
        <v>17331891.891891893</v>
      </c>
      <c r="W288">
        <v>8335</v>
      </c>
      <c r="X288">
        <v>8251</v>
      </c>
    </row>
    <row r="289" spans="1:24">
      <c r="A289" s="7" t="s">
        <v>387</v>
      </c>
      <c r="B289" s="16" t="s">
        <v>214</v>
      </c>
      <c r="C289">
        <v>110794293.11108673</v>
      </c>
      <c r="D289">
        <v>112390925.53670637</v>
      </c>
      <c r="E289">
        <v>178865765.76576576</v>
      </c>
      <c r="F289">
        <v>3636036.036036036</v>
      </c>
      <c r="G289">
        <v>40</v>
      </c>
      <c r="H289">
        <v>41</v>
      </c>
      <c r="I289">
        <v>0</v>
      </c>
      <c r="J289">
        <v>1</v>
      </c>
      <c r="M289">
        <v>40</v>
      </c>
      <c r="N289">
        <v>48</v>
      </c>
      <c r="O289">
        <v>454504.50450450397</v>
      </c>
      <c r="P289">
        <v>4682882.8828828828</v>
      </c>
      <c r="S289">
        <v>51144819.819819815</v>
      </c>
      <c r="T289">
        <v>54079666.666666664</v>
      </c>
      <c r="U289">
        <v>89639.639639639994</v>
      </c>
      <c r="V289">
        <v>2251801.8018018021</v>
      </c>
      <c r="W289">
        <v>2304</v>
      </c>
      <c r="X289">
        <v>2376</v>
      </c>
    </row>
    <row r="290" spans="1:24">
      <c r="A290" s="7" t="s">
        <v>388</v>
      </c>
      <c r="B290" s="16" t="s">
        <v>117</v>
      </c>
      <c r="C290">
        <v>46612646.546429873</v>
      </c>
      <c r="D290">
        <v>44894109.343759045</v>
      </c>
      <c r="E290">
        <v>54954.954954957</v>
      </c>
      <c r="F290">
        <v>596396.39639639505</v>
      </c>
      <c r="G290">
        <v>35</v>
      </c>
      <c r="H290">
        <v>30</v>
      </c>
      <c r="I290">
        <v>6</v>
      </c>
      <c r="J290">
        <v>7</v>
      </c>
      <c r="M290">
        <v>41</v>
      </c>
      <c r="N290">
        <v>41</v>
      </c>
      <c r="O290">
        <v>5430939.6396396393</v>
      </c>
      <c r="P290">
        <v>9830745.9459459484</v>
      </c>
      <c r="Q290">
        <v>30</v>
      </c>
      <c r="S290">
        <v>21580045.045045044</v>
      </c>
      <c r="T290">
        <v>21193747.747747749</v>
      </c>
      <c r="U290">
        <v>3054414.4144144119</v>
      </c>
      <c r="V290">
        <v>7751441.4414414419</v>
      </c>
      <c r="W290">
        <v>1910</v>
      </c>
      <c r="X290">
        <v>1874</v>
      </c>
    </row>
    <row r="291" spans="1:24">
      <c r="A291" s="7" t="s">
        <v>389</v>
      </c>
      <c r="B291" s="16" t="s">
        <v>315</v>
      </c>
      <c r="C291">
        <v>202987402.89367267</v>
      </c>
      <c r="D291">
        <v>194917405.82035884</v>
      </c>
      <c r="E291">
        <v>139051986.48648649</v>
      </c>
      <c r="F291">
        <v>120983842.34234233</v>
      </c>
      <c r="G291">
        <v>28</v>
      </c>
      <c r="H291">
        <v>18</v>
      </c>
      <c r="I291">
        <v>0</v>
      </c>
      <c r="J291">
        <v>1</v>
      </c>
      <c r="M291">
        <v>30</v>
      </c>
      <c r="N291">
        <v>19</v>
      </c>
      <c r="O291">
        <v>50069819.819819823</v>
      </c>
      <c r="P291">
        <v>8369819.8198198192</v>
      </c>
      <c r="S291">
        <v>40990090.090090089</v>
      </c>
      <c r="T291">
        <v>40062891.891891889</v>
      </c>
      <c r="U291">
        <v>9483873.8738738745</v>
      </c>
      <c r="V291">
        <v>8267027.0270270268</v>
      </c>
      <c r="W291">
        <v>2806</v>
      </c>
      <c r="X291">
        <v>2549</v>
      </c>
    </row>
    <row r="292" spans="1:24">
      <c r="A292" s="7" t="s">
        <v>675</v>
      </c>
      <c r="B292" s="16" t="s">
        <v>181</v>
      </c>
      <c r="E292">
        <v>186528828.82882884</v>
      </c>
      <c r="F292">
        <v>65472972.972972974</v>
      </c>
      <c r="O292">
        <v>15794774.774774777</v>
      </c>
      <c r="P292">
        <v>2249099.0990990992</v>
      </c>
    </row>
    <row r="293" spans="1:24">
      <c r="A293" s="7" t="s">
        <v>390</v>
      </c>
      <c r="B293" s="16" t="s">
        <v>224</v>
      </c>
      <c r="C293">
        <v>107683212.36732051</v>
      </c>
      <c r="D293">
        <v>81241712.49143216</v>
      </c>
      <c r="G293">
        <v>113</v>
      </c>
      <c r="H293">
        <v>8</v>
      </c>
      <c r="M293">
        <v>116</v>
      </c>
      <c r="N293">
        <v>9</v>
      </c>
      <c r="S293">
        <v>20821972.97297297</v>
      </c>
      <c r="T293">
        <v>15671306.306306306</v>
      </c>
      <c r="W293">
        <v>1603</v>
      </c>
      <c r="X293">
        <v>1508</v>
      </c>
    </row>
    <row r="294" spans="1:24">
      <c r="A294" s="7" t="s">
        <v>6</v>
      </c>
      <c r="B294" s="16" t="s">
        <v>193</v>
      </c>
      <c r="C294">
        <v>715853680.52974629</v>
      </c>
      <c r="D294">
        <v>711561576.23647344</v>
      </c>
      <c r="E294">
        <v>251516454.05405405</v>
      </c>
      <c r="F294">
        <v>315966468.46846849</v>
      </c>
      <c r="G294">
        <v>588</v>
      </c>
      <c r="H294">
        <v>456</v>
      </c>
      <c r="I294">
        <v>25</v>
      </c>
      <c r="J294">
        <v>17</v>
      </c>
      <c r="K294">
        <v>2</v>
      </c>
      <c r="M294">
        <v>1239</v>
      </c>
      <c r="N294">
        <v>894</v>
      </c>
      <c r="O294">
        <v>313298198.1981982</v>
      </c>
      <c r="P294">
        <v>233787057.65765765</v>
      </c>
      <c r="Q294">
        <v>728</v>
      </c>
      <c r="R294">
        <v>819</v>
      </c>
      <c r="S294">
        <v>480697792.7927928</v>
      </c>
      <c r="T294">
        <v>483888990.990991</v>
      </c>
      <c r="U294">
        <v>273265135.13513511</v>
      </c>
      <c r="V294">
        <v>209303333.33333334</v>
      </c>
      <c r="W294">
        <v>13363</v>
      </c>
      <c r="X294">
        <v>13301</v>
      </c>
    </row>
    <row r="295" spans="1:24">
      <c r="A295" s="7" t="s">
        <v>391</v>
      </c>
      <c r="B295" s="16" t="s">
        <v>121</v>
      </c>
      <c r="C295">
        <v>26512683.859738532</v>
      </c>
      <c r="D295">
        <v>31315908.800572746</v>
      </c>
      <c r="E295">
        <v>9009.0090090089998</v>
      </c>
      <c r="G295">
        <v>17</v>
      </c>
      <c r="H295">
        <v>10</v>
      </c>
      <c r="M295">
        <v>18</v>
      </c>
      <c r="N295">
        <v>12</v>
      </c>
      <c r="O295">
        <v>90090.090090090001</v>
      </c>
      <c r="Q295">
        <v>9</v>
      </c>
      <c r="S295">
        <v>1395945.945945946</v>
      </c>
      <c r="T295">
        <v>1544486.4864864859</v>
      </c>
      <c r="U295">
        <v>81081.081081081007</v>
      </c>
      <c r="W295">
        <v>573</v>
      </c>
      <c r="X295">
        <v>541</v>
      </c>
    </row>
    <row r="296" spans="1:24">
      <c r="A296" s="7" t="s">
        <v>392</v>
      </c>
      <c r="B296" s="16" t="s">
        <v>134</v>
      </c>
      <c r="C296">
        <v>97329808.295334995</v>
      </c>
      <c r="D296">
        <v>93946465.369619504</v>
      </c>
      <c r="E296">
        <v>294566318.01801807</v>
      </c>
      <c r="F296">
        <v>268755502.7027027</v>
      </c>
      <c r="G296">
        <v>35</v>
      </c>
      <c r="H296">
        <v>25</v>
      </c>
      <c r="I296">
        <v>1</v>
      </c>
      <c r="J296">
        <v>1</v>
      </c>
      <c r="M296">
        <v>39</v>
      </c>
      <c r="N296">
        <v>30</v>
      </c>
      <c r="O296">
        <v>41012612.612612605</v>
      </c>
      <c r="P296">
        <v>53238738.738738738</v>
      </c>
      <c r="Q296">
        <v>44</v>
      </c>
      <c r="R296">
        <v>5</v>
      </c>
      <c r="S296">
        <v>20781376.576576576</v>
      </c>
      <c r="T296">
        <v>18768998.198198199</v>
      </c>
      <c r="U296">
        <v>3179189.18918919</v>
      </c>
      <c r="V296">
        <v>1991171.1711711721</v>
      </c>
      <c r="W296">
        <v>3446</v>
      </c>
      <c r="X296">
        <v>3540</v>
      </c>
    </row>
    <row r="297" spans="1:24">
      <c r="A297" s="7" t="s">
        <v>393</v>
      </c>
      <c r="B297" s="16" t="s">
        <v>58</v>
      </c>
      <c r="C297">
        <v>473057810.61778945</v>
      </c>
      <c r="D297">
        <v>459300966.72628921</v>
      </c>
      <c r="E297">
        <v>11023198.198198199</v>
      </c>
      <c r="F297">
        <v>12609684.684684688</v>
      </c>
      <c r="G297">
        <v>255</v>
      </c>
      <c r="H297">
        <v>128</v>
      </c>
      <c r="I297">
        <v>21</v>
      </c>
      <c r="J297">
        <v>21</v>
      </c>
      <c r="K297">
        <v>4</v>
      </c>
      <c r="M297">
        <v>283</v>
      </c>
      <c r="N297">
        <v>198</v>
      </c>
      <c r="O297">
        <v>63295945.945945941</v>
      </c>
      <c r="P297">
        <v>44154054.054054059</v>
      </c>
      <c r="Q297">
        <v>402</v>
      </c>
      <c r="R297">
        <v>68</v>
      </c>
      <c r="S297">
        <v>74746998.198198199</v>
      </c>
      <c r="T297">
        <v>74282414.414414421</v>
      </c>
      <c r="U297">
        <v>54213783.783783786</v>
      </c>
      <c r="V297">
        <v>44814324.324324317</v>
      </c>
      <c r="W297">
        <v>9016</v>
      </c>
      <c r="X297">
        <v>9207</v>
      </c>
    </row>
    <row r="298" spans="1:24">
      <c r="A298" s="7" t="s">
        <v>394</v>
      </c>
      <c r="B298" s="16" t="s">
        <v>134</v>
      </c>
      <c r="C298">
        <v>168370377.01362765</v>
      </c>
      <c r="D298">
        <v>159459887.88590327</v>
      </c>
      <c r="E298">
        <v>47972.972972973999</v>
      </c>
      <c r="F298">
        <v>1000000.000000001</v>
      </c>
      <c r="G298">
        <v>27</v>
      </c>
      <c r="H298">
        <v>26</v>
      </c>
      <c r="I298">
        <v>7</v>
      </c>
      <c r="J298">
        <v>6</v>
      </c>
      <c r="M298">
        <v>29</v>
      </c>
      <c r="N298">
        <v>31</v>
      </c>
      <c r="O298">
        <v>17156756.756756756</v>
      </c>
      <c r="P298">
        <v>23671171.171171173</v>
      </c>
      <c r="Q298">
        <v>185</v>
      </c>
      <c r="R298">
        <v>225</v>
      </c>
      <c r="S298">
        <v>30364628.828828827</v>
      </c>
      <c r="T298">
        <v>29358801.801801801</v>
      </c>
      <c r="U298">
        <v>11082072.072072072</v>
      </c>
      <c r="V298">
        <v>15656936.936936935</v>
      </c>
      <c r="W298">
        <v>3782</v>
      </c>
      <c r="X298">
        <v>3942</v>
      </c>
    </row>
    <row r="299" spans="1:24">
      <c r="A299" s="7" t="s">
        <v>395</v>
      </c>
      <c r="B299" s="16" t="s">
        <v>54</v>
      </c>
      <c r="C299">
        <v>69827428.263370842</v>
      </c>
      <c r="D299">
        <v>67087267.205360219</v>
      </c>
      <c r="E299">
        <v>274774.77477477503</v>
      </c>
      <c r="F299">
        <v>55855.855855856003</v>
      </c>
      <c r="G299">
        <v>12</v>
      </c>
      <c r="H299">
        <v>19</v>
      </c>
      <c r="I299">
        <v>1</v>
      </c>
      <c r="J299">
        <v>2</v>
      </c>
      <c r="M299">
        <v>15</v>
      </c>
      <c r="N299">
        <v>20</v>
      </c>
      <c r="O299">
        <v>3860360.3603603598</v>
      </c>
      <c r="P299">
        <v>3145945.945945946</v>
      </c>
      <c r="Q299">
        <v>24</v>
      </c>
      <c r="R299">
        <v>7</v>
      </c>
      <c r="S299">
        <v>11786576.576576576</v>
      </c>
      <c r="T299">
        <v>11027009.009009007</v>
      </c>
      <c r="U299">
        <v>4228018.0180180185</v>
      </c>
      <c r="V299">
        <v>3410810.81081081</v>
      </c>
      <c r="W299">
        <v>1586</v>
      </c>
      <c r="X299">
        <v>1605</v>
      </c>
    </row>
    <row r="300" spans="1:24">
      <c r="A300" s="7" t="s">
        <v>396</v>
      </c>
      <c r="B300" s="16" t="s">
        <v>397</v>
      </c>
      <c r="C300">
        <v>483625711.63613945</v>
      </c>
      <c r="D300">
        <v>472758360.26828331</v>
      </c>
      <c r="E300">
        <v>2440945.9459459451</v>
      </c>
      <c r="F300">
        <v>4230630.6306306282</v>
      </c>
      <c r="G300">
        <v>242</v>
      </c>
      <c r="H300">
        <v>217</v>
      </c>
      <c r="I300">
        <v>13</v>
      </c>
      <c r="J300">
        <v>20</v>
      </c>
      <c r="M300">
        <v>337</v>
      </c>
      <c r="N300">
        <v>462</v>
      </c>
      <c r="O300">
        <v>56221306.306306303</v>
      </c>
      <c r="P300">
        <v>51476576.576576576</v>
      </c>
      <c r="Q300">
        <v>547</v>
      </c>
      <c r="R300">
        <v>476</v>
      </c>
      <c r="S300">
        <v>92741052.252252251</v>
      </c>
      <c r="T300">
        <v>94148264.864864871</v>
      </c>
      <c r="U300">
        <v>56052927.927927926</v>
      </c>
      <c r="V300">
        <v>49332432.432432435</v>
      </c>
      <c r="W300">
        <v>9434</v>
      </c>
      <c r="X300">
        <v>10904</v>
      </c>
    </row>
    <row r="301" spans="1:24">
      <c r="A301" s="7" t="s">
        <v>398</v>
      </c>
      <c r="B301" s="16" t="s">
        <v>399</v>
      </c>
      <c r="C301">
        <v>549840051.05974257</v>
      </c>
      <c r="D301">
        <v>513675244.03486425</v>
      </c>
      <c r="E301">
        <v>839189.18918919202</v>
      </c>
      <c r="F301">
        <v>6384459.4594594613</v>
      </c>
      <c r="G301">
        <v>149</v>
      </c>
      <c r="H301">
        <v>111</v>
      </c>
      <c r="I301">
        <v>24</v>
      </c>
      <c r="J301">
        <v>19</v>
      </c>
      <c r="K301">
        <v>1</v>
      </c>
      <c r="M301">
        <v>166</v>
      </c>
      <c r="N301">
        <v>126</v>
      </c>
      <c r="O301">
        <v>126708378.37837836</v>
      </c>
      <c r="P301">
        <v>48694594.59459459</v>
      </c>
      <c r="Q301">
        <v>662</v>
      </c>
      <c r="R301">
        <v>337</v>
      </c>
      <c r="S301">
        <v>98074340.540540546</v>
      </c>
      <c r="T301">
        <v>95224297.297297299</v>
      </c>
      <c r="U301">
        <v>121702522.52252252</v>
      </c>
      <c r="V301">
        <v>49253423.423423424</v>
      </c>
      <c r="W301">
        <v>11221</v>
      </c>
      <c r="X301">
        <v>11508</v>
      </c>
    </row>
    <row r="302" spans="1:24">
      <c r="A302" s="7" t="s">
        <v>400</v>
      </c>
      <c r="B302" s="16" t="s">
        <v>140</v>
      </c>
      <c r="C302">
        <v>173857471.24371052</v>
      </c>
      <c r="D302">
        <v>165787196.40194678</v>
      </c>
      <c r="E302">
        <v>707207.20720720803</v>
      </c>
      <c r="F302">
        <v>2468468.46846847</v>
      </c>
      <c r="G302">
        <v>36</v>
      </c>
      <c r="H302">
        <v>47</v>
      </c>
      <c r="I302">
        <v>5</v>
      </c>
      <c r="J302">
        <v>8</v>
      </c>
      <c r="M302">
        <v>43</v>
      </c>
      <c r="N302">
        <v>49</v>
      </c>
      <c r="O302">
        <v>39399099.0990991</v>
      </c>
      <c r="P302">
        <v>34508288.288288288</v>
      </c>
      <c r="Q302">
        <v>21</v>
      </c>
      <c r="R302">
        <v>13</v>
      </c>
      <c r="S302">
        <v>52471486.486486487</v>
      </c>
      <c r="T302">
        <v>52006054.054054059</v>
      </c>
      <c r="U302">
        <v>32161441.441441439</v>
      </c>
      <c r="V302">
        <v>33919729.729729727</v>
      </c>
      <c r="W302">
        <v>3324</v>
      </c>
      <c r="X302">
        <v>3318</v>
      </c>
    </row>
    <row r="303" spans="1:24">
      <c r="A303" s="7" t="s">
        <v>401</v>
      </c>
      <c r="B303" s="16" t="s">
        <v>121</v>
      </c>
      <c r="C303">
        <v>51422022.761635952</v>
      </c>
      <c r="D303">
        <v>45773373.629049122</v>
      </c>
      <c r="E303">
        <v>2702.7027027029999</v>
      </c>
      <c r="F303">
        <v>414414.41441441502</v>
      </c>
      <c r="G303">
        <v>30</v>
      </c>
      <c r="H303">
        <v>16</v>
      </c>
      <c r="I303">
        <v>0</v>
      </c>
      <c r="J303">
        <v>1</v>
      </c>
      <c r="M303">
        <v>33</v>
      </c>
      <c r="N303">
        <v>22</v>
      </c>
      <c r="O303">
        <v>56756.756756757</v>
      </c>
      <c r="P303">
        <v>2216216.2162162168</v>
      </c>
      <c r="Q303">
        <v>7</v>
      </c>
      <c r="R303">
        <v>2</v>
      </c>
      <c r="S303">
        <v>3531351.351351351</v>
      </c>
      <c r="T303">
        <v>4228704.9549549548</v>
      </c>
      <c r="U303">
        <v>1416666.666666666</v>
      </c>
      <c r="V303">
        <v>985495.49549549504</v>
      </c>
      <c r="W303">
        <v>1018</v>
      </c>
      <c r="X303">
        <v>1102</v>
      </c>
    </row>
    <row r="304" spans="1:24">
      <c r="A304" s="7" t="s">
        <v>402</v>
      </c>
      <c r="B304" s="16" t="s">
        <v>290</v>
      </c>
      <c r="C304">
        <v>96253083.786505476</v>
      </c>
      <c r="D304">
        <v>71421127.044215322</v>
      </c>
      <c r="E304">
        <v>76576.576576577005</v>
      </c>
      <c r="F304">
        <v>466216.21621621703</v>
      </c>
      <c r="G304">
        <v>51</v>
      </c>
      <c r="H304">
        <v>16</v>
      </c>
      <c r="I304">
        <v>5</v>
      </c>
      <c r="J304">
        <v>3</v>
      </c>
      <c r="K304">
        <v>1</v>
      </c>
      <c r="M304">
        <v>53</v>
      </c>
      <c r="N304">
        <v>18</v>
      </c>
      <c r="O304">
        <v>5220720.7207207214</v>
      </c>
      <c r="P304">
        <v>3507207.207207208</v>
      </c>
      <c r="Q304">
        <v>61</v>
      </c>
      <c r="R304">
        <v>45</v>
      </c>
      <c r="S304">
        <v>12040360.36036036</v>
      </c>
      <c r="T304">
        <v>9677513.5135135148</v>
      </c>
      <c r="U304">
        <v>5128288.2882882878</v>
      </c>
      <c r="V304">
        <v>3741531.53153153</v>
      </c>
      <c r="W304">
        <v>1714</v>
      </c>
      <c r="X304">
        <v>1716</v>
      </c>
    </row>
    <row r="305" spans="1:24">
      <c r="A305" s="7" t="s">
        <v>403</v>
      </c>
      <c r="B305" s="16" t="s">
        <v>121</v>
      </c>
      <c r="C305">
        <v>83491897.361116499</v>
      </c>
      <c r="D305">
        <v>79702468.885936037</v>
      </c>
      <c r="F305">
        <v>57432.432432431997</v>
      </c>
      <c r="G305">
        <v>13</v>
      </c>
      <c r="H305">
        <v>12</v>
      </c>
      <c r="I305">
        <v>1</v>
      </c>
      <c r="J305">
        <v>0</v>
      </c>
      <c r="M305">
        <v>14</v>
      </c>
      <c r="N305">
        <v>15</v>
      </c>
      <c r="O305">
        <v>162162.16216216201</v>
      </c>
      <c r="P305">
        <v>60360.360360359999</v>
      </c>
      <c r="Q305">
        <v>20</v>
      </c>
      <c r="R305">
        <v>1</v>
      </c>
      <c r="S305">
        <v>6566216.2162162159</v>
      </c>
      <c r="T305">
        <v>6018954.9549549548</v>
      </c>
      <c r="U305">
        <v>198198.19819819799</v>
      </c>
      <c r="V305">
        <v>13513.513513514001</v>
      </c>
      <c r="W305">
        <v>1039</v>
      </c>
      <c r="X305">
        <v>1054</v>
      </c>
    </row>
    <row r="306" spans="1:24">
      <c r="A306" s="7" t="s">
        <v>404</v>
      </c>
      <c r="B306" s="16" t="s">
        <v>368</v>
      </c>
      <c r="C306">
        <v>201138258.64695162</v>
      </c>
      <c r="D306">
        <v>176231231.37282607</v>
      </c>
      <c r="E306">
        <v>52837221.621621624</v>
      </c>
      <c r="F306">
        <v>36007329.729729727</v>
      </c>
      <c r="G306">
        <v>59</v>
      </c>
      <c r="H306">
        <v>104</v>
      </c>
      <c r="I306">
        <v>10</v>
      </c>
      <c r="J306">
        <v>11</v>
      </c>
      <c r="K306">
        <v>1</v>
      </c>
      <c r="M306">
        <v>66</v>
      </c>
      <c r="N306">
        <v>169</v>
      </c>
      <c r="O306">
        <v>43347747.747747742</v>
      </c>
      <c r="P306">
        <v>36540990.990990989</v>
      </c>
      <c r="Q306">
        <v>485</v>
      </c>
      <c r="R306">
        <v>147</v>
      </c>
      <c r="S306">
        <v>63192905.40540541</v>
      </c>
      <c r="T306">
        <v>63821779.279279277</v>
      </c>
      <c r="U306">
        <v>37573333.333333328</v>
      </c>
      <c r="V306">
        <v>29421081.081081081</v>
      </c>
      <c r="W306">
        <v>4100</v>
      </c>
      <c r="X306">
        <v>4263</v>
      </c>
    </row>
    <row r="307" spans="1:24">
      <c r="A307" s="7" t="s">
        <v>405</v>
      </c>
      <c r="B307" s="16" t="s">
        <v>140</v>
      </c>
      <c r="C307">
        <v>83288938.874135703</v>
      </c>
      <c r="D307">
        <v>86078064.09753032</v>
      </c>
      <c r="E307">
        <v>16666.666666666999</v>
      </c>
      <c r="F307">
        <v>255630.63063063001</v>
      </c>
      <c r="G307">
        <v>2</v>
      </c>
      <c r="H307">
        <v>18</v>
      </c>
      <c r="I307">
        <v>0</v>
      </c>
      <c r="J307">
        <v>1</v>
      </c>
      <c r="M307">
        <v>3</v>
      </c>
      <c r="N307">
        <v>20</v>
      </c>
      <c r="O307">
        <v>11092342.342342341</v>
      </c>
      <c r="P307">
        <v>12286846.846846849</v>
      </c>
      <c r="Q307">
        <v>15</v>
      </c>
      <c r="R307">
        <v>16</v>
      </c>
      <c r="S307">
        <v>22653693.693693694</v>
      </c>
      <c r="T307">
        <v>23283547.747747749</v>
      </c>
      <c r="U307">
        <v>11732612.612612613</v>
      </c>
      <c r="V307">
        <v>12679549.54954955</v>
      </c>
      <c r="W307">
        <v>1479</v>
      </c>
      <c r="X307">
        <v>1459</v>
      </c>
    </row>
    <row r="308" spans="1:24">
      <c r="A308" s="7" t="s">
        <v>406</v>
      </c>
      <c r="B308" s="16" t="s">
        <v>54</v>
      </c>
      <c r="C308">
        <v>123138108.06555308</v>
      </c>
      <c r="D308">
        <v>119809020.7029184</v>
      </c>
      <c r="E308">
        <v>683918.91891891998</v>
      </c>
      <c r="F308">
        <v>2193693.6936936951</v>
      </c>
      <c r="G308">
        <v>7</v>
      </c>
      <c r="H308">
        <v>76</v>
      </c>
      <c r="I308">
        <v>11</v>
      </c>
      <c r="J308">
        <v>8</v>
      </c>
      <c r="M308">
        <v>30</v>
      </c>
      <c r="N308">
        <v>193</v>
      </c>
      <c r="O308">
        <v>8457837.8378378376</v>
      </c>
      <c r="P308">
        <v>10883243.243243244</v>
      </c>
      <c r="Q308">
        <v>85</v>
      </c>
      <c r="R308">
        <v>38</v>
      </c>
      <c r="S308">
        <v>26451126.126126129</v>
      </c>
      <c r="T308">
        <v>27241837.837837841</v>
      </c>
      <c r="U308">
        <v>8547837.8378378376</v>
      </c>
      <c r="V308">
        <v>11863423.423423423</v>
      </c>
      <c r="W308">
        <v>2137</v>
      </c>
      <c r="X308">
        <v>2186</v>
      </c>
    </row>
    <row r="309" spans="1:24">
      <c r="A309" s="7" t="s">
        <v>407</v>
      </c>
      <c r="B309" s="16" t="s">
        <v>134</v>
      </c>
      <c r="C309">
        <v>50091926.741833717</v>
      </c>
      <c r="D309">
        <v>53685817.141356811</v>
      </c>
      <c r="E309">
        <v>22522.522522522999</v>
      </c>
      <c r="F309">
        <v>27027.027027027001</v>
      </c>
      <c r="G309">
        <v>12</v>
      </c>
      <c r="H309">
        <v>6</v>
      </c>
      <c r="I309">
        <v>2</v>
      </c>
      <c r="J309">
        <v>2</v>
      </c>
      <c r="M309">
        <v>14</v>
      </c>
      <c r="N309">
        <v>6</v>
      </c>
      <c r="O309">
        <v>2103603.6036036038</v>
      </c>
      <c r="P309">
        <v>1594594.5945945941</v>
      </c>
      <c r="Q309">
        <v>1</v>
      </c>
      <c r="S309">
        <v>5995855.8558558552</v>
      </c>
      <c r="T309">
        <v>4915918.9189189188</v>
      </c>
      <c r="U309">
        <v>2064594.5945945941</v>
      </c>
      <c r="V309">
        <v>1379639.6396396391</v>
      </c>
      <c r="W309">
        <v>955</v>
      </c>
      <c r="X309">
        <v>960</v>
      </c>
    </row>
    <row r="310" spans="1:24">
      <c r="A310" s="7" t="s">
        <v>408</v>
      </c>
      <c r="B310" s="16" t="s">
        <v>290</v>
      </c>
      <c r="C310">
        <v>33304242.96638073</v>
      </c>
      <c r="D310">
        <v>29612396.258539353</v>
      </c>
      <c r="E310">
        <v>120720.720720721</v>
      </c>
      <c r="F310">
        <v>361261.261261262</v>
      </c>
      <c r="G310">
        <v>21</v>
      </c>
      <c r="H310">
        <v>10</v>
      </c>
      <c r="I310">
        <v>3</v>
      </c>
      <c r="J310">
        <v>3</v>
      </c>
      <c r="M310">
        <v>25</v>
      </c>
      <c r="N310">
        <v>13</v>
      </c>
      <c r="O310">
        <v>6544144.1441441439</v>
      </c>
      <c r="P310">
        <v>5255855.8558558561</v>
      </c>
      <c r="Q310">
        <v>28</v>
      </c>
      <c r="R310">
        <v>52</v>
      </c>
      <c r="S310">
        <v>6858819.8198198201</v>
      </c>
      <c r="T310">
        <v>5839909.9099099096</v>
      </c>
      <c r="U310">
        <v>2910360.3603603598</v>
      </c>
      <c r="V310">
        <v>3289279.27927928</v>
      </c>
      <c r="W310">
        <v>624</v>
      </c>
      <c r="X310">
        <v>734</v>
      </c>
    </row>
    <row r="311" spans="1:24">
      <c r="A311" s="7" t="s">
        <v>409</v>
      </c>
      <c r="B311" s="16" t="s">
        <v>178</v>
      </c>
      <c r="C311">
        <v>569305844.20454907</v>
      </c>
      <c r="D311">
        <v>536676701.00654405</v>
      </c>
      <c r="E311">
        <v>182464189.1891892</v>
      </c>
      <c r="F311">
        <v>9054054.0540540554</v>
      </c>
      <c r="G311">
        <v>170</v>
      </c>
      <c r="H311">
        <v>125</v>
      </c>
      <c r="I311">
        <v>5</v>
      </c>
      <c r="J311">
        <v>8</v>
      </c>
      <c r="M311">
        <v>196</v>
      </c>
      <c r="N311">
        <v>376</v>
      </c>
      <c r="O311">
        <v>59329819.819819815</v>
      </c>
      <c r="P311">
        <v>61064945.945945941</v>
      </c>
      <c r="Q311">
        <v>26</v>
      </c>
      <c r="R311">
        <v>54</v>
      </c>
      <c r="S311">
        <v>183471160.36036035</v>
      </c>
      <c r="T311">
        <v>184442265.76576576</v>
      </c>
      <c r="U311">
        <v>48561261.261261255</v>
      </c>
      <c r="V311">
        <v>51717657.657657653</v>
      </c>
      <c r="W311">
        <v>9664</v>
      </c>
      <c r="X311">
        <v>9825</v>
      </c>
    </row>
    <row r="312" spans="1:24">
      <c r="A312" s="7" t="s">
        <v>666</v>
      </c>
      <c r="B312" s="16" t="s">
        <v>87</v>
      </c>
      <c r="W312">
        <v>1</v>
      </c>
      <c r="X312">
        <v>2</v>
      </c>
    </row>
    <row r="313" spans="1:24">
      <c r="A313" s="7" t="s">
        <v>410</v>
      </c>
      <c r="B313" s="16" t="s">
        <v>54</v>
      </c>
      <c r="C313">
        <v>982890749.24490595</v>
      </c>
      <c r="D313">
        <v>977862875.31287718</v>
      </c>
      <c r="E313">
        <v>216441678.37837839</v>
      </c>
      <c r="F313">
        <v>119034510.81081082</v>
      </c>
      <c r="G313">
        <v>244</v>
      </c>
      <c r="H313">
        <v>313</v>
      </c>
      <c r="I313">
        <v>52</v>
      </c>
      <c r="J313">
        <v>38</v>
      </c>
      <c r="K313">
        <v>4</v>
      </c>
      <c r="M313">
        <v>318</v>
      </c>
      <c r="N313">
        <v>475</v>
      </c>
      <c r="O313">
        <v>69577297.297297299</v>
      </c>
      <c r="P313">
        <v>71113963.963963971</v>
      </c>
      <c r="Q313">
        <v>646</v>
      </c>
      <c r="R313">
        <v>382</v>
      </c>
      <c r="S313">
        <v>194896151.35135135</v>
      </c>
      <c r="T313">
        <v>201167783.78378376</v>
      </c>
      <c r="U313">
        <v>65044367.567567565</v>
      </c>
      <c r="V313">
        <v>66068108.108108111</v>
      </c>
      <c r="W313">
        <v>19354</v>
      </c>
      <c r="X313">
        <v>18987</v>
      </c>
    </row>
    <row r="314" spans="1:24">
      <c r="A314" s="7" t="s">
        <v>411</v>
      </c>
      <c r="B314" s="16" t="s">
        <v>224</v>
      </c>
      <c r="C314">
        <v>594458094.69489455</v>
      </c>
      <c r="D314">
        <v>497736837.95046735</v>
      </c>
      <c r="E314">
        <v>1323783.783783786</v>
      </c>
      <c r="F314">
        <v>1988288.2882882929</v>
      </c>
      <c r="G314">
        <v>178</v>
      </c>
      <c r="H314">
        <v>188</v>
      </c>
      <c r="I314">
        <v>10</v>
      </c>
      <c r="J314">
        <v>8</v>
      </c>
      <c r="M314">
        <v>204</v>
      </c>
      <c r="N314">
        <v>213</v>
      </c>
      <c r="O314">
        <v>79746126.126126125</v>
      </c>
      <c r="P314">
        <v>62188468.468468472</v>
      </c>
      <c r="Q314">
        <v>134</v>
      </c>
      <c r="R314">
        <v>182</v>
      </c>
      <c r="S314">
        <v>156907804.5045045</v>
      </c>
      <c r="T314">
        <v>142753219.81981984</v>
      </c>
      <c r="U314">
        <v>70365585.585585579</v>
      </c>
      <c r="V314">
        <v>67738691.891891897</v>
      </c>
      <c r="W314">
        <v>15531</v>
      </c>
      <c r="X314">
        <v>13593</v>
      </c>
    </row>
    <row r="315" spans="1:24">
      <c r="A315" s="7" t="s">
        <v>412</v>
      </c>
      <c r="B315" s="16" t="s">
        <v>413</v>
      </c>
      <c r="C315">
        <v>191166190.32607651</v>
      </c>
      <c r="D315">
        <v>196220901.25338557</v>
      </c>
      <c r="E315">
        <v>150450.450450451</v>
      </c>
      <c r="F315">
        <v>585135.13513513806</v>
      </c>
      <c r="G315">
        <v>81</v>
      </c>
      <c r="H315">
        <v>16</v>
      </c>
      <c r="I315">
        <v>1</v>
      </c>
      <c r="J315">
        <v>4</v>
      </c>
      <c r="M315">
        <v>89</v>
      </c>
      <c r="N315">
        <v>20</v>
      </c>
      <c r="O315">
        <v>4997297.297297297</v>
      </c>
      <c r="P315">
        <v>3603603.603603607</v>
      </c>
      <c r="Q315">
        <v>32</v>
      </c>
      <c r="R315">
        <v>39</v>
      </c>
      <c r="S315">
        <v>83413648.648648635</v>
      </c>
      <c r="T315">
        <v>78759342.342342332</v>
      </c>
      <c r="U315">
        <v>4287027.0270270258</v>
      </c>
      <c r="V315">
        <v>3966036.036036036</v>
      </c>
      <c r="W315">
        <v>3871</v>
      </c>
      <c r="X315">
        <v>4024</v>
      </c>
    </row>
    <row r="316" spans="1:24">
      <c r="A316" s="7" t="s">
        <v>414</v>
      </c>
      <c r="B316" s="16" t="s">
        <v>214</v>
      </c>
      <c r="C316">
        <v>1165666394.0864186</v>
      </c>
      <c r="D316">
        <v>1266221228.2346435</v>
      </c>
      <c r="E316">
        <v>574292209.009009</v>
      </c>
      <c r="F316">
        <v>613466849.54954958</v>
      </c>
      <c r="G316">
        <v>528</v>
      </c>
      <c r="H316">
        <v>1045</v>
      </c>
      <c r="I316">
        <v>26</v>
      </c>
      <c r="J316">
        <v>28</v>
      </c>
      <c r="M316">
        <v>606</v>
      </c>
      <c r="N316">
        <v>1316</v>
      </c>
      <c r="O316">
        <v>166966045.04504505</v>
      </c>
      <c r="P316">
        <v>178042657.65765765</v>
      </c>
      <c r="Q316">
        <v>626</v>
      </c>
      <c r="R316">
        <v>514</v>
      </c>
      <c r="S316">
        <v>502496428.82882881</v>
      </c>
      <c r="T316">
        <v>566477772.97297299</v>
      </c>
      <c r="U316">
        <v>154686846.84684685</v>
      </c>
      <c r="V316">
        <v>163805585.58558559</v>
      </c>
      <c r="W316">
        <v>24350</v>
      </c>
      <c r="X316">
        <v>24061</v>
      </c>
    </row>
    <row r="317" spans="1:24">
      <c r="A317" s="7" t="s">
        <v>415</v>
      </c>
      <c r="B317" s="16" t="s">
        <v>413</v>
      </c>
      <c r="C317">
        <v>111055845.68167038</v>
      </c>
      <c r="D317">
        <v>109507461.60303703</v>
      </c>
      <c r="E317">
        <v>327927.92792792799</v>
      </c>
      <c r="F317">
        <v>758108.10810810898</v>
      </c>
      <c r="G317">
        <v>37</v>
      </c>
      <c r="H317">
        <v>30</v>
      </c>
      <c r="I317">
        <v>3</v>
      </c>
      <c r="J317">
        <v>3</v>
      </c>
      <c r="M317">
        <v>40</v>
      </c>
      <c r="N317">
        <v>39</v>
      </c>
      <c r="O317">
        <v>23616747.747747749</v>
      </c>
      <c r="P317">
        <v>18381299.099099096</v>
      </c>
      <c r="Q317">
        <v>57</v>
      </c>
      <c r="R317">
        <v>32</v>
      </c>
      <c r="S317">
        <v>36498243.243243247</v>
      </c>
      <c r="T317">
        <v>40565713.963963971</v>
      </c>
      <c r="U317">
        <v>16063513.513513513</v>
      </c>
      <c r="V317">
        <v>15677747.747747747</v>
      </c>
      <c r="W317">
        <v>2946</v>
      </c>
      <c r="X317">
        <v>2955</v>
      </c>
    </row>
    <row r="318" spans="1:24">
      <c r="A318" s="7" t="s">
        <v>416</v>
      </c>
      <c r="B318" s="16" t="s">
        <v>236</v>
      </c>
      <c r="C318">
        <v>830379040.30021465</v>
      </c>
      <c r="D318">
        <v>790832134.0445658</v>
      </c>
      <c r="E318">
        <v>700450.45045045204</v>
      </c>
      <c r="F318">
        <v>3327927.9279279308</v>
      </c>
      <c r="G318">
        <v>350</v>
      </c>
      <c r="H318">
        <v>158</v>
      </c>
      <c r="I318">
        <v>21</v>
      </c>
      <c r="J318">
        <v>12</v>
      </c>
      <c r="K318">
        <v>4</v>
      </c>
      <c r="M318">
        <v>387</v>
      </c>
      <c r="N318">
        <v>383</v>
      </c>
      <c r="O318">
        <v>125262792.7927928</v>
      </c>
      <c r="P318">
        <v>108294774.77477477</v>
      </c>
      <c r="Q318">
        <v>192</v>
      </c>
      <c r="R318">
        <v>140</v>
      </c>
      <c r="S318">
        <v>194681414.41441441</v>
      </c>
      <c r="T318">
        <v>185011036.03603604</v>
      </c>
      <c r="U318">
        <v>109651081.08108108</v>
      </c>
      <c r="V318">
        <v>102193243.24324325</v>
      </c>
      <c r="W318">
        <v>10928</v>
      </c>
      <c r="X318">
        <v>10724</v>
      </c>
    </row>
    <row r="319" spans="1:24">
      <c r="A319" s="7" t="s">
        <v>417</v>
      </c>
      <c r="B319" s="16" t="s">
        <v>117</v>
      </c>
      <c r="C319">
        <v>796012849.08166373</v>
      </c>
      <c r="D319">
        <v>763532815.16365623</v>
      </c>
      <c r="E319">
        <v>852649063.96396399</v>
      </c>
      <c r="F319">
        <v>646856006.30630636</v>
      </c>
      <c r="G319">
        <v>624</v>
      </c>
      <c r="H319">
        <v>607</v>
      </c>
      <c r="I319">
        <v>60</v>
      </c>
      <c r="J319">
        <v>61</v>
      </c>
      <c r="K319">
        <v>11</v>
      </c>
      <c r="M319">
        <v>828</v>
      </c>
      <c r="N319">
        <v>1025</v>
      </c>
      <c r="O319">
        <v>163906735.13513514</v>
      </c>
      <c r="P319">
        <v>175301951.35135135</v>
      </c>
      <c r="Q319">
        <v>679</v>
      </c>
      <c r="R319">
        <v>394</v>
      </c>
      <c r="S319">
        <v>346832918.91891891</v>
      </c>
      <c r="T319">
        <v>349425155.85585588</v>
      </c>
      <c r="U319">
        <v>161391621.62162161</v>
      </c>
      <c r="V319">
        <v>176443873.87387389</v>
      </c>
      <c r="W319">
        <v>17413</v>
      </c>
      <c r="X319">
        <v>17590</v>
      </c>
    </row>
    <row r="320" spans="1:24">
      <c r="A320" s="7" t="s">
        <v>418</v>
      </c>
      <c r="B320" s="16" t="s">
        <v>147</v>
      </c>
      <c r="C320">
        <v>20982653.77400931</v>
      </c>
      <c r="D320">
        <v>18484987.903870791</v>
      </c>
      <c r="G320">
        <v>8</v>
      </c>
      <c r="H320">
        <v>3</v>
      </c>
      <c r="M320">
        <v>9</v>
      </c>
      <c r="N320">
        <v>3</v>
      </c>
      <c r="S320">
        <v>7411756.7567567565</v>
      </c>
      <c r="T320">
        <v>6396387.3873873884</v>
      </c>
      <c r="W320">
        <v>483</v>
      </c>
      <c r="X320">
        <v>471</v>
      </c>
    </row>
    <row r="321" spans="1:24">
      <c r="A321" s="7" t="s">
        <v>419</v>
      </c>
      <c r="B321" s="16" t="s">
        <v>304</v>
      </c>
      <c r="C321">
        <v>162069143.46019262</v>
      </c>
      <c r="D321">
        <v>167022559.8381058</v>
      </c>
      <c r="E321">
        <v>1144594.5945945969</v>
      </c>
      <c r="F321">
        <v>4490315.3153153146</v>
      </c>
      <c r="G321">
        <v>82</v>
      </c>
      <c r="H321">
        <v>107</v>
      </c>
      <c r="I321">
        <v>17</v>
      </c>
      <c r="J321">
        <v>13</v>
      </c>
      <c r="M321">
        <v>92</v>
      </c>
      <c r="N321">
        <v>140</v>
      </c>
      <c r="O321">
        <v>31712612.612612613</v>
      </c>
      <c r="P321">
        <v>29791891.891891897</v>
      </c>
      <c r="Q321">
        <v>231</v>
      </c>
      <c r="R321">
        <v>181</v>
      </c>
      <c r="S321">
        <v>35151396.396396399</v>
      </c>
      <c r="T321">
        <v>37584281.981981985</v>
      </c>
      <c r="U321">
        <v>35710180.180180177</v>
      </c>
      <c r="V321">
        <v>27599369.369369369</v>
      </c>
      <c r="W321">
        <v>2487</v>
      </c>
      <c r="X321">
        <v>2435</v>
      </c>
    </row>
    <row r="322" spans="1:24">
      <c r="A322" s="7" t="s">
        <v>420</v>
      </c>
      <c r="B322" s="16" t="s">
        <v>304</v>
      </c>
      <c r="C322">
        <v>191907758.46193013</v>
      </c>
      <c r="D322">
        <v>187711199.97777238</v>
      </c>
      <c r="E322">
        <v>1659234.2342342359</v>
      </c>
      <c r="F322">
        <v>7603378.3783783764</v>
      </c>
      <c r="G322">
        <v>186</v>
      </c>
      <c r="H322">
        <v>125</v>
      </c>
      <c r="I322">
        <v>14</v>
      </c>
      <c r="J322">
        <v>10</v>
      </c>
      <c r="K322">
        <v>13</v>
      </c>
      <c r="M322">
        <v>220</v>
      </c>
      <c r="N322">
        <v>921</v>
      </c>
      <c r="O322">
        <v>30820720.720720716</v>
      </c>
      <c r="P322">
        <v>35493693.69369369</v>
      </c>
      <c r="Q322">
        <v>549</v>
      </c>
      <c r="R322">
        <v>311</v>
      </c>
      <c r="S322">
        <v>43614745.945945941</v>
      </c>
      <c r="T322">
        <v>58828556.75675676</v>
      </c>
      <c r="U322">
        <v>36067117.117117122</v>
      </c>
      <c r="V322">
        <v>26969279.27927928</v>
      </c>
      <c r="W322">
        <v>3013</v>
      </c>
      <c r="X322">
        <v>3105</v>
      </c>
    </row>
    <row r="323" spans="1:24">
      <c r="A323" s="7" t="s">
        <v>421</v>
      </c>
      <c r="B323" s="16" t="s">
        <v>121</v>
      </c>
      <c r="C323">
        <v>13924713.266895585</v>
      </c>
      <c r="D323">
        <v>8218725.7180670062</v>
      </c>
      <c r="E323">
        <v>12612.612612613</v>
      </c>
      <c r="F323">
        <v>42342.342342342999</v>
      </c>
      <c r="G323">
        <v>2</v>
      </c>
      <c r="H323">
        <v>4</v>
      </c>
      <c r="I323">
        <v>0</v>
      </c>
      <c r="J323">
        <v>0</v>
      </c>
      <c r="M323">
        <v>3</v>
      </c>
      <c r="N323">
        <v>4</v>
      </c>
      <c r="O323">
        <v>1418018.018018018</v>
      </c>
      <c r="P323">
        <v>42342.342342342999</v>
      </c>
      <c r="Q323">
        <v>26</v>
      </c>
      <c r="S323">
        <v>1587432.432432432</v>
      </c>
      <c r="T323">
        <v>878639.63963963999</v>
      </c>
      <c r="U323">
        <v>1412612.612612613</v>
      </c>
      <c r="V323">
        <v>169369.369369369</v>
      </c>
      <c r="W323">
        <v>355</v>
      </c>
      <c r="X323">
        <v>351</v>
      </c>
    </row>
    <row r="324" spans="1:24">
      <c r="A324" s="7" t="s">
        <v>422</v>
      </c>
      <c r="B324" s="16" t="s">
        <v>60</v>
      </c>
      <c r="C324">
        <v>96247922.81566374</v>
      </c>
      <c r="D324">
        <v>98488680.933302373</v>
      </c>
      <c r="E324">
        <v>321621.62162162201</v>
      </c>
      <c r="F324">
        <v>1126126.1261261271</v>
      </c>
      <c r="G324">
        <v>44</v>
      </c>
      <c r="H324">
        <v>40</v>
      </c>
      <c r="I324">
        <v>5</v>
      </c>
      <c r="J324">
        <v>8</v>
      </c>
      <c r="M324">
        <v>46</v>
      </c>
      <c r="N324">
        <v>50</v>
      </c>
      <c r="O324">
        <v>15503603.603603601</v>
      </c>
      <c r="P324">
        <v>22082882.882882886</v>
      </c>
      <c r="Q324">
        <v>82</v>
      </c>
      <c r="R324">
        <v>38</v>
      </c>
      <c r="S324">
        <v>32805450.45045045</v>
      </c>
      <c r="T324">
        <v>35011810.810810804</v>
      </c>
      <c r="U324">
        <v>17773063.063063063</v>
      </c>
      <c r="V324">
        <v>22849459.459459461</v>
      </c>
      <c r="W324">
        <v>2066</v>
      </c>
      <c r="X324">
        <v>2100</v>
      </c>
    </row>
    <row r="325" spans="1:24">
      <c r="A325" s="7" t="s">
        <v>423</v>
      </c>
      <c r="B325" s="16" t="s">
        <v>181</v>
      </c>
      <c r="C325">
        <v>996693619.23122883</v>
      </c>
      <c r="D325">
        <v>962892124.40845108</v>
      </c>
      <c r="E325">
        <v>2804504.5045045102</v>
      </c>
      <c r="F325">
        <v>11122522.522522528</v>
      </c>
      <c r="G325">
        <v>634</v>
      </c>
      <c r="H325">
        <v>368</v>
      </c>
      <c r="I325">
        <v>66</v>
      </c>
      <c r="J325">
        <v>53</v>
      </c>
      <c r="K325">
        <v>17</v>
      </c>
      <c r="M325">
        <v>746</v>
      </c>
      <c r="N325">
        <v>544</v>
      </c>
      <c r="O325">
        <v>134128738.73873873</v>
      </c>
      <c r="P325">
        <v>160076306.3063063</v>
      </c>
      <c r="Q325">
        <v>1138</v>
      </c>
      <c r="R325">
        <v>1415</v>
      </c>
      <c r="S325">
        <v>275002261.26126122</v>
      </c>
      <c r="T325">
        <v>279479383.78378379</v>
      </c>
      <c r="U325">
        <v>139265765.76576576</v>
      </c>
      <c r="V325">
        <v>155407657.65765765</v>
      </c>
      <c r="W325">
        <v>22103</v>
      </c>
      <c r="X325">
        <v>22340</v>
      </c>
    </row>
    <row r="326" spans="1:24">
      <c r="A326" s="7" t="s">
        <v>424</v>
      </c>
      <c r="B326" s="16" t="s">
        <v>76</v>
      </c>
      <c r="C326">
        <v>42864406.939890474</v>
      </c>
      <c r="D326">
        <v>31533493.305418473</v>
      </c>
      <c r="E326">
        <v>4504.5045045050001</v>
      </c>
      <c r="F326">
        <v>67567.567567567996</v>
      </c>
      <c r="G326">
        <v>8</v>
      </c>
      <c r="H326">
        <v>7</v>
      </c>
      <c r="I326">
        <v>2</v>
      </c>
      <c r="J326">
        <v>2</v>
      </c>
      <c r="M326">
        <v>9</v>
      </c>
      <c r="N326">
        <v>8</v>
      </c>
      <c r="O326">
        <v>3851351.351351351</v>
      </c>
      <c r="P326">
        <v>1986486.4864864859</v>
      </c>
      <c r="Q326">
        <v>9</v>
      </c>
      <c r="R326">
        <v>4</v>
      </c>
      <c r="S326">
        <v>3770126.1261261259</v>
      </c>
      <c r="T326">
        <v>2848486.4864864862</v>
      </c>
      <c r="U326">
        <v>3410900.9009008999</v>
      </c>
      <c r="V326">
        <v>2266576.5765765761</v>
      </c>
      <c r="W326">
        <v>947</v>
      </c>
      <c r="X326">
        <v>931</v>
      </c>
    </row>
    <row r="327" spans="1:24">
      <c r="A327" s="7" t="s">
        <v>425</v>
      </c>
      <c r="B327" s="16" t="s">
        <v>76</v>
      </c>
      <c r="C327">
        <v>116326927.838964</v>
      </c>
      <c r="D327">
        <v>112011975.14502072</v>
      </c>
      <c r="E327">
        <v>147747.747747749</v>
      </c>
      <c r="F327">
        <v>145045.04504504599</v>
      </c>
      <c r="G327">
        <v>36</v>
      </c>
      <c r="H327">
        <v>25</v>
      </c>
      <c r="I327">
        <v>1</v>
      </c>
      <c r="J327">
        <v>2</v>
      </c>
      <c r="M327">
        <v>42</v>
      </c>
      <c r="N327">
        <v>28</v>
      </c>
      <c r="O327">
        <v>12827027.027027028</v>
      </c>
      <c r="P327">
        <v>12410900.9009009</v>
      </c>
      <c r="Q327">
        <v>20</v>
      </c>
      <c r="R327">
        <v>30</v>
      </c>
      <c r="S327">
        <v>26334279.27927928</v>
      </c>
      <c r="T327">
        <v>24838441.441441439</v>
      </c>
      <c r="U327">
        <v>9469549.5495495517</v>
      </c>
      <c r="V327">
        <v>9696036.0360360369</v>
      </c>
      <c r="W327">
        <v>1477</v>
      </c>
      <c r="X327">
        <v>1529</v>
      </c>
    </row>
    <row r="328" spans="1:24">
      <c r="A328" s="7" t="s">
        <v>426</v>
      </c>
      <c r="B328" s="16" t="s">
        <v>330</v>
      </c>
      <c r="C328">
        <v>549148880.62338698</v>
      </c>
      <c r="D328">
        <v>586451322.38041532</v>
      </c>
      <c r="E328">
        <v>106607612.61261261</v>
      </c>
      <c r="F328">
        <v>415299774.77477479</v>
      </c>
      <c r="G328">
        <v>191</v>
      </c>
      <c r="H328">
        <v>192</v>
      </c>
      <c r="I328">
        <v>20</v>
      </c>
      <c r="J328">
        <v>23</v>
      </c>
      <c r="K328">
        <v>1</v>
      </c>
      <c r="M328">
        <v>225</v>
      </c>
      <c r="N328">
        <v>236</v>
      </c>
      <c r="O328">
        <v>22940810.810810808</v>
      </c>
      <c r="P328">
        <v>31769729.729729727</v>
      </c>
      <c r="Q328">
        <v>78</v>
      </c>
      <c r="R328">
        <v>151</v>
      </c>
      <c r="S328">
        <v>94419367.567567572</v>
      </c>
      <c r="T328">
        <v>154713407.65765765</v>
      </c>
      <c r="U328">
        <v>19418378.378378376</v>
      </c>
      <c r="V328">
        <v>28853693.693693694</v>
      </c>
      <c r="W328">
        <v>11572</v>
      </c>
      <c r="X328">
        <v>12034</v>
      </c>
    </row>
    <row r="329" spans="1:24">
      <c r="A329" s="7" t="s">
        <v>427</v>
      </c>
      <c r="B329" s="16" t="s">
        <v>241</v>
      </c>
      <c r="C329">
        <v>147988868.41085526</v>
      </c>
      <c r="D329">
        <v>149440352.53507975</v>
      </c>
      <c r="E329">
        <v>230491481.98198199</v>
      </c>
      <c r="F329">
        <v>204515885.58558559</v>
      </c>
      <c r="G329">
        <v>66</v>
      </c>
      <c r="H329">
        <v>52</v>
      </c>
      <c r="I329">
        <v>3</v>
      </c>
      <c r="J329">
        <v>4</v>
      </c>
      <c r="K329">
        <v>1</v>
      </c>
      <c r="M329">
        <v>79</v>
      </c>
      <c r="N329">
        <v>61</v>
      </c>
      <c r="O329">
        <v>56966358.558558561</v>
      </c>
      <c r="P329">
        <v>30462612.612612609</v>
      </c>
      <c r="Q329">
        <v>5</v>
      </c>
      <c r="R329">
        <v>61</v>
      </c>
      <c r="S329">
        <v>57356855.855855852</v>
      </c>
      <c r="T329">
        <v>57216342.342342347</v>
      </c>
      <c r="U329">
        <v>27685315.315315314</v>
      </c>
      <c r="V329">
        <v>18456486.486486483</v>
      </c>
      <c r="W329">
        <v>5259</v>
      </c>
      <c r="X329">
        <v>5208</v>
      </c>
    </row>
    <row r="330" spans="1:24">
      <c r="A330" s="7" t="s">
        <v>428</v>
      </c>
      <c r="B330" s="16" t="s">
        <v>283</v>
      </c>
      <c r="C330">
        <v>61500909.942222975</v>
      </c>
      <c r="D330">
        <v>63168395.883418754</v>
      </c>
      <c r="E330">
        <v>52477.477477478002</v>
      </c>
      <c r="F330">
        <v>623423.42342342401</v>
      </c>
      <c r="G330">
        <v>14</v>
      </c>
      <c r="H330">
        <v>9</v>
      </c>
      <c r="I330">
        <v>4</v>
      </c>
      <c r="J330">
        <v>5</v>
      </c>
      <c r="M330">
        <v>16</v>
      </c>
      <c r="N330">
        <v>48</v>
      </c>
      <c r="O330">
        <v>4206306.3063063072</v>
      </c>
      <c r="P330">
        <v>26419459.459459461</v>
      </c>
      <c r="Q330">
        <v>12</v>
      </c>
      <c r="R330">
        <v>48</v>
      </c>
      <c r="S330">
        <v>10942027.027027028</v>
      </c>
      <c r="T330">
        <v>11853180.180180181</v>
      </c>
      <c r="U330">
        <v>3386846.8468468459</v>
      </c>
      <c r="V330">
        <v>27254864.864864863</v>
      </c>
      <c r="W330">
        <v>1255</v>
      </c>
      <c r="X330">
        <v>1233</v>
      </c>
    </row>
    <row r="331" spans="1:24">
      <c r="A331" s="7" t="s">
        <v>429</v>
      </c>
      <c r="B331" s="16" t="s">
        <v>283</v>
      </c>
      <c r="C331">
        <v>20233453.94689896</v>
      </c>
      <c r="D331">
        <v>19687115.439713322</v>
      </c>
      <c r="E331">
        <v>10810.810810810999</v>
      </c>
      <c r="F331">
        <v>207207.20720720699</v>
      </c>
      <c r="G331">
        <v>1</v>
      </c>
      <c r="I331">
        <v>1</v>
      </c>
      <c r="M331">
        <v>1</v>
      </c>
      <c r="O331">
        <v>371171.17117117101</v>
      </c>
      <c r="P331">
        <v>3090090.090090089</v>
      </c>
      <c r="S331">
        <v>1994549.5495495501</v>
      </c>
      <c r="T331">
        <v>1428639.63963964</v>
      </c>
      <c r="U331">
        <v>368468.468468468</v>
      </c>
      <c r="V331">
        <v>2885855.8558558552</v>
      </c>
      <c r="W331">
        <v>472</v>
      </c>
      <c r="X331">
        <v>493</v>
      </c>
    </row>
    <row r="332" spans="1:24">
      <c r="A332" s="7" t="s">
        <v>430</v>
      </c>
      <c r="B332" s="16" t="s">
        <v>283</v>
      </c>
      <c r="C332">
        <v>36805402.78729526</v>
      </c>
      <c r="D332">
        <v>42326921.942650586</v>
      </c>
      <c r="E332">
        <v>9009.0090090089998</v>
      </c>
      <c r="F332">
        <v>265765.76576576597</v>
      </c>
      <c r="G332">
        <v>5</v>
      </c>
      <c r="H332">
        <v>5</v>
      </c>
      <c r="I332">
        <v>0</v>
      </c>
      <c r="J332">
        <v>2</v>
      </c>
      <c r="M332">
        <v>5</v>
      </c>
      <c r="N332">
        <v>5</v>
      </c>
      <c r="O332">
        <v>9009.0090090089998</v>
      </c>
      <c r="P332">
        <v>355855.85585585597</v>
      </c>
      <c r="Q332">
        <v>2</v>
      </c>
      <c r="R332">
        <v>4</v>
      </c>
      <c r="S332">
        <v>2998333.333333333</v>
      </c>
      <c r="T332">
        <v>3585720.72072072</v>
      </c>
      <c r="V332">
        <v>173423.423423423</v>
      </c>
      <c r="W332">
        <v>814</v>
      </c>
      <c r="X332">
        <v>825</v>
      </c>
    </row>
    <row r="333" spans="1:24">
      <c r="A333" s="7" t="s">
        <v>431</v>
      </c>
      <c r="B333" s="16" t="s">
        <v>78</v>
      </c>
      <c r="C333">
        <v>249616013.96526092</v>
      </c>
      <c r="D333">
        <v>252379774.79087853</v>
      </c>
      <c r="E333">
        <v>1899099.099099101</v>
      </c>
      <c r="F333">
        <v>3507207.2072072122</v>
      </c>
      <c r="G333">
        <v>53</v>
      </c>
      <c r="H333">
        <v>223</v>
      </c>
      <c r="I333">
        <v>3</v>
      </c>
      <c r="J333">
        <v>15</v>
      </c>
      <c r="M333">
        <v>61</v>
      </c>
      <c r="N333">
        <v>338</v>
      </c>
      <c r="O333">
        <v>22092792.792792793</v>
      </c>
      <c r="P333">
        <v>24115315.315315317</v>
      </c>
      <c r="Q333">
        <v>96</v>
      </c>
      <c r="R333">
        <v>406</v>
      </c>
      <c r="S333">
        <v>106539531.53153154</v>
      </c>
      <c r="T333">
        <v>112210351.35135137</v>
      </c>
      <c r="U333">
        <v>21857477.477477476</v>
      </c>
      <c r="V333">
        <v>25064954.954954952</v>
      </c>
      <c r="W333">
        <v>6344</v>
      </c>
      <c r="X333">
        <v>6670</v>
      </c>
    </row>
    <row r="334" spans="1:24">
      <c r="A334" s="7" t="s">
        <v>432</v>
      </c>
      <c r="B334" s="16" t="s">
        <v>105</v>
      </c>
      <c r="C334">
        <v>228081668.17444539</v>
      </c>
      <c r="D334">
        <v>227379694.63826415</v>
      </c>
      <c r="E334">
        <v>122522.522522523</v>
      </c>
      <c r="F334">
        <v>1026126.126126126</v>
      </c>
      <c r="G334">
        <v>62</v>
      </c>
      <c r="H334">
        <v>22</v>
      </c>
      <c r="I334">
        <v>4</v>
      </c>
      <c r="J334">
        <v>2</v>
      </c>
      <c r="M334">
        <v>92</v>
      </c>
      <c r="N334">
        <v>33</v>
      </c>
      <c r="O334">
        <v>27341081.081081081</v>
      </c>
      <c r="P334">
        <v>26537072.072072074</v>
      </c>
      <c r="Q334">
        <v>84</v>
      </c>
      <c r="R334">
        <v>96</v>
      </c>
      <c r="S334">
        <v>53432194.59459459</v>
      </c>
      <c r="T334">
        <v>54233306.306306303</v>
      </c>
      <c r="U334">
        <v>26831801.801801801</v>
      </c>
      <c r="V334">
        <v>27788873.873873871</v>
      </c>
      <c r="W334">
        <v>3857</v>
      </c>
      <c r="X334">
        <v>3757</v>
      </c>
    </row>
    <row r="335" spans="1:24">
      <c r="A335" s="7" t="s">
        <v>433</v>
      </c>
      <c r="B335" s="16" t="s">
        <v>72</v>
      </c>
      <c r="C335">
        <v>1247009361.9961574</v>
      </c>
      <c r="D335">
        <v>1206225835.0611322</v>
      </c>
      <c r="E335">
        <v>3079729.7297297418</v>
      </c>
      <c r="F335">
        <v>7429279.2792792944</v>
      </c>
      <c r="G335">
        <v>336</v>
      </c>
      <c r="H335">
        <v>328</v>
      </c>
      <c r="I335">
        <v>71</v>
      </c>
      <c r="J335">
        <v>67</v>
      </c>
      <c r="K335">
        <v>1</v>
      </c>
      <c r="M335">
        <v>447</v>
      </c>
      <c r="N335">
        <v>486</v>
      </c>
      <c r="O335">
        <v>184111261.26126125</v>
      </c>
      <c r="P335">
        <v>173568918.91891891</v>
      </c>
      <c r="Q335">
        <v>295</v>
      </c>
      <c r="R335">
        <v>730</v>
      </c>
      <c r="S335">
        <v>261001562.16216218</v>
      </c>
      <c r="T335">
        <v>253368889.63963965</v>
      </c>
      <c r="U335">
        <v>137511618.01801801</v>
      </c>
      <c r="V335">
        <v>135308108.1081081</v>
      </c>
      <c r="W335">
        <v>18240</v>
      </c>
      <c r="X335">
        <v>18188</v>
      </c>
    </row>
    <row r="336" spans="1:24">
      <c r="A336" s="7" t="s">
        <v>434</v>
      </c>
      <c r="B336" s="16" t="s">
        <v>72</v>
      </c>
      <c r="C336">
        <v>863829454.39437544</v>
      </c>
      <c r="D336">
        <v>825147408.5095464</v>
      </c>
      <c r="E336">
        <v>3172072.0720720752</v>
      </c>
      <c r="F336">
        <v>4764189.1891891966</v>
      </c>
      <c r="G336">
        <v>173</v>
      </c>
      <c r="H336">
        <v>183</v>
      </c>
      <c r="I336">
        <v>18</v>
      </c>
      <c r="J336">
        <v>25</v>
      </c>
      <c r="K336">
        <v>3</v>
      </c>
      <c r="M336">
        <v>187</v>
      </c>
      <c r="N336">
        <v>228</v>
      </c>
      <c r="O336">
        <v>106933243.24324325</v>
      </c>
      <c r="P336">
        <v>91454954.954954967</v>
      </c>
      <c r="Q336">
        <v>216</v>
      </c>
      <c r="R336">
        <v>111</v>
      </c>
      <c r="S336">
        <v>153552346.84684685</v>
      </c>
      <c r="T336">
        <v>155614864.86486486</v>
      </c>
      <c r="U336">
        <v>73711891.891891882</v>
      </c>
      <c r="V336">
        <v>68735315.315315306</v>
      </c>
      <c r="W336">
        <v>13517</v>
      </c>
      <c r="X336">
        <v>13682</v>
      </c>
    </row>
    <row r="337" spans="1:24">
      <c r="A337" s="7" t="s">
        <v>435</v>
      </c>
      <c r="B337" s="16" t="s">
        <v>94</v>
      </c>
      <c r="C337">
        <v>65222946.405440837</v>
      </c>
      <c r="D337">
        <v>58029392.962755367</v>
      </c>
      <c r="E337">
        <v>900.900900901</v>
      </c>
      <c r="F337">
        <v>13513.513513514001</v>
      </c>
      <c r="G337">
        <v>12</v>
      </c>
      <c r="H337">
        <v>3</v>
      </c>
      <c r="I337">
        <v>0</v>
      </c>
      <c r="J337">
        <v>0</v>
      </c>
      <c r="M337">
        <v>13</v>
      </c>
      <c r="N337">
        <v>3</v>
      </c>
      <c r="O337">
        <v>991891.89189189195</v>
      </c>
      <c r="P337">
        <v>554054.05405405397</v>
      </c>
      <c r="S337">
        <v>15096711.711711712</v>
      </c>
      <c r="T337">
        <v>14321234.234234234</v>
      </c>
      <c r="U337">
        <v>386576.57657657599</v>
      </c>
      <c r="V337">
        <v>427567.56756756798</v>
      </c>
      <c r="W337">
        <v>907</v>
      </c>
      <c r="X337">
        <v>898</v>
      </c>
    </row>
    <row r="338" spans="1:24">
      <c r="A338" s="7" t="s">
        <v>436</v>
      </c>
      <c r="B338" s="16" t="s">
        <v>89</v>
      </c>
      <c r="C338">
        <v>295145557.16187555</v>
      </c>
      <c r="D338">
        <v>304353098.13815808</v>
      </c>
      <c r="E338">
        <v>3334189.1891891938</v>
      </c>
      <c r="F338">
        <v>3889189.1891891961</v>
      </c>
      <c r="G338">
        <v>65</v>
      </c>
      <c r="H338">
        <v>85</v>
      </c>
      <c r="I338">
        <v>16</v>
      </c>
      <c r="J338">
        <v>24</v>
      </c>
      <c r="K338">
        <v>1</v>
      </c>
      <c r="M338">
        <v>67</v>
      </c>
      <c r="N338">
        <v>94</v>
      </c>
      <c r="O338">
        <v>43299009.009009011</v>
      </c>
      <c r="P338">
        <v>41116936.936936937</v>
      </c>
      <c r="Q338">
        <v>220</v>
      </c>
      <c r="R338">
        <v>210</v>
      </c>
      <c r="S338">
        <v>128519684.68468469</v>
      </c>
      <c r="T338">
        <v>139245445.94594595</v>
      </c>
      <c r="U338">
        <v>40955315.315315314</v>
      </c>
      <c r="V338">
        <v>39941081.081081077</v>
      </c>
      <c r="W338">
        <v>5449</v>
      </c>
      <c r="X338">
        <v>5389</v>
      </c>
    </row>
    <row r="339" spans="1:24">
      <c r="A339" s="7" t="s">
        <v>437</v>
      </c>
      <c r="B339" s="16" t="s">
        <v>70</v>
      </c>
      <c r="C339">
        <v>9993432.6261688769</v>
      </c>
      <c r="D339">
        <v>9551169.9629167076</v>
      </c>
      <c r="G339">
        <v>18</v>
      </c>
      <c r="H339">
        <v>7</v>
      </c>
      <c r="M339">
        <v>18</v>
      </c>
      <c r="N339">
        <v>9</v>
      </c>
      <c r="S339">
        <v>5929414.4144144142</v>
      </c>
      <c r="T339">
        <v>6476837.8378378367</v>
      </c>
      <c r="W339">
        <v>1090</v>
      </c>
      <c r="X339">
        <v>2053</v>
      </c>
    </row>
    <row r="340" spans="1:24">
      <c r="A340" s="7" t="s">
        <v>438</v>
      </c>
      <c r="B340" s="16" t="s">
        <v>195</v>
      </c>
      <c r="C340">
        <v>1468829774.8041277</v>
      </c>
      <c r="D340">
        <v>1441088965.5554557</v>
      </c>
      <c r="E340">
        <v>240130601.8018018</v>
      </c>
      <c r="F340">
        <v>249824590.09009007</v>
      </c>
      <c r="G340">
        <v>434</v>
      </c>
      <c r="H340">
        <v>386</v>
      </c>
      <c r="I340">
        <v>27</v>
      </c>
      <c r="J340">
        <v>24</v>
      </c>
      <c r="M340">
        <v>489</v>
      </c>
      <c r="N340">
        <v>467</v>
      </c>
      <c r="O340">
        <v>134173873.87387387</v>
      </c>
      <c r="P340">
        <v>135855045.04504505</v>
      </c>
      <c r="Q340">
        <v>315</v>
      </c>
      <c r="R340">
        <v>366</v>
      </c>
      <c r="S340">
        <v>231438430.63063061</v>
      </c>
      <c r="T340">
        <v>248020981.98198199</v>
      </c>
      <c r="U340">
        <v>118866126.12612613</v>
      </c>
      <c r="V340">
        <v>116232612.61261261</v>
      </c>
      <c r="W340">
        <v>20557</v>
      </c>
      <c r="X340">
        <v>20656</v>
      </c>
    </row>
    <row r="341" spans="1:24">
      <c r="A341" s="7" t="s">
        <v>439</v>
      </c>
      <c r="B341" s="16" t="s">
        <v>178</v>
      </c>
      <c r="C341">
        <v>716279664.62052321</v>
      </c>
      <c r="D341">
        <v>721607161.06349158</v>
      </c>
      <c r="E341">
        <v>840810.81081081205</v>
      </c>
      <c r="F341">
        <v>4403603.6036036061</v>
      </c>
      <c r="G341">
        <v>193</v>
      </c>
      <c r="H341">
        <v>188</v>
      </c>
      <c r="I341">
        <v>12</v>
      </c>
      <c r="J341">
        <v>46</v>
      </c>
      <c r="K341">
        <v>1</v>
      </c>
      <c r="M341">
        <v>214</v>
      </c>
      <c r="N341">
        <v>258</v>
      </c>
      <c r="O341">
        <v>126492033.33333334</v>
      </c>
      <c r="P341">
        <v>116098323.42342342</v>
      </c>
      <c r="Q341">
        <v>352</v>
      </c>
      <c r="R341">
        <v>250</v>
      </c>
      <c r="S341">
        <v>280724945.94594598</v>
      </c>
      <c r="T341">
        <v>291485986.48648643</v>
      </c>
      <c r="U341">
        <v>114696169.36936937</v>
      </c>
      <c r="V341">
        <v>110381576.57657658</v>
      </c>
      <c r="W341">
        <v>14226</v>
      </c>
      <c r="X341">
        <v>14690</v>
      </c>
    </row>
    <row r="342" spans="1:24">
      <c r="A342" s="7" t="s">
        <v>440</v>
      </c>
      <c r="B342" s="16" t="s">
        <v>78</v>
      </c>
      <c r="C342">
        <v>304034724.77702039</v>
      </c>
      <c r="D342">
        <v>307321512.78817183</v>
      </c>
      <c r="E342">
        <v>2739369.369369369</v>
      </c>
      <c r="F342">
        <v>3762162.1621621628</v>
      </c>
      <c r="G342">
        <v>65</v>
      </c>
      <c r="H342">
        <v>54</v>
      </c>
      <c r="I342">
        <v>7</v>
      </c>
      <c r="J342">
        <v>11</v>
      </c>
      <c r="K342">
        <v>1</v>
      </c>
      <c r="M342">
        <v>75</v>
      </c>
      <c r="N342">
        <v>142</v>
      </c>
      <c r="O342">
        <v>25566396.396396391</v>
      </c>
      <c r="P342">
        <v>29780180.180180181</v>
      </c>
      <c r="Q342">
        <v>104</v>
      </c>
      <c r="R342">
        <v>138</v>
      </c>
      <c r="S342">
        <v>61205153.153153151</v>
      </c>
      <c r="T342">
        <v>62559135.135135137</v>
      </c>
      <c r="U342">
        <v>29078648.648648649</v>
      </c>
      <c r="V342">
        <v>30105135.135135137</v>
      </c>
      <c r="W342">
        <v>4822</v>
      </c>
      <c r="X342">
        <v>4911</v>
      </c>
    </row>
    <row r="343" spans="1:24">
      <c r="A343" s="7" t="s">
        <v>441</v>
      </c>
      <c r="B343" s="16" t="s">
        <v>78</v>
      </c>
      <c r="C343">
        <v>139732700.20472914</v>
      </c>
      <c r="D343">
        <v>130451277.21660444</v>
      </c>
      <c r="E343">
        <v>345945.94594594801</v>
      </c>
      <c r="F343">
        <v>2242342.3423423441</v>
      </c>
      <c r="G343">
        <v>35</v>
      </c>
      <c r="H343">
        <v>37</v>
      </c>
      <c r="I343">
        <v>4</v>
      </c>
      <c r="J343">
        <v>12</v>
      </c>
      <c r="M343">
        <v>36</v>
      </c>
      <c r="N343">
        <v>45</v>
      </c>
      <c r="O343">
        <v>15608018.018018018</v>
      </c>
      <c r="P343">
        <v>27028558.558558557</v>
      </c>
      <c r="Q343">
        <v>64</v>
      </c>
      <c r="R343">
        <v>65</v>
      </c>
      <c r="S343">
        <v>28625072.072072074</v>
      </c>
      <c r="T343">
        <v>28437927.927927926</v>
      </c>
      <c r="U343">
        <v>20605585.585585587</v>
      </c>
      <c r="V343">
        <v>25435675.675675675</v>
      </c>
      <c r="W343">
        <v>2361</v>
      </c>
      <c r="X343">
        <v>2357</v>
      </c>
    </row>
    <row r="344" spans="1:24">
      <c r="A344" s="7" t="s">
        <v>442</v>
      </c>
      <c r="B344" s="16" t="s">
        <v>123</v>
      </c>
      <c r="C344">
        <v>2140438.0526457438</v>
      </c>
      <c r="D344">
        <v>1864322.4710185451</v>
      </c>
      <c r="G344">
        <v>1</v>
      </c>
      <c r="M344">
        <v>1</v>
      </c>
      <c r="S344">
        <v>1049459.4594594589</v>
      </c>
      <c r="T344">
        <v>721531.53153153195</v>
      </c>
      <c r="W344">
        <v>397</v>
      </c>
      <c r="X344">
        <v>1</v>
      </c>
    </row>
    <row r="345" spans="1:24">
      <c r="A345" s="7" t="s">
        <v>443</v>
      </c>
      <c r="B345" s="16" t="s">
        <v>140</v>
      </c>
      <c r="C345">
        <v>303697261.96094686</v>
      </c>
      <c r="D345">
        <v>313496740.72734195</v>
      </c>
      <c r="E345">
        <v>1929504.5045045051</v>
      </c>
      <c r="F345">
        <v>3229279.27927928</v>
      </c>
      <c r="G345">
        <v>23</v>
      </c>
      <c r="H345">
        <v>50</v>
      </c>
      <c r="I345">
        <v>5</v>
      </c>
      <c r="J345">
        <v>8</v>
      </c>
      <c r="K345">
        <v>1</v>
      </c>
      <c r="M345">
        <v>31</v>
      </c>
      <c r="N345">
        <v>101</v>
      </c>
      <c r="O345">
        <v>34194144.144144148</v>
      </c>
      <c r="P345">
        <v>35798558.558558561</v>
      </c>
      <c r="Q345">
        <v>218</v>
      </c>
      <c r="R345">
        <v>158</v>
      </c>
      <c r="S345">
        <v>77532297.297297299</v>
      </c>
      <c r="T345">
        <v>85418261.261261269</v>
      </c>
      <c r="U345">
        <v>32492972.97297297</v>
      </c>
      <c r="V345">
        <v>30809369.369369373</v>
      </c>
      <c r="W345">
        <v>5717</v>
      </c>
      <c r="X345">
        <v>5756</v>
      </c>
    </row>
    <row r="346" spans="1:24">
      <c r="A346" s="7" t="s">
        <v>444</v>
      </c>
      <c r="B346" s="16" t="s">
        <v>76</v>
      </c>
      <c r="C346">
        <v>34269375.431193575</v>
      </c>
      <c r="D346">
        <v>35190808.881400667</v>
      </c>
      <c r="E346">
        <v>175675.675675676</v>
      </c>
      <c r="F346">
        <v>281081.08108108101</v>
      </c>
      <c r="G346">
        <v>10</v>
      </c>
      <c r="H346">
        <v>6</v>
      </c>
      <c r="I346">
        <v>1</v>
      </c>
      <c r="J346">
        <v>2</v>
      </c>
      <c r="M346">
        <v>11</v>
      </c>
      <c r="N346">
        <v>7</v>
      </c>
      <c r="O346">
        <v>9175675.6756756753</v>
      </c>
      <c r="P346">
        <v>5285585.5855855858</v>
      </c>
      <c r="Q346">
        <v>12</v>
      </c>
      <c r="R346">
        <v>72</v>
      </c>
      <c r="S346">
        <v>7496846.8468468469</v>
      </c>
      <c r="T346">
        <v>7622900.9009009013</v>
      </c>
      <c r="U346">
        <v>6572612.6126126116</v>
      </c>
      <c r="V346">
        <v>5076306.3063063063</v>
      </c>
      <c r="W346">
        <v>643</v>
      </c>
      <c r="X346">
        <v>2168</v>
      </c>
    </row>
    <row r="347" spans="1:24">
      <c r="A347" s="7" t="s">
        <v>445</v>
      </c>
      <c r="B347" s="16" t="s">
        <v>89</v>
      </c>
      <c r="C347">
        <v>953077518.45286524</v>
      </c>
      <c r="D347">
        <v>965802839.31626046</v>
      </c>
      <c r="E347">
        <v>421667995.4954955</v>
      </c>
      <c r="F347">
        <v>415374729.72972971</v>
      </c>
      <c r="G347">
        <v>716</v>
      </c>
      <c r="H347">
        <v>571</v>
      </c>
      <c r="I347">
        <v>76</v>
      </c>
      <c r="J347">
        <v>87</v>
      </c>
      <c r="K347">
        <v>6</v>
      </c>
      <c r="M347">
        <v>846</v>
      </c>
      <c r="N347">
        <v>1758</v>
      </c>
      <c r="O347">
        <v>104561801.80180179</v>
      </c>
      <c r="P347">
        <v>307104054.05405408</v>
      </c>
      <c r="Q347">
        <v>654</v>
      </c>
      <c r="R347">
        <v>1106</v>
      </c>
      <c r="S347">
        <v>299540153.15315318</v>
      </c>
      <c r="T347">
        <v>321488556.75675672</v>
      </c>
      <c r="U347">
        <v>107499279.27927928</v>
      </c>
      <c r="V347">
        <v>196250270.27027026</v>
      </c>
      <c r="W347">
        <v>16379</v>
      </c>
      <c r="X347">
        <v>16738</v>
      </c>
    </row>
    <row r="348" spans="1:24">
      <c r="A348" s="7" t="s">
        <v>446</v>
      </c>
      <c r="B348" s="16" t="s">
        <v>48</v>
      </c>
      <c r="C348">
        <v>100325196.91603537</v>
      </c>
      <c r="D348">
        <v>95921816.193478331</v>
      </c>
      <c r="E348">
        <v>216202731.53153151</v>
      </c>
      <c r="F348">
        <v>189502801.8018018</v>
      </c>
      <c r="G348">
        <v>11</v>
      </c>
      <c r="H348">
        <v>10</v>
      </c>
      <c r="I348">
        <v>2</v>
      </c>
      <c r="J348">
        <v>2</v>
      </c>
      <c r="M348">
        <v>12</v>
      </c>
      <c r="N348">
        <v>19</v>
      </c>
      <c r="O348">
        <v>21873873.873873871</v>
      </c>
      <c r="P348">
        <v>37700952.252252251</v>
      </c>
      <c r="R348">
        <v>16</v>
      </c>
      <c r="S348">
        <v>34794684.684684686</v>
      </c>
      <c r="T348">
        <v>32828810.810810812</v>
      </c>
      <c r="U348">
        <v>11766936.936936935</v>
      </c>
      <c r="V348">
        <v>22205855.855855856</v>
      </c>
      <c r="W348">
        <v>1093</v>
      </c>
      <c r="X348">
        <v>1110</v>
      </c>
    </row>
    <row r="349" spans="1:24">
      <c r="A349" s="7" t="s">
        <v>447</v>
      </c>
      <c r="B349" s="16" t="s">
        <v>448</v>
      </c>
      <c r="C349">
        <v>193056232.70986456</v>
      </c>
      <c r="D349">
        <v>192476918.45456731</v>
      </c>
      <c r="E349">
        <v>128486711.7117117</v>
      </c>
      <c r="F349">
        <v>323510810.8108108</v>
      </c>
      <c r="G349">
        <v>628</v>
      </c>
      <c r="H349">
        <v>99</v>
      </c>
      <c r="I349">
        <v>9</v>
      </c>
      <c r="J349">
        <v>10</v>
      </c>
      <c r="M349">
        <v>645</v>
      </c>
      <c r="N349">
        <v>203</v>
      </c>
      <c r="O349">
        <v>85749099.0990991</v>
      </c>
      <c r="P349">
        <v>17680225.225225225</v>
      </c>
      <c r="Q349">
        <v>483</v>
      </c>
      <c r="R349">
        <v>19</v>
      </c>
      <c r="S349">
        <v>76589909.909909904</v>
      </c>
      <c r="T349">
        <v>77587432.432432428</v>
      </c>
      <c r="U349">
        <v>81479639.639639646</v>
      </c>
      <c r="V349">
        <v>16598918.918918921</v>
      </c>
      <c r="W349">
        <v>5720</v>
      </c>
      <c r="X349">
        <v>5968</v>
      </c>
    </row>
    <row r="350" spans="1:24">
      <c r="A350" s="7" t="s">
        <v>449</v>
      </c>
      <c r="B350" s="16" t="s">
        <v>76</v>
      </c>
      <c r="C350">
        <v>49625604.009673424</v>
      </c>
      <c r="D350">
        <v>46097034.010074995</v>
      </c>
      <c r="E350">
        <v>161261.26126126299</v>
      </c>
      <c r="F350">
        <v>600000.00000000198</v>
      </c>
      <c r="G350">
        <v>18</v>
      </c>
      <c r="H350">
        <v>28</v>
      </c>
      <c r="I350">
        <v>2</v>
      </c>
      <c r="J350">
        <v>6</v>
      </c>
      <c r="M350">
        <v>20</v>
      </c>
      <c r="N350">
        <v>29</v>
      </c>
      <c r="O350">
        <v>12173873.873873875</v>
      </c>
      <c r="P350">
        <v>12904774.774774771</v>
      </c>
      <c r="Q350">
        <v>26</v>
      </c>
      <c r="R350">
        <v>16</v>
      </c>
      <c r="S350">
        <v>17903153.153153151</v>
      </c>
      <c r="T350">
        <v>16941034.234234232</v>
      </c>
      <c r="U350">
        <v>9548468.4684684686</v>
      </c>
      <c r="V350">
        <v>10076306.306306308</v>
      </c>
      <c r="W350">
        <v>1805</v>
      </c>
      <c r="X350">
        <v>1903</v>
      </c>
    </row>
    <row r="351" spans="1:24">
      <c r="A351" s="7" t="s">
        <v>450</v>
      </c>
      <c r="B351" s="16" t="s">
        <v>83</v>
      </c>
      <c r="C351">
        <v>1718123395.0711305</v>
      </c>
      <c r="D351">
        <v>1715474724.0099802</v>
      </c>
      <c r="E351">
        <v>641652031.53153157</v>
      </c>
      <c r="F351">
        <v>570524773.87387383</v>
      </c>
      <c r="G351">
        <v>413</v>
      </c>
      <c r="H351">
        <v>641</v>
      </c>
      <c r="I351">
        <v>38</v>
      </c>
      <c r="J351">
        <v>43</v>
      </c>
      <c r="K351">
        <v>8</v>
      </c>
      <c r="M351">
        <v>590</v>
      </c>
      <c r="N351">
        <v>798</v>
      </c>
      <c r="O351">
        <v>193079459.45945945</v>
      </c>
      <c r="P351">
        <v>206794279.27927929</v>
      </c>
      <c r="Q351">
        <v>340</v>
      </c>
      <c r="R351">
        <v>737</v>
      </c>
      <c r="S351">
        <v>372320639.63963962</v>
      </c>
      <c r="T351">
        <v>370124380.63063067</v>
      </c>
      <c r="U351">
        <v>180070450.45045045</v>
      </c>
      <c r="V351">
        <v>197367072.07207206</v>
      </c>
      <c r="W351">
        <v>31590</v>
      </c>
      <c r="X351">
        <v>31529</v>
      </c>
    </row>
    <row r="352" spans="1:24">
      <c r="A352" s="7" t="s">
        <v>451</v>
      </c>
      <c r="B352" s="16" t="s">
        <v>70</v>
      </c>
      <c r="C352">
        <v>122370297.04897489</v>
      </c>
      <c r="D352">
        <v>114998192.72749175</v>
      </c>
      <c r="E352">
        <v>601126.12612612604</v>
      </c>
      <c r="F352">
        <v>508108.10810810799</v>
      </c>
      <c r="G352">
        <v>21</v>
      </c>
      <c r="H352">
        <v>25</v>
      </c>
      <c r="I352">
        <v>1</v>
      </c>
      <c r="J352">
        <v>2</v>
      </c>
      <c r="M352">
        <v>21</v>
      </c>
      <c r="N352">
        <v>30</v>
      </c>
      <c r="O352">
        <v>2897297.297297297</v>
      </c>
      <c r="P352">
        <v>3086486.4864864852</v>
      </c>
      <c r="R352">
        <v>22</v>
      </c>
      <c r="S352">
        <v>74909639.639639646</v>
      </c>
      <c r="T352">
        <v>70880261.261261269</v>
      </c>
      <c r="U352">
        <v>4471261.261261262</v>
      </c>
      <c r="V352">
        <v>3193963.9639639631</v>
      </c>
      <c r="W352">
        <v>2874</v>
      </c>
      <c r="X352">
        <v>2939</v>
      </c>
    </row>
    <row r="353" spans="1:24">
      <c r="A353" s="7" t="s">
        <v>452</v>
      </c>
      <c r="B353" s="16" t="s">
        <v>167</v>
      </c>
      <c r="C353">
        <v>139755261.88218859</v>
      </c>
      <c r="D353">
        <v>136365103.14416838</v>
      </c>
      <c r="E353">
        <v>39639.639639640001</v>
      </c>
      <c r="F353">
        <v>3198198.1981981979</v>
      </c>
      <c r="G353">
        <v>14</v>
      </c>
      <c r="H353">
        <v>3</v>
      </c>
      <c r="I353">
        <v>1</v>
      </c>
      <c r="J353">
        <v>1</v>
      </c>
      <c r="K353">
        <v>1</v>
      </c>
      <c r="M353">
        <v>18</v>
      </c>
      <c r="N353">
        <v>4</v>
      </c>
      <c r="O353">
        <v>15967207.207207208</v>
      </c>
      <c r="P353">
        <v>6996846.8468468469</v>
      </c>
      <c r="Q353">
        <v>314</v>
      </c>
      <c r="S353">
        <v>26166801.801801801</v>
      </c>
      <c r="T353">
        <v>26697936.936936937</v>
      </c>
      <c r="U353">
        <v>17358468.468468469</v>
      </c>
      <c r="V353">
        <v>6740990.9909909908</v>
      </c>
      <c r="W353">
        <v>3915</v>
      </c>
      <c r="X353">
        <v>2671</v>
      </c>
    </row>
    <row r="354" spans="1:24">
      <c r="A354" s="7" t="s">
        <v>453</v>
      </c>
      <c r="B354" s="16" t="s">
        <v>121</v>
      </c>
      <c r="C354">
        <v>8545302.1721893549</v>
      </c>
      <c r="D354">
        <v>5432469.0056927791</v>
      </c>
      <c r="E354">
        <v>16216.216216216</v>
      </c>
      <c r="F354">
        <v>34234.234234233998</v>
      </c>
      <c r="G354">
        <v>4</v>
      </c>
      <c r="H354">
        <v>2</v>
      </c>
      <c r="I354">
        <v>1</v>
      </c>
      <c r="J354">
        <v>0</v>
      </c>
      <c r="M354">
        <v>4</v>
      </c>
      <c r="N354">
        <v>2</v>
      </c>
      <c r="O354">
        <v>160360.36036036001</v>
      </c>
      <c r="P354">
        <v>36036.036036035999</v>
      </c>
      <c r="Q354">
        <v>16</v>
      </c>
      <c r="S354">
        <v>675936.93693693704</v>
      </c>
      <c r="T354">
        <v>581216.21621621598</v>
      </c>
      <c r="U354">
        <v>144144.144144144</v>
      </c>
      <c r="W354">
        <v>145</v>
      </c>
      <c r="X354">
        <v>154</v>
      </c>
    </row>
    <row r="355" spans="1:24">
      <c r="A355" s="7" t="s">
        <v>454</v>
      </c>
      <c r="B355" s="16" t="s">
        <v>224</v>
      </c>
      <c r="C355">
        <v>51261215.181578234</v>
      </c>
      <c r="D355">
        <v>46337557.239423774</v>
      </c>
      <c r="G355">
        <v>1</v>
      </c>
      <c r="H355">
        <v>1</v>
      </c>
      <c r="M355">
        <v>1</v>
      </c>
      <c r="N355">
        <v>2</v>
      </c>
      <c r="R355">
        <v>10</v>
      </c>
      <c r="S355">
        <v>9532117.1171171162</v>
      </c>
      <c r="T355">
        <v>8856387.3873873875</v>
      </c>
      <c r="U355">
        <v>212612.61261261301</v>
      </c>
      <c r="V355">
        <v>194864.864864865</v>
      </c>
      <c r="W355">
        <v>1324</v>
      </c>
      <c r="X355">
        <v>1388</v>
      </c>
    </row>
    <row r="356" spans="1:24">
      <c r="A356" s="7" t="s">
        <v>455</v>
      </c>
      <c r="B356" s="16" t="s">
        <v>94</v>
      </c>
      <c r="C356">
        <v>55724688.161129072</v>
      </c>
      <c r="D356">
        <v>70494792.383664653</v>
      </c>
      <c r="E356">
        <v>216216.216216217</v>
      </c>
      <c r="F356">
        <v>621621.62162162201</v>
      </c>
      <c r="G356">
        <v>20</v>
      </c>
      <c r="H356">
        <v>21</v>
      </c>
      <c r="I356">
        <v>4</v>
      </c>
      <c r="J356">
        <v>5</v>
      </c>
      <c r="M356">
        <v>22</v>
      </c>
      <c r="N356">
        <v>24</v>
      </c>
      <c r="O356">
        <v>10023423.423423423</v>
      </c>
      <c r="P356">
        <v>29984234.234234236</v>
      </c>
      <c r="Q356">
        <v>70</v>
      </c>
      <c r="R356">
        <v>213</v>
      </c>
      <c r="S356">
        <v>11917387.387387387</v>
      </c>
      <c r="T356">
        <v>16237490.990990993</v>
      </c>
      <c r="U356">
        <v>9834684.6846846845</v>
      </c>
      <c r="V356">
        <v>28300810.810810812</v>
      </c>
      <c r="W356">
        <v>1990</v>
      </c>
      <c r="X356">
        <v>1981</v>
      </c>
    </row>
    <row r="357" spans="1:24">
      <c r="A357" s="7" t="s">
        <v>676</v>
      </c>
      <c r="B357" s="16" t="s">
        <v>189</v>
      </c>
      <c r="E357">
        <v>5405405.405405405</v>
      </c>
      <c r="F357">
        <v>3603603.6036036038</v>
      </c>
    </row>
    <row r="358" spans="1:24">
      <c r="A358" s="7" t="s">
        <v>677</v>
      </c>
      <c r="B358" s="16" t="s">
        <v>189</v>
      </c>
      <c r="E358">
        <v>50939590.990990989</v>
      </c>
      <c r="F358">
        <v>29907243.243243244</v>
      </c>
      <c r="O358">
        <v>19819819.819819819</v>
      </c>
      <c r="P358">
        <v>14729049.54954955</v>
      </c>
    </row>
    <row r="359" spans="1:24">
      <c r="A359" s="7" t="s">
        <v>456</v>
      </c>
      <c r="B359" s="16" t="s">
        <v>60</v>
      </c>
      <c r="C359">
        <v>13896543.617968816</v>
      </c>
      <c r="D359">
        <v>10017985.025090232</v>
      </c>
      <c r="E359">
        <v>302702.70270270301</v>
      </c>
      <c r="F359">
        <v>190990.99099099101</v>
      </c>
      <c r="G359">
        <v>12</v>
      </c>
      <c r="H359">
        <v>5</v>
      </c>
      <c r="I359">
        <v>2</v>
      </c>
      <c r="J359">
        <v>1</v>
      </c>
      <c r="M359">
        <v>12</v>
      </c>
      <c r="N359">
        <v>6</v>
      </c>
      <c r="O359">
        <v>2554954.9549549548</v>
      </c>
      <c r="P359">
        <v>1227027.0270270279</v>
      </c>
      <c r="R359">
        <v>15</v>
      </c>
      <c r="S359">
        <v>8263198.1981981993</v>
      </c>
      <c r="T359">
        <v>4546837.8378378367</v>
      </c>
      <c r="U359">
        <v>1902612.6126126121</v>
      </c>
      <c r="V359">
        <v>753063.06306306296</v>
      </c>
      <c r="W359">
        <v>678</v>
      </c>
      <c r="X359">
        <v>634</v>
      </c>
    </row>
    <row r="360" spans="1:24">
      <c r="A360" s="7" t="s">
        <v>457</v>
      </c>
      <c r="B360" s="16" t="s">
        <v>214</v>
      </c>
      <c r="C360">
        <v>171496896.97496441</v>
      </c>
      <c r="D360">
        <v>189849871.74936777</v>
      </c>
      <c r="F360">
        <v>455855.85585585597</v>
      </c>
      <c r="G360">
        <v>36</v>
      </c>
      <c r="H360">
        <v>27</v>
      </c>
      <c r="J360">
        <v>1</v>
      </c>
      <c r="M360">
        <v>38</v>
      </c>
      <c r="N360">
        <v>43</v>
      </c>
      <c r="O360">
        <v>450450.45045045001</v>
      </c>
      <c r="P360">
        <v>996396.39639639598</v>
      </c>
      <c r="R360">
        <v>7</v>
      </c>
      <c r="S360">
        <v>89160765.765765756</v>
      </c>
      <c r="T360">
        <v>97222531.531531543</v>
      </c>
      <c r="U360">
        <v>432432.43243243202</v>
      </c>
      <c r="V360">
        <v>1759909.9099099101</v>
      </c>
      <c r="W360">
        <v>2257</v>
      </c>
      <c r="X360">
        <v>3128</v>
      </c>
    </row>
    <row r="361" spans="1:24">
      <c r="A361" s="7" t="s">
        <v>458</v>
      </c>
      <c r="B361" s="16" t="s">
        <v>459</v>
      </c>
      <c r="C361">
        <v>773608362.22900963</v>
      </c>
      <c r="D361">
        <v>741715480.4968276</v>
      </c>
      <c r="E361">
        <v>2479774.7747747768</v>
      </c>
      <c r="F361">
        <v>18498198.198198225</v>
      </c>
      <c r="G361">
        <v>387</v>
      </c>
      <c r="H361">
        <v>423</v>
      </c>
      <c r="I361">
        <v>37</v>
      </c>
      <c r="J361">
        <v>53</v>
      </c>
      <c r="K361">
        <v>2</v>
      </c>
      <c r="M361">
        <v>463</v>
      </c>
      <c r="N361">
        <v>677</v>
      </c>
      <c r="O361">
        <v>87402612.612612605</v>
      </c>
      <c r="P361">
        <v>256206981.98198199</v>
      </c>
      <c r="Q361">
        <v>905</v>
      </c>
      <c r="R361">
        <v>1031</v>
      </c>
      <c r="S361">
        <v>253866900.9009009</v>
      </c>
      <c r="T361">
        <v>263759867.11711711</v>
      </c>
      <c r="U361">
        <v>83626036.036036029</v>
      </c>
      <c r="V361">
        <v>179182207.2072072</v>
      </c>
      <c r="W361">
        <v>25116</v>
      </c>
      <c r="X361">
        <v>24477</v>
      </c>
    </row>
    <row r="362" spans="1:24">
      <c r="A362" s="7" t="s">
        <v>460</v>
      </c>
      <c r="B362" s="16" t="s">
        <v>459</v>
      </c>
      <c r="C362">
        <v>3007505355.3991399</v>
      </c>
      <c r="D362">
        <v>2456054478.4529362</v>
      </c>
      <c r="E362">
        <v>7550630.6306306347</v>
      </c>
      <c r="F362">
        <v>17065765.765765779</v>
      </c>
      <c r="G362">
        <v>692</v>
      </c>
      <c r="H362">
        <v>524</v>
      </c>
      <c r="I362">
        <v>24</v>
      </c>
      <c r="J362">
        <v>37</v>
      </c>
      <c r="K362">
        <v>2</v>
      </c>
      <c r="M362">
        <v>833</v>
      </c>
      <c r="N362">
        <v>862</v>
      </c>
      <c r="O362">
        <v>97775855.855855837</v>
      </c>
      <c r="P362">
        <v>121784819.81981981</v>
      </c>
      <c r="Q362">
        <v>593</v>
      </c>
      <c r="R362">
        <v>870</v>
      </c>
      <c r="S362">
        <v>2063412998.1981983</v>
      </c>
      <c r="T362">
        <v>1559152788.7387388</v>
      </c>
      <c r="U362">
        <v>92710315.315315306</v>
      </c>
      <c r="V362">
        <v>114342477.47747748</v>
      </c>
      <c r="W362">
        <v>32334</v>
      </c>
      <c r="X362">
        <v>31171</v>
      </c>
    </row>
    <row r="363" spans="1:24">
      <c r="A363" s="7" t="s">
        <v>461</v>
      </c>
      <c r="B363" s="16" t="s">
        <v>459</v>
      </c>
      <c r="C363">
        <v>1141087787.5932794</v>
      </c>
      <c r="D363">
        <v>1168885596.8621192</v>
      </c>
      <c r="E363">
        <v>22760152.252252255</v>
      </c>
      <c r="F363">
        <v>28165253.153153159</v>
      </c>
      <c r="G363">
        <v>563</v>
      </c>
      <c r="H363">
        <v>415</v>
      </c>
      <c r="I363">
        <v>24</v>
      </c>
      <c r="J363">
        <v>24</v>
      </c>
      <c r="K363">
        <v>7</v>
      </c>
      <c r="M363">
        <v>701</v>
      </c>
      <c r="N363">
        <v>705</v>
      </c>
      <c r="O363">
        <v>939690407.2072072</v>
      </c>
      <c r="P363">
        <v>898877200</v>
      </c>
      <c r="Q363">
        <v>670</v>
      </c>
      <c r="R363">
        <v>1714</v>
      </c>
      <c r="S363">
        <v>302547031.53153151</v>
      </c>
      <c r="T363">
        <v>323998833.33333331</v>
      </c>
      <c r="U363">
        <v>950528018.01801801</v>
      </c>
      <c r="V363">
        <v>894740045.04504502</v>
      </c>
      <c r="W363">
        <v>24873</v>
      </c>
      <c r="X363">
        <v>23671</v>
      </c>
    </row>
    <row r="364" spans="1:24">
      <c r="A364" s="7" t="s">
        <v>462</v>
      </c>
      <c r="B364" s="16" t="s">
        <v>459</v>
      </c>
      <c r="C364">
        <v>878388928.28825283</v>
      </c>
      <c r="D364">
        <v>853076806.29565251</v>
      </c>
      <c r="E364">
        <v>219836171.17117116</v>
      </c>
      <c r="F364">
        <v>391916396.3963964</v>
      </c>
      <c r="G364">
        <v>304</v>
      </c>
      <c r="H364">
        <v>311</v>
      </c>
      <c r="I364">
        <v>24</v>
      </c>
      <c r="J364">
        <v>21</v>
      </c>
      <c r="K364">
        <v>1</v>
      </c>
      <c r="M364">
        <v>362</v>
      </c>
      <c r="N364">
        <v>407</v>
      </c>
      <c r="O364">
        <v>64882477.477477483</v>
      </c>
      <c r="P364">
        <v>149866126.12612611</v>
      </c>
      <c r="Q364">
        <v>481</v>
      </c>
      <c r="R364">
        <v>572</v>
      </c>
      <c r="S364">
        <v>196375014.41441441</v>
      </c>
      <c r="T364">
        <v>192576288.2882883</v>
      </c>
      <c r="U364">
        <v>56221261.261261262</v>
      </c>
      <c r="V364">
        <v>85321801.801801786</v>
      </c>
      <c r="W364">
        <v>19788</v>
      </c>
      <c r="X364">
        <v>19569</v>
      </c>
    </row>
    <row r="365" spans="1:24">
      <c r="A365" s="7" t="s">
        <v>463</v>
      </c>
      <c r="B365" s="16" t="s">
        <v>459</v>
      </c>
      <c r="C365">
        <v>815674040.73389125</v>
      </c>
      <c r="D365">
        <v>817723839.92048502</v>
      </c>
      <c r="E365">
        <v>1966666.666666673</v>
      </c>
      <c r="F365">
        <v>14629954.954954959</v>
      </c>
      <c r="G365">
        <v>508</v>
      </c>
      <c r="H365">
        <v>783</v>
      </c>
      <c r="I365">
        <v>34</v>
      </c>
      <c r="J365">
        <v>37</v>
      </c>
      <c r="M365">
        <v>573</v>
      </c>
      <c r="N365">
        <v>1209</v>
      </c>
      <c r="O365">
        <v>62293333.333333328</v>
      </c>
      <c r="P365">
        <v>174613423.42342341</v>
      </c>
      <c r="Q365">
        <v>508</v>
      </c>
      <c r="R365">
        <v>1012</v>
      </c>
      <c r="S365">
        <v>308575180.18018013</v>
      </c>
      <c r="T365">
        <v>332876213.96396399</v>
      </c>
      <c r="U365">
        <v>59419099.099099085</v>
      </c>
      <c r="V365">
        <v>149904864.86486486</v>
      </c>
      <c r="W365">
        <v>26220</v>
      </c>
      <c r="X365">
        <v>26701</v>
      </c>
    </row>
    <row r="366" spans="1:24">
      <c r="A366" s="7" t="s">
        <v>464</v>
      </c>
      <c r="B366" s="16" t="s">
        <v>459</v>
      </c>
      <c r="C366">
        <v>913835086.32792389</v>
      </c>
      <c r="D366">
        <v>951492841.95866191</v>
      </c>
      <c r="E366">
        <v>1564192512.6126127</v>
      </c>
      <c r="F366">
        <v>1971261386.4864864</v>
      </c>
      <c r="G366">
        <v>474</v>
      </c>
      <c r="H366">
        <v>349</v>
      </c>
      <c r="I366">
        <v>50</v>
      </c>
      <c r="J366">
        <v>50</v>
      </c>
      <c r="M366">
        <v>553</v>
      </c>
      <c r="N366">
        <v>456</v>
      </c>
      <c r="O366">
        <v>137649909.9099099</v>
      </c>
      <c r="P366">
        <v>129993945.04504503</v>
      </c>
      <c r="Q366">
        <v>1460</v>
      </c>
      <c r="R366">
        <v>1176</v>
      </c>
      <c r="S366">
        <v>407867673.87387383</v>
      </c>
      <c r="T366">
        <v>409209104.05405408</v>
      </c>
      <c r="U366">
        <v>128165405.4054054</v>
      </c>
      <c r="V366">
        <v>127895135.13513513</v>
      </c>
      <c r="W366">
        <v>28083</v>
      </c>
      <c r="X366">
        <v>28498</v>
      </c>
    </row>
    <row r="367" spans="1:24">
      <c r="A367" s="7" t="s">
        <v>465</v>
      </c>
      <c r="B367" s="16" t="s">
        <v>54</v>
      </c>
      <c r="C367">
        <v>65330848.719274275</v>
      </c>
      <c r="D367">
        <v>62560704.610118553</v>
      </c>
      <c r="E367">
        <v>22720045.045045048</v>
      </c>
      <c r="F367">
        <v>58532882.882882878</v>
      </c>
      <c r="G367">
        <v>45</v>
      </c>
      <c r="H367">
        <v>16</v>
      </c>
      <c r="I367">
        <v>3</v>
      </c>
      <c r="J367">
        <v>3</v>
      </c>
      <c r="M367">
        <v>45</v>
      </c>
      <c r="N367">
        <v>27</v>
      </c>
      <c r="O367">
        <v>7813513.5135135129</v>
      </c>
      <c r="P367">
        <v>7314234.2342342352</v>
      </c>
      <c r="Q367">
        <v>55</v>
      </c>
      <c r="R367">
        <v>26</v>
      </c>
      <c r="S367">
        <v>13492297.297297295</v>
      </c>
      <c r="T367">
        <v>13157603.603603603</v>
      </c>
      <c r="U367">
        <v>6045405.4054054059</v>
      </c>
      <c r="V367">
        <v>6226396.3963963948</v>
      </c>
      <c r="W367">
        <v>1239</v>
      </c>
      <c r="X367">
        <v>1289</v>
      </c>
    </row>
    <row r="368" spans="1:24">
      <c r="A368" s="7" t="s">
        <v>466</v>
      </c>
      <c r="B368" s="16" t="s">
        <v>87</v>
      </c>
      <c r="C368">
        <v>2605246.2882934422</v>
      </c>
      <c r="D368">
        <v>2329484.7216183459</v>
      </c>
      <c r="S368">
        <v>410360.36036036001</v>
      </c>
      <c r="T368">
        <v>389864.86486486503</v>
      </c>
      <c r="W368">
        <v>79</v>
      </c>
      <c r="X368">
        <v>94</v>
      </c>
    </row>
    <row r="369" spans="1:24">
      <c r="A369" s="7" t="s">
        <v>467</v>
      </c>
      <c r="B369" s="16" t="s">
        <v>143</v>
      </c>
      <c r="C369">
        <v>298040488.10467917</v>
      </c>
      <c r="D369">
        <v>294059983.23420537</v>
      </c>
      <c r="E369">
        <v>71171.171171170994</v>
      </c>
      <c r="F369">
        <v>275675.67567567702</v>
      </c>
      <c r="G369">
        <v>79</v>
      </c>
      <c r="H369">
        <v>57</v>
      </c>
      <c r="I369">
        <v>2</v>
      </c>
      <c r="J369">
        <v>3</v>
      </c>
      <c r="M369">
        <v>91</v>
      </c>
      <c r="N369">
        <v>82</v>
      </c>
      <c r="O369">
        <v>15625225.225225223</v>
      </c>
      <c r="P369">
        <v>17654054.054054055</v>
      </c>
      <c r="Q369">
        <v>48</v>
      </c>
      <c r="R369">
        <v>37</v>
      </c>
      <c r="S369">
        <v>46153971.171171166</v>
      </c>
      <c r="T369">
        <v>46475672.072072074</v>
      </c>
      <c r="U369">
        <v>15653783.783783784</v>
      </c>
      <c r="V369">
        <v>13449459.459459459</v>
      </c>
      <c r="W369">
        <v>5034</v>
      </c>
      <c r="X369">
        <v>5014</v>
      </c>
    </row>
    <row r="370" spans="1:24">
      <c r="A370" s="7" t="s">
        <v>468</v>
      </c>
      <c r="B370" s="16" t="s">
        <v>80</v>
      </c>
      <c r="C370">
        <v>261172985.87747395</v>
      </c>
      <c r="D370">
        <v>252939035.01733917</v>
      </c>
      <c r="E370">
        <v>242117.117117118</v>
      </c>
      <c r="F370">
        <v>85135.135135138</v>
      </c>
      <c r="G370">
        <v>46</v>
      </c>
      <c r="H370">
        <v>40</v>
      </c>
      <c r="I370">
        <v>2</v>
      </c>
      <c r="J370">
        <v>0</v>
      </c>
      <c r="M370">
        <v>51</v>
      </c>
      <c r="N370">
        <v>45</v>
      </c>
      <c r="O370">
        <v>9975585.5855855849</v>
      </c>
      <c r="P370">
        <v>6056306.3063063063</v>
      </c>
      <c r="Q370">
        <v>35</v>
      </c>
      <c r="R370">
        <v>33</v>
      </c>
      <c r="S370">
        <v>100167268.46846846</v>
      </c>
      <c r="T370">
        <v>95419819.819819823</v>
      </c>
      <c r="U370">
        <v>8601171.1711711697</v>
      </c>
      <c r="V370">
        <v>5648018.0180180185</v>
      </c>
      <c r="W370">
        <v>5247</v>
      </c>
      <c r="X370">
        <v>4664</v>
      </c>
    </row>
    <row r="371" spans="1:24">
      <c r="A371" s="7" t="s">
        <v>469</v>
      </c>
      <c r="B371" s="16" t="s">
        <v>470</v>
      </c>
      <c r="C371">
        <v>294827190.57972366</v>
      </c>
      <c r="D371">
        <v>304728930.76654661</v>
      </c>
      <c r="E371">
        <v>134923163.06306306</v>
      </c>
      <c r="F371">
        <v>293420324.32432437</v>
      </c>
      <c r="G371">
        <v>55</v>
      </c>
      <c r="H371">
        <v>34</v>
      </c>
      <c r="I371">
        <v>2</v>
      </c>
      <c r="J371">
        <v>2</v>
      </c>
      <c r="M371">
        <v>60</v>
      </c>
      <c r="N371">
        <v>38</v>
      </c>
      <c r="O371">
        <v>39595829.729729727</v>
      </c>
      <c r="P371">
        <v>52767713.513513513</v>
      </c>
      <c r="Q371">
        <v>27</v>
      </c>
      <c r="R371">
        <v>46</v>
      </c>
      <c r="S371">
        <v>89811360.360360354</v>
      </c>
      <c r="T371">
        <v>95702457.657657668</v>
      </c>
      <c r="U371">
        <v>11627567.567567568</v>
      </c>
      <c r="V371">
        <v>26257610.810810812</v>
      </c>
      <c r="W371">
        <v>5300</v>
      </c>
      <c r="X371">
        <v>5458</v>
      </c>
    </row>
    <row r="372" spans="1:24">
      <c r="A372" s="7" t="s">
        <v>471</v>
      </c>
      <c r="B372" s="16" t="s">
        <v>470</v>
      </c>
      <c r="C372">
        <v>27587512.030112192</v>
      </c>
      <c r="D372">
        <v>25435663.874610588</v>
      </c>
      <c r="E372">
        <v>162162.16216216201</v>
      </c>
      <c r="F372">
        <v>207207.20720720699</v>
      </c>
      <c r="H372">
        <v>3</v>
      </c>
      <c r="I372">
        <v>0</v>
      </c>
      <c r="J372">
        <v>1</v>
      </c>
      <c r="N372">
        <v>4</v>
      </c>
      <c r="O372">
        <v>209729.72972973</v>
      </c>
      <c r="P372">
        <v>3036036.036036036</v>
      </c>
      <c r="Q372">
        <v>6</v>
      </c>
      <c r="R372">
        <v>2</v>
      </c>
      <c r="S372">
        <v>2181171.1711711711</v>
      </c>
      <c r="T372">
        <v>2268558.558558559</v>
      </c>
      <c r="U372">
        <v>178648.64864864899</v>
      </c>
      <c r="V372">
        <v>3069909.9099099091</v>
      </c>
      <c r="W372">
        <v>576</v>
      </c>
      <c r="X372">
        <v>615</v>
      </c>
    </row>
    <row r="373" spans="1:24">
      <c r="A373" s="7" t="s">
        <v>472</v>
      </c>
      <c r="B373" s="16" t="s">
        <v>470</v>
      </c>
      <c r="C373">
        <v>3511126.206971711</v>
      </c>
      <c r="D373">
        <v>3077690.569638439</v>
      </c>
      <c r="E373">
        <v>1801.801801802</v>
      </c>
      <c r="F373">
        <v>375675.67567567597</v>
      </c>
      <c r="J373">
        <v>1</v>
      </c>
      <c r="N373">
        <v>1</v>
      </c>
      <c r="O373">
        <v>96936.936936936996</v>
      </c>
      <c r="P373">
        <v>2925225.225225226</v>
      </c>
      <c r="Q373">
        <v>6</v>
      </c>
      <c r="S373">
        <v>556981.98198198201</v>
      </c>
      <c r="T373">
        <v>715405.40540540498</v>
      </c>
      <c r="U373">
        <v>232072.072072073</v>
      </c>
      <c r="V373">
        <v>2703603.6036036038</v>
      </c>
      <c r="W373">
        <v>291</v>
      </c>
      <c r="X373">
        <v>368</v>
      </c>
    </row>
    <row r="374" spans="1:24">
      <c r="A374" s="7" t="s">
        <v>473</v>
      </c>
      <c r="B374" s="16" t="s">
        <v>470</v>
      </c>
      <c r="C374">
        <v>100795789.66541265</v>
      </c>
      <c r="D374">
        <v>107521947.39432016</v>
      </c>
      <c r="E374">
        <v>554054.05405405397</v>
      </c>
      <c r="F374">
        <v>559459.45945945999</v>
      </c>
      <c r="G374">
        <v>18</v>
      </c>
      <c r="H374">
        <v>14</v>
      </c>
      <c r="I374">
        <v>2</v>
      </c>
      <c r="J374">
        <v>2</v>
      </c>
      <c r="M374">
        <v>20</v>
      </c>
      <c r="N374">
        <v>15</v>
      </c>
      <c r="O374">
        <v>979369.369369369</v>
      </c>
      <c r="P374">
        <v>26039189.189189188</v>
      </c>
      <c r="Q374">
        <v>6</v>
      </c>
      <c r="R374">
        <v>4</v>
      </c>
      <c r="S374">
        <v>14088052.252252253</v>
      </c>
      <c r="T374">
        <v>14920261.26126126</v>
      </c>
      <c r="U374">
        <v>8138828.8288288293</v>
      </c>
      <c r="V374">
        <v>22887747.747747749</v>
      </c>
      <c r="W374">
        <v>2213</v>
      </c>
      <c r="X374">
        <v>2168</v>
      </c>
    </row>
    <row r="375" spans="1:24">
      <c r="A375" s="7" t="s">
        <v>474</v>
      </c>
      <c r="B375" s="16" t="s">
        <v>470</v>
      </c>
      <c r="C375">
        <v>144670468.51014912</v>
      </c>
      <c r="D375">
        <v>150691110.82712108</v>
      </c>
      <c r="E375">
        <v>487927.92792792799</v>
      </c>
      <c r="F375">
        <v>1105405.4054054071</v>
      </c>
      <c r="G375">
        <v>23</v>
      </c>
      <c r="H375">
        <v>30</v>
      </c>
      <c r="I375">
        <v>2</v>
      </c>
      <c r="J375">
        <v>3</v>
      </c>
      <c r="M375">
        <v>25</v>
      </c>
      <c r="N375">
        <v>35</v>
      </c>
      <c r="O375">
        <v>5841621.6216216218</v>
      </c>
      <c r="P375">
        <v>12246936.936936935</v>
      </c>
      <c r="Q375">
        <v>12</v>
      </c>
      <c r="R375">
        <v>19</v>
      </c>
      <c r="S375">
        <v>33609909.909909911</v>
      </c>
      <c r="T375">
        <v>32587000</v>
      </c>
      <c r="U375">
        <v>4818738.7387387408</v>
      </c>
      <c r="V375">
        <v>12600720.72072072</v>
      </c>
      <c r="W375">
        <v>2333</v>
      </c>
      <c r="X375">
        <v>2334</v>
      </c>
    </row>
    <row r="376" spans="1:24">
      <c r="A376" s="7" t="s">
        <v>475</v>
      </c>
      <c r="B376" s="16" t="s">
        <v>470</v>
      </c>
      <c r="C376">
        <v>56202531.107051857</v>
      </c>
      <c r="D376">
        <v>55805975.949154176</v>
      </c>
      <c r="E376">
        <v>9009.0090090089998</v>
      </c>
      <c r="F376">
        <v>378378.37837837898</v>
      </c>
      <c r="G376">
        <v>10</v>
      </c>
      <c r="H376">
        <v>6</v>
      </c>
      <c r="I376">
        <v>2</v>
      </c>
      <c r="J376">
        <v>6</v>
      </c>
      <c r="M376">
        <v>10</v>
      </c>
      <c r="N376">
        <v>6</v>
      </c>
      <c r="O376">
        <v>3899459.4594594608</v>
      </c>
      <c r="P376">
        <v>8108108.1081081079</v>
      </c>
      <c r="S376">
        <v>12293468.468468469</v>
      </c>
      <c r="T376">
        <v>11657133.333333332</v>
      </c>
      <c r="U376">
        <v>4669909.9099099115</v>
      </c>
      <c r="V376">
        <v>6750900.9009009013</v>
      </c>
      <c r="W376">
        <v>1379</v>
      </c>
      <c r="X376">
        <v>1352</v>
      </c>
    </row>
    <row r="377" spans="1:24">
      <c r="A377" s="7" t="s">
        <v>476</v>
      </c>
      <c r="B377" s="16" t="s">
        <v>470</v>
      </c>
      <c r="C377">
        <v>558406005.53103352</v>
      </c>
      <c r="D377">
        <v>572824070.1328243</v>
      </c>
      <c r="E377">
        <v>2919054.054054061</v>
      </c>
      <c r="F377">
        <v>11426126.126126133</v>
      </c>
      <c r="G377">
        <v>198</v>
      </c>
      <c r="H377">
        <v>214</v>
      </c>
      <c r="I377">
        <v>39</v>
      </c>
      <c r="J377">
        <v>59</v>
      </c>
      <c r="M377">
        <v>283</v>
      </c>
      <c r="N377">
        <v>478</v>
      </c>
      <c r="O377">
        <v>103260188.2882883</v>
      </c>
      <c r="P377">
        <v>192649459.45945945</v>
      </c>
      <c r="Q377">
        <v>327</v>
      </c>
      <c r="R377">
        <v>299</v>
      </c>
      <c r="S377">
        <v>140389848.64864865</v>
      </c>
      <c r="T377">
        <v>151424646.84684685</v>
      </c>
      <c r="U377">
        <v>102254414.41441442</v>
      </c>
      <c r="V377">
        <v>189774504.5045045</v>
      </c>
      <c r="W377">
        <v>15828</v>
      </c>
      <c r="X377">
        <v>16251</v>
      </c>
    </row>
    <row r="378" spans="1:24">
      <c r="A378" s="7" t="s">
        <v>477</v>
      </c>
      <c r="B378" s="16" t="s">
        <v>260</v>
      </c>
      <c r="C378">
        <v>706532313.78006697</v>
      </c>
      <c r="D378">
        <v>678174465.70361018</v>
      </c>
      <c r="E378">
        <v>1107297.297297298</v>
      </c>
      <c r="F378">
        <v>2522747.7477477472</v>
      </c>
      <c r="G378">
        <v>142</v>
      </c>
      <c r="H378">
        <v>148</v>
      </c>
      <c r="I378">
        <v>1</v>
      </c>
      <c r="J378">
        <v>7</v>
      </c>
      <c r="M378">
        <v>149</v>
      </c>
      <c r="N378">
        <v>177</v>
      </c>
      <c r="O378">
        <v>91310000</v>
      </c>
      <c r="P378">
        <v>83415315.315315306</v>
      </c>
      <c r="Q378">
        <v>148</v>
      </c>
      <c r="R378">
        <v>61</v>
      </c>
      <c r="S378">
        <v>183779531.53153151</v>
      </c>
      <c r="T378">
        <v>182321193.6936937</v>
      </c>
      <c r="U378">
        <v>91752612.612612605</v>
      </c>
      <c r="V378">
        <v>82151261.261261269</v>
      </c>
      <c r="W378">
        <v>11819</v>
      </c>
      <c r="X378">
        <v>10881</v>
      </c>
    </row>
    <row r="379" spans="1:24">
      <c r="A379" s="7" t="s">
        <v>478</v>
      </c>
      <c r="B379" s="16" t="s">
        <v>479</v>
      </c>
      <c r="C379">
        <v>56030884.282174982</v>
      </c>
      <c r="D379">
        <v>49750570.760427579</v>
      </c>
      <c r="E379">
        <v>534234.23423423397</v>
      </c>
      <c r="F379">
        <v>681081.081081082</v>
      </c>
      <c r="G379">
        <v>20</v>
      </c>
      <c r="H379">
        <v>14</v>
      </c>
      <c r="I379">
        <v>1</v>
      </c>
      <c r="J379">
        <v>3</v>
      </c>
      <c r="M379">
        <v>22</v>
      </c>
      <c r="N379">
        <v>15</v>
      </c>
      <c r="O379">
        <v>26830630.630630631</v>
      </c>
      <c r="P379">
        <v>16464414.414414415</v>
      </c>
      <c r="R379">
        <v>10</v>
      </c>
      <c r="S379">
        <v>12900315.315315315</v>
      </c>
      <c r="T379">
        <v>11979279.27927928</v>
      </c>
      <c r="U379">
        <v>27016666.666666668</v>
      </c>
      <c r="V379">
        <v>16414234.234234234</v>
      </c>
      <c r="W379">
        <v>921</v>
      </c>
      <c r="X379">
        <v>867</v>
      </c>
    </row>
    <row r="380" spans="1:24">
      <c r="A380" s="7" t="s">
        <v>480</v>
      </c>
      <c r="B380" s="16" t="s">
        <v>123</v>
      </c>
      <c r="C380">
        <v>370562335.67910808</v>
      </c>
      <c r="D380">
        <v>365423409.23123974</v>
      </c>
      <c r="E380">
        <v>2154504.5045045051</v>
      </c>
      <c r="F380">
        <v>2469369.3693693709</v>
      </c>
      <c r="G380">
        <v>76</v>
      </c>
      <c r="H380">
        <v>75</v>
      </c>
      <c r="I380">
        <v>6</v>
      </c>
      <c r="J380">
        <v>5</v>
      </c>
      <c r="M380">
        <v>86</v>
      </c>
      <c r="N380">
        <v>82</v>
      </c>
      <c r="O380">
        <v>30478288.288288288</v>
      </c>
      <c r="P380">
        <v>24506306.306306306</v>
      </c>
      <c r="Q380">
        <v>59</v>
      </c>
      <c r="R380">
        <v>39</v>
      </c>
      <c r="S380">
        <v>139522513.51351351</v>
      </c>
      <c r="T380">
        <v>137582049.54954955</v>
      </c>
      <c r="U380">
        <v>28308288.288288288</v>
      </c>
      <c r="V380">
        <v>23635765.765765764</v>
      </c>
      <c r="W380">
        <v>5560</v>
      </c>
      <c r="X380">
        <v>5591</v>
      </c>
    </row>
    <row r="381" spans="1:24">
      <c r="A381" s="7" t="s">
        <v>481</v>
      </c>
      <c r="B381" s="16" t="s">
        <v>470</v>
      </c>
      <c r="C381">
        <v>30215787.010518007</v>
      </c>
      <c r="D381">
        <v>28924209.211468544</v>
      </c>
      <c r="E381">
        <v>27477.477477478002</v>
      </c>
      <c r="F381">
        <v>94594.594594594993</v>
      </c>
      <c r="G381">
        <v>7</v>
      </c>
      <c r="H381">
        <v>3</v>
      </c>
      <c r="I381">
        <v>3</v>
      </c>
      <c r="J381">
        <v>2</v>
      </c>
      <c r="M381">
        <v>7</v>
      </c>
      <c r="N381">
        <v>4</v>
      </c>
      <c r="O381">
        <v>486036.03603603703</v>
      </c>
      <c r="P381">
        <v>1445945.945945946</v>
      </c>
      <c r="S381">
        <v>4047108.1081081079</v>
      </c>
      <c r="T381">
        <v>3880621.6216216218</v>
      </c>
      <c r="U381">
        <v>1024054.054054054</v>
      </c>
      <c r="V381">
        <v>1025585.585585585</v>
      </c>
      <c r="W381">
        <v>616</v>
      </c>
      <c r="X381">
        <v>598</v>
      </c>
    </row>
    <row r="382" spans="1:24">
      <c r="A382" s="7" t="s">
        <v>482</v>
      </c>
      <c r="B382" s="16" t="s">
        <v>167</v>
      </c>
      <c r="C382">
        <v>310823161.57519883</v>
      </c>
      <c r="D382">
        <v>300314032.31720543</v>
      </c>
      <c r="E382">
        <v>386486.48648648697</v>
      </c>
      <c r="F382">
        <v>2793693.6936936961</v>
      </c>
      <c r="G382">
        <v>194</v>
      </c>
      <c r="H382">
        <v>228</v>
      </c>
      <c r="I382">
        <v>17</v>
      </c>
      <c r="J382">
        <v>9</v>
      </c>
      <c r="M382">
        <v>238</v>
      </c>
      <c r="N382">
        <v>337</v>
      </c>
      <c r="O382">
        <v>19782497.297297295</v>
      </c>
      <c r="P382">
        <v>23582919.819819815</v>
      </c>
      <c r="Q382">
        <v>44</v>
      </c>
      <c r="R382">
        <v>59</v>
      </c>
      <c r="S382">
        <v>121123014.41441442</v>
      </c>
      <c r="T382">
        <v>125292828.82882883</v>
      </c>
      <c r="U382">
        <v>21115045.045045044</v>
      </c>
      <c r="V382">
        <v>22622882.882882878</v>
      </c>
      <c r="W382">
        <v>9070</v>
      </c>
      <c r="X382">
        <v>8624</v>
      </c>
    </row>
    <row r="383" spans="1:24">
      <c r="A383" s="7" t="s">
        <v>483</v>
      </c>
      <c r="B383" s="16" t="s">
        <v>167</v>
      </c>
      <c r="C383">
        <v>304871855.95690477</v>
      </c>
      <c r="D383">
        <v>344548297.0731982</v>
      </c>
      <c r="E383">
        <v>531377272.97297299</v>
      </c>
      <c r="F383">
        <v>478157877.47747749</v>
      </c>
      <c r="G383">
        <v>380</v>
      </c>
      <c r="H383">
        <v>508</v>
      </c>
      <c r="I383">
        <v>13</v>
      </c>
      <c r="J383">
        <v>14</v>
      </c>
      <c r="M383">
        <v>486</v>
      </c>
      <c r="N383">
        <v>1362</v>
      </c>
      <c r="O383">
        <v>61420005.40540541</v>
      </c>
      <c r="P383">
        <v>54175000.9009009</v>
      </c>
      <c r="Q383">
        <v>417</v>
      </c>
      <c r="R383">
        <v>48</v>
      </c>
      <c r="S383">
        <v>119347926.12612613</v>
      </c>
      <c r="T383">
        <v>135152642.34234235</v>
      </c>
      <c r="U383">
        <v>59118962.162162162</v>
      </c>
      <c r="V383">
        <v>50884007.20720721</v>
      </c>
      <c r="W383">
        <v>9480</v>
      </c>
      <c r="X383">
        <v>9609</v>
      </c>
    </row>
    <row r="384" spans="1:24">
      <c r="A384" s="7" t="s">
        <v>484</v>
      </c>
      <c r="B384" s="16" t="s">
        <v>50</v>
      </c>
      <c r="C384">
        <v>210594303.49199423</v>
      </c>
      <c r="D384">
        <v>203788230.12574476</v>
      </c>
      <c r="E384">
        <v>326841207.2072072</v>
      </c>
      <c r="F384">
        <v>441714577.47747749</v>
      </c>
      <c r="G384">
        <v>60</v>
      </c>
      <c r="H384">
        <v>55</v>
      </c>
      <c r="I384">
        <v>14</v>
      </c>
      <c r="J384">
        <v>6</v>
      </c>
      <c r="M384">
        <v>61</v>
      </c>
      <c r="N384">
        <v>65</v>
      </c>
      <c r="O384">
        <v>134448067.56756756</v>
      </c>
      <c r="P384">
        <v>133326036.03603603</v>
      </c>
      <c r="Q384">
        <v>161</v>
      </c>
      <c r="R384">
        <v>58</v>
      </c>
      <c r="S384">
        <v>93537027.027027026</v>
      </c>
      <c r="T384">
        <v>91120232.432432428</v>
      </c>
      <c r="U384">
        <v>60212342.342342347</v>
      </c>
      <c r="V384">
        <v>36622882.882882878</v>
      </c>
      <c r="W384">
        <v>3740</v>
      </c>
      <c r="X384">
        <v>3665</v>
      </c>
    </row>
    <row r="385" spans="1:24">
      <c r="A385" s="7" t="s">
        <v>485</v>
      </c>
      <c r="B385" s="16" t="s">
        <v>134</v>
      </c>
      <c r="C385">
        <v>284378036.17676824</v>
      </c>
      <c r="D385">
        <v>271657857.30239105</v>
      </c>
      <c r="E385">
        <v>892792.79279279395</v>
      </c>
      <c r="F385">
        <v>2634234.2342342339</v>
      </c>
      <c r="G385">
        <v>67</v>
      </c>
      <c r="H385">
        <v>44</v>
      </c>
      <c r="I385">
        <v>10</v>
      </c>
      <c r="J385">
        <v>5</v>
      </c>
      <c r="M385">
        <v>76</v>
      </c>
      <c r="N385">
        <v>66</v>
      </c>
      <c r="O385">
        <v>63892792.79279279</v>
      </c>
      <c r="P385">
        <v>41588288.288288288</v>
      </c>
      <c r="Q385">
        <v>239</v>
      </c>
      <c r="R385">
        <v>172</v>
      </c>
      <c r="S385">
        <v>55166441.441441439</v>
      </c>
      <c r="T385">
        <v>52630863.063063063</v>
      </c>
      <c r="U385">
        <v>32156396.396396395</v>
      </c>
      <c r="V385">
        <v>28551441.441441439</v>
      </c>
      <c r="W385">
        <v>4654</v>
      </c>
      <c r="X385">
        <v>4618</v>
      </c>
    </row>
    <row r="386" spans="1:24">
      <c r="A386" s="7" t="s">
        <v>486</v>
      </c>
      <c r="B386" s="16" t="s">
        <v>76</v>
      </c>
      <c r="C386">
        <v>70663007.424619928</v>
      </c>
      <c r="D386">
        <v>58870233.374149382</v>
      </c>
      <c r="E386">
        <v>2099099.0990991001</v>
      </c>
      <c r="F386">
        <v>1220720.7207207209</v>
      </c>
      <c r="G386">
        <v>18</v>
      </c>
      <c r="H386">
        <v>18</v>
      </c>
      <c r="I386">
        <v>2</v>
      </c>
      <c r="J386">
        <v>2</v>
      </c>
      <c r="M386">
        <v>23</v>
      </c>
      <c r="N386">
        <v>18</v>
      </c>
      <c r="O386">
        <v>25436936.936936937</v>
      </c>
      <c r="P386">
        <v>13296486.486486487</v>
      </c>
      <c r="Q386">
        <v>17</v>
      </c>
      <c r="R386">
        <v>38</v>
      </c>
      <c r="S386">
        <v>26713346.846846849</v>
      </c>
      <c r="T386">
        <v>22996509.909909911</v>
      </c>
      <c r="U386">
        <v>24486666.666666668</v>
      </c>
      <c r="V386">
        <v>12172158.558558561</v>
      </c>
      <c r="W386">
        <v>1420</v>
      </c>
      <c r="X386">
        <v>1674</v>
      </c>
    </row>
    <row r="387" spans="1:24">
      <c r="A387" s="7" t="s">
        <v>487</v>
      </c>
      <c r="B387" s="16" t="s">
        <v>307</v>
      </c>
      <c r="C387">
        <v>446261780.50735682</v>
      </c>
      <c r="D387">
        <v>467811750.36810464</v>
      </c>
      <c r="E387">
        <v>185046171.17117116</v>
      </c>
      <c r="F387">
        <v>410596396.3963964</v>
      </c>
      <c r="G387">
        <v>193</v>
      </c>
      <c r="H387">
        <v>115</v>
      </c>
      <c r="I387">
        <v>4</v>
      </c>
      <c r="J387">
        <v>9</v>
      </c>
      <c r="M387">
        <v>208</v>
      </c>
      <c r="N387">
        <v>207</v>
      </c>
      <c r="O387">
        <v>83956531.531531543</v>
      </c>
      <c r="P387">
        <v>110906171.17117117</v>
      </c>
      <c r="Q387">
        <v>248</v>
      </c>
      <c r="R387">
        <v>360</v>
      </c>
      <c r="S387">
        <v>185195917.11711711</v>
      </c>
      <c r="T387">
        <v>198040072.07207206</v>
      </c>
      <c r="U387">
        <v>68180540.540540531</v>
      </c>
      <c r="V387">
        <v>101282972.97297297</v>
      </c>
      <c r="W387">
        <v>11476</v>
      </c>
      <c r="X387">
        <v>10613</v>
      </c>
    </row>
    <row r="388" spans="1:24">
      <c r="A388" s="7" t="s">
        <v>488</v>
      </c>
      <c r="B388" s="16" t="s">
        <v>315</v>
      </c>
      <c r="C388">
        <v>126456276.33640237</v>
      </c>
      <c r="D388">
        <v>106509375.28111501</v>
      </c>
      <c r="E388">
        <v>636936.93693693704</v>
      </c>
      <c r="F388">
        <v>1367567.5675675671</v>
      </c>
      <c r="G388">
        <v>17</v>
      </c>
      <c r="H388">
        <v>8</v>
      </c>
      <c r="I388">
        <v>6</v>
      </c>
      <c r="J388">
        <v>3</v>
      </c>
      <c r="M388">
        <v>17</v>
      </c>
      <c r="N388">
        <v>9</v>
      </c>
      <c r="O388">
        <v>86792972.972972974</v>
      </c>
      <c r="P388">
        <v>49019729.729729727</v>
      </c>
      <c r="Q388">
        <v>54</v>
      </c>
      <c r="S388">
        <v>53947414.414414413</v>
      </c>
      <c r="T388">
        <v>45932288.288288288</v>
      </c>
      <c r="U388">
        <v>84588378.378378391</v>
      </c>
      <c r="V388">
        <v>41591081.081081077</v>
      </c>
      <c r="W388">
        <v>1674</v>
      </c>
      <c r="X388">
        <v>1628</v>
      </c>
    </row>
    <row r="389" spans="1:24">
      <c r="A389" s="7" t="s">
        <v>489</v>
      </c>
      <c r="B389" s="16" t="s">
        <v>181</v>
      </c>
      <c r="C389">
        <v>260019244.7529279</v>
      </c>
      <c r="D389">
        <v>246168696.40606889</v>
      </c>
      <c r="E389">
        <v>78378.378378381007</v>
      </c>
      <c r="F389">
        <v>1372522.522522524</v>
      </c>
      <c r="G389">
        <v>129</v>
      </c>
      <c r="H389">
        <v>128</v>
      </c>
      <c r="I389">
        <v>11</v>
      </c>
      <c r="J389">
        <v>9</v>
      </c>
      <c r="M389">
        <v>139</v>
      </c>
      <c r="N389">
        <v>171</v>
      </c>
      <c r="O389">
        <v>25785225.225225229</v>
      </c>
      <c r="P389">
        <v>24070810.810810808</v>
      </c>
      <c r="Q389">
        <v>155</v>
      </c>
      <c r="R389">
        <v>256</v>
      </c>
      <c r="S389">
        <v>69977864.864864871</v>
      </c>
      <c r="T389">
        <v>72525882.882882878</v>
      </c>
      <c r="U389">
        <v>23959909.909909911</v>
      </c>
      <c r="V389">
        <v>23506576.576576576</v>
      </c>
      <c r="W389">
        <v>6809</v>
      </c>
      <c r="X389">
        <v>6560</v>
      </c>
    </row>
    <row r="390" spans="1:24">
      <c r="A390" s="7" t="s">
        <v>490</v>
      </c>
      <c r="B390" s="16" t="s">
        <v>220</v>
      </c>
      <c r="C390">
        <v>149393486.5989942</v>
      </c>
      <c r="D390">
        <v>143920142.68266436</v>
      </c>
      <c r="E390">
        <v>9909.9099099100004</v>
      </c>
      <c r="F390">
        <v>102702.702702703</v>
      </c>
      <c r="G390">
        <v>52</v>
      </c>
      <c r="H390">
        <v>49</v>
      </c>
      <c r="I390">
        <v>1</v>
      </c>
      <c r="J390">
        <v>2</v>
      </c>
      <c r="M390">
        <v>62</v>
      </c>
      <c r="N390">
        <v>60</v>
      </c>
      <c r="O390">
        <v>5816396.3963963976</v>
      </c>
      <c r="P390">
        <v>2946306.3063063058</v>
      </c>
      <c r="Q390">
        <v>43</v>
      </c>
      <c r="S390">
        <v>37816225.225225225</v>
      </c>
      <c r="T390">
        <v>35762349.54954955</v>
      </c>
      <c r="U390">
        <v>4546306.3063063081</v>
      </c>
      <c r="V390">
        <v>1697027.027027027</v>
      </c>
      <c r="W390">
        <v>3925</v>
      </c>
      <c r="X390">
        <v>4057</v>
      </c>
    </row>
    <row r="391" spans="1:24">
      <c r="A391" s="7" t="s">
        <v>491</v>
      </c>
      <c r="B391" s="16" t="s">
        <v>220</v>
      </c>
      <c r="C391">
        <v>37912336.321984805</v>
      </c>
      <c r="D391">
        <v>48978877.687520213</v>
      </c>
      <c r="E391">
        <v>20720.720720722002</v>
      </c>
      <c r="F391">
        <v>465765.76576576597</v>
      </c>
      <c r="G391">
        <v>35</v>
      </c>
      <c r="H391">
        <v>25</v>
      </c>
      <c r="I391">
        <v>6</v>
      </c>
      <c r="J391">
        <v>1</v>
      </c>
      <c r="M391">
        <v>40</v>
      </c>
      <c r="N391">
        <v>30</v>
      </c>
      <c r="O391">
        <v>9032792.7927927915</v>
      </c>
      <c r="P391">
        <v>15679729.729729732</v>
      </c>
      <c r="Q391">
        <v>40</v>
      </c>
      <c r="R391">
        <v>16</v>
      </c>
      <c r="S391">
        <v>12901936.936936935</v>
      </c>
      <c r="T391">
        <v>14374855.855855856</v>
      </c>
      <c r="U391">
        <v>9339459.4594594575</v>
      </c>
      <c r="V391">
        <v>15420810.810810812</v>
      </c>
      <c r="W391">
        <v>1188</v>
      </c>
      <c r="X391">
        <v>1223</v>
      </c>
    </row>
    <row r="392" spans="1:24">
      <c r="A392" s="7" t="s">
        <v>492</v>
      </c>
      <c r="B392" s="16" t="s">
        <v>60</v>
      </c>
      <c r="C392">
        <v>179112033.53922561</v>
      </c>
      <c r="D392">
        <v>163831110.54722789</v>
      </c>
      <c r="E392">
        <v>1179279.279279283</v>
      </c>
      <c r="F392">
        <v>2854954.9549549608</v>
      </c>
      <c r="G392">
        <v>39</v>
      </c>
      <c r="H392">
        <v>41</v>
      </c>
      <c r="I392">
        <v>9</v>
      </c>
      <c r="J392">
        <v>21</v>
      </c>
      <c r="M392">
        <v>42</v>
      </c>
      <c r="N392">
        <v>85</v>
      </c>
      <c r="O392">
        <v>42058558.558558561</v>
      </c>
      <c r="P392">
        <v>35615945.945945941</v>
      </c>
      <c r="Q392">
        <v>199</v>
      </c>
      <c r="R392">
        <v>82</v>
      </c>
      <c r="S392">
        <v>78135090.090090096</v>
      </c>
      <c r="T392">
        <v>74045450.45045045</v>
      </c>
      <c r="U392">
        <v>38064774.774774775</v>
      </c>
      <c r="V392">
        <v>31808198.198198196</v>
      </c>
      <c r="W392">
        <v>3634</v>
      </c>
      <c r="X392">
        <v>3750</v>
      </c>
    </row>
    <row r="393" spans="1:24">
      <c r="A393" s="7" t="s">
        <v>493</v>
      </c>
      <c r="B393" s="16" t="s">
        <v>448</v>
      </c>
      <c r="C393">
        <v>215377478.2593289</v>
      </c>
      <c r="D393">
        <v>198491406.36763239</v>
      </c>
      <c r="E393">
        <v>115315.31531531599</v>
      </c>
      <c r="F393">
        <v>400900.90090090298</v>
      </c>
      <c r="G393">
        <v>118</v>
      </c>
      <c r="H393">
        <v>124</v>
      </c>
      <c r="I393">
        <v>9</v>
      </c>
      <c r="J393">
        <v>2</v>
      </c>
      <c r="K393">
        <v>1</v>
      </c>
      <c r="M393">
        <v>122</v>
      </c>
      <c r="N393">
        <v>206</v>
      </c>
      <c r="O393">
        <v>56848423.423423424</v>
      </c>
      <c r="P393">
        <v>14091891.891891891</v>
      </c>
      <c r="Q393">
        <v>84</v>
      </c>
      <c r="R393">
        <v>20</v>
      </c>
      <c r="S393">
        <v>77673279.279279277</v>
      </c>
      <c r="T393">
        <v>71245315.315315306</v>
      </c>
      <c r="U393">
        <v>59152927.927927926</v>
      </c>
      <c r="V393">
        <v>14868378.37837838</v>
      </c>
      <c r="W393">
        <v>4859</v>
      </c>
      <c r="X393">
        <v>4991</v>
      </c>
    </row>
    <row r="394" spans="1:24">
      <c r="A394" s="7" t="s">
        <v>7</v>
      </c>
      <c r="B394" s="16" t="s">
        <v>193</v>
      </c>
      <c r="C394">
        <v>156477804.23647913</v>
      </c>
      <c r="D394">
        <v>168037627.2902734</v>
      </c>
      <c r="E394">
        <v>40090.090090090001</v>
      </c>
      <c r="F394">
        <v>421621.62162162398</v>
      </c>
      <c r="G394">
        <v>40</v>
      </c>
      <c r="H394">
        <v>47</v>
      </c>
      <c r="I394">
        <v>14</v>
      </c>
      <c r="J394">
        <v>3</v>
      </c>
      <c r="M394">
        <v>43</v>
      </c>
      <c r="N394">
        <v>63</v>
      </c>
      <c r="O394">
        <v>46487837.837837838</v>
      </c>
      <c r="P394">
        <v>28293243.243243244</v>
      </c>
      <c r="Q394">
        <v>252</v>
      </c>
      <c r="R394">
        <v>157</v>
      </c>
      <c r="S394">
        <v>107381828.82882883</v>
      </c>
      <c r="T394">
        <v>117225774.77477477</v>
      </c>
      <c r="U394">
        <v>44650090.090090089</v>
      </c>
      <c r="V394">
        <v>30243153.153153151</v>
      </c>
      <c r="W394">
        <v>4858</v>
      </c>
      <c r="X394">
        <v>4796</v>
      </c>
    </row>
    <row r="395" spans="1:24">
      <c r="A395" s="7" t="s">
        <v>494</v>
      </c>
      <c r="B395" s="16" t="s">
        <v>330</v>
      </c>
      <c r="C395">
        <v>194188009.60933185</v>
      </c>
      <c r="D395">
        <v>192136325.22266862</v>
      </c>
      <c r="E395">
        <v>98198.198198198006</v>
      </c>
      <c r="F395">
        <v>820720.72072072094</v>
      </c>
      <c r="G395">
        <v>91</v>
      </c>
      <c r="H395">
        <v>91</v>
      </c>
      <c r="I395">
        <v>4</v>
      </c>
      <c r="J395">
        <v>3</v>
      </c>
      <c r="M395">
        <v>106</v>
      </c>
      <c r="N395">
        <v>167</v>
      </c>
      <c r="O395">
        <v>10470180.180180181</v>
      </c>
      <c r="P395">
        <v>11573513.513513515</v>
      </c>
      <c r="Q395">
        <v>124</v>
      </c>
      <c r="R395">
        <v>140</v>
      </c>
      <c r="S395">
        <v>51388297.297297299</v>
      </c>
      <c r="T395">
        <v>47627558.558558561</v>
      </c>
      <c r="U395">
        <v>9256216.2162162159</v>
      </c>
      <c r="V395">
        <v>11045135.135135137</v>
      </c>
      <c r="W395">
        <v>5872</v>
      </c>
      <c r="X395">
        <v>6149</v>
      </c>
    </row>
    <row r="396" spans="1:24">
      <c r="A396" s="7" t="s">
        <v>495</v>
      </c>
      <c r="B396" s="16" t="s">
        <v>330</v>
      </c>
      <c r="C396">
        <v>338646636.56388044</v>
      </c>
      <c r="D396">
        <v>323684884.82550812</v>
      </c>
      <c r="E396">
        <v>130630.630630631</v>
      </c>
      <c r="F396">
        <v>2726801.801801804</v>
      </c>
      <c r="G396">
        <v>117</v>
      </c>
      <c r="H396">
        <v>134</v>
      </c>
      <c r="I396">
        <v>7</v>
      </c>
      <c r="J396">
        <v>10</v>
      </c>
      <c r="M396">
        <v>132</v>
      </c>
      <c r="N396">
        <v>168</v>
      </c>
      <c r="O396">
        <v>11144594.594594596</v>
      </c>
      <c r="P396">
        <v>14564144.144144146</v>
      </c>
      <c r="Q396">
        <v>173</v>
      </c>
      <c r="R396">
        <v>165</v>
      </c>
      <c r="S396">
        <v>69703585.585585579</v>
      </c>
      <c r="T396">
        <v>74740905.405405402</v>
      </c>
      <c r="U396">
        <v>10146306.306306306</v>
      </c>
      <c r="V396">
        <v>13773783.783783782</v>
      </c>
      <c r="W396">
        <v>7657</v>
      </c>
      <c r="X396">
        <v>6790</v>
      </c>
    </row>
    <row r="397" spans="1:24">
      <c r="A397" s="7" t="s">
        <v>496</v>
      </c>
      <c r="B397" s="16" t="s">
        <v>330</v>
      </c>
      <c r="C397">
        <v>338382277.83349967</v>
      </c>
      <c r="D397">
        <v>326181027.48310924</v>
      </c>
      <c r="E397">
        <v>1215990.990990994</v>
      </c>
      <c r="F397">
        <v>5381756.7567567583</v>
      </c>
      <c r="G397">
        <v>167</v>
      </c>
      <c r="H397">
        <v>157</v>
      </c>
      <c r="I397">
        <v>19</v>
      </c>
      <c r="J397">
        <v>18</v>
      </c>
      <c r="K397">
        <v>1</v>
      </c>
      <c r="M397">
        <v>198</v>
      </c>
      <c r="N397">
        <v>234</v>
      </c>
      <c r="O397">
        <v>99997837.837837845</v>
      </c>
      <c r="P397">
        <v>40968648.648648649</v>
      </c>
      <c r="Q397">
        <v>229</v>
      </c>
      <c r="R397">
        <v>85</v>
      </c>
      <c r="S397">
        <v>73482189.189189181</v>
      </c>
      <c r="T397">
        <v>73303621.621621609</v>
      </c>
      <c r="U397">
        <v>98483333.333333328</v>
      </c>
      <c r="V397">
        <v>41417747.747747749</v>
      </c>
      <c r="W397">
        <v>8544</v>
      </c>
      <c r="X397">
        <v>8436</v>
      </c>
    </row>
    <row r="398" spans="1:24">
      <c r="A398" s="7" t="s">
        <v>497</v>
      </c>
      <c r="B398" s="16" t="s">
        <v>330</v>
      </c>
      <c r="C398">
        <v>1521642417.1820219</v>
      </c>
      <c r="D398">
        <v>1332845113.1032076</v>
      </c>
      <c r="E398">
        <v>1180163835.1351352</v>
      </c>
      <c r="F398">
        <v>1106391644.1441441</v>
      </c>
      <c r="G398">
        <v>860</v>
      </c>
      <c r="H398">
        <v>715</v>
      </c>
      <c r="I398">
        <v>44</v>
      </c>
      <c r="J398">
        <v>46</v>
      </c>
      <c r="K398">
        <v>50</v>
      </c>
      <c r="M398">
        <v>1469</v>
      </c>
      <c r="N398">
        <v>1827</v>
      </c>
      <c r="O398">
        <v>348144414.41441441</v>
      </c>
      <c r="P398">
        <v>446344654.95495492</v>
      </c>
      <c r="Q398">
        <v>750</v>
      </c>
      <c r="R398">
        <v>633</v>
      </c>
      <c r="S398">
        <v>408189502.7027027</v>
      </c>
      <c r="T398">
        <v>309626738.73873878</v>
      </c>
      <c r="U398">
        <v>172395135.13513514</v>
      </c>
      <c r="V398">
        <v>207867747.74774775</v>
      </c>
      <c r="W398">
        <v>29908</v>
      </c>
      <c r="X398">
        <v>28247</v>
      </c>
    </row>
    <row r="399" spans="1:24">
      <c r="A399" s="7" t="s">
        <v>498</v>
      </c>
      <c r="B399" s="16" t="s">
        <v>330</v>
      </c>
      <c r="C399">
        <v>1097171791.082005</v>
      </c>
      <c r="D399">
        <v>1036130533.0922867</v>
      </c>
      <c r="E399">
        <v>2046576.576576581</v>
      </c>
      <c r="F399">
        <v>11748648.648648653</v>
      </c>
      <c r="G399">
        <v>356</v>
      </c>
      <c r="H399">
        <v>371</v>
      </c>
      <c r="I399">
        <v>43</v>
      </c>
      <c r="J399">
        <v>40</v>
      </c>
      <c r="K399">
        <v>2</v>
      </c>
      <c r="M399">
        <v>434</v>
      </c>
      <c r="N399">
        <v>560</v>
      </c>
      <c r="O399">
        <v>197177927.92792794</v>
      </c>
      <c r="P399">
        <v>225184684.68468466</v>
      </c>
      <c r="Q399">
        <v>768</v>
      </c>
      <c r="R399">
        <v>529</v>
      </c>
      <c r="S399">
        <v>277019324.32432431</v>
      </c>
      <c r="T399">
        <v>262959227.47747746</v>
      </c>
      <c r="U399">
        <v>190957837.83783782</v>
      </c>
      <c r="V399">
        <v>216707657.65765765</v>
      </c>
      <c r="W399">
        <v>27070</v>
      </c>
      <c r="X399">
        <v>26750</v>
      </c>
    </row>
    <row r="400" spans="1:24">
      <c r="A400" s="7" t="s">
        <v>499</v>
      </c>
      <c r="B400" s="16" t="s">
        <v>143</v>
      </c>
      <c r="C400">
        <v>451833650.4341253</v>
      </c>
      <c r="D400">
        <v>422445284.7876265</v>
      </c>
      <c r="E400">
        <v>212004485.58558559</v>
      </c>
      <c r="F400">
        <v>107198795.49549548</v>
      </c>
      <c r="G400">
        <v>269</v>
      </c>
      <c r="H400">
        <v>125</v>
      </c>
      <c r="I400">
        <v>19</v>
      </c>
      <c r="J400">
        <v>15</v>
      </c>
      <c r="K400">
        <v>1</v>
      </c>
      <c r="M400">
        <v>292</v>
      </c>
      <c r="N400">
        <v>265</v>
      </c>
      <c r="O400">
        <v>52879099.0990991</v>
      </c>
      <c r="P400">
        <v>44983783.783783786</v>
      </c>
      <c r="Q400">
        <v>204</v>
      </c>
      <c r="R400">
        <v>142</v>
      </c>
      <c r="S400">
        <v>65032409.009009011</v>
      </c>
      <c r="T400">
        <v>66003421.621621624</v>
      </c>
      <c r="U400">
        <v>25014414.414414417</v>
      </c>
      <c r="V400">
        <v>25653693.693693694</v>
      </c>
      <c r="W400">
        <v>8870</v>
      </c>
      <c r="X400">
        <v>7713</v>
      </c>
    </row>
    <row r="401" spans="1:24">
      <c r="A401" s="7" t="s">
        <v>500</v>
      </c>
      <c r="B401" s="16" t="s">
        <v>220</v>
      </c>
      <c r="C401">
        <v>519811437.55292344</v>
      </c>
      <c r="D401">
        <v>504798524.81556815</v>
      </c>
      <c r="E401">
        <v>1763513.5135135171</v>
      </c>
      <c r="F401">
        <v>5184009.009009012</v>
      </c>
      <c r="G401">
        <v>298</v>
      </c>
      <c r="H401">
        <v>223</v>
      </c>
      <c r="I401">
        <v>32</v>
      </c>
      <c r="J401">
        <v>17</v>
      </c>
      <c r="K401">
        <v>3</v>
      </c>
      <c r="M401">
        <v>368</v>
      </c>
      <c r="N401">
        <v>284</v>
      </c>
      <c r="O401">
        <v>106188288.2882883</v>
      </c>
      <c r="P401">
        <v>173682072.07207206</v>
      </c>
      <c r="Q401">
        <v>422</v>
      </c>
      <c r="R401">
        <v>149</v>
      </c>
      <c r="S401">
        <v>155803648.64864865</v>
      </c>
      <c r="T401">
        <v>155683509.00900903</v>
      </c>
      <c r="U401">
        <v>110054864.86486487</v>
      </c>
      <c r="V401">
        <v>175549549.54954955</v>
      </c>
      <c r="W401">
        <v>12029</v>
      </c>
      <c r="X401">
        <v>12340</v>
      </c>
    </row>
    <row r="402" spans="1:24">
      <c r="A402" s="7" t="s">
        <v>501</v>
      </c>
      <c r="B402" s="16" t="s">
        <v>397</v>
      </c>
      <c r="C402">
        <v>1373615958.8235106</v>
      </c>
      <c r="D402">
        <v>1422332262.8017762</v>
      </c>
      <c r="E402">
        <v>338457552.25225228</v>
      </c>
      <c r="F402">
        <v>178322002.70270273</v>
      </c>
      <c r="G402">
        <v>470</v>
      </c>
      <c r="H402">
        <v>442</v>
      </c>
      <c r="I402">
        <v>31</v>
      </c>
      <c r="J402">
        <v>58</v>
      </c>
      <c r="M402">
        <v>609</v>
      </c>
      <c r="N402">
        <v>561</v>
      </c>
      <c r="O402">
        <v>200514639.63963965</v>
      </c>
      <c r="P402">
        <v>162028603.6036036</v>
      </c>
      <c r="Q402">
        <v>856</v>
      </c>
      <c r="R402">
        <v>798</v>
      </c>
      <c r="S402">
        <v>293753014.41441441</v>
      </c>
      <c r="T402">
        <v>302991933.33333331</v>
      </c>
      <c r="U402">
        <v>181901306.3063063</v>
      </c>
      <c r="V402">
        <v>151888693.6936937</v>
      </c>
      <c r="W402">
        <v>26683</v>
      </c>
      <c r="X402">
        <v>26700</v>
      </c>
    </row>
    <row r="403" spans="1:24">
      <c r="A403" s="7" t="s">
        <v>502</v>
      </c>
      <c r="B403" s="16" t="s">
        <v>70</v>
      </c>
      <c r="C403">
        <v>21417038.376323473</v>
      </c>
      <c r="D403">
        <v>22064451.111459281</v>
      </c>
      <c r="E403">
        <v>77927.927927928002</v>
      </c>
      <c r="F403">
        <v>242342.34234234301</v>
      </c>
      <c r="G403">
        <v>5</v>
      </c>
      <c r="H403">
        <v>10</v>
      </c>
      <c r="I403">
        <v>0</v>
      </c>
      <c r="J403">
        <v>1</v>
      </c>
      <c r="M403">
        <v>6</v>
      </c>
      <c r="N403">
        <v>10</v>
      </c>
      <c r="O403">
        <v>820720.72072072094</v>
      </c>
      <c r="P403">
        <v>1101801.801801801</v>
      </c>
      <c r="Q403">
        <v>1</v>
      </c>
      <c r="R403">
        <v>51</v>
      </c>
      <c r="S403">
        <v>15895090.09009009</v>
      </c>
      <c r="T403">
        <v>15695891.891891891</v>
      </c>
      <c r="U403">
        <v>2287837.8378378372</v>
      </c>
      <c r="V403">
        <v>907027.02702702605</v>
      </c>
      <c r="W403">
        <v>695</v>
      </c>
      <c r="X403">
        <v>766</v>
      </c>
    </row>
    <row r="404" spans="1:24">
      <c r="A404" s="7" t="s">
        <v>503</v>
      </c>
      <c r="B404" s="16" t="s">
        <v>330</v>
      </c>
      <c r="C404">
        <v>595209318.11057842</v>
      </c>
      <c r="D404">
        <v>600067464.24669921</v>
      </c>
      <c r="E404">
        <v>2435135.135135137</v>
      </c>
      <c r="F404">
        <v>5025000</v>
      </c>
      <c r="G404">
        <v>217</v>
      </c>
      <c r="H404">
        <v>214</v>
      </c>
      <c r="I404">
        <v>14</v>
      </c>
      <c r="J404">
        <v>21</v>
      </c>
      <c r="M404">
        <v>281</v>
      </c>
      <c r="N404">
        <v>362</v>
      </c>
      <c r="O404">
        <v>56441981.981981985</v>
      </c>
      <c r="P404">
        <v>65606351.351351343</v>
      </c>
      <c r="Q404">
        <v>358</v>
      </c>
      <c r="R404">
        <v>195</v>
      </c>
      <c r="S404">
        <v>160276005.4054054</v>
      </c>
      <c r="T404">
        <v>178461488.73873875</v>
      </c>
      <c r="U404">
        <v>53733243.243243247</v>
      </c>
      <c r="V404">
        <v>65640990.990990989</v>
      </c>
      <c r="W404">
        <v>15874</v>
      </c>
      <c r="X404">
        <v>16158</v>
      </c>
    </row>
    <row r="405" spans="1:24">
      <c r="A405" s="7" t="s">
        <v>504</v>
      </c>
      <c r="B405" s="16" t="s">
        <v>283</v>
      </c>
      <c r="C405">
        <v>190986108.58191285</v>
      </c>
      <c r="D405">
        <v>183975993.05096745</v>
      </c>
      <c r="E405">
        <v>141223514.41441441</v>
      </c>
      <c r="F405">
        <v>233631272.97297296</v>
      </c>
      <c r="G405">
        <v>22</v>
      </c>
      <c r="H405">
        <v>35</v>
      </c>
      <c r="I405">
        <v>2</v>
      </c>
      <c r="J405">
        <v>1</v>
      </c>
      <c r="M405">
        <v>26</v>
      </c>
      <c r="N405">
        <v>36</v>
      </c>
      <c r="O405">
        <v>30187531.531531531</v>
      </c>
      <c r="P405">
        <v>39092769.369369365</v>
      </c>
      <c r="Q405">
        <v>35</v>
      </c>
      <c r="R405">
        <v>3</v>
      </c>
      <c r="S405">
        <v>35140810.810810812</v>
      </c>
      <c r="T405">
        <v>32150387.387387387</v>
      </c>
      <c r="U405">
        <v>15848468.468468469</v>
      </c>
      <c r="V405">
        <v>13506576.576576576</v>
      </c>
      <c r="W405">
        <v>3145</v>
      </c>
      <c r="X405">
        <v>3130</v>
      </c>
    </row>
    <row r="406" spans="1:24">
      <c r="A406" s="7" t="s">
        <v>505</v>
      </c>
      <c r="B406" s="16" t="s">
        <v>260</v>
      </c>
      <c r="C406">
        <v>110403245.16721219</v>
      </c>
      <c r="D406">
        <v>112441351.55563495</v>
      </c>
      <c r="E406">
        <v>9909.9099099100004</v>
      </c>
      <c r="F406">
        <v>54954.954954954999</v>
      </c>
      <c r="G406">
        <v>4</v>
      </c>
      <c r="H406">
        <v>5</v>
      </c>
      <c r="I406">
        <v>1</v>
      </c>
      <c r="J406">
        <v>1</v>
      </c>
      <c r="K406">
        <v>1</v>
      </c>
      <c r="M406">
        <v>5</v>
      </c>
      <c r="N406">
        <v>7</v>
      </c>
      <c r="O406">
        <v>1586486.4864864859</v>
      </c>
      <c r="P406">
        <v>1865765.7657657659</v>
      </c>
      <c r="Q406">
        <v>9</v>
      </c>
      <c r="R406">
        <v>3</v>
      </c>
      <c r="S406">
        <v>25242927.927927926</v>
      </c>
      <c r="T406">
        <v>25176603.603603605</v>
      </c>
      <c r="U406">
        <v>1415315.315315316</v>
      </c>
      <c r="V406">
        <v>1362162.1621621619</v>
      </c>
      <c r="W406">
        <v>2277</v>
      </c>
      <c r="X406">
        <v>2058</v>
      </c>
    </row>
    <row r="407" spans="1:24">
      <c r="A407" s="7" t="s">
        <v>506</v>
      </c>
      <c r="B407" s="16" t="s">
        <v>236</v>
      </c>
      <c r="C407">
        <v>294302466.92557466</v>
      </c>
      <c r="D407">
        <v>277952801.49777216</v>
      </c>
      <c r="E407">
        <v>414954.95495495701</v>
      </c>
      <c r="F407">
        <v>1666216.216216217</v>
      </c>
      <c r="G407">
        <v>76</v>
      </c>
      <c r="H407">
        <v>38</v>
      </c>
      <c r="I407">
        <v>11</v>
      </c>
      <c r="J407">
        <v>12</v>
      </c>
      <c r="M407">
        <v>105</v>
      </c>
      <c r="N407">
        <v>213</v>
      </c>
      <c r="O407">
        <v>61619459.459459461</v>
      </c>
      <c r="P407">
        <v>57090405.40540541</v>
      </c>
      <c r="Q407">
        <v>83</v>
      </c>
      <c r="R407">
        <v>61</v>
      </c>
      <c r="S407">
        <v>65975328.828828834</v>
      </c>
      <c r="T407">
        <v>62701693.693693697</v>
      </c>
      <c r="U407">
        <v>61216756.75675676</v>
      </c>
      <c r="V407">
        <v>55141846.846846849</v>
      </c>
      <c r="W407">
        <v>4491</v>
      </c>
      <c r="X407">
        <v>4520</v>
      </c>
    </row>
    <row r="408" spans="1:24">
      <c r="A408" s="7" t="s">
        <v>507</v>
      </c>
      <c r="B408" s="16" t="s">
        <v>134</v>
      </c>
      <c r="C408">
        <v>46224490.747313894</v>
      </c>
      <c r="D408">
        <v>32389596.382354394</v>
      </c>
      <c r="G408">
        <v>1</v>
      </c>
      <c r="H408">
        <v>2</v>
      </c>
      <c r="I408">
        <v>0</v>
      </c>
      <c r="M408">
        <v>1</v>
      </c>
      <c r="N408">
        <v>2</v>
      </c>
      <c r="O408">
        <v>45045.045045045001</v>
      </c>
      <c r="Q408">
        <v>5</v>
      </c>
      <c r="S408">
        <v>7610270.2702702703</v>
      </c>
      <c r="T408">
        <v>5615081.0810810812</v>
      </c>
      <c r="U408">
        <v>45045.045045045001</v>
      </c>
      <c r="W408">
        <v>1272</v>
      </c>
      <c r="X408">
        <v>1262</v>
      </c>
    </row>
    <row r="409" spans="1:24">
      <c r="A409" s="7" t="s">
        <v>508</v>
      </c>
      <c r="B409" s="16" t="s">
        <v>397</v>
      </c>
      <c r="C409">
        <v>296251173.37670588</v>
      </c>
      <c r="D409">
        <v>289544777.80403346</v>
      </c>
      <c r="E409">
        <v>66806081.081081077</v>
      </c>
      <c r="F409">
        <v>86280180.180180177</v>
      </c>
      <c r="G409">
        <v>63</v>
      </c>
      <c r="H409">
        <v>51</v>
      </c>
      <c r="I409">
        <v>4</v>
      </c>
      <c r="J409">
        <v>9</v>
      </c>
      <c r="M409">
        <v>72</v>
      </c>
      <c r="N409">
        <v>80</v>
      </c>
      <c r="O409">
        <v>30023648.648648649</v>
      </c>
      <c r="P409">
        <v>33287837.837837838</v>
      </c>
      <c r="Q409">
        <v>51</v>
      </c>
      <c r="R409">
        <v>320</v>
      </c>
      <c r="S409">
        <v>42140630.630630635</v>
      </c>
      <c r="T409">
        <v>44386351.351351351</v>
      </c>
      <c r="U409">
        <v>23086891.891891893</v>
      </c>
      <c r="V409">
        <v>32438738.738738742</v>
      </c>
      <c r="W409">
        <v>4511</v>
      </c>
      <c r="X409">
        <v>4497</v>
      </c>
    </row>
    <row r="410" spans="1:24">
      <c r="A410" s="7" t="s">
        <v>509</v>
      </c>
      <c r="B410" s="16" t="s">
        <v>134</v>
      </c>
      <c r="C410">
        <v>321231792.12340879</v>
      </c>
      <c r="D410">
        <v>320760720.65422726</v>
      </c>
      <c r="E410">
        <v>1670045.0450450459</v>
      </c>
      <c r="F410">
        <v>1712612.6126126151</v>
      </c>
      <c r="G410">
        <v>89</v>
      </c>
      <c r="H410">
        <v>69</v>
      </c>
      <c r="I410">
        <v>17</v>
      </c>
      <c r="J410">
        <v>10</v>
      </c>
      <c r="K410">
        <v>2</v>
      </c>
      <c r="M410">
        <v>93</v>
      </c>
      <c r="N410">
        <v>85</v>
      </c>
      <c r="O410">
        <v>40200000</v>
      </c>
      <c r="P410">
        <v>29897297.297297295</v>
      </c>
      <c r="Q410">
        <v>294</v>
      </c>
      <c r="R410">
        <v>143</v>
      </c>
      <c r="S410">
        <v>58212354.054054059</v>
      </c>
      <c r="T410">
        <v>51816484.234234229</v>
      </c>
      <c r="U410">
        <v>28308378.378378376</v>
      </c>
      <c r="V410">
        <v>24778378.378378376</v>
      </c>
      <c r="W410">
        <v>5506</v>
      </c>
      <c r="X410">
        <v>5519</v>
      </c>
    </row>
    <row r="411" spans="1:24">
      <c r="A411" s="7" t="s">
        <v>510</v>
      </c>
      <c r="B411" s="16" t="s">
        <v>134</v>
      </c>
      <c r="C411">
        <v>881852436.01087534</v>
      </c>
      <c r="D411">
        <v>881559273.51026607</v>
      </c>
      <c r="E411">
        <v>2096351.351351358</v>
      </c>
      <c r="F411">
        <v>5365765.7657657741</v>
      </c>
      <c r="G411">
        <v>332</v>
      </c>
      <c r="H411">
        <v>162</v>
      </c>
      <c r="I411">
        <v>34</v>
      </c>
      <c r="J411">
        <v>25</v>
      </c>
      <c r="K411">
        <v>10</v>
      </c>
      <c r="M411">
        <v>377</v>
      </c>
      <c r="N411">
        <v>255</v>
      </c>
      <c r="O411">
        <v>69093963.963963971</v>
      </c>
      <c r="P411">
        <v>65958558.558558561</v>
      </c>
      <c r="Q411">
        <v>530</v>
      </c>
      <c r="R411">
        <v>737</v>
      </c>
      <c r="S411">
        <v>106721027.02702703</v>
      </c>
      <c r="T411">
        <v>92853954.954954967</v>
      </c>
      <c r="U411">
        <v>60855855.855855845</v>
      </c>
      <c r="V411">
        <v>63554144.144144148</v>
      </c>
      <c r="W411">
        <v>16365</v>
      </c>
      <c r="X411">
        <v>16528</v>
      </c>
    </row>
    <row r="412" spans="1:24">
      <c r="A412" s="7" t="s">
        <v>8</v>
      </c>
      <c r="B412" s="16" t="s">
        <v>158</v>
      </c>
      <c r="C412">
        <v>234949442.59144345</v>
      </c>
      <c r="D412">
        <v>232854144.29944199</v>
      </c>
      <c r="E412">
        <v>2347747.747747751</v>
      </c>
      <c r="F412">
        <v>4509009.0090090111</v>
      </c>
      <c r="G412">
        <v>23</v>
      </c>
      <c r="H412">
        <v>20</v>
      </c>
      <c r="I412">
        <v>9</v>
      </c>
      <c r="J412">
        <v>4</v>
      </c>
      <c r="M412">
        <v>25</v>
      </c>
      <c r="N412">
        <v>23</v>
      </c>
      <c r="O412">
        <v>32816666.666666664</v>
      </c>
      <c r="P412">
        <v>42172072.072072074</v>
      </c>
      <c r="Q412">
        <v>117</v>
      </c>
      <c r="R412">
        <v>51</v>
      </c>
      <c r="S412">
        <v>69177828.828828827</v>
      </c>
      <c r="T412">
        <v>68903666.666666657</v>
      </c>
      <c r="U412">
        <v>32813243.24324324</v>
      </c>
      <c r="V412">
        <v>39336756.756756753</v>
      </c>
      <c r="W412">
        <v>4074</v>
      </c>
      <c r="X412">
        <v>3882</v>
      </c>
    </row>
    <row r="413" spans="1:24">
      <c r="A413" s="7" t="s">
        <v>511</v>
      </c>
      <c r="B413" s="16" t="s">
        <v>134</v>
      </c>
      <c r="C413">
        <v>152357898.54198185</v>
      </c>
      <c r="D413">
        <v>170717983.36130199</v>
      </c>
      <c r="E413">
        <v>280180.18018018</v>
      </c>
      <c r="F413">
        <v>743243.24324324296</v>
      </c>
      <c r="G413">
        <v>54</v>
      </c>
      <c r="H413">
        <v>13</v>
      </c>
      <c r="I413">
        <v>4</v>
      </c>
      <c r="J413">
        <v>3</v>
      </c>
      <c r="M413">
        <v>100</v>
      </c>
      <c r="N413">
        <v>15</v>
      </c>
      <c r="O413">
        <v>3343243.243243244</v>
      </c>
      <c r="P413">
        <v>6148648.6486486495</v>
      </c>
      <c r="Q413">
        <v>30</v>
      </c>
      <c r="S413">
        <v>20822963.963963963</v>
      </c>
      <c r="T413">
        <v>23382450.45045045</v>
      </c>
      <c r="U413">
        <v>4156486.4864864862</v>
      </c>
      <c r="V413">
        <v>4748378.3783783801</v>
      </c>
      <c r="W413">
        <v>3933</v>
      </c>
      <c r="X413">
        <v>3693</v>
      </c>
    </row>
    <row r="414" spans="1:24">
      <c r="A414" s="7" t="s">
        <v>512</v>
      </c>
      <c r="B414" s="16" t="s">
        <v>62</v>
      </c>
      <c r="C414">
        <v>753456390.0827843</v>
      </c>
      <c r="D414">
        <v>741861244.90488231</v>
      </c>
      <c r="E414">
        <v>3653153.1531531569</v>
      </c>
      <c r="F414">
        <v>4959459.459459465</v>
      </c>
      <c r="G414">
        <v>87</v>
      </c>
      <c r="H414">
        <v>179</v>
      </c>
      <c r="I414">
        <v>14</v>
      </c>
      <c r="J414">
        <v>27</v>
      </c>
      <c r="M414">
        <v>115</v>
      </c>
      <c r="N414">
        <v>296</v>
      </c>
      <c r="O414">
        <v>32690090.090090089</v>
      </c>
      <c r="P414">
        <v>108296846.84684685</v>
      </c>
      <c r="Q414">
        <v>163</v>
      </c>
      <c r="R414">
        <v>204</v>
      </c>
      <c r="S414">
        <v>145242774.77477479</v>
      </c>
      <c r="T414">
        <v>154961451.35135135</v>
      </c>
      <c r="U414">
        <v>30843333.333333336</v>
      </c>
      <c r="V414">
        <v>106648108.10810812</v>
      </c>
      <c r="W414">
        <v>14385</v>
      </c>
      <c r="X414">
        <v>14590</v>
      </c>
    </row>
    <row r="415" spans="1:24">
      <c r="A415" s="7" t="s">
        <v>513</v>
      </c>
      <c r="B415" s="16" t="s">
        <v>117</v>
      </c>
      <c r="C415">
        <v>85421223.808137178</v>
      </c>
      <c r="D415">
        <v>76769803.581331983</v>
      </c>
      <c r="E415">
        <v>15315.315315317001</v>
      </c>
      <c r="F415">
        <v>301801.80180180201</v>
      </c>
      <c r="G415">
        <v>91</v>
      </c>
      <c r="H415">
        <v>32</v>
      </c>
      <c r="I415">
        <v>4</v>
      </c>
      <c r="J415">
        <v>3</v>
      </c>
      <c r="M415">
        <v>92</v>
      </c>
      <c r="N415">
        <v>32</v>
      </c>
      <c r="O415">
        <v>4763243.2432432426</v>
      </c>
      <c r="P415">
        <v>3746216.2162162159</v>
      </c>
      <c r="Q415">
        <v>83</v>
      </c>
      <c r="R415">
        <v>2</v>
      </c>
      <c r="S415">
        <v>40900000</v>
      </c>
      <c r="T415">
        <v>33413306.306306303</v>
      </c>
      <c r="U415">
        <v>4257387.3873873856</v>
      </c>
      <c r="V415">
        <v>3060000.0000000009</v>
      </c>
      <c r="W415">
        <v>2014</v>
      </c>
      <c r="X415">
        <v>2008</v>
      </c>
    </row>
    <row r="416" spans="1:24">
      <c r="A416" s="7" t="s">
        <v>514</v>
      </c>
      <c r="B416" s="16" t="s">
        <v>304</v>
      </c>
      <c r="C416">
        <v>144143936.21424949</v>
      </c>
      <c r="D416">
        <v>138655836.75367317</v>
      </c>
      <c r="E416">
        <v>434234.23423423403</v>
      </c>
      <c r="F416">
        <v>1654954.954954955</v>
      </c>
      <c r="G416">
        <v>56</v>
      </c>
      <c r="H416">
        <v>76</v>
      </c>
      <c r="I416">
        <v>6</v>
      </c>
      <c r="J416">
        <v>6</v>
      </c>
      <c r="M416">
        <v>60</v>
      </c>
      <c r="N416">
        <v>79</v>
      </c>
      <c r="O416">
        <v>3812612.612612613</v>
      </c>
      <c r="P416">
        <v>11966216.216216216</v>
      </c>
      <c r="Q416">
        <v>92</v>
      </c>
      <c r="R416">
        <v>24</v>
      </c>
      <c r="S416">
        <v>12895945.945945946</v>
      </c>
      <c r="T416">
        <v>14149819.819819819</v>
      </c>
      <c r="U416">
        <v>5265855.8558558552</v>
      </c>
      <c r="V416">
        <v>10968108.108108109</v>
      </c>
      <c r="W416">
        <v>1558</v>
      </c>
      <c r="X416">
        <v>1475</v>
      </c>
    </row>
    <row r="417" spans="1:24">
      <c r="A417" s="7" t="s">
        <v>515</v>
      </c>
      <c r="B417" s="16" t="s">
        <v>304</v>
      </c>
      <c r="C417">
        <v>42087595.237297021</v>
      </c>
      <c r="D417">
        <v>38216621.023059011</v>
      </c>
      <c r="E417">
        <v>120821545.04504503</v>
      </c>
      <c r="F417">
        <v>110326900.9009009</v>
      </c>
      <c r="G417">
        <v>12</v>
      </c>
      <c r="H417">
        <v>10</v>
      </c>
      <c r="I417">
        <v>3</v>
      </c>
      <c r="J417">
        <v>2</v>
      </c>
      <c r="M417">
        <v>12</v>
      </c>
      <c r="N417">
        <v>10</v>
      </c>
      <c r="O417">
        <v>36736396.396396399</v>
      </c>
      <c r="P417">
        <v>4493693.6936936928</v>
      </c>
      <c r="Q417">
        <v>14</v>
      </c>
      <c r="R417">
        <v>28</v>
      </c>
      <c r="S417">
        <v>6237972.9729729732</v>
      </c>
      <c r="T417">
        <v>5656135.1351351347</v>
      </c>
      <c r="U417">
        <v>5080450.4504504493</v>
      </c>
      <c r="V417">
        <v>3320180.180180179</v>
      </c>
      <c r="W417">
        <v>588</v>
      </c>
      <c r="X417">
        <v>599</v>
      </c>
    </row>
    <row r="418" spans="1:24">
      <c r="A418" s="7" t="s">
        <v>516</v>
      </c>
      <c r="B418" s="16" t="s">
        <v>304</v>
      </c>
      <c r="C418">
        <v>77140470.081245303</v>
      </c>
      <c r="D418">
        <v>81708524.515995145</v>
      </c>
      <c r="E418">
        <v>23963.963963964001</v>
      </c>
      <c r="F418">
        <v>754954.95495495305</v>
      </c>
      <c r="G418">
        <v>35</v>
      </c>
      <c r="H418">
        <v>39</v>
      </c>
      <c r="I418">
        <v>2</v>
      </c>
      <c r="J418">
        <v>4</v>
      </c>
      <c r="M418">
        <v>38</v>
      </c>
      <c r="N418">
        <v>45</v>
      </c>
      <c r="O418">
        <v>5861801.8018017998</v>
      </c>
      <c r="P418">
        <v>4110810.81081081</v>
      </c>
      <c r="Q418">
        <v>60</v>
      </c>
      <c r="R418">
        <v>28</v>
      </c>
      <c r="S418">
        <v>11141576.576576576</v>
      </c>
      <c r="T418">
        <v>12585099.0990991</v>
      </c>
      <c r="U418">
        <v>5243783.7837837832</v>
      </c>
      <c r="V418">
        <v>3952072.072072071</v>
      </c>
      <c r="W418">
        <v>1086</v>
      </c>
      <c r="X418">
        <v>1092</v>
      </c>
    </row>
    <row r="419" spans="1:24">
      <c r="A419" s="7" t="s">
        <v>517</v>
      </c>
      <c r="B419" s="16" t="s">
        <v>304</v>
      </c>
      <c r="C419">
        <v>65600199.440825984</v>
      </c>
      <c r="D419">
        <v>64107020.102004163</v>
      </c>
      <c r="E419">
        <v>156756.75675675701</v>
      </c>
      <c r="F419">
        <v>94594.594594594993</v>
      </c>
      <c r="G419">
        <v>20</v>
      </c>
      <c r="H419">
        <v>24</v>
      </c>
      <c r="I419">
        <v>3</v>
      </c>
      <c r="J419">
        <v>2</v>
      </c>
      <c r="M419">
        <v>21</v>
      </c>
      <c r="N419">
        <v>25</v>
      </c>
      <c r="O419">
        <v>2517117.1171171172</v>
      </c>
      <c r="P419">
        <v>1445945.945945946</v>
      </c>
      <c r="Q419">
        <v>4</v>
      </c>
      <c r="R419">
        <v>5</v>
      </c>
      <c r="S419">
        <v>8439459.4594594594</v>
      </c>
      <c r="T419">
        <v>8510261.2612612601</v>
      </c>
      <c r="U419">
        <v>1889009.0090090081</v>
      </c>
      <c r="V419">
        <v>1197207.2072072059</v>
      </c>
      <c r="W419">
        <v>790</v>
      </c>
      <c r="X419">
        <v>815</v>
      </c>
    </row>
    <row r="420" spans="1:24">
      <c r="A420" s="7" t="s">
        <v>518</v>
      </c>
      <c r="B420" s="16" t="s">
        <v>448</v>
      </c>
      <c r="C420">
        <v>68069173.98995252</v>
      </c>
      <c r="D420">
        <v>65843340.222184949</v>
      </c>
      <c r="E420">
        <v>443243.24324324401</v>
      </c>
      <c r="F420">
        <v>347747.74774774798</v>
      </c>
      <c r="G420">
        <v>39</v>
      </c>
      <c r="H420">
        <v>15</v>
      </c>
      <c r="I420">
        <v>3</v>
      </c>
      <c r="M420">
        <v>50</v>
      </c>
      <c r="N420">
        <v>17</v>
      </c>
      <c r="O420">
        <v>4683693.6936936928</v>
      </c>
      <c r="P420">
        <v>4161711.7117117122</v>
      </c>
      <c r="Q420">
        <v>20</v>
      </c>
      <c r="S420">
        <v>24047954.954954956</v>
      </c>
      <c r="T420">
        <v>22345443.693693697</v>
      </c>
      <c r="U420">
        <v>4742702.702702703</v>
      </c>
      <c r="V420">
        <v>4552342.3423423423</v>
      </c>
      <c r="W420">
        <v>1779</v>
      </c>
      <c r="X420">
        <v>2221</v>
      </c>
    </row>
    <row r="421" spans="1:24">
      <c r="A421" s="7" t="s">
        <v>519</v>
      </c>
      <c r="B421" s="16" t="s">
        <v>85</v>
      </c>
      <c r="C421">
        <v>200464219.29320595</v>
      </c>
      <c r="D421">
        <v>204944078.47917849</v>
      </c>
      <c r="E421">
        <v>229729.72972973101</v>
      </c>
      <c r="F421">
        <v>1635135.1351351361</v>
      </c>
      <c r="G421">
        <v>45</v>
      </c>
      <c r="H421">
        <v>31</v>
      </c>
      <c r="I421">
        <v>6</v>
      </c>
      <c r="J421">
        <v>7</v>
      </c>
      <c r="K421">
        <v>1</v>
      </c>
      <c r="M421">
        <v>48</v>
      </c>
      <c r="N421">
        <v>42</v>
      </c>
      <c r="O421">
        <v>28671171.171171173</v>
      </c>
      <c r="P421">
        <v>39411261.261261262</v>
      </c>
      <c r="Q421">
        <v>65</v>
      </c>
      <c r="R421">
        <v>48</v>
      </c>
      <c r="S421">
        <v>48121621.621621624</v>
      </c>
      <c r="T421">
        <v>50688115.315315314</v>
      </c>
      <c r="U421">
        <v>19946666.666666664</v>
      </c>
      <c r="V421">
        <v>33932926.126126125</v>
      </c>
      <c r="W421">
        <v>3877</v>
      </c>
      <c r="X421">
        <v>4220</v>
      </c>
    </row>
    <row r="422" spans="1:24">
      <c r="A422" s="7" t="s">
        <v>520</v>
      </c>
      <c r="B422" s="16" t="s">
        <v>304</v>
      </c>
      <c r="C422">
        <v>100243019.63073386</v>
      </c>
      <c r="D422">
        <v>104142834.29166545</v>
      </c>
      <c r="E422">
        <v>372072.07207207201</v>
      </c>
      <c r="F422">
        <v>44144.144144143997</v>
      </c>
      <c r="G422">
        <v>47</v>
      </c>
      <c r="H422">
        <v>12</v>
      </c>
      <c r="I422">
        <v>2</v>
      </c>
      <c r="J422">
        <v>0</v>
      </c>
      <c r="M422">
        <v>49</v>
      </c>
      <c r="N422">
        <v>13</v>
      </c>
      <c r="O422">
        <v>7831531.5315315314</v>
      </c>
      <c r="P422">
        <v>5756756.7567567565</v>
      </c>
      <c r="Q422">
        <v>18</v>
      </c>
      <c r="R422">
        <v>8</v>
      </c>
      <c r="S422">
        <v>17649774.774774775</v>
      </c>
      <c r="T422">
        <v>17719563.063063063</v>
      </c>
      <c r="U422">
        <v>3855945.945945946</v>
      </c>
      <c r="V422">
        <v>3226846.8468468469</v>
      </c>
      <c r="W422">
        <v>1554</v>
      </c>
      <c r="X422">
        <v>1435</v>
      </c>
    </row>
    <row r="423" spans="1:24">
      <c r="A423" s="7" t="s">
        <v>521</v>
      </c>
      <c r="B423" s="16" t="s">
        <v>399</v>
      </c>
      <c r="C423">
        <v>729023056.25207615</v>
      </c>
      <c r="D423">
        <v>718349555.91277301</v>
      </c>
      <c r="E423">
        <v>248564012.61261261</v>
      </c>
      <c r="F423">
        <v>182661358.55855855</v>
      </c>
      <c r="G423">
        <v>457</v>
      </c>
      <c r="H423">
        <v>156</v>
      </c>
      <c r="I423">
        <v>52</v>
      </c>
      <c r="J423">
        <v>44</v>
      </c>
      <c r="K423">
        <v>6</v>
      </c>
      <c r="M423">
        <v>514</v>
      </c>
      <c r="N423">
        <v>646</v>
      </c>
      <c r="O423">
        <v>149588513.51351351</v>
      </c>
      <c r="P423">
        <v>132432882.88288288</v>
      </c>
      <c r="Q423">
        <v>579</v>
      </c>
      <c r="R423">
        <v>1084</v>
      </c>
      <c r="S423">
        <v>183360261.26126125</v>
      </c>
      <c r="T423">
        <v>182969927.92792794</v>
      </c>
      <c r="U423">
        <v>126299279.27927928</v>
      </c>
      <c r="V423">
        <v>111966576.57657658</v>
      </c>
      <c r="W423">
        <v>13930</v>
      </c>
      <c r="X423">
        <v>13680</v>
      </c>
    </row>
    <row r="424" spans="1:24">
      <c r="A424" s="7" t="s">
        <v>522</v>
      </c>
      <c r="B424" s="16" t="s">
        <v>143</v>
      </c>
      <c r="C424">
        <v>205869145.06387204</v>
      </c>
      <c r="D424">
        <v>202621288.53242564</v>
      </c>
      <c r="E424">
        <v>292792.792792794</v>
      </c>
      <c r="F424">
        <v>573873.87387387396</v>
      </c>
      <c r="G424">
        <v>40</v>
      </c>
      <c r="H424">
        <v>56</v>
      </c>
      <c r="I424">
        <v>6</v>
      </c>
      <c r="J424">
        <v>2</v>
      </c>
      <c r="M424">
        <v>47</v>
      </c>
      <c r="N424">
        <v>59</v>
      </c>
      <c r="O424">
        <v>12671171.171171172</v>
      </c>
      <c r="P424">
        <v>12285585.585585589</v>
      </c>
      <c r="Q424">
        <v>18</v>
      </c>
      <c r="S424">
        <v>23754630.630630631</v>
      </c>
      <c r="T424">
        <v>26128108.108108107</v>
      </c>
      <c r="U424">
        <v>10983513.513513513</v>
      </c>
      <c r="V424">
        <v>11630360.36036036</v>
      </c>
      <c r="W424">
        <v>2877</v>
      </c>
      <c r="X424">
        <v>3016</v>
      </c>
    </row>
    <row r="425" spans="1:24">
      <c r="A425" s="7" t="s">
        <v>523</v>
      </c>
      <c r="B425" s="16" t="s">
        <v>66</v>
      </c>
      <c r="C425">
        <v>136658914.45637941</v>
      </c>
      <c r="D425">
        <v>141260999.6201447</v>
      </c>
      <c r="E425">
        <v>67207.207207208005</v>
      </c>
      <c r="F425">
        <v>3094594.594594596</v>
      </c>
      <c r="G425">
        <v>38</v>
      </c>
      <c r="H425">
        <v>33</v>
      </c>
      <c r="I425">
        <v>3</v>
      </c>
      <c r="J425">
        <v>3</v>
      </c>
      <c r="K425">
        <v>1</v>
      </c>
      <c r="M425">
        <v>41</v>
      </c>
      <c r="N425">
        <v>40</v>
      </c>
      <c r="O425">
        <v>15232792.792792792</v>
      </c>
      <c r="P425">
        <v>60867567.567567565</v>
      </c>
      <c r="Q425">
        <v>164</v>
      </c>
      <c r="R425">
        <v>12</v>
      </c>
      <c r="S425">
        <v>64100405.40540541</v>
      </c>
      <c r="T425">
        <v>67728963.963963971</v>
      </c>
      <c r="U425">
        <v>14866126.126126122</v>
      </c>
      <c r="V425">
        <v>50856666.666666664</v>
      </c>
      <c r="W425">
        <v>3667</v>
      </c>
      <c r="X425">
        <v>3793</v>
      </c>
    </row>
    <row r="426" spans="1:24">
      <c r="A426" s="7" t="s">
        <v>524</v>
      </c>
      <c r="B426" s="16" t="s">
        <v>220</v>
      </c>
      <c r="C426">
        <v>196415790.55194753</v>
      </c>
      <c r="D426">
        <v>182123537.58604947</v>
      </c>
      <c r="E426">
        <v>85079279.279279277</v>
      </c>
      <c r="F426">
        <v>106648648.64864863</v>
      </c>
      <c r="G426">
        <v>72</v>
      </c>
      <c r="H426">
        <v>64</v>
      </c>
      <c r="I426">
        <v>5</v>
      </c>
      <c r="J426">
        <v>2</v>
      </c>
      <c r="M426">
        <v>78</v>
      </c>
      <c r="N426">
        <v>74</v>
      </c>
      <c r="O426">
        <v>95066441.441441447</v>
      </c>
      <c r="P426">
        <v>21238963.963963963</v>
      </c>
      <c r="Q426">
        <v>10</v>
      </c>
      <c r="R426">
        <v>7</v>
      </c>
      <c r="S426">
        <v>47568396.396396399</v>
      </c>
      <c r="T426">
        <v>45608684.684684686</v>
      </c>
      <c r="U426">
        <v>10071711.711711712</v>
      </c>
      <c r="V426">
        <v>9495945.9459459446</v>
      </c>
      <c r="W426">
        <v>4567</v>
      </c>
      <c r="X426">
        <v>4394</v>
      </c>
    </row>
    <row r="427" spans="1:24">
      <c r="A427" s="7" t="s">
        <v>525</v>
      </c>
      <c r="B427" s="16" t="s">
        <v>413</v>
      </c>
      <c r="C427">
        <v>2073729880.755054</v>
      </c>
      <c r="D427">
        <v>2013103035.3208218</v>
      </c>
      <c r="E427">
        <v>925539098.1981982</v>
      </c>
      <c r="F427">
        <v>559399925.22522521</v>
      </c>
      <c r="G427">
        <v>470</v>
      </c>
      <c r="H427">
        <v>358</v>
      </c>
      <c r="I427">
        <v>28</v>
      </c>
      <c r="J427">
        <v>47</v>
      </c>
      <c r="M427">
        <v>744</v>
      </c>
      <c r="N427">
        <v>1248</v>
      </c>
      <c r="O427">
        <v>175108974.77477479</v>
      </c>
      <c r="P427">
        <v>157704000</v>
      </c>
      <c r="Q427">
        <v>1556</v>
      </c>
      <c r="R427">
        <v>800</v>
      </c>
      <c r="S427">
        <v>588045288.28828824</v>
      </c>
      <c r="T427">
        <v>588169680.18018019</v>
      </c>
      <c r="U427">
        <v>167886709.90990987</v>
      </c>
      <c r="V427">
        <v>168361261.26126128</v>
      </c>
      <c r="W427">
        <v>31926</v>
      </c>
      <c r="X427">
        <v>31882</v>
      </c>
    </row>
    <row r="428" spans="1:24">
      <c r="A428" s="7" t="s">
        <v>526</v>
      </c>
      <c r="B428" s="16" t="s">
        <v>413</v>
      </c>
      <c r="C428">
        <v>244637870.47381389</v>
      </c>
      <c r="D428">
        <v>225201618.36988232</v>
      </c>
      <c r="E428">
        <v>185734234.23423424</v>
      </c>
      <c r="F428">
        <v>5818243.2432432435</v>
      </c>
      <c r="G428">
        <v>36</v>
      </c>
      <c r="H428">
        <v>37</v>
      </c>
      <c r="I428">
        <v>1</v>
      </c>
      <c r="J428">
        <v>3</v>
      </c>
      <c r="M428">
        <v>39</v>
      </c>
      <c r="N428">
        <v>43</v>
      </c>
      <c r="O428">
        <v>16402972.972972972</v>
      </c>
      <c r="P428">
        <v>16420137.837837838</v>
      </c>
      <c r="Q428">
        <v>42</v>
      </c>
      <c r="R428">
        <v>30</v>
      </c>
      <c r="S428">
        <v>70802061.261261269</v>
      </c>
      <c r="T428">
        <v>70368630.630630627</v>
      </c>
      <c r="U428">
        <v>11075225.225225223</v>
      </c>
      <c r="V428">
        <v>11401621.62162162</v>
      </c>
      <c r="W428">
        <v>5034</v>
      </c>
      <c r="X428">
        <v>4657</v>
      </c>
    </row>
    <row r="429" spans="1:24">
      <c r="A429" s="7" t="s">
        <v>661</v>
      </c>
      <c r="B429" s="16" t="s">
        <v>189</v>
      </c>
      <c r="C429">
        <v>4119148.5436228318</v>
      </c>
      <c r="D429">
        <v>1023483.6376822829</v>
      </c>
      <c r="G429">
        <v>7</v>
      </c>
      <c r="H429">
        <v>1</v>
      </c>
      <c r="M429">
        <v>7</v>
      </c>
      <c r="N429">
        <v>1</v>
      </c>
      <c r="O429">
        <v>243243.24324324299</v>
      </c>
      <c r="P429">
        <v>1513513.5135135141</v>
      </c>
      <c r="S429">
        <v>1356756.7567567569</v>
      </c>
      <c r="T429">
        <v>672342.34234234202</v>
      </c>
      <c r="W429">
        <v>144</v>
      </c>
      <c r="X429">
        <v>120</v>
      </c>
    </row>
    <row r="430" spans="1:24">
      <c r="A430" s="7" t="s">
        <v>527</v>
      </c>
      <c r="B430" s="16" t="s">
        <v>147</v>
      </c>
      <c r="C430">
        <v>475613166.45102793</v>
      </c>
      <c r="D430">
        <v>467583914.81184381</v>
      </c>
      <c r="E430">
        <v>1872072.0720720759</v>
      </c>
      <c r="F430">
        <v>7930855.8558558598</v>
      </c>
      <c r="G430">
        <v>90</v>
      </c>
      <c r="H430">
        <v>148</v>
      </c>
      <c r="I430">
        <v>11</v>
      </c>
      <c r="J430">
        <v>8</v>
      </c>
      <c r="M430">
        <v>99</v>
      </c>
      <c r="N430">
        <v>485</v>
      </c>
      <c r="O430">
        <v>54697297.297297299</v>
      </c>
      <c r="P430">
        <v>111305177.47747749</v>
      </c>
      <c r="Q430">
        <v>244</v>
      </c>
      <c r="R430">
        <v>409</v>
      </c>
      <c r="S430">
        <v>150351162.16216218</v>
      </c>
      <c r="T430">
        <v>167047169.36936939</v>
      </c>
      <c r="U430">
        <v>56786846.846846849</v>
      </c>
      <c r="V430">
        <v>110183783.78378379</v>
      </c>
      <c r="W430">
        <v>10227</v>
      </c>
      <c r="X430">
        <v>9864</v>
      </c>
    </row>
    <row r="431" spans="1:24">
      <c r="A431" s="7" t="s">
        <v>528</v>
      </c>
      <c r="B431" s="16" t="s">
        <v>121</v>
      </c>
      <c r="C431">
        <v>52737180.171566866</v>
      </c>
      <c r="D431">
        <v>52386868.160306357</v>
      </c>
      <c r="E431">
        <v>14564639.63963964</v>
      </c>
      <c r="F431">
        <v>5875675.6756756753</v>
      </c>
      <c r="G431">
        <v>28</v>
      </c>
      <c r="H431">
        <v>25</v>
      </c>
      <c r="I431">
        <v>4</v>
      </c>
      <c r="J431">
        <v>3</v>
      </c>
      <c r="M431">
        <v>30</v>
      </c>
      <c r="N431">
        <v>28</v>
      </c>
      <c r="O431">
        <v>2794594.594594595</v>
      </c>
      <c r="P431">
        <v>5736036.036036036</v>
      </c>
      <c r="Q431">
        <v>13</v>
      </c>
      <c r="R431">
        <v>7</v>
      </c>
      <c r="S431">
        <v>5777432.4324324317</v>
      </c>
      <c r="T431">
        <v>6888572.072072072</v>
      </c>
      <c r="U431">
        <v>2460000</v>
      </c>
      <c r="V431">
        <v>4588378.3783783782</v>
      </c>
      <c r="W431">
        <v>967</v>
      </c>
      <c r="X431">
        <v>1003</v>
      </c>
    </row>
    <row r="432" spans="1:24">
      <c r="A432" s="7" t="s">
        <v>529</v>
      </c>
      <c r="B432" s="16" t="s">
        <v>448</v>
      </c>
      <c r="C432">
        <v>124384164.17016131</v>
      </c>
      <c r="D432">
        <v>95315666.303561315</v>
      </c>
      <c r="E432">
        <v>910090.09009009099</v>
      </c>
      <c r="F432">
        <v>655855.85585585597</v>
      </c>
      <c r="G432">
        <v>47</v>
      </c>
      <c r="H432">
        <v>92</v>
      </c>
      <c r="I432">
        <v>1</v>
      </c>
      <c r="J432">
        <v>2</v>
      </c>
      <c r="M432">
        <v>48</v>
      </c>
      <c r="N432">
        <v>151</v>
      </c>
      <c r="O432">
        <v>12556126.126126127</v>
      </c>
      <c r="P432">
        <v>5683783.7837837841</v>
      </c>
      <c r="Q432">
        <v>59</v>
      </c>
      <c r="R432">
        <v>44</v>
      </c>
      <c r="S432">
        <v>58001783.783783786</v>
      </c>
      <c r="T432">
        <v>46272092.342342347</v>
      </c>
      <c r="U432">
        <v>12698828.828828832</v>
      </c>
      <c r="V432">
        <v>5370450.4504504493</v>
      </c>
      <c r="W432">
        <v>2251</v>
      </c>
      <c r="X432">
        <v>2186</v>
      </c>
    </row>
    <row r="433" spans="1:24">
      <c r="A433" s="7" t="s">
        <v>530</v>
      </c>
      <c r="B433" s="16" t="s">
        <v>448</v>
      </c>
      <c r="C433">
        <v>217315264.01810059</v>
      </c>
      <c r="D433">
        <v>219372952.34739536</v>
      </c>
      <c r="E433">
        <v>100000</v>
      </c>
      <c r="F433">
        <v>1483783.783783783</v>
      </c>
      <c r="G433">
        <v>201</v>
      </c>
      <c r="H433">
        <v>129</v>
      </c>
      <c r="I433">
        <v>9</v>
      </c>
      <c r="J433">
        <v>7</v>
      </c>
      <c r="M433">
        <v>222</v>
      </c>
      <c r="N433">
        <v>226</v>
      </c>
      <c r="O433">
        <v>55184864.864864863</v>
      </c>
      <c r="P433">
        <v>9629279.2792792786</v>
      </c>
      <c r="Q433">
        <v>240</v>
      </c>
      <c r="R433">
        <v>70</v>
      </c>
      <c r="S433">
        <v>102265540.54054055</v>
      </c>
      <c r="T433">
        <v>104434297.2972973</v>
      </c>
      <c r="U433">
        <v>55591351.351351351</v>
      </c>
      <c r="V433">
        <v>10516486.486486485</v>
      </c>
      <c r="W433">
        <v>5074</v>
      </c>
      <c r="X433">
        <v>5222</v>
      </c>
    </row>
    <row r="434" spans="1:24">
      <c r="A434" s="7" t="s">
        <v>531</v>
      </c>
      <c r="B434" s="16" t="s">
        <v>123</v>
      </c>
      <c r="C434">
        <v>564991545.90577066</v>
      </c>
      <c r="D434">
        <v>578070389.5497843</v>
      </c>
      <c r="E434">
        <v>157300215.31531534</v>
      </c>
      <c r="F434">
        <v>276850585.58558559</v>
      </c>
      <c r="G434">
        <v>198</v>
      </c>
      <c r="H434">
        <v>350</v>
      </c>
      <c r="I434">
        <v>43</v>
      </c>
      <c r="J434">
        <v>39</v>
      </c>
      <c r="K434">
        <v>7</v>
      </c>
      <c r="M434">
        <v>536</v>
      </c>
      <c r="N434">
        <v>874</v>
      </c>
      <c r="O434">
        <v>225034684.68468466</v>
      </c>
      <c r="P434">
        <v>225720540.54054055</v>
      </c>
      <c r="Q434">
        <v>1589</v>
      </c>
      <c r="R434">
        <v>2781</v>
      </c>
      <c r="S434">
        <v>198366910.8108108</v>
      </c>
      <c r="T434">
        <v>204660655.85585585</v>
      </c>
      <c r="U434">
        <v>232163693.6936937</v>
      </c>
      <c r="V434">
        <v>225001441.44144145</v>
      </c>
      <c r="W434">
        <v>11440</v>
      </c>
      <c r="X434">
        <v>11287</v>
      </c>
    </row>
    <row r="435" spans="1:24">
      <c r="A435" s="7" t="s">
        <v>532</v>
      </c>
      <c r="B435" s="16" t="s">
        <v>85</v>
      </c>
      <c r="C435">
        <v>180744083.77806848</v>
      </c>
      <c r="D435">
        <v>167214369.64997452</v>
      </c>
      <c r="E435">
        <v>216358558.55855855</v>
      </c>
      <c r="F435">
        <v>137639639.63963965</v>
      </c>
      <c r="G435">
        <v>12</v>
      </c>
      <c r="H435">
        <v>18</v>
      </c>
      <c r="I435">
        <v>6</v>
      </c>
      <c r="J435">
        <v>3</v>
      </c>
      <c r="M435">
        <v>12</v>
      </c>
      <c r="N435">
        <v>53</v>
      </c>
      <c r="O435">
        <v>37500900.900900893</v>
      </c>
      <c r="P435">
        <v>25699639.639639638</v>
      </c>
      <c r="Q435">
        <v>27</v>
      </c>
      <c r="R435">
        <v>24</v>
      </c>
      <c r="S435">
        <v>41493468.468468472</v>
      </c>
      <c r="T435">
        <v>36449684.684684686</v>
      </c>
      <c r="U435">
        <v>25622252.252252251</v>
      </c>
      <c r="V435">
        <v>18385405.40540541</v>
      </c>
      <c r="W435">
        <v>4274</v>
      </c>
      <c r="X435">
        <v>3589</v>
      </c>
    </row>
    <row r="436" spans="1:24">
      <c r="A436" s="7" t="s">
        <v>9</v>
      </c>
      <c r="B436" s="16" t="s">
        <v>158</v>
      </c>
      <c r="C436">
        <v>462250046.24077028</v>
      </c>
      <c r="D436">
        <v>452998023.773929</v>
      </c>
      <c r="E436">
        <v>822548997.29729724</v>
      </c>
      <c r="F436">
        <v>962064467.56756759</v>
      </c>
      <c r="G436">
        <v>103</v>
      </c>
      <c r="H436">
        <v>68</v>
      </c>
      <c r="I436">
        <v>40</v>
      </c>
      <c r="J436">
        <v>12</v>
      </c>
      <c r="K436">
        <v>4</v>
      </c>
      <c r="M436">
        <v>120</v>
      </c>
      <c r="N436">
        <v>76</v>
      </c>
      <c r="O436">
        <v>772919027.92792797</v>
      </c>
      <c r="P436">
        <v>714955041.44144142</v>
      </c>
      <c r="Q436">
        <v>333</v>
      </c>
      <c r="R436">
        <v>148</v>
      </c>
      <c r="S436">
        <v>166499261.26126125</v>
      </c>
      <c r="T436">
        <v>164936405.4054054</v>
      </c>
      <c r="U436">
        <v>583209909.90990984</v>
      </c>
      <c r="V436">
        <v>557382342.34234238</v>
      </c>
      <c r="W436">
        <v>6697</v>
      </c>
      <c r="X436">
        <v>7183</v>
      </c>
    </row>
    <row r="437" spans="1:24">
      <c r="A437" s="7" t="s">
        <v>533</v>
      </c>
      <c r="B437" s="16" t="s">
        <v>94</v>
      </c>
      <c r="C437">
        <v>451259090.36261255</v>
      </c>
      <c r="D437">
        <v>433654240.86534417</v>
      </c>
      <c r="E437">
        <v>281081.08108108299</v>
      </c>
      <c r="F437">
        <v>1412612.612612616</v>
      </c>
      <c r="G437">
        <v>78</v>
      </c>
      <c r="H437">
        <v>86</v>
      </c>
      <c r="I437">
        <v>12</v>
      </c>
      <c r="J437">
        <v>11</v>
      </c>
      <c r="K437">
        <v>1</v>
      </c>
      <c r="M437">
        <v>84</v>
      </c>
      <c r="N437">
        <v>97</v>
      </c>
      <c r="O437">
        <v>38267567.567567565</v>
      </c>
      <c r="P437">
        <v>36940540.540540546</v>
      </c>
      <c r="Q437">
        <v>131</v>
      </c>
      <c r="R437">
        <v>321</v>
      </c>
      <c r="S437">
        <v>52598825.225225225</v>
      </c>
      <c r="T437">
        <v>58071792.79279279</v>
      </c>
      <c r="U437">
        <v>26911081.081081081</v>
      </c>
      <c r="V437">
        <v>24701081.081081081</v>
      </c>
      <c r="W437">
        <v>6355</v>
      </c>
      <c r="X437">
        <v>6487</v>
      </c>
    </row>
    <row r="438" spans="1:24">
      <c r="A438" s="7" t="s">
        <v>534</v>
      </c>
      <c r="B438" s="16" t="s">
        <v>304</v>
      </c>
      <c r="C438">
        <v>11471218.072946612</v>
      </c>
      <c r="D438">
        <v>11740495.570749158</v>
      </c>
      <c r="G438">
        <v>7</v>
      </c>
      <c r="H438">
        <v>4</v>
      </c>
      <c r="M438">
        <v>9</v>
      </c>
      <c r="N438">
        <v>4</v>
      </c>
      <c r="S438">
        <v>1052387.387387387</v>
      </c>
      <c r="T438">
        <v>2064459.4594594601</v>
      </c>
      <c r="W438">
        <v>259</v>
      </c>
      <c r="X438">
        <v>410</v>
      </c>
    </row>
    <row r="439" spans="1:24">
      <c r="A439" s="7" t="s">
        <v>535</v>
      </c>
      <c r="B439" s="16" t="s">
        <v>304</v>
      </c>
      <c r="C439">
        <v>184023442.69777915</v>
      </c>
      <c r="D439">
        <v>176774328.39965695</v>
      </c>
      <c r="E439">
        <v>1051351.3513513519</v>
      </c>
      <c r="F439">
        <v>737837.83783783799</v>
      </c>
      <c r="G439">
        <v>55</v>
      </c>
      <c r="H439">
        <v>17</v>
      </c>
      <c r="I439">
        <v>6</v>
      </c>
      <c r="J439">
        <v>3</v>
      </c>
      <c r="M439">
        <v>58</v>
      </c>
      <c r="N439">
        <v>26</v>
      </c>
      <c r="O439">
        <v>12096396.396396397</v>
      </c>
      <c r="P439">
        <v>13316216.216216216</v>
      </c>
      <c r="Q439">
        <v>120</v>
      </c>
      <c r="R439">
        <v>22</v>
      </c>
      <c r="S439">
        <v>15794549.54954955</v>
      </c>
      <c r="T439">
        <v>15853153.153153151</v>
      </c>
      <c r="U439">
        <v>7634234.2342342352</v>
      </c>
      <c r="V439">
        <v>5762792.7927927934</v>
      </c>
      <c r="W439">
        <v>2818</v>
      </c>
      <c r="X439">
        <v>2757</v>
      </c>
    </row>
    <row r="440" spans="1:24">
      <c r="A440" s="7" t="s">
        <v>536</v>
      </c>
      <c r="B440" s="16" t="s">
        <v>85</v>
      </c>
      <c r="C440">
        <v>159490948.54417259</v>
      </c>
      <c r="D440">
        <v>158015264.55029967</v>
      </c>
      <c r="E440">
        <v>302702.70270270301</v>
      </c>
      <c r="F440">
        <v>925225.22522522695</v>
      </c>
      <c r="G440">
        <v>168</v>
      </c>
      <c r="H440">
        <v>73</v>
      </c>
      <c r="I440">
        <v>6</v>
      </c>
      <c r="J440">
        <v>5</v>
      </c>
      <c r="M440">
        <v>181</v>
      </c>
      <c r="N440">
        <v>84</v>
      </c>
      <c r="O440">
        <v>47329729.729729727</v>
      </c>
      <c r="P440">
        <v>59562972.972972974</v>
      </c>
      <c r="Q440">
        <v>66</v>
      </c>
      <c r="R440">
        <v>58</v>
      </c>
      <c r="S440">
        <v>72656081.081081092</v>
      </c>
      <c r="T440">
        <v>71320432.432432428</v>
      </c>
      <c r="U440">
        <v>46697027.027027026</v>
      </c>
      <c r="V440">
        <v>48373783.783783786</v>
      </c>
      <c r="W440">
        <v>3035</v>
      </c>
      <c r="X440">
        <v>2955</v>
      </c>
    </row>
    <row r="441" spans="1:24">
      <c r="A441" s="7" t="s">
        <v>537</v>
      </c>
      <c r="B441" s="16" t="s">
        <v>448</v>
      </c>
      <c r="C441">
        <v>220257361.84228998</v>
      </c>
      <c r="D441">
        <v>217573593.99921551</v>
      </c>
      <c r="E441">
        <v>167567.56756756999</v>
      </c>
      <c r="F441">
        <v>1958558.5585585609</v>
      </c>
      <c r="G441">
        <v>399</v>
      </c>
      <c r="H441">
        <v>103</v>
      </c>
      <c r="I441">
        <v>6</v>
      </c>
      <c r="J441">
        <v>7</v>
      </c>
      <c r="M441">
        <v>407</v>
      </c>
      <c r="N441">
        <v>262</v>
      </c>
      <c r="O441">
        <v>15468783.783783784</v>
      </c>
      <c r="P441">
        <v>15601981.98198198</v>
      </c>
      <c r="Q441">
        <v>85</v>
      </c>
      <c r="R441">
        <v>16</v>
      </c>
      <c r="S441">
        <v>63543612.612612605</v>
      </c>
      <c r="T441">
        <v>61165547.747747742</v>
      </c>
      <c r="U441">
        <v>15821261.26126126</v>
      </c>
      <c r="V441">
        <v>16783963.963963959</v>
      </c>
      <c r="W441">
        <v>5003</v>
      </c>
      <c r="X441">
        <v>5024</v>
      </c>
    </row>
    <row r="442" spans="1:24">
      <c r="A442" s="7" t="s">
        <v>538</v>
      </c>
      <c r="B442" s="16" t="s">
        <v>117</v>
      </c>
      <c r="C442">
        <v>494646261.22044438</v>
      </c>
      <c r="D442">
        <v>498482705.41748571</v>
      </c>
      <c r="E442">
        <v>1876621.6216216281</v>
      </c>
      <c r="F442">
        <v>10132432.432432435</v>
      </c>
      <c r="G442">
        <v>227</v>
      </c>
      <c r="H442">
        <v>156</v>
      </c>
      <c r="I442">
        <v>38</v>
      </c>
      <c r="J442">
        <v>40</v>
      </c>
      <c r="K442">
        <v>1</v>
      </c>
      <c r="M442">
        <v>279</v>
      </c>
      <c r="N442">
        <v>204</v>
      </c>
      <c r="O442">
        <v>94840759.459459454</v>
      </c>
      <c r="P442">
        <v>102394323.42342342</v>
      </c>
      <c r="Q442">
        <v>328</v>
      </c>
      <c r="R442">
        <v>111</v>
      </c>
      <c r="S442">
        <v>264836666.66666666</v>
      </c>
      <c r="T442">
        <v>284123027.02702701</v>
      </c>
      <c r="U442">
        <v>93303153.153153151</v>
      </c>
      <c r="V442">
        <v>95802162.162162155</v>
      </c>
      <c r="W442">
        <v>10981</v>
      </c>
      <c r="X442">
        <v>11216</v>
      </c>
    </row>
    <row r="443" spans="1:24">
      <c r="A443" s="7" t="s">
        <v>539</v>
      </c>
      <c r="B443" s="16" t="s">
        <v>83</v>
      </c>
      <c r="C443">
        <v>1544170017.9618819</v>
      </c>
      <c r="D443">
        <v>1534602288.2918296</v>
      </c>
      <c r="E443">
        <v>2512387.3873873912</v>
      </c>
      <c r="F443">
        <v>7640618.0180180203</v>
      </c>
      <c r="G443">
        <v>257</v>
      </c>
      <c r="H443">
        <v>306</v>
      </c>
      <c r="I443">
        <v>22</v>
      </c>
      <c r="J443">
        <v>23</v>
      </c>
      <c r="K443">
        <v>1</v>
      </c>
      <c r="M443">
        <v>280</v>
      </c>
      <c r="N443">
        <v>350</v>
      </c>
      <c r="O443">
        <v>82850900.9009009</v>
      </c>
      <c r="P443">
        <v>92359990.990990996</v>
      </c>
      <c r="Q443">
        <v>264</v>
      </c>
      <c r="R443">
        <v>419</v>
      </c>
      <c r="S443">
        <v>158258960.36036035</v>
      </c>
      <c r="T443">
        <v>167284363.51351351</v>
      </c>
      <c r="U443">
        <v>75959322.522522524</v>
      </c>
      <c r="V443">
        <v>84117340.540540546</v>
      </c>
      <c r="W443">
        <v>21721</v>
      </c>
      <c r="X443">
        <v>21646</v>
      </c>
    </row>
    <row r="444" spans="1:24">
      <c r="A444" s="7" t="s">
        <v>540</v>
      </c>
      <c r="B444" s="16" t="s">
        <v>315</v>
      </c>
      <c r="C444">
        <v>183458462.31950668</v>
      </c>
      <c r="D444">
        <v>187960514.51482636</v>
      </c>
      <c r="E444">
        <v>4016306.3063063058</v>
      </c>
      <c r="F444">
        <v>2441666.6666666651</v>
      </c>
      <c r="G444">
        <v>24</v>
      </c>
      <c r="H444">
        <v>28</v>
      </c>
      <c r="I444">
        <v>1</v>
      </c>
      <c r="J444">
        <v>2</v>
      </c>
      <c r="M444">
        <v>25</v>
      </c>
      <c r="N444">
        <v>45</v>
      </c>
      <c r="O444">
        <v>16663963.963963963</v>
      </c>
      <c r="P444">
        <v>13300450.450450448</v>
      </c>
      <c r="R444">
        <v>51</v>
      </c>
      <c r="S444">
        <v>33802881.081081077</v>
      </c>
      <c r="T444">
        <v>35589774.774774775</v>
      </c>
      <c r="U444">
        <v>14985358.558558561</v>
      </c>
      <c r="V444">
        <v>11122432.432432432</v>
      </c>
      <c r="W444">
        <v>2543</v>
      </c>
      <c r="X444">
        <v>2476</v>
      </c>
    </row>
    <row r="445" spans="1:24">
      <c r="A445" s="7" t="s">
        <v>541</v>
      </c>
      <c r="B445" s="16" t="s">
        <v>169</v>
      </c>
      <c r="C445">
        <v>1349913238.6064746</v>
      </c>
      <c r="D445">
        <v>1300296255.0733371</v>
      </c>
      <c r="E445">
        <v>1773423.423423423</v>
      </c>
      <c r="F445">
        <v>3000000.0000000009</v>
      </c>
      <c r="G445">
        <v>137</v>
      </c>
      <c r="H445">
        <v>127</v>
      </c>
      <c r="I445">
        <v>7</v>
      </c>
      <c r="J445">
        <v>7</v>
      </c>
      <c r="K445">
        <v>2</v>
      </c>
      <c r="M445">
        <v>160</v>
      </c>
      <c r="N445">
        <v>228</v>
      </c>
      <c r="O445">
        <v>62614385.585585587</v>
      </c>
      <c r="P445">
        <v>76431418.918918908</v>
      </c>
      <c r="Q445">
        <v>380</v>
      </c>
      <c r="R445">
        <v>209</v>
      </c>
      <c r="S445">
        <v>480020459.45945948</v>
      </c>
      <c r="T445">
        <v>481017538.28828824</v>
      </c>
      <c r="U445">
        <v>58743153.153153151</v>
      </c>
      <c r="V445">
        <v>75795045.045045033</v>
      </c>
      <c r="W445">
        <v>21553</v>
      </c>
      <c r="X445">
        <v>21890</v>
      </c>
    </row>
    <row r="446" spans="1:24">
      <c r="A446" s="7" t="s">
        <v>542</v>
      </c>
      <c r="B446" s="16" t="s">
        <v>479</v>
      </c>
      <c r="C446">
        <v>409250492.526761</v>
      </c>
      <c r="D446">
        <v>404806332.11424363</v>
      </c>
      <c r="E446">
        <v>124476930.63063063</v>
      </c>
      <c r="F446">
        <v>136880723.42342341</v>
      </c>
      <c r="G446">
        <v>35</v>
      </c>
      <c r="H446">
        <v>43</v>
      </c>
      <c r="I446">
        <v>0</v>
      </c>
      <c r="J446">
        <v>0</v>
      </c>
      <c r="M446">
        <v>41</v>
      </c>
      <c r="N446">
        <v>45</v>
      </c>
      <c r="O446">
        <v>19223893.693693686</v>
      </c>
      <c r="P446">
        <v>7621536.0360360341</v>
      </c>
      <c r="Q446">
        <v>3</v>
      </c>
      <c r="R446">
        <v>80</v>
      </c>
      <c r="S446">
        <v>52192063.063063063</v>
      </c>
      <c r="T446">
        <v>52255324.324324317</v>
      </c>
      <c r="U446">
        <v>8658108.1081081033</v>
      </c>
      <c r="V446">
        <v>2488018.0180180161</v>
      </c>
      <c r="W446">
        <v>5440</v>
      </c>
      <c r="X446">
        <v>5440</v>
      </c>
    </row>
    <row r="447" spans="1:24">
      <c r="A447" s="7" t="s">
        <v>543</v>
      </c>
      <c r="B447" s="16" t="s">
        <v>80</v>
      </c>
      <c r="C447">
        <v>114561967.1134534</v>
      </c>
      <c r="D447">
        <v>98869081.23834312</v>
      </c>
      <c r="E447">
        <v>99744144.144144148</v>
      </c>
      <c r="F447">
        <v>85021351.351351351</v>
      </c>
      <c r="G447">
        <v>31</v>
      </c>
      <c r="H447">
        <v>32</v>
      </c>
      <c r="I447">
        <v>5</v>
      </c>
      <c r="J447">
        <v>4</v>
      </c>
      <c r="M447">
        <v>33</v>
      </c>
      <c r="N447">
        <v>41</v>
      </c>
      <c r="O447">
        <v>15634234.234234236</v>
      </c>
      <c r="P447">
        <v>28481981.981981982</v>
      </c>
      <c r="Q447">
        <v>32</v>
      </c>
      <c r="R447">
        <v>55</v>
      </c>
      <c r="S447">
        <v>40682153.153153151</v>
      </c>
      <c r="T447">
        <v>36782963.963963971</v>
      </c>
      <c r="U447">
        <v>10272162.162162162</v>
      </c>
      <c r="V447">
        <v>25555405.405405402</v>
      </c>
      <c r="W447">
        <v>2405</v>
      </c>
      <c r="X447">
        <v>2422</v>
      </c>
    </row>
    <row r="448" spans="1:24">
      <c r="A448" s="7" t="s">
        <v>544</v>
      </c>
      <c r="B448" s="16" t="s">
        <v>169</v>
      </c>
      <c r="C448">
        <v>139390044.02213845</v>
      </c>
      <c r="D448">
        <v>104909856.92647865</v>
      </c>
      <c r="E448">
        <v>135135.135135135</v>
      </c>
      <c r="F448">
        <v>277477.47747747699</v>
      </c>
      <c r="G448">
        <v>35</v>
      </c>
      <c r="H448">
        <v>14</v>
      </c>
      <c r="J448">
        <v>0</v>
      </c>
      <c r="M448">
        <v>36</v>
      </c>
      <c r="N448">
        <v>15</v>
      </c>
      <c r="O448">
        <v>3738738.738738738</v>
      </c>
      <c r="P448">
        <v>1178378.378378378</v>
      </c>
      <c r="S448">
        <v>55865664.864864863</v>
      </c>
      <c r="T448">
        <v>43773277.477477483</v>
      </c>
      <c r="U448">
        <v>3143873.8738738741</v>
      </c>
      <c r="V448">
        <v>792432.43243243196</v>
      </c>
      <c r="W448">
        <v>2571</v>
      </c>
      <c r="X448">
        <v>2493</v>
      </c>
    </row>
    <row r="449" spans="1:24">
      <c r="A449" s="7" t="s">
        <v>545</v>
      </c>
      <c r="B449" s="16" t="s">
        <v>224</v>
      </c>
      <c r="C449">
        <v>26197.590816716001</v>
      </c>
      <c r="D449">
        <v>11462.492423166001</v>
      </c>
      <c r="S449">
        <v>10585.585585586001</v>
      </c>
    </row>
    <row r="450" spans="1:24">
      <c r="A450" s="7" t="s">
        <v>546</v>
      </c>
      <c r="B450" s="16" t="s">
        <v>136</v>
      </c>
      <c r="C450">
        <v>263735953.52677241</v>
      </c>
      <c r="D450">
        <v>255473595.87111384</v>
      </c>
      <c r="E450">
        <v>40184234.234234229</v>
      </c>
      <c r="F450">
        <v>13649549.549549552</v>
      </c>
      <c r="G450">
        <v>102</v>
      </c>
      <c r="H450">
        <v>81</v>
      </c>
      <c r="I450">
        <v>8</v>
      </c>
      <c r="J450">
        <v>7</v>
      </c>
      <c r="M450">
        <v>108</v>
      </c>
      <c r="N450">
        <v>91</v>
      </c>
      <c r="O450">
        <v>60175675.675675683</v>
      </c>
      <c r="P450">
        <v>53710810.810810804</v>
      </c>
      <c r="Q450">
        <v>56</v>
      </c>
      <c r="R450">
        <v>62</v>
      </c>
      <c r="S450">
        <v>86736972.972972974</v>
      </c>
      <c r="T450">
        <v>84266998.198198199</v>
      </c>
      <c r="U450">
        <v>50366036.036036037</v>
      </c>
      <c r="V450">
        <v>45430360.360360362</v>
      </c>
      <c r="W450">
        <v>4404</v>
      </c>
      <c r="X450">
        <v>4409</v>
      </c>
    </row>
    <row r="451" spans="1:24">
      <c r="A451" s="7" t="s">
        <v>547</v>
      </c>
      <c r="B451" s="16" t="s">
        <v>136</v>
      </c>
      <c r="C451">
        <v>489805775.56062388</v>
      </c>
      <c r="D451">
        <v>482377257.46661198</v>
      </c>
      <c r="E451">
        <v>297467997.2972973</v>
      </c>
      <c r="F451">
        <v>255339668.46846849</v>
      </c>
      <c r="G451">
        <v>323</v>
      </c>
      <c r="H451">
        <v>227</v>
      </c>
      <c r="I451">
        <v>21</v>
      </c>
      <c r="J451">
        <v>20</v>
      </c>
      <c r="K451">
        <v>3</v>
      </c>
      <c r="M451">
        <v>352</v>
      </c>
      <c r="N451">
        <v>270</v>
      </c>
      <c r="O451">
        <v>122555855.85585585</v>
      </c>
      <c r="P451">
        <v>118431531.53153154</v>
      </c>
      <c r="Q451">
        <v>365</v>
      </c>
      <c r="R451">
        <v>145</v>
      </c>
      <c r="S451">
        <v>161164812.61261261</v>
      </c>
      <c r="T451">
        <v>160221083.78378376</v>
      </c>
      <c r="U451">
        <v>108529232.43243243</v>
      </c>
      <c r="V451">
        <v>101630756.75675675</v>
      </c>
      <c r="W451">
        <v>12695</v>
      </c>
      <c r="X451">
        <v>12638</v>
      </c>
    </row>
    <row r="452" spans="1:24">
      <c r="A452" s="7" t="s">
        <v>548</v>
      </c>
      <c r="B452" s="16" t="s">
        <v>136</v>
      </c>
      <c r="C452">
        <v>556784510.37964308</v>
      </c>
      <c r="D452">
        <v>541261278.9942317</v>
      </c>
      <c r="E452">
        <v>1640540.5405405399</v>
      </c>
      <c r="F452">
        <v>3973873.8738738759</v>
      </c>
      <c r="G452">
        <v>149</v>
      </c>
      <c r="H452">
        <v>79</v>
      </c>
      <c r="I452">
        <v>7</v>
      </c>
      <c r="J452">
        <v>3</v>
      </c>
      <c r="M452">
        <v>159</v>
      </c>
      <c r="N452">
        <v>89</v>
      </c>
      <c r="O452">
        <v>25064414.414414417</v>
      </c>
      <c r="P452">
        <v>19379279.27927928</v>
      </c>
      <c r="Q452">
        <v>78</v>
      </c>
      <c r="R452">
        <v>28</v>
      </c>
      <c r="S452">
        <v>87056162.162162155</v>
      </c>
      <c r="T452">
        <v>88111781.981981978</v>
      </c>
      <c r="U452">
        <v>22112162.162162162</v>
      </c>
      <c r="V452">
        <v>19157657.657657657</v>
      </c>
      <c r="W452">
        <v>8224</v>
      </c>
      <c r="X452">
        <v>8525</v>
      </c>
    </row>
    <row r="453" spans="1:24">
      <c r="A453" s="7" t="s">
        <v>549</v>
      </c>
      <c r="B453" s="16" t="s">
        <v>136</v>
      </c>
      <c r="C453">
        <v>262880267.21296936</v>
      </c>
      <c r="D453">
        <v>226311753.8194285</v>
      </c>
      <c r="E453">
        <v>352252.25225225301</v>
      </c>
      <c r="F453">
        <v>591891.891891893</v>
      </c>
      <c r="G453">
        <v>58</v>
      </c>
      <c r="H453">
        <v>40</v>
      </c>
      <c r="I453">
        <v>6</v>
      </c>
      <c r="J453">
        <v>3</v>
      </c>
      <c r="M453">
        <v>63</v>
      </c>
      <c r="N453">
        <v>44</v>
      </c>
      <c r="O453">
        <v>22029909.909909911</v>
      </c>
      <c r="P453">
        <v>15357657.657657657</v>
      </c>
      <c r="Q453">
        <v>18</v>
      </c>
      <c r="R453">
        <v>15</v>
      </c>
      <c r="S453">
        <v>45145043.243243247</v>
      </c>
      <c r="T453">
        <v>38431279.279279277</v>
      </c>
      <c r="U453">
        <v>18220944.144144148</v>
      </c>
      <c r="V453">
        <v>14276216.216216216</v>
      </c>
      <c r="W453">
        <v>3735</v>
      </c>
      <c r="X453">
        <v>3733</v>
      </c>
    </row>
    <row r="454" spans="1:24">
      <c r="A454" s="7" t="s">
        <v>550</v>
      </c>
      <c r="B454" s="16" t="s">
        <v>87</v>
      </c>
      <c r="C454">
        <v>106360824.10576253</v>
      </c>
      <c r="D454">
        <v>93080215.013771474</v>
      </c>
      <c r="E454">
        <v>915315.31531531503</v>
      </c>
      <c r="F454">
        <v>142342.34234234199</v>
      </c>
      <c r="G454">
        <v>66</v>
      </c>
      <c r="H454">
        <v>42</v>
      </c>
      <c r="I454">
        <v>2</v>
      </c>
      <c r="J454">
        <v>2</v>
      </c>
      <c r="M454">
        <v>69</v>
      </c>
      <c r="N454">
        <v>58</v>
      </c>
      <c r="O454">
        <v>6072972.9729729732</v>
      </c>
      <c r="P454">
        <v>5616216.2162162159</v>
      </c>
      <c r="Q454">
        <v>9</v>
      </c>
      <c r="R454">
        <v>21</v>
      </c>
      <c r="S454">
        <v>17940250.45045045</v>
      </c>
      <c r="T454">
        <v>14780270.270270269</v>
      </c>
      <c r="U454">
        <v>5691081.0810810812</v>
      </c>
      <c r="V454">
        <v>5514774.7747747749</v>
      </c>
      <c r="W454">
        <v>1419</v>
      </c>
      <c r="X454">
        <v>1425</v>
      </c>
    </row>
    <row r="455" spans="1:24">
      <c r="A455" s="7" t="s">
        <v>551</v>
      </c>
      <c r="B455" s="16" t="s">
        <v>87</v>
      </c>
      <c r="C455">
        <v>154366640.43131036</v>
      </c>
      <c r="D455">
        <v>141387727.12894437</v>
      </c>
      <c r="E455">
        <v>51351.351351352001</v>
      </c>
      <c r="F455">
        <v>500000.00000000099</v>
      </c>
      <c r="G455">
        <v>141</v>
      </c>
      <c r="H455">
        <v>81</v>
      </c>
      <c r="I455">
        <v>4</v>
      </c>
      <c r="J455">
        <v>3</v>
      </c>
      <c r="K455">
        <v>1</v>
      </c>
      <c r="M455">
        <v>153</v>
      </c>
      <c r="N455">
        <v>107</v>
      </c>
      <c r="O455">
        <v>14709009.009009007</v>
      </c>
      <c r="P455">
        <v>11865765.765765764</v>
      </c>
      <c r="Q455">
        <v>6</v>
      </c>
      <c r="R455">
        <v>13</v>
      </c>
      <c r="S455">
        <v>21870675.675675675</v>
      </c>
      <c r="T455">
        <v>21317962.162162159</v>
      </c>
      <c r="U455">
        <v>10212702.702702705</v>
      </c>
      <c r="V455">
        <v>8613153.1531531531</v>
      </c>
      <c r="W455">
        <v>2637</v>
      </c>
      <c r="X455">
        <v>2557</v>
      </c>
    </row>
    <row r="456" spans="1:24">
      <c r="A456" s="7" t="s">
        <v>552</v>
      </c>
      <c r="B456" s="16" t="s">
        <v>66</v>
      </c>
      <c r="C456">
        <v>286739231.90352362</v>
      </c>
      <c r="D456">
        <v>284839929.38898009</v>
      </c>
      <c r="E456">
        <v>1919549.5495495519</v>
      </c>
      <c r="F456">
        <v>9160360.3603603598</v>
      </c>
      <c r="G456">
        <v>208</v>
      </c>
      <c r="H456">
        <v>89</v>
      </c>
      <c r="I456">
        <v>12</v>
      </c>
      <c r="J456">
        <v>8</v>
      </c>
      <c r="K456">
        <v>1</v>
      </c>
      <c r="M456">
        <v>228</v>
      </c>
      <c r="N456">
        <v>194</v>
      </c>
      <c r="O456">
        <v>58051981.981981985</v>
      </c>
      <c r="P456">
        <v>201630180.18018019</v>
      </c>
      <c r="Q456">
        <v>514</v>
      </c>
      <c r="R456">
        <v>221</v>
      </c>
      <c r="S456">
        <v>121379144.14414415</v>
      </c>
      <c r="T456">
        <v>121474119.36936937</v>
      </c>
      <c r="U456">
        <v>56391441.441441439</v>
      </c>
      <c r="V456">
        <v>169512882.88288289</v>
      </c>
      <c r="W456">
        <v>8887</v>
      </c>
      <c r="X456">
        <v>9022</v>
      </c>
    </row>
    <row r="457" spans="1:24">
      <c r="A457" s="7" t="s">
        <v>553</v>
      </c>
      <c r="B457" s="16" t="s">
        <v>554</v>
      </c>
      <c r="C457">
        <v>598879936.76120806</v>
      </c>
      <c r="D457">
        <v>568637710.68408394</v>
      </c>
      <c r="E457">
        <v>78604523.423423424</v>
      </c>
      <c r="F457">
        <v>175167537.83783785</v>
      </c>
      <c r="G457">
        <v>280</v>
      </c>
      <c r="H457">
        <v>114</v>
      </c>
      <c r="I457">
        <v>17</v>
      </c>
      <c r="J457">
        <v>18</v>
      </c>
      <c r="K457">
        <v>1</v>
      </c>
      <c r="M457">
        <v>359</v>
      </c>
      <c r="N457">
        <v>148</v>
      </c>
      <c r="O457">
        <v>61097837.837837838</v>
      </c>
      <c r="P457">
        <v>194895495.4954955</v>
      </c>
      <c r="Q457">
        <v>128</v>
      </c>
      <c r="R457">
        <v>340</v>
      </c>
      <c r="S457">
        <v>159183585.58558559</v>
      </c>
      <c r="T457">
        <v>154723261.26126125</v>
      </c>
      <c r="U457">
        <v>53950090.090090096</v>
      </c>
      <c r="V457">
        <v>176218918.91891891</v>
      </c>
      <c r="W457">
        <v>9256</v>
      </c>
      <c r="X457">
        <v>9431</v>
      </c>
    </row>
    <row r="458" spans="1:24">
      <c r="A458" s="7" t="s">
        <v>555</v>
      </c>
      <c r="B458" s="16" t="s">
        <v>554</v>
      </c>
      <c r="C458">
        <v>96402993.13010703</v>
      </c>
      <c r="D458">
        <v>88113641.391120747</v>
      </c>
      <c r="E458">
        <v>35135.135135135999</v>
      </c>
      <c r="F458">
        <v>2103603.6036036038</v>
      </c>
      <c r="G458">
        <v>52</v>
      </c>
      <c r="H458">
        <v>34</v>
      </c>
      <c r="I458">
        <v>3</v>
      </c>
      <c r="J458">
        <v>3</v>
      </c>
      <c r="M458">
        <v>53</v>
      </c>
      <c r="N458">
        <v>35</v>
      </c>
      <c r="O458">
        <v>10895315.315315315</v>
      </c>
      <c r="P458">
        <v>11112612.612612614</v>
      </c>
      <c r="Q458">
        <v>20</v>
      </c>
      <c r="R458">
        <v>23</v>
      </c>
      <c r="S458">
        <v>35337612.612612613</v>
      </c>
      <c r="T458">
        <v>31702873.873873871</v>
      </c>
      <c r="U458">
        <v>10225495.495495496</v>
      </c>
      <c r="V458">
        <v>11549369.369369371</v>
      </c>
      <c r="W458">
        <v>1579</v>
      </c>
      <c r="X458">
        <v>1610</v>
      </c>
    </row>
    <row r="459" spans="1:24">
      <c r="A459" s="7" t="s">
        <v>556</v>
      </c>
      <c r="B459" s="16" t="s">
        <v>121</v>
      </c>
      <c r="C459">
        <v>68858951.789631933</v>
      </c>
      <c r="D459">
        <v>64129583.085561506</v>
      </c>
      <c r="E459">
        <v>180180.18018018</v>
      </c>
      <c r="F459">
        <v>180180.18018018</v>
      </c>
      <c r="G459">
        <v>57</v>
      </c>
      <c r="H459">
        <v>32</v>
      </c>
      <c r="I459">
        <v>1</v>
      </c>
      <c r="M459">
        <v>59</v>
      </c>
      <c r="N459">
        <v>36</v>
      </c>
      <c r="O459">
        <v>270270.27027027</v>
      </c>
      <c r="P459">
        <v>180180.18018018</v>
      </c>
      <c r="Q459">
        <v>10</v>
      </c>
      <c r="S459">
        <v>6348153.1531531531</v>
      </c>
      <c r="T459">
        <v>5879135.1351351356</v>
      </c>
      <c r="U459">
        <v>361981.98198198201</v>
      </c>
      <c r="V459">
        <v>132162.16216216201</v>
      </c>
      <c r="W459">
        <v>1453</v>
      </c>
      <c r="X459">
        <v>1373</v>
      </c>
    </row>
    <row r="460" spans="1:24">
      <c r="A460" s="7" t="s">
        <v>557</v>
      </c>
      <c r="B460" s="16" t="s">
        <v>70</v>
      </c>
      <c r="C460">
        <v>520127208.28908145</v>
      </c>
      <c r="D460">
        <v>519431704.07357025</v>
      </c>
      <c r="E460">
        <v>2740945.9459459451</v>
      </c>
      <c r="F460">
        <v>5263963.9639639724</v>
      </c>
      <c r="G460">
        <v>116</v>
      </c>
      <c r="H460">
        <v>114</v>
      </c>
      <c r="I460">
        <v>10</v>
      </c>
      <c r="J460">
        <v>23</v>
      </c>
      <c r="M460">
        <v>128</v>
      </c>
      <c r="N460">
        <v>162</v>
      </c>
      <c r="O460">
        <v>54542972.972972974</v>
      </c>
      <c r="P460">
        <v>66780180.180180185</v>
      </c>
      <c r="Q460">
        <v>24</v>
      </c>
      <c r="R460">
        <v>283</v>
      </c>
      <c r="S460">
        <v>214776828.82882884</v>
      </c>
      <c r="T460">
        <v>218824486.48648649</v>
      </c>
      <c r="U460">
        <v>65489729.729729727</v>
      </c>
      <c r="V460">
        <v>65784414.414414413</v>
      </c>
      <c r="W460">
        <v>10269</v>
      </c>
      <c r="X460">
        <v>10159</v>
      </c>
    </row>
    <row r="461" spans="1:24">
      <c r="A461" s="7" t="s">
        <v>558</v>
      </c>
      <c r="B461" s="16" t="s">
        <v>62</v>
      </c>
      <c r="C461">
        <v>931345873.49268699</v>
      </c>
      <c r="D461">
        <v>939169558.58489871</v>
      </c>
      <c r="E461">
        <v>6090090.0900900997</v>
      </c>
      <c r="F461">
        <v>14733333.33333334</v>
      </c>
      <c r="G461">
        <v>300</v>
      </c>
      <c r="H461">
        <v>363</v>
      </c>
      <c r="I461">
        <v>39</v>
      </c>
      <c r="J461">
        <v>26</v>
      </c>
      <c r="K461">
        <v>10</v>
      </c>
      <c r="M461">
        <v>386</v>
      </c>
      <c r="N461">
        <v>636</v>
      </c>
      <c r="O461">
        <v>74903333.333333328</v>
      </c>
      <c r="P461">
        <v>135223963.96396396</v>
      </c>
      <c r="Q461">
        <v>313</v>
      </c>
      <c r="R461">
        <v>318</v>
      </c>
      <c r="S461">
        <v>221224169.36936939</v>
      </c>
      <c r="T461">
        <v>218783243.24324322</v>
      </c>
      <c r="U461">
        <v>70864414.414414406</v>
      </c>
      <c r="V461">
        <v>131682162.16216215</v>
      </c>
      <c r="W461">
        <v>18199</v>
      </c>
      <c r="X461">
        <v>17921</v>
      </c>
    </row>
    <row r="462" spans="1:24">
      <c r="A462" s="7" t="s">
        <v>559</v>
      </c>
      <c r="B462" s="16" t="s">
        <v>479</v>
      </c>
      <c r="C462">
        <v>493033219.08983999</v>
      </c>
      <c r="D462">
        <v>441543556.95066196</v>
      </c>
      <c r="E462">
        <v>943243.24324324296</v>
      </c>
      <c r="F462">
        <v>4525225.225225226</v>
      </c>
      <c r="G462">
        <v>237</v>
      </c>
      <c r="H462">
        <v>168</v>
      </c>
      <c r="I462">
        <v>22</v>
      </c>
      <c r="J462">
        <v>25</v>
      </c>
      <c r="K462">
        <v>2</v>
      </c>
      <c r="M462">
        <v>246</v>
      </c>
      <c r="N462">
        <v>207</v>
      </c>
      <c r="O462">
        <v>48111891.891891897</v>
      </c>
      <c r="P462">
        <v>66714234.234234229</v>
      </c>
      <c r="Q462">
        <v>20</v>
      </c>
      <c r="R462">
        <v>119</v>
      </c>
      <c r="S462">
        <v>142526277.47747746</v>
      </c>
      <c r="T462">
        <v>135201052.25225225</v>
      </c>
      <c r="U462">
        <v>48109459.459459461</v>
      </c>
      <c r="V462">
        <v>57990720.720720723</v>
      </c>
      <c r="W462">
        <v>8255</v>
      </c>
      <c r="X462">
        <v>7927</v>
      </c>
    </row>
    <row r="463" spans="1:24">
      <c r="A463" s="7" t="s">
        <v>560</v>
      </c>
      <c r="B463" s="16" t="s">
        <v>236</v>
      </c>
      <c r="C463">
        <v>76308235.767061785</v>
      </c>
      <c r="D463">
        <v>76918455.857293099</v>
      </c>
      <c r="E463">
        <v>93690315.315315306</v>
      </c>
      <c r="F463">
        <v>108208108.10810812</v>
      </c>
      <c r="G463">
        <v>34</v>
      </c>
      <c r="H463">
        <v>25</v>
      </c>
      <c r="I463">
        <v>4</v>
      </c>
      <c r="J463">
        <v>1</v>
      </c>
      <c r="M463">
        <v>37</v>
      </c>
      <c r="N463">
        <v>60</v>
      </c>
      <c r="O463">
        <v>6372297.2972972961</v>
      </c>
      <c r="P463">
        <v>7795225.2252252251</v>
      </c>
      <c r="Q463">
        <v>3</v>
      </c>
      <c r="R463">
        <v>20</v>
      </c>
      <c r="S463">
        <v>29598063.063063063</v>
      </c>
      <c r="T463">
        <v>28264297.297297295</v>
      </c>
      <c r="U463">
        <v>5971981.9819819815</v>
      </c>
      <c r="V463">
        <v>5412522.5225225212</v>
      </c>
      <c r="W463">
        <v>2125</v>
      </c>
      <c r="X463">
        <v>2158</v>
      </c>
    </row>
    <row r="464" spans="1:24">
      <c r="A464" s="7" t="s">
        <v>561</v>
      </c>
      <c r="B464" s="16" t="s">
        <v>60</v>
      </c>
      <c r="C464">
        <v>72409280.236561045</v>
      </c>
      <c r="D464">
        <v>72271910.90071173</v>
      </c>
      <c r="E464">
        <v>766216.21621621796</v>
      </c>
      <c r="F464">
        <v>3045945.9459459451</v>
      </c>
      <c r="G464">
        <v>22</v>
      </c>
      <c r="H464">
        <v>25</v>
      </c>
      <c r="I464">
        <v>3</v>
      </c>
      <c r="J464">
        <v>7</v>
      </c>
      <c r="M464">
        <v>24</v>
      </c>
      <c r="N464">
        <v>42</v>
      </c>
      <c r="O464">
        <v>16252702.702702699</v>
      </c>
      <c r="P464">
        <v>19621621.621621624</v>
      </c>
      <c r="Q464">
        <v>60</v>
      </c>
      <c r="R464">
        <v>88</v>
      </c>
      <c r="S464">
        <v>25378693.693693697</v>
      </c>
      <c r="T464">
        <v>25680900.9009009</v>
      </c>
      <c r="U464">
        <v>15711981.98198198</v>
      </c>
      <c r="V464">
        <v>18520360.360360362</v>
      </c>
      <c r="W464">
        <v>1208</v>
      </c>
      <c r="X464">
        <v>1239</v>
      </c>
    </row>
    <row r="465" spans="1:24">
      <c r="A465" s="7" t="s">
        <v>562</v>
      </c>
      <c r="B465" s="16" t="s">
        <v>563</v>
      </c>
      <c r="C465">
        <v>404206914.52109617</v>
      </c>
      <c r="D465">
        <v>407565356.49383402</v>
      </c>
      <c r="E465">
        <v>1653378254.0540543</v>
      </c>
      <c r="F465">
        <v>1037076359.4594594</v>
      </c>
      <c r="G465">
        <v>440</v>
      </c>
      <c r="H465">
        <v>512</v>
      </c>
      <c r="I465">
        <v>22</v>
      </c>
      <c r="J465">
        <v>28</v>
      </c>
      <c r="K465">
        <v>4</v>
      </c>
      <c r="M465">
        <v>628</v>
      </c>
      <c r="N465">
        <v>1013</v>
      </c>
      <c r="O465">
        <v>697257711.71171176</v>
      </c>
      <c r="P465">
        <v>704076097.29729724</v>
      </c>
      <c r="Q465">
        <v>532</v>
      </c>
      <c r="R465">
        <v>254</v>
      </c>
      <c r="S465">
        <v>163571666.66666666</v>
      </c>
      <c r="T465">
        <v>172428333.33333334</v>
      </c>
      <c r="U465">
        <v>700110225.22522521</v>
      </c>
      <c r="V465">
        <v>539777524.32432437</v>
      </c>
      <c r="W465">
        <v>8725</v>
      </c>
      <c r="X465">
        <v>8579</v>
      </c>
    </row>
    <row r="466" spans="1:24">
      <c r="A466" s="7" t="s">
        <v>564</v>
      </c>
      <c r="B466" s="16" t="s">
        <v>563</v>
      </c>
      <c r="C466">
        <v>551532530.71120131</v>
      </c>
      <c r="D466">
        <v>554575194.95834708</v>
      </c>
      <c r="E466">
        <v>1904864.8648648709</v>
      </c>
      <c r="F466">
        <v>7217117.1171171209</v>
      </c>
      <c r="G466">
        <v>212</v>
      </c>
      <c r="H466">
        <v>183</v>
      </c>
      <c r="I466">
        <v>31</v>
      </c>
      <c r="J466">
        <v>29</v>
      </c>
      <c r="K466">
        <v>1</v>
      </c>
      <c r="M466">
        <v>250</v>
      </c>
      <c r="N466">
        <v>228</v>
      </c>
      <c r="O466">
        <v>64838828.828828834</v>
      </c>
      <c r="P466">
        <v>56801218.018018015</v>
      </c>
      <c r="Q466">
        <v>653</v>
      </c>
      <c r="R466">
        <v>238</v>
      </c>
      <c r="S466">
        <v>225705585.58558559</v>
      </c>
      <c r="T466">
        <v>230484144.14414415</v>
      </c>
      <c r="U466">
        <v>73911261.261261269</v>
      </c>
      <c r="V466">
        <v>60293603.603603601</v>
      </c>
      <c r="W466">
        <v>12026</v>
      </c>
      <c r="X466">
        <v>11986</v>
      </c>
    </row>
    <row r="467" spans="1:24">
      <c r="A467" s="7" t="s">
        <v>565</v>
      </c>
      <c r="B467" s="16" t="s">
        <v>563</v>
      </c>
      <c r="C467">
        <v>408010997.65256947</v>
      </c>
      <c r="D467">
        <v>400372186.59535688</v>
      </c>
      <c r="E467">
        <v>2462790.9909909922</v>
      </c>
      <c r="F467">
        <v>6019781.9819819853</v>
      </c>
      <c r="G467">
        <v>165</v>
      </c>
      <c r="H467">
        <v>294</v>
      </c>
      <c r="I467">
        <v>25</v>
      </c>
      <c r="J467">
        <v>22</v>
      </c>
      <c r="K467">
        <v>1</v>
      </c>
      <c r="M467">
        <v>596</v>
      </c>
      <c r="N467">
        <v>392</v>
      </c>
      <c r="O467">
        <v>249063333.33333334</v>
      </c>
      <c r="P467">
        <v>44729865.765765756</v>
      </c>
      <c r="Q467">
        <v>441</v>
      </c>
      <c r="R467">
        <v>386</v>
      </c>
      <c r="S467">
        <v>183402153.15315315</v>
      </c>
      <c r="T467">
        <v>176657657.65765765</v>
      </c>
      <c r="U467">
        <v>253862162.16216218</v>
      </c>
      <c r="V467">
        <v>45133423.423423424</v>
      </c>
      <c r="W467">
        <v>12346</v>
      </c>
      <c r="X467">
        <v>11431</v>
      </c>
    </row>
    <row r="468" spans="1:24">
      <c r="A468" s="7" t="s">
        <v>566</v>
      </c>
      <c r="B468" s="16" t="s">
        <v>563</v>
      </c>
      <c r="C468">
        <v>254291924.45419559</v>
      </c>
      <c r="D468">
        <v>263838998.72948664</v>
      </c>
      <c r="E468">
        <v>367567.56756756903</v>
      </c>
      <c r="F468">
        <v>3002702.702702703</v>
      </c>
      <c r="G468">
        <v>52</v>
      </c>
      <c r="H468">
        <v>30</v>
      </c>
      <c r="I468">
        <v>16</v>
      </c>
      <c r="J468">
        <v>16</v>
      </c>
      <c r="M468">
        <v>56</v>
      </c>
      <c r="N468">
        <v>38</v>
      </c>
      <c r="O468">
        <v>39708696.396396399</v>
      </c>
      <c r="P468">
        <v>40202628.828828834</v>
      </c>
      <c r="Q468">
        <v>87</v>
      </c>
      <c r="R468">
        <v>174</v>
      </c>
      <c r="S468">
        <v>145549945.94594595</v>
      </c>
      <c r="T468">
        <v>156768162.16216218</v>
      </c>
      <c r="U468">
        <v>38751126.126126125</v>
      </c>
      <c r="V468">
        <v>39377342.342342347</v>
      </c>
      <c r="W468">
        <v>6572</v>
      </c>
      <c r="X468">
        <v>6603</v>
      </c>
    </row>
    <row r="469" spans="1:24">
      <c r="A469" s="7" t="s">
        <v>567</v>
      </c>
      <c r="B469" s="16" t="s">
        <v>563</v>
      </c>
      <c r="C469">
        <v>153062631.18218619</v>
      </c>
      <c r="D469">
        <v>154651992.45639437</v>
      </c>
      <c r="E469">
        <v>36859009.009009011</v>
      </c>
      <c r="F469">
        <v>116576216.21621622</v>
      </c>
      <c r="G469">
        <v>53</v>
      </c>
      <c r="H469">
        <v>46</v>
      </c>
      <c r="I469">
        <v>19</v>
      </c>
      <c r="J469">
        <v>18</v>
      </c>
      <c r="K469">
        <v>4</v>
      </c>
      <c r="M469">
        <v>59</v>
      </c>
      <c r="N469">
        <v>58</v>
      </c>
      <c r="O469">
        <v>48642072.072072074</v>
      </c>
      <c r="P469">
        <v>50745758.558558561</v>
      </c>
      <c r="Q469">
        <v>529</v>
      </c>
      <c r="R469">
        <v>118</v>
      </c>
      <c r="S469">
        <v>61495495.495495498</v>
      </c>
      <c r="T469">
        <v>63201836.036036029</v>
      </c>
      <c r="U469">
        <v>44984549.54954955</v>
      </c>
      <c r="V469">
        <v>29877297.297297295</v>
      </c>
      <c r="W469">
        <v>4698</v>
      </c>
      <c r="X469">
        <v>5127</v>
      </c>
    </row>
    <row r="470" spans="1:24">
      <c r="A470" s="7" t="s">
        <v>568</v>
      </c>
      <c r="B470" s="16" t="s">
        <v>48</v>
      </c>
      <c r="C470">
        <v>359967465.82525665</v>
      </c>
      <c r="D470">
        <v>343954165.47991562</v>
      </c>
      <c r="E470">
        <v>205855.85585585699</v>
      </c>
      <c r="F470">
        <v>1379279.27927928</v>
      </c>
      <c r="G470">
        <v>17</v>
      </c>
      <c r="H470">
        <v>9</v>
      </c>
      <c r="I470">
        <v>5</v>
      </c>
      <c r="J470">
        <v>6</v>
      </c>
      <c r="M470">
        <v>20</v>
      </c>
      <c r="N470">
        <v>60</v>
      </c>
      <c r="O470">
        <v>17322972.972972974</v>
      </c>
      <c r="P470">
        <v>16496396.396396399</v>
      </c>
      <c r="R470">
        <v>32</v>
      </c>
      <c r="S470">
        <v>42073097.297297299</v>
      </c>
      <c r="T470">
        <v>42839571.171171166</v>
      </c>
      <c r="U470">
        <v>18643063.063063063</v>
      </c>
      <c r="V470">
        <v>14833603.603603603</v>
      </c>
      <c r="W470">
        <v>6276</v>
      </c>
      <c r="X470">
        <v>6000</v>
      </c>
    </row>
    <row r="471" spans="1:24">
      <c r="A471" s="7" t="s">
        <v>569</v>
      </c>
      <c r="B471" s="16" t="s">
        <v>169</v>
      </c>
      <c r="C471">
        <v>4837086341.2491493</v>
      </c>
      <c r="D471">
        <v>4841793433.4533939</v>
      </c>
      <c r="E471">
        <v>4070728180.1801801</v>
      </c>
      <c r="F471">
        <v>3339224204.5045042</v>
      </c>
      <c r="G471">
        <v>1206</v>
      </c>
      <c r="H471">
        <v>1263</v>
      </c>
      <c r="I471">
        <v>89</v>
      </c>
      <c r="J471">
        <v>73</v>
      </c>
      <c r="K471">
        <v>9</v>
      </c>
      <c r="M471">
        <v>1458</v>
      </c>
      <c r="N471">
        <v>2321</v>
      </c>
      <c r="O471">
        <v>1528774240.5405407</v>
      </c>
      <c r="P471">
        <v>641175504.50450456</v>
      </c>
      <c r="Q471">
        <v>1878</v>
      </c>
      <c r="R471">
        <v>1356</v>
      </c>
      <c r="S471">
        <v>2788889600</v>
      </c>
      <c r="T471">
        <v>2999479498.1981983</v>
      </c>
      <c r="U471">
        <v>1137994998.1981981</v>
      </c>
      <c r="V471">
        <v>612668958.55855858</v>
      </c>
      <c r="W471">
        <v>56117</v>
      </c>
      <c r="X471">
        <v>54539</v>
      </c>
    </row>
    <row r="472" spans="1:24">
      <c r="A472" s="7" t="s">
        <v>570</v>
      </c>
      <c r="B472" s="16" t="s">
        <v>220</v>
      </c>
      <c r="C472">
        <v>335342192.0297026</v>
      </c>
      <c r="D472">
        <v>302084972.45259655</v>
      </c>
      <c r="E472">
        <v>694594.594594597</v>
      </c>
      <c r="F472">
        <v>1483783.783783786</v>
      </c>
      <c r="G472">
        <v>41</v>
      </c>
      <c r="H472">
        <v>30</v>
      </c>
      <c r="I472">
        <v>7</v>
      </c>
      <c r="J472">
        <v>5</v>
      </c>
      <c r="M472">
        <v>46</v>
      </c>
      <c r="N472">
        <v>33</v>
      </c>
      <c r="O472">
        <v>12459009.009009007</v>
      </c>
      <c r="P472">
        <v>12041171.171171172</v>
      </c>
      <c r="Q472">
        <v>150</v>
      </c>
      <c r="S472">
        <v>54478153.153153151</v>
      </c>
      <c r="T472">
        <v>50215117.117117122</v>
      </c>
      <c r="U472">
        <v>13269549.54954955</v>
      </c>
      <c r="V472">
        <v>11095945.945945945</v>
      </c>
      <c r="W472">
        <v>5300</v>
      </c>
      <c r="X472">
        <v>4444</v>
      </c>
    </row>
    <row r="473" spans="1:24">
      <c r="A473" s="7" t="s">
        <v>571</v>
      </c>
      <c r="B473" s="16" t="s">
        <v>85</v>
      </c>
      <c r="C473">
        <v>375159095.84620327</v>
      </c>
      <c r="D473">
        <v>373519607.69082981</v>
      </c>
      <c r="E473">
        <v>831531.53153153195</v>
      </c>
      <c r="F473">
        <v>590090.09009009204</v>
      </c>
      <c r="G473">
        <v>19</v>
      </c>
      <c r="H473">
        <v>47</v>
      </c>
      <c r="I473">
        <v>3</v>
      </c>
      <c r="J473">
        <v>3</v>
      </c>
      <c r="K473">
        <v>1</v>
      </c>
      <c r="M473">
        <v>21</v>
      </c>
      <c r="N473">
        <v>53</v>
      </c>
      <c r="O473">
        <v>9390090.0900900904</v>
      </c>
      <c r="P473">
        <v>46285663.963963971</v>
      </c>
      <c r="Q473">
        <v>190</v>
      </c>
      <c r="R473">
        <v>12</v>
      </c>
      <c r="S473">
        <v>85062508.108108118</v>
      </c>
      <c r="T473">
        <v>85318800</v>
      </c>
      <c r="U473">
        <v>10358648.648648648</v>
      </c>
      <c r="V473">
        <v>29827567.567567572</v>
      </c>
      <c r="W473">
        <v>4895</v>
      </c>
      <c r="X473">
        <v>5009</v>
      </c>
    </row>
    <row r="474" spans="1:24">
      <c r="A474" s="7" t="s">
        <v>572</v>
      </c>
      <c r="B474" s="16" t="s">
        <v>479</v>
      </c>
      <c r="C474">
        <v>184146019.72035709</v>
      </c>
      <c r="D474">
        <v>196159369.56496775</v>
      </c>
      <c r="E474">
        <v>2518918.9189189221</v>
      </c>
      <c r="F474">
        <v>3363963.9639639631</v>
      </c>
      <c r="G474">
        <v>98</v>
      </c>
      <c r="H474">
        <v>111</v>
      </c>
      <c r="I474">
        <v>7</v>
      </c>
      <c r="J474">
        <v>8</v>
      </c>
      <c r="M474">
        <v>177</v>
      </c>
      <c r="N474">
        <v>169</v>
      </c>
      <c r="O474">
        <v>37218018.018018015</v>
      </c>
      <c r="P474">
        <v>34844864.864864871</v>
      </c>
      <c r="Q474">
        <v>18</v>
      </c>
      <c r="R474">
        <v>124</v>
      </c>
      <c r="S474">
        <v>67936576.576576576</v>
      </c>
      <c r="T474">
        <v>81030210.810810819</v>
      </c>
      <c r="U474">
        <v>35359909.909909911</v>
      </c>
      <c r="V474">
        <v>32885135.13513514</v>
      </c>
      <c r="W474">
        <v>5104</v>
      </c>
      <c r="X474">
        <v>5367</v>
      </c>
    </row>
    <row r="475" spans="1:24">
      <c r="A475" s="7" t="s">
        <v>573</v>
      </c>
      <c r="B475" s="16" t="s">
        <v>94</v>
      </c>
      <c r="C475">
        <v>522597060.06842846</v>
      </c>
      <c r="D475">
        <v>503117788.15823436</v>
      </c>
      <c r="E475">
        <v>1951351.3513513531</v>
      </c>
      <c r="F475">
        <v>3029729.7297297311</v>
      </c>
      <c r="G475">
        <v>139</v>
      </c>
      <c r="H475">
        <v>90</v>
      </c>
      <c r="I475">
        <v>11</v>
      </c>
      <c r="J475">
        <v>10</v>
      </c>
      <c r="K475">
        <v>1</v>
      </c>
      <c r="M475">
        <v>158</v>
      </c>
      <c r="N475">
        <v>128</v>
      </c>
      <c r="O475">
        <v>494893693.6936937</v>
      </c>
      <c r="P475">
        <v>851636936.93693697</v>
      </c>
      <c r="Q475">
        <v>134</v>
      </c>
      <c r="R475">
        <v>207</v>
      </c>
      <c r="S475">
        <v>114417139.63963965</v>
      </c>
      <c r="T475">
        <v>108774126.57657658</v>
      </c>
      <c r="U475">
        <v>36920810.810810804</v>
      </c>
      <c r="V475">
        <v>40062612.612612613</v>
      </c>
      <c r="W475">
        <v>9448</v>
      </c>
      <c r="X475">
        <v>9320</v>
      </c>
    </row>
    <row r="476" spans="1:24">
      <c r="A476" s="7" t="s">
        <v>574</v>
      </c>
      <c r="B476" s="16" t="s">
        <v>307</v>
      </c>
      <c r="C476">
        <v>1173296407.0759559</v>
      </c>
      <c r="D476">
        <v>1163658952.3127854</v>
      </c>
      <c r="E476">
        <v>13803243.243243244</v>
      </c>
      <c r="F476">
        <v>21006036.036036044</v>
      </c>
      <c r="G476">
        <v>427</v>
      </c>
      <c r="H476">
        <v>487</v>
      </c>
      <c r="I476">
        <v>17</v>
      </c>
      <c r="J476">
        <v>24</v>
      </c>
      <c r="K476">
        <v>1</v>
      </c>
      <c r="M476">
        <v>467</v>
      </c>
      <c r="N476">
        <v>644</v>
      </c>
      <c r="O476">
        <v>1823606081.0810812</v>
      </c>
      <c r="P476">
        <v>1383767792.7927928</v>
      </c>
      <c r="Q476">
        <v>1581</v>
      </c>
      <c r="R476">
        <v>1778</v>
      </c>
      <c r="S476">
        <v>466044612.61261261</v>
      </c>
      <c r="T476">
        <v>481152543.6936937</v>
      </c>
      <c r="U476">
        <v>105280945.94594595</v>
      </c>
      <c r="V476">
        <v>253792567.56756756</v>
      </c>
      <c r="W476">
        <v>32871</v>
      </c>
      <c r="X476">
        <v>31317</v>
      </c>
    </row>
    <row r="477" spans="1:24">
      <c r="A477" s="7" t="s">
        <v>10</v>
      </c>
      <c r="B477" s="16" t="s">
        <v>193</v>
      </c>
      <c r="C477">
        <v>199419094.83854869</v>
      </c>
      <c r="D477">
        <v>189909293.8427375</v>
      </c>
      <c r="G477">
        <v>15</v>
      </c>
      <c r="H477">
        <v>29</v>
      </c>
      <c r="J477">
        <v>0</v>
      </c>
      <c r="M477">
        <v>15</v>
      </c>
      <c r="N477">
        <v>30</v>
      </c>
      <c r="S477">
        <v>115081801.8018018</v>
      </c>
      <c r="T477">
        <v>113579340.54054055</v>
      </c>
      <c r="V477">
        <v>19639.639639640001</v>
      </c>
      <c r="W477">
        <v>3777</v>
      </c>
      <c r="X477">
        <v>3719</v>
      </c>
    </row>
    <row r="478" spans="1:24">
      <c r="A478" s="7" t="s">
        <v>575</v>
      </c>
      <c r="B478" s="16" t="s">
        <v>87</v>
      </c>
      <c r="C478">
        <v>4483366.1644546967</v>
      </c>
      <c r="D478">
        <v>4109365.3446640158</v>
      </c>
      <c r="G478">
        <v>5</v>
      </c>
      <c r="H478">
        <v>18</v>
      </c>
      <c r="M478">
        <v>5</v>
      </c>
      <c r="N478">
        <v>19</v>
      </c>
      <c r="S478">
        <v>1311261.2612612611</v>
      </c>
      <c r="T478">
        <v>1389025.2252252251</v>
      </c>
      <c r="W478">
        <v>243</v>
      </c>
      <c r="X478">
        <v>247</v>
      </c>
    </row>
    <row r="479" spans="1:24">
      <c r="A479" s="7" t="s">
        <v>576</v>
      </c>
      <c r="B479" s="16" t="s">
        <v>283</v>
      </c>
      <c r="C479">
        <v>281019939.11883479</v>
      </c>
      <c r="D479">
        <v>261415209.07403269</v>
      </c>
      <c r="E479">
        <v>35135.135135135002</v>
      </c>
      <c r="F479">
        <v>363963.96396396402</v>
      </c>
      <c r="G479">
        <v>33</v>
      </c>
      <c r="H479">
        <v>45</v>
      </c>
      <c r="I479">
        <v>2</v>
      </c>
      <c r="J479">
        <v>1</v>
      </c>
      <c r="M479">
        <v>35</v>
      </c>
      <c r="N479">
        <v>47</v>
      </c>
      <c r="O479">
        <v>11476576.576576576</v>
      </c>
      <c r="P479">
        <v>18886486.486486487</v>
      </c>
      <c r="Q479">
        <v>7</v>
      </c>
      <c r="R479">
        <v>8</v>
      </c>
      <c r="S479">
        <v>38952072.072072074</v>
      </c>
      <c r="T479">
        <v>41492225.225225225</v>
      </c>
      <c r="U479">
        <v>12869189.189189188</v>
      </c>
      <c r="V479">
        <v>19863513.513513513</v>
      </c>
      <c r="W479">
        <v>3626</v>
      </c>
      <c r="X479">
        <v>3552</v>
      </c>
    </row>
    <row r="480" spans="1:24">
      <c r="A480" s="7" t="s">
        <v>577</v>
      </c>
      <c r="B480" s="16" t="s">
        <v>307</v>
      </c>
      <c r="C480">
        <v>1165658698.4934754</v>
      </c>
      <c r="D480">
        <v>1143690534.7516611</v>
      </c>
      <c r="E480">
        <v>3168738.7387387422</v>
      </c>
      <c r="F480">
        <v>10419369.369369378</v>
      </c>
      <c r="G480">
        <v>614</v>
      </c>
      <c r="H480">
        <v>466</v>
      </c>
      <c r="I480">
        <v>38</v>
      </c>
      <c r="J480">
        <v>35</v>
      </c>
      <c r="M480">
        <v>736</v>
      </c>
      <c r="N480">
        <v>639</v>
      </c>
      <c r="O480">
        <v>104317972.97297297</v>
      </c>
      <c r="P480">
        <v>137912387.38738739</v>
      </c>
      <c r="Q480">
        <v>1249</v>
      </c>
      <c r="R480">
        <v>1062</v>
      </c>
      <c r="S480">
        <v>454634036.03603601</v>
      </c>
      <c r="T480">
        <v>482706918.91891891</v>
      </c>
      <c r="U480">
        <v>100761441.44144145</v>
      </c>
      <c r="V480">
        <v>123289144.14414415</v>
      </c>
      <c r="W480">
        <v>39213</v>
      </c>
      <c r="X480">
        <v>39541</v>
      </c>
    </row>
    <row r="481" spans="1:24">
      <c r="A481" s="7" t="s">
        <v>578</v>
      </c>
      <c r="B481" s="16" t="s">
        <v>330</v>
      </c>
      <c r="C481">
        <v>1100560145.7806351</v>
      </c>
      <c r="D481">
        <v>1051491584.0113958</v>
      </c>
      <c r="E481">
        <v>2730180.1801801822</v>
      </c>
      <c r="F481">
        <v>10114864.864864867</v>
      </c>
      <c r="G481">
        <v>397</v>
      </c>
      <c r="H481">
        <v>381</v>
      </c>
      <c r="I481">
        <v>36</v>
      </c>
      <c r="J481">
        <v>34</v>
      </c>
      <c r="K481">
        <v>17</v>
      </c>
      <c r="M481">
        <v>491</v>
      </c>
      <c r="N481">
        <v>600</v>
      </c>
      <c r="O481">
        <v>185092972.97297299</v>
      </c>
      <c r="P481">
        <v>179275495.4954955</v>
      </c>
      <c r="Q481">
        <v>782</v>
      </c>
      <c r="R481">
        <v>334</v>
      </c>
      <c r="S481">
        <v>221723351.35135135</v>
      </c>
      <c r="T481">
        <v>228057171.17117116</v>
      </c>
      <c r="U481">
        <v>178503873.87387389</v>
      </c>
      <c r="V481">
        <v>174874774.77477479</v>
      </c>
      <c r="W481">
        <v>28325</v>
      </c>
      <c r="X481">
        <v>28390</v>
      </c>
    </row>
    <row r="482" spans="1:24">
      <c r="A482" s="7" t="s">
        <v>579</v>
      </c>
      <c r="B482" s="16" t="s">
        <v>66</v>
      </c>
      <c r="C482">
        <v>172132608.40569156</v>
      </c>
      <c r="D482">
        <v>163851669.49621087</v>
      </c>
      <c r="E482">
        <v>145495.495495496</v>
      </c>
      <c r="F482">
        <v>404054.05405405501</v>
      </c>
      <c r="G482">
        <v>36</v>
      </c>
      <c r="H482">
        <v>29</v>
      </c>
      <c r="I482">
        <v>1</v>
      </c>
      <c r="J482">
        <v>1</v>
      </c>
      <c r="M482">
        <v>39</v>
      </c>
      <c r="N482">
        <v>34</v>
      </c>
      <c r="O482">
        <v>3004504.5045045051</v>
      </c>
      <c r="P482">
        <v>4320720.7207207223</v>
      </c>
      <c r="Q482">
        <v>24</v>
      </c>
      <c r="R482">
        <v>15</v>
      </c>
      <c r="S482">
        <v>42062297.297297299</v>
      </c>
      <c r="T482">
        <v>44749319.819819823</v>
      </c>
      <c r="U482">
        <v>2764594.594594596</v>
      </c>
      <c r="V482">
        <v>3983963.963963964</v>
      </c>
      <c r="W482">
        <v>3341</v>
      </c>
      <c r="X482">
        <v>3131</v>
      </c>
    </row>
    <row r="483" spans="1:24">
      <c r="A483" s="7" t="s">
        <v>580</v>
      </c>
      <c r="B483" s="16" t="s">
        <v>236</v>
      </c>
      <c r="C483">
        <v>269434.484484424</v>
      </c>
      <c r="D483">
        <v>12020.705011463</v>
      </c>
      <c r="E483">
        <v>68459394.594594598</v>
      </c>
      <c r="F483">
        <v>49458268.468468465</v>
      </c>
      <c r="O483">
        <v>22342342.342342343</v>
      </c>
      <c r="P483">
        <v>22949549.549549554</v>
      </c>
      <c r="S483">
        <v>171621.62162162201</v>
      </c>
      <c r="W483">
        <v>685</v>
      </c>
    </row>
    <row r="484" spans="1:24">
      <c r="A484" s="7" t="s">
        <v>581</v>
      </c>
      <c r="B484" s="16" t="s">
        <v>62</v>
      </c>
      <c r="C484">
        <v>420954263.98191142</v>
      </c>
      <c r="D484">
        <v>420311286.28798997</v>
      </c>
      <c r="E484">
        <v>1831081.0810810879</v>
      </c>
      <c r="F484">
        <v>4163063.063063073</v>
      </c>
      <c r="G484">
        <v>98</v>
      </c>
      <c r="H484">
        <v>207</v>
      </c>
      <c r="I484">
        <v>19</v>
      </c>
      <c r="J484">
        <v>21</v>
      </c>
      <c r="M484">
        <v>102</v>
      </c>
      <c r="N484">
        <v>273</v>
      </c>
      <c r="O484">
        <v>38171621.621621616</v>
      </c>
      <c r="P484">
        <v>37396936.936936937</v>
      </c>
      <c r="Q484">
        <v>151</v>
      </c>
      <c r="R484">
        <v>188</v>
      </c>
      <c r="S484">
        <v>94386342.342342332</v>
      </c>
      <c r="T484">
        <v>95667729.729729727</v>
      </c>
      <c r="U484">
        <v>36238198.198198199</v>
      </c>
      <c r="V484">
        <v>38508648.648648649</v>
      </c>
      <c r="W484">
        <v>6160</v>
      </c>
      <c r="X484">
        <v>6710</v>
      </c>
    </row>
    <row r="485" spans="1:24">
      <c r="A485" s="7" t="s">
        <v>582</v>
      </c>
      <c r="B485" s="16" t="s">
        <v>48</v>
      </c>
      <c r="C485">
        <v>425629961.29538208</v>
      </c>
      <c r="D485">
        <v>380613699.8385148</v>
      </c>
      <c r="E485">
        <v>47857072.072072074</v>
      </c>
      <c r="F485">
        <v>106481576.57657658</v>
      </c>
      <c r="G485">
        <v>158</v>
      </c>
      <c r="H485">
        <v>36</v>
      </c>
      <c r="I485">
        <v>4</v>
      </c>
      <c r="J485">
        <v>4</v>
      </c>
      <c r="M485">
        <v>158</v>
      </c>
      <c r="N485">
        <v>59</v>
      </c>
      <c r="O485">
        <v>145427612.61261261</v>
      </c>
      <c r="P485">
        <v>136034594.5945946</v>
      </c>
      <c r="S485">
        <v>62652387.387387387</v>
      </c>
      <c r="T485">
        <v>55835716.216216214</v>
      </c>
      <c r="U485">
        <v>106548378.37837839</v>
      </c>
      <c r="V485">
        <v>123653153.15315315</v>
      </c>
      <c r="W485">
        <v>5736</v>
      </c>
      <c r="X485">
        <v>5155</v>
      </c>
    </row>
    <row r="486" spans="1:24">
      <c r="A486" s="7" t="s">
        <v>583</v>
      </c>
      <c r="B486" s="16" t="s">
        <v>54</v>
      </c>
      <c r="C486">
        <v>76016469.707801029</v>
      </c>
      <c r="D486">
        <v>75221822.525485471</v>
      </c>
      <c r="E486">
        <v>916441.44144144305</v>
      </c>
      <c r="F486">
        <v>759459.45945946104</v>
      </c>
      <c r="G486">
        <v>18</v>
      </c>
      <c r="H486">
        <v>25</v>
      </c>
      <c r="I486">
        <v>7</v>
      </c>
      <c r="J486">
        <v>11</v>
      </c>
      <c r="M486">
        <v>21</v>
      </c>
      <c r="N486">
        <v>65</v>
      </c>
      <c r="O486">
        <v>14448648.648648648</v>
      </c>
      <c r="P486">
        <v>11270810.810810812</v>
      </c>
      <c r="Q486">
        <v>134</v>
      </c>
      <c r="R486">
        <v>61</v>
      </c>
      <c r="S486">
        <v>19090765.765765768</v>
      </c>
      <c r="T486">
        <v>19525822.072072074</v>
      </c>
      <c r="U486">
        <v>13789909.909909908</v>
      </c>
      <c r="V486">
        <v>10364864.864864865</v>
      </c>
      <c r="W486">
        <v>2074</v>
      </c>
      <c r="X486">
        <v>2070</v>
      </c>
    </row>
    <row r="487" spans="1:24">
      <c r="A487" s="7" t="s">
        <v>584</v>
      </c>
      <c r="B487" s="16" t="s">
        <v>70</v>
      </c>
      <c r="C487">
        <v>197722090.37395275</v>
      </c>
      <c r="D487">
        <v>193387768.77740866</v>
      </c>
      <c r="E487">
        <v>76427252.252252251</v>
      </c>
      <c r="F487">
        <v>76261261.261261269</v>
      </c>
      <c r="G487">
        <v>29</v>
      </c>
      <c r="H487">
        <v>48</v>
      </c>
      <c r="J487">
        <v>1</v>
      </c>
      <c r="K487">
        <v>2</v>
      </c>
      <c r="M487">
        <v>32</v>
      </c>
      <c r="N487">
        <v>51</v>
      </c>
      <c r="O487">
        <v>20332882.882882886</v>
      </c>
      <c r="P487">
        <v>29775900.900900904</v>
      </c>
      <c r="Q487">
        <v>11</v>
      </c>
      <c r="R487">
        <v>8</v>
      </c>
      <c r="S487">
        <v>86619774.77477479</v>
      </c>
      <c r="T487">
        <v>87369603.603603601</v>
      </c>
      <c r="U487">
        <v>2485135.1351351351</v>
      </c>
      <c r="V487">
        <v>1812612.6126126139</v>
      </c>
      <c r="W487">
        <v>3653</v>
      </c>
      <c r="X487">
        <v>3627</v>
      </c>
    </row>
    <row r="488" spans="1:24">
      <c r="A488" s="7" t="s">
        <v>585</v>
      </c>
      <c r="B488" s="16" t="s">
        <v>330</v>
      </c>
      <c r="C488">
        <v>760151782.39024746</v>
      </c>
      <c r="D488">
        <v>725539460.78810179</v>
      </c>
      <c r="E488">
        <v>3045270.2702702712</v>
      </c>
      <c r="F488">
        <v>8536936.9369369373</v>
      </c>
      <c r="G488">
        <v>320</v>
      </c>
      <c r="H488">
        <v>295</v>
      </c>
      <c r="I488">
        <v>25</v>
      </c>
      <c r="J488">
        <v>18</v>
      </c>
      <c r="K488">
        <v>16</v>
      </c>
      <c r="M488">
        <v>376</v>
      </c>
      <c r="N488">
        <v>371</v>
      </c>
      <c r="O488">
        <v>49325765.765765756</v>
      </c>
      <c r="P488">
        <v>90137657.657657668</v>
      </c>
      <c r="Q488">
        <v>406</v>
      </c>
      <c r="R488">
        <v>400</v>
      </c>
      <c r="S488">
        <v>184264311.7117117</v>
      </c>
      <c r="T488">
        <v>195349147.74774775</v>
      </c>
      <c r="U488">
        <v>43814547.747747742</v>
      </c>
      <c r="V488">
        <v>83532972.972972974</v>
      </c>
      <c r="W488">
        <v>20753</v>
      </c>
      <c r="X488">
        <v>20399</v>
      </c>
    </row>
    <row r="489" spans="1:24">
      <c r="A489" s="7" t="s">
        <v>586</v>
      </c>
      <c r="B489" s="16" t="s">
        <v>66</v>
      </c>
      <c r="C489">
        <v>332621931.45126641</v>
      </c>
      <c r="D489">
        <v>349693590.64248818</v>
      </c>
      <c r="E489">
        <v>151593596.3963964</v>
      </c>
      <c r="F489">
        <v>712978097.29729724</v>
      </c>
      <c r="G489">
        <v>194</v>
      </c>
      <c r="H489">
        <v>166</v>
      </c>
      <c r="I489">
        <v>12</v>
      </c>
      <c r="J489">
        <v>10</v>
      </c>
      <c r="K489">
        <v>1</v>
      </c>
      <c r="M489">
        <v>421</v>
      </c>
      <c r="N489">
        <v>427</v>
      </c>
      <c r="O489">
        <v>38689369.369369365</v>
      </c>
      <c r="P489">
        <v>78825360.360360369</v>
      </c>
      <c r="Q489">
        <v>388</v>
      </c>
      <c r="R489">
        <v>56</v>
      </c>
      <c r="S489">
        <v>174299747.74774775</v>
      </c>
      <c r="T489">
        <v>172692648.64864865</v>
      </c>
      <c r="U489">
        <v>38230090.090090096</v>
      </c>
      <c r="V489">
        <v>69405990.990990996</v>
      </c>
      <c r="W489">
        <v>10374</v>
      </c>
      <c r="X489">
        <v>10955</v>
      </c>
    </row>
    <row r="490" spans="1:24">
      <c r="A490" s="7" t="s">
        <v>11</v>
      </c>
      <c r="B490" s="16" t="s">
        <v>193</v>
      </c>
      <c r="C490">
        <v>155593304.53925359</v>
      </c>
      <c r="D490">
        <v>166439726.21087494</v>
      </c>
      <c r="E490">
        <v>343243.24324324197</v>
      </c>
      <c r="F490">
        <v>586486.48648648802</v>
      </c>
      <c r="G490">
        <v>49</v>
      </c>
      <c r="H490">
        <v>36</v>
      </c>
      <c r="I490">
        <v>6</v>
      </c>
      <c r="J490">
        <v>0</v>
      </c>
      <c r="M490">
        <v>53</v>
      </c>
      <c r="N490">
        <v>41</v>
      </c>
      <c r="O490">
        <v>5127027.0270270258</v>
      </c>
      <c r="P490">
        <v>14505405.405405408</v>
      </c>
      <c r="Q490">
        <v>44</v>
      </c>
      <c r="S490">
        <v>51854909.909909911</v>
      </c>
      <c r="T490">
        <v>56073227.477477483</v>
      </c>
      <c r="U490">
        <v>5627567.5675675664</v>
      </c>
      <c r="V490">
        <v>15209639.63963964</v>
      </c>
      <c r="W490">
        <v>3805</v>
      </c>
      <c r="X490">
        <v>4094</v>
      </c>
    </row>
    <row r="491" spans="1:24">
      <c r="A491" s="7" t="s">
        <v>12</v>
      </c>
      <c r="B491" s="16" t="s">
        <v>193</v>
      </c>
      <c r="C491">
        <v>109905903.32686886</v>
      </c>
      <c r="D491">
        <v>112357529.49476807</v>
      </c>
      <c r="E491">
        <v>57318243.24324324</v>
      </c>
      <c r="F491">
        <v>95999099.0990991</v>
      </c>
      <c r="G491">
        <v>33</v>
      </c>
      <c r="H491">
        <v>20</v>
      </c>
      <c r="I491">
        <v>8</v>
      </c>
      <c r="J491">
        <v>6</v>
      </c>
      <c r="M491">
        <v>40</v>
      </c>
      <c r="N491">
        <v>20</v>
      </c>
      <c r="O491">
        <v>13038513.513513513</v>
      </c>
      <c r="P491">
        <v>22190765.765765764</v>
      </c>
      <c r="Q491">
        <v>70</v>
      </c>
      <c r="S491">
        <v>42772648.648648649</v>
      </c>
      <c r="T491">
        <v>44983306.306306303</v>
      </c>
      <c r="U491">
        <v>6307117.1171171153</v>
      </c>
      <c r="V491">
        <v>23661441.441441439</v>
      </c>
      <c r="W491">
        <v>2844</v>
      </c>
      <c r="X491">
        <v>3094</v>
      </c>
    </row>
    <row r="492" spans="1:24">
      <c r="A492" s="7" t="s">
        <v>587</v>
      </c>
      <c r="B492" s="16" t="s">
        <v>60</v>
      </c>
      <c r="C492">
        <v>85922977.267970815</v>
      </c>
      <c r="D492">
        <v>88425734.568495438</v>
      </c>
      <c r="E492">
        <v>209009.009009011</v>
      </c>
      <c r="F492">
        <v>1590990.9909909919</v>
      </c>
      <c r="G492">
        <v>43</v>
      </c>
      <c r="H492">
        <v>40</v>
      </c>
      <c r="I492">
        <v>6</v>
      </c>
      <c r="J492">
        <v>9</v>
      </c>
      <c r="K492">
        <v>1</v>
      </c>
      <c r="M492">
        <v>52</v>
      </c>
      <c r="N492">
        <v>65</v>
      </c>
      <c r="O492">
        <v>13785585.585585585</v>
      </c>
      <c r="P492">
        <v>15032432.432432434</v>
      </c>
      <c r="Q492">
        <v>84</v>
      </c>
      <c r="R492">
        <v>161</v>
      </c>
      <c r="S492">
        <v>33409414.414414417</v>
      </c>
      <c r="T492">
        <v>32777200.45045045</v>
      </c>
      <c r="U492">
        <v>13014054.054054054</v>
      </c>
      <c r="V492">
        <v>13757657.657657657</v>
      </c>
      <c r="W492">
        <v>1868</v>
      </c>
      <c r="X492">
        <v>1790</v>
      </c>
    </row>
    <row r="493" spans="1:24">
      <c r="A493" s="7" t="s">
        <v>588</v>
      </c>
      <c r="B493" s="16" t="s">
        <v>307</v>
      </c>
      <c r="C493">
        <v>2526115609.2128935</v>
      </c>
      <c r="D493">
        <v>2481637763.1867771</v>
      </c>
      <c r="E493">
        <v>1907366400</v>
      </c>
      <c r="F493">
        <v>1738066737.8378379</v>
      </c>
      <c r="G493">
        <v>1166</v>
      </c>
      <c r="H493">
        <v>1198</v>
      </c>
      <c r="I493">
        <v>87</v>
      </c>
      <c r="J493">
        <v>80</v>
      </c>
      <c r="K493">
        <v>3</v>
      </c>
      <c r="M493">
        <v>1351</v>
      </c>
      <c r="N493">
        <v>1623</v>
      </c>
      <c r="O493">
        <v>251542477.47747746</v>
      </c>
      <c r="P493">
        <v>549050347.74774778</v>
      </c>
      <c r="Q493">
        <v>2321</v>
      </c>
      <c r="R493">
        <v>2725</v>
      </c>
      <c r="S493">
        <v>782647126.12612605</v>
      </c>
      <c r="T493">
        <v>797023761.26126134</v>
      </c>
      <c r="U493">
        <v>250328828.82882884</v>
      </c>
      <c r="V493">
        <v>476034054.05405408</v>
      </c>
      <c r="W493">
        <v>64957</v>
      </c>
      <c r="X493">
        <v>67270</v>
      </c>
    </row>
    <row r="494" spans="1:24">
      <c r="A494" s="7" t="s">
        <v>589</v>
      </c>
      <c r="B494" s="16" t="s">
        <v>52</v>
      </c>
      <c r="C494">
        <v>607700665.28390932</v>
      </c>
      <c r="D494">
        <v>598388295.99410772</v>
      </c>
      <c r="E494">
        <v>15466036.036036041</v>
      </c>
      <c r="F494">
        <v>10033406.306306308</v>
      </c>
      <c r="G494">
        <v>136</v>
      </c>
      <c r="H494">
        <v>132</v>
      </c>
      <c r="I494">
        <v>15</v>
      </c>
      <c r="J494">
        <v>22</v>
      </c>
      <c r="M494">
        <v>213</v>
      </c>
      <c r="N494">
        <v>321</v>
      </c>
      <c r="O494">
        <v>64309369.369369373</v>
      </c>
      <c r="P494">
        <v>150560486.48648649</v>
      </c>
      <c r="Q494">
        <v>584</v>
      </c>
      <c r="R494">
        <v>1918</v>
      </c>
      <c r="S494">
        <v>242395950.45045045</v>
      </c>
      <c r="T494">
        <v>240443297.29729727</v>
      </c>
      <c r="U494">
        <v>62720540.540540546</v>
      </c>
      <c r="V494">
        <v>163552837.83783782</v>
      </c>
      <c r="W494">
        <v>14432</v>
      </c>
      <c r="X494">
        <v>14563</v>
      </c>
    </row>
    <row r="495" spans="1:24">
      <c r="A495" s="7" t="s">
        <v>590</v>
      </c>
      <c r="B495" s="16" t="s">
        <v>54</v>
      </c>
      <c r="C495">
        <v>48574370.583036356</v>
      </c>
      <c r="D495">
        <v>51107454.725835413</v>
      </c>
      <c r="E495">
        <v>915990.99099099101</v>
      </c>
      <c r="F495">
        <v>1007207.207207208</v>
      </c>
      <c r="G495">
        <v>13</v>
      </c>
      <c r="H495">
        <v>20</v>
      </c>
      <c r="I495">
        <v>3</v>
      </c>
      <c r="J495">
        <v>3</v>
      </c>
      <c r="M495">
        <v>15</v>
      </c>
      <c r="N495">
        <v>26</v>
      </c>
      <c r="O495">
        <v>14097297.297297295</v>
      </c>
      <c r="P495">
        <v>10746396.396396397</v>
      </c>
      <c r="Q495">
        <v>24</v>
      </c>
      <c r="R495">
        <v>16</v>
      </c>
      <c r="S495">
        <v>16165396.396396397</v>
      </c>
      <c r="T495">
        <v>16033761.26126126</v>
      </c>
      <c r="U495">
        <v>8149819.819819821</v>
      </c>
      <c r="V495">
        <v>9393783.7837837841</v>
      </c>
      <c r="W495">
        <v>1535</v>
      </c>
      <c r="X495">
        <v>1605</v>
      </c>
    </row>
    <row r="496" spans="1:24">
      <c r="A496" s="7" t="s">
        <v>591</v>
      </c>
      <c r="B496" s="16" t="s">
        <v>169</v>
      </c>
      <c r="C496">
        <v>1472077061.4793646</v>
      </c>
      <c r="D496">
        <v>1450944055.5080335</v>
      </c>
      <c r="E496">
        <v>7839819.8198198238</v>
      </c>
      <c r="F496">
        <v>8356531.5315315351</v>
      </c>
      <c r="G496">
        <v>142</v>
      </c>
      <c r="H496">
        <v>106</v>
      </c>
      <c r="I496">
        <v>24</v>
      </c>
      <c r="J496">
        <v>15</v>
      </c>
      <c r="K496">
        <v>3</v>
      </c>
      <c r="M496">
        <v>162</v>
      </c>
      <c r="N496">
        <v>173</v>
      </c>
      <c r="O496">
        <v>211677692.7927928</v>
      </c>
      <c r="P496">
        <v>274408286.48648649</v>
      </c>
      <c r="Q496">
        <v>430</v>
      </c>
      <c r="R496">
        <v>277</v>
      </c>
      <c r="S496">
        <v>496096709.9099099</v>
      </c>
      <c r="T496">
        <v>489787887.38738739</v>
      </c>
      <c r="U496">
        <v>178408288.2882883</v>
      </c>
      <c r="V496">
        <v>251862432.43243241</v>
      </c>
      <c r="W496">
        <v>23568</v>
      </c>
      <c r="X496">
        <v>23570</v>
      </c>
    </row>
    <row r="497" spans="1:24">
      <c r="A497" s="7" t="s">
        <v>592</v>
      </c>
      <c r="B497" s="16" t="s">
        <v>87</v>
      </c>
      <c r="C497">
        <v>8013750.2880711146</v>
      </c>
      <c r="D497">
        <v>7239872.1571141928</v>
      </c>
      <c r="G497">
        <v>1</v>
      </c>
      <c r="H497">
        <v>2</v>
      </c>
      <c r="M497">
        <v>1</v>
      </c>
      <c r="N497">
        <v>2</v>
      </c>
      <c r="S497">
        <v>2249000</v>
      </c>
      <c r="T497">
        <v>1819324.324324324</v>
      </c>
      <c r="W497">
        <v>337</v>
      </c>
      <c r="X497">
        <v>299</v>
      </c>
    </row>
    <row r="498" spans="1:24">
      <c r="A498" s="7" t="s">
        <v>593</v>
      </c>
      <c r="B498" s="16" t="s">
        <v>143</v>
      </c>
      <c r="C498">
        <v>100764094.75128649</v>
      </c>
      <c r="D498">
        <v>101479596.29925655</v>
      </c>
      <c r="E498">
        <v>29729.729729731</v>
      </c>
      <c r="F498">
        <v>259459.45945946101</v>
      </c>
      <c r="G498">
        <v>18</v>
      </c>
      <c r="H498">
        <v>28</v>
      </c>
      <c r="I498">
        <v>4</v>
      </c>
      <c r="J498">
        <v>3</v>
      </c>
      <c r="M498">
        <v>20</v>
      </c>
      <c r="N498">
        <v>30</v>
      </c>
      <c r="O498">
        <v>6137837.8378378358</v>
      </c>
      <c r="P498">
        <v>9664864.8648648635</v>
      </c>
      <c r="Q498">
        <v>50</v>
      </c>
      <c r="R498">
        <v>23</v>
      </c>
      <c r="S498">
        <v>9131576.5765765756</v>
      </c>
      <c r="T498">
        <v>10791882.882882884</v>
      </c>
      <c r="U498">
        <v>4897027.0270270258</v>
      </c>
      <c r="V498">
        <v>5707747.7477477482</v>
      </c>
      <c r="W498">
        <v>1639</v>
      </c>
      <c r="X498">
        <v>1548</v>
      </c>
    </row>
    <row r="499" spans="1:24">
      <c r="A499" s="7" t="s">
        <v>594</v>
      </c>
      <c r="B499" s="16" t="s">
        <v>290</v>
      </c>
      <c r="C499">
        <v>27659385.506376535</v>
      </c>
      <c r="D499">
        <v>27609297.103315555</v>
      </c>
      <c r="E499">
        <v>4504.5045045050001</v>
      </c>
      <c r="G499">
        <v>1</v>
      </c>
      <c r="H499">
        <v>1</v>
      </c>
      <c r="I499">
        <v>1</v>
      </c>
      <c r="M499">
        <v>1</v>
      </c>
      <c r="N499">
        <v>2</v>
      </c>
      <c r="O499">
        <v>49549.54954955</v>
      </c>
      <c r="S499">
        <v>1030720.7207207209</v>
      </c>
      <c r="T499">
        <v>1562972.972972973</v>
      </c>
      <c r="W499">
        <v>608</v>
      </c>
      <c r="X499">
        <v>665</v>
      </c>
    </row>
    <row r="500" spans="1:24">
      <c r="A500" s="7" t="s">
        <v>595</v>
      </c>
      <c r="B500" s="16" t="s">
        <v>92</v>
      </c>
      <c r="C500">
        <v>36808837.096320689</v>
      </c>
      <c r="D500">
        <v>36843607.53518974</v>
      </c>
      <c r="E500">
        <v>28074774.774774775</v>
      </c>
      <c r="F500">
        <v>62870270.270270273</v>
      </c>
      <c r="G500">
        <v>13</v>
      </c>
      <c r="H500">
        <v>18</v>
      </c>
      <c r="I500">
        <v>1</v>
      </c>
      <c r="J500">
        <v>2</v>
      </c>
      <c r="M500">
        <v>13</v>
      </c>
      <c r="N500">
        <v>27</v>
      </c>
      <c r="O500">
        <v>7814684.6846846854</v>
      </c>
      <c r="P500">
        <v>5206576.5765765766</v>
      </c>
      <c r="Q500">
        <v>27</v>
      </c>
      <c r="R500">
        <v>14</v>
      </c>
      <c r="S500">
        <v>5483423.4234234244</v>
      </c>
      <c r="T500">
        <v>6490576.5765765756</v>
      </c>
      <c r="U500">
        <v>1522072.072072072</v>
      </c>
      <c r="V500">
        <v>4213963.963963964</v>
      </c>
      <c r="W500">
        <v>596</v>
      </c>
      <c r="X500">
        <v>741</v>
      </c>
    </row>
    <row r="501" spans="1:24">
      <c r="A501" s="7" t="s">
        <v>596</v>
      </c>
      <c r="B501" s="16" t="s">
        <v>50</v>
      </c>
      <c r="C501">
        <v>132132440.72797599</v>
      </c>
      <c r="D501">
        <v>124761443.1617972</v>
      </c>
      <c r="E501">
        <v>1174774.774774777</v>
      </c>
      <c r="F501">
        <v>3745720.7207207191</v>
      </c>
      <c r="G501">
        <v>16</v>
      </c>
      <c r="H501">
        <v>10</v>
      </c>
      <c r="I501">
        <v>4</v>
      </c>
      <c r="J501">
        <v>6</v>
      </c>
      <c r="M501">
        <v>17</v>
      </c>
      <c r="N501">
        <v>12</v>
      </c>
      <c r="O501">
        <v>24331711.711711712</v>
      </c>
      <c r="P501">
        <v>33604504.504504502</v>
      </c>
      <c r="Q501">
        <v>225</v>
      </c>
      <c r="R501">
        <v>68</v>
      </c>
      <c r="S501">
        <v>27954138.738738742</v>
      </c>
      <c r="T501">
        <v>26895131.531531531</v>
      </c>
      <c r="U501">
        <v>25642882.882882886</v>
      </c>
      <c r="V501">
        <v>31046486.486486487</v>
      </c>
      <c r="W501">
        <v>1651</v>
      </c>
      <c r="X501">
        <v>1673</v>
      </c>
    </row>
    <row r="502" spans="1:24">
      <c r="A502" s="7" t="s">
        <v>597</v>
      </c>
      <c r="B502" s="16" t="s">
        <v>89</v>
      </c>
      <c r="C502">
        <v>185212466.38442793</v>
      </c>
      <c r="D502">
        <v>188487719.1340068</v>
      </c>
      <c r="E502">
        <v>1105855.8558558589</v>
      </c>
      <c r="F502">
        <v>2610810.810810816</v>
      </c>
      <c r="G502">
        <v>86</v>
      </c>
      <c r="H502">
        <v>44</v>
      </c>
      <c r="I502">
        <v>12</v>
      </c>
      <c r="J502">
        <v>18</v>
      </c>
      <c r="K502">
        <v>1</v>
      </c>
      <c r="M502">
        <v>130</v>
      </c>
      <c r="N502">
        <v>319</v>
      </c>
      <c r="O502">
        <v>13929729.729729729</v>
      </c>
      <c r="P502">
        <v>14486846.846846843</v>
      </c>
      <c r="Q502">
        <v>192</v>
      </c>
      <c r="R502">
        <v>274</v>
      </c>
      <c r="S502">
        <v>45035079.279279277</v>
      </c>
      <c r="T502">
        <v>47187004.504504502</v>
      </c>
      <c r="U502">
        <v>14365855.855855856</v>
      </c>
      <c r="V502">
        <v>12842432.432432428</v>
      </c>
      <c r="W502">
        <v>4106</v>
      </c>
      <c r="X502">
        <v>3533</v>
      </c>
    </row>
    <row r="503" spans="1:24">
      <c r="A503" s="7" t="s">
        <v>598</v>
      </c>
      <c r="B503" s="16" t="s">
        <v>143</v>
      </c>
      <c r="C503">
        <v>70873608.000635788</v>
      </c>
      <c r="D503">
        <v>72547448.760365769</v>
      </c>
      <c r="E503">
        <v>1254954.9549549541</v>
      </c>
      <c r="F503">
        <v>1325225.225225226</v>
      </c>
      <c r="G503">
        <v>15</v>
      </c>
      <c r="H503">
        <v>9</v>
      </c>
      <c r="I503">
        <v>4</v>
      </c>
      <c r="J503">
        <v>3</v>
      </c>
      <c r="M503">
        <v>15</v>
      </c>
      <c r="N503">
        <v>13</v>
      </c>
      <c r="O503">
        <v>6668557.6576576577</v>
      </c>
      <c r="P503">
        <v>7298198.1981981983</v>
      </c>
      <c r="Q503">
        <v>42</v>
      </c>
      <c r="R503">
        <v>173</v>
      </c>
      <c r="S503">
        <v>4626081.0810810812</v>
      </c>
      <c r="T503">
        <v>6852711.7117117122</v>
      </c>
      <c r="U503">
        <v>4209009.0090090092</v>
      </c>
      <c r="V503">
        <v>5234504.5045045037</v>
      </c>
      <c r="W503">
        <v>1148</v>
      </c>
      <c r="X503">
        <v>1180</v>
      </c>
    </row>
    <row r="504" spans="1:24">
      <c r="A504" s="7" t="s">
        <v>599</v>
      </c>
      <c r="B504" s="16" t="s">
        <v>125</v>
      </c>
      <c r="C504">
        <v>190711067.67053008</v>
      </c>
      <c r="D504">
        <v>188788760.53757554</v>
      </c>
      <c r="E504">
        <v>173423.423423423</v>
      </c>
      <c r="F504">
        <v>303603.60360360402</v>
      </c>
      <c r="G504">
        <v>15</v>
      </c>
      <c r="H504">
        <v>23</v>
      </c>
      <c r="I504">
        <v>0</v>
      </c>
      <c r="J504">
        <v>1</v>
      </c>
      <c r="M504">
        <v>18</v>
      </c>
      <c r="N504">
        <v>27</v>
      </c>
      <c r="O504">
        <v>29692882.882882886</v>
      </c>
      <c r="P504">
        <v>18427387.387387387</v>
      </c>
      <c r="Q504">
        <v>45</v>
      </c>
      <c r="R504">
        <v>15</v>
      </c>
      <c r="S504">
        <v>72098063.06306307</v>
      </c>
      <c r="T504">
        <v>73095259.459459454</v>
      </c>
      <c r="U504">
        <v>30235315.315315321</v>
      </c>
      <c r="V504">
        <v>18484324.324324328</v>
      </c>
      <c r="W504">
        <v>3202</v>
      </c>
      <c r="X504">
        <v>3301</v>
      </c>
    </row>
    <row r="505" spans="1:24">
      <c r="A505" s="7" t="s">
        <v>600</v>
      </c>
      <c r="B505" s="16" t="s">
        <v>50</v>
      </c>
      <c r="C505">
        <v>451717865.36929864</v>
      </c>
      <c r="D505">
        <v>459997138.19069153</v>
      </c>
      <c r="E505">
        <v>2906846.8468468501</v>
      </c>
      <c r="F505">
        <v>5168468.4684684724</v>
      </c>
      <c r="G505">
        <v>68</v>
      </c>
      <c r="H505">
        <v>41</v>
      </c>
      <c r="I505">
        <v>11</v>
      </c>
      <c r="J505">
        <v>5</v>
      </c>
      <c r="K505">
        <v>1</v>
      </c>
      <c r="M505">
        <v>72</v>
      </c>
      <c r="N505">
        <v>58</v>
      </c>
      <c r="O505">
        <v>64674864.864864863</v>
      </c>
      <c r="P505">
        <v>74519009.009009004</v>
      </c>
      <c r="Q505">
        <v>184</v>
      </c>
      <c r="R505">
        <v>30</v>
      </c>
      <c r="S505">
        <v>191248270.27027026</v>
      </c>
      <c r="T505">
        <v>193542648.64864865</v>
      </c>
      <c r="U505">
        <v>63371801.801801801</v>
      </c>
      <c r="V505">
        <v>72153873.873873875</v>
      </c>
      <c r="W505">
        <v>7644</v>
      </c>
      <c r="X505">
        <v>7775</v>
      </c>
    </row>
    <row r="506" spans="1:24">
      <c r="A506" s="7" t="s">
        <v>601</v>
      </c>
      <c r="B506" s="16" t="s">
        <v>89</v>
      </c>
      <c r="C506">
        <v>135608538.22540918</v>
      </c>
      <c r="D506">
        <v>133424022.69893917</v>
      </c>
      <c r="E506">
        <v>3633063.0630630669</v>
      </c>
      <c r="F506">
        <v>1209909.909909914</v>
      </c>
      <c r="G506">
        <v>17</v>
      </c>
      <c r="H506">
        <v>10</v>
      </c>
      <c r="I506">
        <v>11</v>
      </c>
      <c r="J506">
        <v>13</v>
      </c>
      <c r="M506">
        <v>17</v>
      </c>
      <c r="N506">
        <v>13</v>
      </c>
      <c r="O506">
        <v>15803603.603603603</v>
      </c>
      <c r="P506">
        <v>29904684.684684686</v>
      </c>
      <c r="Q506">
        <v>92</v>
      </c>
      <c r="R506">
        <v>867</v>
      </c>
      <c r="S506">
        <v>40277027.027027026</v>
      </c>
      <c r="T506">
        <v>41322270.270270273</v>
      </c>
      <c r="U506">
        <v>11982522.522522522</v>
      </c>
      <c r="V506">
        <v>28503333.333333332</v>
      </c>
      <c r="W506">
        <v>2554</v>
      </c>
      <c r="X506">
        <v>2509</v>
      </c>
    </row>
    <row r="507" spans="1:24">
      <c r="A507" s="7" t="s">
        <v>602</v>
      </c>
      <c r="B507" s="16" t="s">
        <v>87</v>
      </c>
      <c r="C507">
        <v>128195323.413091</v>
      </c>
      <c r="D507">
        <v>117893677.17418379</v>
      </c>
      <c r="E507">
        <v>582882.88288288296</v>
      </c>
      <c r="F507">
        <v>977477.47747747705</v>
      </c>
      <c r="G507">
        <v>19</v>
      </c>
      <c r="H507">
        <v>13</v>
      </c>
      <c r="I507">
        <v>1</v>
      </c>
      <c r="J507">
        <v>1</v>
      </c>
      <c r="M507">
        <v>20</v>
      </c>
      <c r="N507">
        <v>16</v>
      </c>
      <c r="O507">
        <v>1898198.1981981981</v>
      </c>
      <c r="P507">
        <v>1617117.1171171169</v>
      </c>
      <c r="S507">
        <v>9950223.4234234244</v>
      </c>
      <c r="T507">
        <v>9536693.6936936937</v>
      </c>
      <c r="U507">
        <v>1269412.612612613</v>
      </c>
      <c r="V507">
        <v>1640810.8108108109</v>
      </c>
      <c r="W507">
        <v>1279</v>
      </c>
      <c r="X507">
        <v>1268</v>
      </c>
    </row>
    <row r="508" spans="1:24">
      <c r="A508" s="7" t="s">
        <v>603</v>
      </c>
      <c r="B508" s="16" t="s">
        <v>140</v>
      </c>
      <c r="C508">
        <v>933808736.92768049</v>
      </c>
      <c r="D508">
        <v>950680585.00300109</v>
      </c>
      <c r="E508">
        <v>649388203.6036036</v>
      </c>
      <c r="F508">
        <v>696810990.09009016</v>
      </c>
      <c r="G508">
        <v>388</v>
      </c>
      <c r="H508">
        <v>645</v>
      </c>
      <c r="I508">
        <v>27</v>
      </c>
      <c r="J508">
        <v>47</v>
      </c>
      <c r="K508">
        <v>14</v>
      </c>
      <c r="M508">
        <v>550</v>
      </c>
      <c r="N508">
        <v>1126</v>
      </c>
      <c r="O508">
        <v>190792702.7027027</v>
      </c>
      <c r="P508">
        <v>160097027.02702704</v>
      </c>
      <c r="Q508">
        <v>902</v>
      </c>
      <c r="R508">
        <v>524</v>
      </c>
      <c r="S508">
        <v>228934499.0990991</v>
      </c>
      <c r="T508">
        <v>238459740.54054055</v>
      </c>
      <c r="U508">
        <v>180529549.54954958</v>
      </c>
      <c r="V508">
        <v>164890630.63063061</v>
      </c>
      <c r="W508">
        <v>18928</v>
      </c>
      <c r="X508">
        <v>18683</v>
      </c>
    </row>
    <row r="509" spans="1:24">
      <c r="A509" s="7" t="s">
        <v>604</v>
      </c>
      <c r="B509" s="16" t="s">
        <v>224</v>
      </c>
      <c r="C509">
        <v>187788889.98099488</v>
      </c>
      <c r="D509">
        <v>159476810.69597143</v>
      </c>
      <c r="E509">
        <v>1818918.9189189191</v>
      </c>
      <c r="F509">
        <v>86486.486486485999</v>
      </c>
      <c r="G509">
        <v>30</v>
      </c>
      <c r="H509">
        <v>29</v>
      </c>
      <c r="I509">
        <v>1</v>
      </c>
      <c r="J509">
        <v>1</v>
      </c>
      <c r="M509">
        <v>35</v>
      </c>
      <c r="N509">
        <v>35</v>
      </c>
      <c r="O509">
        <v>5579639.6396396393</v>
      </c>
      <c r="P509">
        <v>5311711.7117117113</v>
      </c>
      <c r="Q509">
        <v>15</v>
      </c>
      <c r="S509">
        <v>62522486.486486487</v>
      </c>
      <c r="T509">
        <v>52302846.846846849</v>
      </c>
      <c r="U509">
        <v>6880180.1801801799</v>
      </c>
      <c r="V509">
        <v>5968918.9189189188</v>
      </c>
      <c r="W509">
        <v>3869</v>
      </c>
      <c r="X509">
        <v>3534</v>
      </c>
    </row>
    <row r="510" spans="1:24">
      <c r="A510" s="7" t="s">
        <v>605</v>
      </c>
      <c r="B510" s="16" t="s">
        <v>224</v>
      </c>
      <c r="C510">
        <v>108627270.87899259</v>
      </c>
      <c r="D510">
        <v>105516812.03917873</v>
      </c>
      <c r="E510">
        <v>12612.612612613</v>
      </c>
      <c r="F510">
        <v>76576.576576576001</v>
      </c>
      <c r="G510">
        <v>30</v>
      </c>
      <c r="H510">
        <v>39</v>
      </c>
      <c r="I510">
        <v>1</v>
      </c>
      <c r="J510">
        <v>1</v>
      </c>
      <c r="M510">
        <v>32</v>
      </c>
      <c r="N510">
        <v>42</v>
      </c>
      <c r="O510">
        <v>8073873.8738738727</v>
      </c>
      <c r="P510">
        <v>5481981.9819819815</v>
      </c>
      <c r="Q510">
        <v>10</v>
      </c>
      <c r="R510">
        <v>3</v>
      </c>
      <c r="S510">
        <v>30713333.333333336</v>
      </c>
      <c r="T510">
        <v>31949945.945945945</v>
      </c>
      <c r="U510">
        <v>7583873.8738738736</v>
      </c>
      <c r="V510">
        <v>6705675.6756756762</v>
      </c>
      <c r="W510">
        <v>968</v>
      </c>
      <c r="X510">
        <v>3012</v>
      </c>
    </row>
    <row r="511" spans="1:24">
      <c r="A511" s="7" t="s">
        <v>606</v>
      </c>
      <c r="B511" s="16" t="s">
        <v>241</v>
      </c>
      <c r="C511">
        <v>97013403.594806671</v>
      </c>
      <c r="D511">
        <v>90875186.788196772</v>
      </c>
      <c r="E511">
        <v>14414.414414415</v>
      </c>
      <c r="F511">
        <v>793693.69369369396</v>
      </c>
      <c r="G511">
        <v>47</v>
      </c>
      <c r="H511">
        <v>51</v>
      </c>
      <c r="I511">
        <v>2</v>
      </c>
      <c r="J511">
        <v>1</v>
      </c>
      <c r="M511">
        <v>49</v>
      </c>
      <c r="N511">
        <v>59</v>
      </c>
      <c r="O511">
        <v>8126486.4864864852</v>
      </c>
      <c r="P511">
        <v>11326576.576576574</v>
      </c>
      <c r="R511">
        <v>93</v>
      </c>
      <c r="S511">
        <v>28090396.396396395</v>
      </c>
      <c r="T511">
        <v>27932891.891891893</v>
      </c>
      <c r="U511">
        <v>8234594.5945945922</v>
      </c>
      <c r="V511">
        <v>10784864.864864863</v>
      </c>
      <c r="W511">
        <v>2317</v>
      </c>
      <c r="X511">
        <v>2380</v>
      </c>
    </row>
    <row r="512" spans="1:24">
      <c r="A512" s="7" t="s">
        <v>607</v>
      </c>
      <c r="B512" s="16" t="s">
        <v>140</v>
      </c>
      <c r="C512">
        <v>27437869.562270381</v>
      </c>
      <c r="D512">
        <v>27049955.641136456</v>
      </c>
      <c r="F512">
        <v>2702.7027027029999</v>
      </c>
      <c r="G512">
        <v>1</v>
      </c>
      <c r="H512">
        <v>4</v>
      </c>
      <c r="M512">
        <v>1</v>
      </c>
      <c r="N512">
        <v>4</v>
      </c>
      <c r="O512">
        <v>587387.38738738699</v>
      </c>
      <c r="P512">
        <v>227927.92792792799</v>
      </c>
      <c r="S512">
        <v>3244099.0990990992</v>
      </c>
      <c r="T512">
        <v>3268369.369369369</v>
      </c>
      <c r="U512">
        <v>718918.91891891905</v>
      </c>
      <c r="V512">
        <v>639909.90990991006</v>
      </c>
      <c r="W512">
        <v>347</v>
      </c>
      <c r="X512">
        <v>329</v>
      </c>
    </row>
    <row r="513" spans="1:24">
      <c r="A513" s="7" t="s">
        <v>608</v>
      </c>
      <c r="B513" s="16" t="s">
        <v>189</v>
      </c>
      <c r="C513">
        <v>109726750.64900042</v>
      </c>
      <c r="D513">
        <v>99416316.06476754</v>
      </c>
      <c r="E513">
        <v>511486.48648648697</v>
      </c>
      <c r="F513">
        <v>2118018.018018018</v>
      </c>
      <c r="G513">
        <v>43</v>
      </c>
      <c r="H513">
        <v>53</v>
      </c>
      <c r="I513">
        <v>4</v>
      </c>
      <c r="J513">
        <v>2</v>
      </c>
      <c r="M513">
        <v>44</v>
      </c>
      <c r="N513">
        <v>62</v>
      </c>
      <c r="O513">
        <v>13774774.774774777</v>
      </c>
      <c r="P513">
        <v>13469369.369369367</v>
      </c>
      <c r="Q513">
        <v>54</v>
      </c>
      <c r="R513">
        <v>3</v>
      </c>
      <c r="S513">
        <v>23106531.531531531</v>
      </c>
      <c r="T513">
        <v>25328310.810810812</v>
      </c>
      <c r="U513">
        <v>9845045.0450450461</v>
      </c>
      <c r="V513">
        <v>9463963.9639639631</v>
      </c>
      <c r="W513">
        <v>1588</v>
      </c>
      <c r="X513">
        <v>1599</v>
      </c>
    </row>
    <row r="514" spans="1:24">
      <c r="A514" s="7" t="s">
        <v>609</v>
      </c>
      <c r="B514" s="16" t="s">
        <v>189</v>
      </c>
      <c r="C514">
        <v>273884267.87492478</v>
      </c>
      <c r="D514">
        <v>266568255.61630401</v>
      </c>
      <c r="E514">
        <v>24324.324324325</v>
      </c>
      <c r="F514">
        <v>459459.45945946098</v>
      </c>
      <c r="G514">
        <v>112</v>
      </c>
      <c r="H514">
        <v>81</v>
      </c>
      <c r="I514">
        <v>6</v>
      </c>
      <c r="J514">
        <v>6</v>
      </c>
      <c r="M514">
        <v>122</v>
      </c>
      <c r="N514">
        <v>91</v>
      </c>
      <c r="O514">
        <v>15347747.747747745</v>
      </c>
      <c r="P514">
        <v>16578378.378378378</v>
      </c>
      <c r="Q514">
        <v>50</v>
      </c>
      <c r="R514">
        <v>51</v>
      </c>
      <c r="S514">
        <v>38461756.756756753</v>
      </c>
      <c r="T514">
        <v>38613270.270270273</v>
      </c>
      <c r="U514">
        <v>10179819.819819819</v>
      </c>
      <c r="V514">
        <v>8929999.9999999981</v>
      </c>
      <c r="W514">
        <v>4096</v>
      </c>
      <c r="X514">
        <v>3897</v>
      </c>
    </row>
    <row r="515" spans="1:24">
      <c r="A515" s="7" t="s">
        <v>610</v>
      </c>
      <c r="B515" s="16" t="s">
        <v>189</v>
      </c>
      <c r="C515">
        <v>121555351.25278111</v>
      </c>
      <c r="D515">
        <v>115501978.40731819</v>
      </c>
      <c r="E515">
        <v>411936.93693693797</v>
      </c>
      <c r="F515">
        <v>750225.22522522695</v>
      </c>
      <c r="G515">
        <v>32</v>
      </c>
      <c r="H515">
        <v>18</v>
      </c>
      <c r="I515">
        <v>4</v>
      </c>
      <c r="J515">
        <v>2</v>
      </c>
      <c r="M515">
        <v>32</v>
      </c>
      <c r="N515">
        <v>21</v>
      </c>
      <c r="O515">
        <v>8099999.9999999991</v>
      </c>
      <c r="P515">
        <v>6855855.8558558552</v>
      </c>
      <c r="Q515">
        <v>41</v>
      </c>
      <c r="R515">
        <v>190</v>
      </c>
      <c r="S515">
        <v>15006036.036036037</v>
      </c>
      <c r="T515">
        <v>14165756.756756756</v>
      </c>
      <c r="U515">
        <v>5871981.9819819815</v>
      </c>
      <c r="V515">
        <v>5605675.6756756762</v>
      </c>
      <c r="W515">
        <v>1683</v>
      </c>
      <c r="X515">
        <v>1741</v>
      </c>
    </row>
    <row r="516" spans="1:24">
      <c r="A516" s="7" t="s">
        <v>611</v>
      </c>
      <c r="B516" s="16" t="s">
        <v>189</v>
      </c>
      <c r="C516">
        <v>36969122.909823187</v>
      </c>
      <c r="D516">
        <v>43943038.181814238</v>
      </c>
      <c r="E516">
        <v>10810.810810810999</v>
      </c>
      <c r="F516">
        <v>211261.261261262</v>
      </c>
      <c r="G516">
        <v>24</v>
      </c>
      <c r="H516">
        <v>21</v>
      </c>
      <c r="I516">
        <v>2</v>
      </c>
      <c r="J516">
        <v>2</v>
      </c>
      <c r="M516">
        <v>27</v>
      </c>
      <c r="N516">
        <v>25</v>
      </c>
      <c r="O516">
        <v>2768468.4684684691</v>
      </c>
      <c r="P516">
        <v>4045405.4054054059</v>
      </c>
      <c r="Q516">
        <v>17</v>
      </c>
      <c r="R516">
        <v>3</v>
      </c>
      <c r="S516">
        <v>6271666.666666667</v>
      </c>
      <c r="T516">
        <v>8073891.8918918911</v>
      </c>
      <c r="U516">
        <v>1545945.945945947</v>
      </c>
      <c r="V516">
        <v>3542612.612612613</v>
      </c>
      <c r="W516">
        <v>965</v>
      </c>
      <c r="X516">
        <v>902</v>
      </c>
    </row>
    <row r="517" spans="1:24">
      <c r="A517" s="7" t="s">
        <v>612</v>
      </c>
      <c r="B517" s="16" t="s">
        <v>143</v>
      </c>
      <c r="C517">
        <v>345985087.37214828</v>
      </c>
      <c r="D517">
        <v>328548469.89955986</v>
      </c>
      <c r="E517">
        <v>714372.972972975</v>
      </c>
      <c r="F517">
        <v>3737690.090090089</v>
      </c>
      <c r="G517">
        <v>241</v>
      </c>
      <c r="H517">
        <v>129</v>
      </c>
      <c r="I517">
        <v>19</v>
      </c>
      <c r="J517">
        <v>13</v>
      </c>
      <c r="M517">
        <v>277</v>
      </c>
      <c r="N517">
        <v>536</v>
      </c>
      <c r="O517">
        <v>33539819.819819815</v>
      </c>
      <c r="P517">
        <v>32005405.405405402</v>
      </c>
      <c r="Q517">
        <v>187</v>
      </c>
      <c r="R517">
        <v>183</v>
      </c>
      <c r="S517">
        <v>40984827.027027026</v>
      </c>
      <c r="T517">
        <v>43248472.972972974</v>
      </c>
      <c r="U517">
        <v>33404144.14414414</v>
      </c>
      <c r="V517">
        <v>33212385.585585583</v>
      </c>
      <c r="W517">
        <v>6913</v>
      </c>
      <c r="X517">
        <v>7264</v>
      </c>
    </row>
    <row r="518" spans="1:24">
      <c r="A518" s="7" t="s">
        <v>613</v>
      </c>
      <c r="B518" s="16" t="s">
        <v>189</v>
      </c>
      <c r="C518">
        <v>400429299.45517236</v>
      </c>
      <c r="D518">
        <v>384659533.99584633</v>
      </c>
      <c r="E518">
        <v>608783.783783786</v>
      </c>
      <c r="F518">
        <v>1902477.477477479</v>
      </c>
      <c r="G518">
        <v>156</v>
      </c>
      <c r="H518">
        <v>135</v>
      </c>
      <c r="I518">
        <v>13</v>
      </c>
      <c r="J518">
        <v>11</v>
      </c>
      <c r="K518">
        <v>2</v>
      </c>
      <c r="M518">
        <v>175</v>
      </c>
      <c r="N518">
        <v>186</v>
      </c>
      <c r="O518">
        <v>10027027.027027026</v>
      </c>
      <c r="P518">
        <v>13571891.891891891</v>
      </c>
      <c r="Q518">
        <v>117</v>
      </c>
      <c r="R518">
        <v>466</v>
      </c>
      <c r="S518">
        <v>35952075.675675675</v>
      </c>
      <c r="T518">
        <v>37531203.603603601</v>
      </c>
      <c r="U518">
        <v>8411841.4414414391</v>
      </c>
      <c r="V518">
        <v>12504727.927927928</v>
      </c>
      <c r="W518">
        <v>7567</v>
      </c>
      <c r="X518">
        <v>7527</v>
      </c>
    </row>
    <row r="519" spans="1:24">
      <c r="A519" s="7" t="s">
        <v>614</v>
      </c>
      <c r="B519" s="16" t="s">
        <v>54</v>
      </c>
      <c r="C519">
        <v>283539108.11055636</v>
      </c>
      <c r="D519">
        <v>271837065.91500753</v>
      </c>
      <c r="E519">
        <v>3985585.5855855881</v>
      </c>
      <c r="F519">
        <v>5346846.8468468497</v>
      </c>
      <c r="G519">
        <v>82</v>
      </c>
      <c r="H519">
        <v>88</v>
      </c>
      <c r="I519">
        <v>10</v>
      </c>
      <c r="J519">
        <v>15</v>
      </c>
      <c r="M519">
        <v>93</v>
      </c>
      <c r="N519">
        <v>126</v>
      </c>
      <c r="O519">
        <v>45890540.540540546</v>
      </c>
      <c r="P519">
        <v>44329729.729729727</v>
      </c>
      <c r="Q519">
        <v>193</v>
      </c>
      <c r="R519">
        <v>123</v>
      </c>
      <c r="S519">
        <v>83837792.792792797</v>
      </c>
      <c r="T519">
        <v>86284513.51351352</v>
      </c>
      <c r="U519">
        <v>47942162.162162162</v>
      </c>
      <c r="V519">
        <v>43381711.711711712</v>
      </c>
      <c r="W519">
        <v>6405</v>
      </c>
      <c r="X519">
        <v>8709</v>
      </c>
    </row>
    <row r="520" spans="1:24">
      <c r="A520" s="7" t="s">
        <v>615</v>
      </c>
      <c r="B520" s="16" t="s">
        <v>54</v>
      </c>
      <c r="C520">
        <v>148443849.5279856</v>
      </c>
      <c r="D520">
        <v>147396613.11855242</v>
      </c>
      <c r="E520">
        <v>103378.378378379</v>
      </c>
      <c r="F520">
        <v>790090.09009009204</v>
      </c>
      <c r="G520">
        <v>12</v>
      </c>
      <c r="H520">
        <v>17</v>
      </c>
      <c r="I520">
        <v>1</v>
      </c>
      <c r="J520">
        <v>5</v>
      </c>
      <c r="M520">
        <v>15</v>
      </c>
      <c r="N520">
        <v>22</v>
      </c>
      <c r="O520">
        <v>8600900.9009009004</v>
      </c>
      <c r="P520">
        <v>7251351.3513513524</v>
      </c>
      <c r="Q520">
        <v>48</v>
      </c>
      <c r="R520">
        <v>33</v>
      </c>
      <c r="S520">
        <v>24117918.918918919</v>
      </c>
      <c r="T520">
        <v>24953036.036036037</v>
      </c>
      <c r="U520">
        <v>7347207.2072072057</v>
      </c>
      <c r="V520">
        <v>6206036.0360360369</v>
      </c>
      <c r="W520">
        <v>2665</v>
      </c>
      <c r="X520">
        <v>2764</v>
      </c>
    </row>
    <row r="521" spans="1:24">
      <c r="A521" s="7" t="s">
        <v>616</v>
      </c>
      <c r="B521" s="16" t="s">
        <v>60</v>
      </c>
      <c r="C521">
        <v>229270771.48210713</v>
      </c>
      <c r="D521">
        <v>223357263.227303</v>
      </c>
      <c r="E521">
        <v>702702.70270270505</v>
      </c>
      <c r="F521">
        <v>3207207.2072072062</v>
      </c>
      <c r="G521">
        <v>46</v>
      </c>
      <c r="H521">
        <v>83</v>
      </c>
      <c r="I521">
        <v>8</v>
      </c>
      <c r="J521">
        <v>24</v>
      </c>
      <c r="M521">
        <v>54</v>
      </c>
      <c r="N521">
        <v>131</v>
      </c>
      <c r="O521">
        <v>32435135.135135137</v>
      </c>
      <c r="P521">
        <v>33872522.522522524</v>
      </c>
      <c r="Q521">
        <v>155</v>
      </c>
      <c r="R521">
        <v>116</v>
      </c>
      <c r="S521">
        <v>71440855.855855852</v>
      </c>
      <c r="T521">
        <v>73967648.648648649</v>
      </c>
      <c r="U521">
        <v>30775135.135135133</v>
      </c>
      <c r="V521">
        <v>33328738.738738734</v>
      </c>
      <c r="W521">
        <v>4316</v>
      </c>
      <c r="X521">
        <v>3940</v>
      </c>
    </row>
    <row r="522" spans="1:24">
      <c r="A522" s="7" t="s">
        <v>617</v>
      </c>
      <c r="B522" s="16" t="s">
        <v>60</v>
      </c>
      <c r="C522">
        <v>250990941.0840511</v>
      </c>
      <c r="D522">
        <v>244571199.02229503</v>
      </c>
      <c r="E522">
        <v>872522.52252252505</v>
      </c>
      <c r="F522">
        <v>1625225.225225229</v>
      </c>
      <c r="G522">
        <v>51</v>
      </c>
      <c r="H522">
        <v>58</v>
      </c>
      <c r="I522">
        <v>7</v>
      </c>
      <c r="J522">
        <v>8</v>
      </c>
      <c r="K522">
        <v>2</v>
      </c>
      <c r="M522">
        <v>56</v>
      </c>
      <c r="N522">
        <v>66</v>
      </c>
      <c r="O522">
        <v>29236036.036036033</v>
      </c>
      <c r="P522">
        <v>27592792.792792797</v>
      </c>
      <c r="Q522">
        <v>129</v>
      </c>
      <c r="R522">
        <v>120</v>
      </c>
      <c r="S522">
        <v>129861441.44144145</v>
      </c>
      <c r="T522">
        <v>127890500</v>
      </c>
      <c r="U522">
        <v>30329009.009009007</v>
      </c>
      <c r="V522">
        <v>28591981.981981982</v>
      </c>
      <c r="W522">
        <v>5416</v>
      </c>
      <c r="X522">
        <v>6252</v>
      </c>
    </row>
    <row r="523" spans="1:24">
      <c r="A523" s="7" t="s">
        <v>618</v>
      </c>
      <c r="B523" s="16" t="s">
        <v>60</v>
      </c>
      <c r="C523">
        <v>320104219.65994942</v>
      </c>
      <c r="D523">
        <v>309342557.66171569</v>
      </c>
      <c r="E523">
        <v>2646396.3963963971</v>
      </c>
      <c r="F523">
        <v>3648648.6486486541</v>
      </c>
      <c r="G523">
        <v>80</v>
      </c>
      <c r="H523">
        <v>52</v>
      </c>
      <c r="I523">
        <v>6</v>
      </c>
      <c r="J523">
        <v>9</v>
      </c>
      <c r="M523">
        <v>93</v>
      </c>
      <c r="N523">
        <v>64</v>
      </c>
      <c r="O523">
        <v>21258108.108108103</v>
      </c>
      <c r="P523">
        <v>41794594.594594598</v>
      </c>
      <c r="Q523">
        <v>133</v>
      </c>
      <c r="R523">
        <v>118</v>
      </c>
      <c r="S523">
        <v>102863405.4054054</v>
      </c>
      <c r="T523">
        <v>103354545.49549548</v>
      </c>
      <c r="U523">
        <v>20173603.603603605</v>
      </c>
      <c r="V523">
        <v>41908108.108108111</v>
      </c>
      <c r="W523">
        <v>5651</v>
      </c>
      <c r="X523">
        <v>5878</v>
      </c>
    </row>
    <row r="524" spans="1:24">
      <c r="A524" s="7" t="s">
        <v>619</v>
      </c>
      <c r="B524" s="16" t="s">
        <v>620</v>
      </c>
      <c r="C524">
        <v>361649727.57267421</v>
      </c>
      <c r="D524">
        <v>366899313.39945608</v>
      </c>
      <c r="E524">
        <v>103101789.18918918</v>
      </c>
      <c r="F524">
        <v>62275724.324324325</v>
      </c>
      <c r="G524">
        <v>141</v>
      </c>
      <c r="H524">
        <v>238</v>
      </c>
      <c r="I524">
        <v>13</v>
      </c>
      <c r="J524">
        <v>14</v>
      </c>
      <c r="K524">
        <v>9</v>
      </c>
      <c r="M524">
        <v>169</v>
      </c>
      <c r="N524">
        <v>415</v>
      </c>
      <c r="O524">
        <v>37202022.522522517</v>
      </c>
      <c r="P524">
        <v>34388665.765765764</v>
      </c>
      <c r="Q524">
        <v>400</v>
      </c>
      <c r="R524">
        <v>66</v>
      </c>
      <c r="S524">
        <v>46681711.711711712</v>
      </c>
      <c r="T524">
        <v>44564900.9009009</v>
      </c>
      <c r="U524">
        <v>36294234.234234229</v>
      </c>
      <c r="V524">
        <v>25820900.9009009</v>
      </c>
      <c r="W524">
        <v>7340</v>
      </c>
      <c r="X524">
        <v>7893</v>
      </c>
    </row>
    <row r="525" spans="1:24">
      <c r="A525" s="7" t="s">
        <v>621</v>
      </c>
      <c r="B525" s="16" t="s">
        <v>620</v>
      </c>
      <c r="C525">
        <v>288629955.84911668</v>
      </c>
      <c r="D525">
        <v>268171156.52251315</v>
      </c>
      <c r="E525">
        <v>1378828.8288288291</v>
      </c>
      <c r="F525">
        <v>4483783.7837837841</v>
      </c>
      <c r="G525">
        <v>138</v>
      </c>
      <c r="H525">
        <v>99</v>
      </c>
      <c r="I525">
        <v>8</v>
      </c>
      <c r="J525">
        <v>12</v>
      </c>
      <c r="K525">
        <v>2</v>
      </c>
      <c r="M525">
        <v>160</v>
      </c>
      <c r="N525">
        <v>120</v>
      </c>
      <c r="O525">
        <v>27064054.054054055</v>
      </c>
      <c r="P525">
        <v>26271621.62162162</v>
      </c>
      <c r="Q525">
        <v>89</v>
      </c>
      <c r="R525">
        <v>25</v>
      </c>
      <c r="S525">
        <v>43031941.441441439</v>
      </c>
      <c r="T525">
        <v>43496798.198198199</v>
      </c>
      <c r="U525">
        <v>24140090.090090092</v>
      </c>
      <c r="V525">
        <v>20923783.783783782</v>
      </c>
      <c r="W525">
        <v>6180</v>
      </c>
      <c r="X525">
        <v>5866</v>
      </c>
    </row>
    <row r="526" spans="1:24">
      <c r="A526" s="7" t="s">
        <v>622</v>
      </c>
      <c r="B526" s="16" t="s">
        <v>620</v>
      </c>
      <c r="C526">
        <v>306660223.96404904</v>
      </c>
      <c r="D526">
        <v>280696460.40714735</v>
      </c>
      <c r="E526">
        <v>841441.44144144305</v>
      </c>
      <c r="F526">
        <v>1422972.972972977</v>
      </c>
      <c r="G526">
        <v>152</v>
      </c>
      <c r="H526">
        <v>114</v>
      </c>
      <c r="I526">
        <v>7</v>
      </c>
      <c r="J526">
        <v>6</v>
      </c>
      <c r="K526">
        <v>2</v>
      </c>
      <c r="M526">
        <v>173</v>
      </c>
      <c r="N526">
        <v>141</v>
      </c>
      <c r="O526">
        <v>32225405.405405402</v>
      </c>
      <c r="P526">
        <v>19578828.828828827</v>
      </c>
      <c r="Q526">
        <v>423</v>
      </c>
      <c r="R526">
        <v>52</v>
      </c>
      <c r="S526">
        <v>41560207.20720721</v>
      </c>
      <c r="T526">
        <v>43227056.75675676</v>
      </c>
      <c r="U526">
        <v>28563059.459459461</v>
      </c>
      <c r="V526">
        <v>15650990.990990993</v>
      </c>
      <c r="W526">
        <v>6058</v>
      </c>
      <c r="X526">
        <v>6179</v>
      </c>
    </row>
    <row r="527" spans="1:24">
      <c r="A527" s="7" t="s">
        <v>623</v>
      </c>
      <c r="B527" s="16" t="s">
        <v>620</v>
      </c>
      <c r="C527">
        <v>217439386.67273283</v>
      </c>
      <c r="D527">
        <v>205819071.01725909</v>
      </c>
      <c r="E527">
        <v>21381306.306306303</v>
      </c>
      <c r="F527">
        <v>671171.17117117206</v>
      </c>
      <c r="G527">
        <v>124</v>
      </c>
      <c r="H527">
        <v>47</v>
      </c>
      <c r="I527">
        <v>6</v>
      </c>
      <c r="J527">
        <v>5</v>
      </c>
      <c r="K527">
        <v>2</v>
      </c>
      <c r="M527">
        <v>136</v>
      </c>
      <c r="N527">
        <v>62</v>
      </c>
      <c r="O527">
        <v>20036936.936936937</v>
      </c>
      <c r="P527">
        <v>16998198.198198196</v>
      </c>
      <c r="Q527">
        <v>61</v>
      </c>
      <c r="R527">
        <v>10</v>
      </c>
      <c r="S527">
        <v>28028099.0990991</v>
      </c>
      <c r="T527">
        <v>26636238.738738742</v>
      </c>
      <c r="U527">
        <v>19602432.432432432</v>
      </c>
      <c r="V527">
        <v>16493423.423423424</v>
      </c>
      <c r="W527">
        <v>3690</v>
      </c>
      <c r="X527">
        <v>3585</v>
      </c>
    </row>
    <row r="528" spans="1:24">
      <c r="A528" s="7" t="s">
        <v>624</v>
      </c>
      <c r="B528" s="16" t="s">
        <v>260</v>
      </c>
      <c r="C528">
        <v>117885956.62118104</v>
      </c>
      <c r="D528">
        <v>108928891.77573831</v>
      </c>
      <c r="E528">
        <v>73036261.261261269</v>
      </c>
      <c r="F528">
        <v>67256756.756756753</v>
      </c>
      <c r="G528">
        <v>14</v>
      </c>
      <c r="H528">
        <v>16</v>
      </c>
      <c r="I528">
        <v>0</v>
      </c>
      <c r="J528">
        <v>2</v>
      </c>
      <c r="M528">
        <v>15</v>
      </c>
      <c r="N528">
        <v>16</v>
      </c>
      <c r="O528">
        <v>28120945.945945945</v>
      </c>
      <c r="P528">
        <v>9722522.522522524</v>
      </c>
      <c r="Q528">
        <v>10</v>
      </c>
      <c r="R528">
        <v>6</v>
      </c>
      <c r="S528">
        <v>41520972.972972974</v>
      </c>
      <c r="T528">
        <v>35602522.522522524</v>
      </c>
      <c r="U528">
        <v>13739909.90990991</v>
      </c>
      <c r="V528">
        <v>10670180.180180181</v>
      </c>
      <c r="W528">
        <v>1991</v>
      </c>
      <c r="X528">
        <v>2012</v>
      </c>
    </row>
    <row r="529" spans="1:24">
      <c r="A529" s="7" t="s">
        <v>625</v>
      </c>
      <c r="B529" s="16" t="s">
        <v>52</v>
      </c>
      <c r="C529">
        <v>169903290.83826634</v>
      </c>
      <c r="D529">
        <v>169260953.44464767</v>
      </c>
      <c r="E529">
        <v>547927.92792792805</v>
      </c>
      <c r="F529">
        <v>534234.23423423595</v>
      </c>
      <c r="G529">
        <v>85</v>
      </c>
      <c r="H529">
        <v>58</v>
      </c>
      <c r="I529">
        <v>3</v>
      </c>
      <c r="J529">
        <v>6</v>
      </c>
      <c r="M529">
        <v>103</v>
      </c>
      <c r="N529">
        <v>152</v>
      </c>
      <c r="O529">
        <v>6150630.630630631</v>
      </c>
      <c r="P529">
        <v>5363063.0630630646</v>
      </c>
      <c r="Q529">
        <v>142</v>
      </c>
      <c r="R529">
        <v>26</v>
      </c>
      <c r="S529">
        <v>60449720.720720723</v>
      </c>
      <c r="T529">
        <v>61483288.288288288</v>
      </c>
      <c r="U529">
        <v>7053603.6036036024</v>
      </c>
      <c r="V529">
        <v>4039639.6396396412</v>
      </c>
      <c r="W529">
        <v>4513</v>
      </c>
      <c r="X529">
        <v>4396</v>
      </c>
    </row>
    <row r="530" spans="1:24">
      <c r="A530" s="7" t="s">
        <v>626</v>
      </c>
      <c r="B530" s="16" t="s">
        <v>96</v>
      </c>
      <c r="C530">
        <v>434923266.06526262</v>
      </c>
      <c r="D530">
        <v>430644971.97647172</v>
      </c>
      <c r="E530">
        <v>109848480.18018018</v>
      </c>
      <c r="F530">
        <v>149340480.18018019</v>
      </c>
      <c r="G530">
        <v>244</v>
      </c>
      <c r="H530">
        <v>194</v>
      </c>
      <c r="I530">
        <v>10</v>
      </c>
      <c r="J530">
        <v>10</v>
      </c>
      <c r="K530">
        <v>1</v>
      </c>
      <c r="M530">
        <v>293</v>
      </c>
      <c r="N530">
        <v>242</v>
      </c>
      <c r="O530">
        <v>98928076.576576576</v>
      </c>
      <c r="P530">
        <v>142339495.4954955</v>
      </c>
      <c r="Q530">
        <v>159</v>
      </c>
      <c r="R530">
        <v>349</v>
      </c>
      <c r="S530">
        <v>137926486.48648649</v>
      </c>
      <c r="T530">
        <v>141138040.990991</v>
      </c>
      <c r="U530">
        <v>71337387.38738738</v>
      </c>
      <c r="V530">
        <v>78001981.981981978</v>
      </c>
      <c r="W530">
        <v>10631</v>
      </c>
      <c r="X530">
        <v>10626</v>
      </c>
    </row>
    <row r="531" spans="1:24">
      <c r="A531" s="7" t="s">
        <v>627</v>
      </c>
      <c r="B531" s="16" t="s">
        <v>96</v>
      </c>
      <c r="C531">
        <v>762567846.72688925</v>
      </c>
      <c r="D531">
        <v>712132628.59700453</v>
      </c>
      <c r="E531">
        <v>18916306.306306306</v>
      </c>
      <c r="F531">
        <v>82631531.531531543</v>
      </c>
      <c r="G531">
        <v>243</v>
      </c>
      <c r="H531">
        <v>178</v>
      </c>
      <c r="I531">
        <v>11</v>
      </c>
      <c r="J531">
        <v>7</v>
      </c>
      <c r="K531">
        <v>1</v>
      </c>
      <c r="M531">
        <v>299</v>
      </c>
      <c r="N531">
        <v>260</v>
      </c>
      <c r="O531">
        <v>151122927.92792794</v>
      </c>
      <c r="P531">
        <v>151783108.1081081</v>
      </c>
      <c r="Q531">
        <v>142</v>
      </c>
      <c r="R531">
        <v>125</v>
      </c>
      <c r="S531">
        <v>302058117.11711711</v>
      </c>
      <c r="T531">
        <v>289045632.88288289</v>
      </c>
      <c r="U531">
        <v>156597477.47747746</v>
      </c>
      <c r="V531">
        <v>151807837.83783782</v>
      </c>
      <c r="W531">
        <v>13807</v>
      </c>
      <c r="X531">
        <v>13946</v>
      </c>
    </row>
    <row r="532" spans="1:24">
      <c r="A532" s="7" t="s">
        <v>628</v>
      </c>
      <c r="B532" s="16" t="s">
        <v>448</v>
      </c>
      <c r="C532">
        <v>534073364.11211967</v>
      </c>
      <c r="D532">
        <v>519188231.94479775</v>
      </c>
      <c r="E532">
        <v>164013650.45045045</v>
      </c>
      <c r="F532">
        <v>166049685.58558559</v>
      </c>
      <c r="G532">
        <v>243</v>
      </c>
      <c r="H532">
        <v>190</v>
      </c>
      <c r="I532">
        <v>18</v>
      </c>
      <c r="J532">
        <v>18</v>
      </c>
      <c r="K532">
        <v>2</v>
      </c>
      <c r="M532">
        <v>275</v>
      </c>
      <c r="N532">
        <v>237</v>
      </c>
      <c r="O532">
        <v>233069279.27927926</v>
      </c>
      <c r="P532">
        <v>144516531.53153151</v>
      </c>
      <c r="Q532">
        <v>556</v>
      </c>
      <c r="R532">
        <v>1797</v>
      </c>
      <c r="S532">
        <v>155312288.2882883</v>
      </c>
      <c r="T532">
        <v>154544160.36036035</v>
      </c>
      <c r="U532">
        <v>212543243.24324322</v>
      </c>
      <c r="V532">
        <v>141277702.7027027</v>
      </c>
      <c r="W532">
        <v>10996</v>
      </c>
      <c r="X532">
        <v>11469</v>
      </c>
    </row>
    <row r="533" spans="1:24">
      <c r="A533" s="7" t="s">
        <v>629</v>
      </c>
      <c r="B533" s="16" t="s">
        <v>78</v>
      </c>
      <c r="C533">
        <v>24307285.344684221</v>
      </c>
      <c r="D533">
        <v>23299540.496520694</v>
      </c>
      <c r="E533">
        <v>186486.48648648601</v>
      </c>
      <c r="F533">
        <v>327027.02702702698</v>
      </c>
      <c r="G533">
        <v>2</v>
      </c>
      <c r="H533">
        <v>3</v>
      </c>
      <c r="I533">
        <v>0</v>
      </c>
      <c r="K533">
        <v>1</v>
      </c>
      <c r="M533">
        <v>2</v>
      </c>
      <c r="N533">
        <v>3</v>
      </c>
      <c r="O533">
        <v>790090.09009008994</v>
      </c>
      <c r="P533">
        <v>1651351.351351351</v>
      </c>
      <c r="Q533">
        <v>12</v>
      </c>
      <c r="R533">
        <v>12</v>
      </c>
      <c r="S533">
        <v>6565000</v>
      </c>
      <c r="T533">
        <v>6562099.0990990987</v>
      </c>
      <c r="U533">
        <v>856036.03603603598</v>
      </c>
      <c r="V533">
        <v>1365225.225225226</v>
      </c>
      <c r="W533">
        <v>424</v>
      </c>
      <c r="X533">
        <v>384</v>
      </c>
    </row>
    <row r="534" spans="1:24">
      <c r="A534" s="7" t="s">
        <v>630</v>
      </c>
      <c r="B534" s="16" t="s">
        <v>241</v>
      </c>
      <c r="C534">
        <v>139679375.61897221</v>
      </c>
      <c r="D534">
        <v>137039729.38209698</v>
      </c>
      <c r="E534">
        <v>74054.054054053995</v>
      </c>
      <c r="F534">
        <v>466441.44144144299</v>
      </c>
      <c r="G534">
        <v>99</v>
      </c>
      <c r="H534">
        <v>54</v>
      </c>
      <c r="I534">
        <v>6</v>
      </c>
      <c r="J534">
        <v>3</v>
      </c>
      <c r="K534">
        <v>1</v>
      </c>
      <c r="M534">
        <v>117</v>
      </c>
      <c r="N534">
        <v>62</v>
      </c>
      <c r="O534">
        <v>27578648.648648649</v>
      </c>
      <c r="P534">
        <v>13272792.792792793</v>
      </c>
      <c r="Q534">
        <v>224</v>
      </c>
      <c r="R534">
        <v>60</v>
      </c>
      <c r="S534">
        <v>33193963.963963963</v>
      </c>
      <c r="T534">
        <v>31199108.108108107</v>
      </c>
      <c r="U534">
        <v>28532702.702702701</v>
      </c>
      <c r="V534">
        <v>13275135.135135137</v>
      </c>
      <c r="W534">
        <v>3042</v>
      </c>
      <c r="X534">
        <v>2608</v>
      </c>
    </row>
    <row r="535" spans="1:24">
      <c r="A535" s="7" t="s">
        <v>631</v>
      </c>
      <c r="B535" s="16" t="s">
        <v>68</v>
      </c>
      <c r="C535">
        <v>626579330.30498064</v>
      </c>
      <c r="D535">
        <v>591814837.07106066</v>
      </c>
      <c r="E535">
        <v>2767342.3423423441</v>
      </c>
      <c r="F535">
        <v>6609684.6846846836</v>
      </c>
      <c r="G535">
        <v>286</v>
      </c>
      <c r="H535">
        <v>228</v>
      </c>
      <c r="I535">
        <v>19</v>
      </c>
      <c r="J535">
        <v>15</v>
      </c>
      <c r="M535">
        <v>304</v>
      </c>
      <c r="N535">
        <v>479</v>
      </c>
      <c r="O535">
        <v>67992792.792792797</v>
      </c>
      <c r="P535">
        <v>55621621.621621624</v>
      </c>
      <c r="Q535">
        <v>398</v>
      </c>
      <c r="R535">
        <v>317</v>
      </c>
      <c r="S535">
        <v>106624180.18018018</v>
      </c>
      <c r="T535">
        <v>101387098.1981982</v>
      </c>
      <c r="U535">
        <v>49850900.900900893</v>
      </c>
      <c r="V535">
        <v>47015585.585585587</v>
      </c>
      <c r="W535">
        <v>8988</v>
      </c>
      <c r="X535">
        <v>9024</v>
      </c>
    </row>
    <row r="536" spans="1:24">
      <c r="A536" s="7" t="s">
        <v>632</v>
      </c>
      <c r="B536" s="16" t="s">
        <v>70</v>
      </c>
      <c r="C536">
        <v>4370924.1938443948</v>
      </c>
      <c r="D536">
        <v>4314729.506832948</v>
      </c>
      <c r="E536">
        <v>266216.21621621598</v>
      </c>
      <c r="F536">
        <v>54054.054054054002</v>
      </c>
      <c r="G536">
        <v>6</v>
      </c>
      <c r="H536">
        <v>2</v>
      </c>
      <c r="J536">
        <v>1</v>
      </c>
      <c r="M536">
        <v>6</v>
      </c>
      <c r="N536">
        <v>2</v>
      </c>
      <c r="O536">
        <v>279279.279279279</v>
      </c>
      <c r="P536">
        <v>54054.054054054002</v>
      </c>
      <c r="R536">
        <v>18</v>
      </c>
      <c r="S536">
        <v>2897837.8378378381</v>
      </c>
      <c r="T536">
        <v>2624594.594594595</v>
      </c>
      <c r="U536">
        <v>252162.16216216201</v>
      </c>
      <c r="V536">
        <v>164864.864864865</v>
      </c>
      <c r="W536">
        <v>204</v>
      </c>
      <c r="X536">
        <v>180</v>
      </c>
    </row>
    <row r="537" spans="1:24">
      <c r="A537" s="7" t="s">
        <v>633</v>
      </c>
      <c r="B537" s="16" t="s">
        <v>60</v>
      </c>
      <c r="C537">
        <v>45230471.378324024</v>
      </c>
      <c r="D537">
        <v>45229354.597074002</v>
      </c>
      <c r="E537">
        <v>142342.34234234301</v>
      </c>
      <c r="F537">
        <v>151351.351351352</v>
      </c>
      <c r="G537">
        <v>10</v>
      </c>
      <c r="H537">
        <v>13</v>
      </c>
      <c r="I537">
        <v>3</v>
      </c>
      <c r="J537">
        <v>2</v>
      </c>
      <c r="M537">
        <v>10</v>
      </c>
      <c r="N537">
        <v>16</v>
      </c>
      <c r="O537">
        <v>2034234.2342342341</v>
      </c>
      <c r="P537">
        <v>1772972.972972973</v>
      </c>
      <c r="Q537">
        <v>28</v>
      </c>
      <c r="R537">
        <v>21</v>
      </c>
      <c r="S537">
        <v>17131306.306306306</v>
      </c>
      <c r="T537">
        <v>19444693.693693697</v>
      </c>
      <c r="U537">
        <v>1337387.387387387</v>
      </c>
      <c r="V537">
        <v>256306.30630630601</v>
      </c>
      <c r="W537">
        <v>955</v>
      </c>
      <c r="X537">
        <v>1015</v>
      </c>
    </row>
    <row r="538" spans="1:24">
      <c r="A538" s="7" t="s">
        <v>634</v>
      </c>
      <c r="B538" s="16" t="s">
        <v>80</v>
      </c>
      <c r="C538">
        <v>479141789.34491712</v>
      </c>
      <c r="D538">
        <v>462270019.02962095</v>
      </c>
      <c r="E538">
        <v>4730630.6306306301</v>
      </c>
      <c r="F538">
        <v>4743693.6936936975</v>
      </c>
      <c r="G538">
        <v>161</v>
      </c>
      <c r="H538">
        <v>68</v>
      </c>
      <c r="I538">
        <v>4</v>
      </c>
      <c r="J538">
        <v>4</v>
      </c>
      <c r="M538">
        <v>178</v>
      </c>
      <c r="N538">
        <v>76</v>
      </c>
      <c r="O538">
        <v>55599459.459459461</v>
      </c>
      <c r="P538">
        <v>52242792.79279279</v>
      </c>
      <c r="Q538">
        <v>9</v>
      </c>
      <c r="R538">
        <v>26</v>
      </c>
      <c r="S538">
        <v>86037198.198198199</v>
      </c>
      <c r="T538">
        <v>93545527.027027026</v>
      </c>
      <c r="U538">
        <v>58999639.639639638</v>
      </c>
      <c r="V538">
        <v>48784594.59459459</v>
      </c>
      <c r="W538">
        <v>6164</v>
      </c>
      <c r="X538">
        <v>6305</v>
      </c>
    </row>
    <row r="539" spans="1:24">
      <c r="A539" s="7" t="s">
        <v>635</v>
      </c>
      <c r="B539" s="16" t="s">
        <v>134</v>
      </c>
      <c r="C539">
        <v>79894888.90696454</v>
      </c>
      <c r="D539">
        <v>83491336.578983486</v>
      </c>
      <c r="E539">
        <v>4504.5045045050001</v>
      </c>
      <c r="F539">
        <v>784684.68468468497</v>
      </c>
      <c r="G539">
        <v>9</v>
      </c>
      <c r="H539">
        <v>19</v>
      </c>
      <c r="I539">
        <v>2</v>
      </c>
      <c r="J539">
        <v>1</v>
      </c>
      <c r="M539">
        <v>9</v>
      </c>
      <c r="N539">
        <v>19</v>
      </c>
      <c r="O539">
        <v>905405.40540540498</v>
      </c>
      <c r="P539">
        <v>8726126.1261261255</v>
      </c>
      <c r="R539">
        <v>189</v>
      </c>
      <c r="S539">
        <v>3834639.6396396412</v>
      </c>
      <c r="T539">
        <v>4770846.8468468469</v>
      </c>
      <c r="U539">
        <v>1016936.936936937</v>
      </c>
      <c r="V539">
        <v>8327207.2072072066</v>
      </c>
      <c r="W539">
        <v>1351</v>
      </c>
      <c r="X539">
        <v>1451</v>
      </c>
    </row>
    <row r="540" spans="1:24">
      <c r="A540" s="7" t="s">
        <v>636</v>
      </c>
      <c r="B540" s="16" t="s">
        <v>479</v>
      </c>
      <c r="C540">
        <v>271384990.72650373</v>
      </c>
      <c r="D540">
        <v>253053813.07877359</v>
      </c>
      <c r="E540">
        <v>571846.84684684698</v>
      </c>
      <c r="F540">
        <v>2289189.1891891928</v>
      </c>
      <c r="G540">
        <v>55</v>
      </c>
      <c r="H540">
        <v>68</v>
      </c>
      <c r="I540">
        <v>4</v>
      </c>
      <c r="J540">
        <v>6</v>
      </c>
      <c r="M540">
        <v>57</v>
      </c>
      <c r="N540">
        <v>91</v>
      </c>
      <c r="O540">
        <v>41762980.180180177</v>
      </c>
      <c r="P540">
        <v>63659125.225225233</v>
      </c>
      <c r="Q540">
        <v>29</v>
      </c>
      <c r="R540">
        <v>192</v>
      </c>
      <c r="S540">
        <v>95766481.981981978</v>
      </c>
      <c r="T540">
        <v>90198468.468468457</v>
      </c>
      <c r="U540">
        <v>47762072.072072074</v>
      </c>
      <c r="V540">
        <v>64383738.738738738</v>
      </c>
      <c r="W540">
        <v>5757</v>
      </c>
      <c r="X540">
        <v>5683</v>
      </c>
    </row>
    <row r="541" spans="1:24">
      <c r="A541" s="7" t="s">
        <v>637</v>
      </c>
      <c r="B541" s="16" t="s">
        <v>143</v>
      </c>
      <c r="C541">
        <v>428829435.67570478</v>
      </c>
      <c r="D541">
        <v>428869213.25429422</v>
      </c>
      <c r="E541">
        <v>2610135.1351351398</v>
      </c>
      <c r="F541">
        <v>3969369.3693693699</v>
      </c>
      <c r="G541">
        <v>126</v>
      </c>
      <c r="H541">
        <v>88</v>
      </c>
      <c r="I541">
        <v>28</v>
      </c>
      <c r="J541">
        <v>19</v>
      </c>
      <c r="K541">
        <v>1</v>
      </c>
      <c r="M541">
        <v>148</v>
      </c>
      <c r="N541">
        <v>136</v>
      </c>
      <c r="O541">
        <v>35041441.441441439</v>
      </c>
      <c r="P541">
        <v>28450900.9009009</v>
      </c>
      <c r="Q541">
        <v>298</v>
      </c>
      <c r="R541">
        <v>277</v>
      </c>
      <c r="S541">
        <v>45650891.891891889</v>
      </c>
      <c r="T541">
        <v>55161448.198198199</v>
      </c>
      <c r="U541">
        <v>26684594.59459459</v>
      </c>
      <c r="V541">
        <v>23419549.54954955</v>
      </c>
      <c r="W541">
        <v>9460</v>
      </c>
      <c r="X541">
        <v>9720</v>
      </c>
    </row>
    <row r="542" spans="1:24">
      <c r="A542" s="7" t="s">
        <v>638</v>
      </c>
      <c r="B542" s="16" t="s">
        <v>241</v>
      </c>
      <c r="C542">
        <v>491159475.25088823</v>
      </c>
      <c r="D542">
        <v>471407596.12070012</v>
      </c>
      <c r="E542">
        <v>1218018.0180180201</v>
      </c>
      <c r="F542">
        <v>2107207.207207209</v>
      </c>
      <c r="G542">
        <v>276</v>
      </c>
      <c r="H542">
        <v>244</v>
      </c>
      <c r="I542">
        <v>20</v>
      </c>
      <c r="J542">
        <v>19</v>
      </c>
      <c r="K542">
        <v>2</v>
      </c>
      <c r="M542">
        <v>294</v>
      </c>
      <c r="N542">
        <v>287</v>
      </c>
      <c r="O542">
        <v>45220900.9009009</v>
      </c>
      <c r="P542">
        <v>35606306.306306303</v>
      </c>
      <c r="Q542">
        <v>399</v>
      </c>
      <c r="R542">
        <v>272</v>
      </c>
      <c r="S542">
        <v>162222414.41441441</v>
      </c>
      <c r="T542">
        <v>152752178.37837836</v>
      </c>
      <c r="U542">
        <v>47437567.567567565</v>
      </c>
      <c r="V542">
        <v>30961081.081081081</v>
      </c>
      <c r="W542">
        <v>12683</v>
      </c>
      <c r="X542">
        <v>12673</v>
      </c>
    </row>
    <row r="543" spans="1:24">
      <c r="A543" s="7" t="s">
        <v>639</v>
      </c>
      <c r="B543" s="16" t="s">
        <v>132</v>
      </c>
      <c r="C543">
        <v>204666679.39486077</v>
      </c>
      <c r="D543">
        <v>179761846.86927328</v>
      </c>
      <c r="E543">
        <v>6766666.6666666679</v>
      </c>
      <c r="F543">
        <v>20039639.639639638</v>
      </c>
      <c r="G543">
        <v>101</v>
      </c>
      <c r="H543">
        <v>64</v>
      </c>
      <c r="I543">
        <v>3</v>
      </c>
      <c r="J543">
        <v>2</v>
      </c>
      <c r="M543">
        <v>114</v>
      </c>
      <c r="N543">
        <v>90</v>
      </c>
      <c r="O543">
        <v>12436936.936936935</v>
      </c>
      <c r="P543">
        <v>8354504.5045045046</v>
      </c>
      <c r="Q543">
        <v>1</v>
      </c>
      <c r="R543">
        <v>3</v>
      </c>
      <c r="S543">
        <v>71447756.756756753</v>
      </c>
      <c r="T543">
        <v>64923576.576576576</v>
      </c>
      <c r="U543">
        <v>9797837.8378378376</v>
      </c>
      <c r="V543">
        <v>4309549.5495495489</v>
      </c>
      <c r="W543">
        <v>5476</v>
      </c>
      <c r="X543">
        <v>5848</v>
      </c>
    </row>
    <row r="544" spans="1:24">
      <c r="A544" s="7" t="s">
        <v>640</v>
      </c>
      <c r="B544" s="16" t="s">
        <v>134</v>
      </c>
      <c r="C544">
        <v>566269664.30575013</v>
      </c>
      <c r="D544">
        <v>540372072.41837001</v>
      </c>
      <c r="E544">
        <v>2259459.4594594608</v>
      </c>
      <c r="F544">
        <v>1718918.9189189221</v>
      </c>
      <c r="G544">
        <v>135</v>
      </c>
      <c r="H544">
        <v>88</v>
      </c>
      <c r="I544">
        <v>18</v>
      </c>
      <c r="J544">
        <v>17</v>
      </c>
      <c r="M544">
        <v>142</v>
      </c>
      <c r="N544">
        <v>97</v>
      </c>
      <c r="O544">
        <v>43713693.693693697</v>
      </c>
      <c r="P544">
        <v>44125945.945945941</v>
      </c>
      <c r="Q544">
        <v>131</v>
      </c>
      <c r="R544">
        <v>115</v>
      </c>
      <c r="S544">
        <v>69117966.666666672</v>
      </c>
      <c r="T544">
        <v>71650757.657657653</v>
      </c>
      <c r="U544">
        <v>36925765.765765771</v>
      </c>
      <c r="V544">
        <v>34502475.675675675</v>
      </c>
      <c r="W544">
        <v>7585</v>
      </c>
      <c r="X544">
        <v>7532</v>
      </c>
    </row>
    <row r="545" spans="1:24">
      <c r="A545" s="7" t="s">
        <v>641</v>
      </c>
      <c r="B545" s="16" t="s">
        <v>80</v>
      </c>
      <c r="C545">
        <v>279712856.65580314</v>
      </c>
      <c r="D545">
        <v>285935148.75650924</v>
      </c>
      <c r="E545">
        <v>578378.37837837904</v>
      </c>
      <c r="F545">
        <v>1201801.801801804</v>
      </c>
      <c r="G545">
        <v>53</v>
      </c>
      <c r="H545">
        <v>49</v>
      </c>
      <c r="I545">
        <v>7</v>
      </c>
      <c r="J545">
        <v>2</v>
      </c>
      <c r="K545">
        <v>3</v>
      </c>
      <c r="M545">
        <v>57</v>
      </c>
      <c r="N545">
        <v>68</v>
      </c>
      <c r="O545">
        <v>36756666.666666664</v>
      </c>
      <c r="P545">
        <v>28083783.783783782</v>
      </c>
      <c r="Q545">
        <v>37</v>
      </c>
      <c r="R545">
        <v>18</v>
      </c>
      <c r="S545">
        <v>97470845.045045033</v>
      </c>
      <c r="T545">
        <v>103321399.0990991</v>
      </c>
      <c r="U545">
        <v>31542162.162162159</v>
      </c>
      <c r="V545">
        <v>28761531.531531528</v>
      </c>
      <c r="W545">
        <v>4932</v>
      </c>
      <c r="X545">
        <v>4940</v>
      </c>
    </row>
    <row r="546" spans="1:24">
      <c r="A546" s="7" t="s">
        <v>642</v>
      </c>
      <c r="B546" s="16" t="s">
        <v>169</v>
      </c>
      <c r="C546">
        <v>539997120.81755745</v>
      </c>
      <c r="D546">
        <v>472862577.41581249</v>
      </c>
      <c r="E546">
        <v>1968018.018018018</v>
      </c>
      <c r="F546">
        <v>1813513.5135135141</v>
      </c>
      <c r="G546">
        <v>50</v>
      </c>
      <c r="H546">
        <v>36</v>
      </c>
      <c r="I546">
        <v>0</v>
      </c>
      <c r="J546">
        <v>0</v>
      </c>
      <c r="K546">
        <v>1</v>
      </c>
      <c r="M546">
        <v>53</v>
      </c>
      <c r="N546">
        <v>54</v>
      </c>
      <c r="O546">
        <v>37959009.009009011</v>
      </c>
      <c r="P546">
        <v>42665060.360360362</v>
      </c>
      <c r="Q546">
        <v>15</v>
      </c>
      <c r="R546">
        <v>4</v>
      </c>
      <c r="S546">
        <v>184006954.95495495</v>
      </c>
      <c r="T546">
        <v>170116972.97297296</v>
      </c>
      <c r="U546">
        <v>39394144.144144148</v>
      </c>
      <c r="V546">
        <v>38839099.0990991</v>
      </c>
      <c r="W546">
        <v>9035</v>
      </c>
      <c r="X546">
        <v>9026</v>
      </c>
    </row>
    <row r="547" spans="1:24">
      <c r="A547" s="7" t="s">
        <v>643</v>
      </c>
      <c r="B547" s="16" t="s">
        <v>58</v>
      </c>
      <c r="C547">
        <v>818340954.51828623</v>
      </c>
      <c r="D547">
        <v>807331788.82499683</v>
      </c>
      <c r="E547">
        <v>4402027.0270270277</v>
      </c>
      <c r="F547">
        <v>10109909.909909908</v>
      </c>
      <c r="G547">
        <v>261</v>
      </c>
      <c r="H547">
        <v>210</v>
      </c>
      <c r="I547">
        <v>30</v>
      </c>
      <c r="J547">
        <v>35</v>
      </c>
      <c r="K547">
        <v>1</v>
      </c>
      <c r="M547">
        <v>303</v>
      </c>
      <c r="N547">
        <v>289</v>
      </c>
      <c r="O547">
        <v>91133333.333333328</v>
      </c>
      <c r="P547">
        <v>74140090.090090081</v>
      </c>
      <c r="Q547">
        <v>559</v>
      </c>
      <c r="R547">
        <v>107</v>
      </c>
      <c r="S547">
        <v>163702556.75675678</v>
      </c>
      <c r="T547">
        <v>167965445.94594595</v>
      </c>
      <c r="U547">
        <v>72396846.846846849</v>
      </c>
      <c r="V547">
        <v>56315225.225225225</v>
      </c>
      <c r="W547">
        <v>17531</v>
      </c>
      <c r="X547">
        <v>17464</v>
      </c>
    </row>
    <row r="548" spans="1:24">
      <c r="A548" s="7" t="s">
        <v>644</v>
      </c>
      <c r="B548" s="16" t="s">
        <v>58</v>
      </c>
      <c r="C548">
        <v>1029503273.1763898</v>
      </c>
      <c r="D548">
        <v>1012037632.3364129</v>
      </c>
      <c r="E548">
        <v>432128645.94594598</v>
      </c>
      <c r="F548">
        <v>31849099.0990991</v>
      </c>
      <c r="G548">
        <v>511</v>
      </c>
      <c r="H548">
        <v>1140</v>
      </c>
      <c r="I548">
        <v>56</v>
      </c>
      <c r="J548">
        <v>50</v>
      </c>
      <c r="K548">
        <v>3</v>
      </c>
      <c r="M548">
        <v>622</v>
      </c>
      <c r="N548">
        <v>1404</v>
      </c>
      <c r="O548">
        <v>180476576.57657659</v>
      </c>
      <c r="P548">
        <v>160827027.02702704</v>
      </c>
      <c r="Q548">
        <v>1357</v>
      </c>
      <c r="R548">
        <v>219</v>
      </c>
      <c r="S548">
        <v>284437673.87387389</v>
      </c>
      <c r="T548">
        <v>312015310.8108108</v>
      </c>
      <c r="U548">
        <v>162391081.08108109</v>
      </c>
      <c r="V548">
        <v>154560990.99099097</v>
      </c>
      <c r="W548">
        <v>23163</v>
      </c>
      <c r="X548">
        <v>22456</v>
      </c>
    </row>
    <row r="549" spans="1:24">
      <c r="A549" s="7" t="s">
        <v>645</v>
      </c>
      <c r="B549" s="16" t="s">
        <v>307</v>
      </c>
      <c r="C549">
        <v>346150041.87802517</v>
      </c>
      <c r="D549">
        <v>333863295.606251</v>
      </c>
      <c r="E549">
        <v>2596396.3963963962</v>
      </c>
      <c r="F549">
        <v>1857657.657657658</v>
      </c>
      <c r="G549">
        <v>52</v>
      </c>
      <c r="H549">
        <v>42</v>
      </c>
      <c r="I549">
        <v>1</v>
      </c>
      <c r="J549">
        <v>1</v>
      </c>
      <c r="M549">
        <v>56</v>
      </c>
      <c r="N549">
        <v>54</v>
      </c>
      <c r="O549">
        <v>7027927.9279279271</v>
      </c>
      <c r="P549">
        <v>5995495.4954954963</v>
      </c>
      <c r="Q549">
        <v>38</v>
      </c>
      <c r="R549">
        <v>7</v>
      </c>
      <c r="S549">
        <v>56039909.909909911</v>
      </c>
      <c r="T549">
        <v>55611671.171171166</v>
      </c>
      <c r="U549">
        <v>7042072.0720720701</v>
      </c>
      <c r="V549">
        <v>5955495.4954954954</v>
      </c>
      <c r="W549">
        <v>5217</v>
      </c>
      <c r="X549">
        <v>5300</v>
      </c>
    </row>
    <row r="550" spans="1:24">
      <c r="A550" s="7" t="s">
        <v>13</v>
      </c>
      <c r="B550" s="16" t="s">
        <v>158</v>
      </c>
      <c r="C550">
        <v>395190549.57460684</v>
      </c>
      <c r="D550">
        <v>380229499.64957148</v>
      </c>
      <c r="E550">
        <v>1363963.9639639689</v>
      </c>
      <c r="F550">
        <v>4042342.342342352</v>
      </c>
      <c r="G550">
        <v>253</v>
      </c>
      <c r="H550">
        <v>97</v>
      </c>
      <c r="I550">
        <v>37</v>
      </c>
      <c r="J550">
        <v>10</v>
      </c>
      <c r="K550">
        <v>2</v>
      </c>
      <c r="M550">
        <v>550</v>
      </c>
      <c r="N550">
        <v>317</v>
      </c>
      <c r="O550">
        <v>70768108.108108118</v>
      </c>
      <c r="P550">
        <v>86551396.396396399</v>
      </c>
      <c r="Q550">
        <v>430</v>
      </c>
      <c r="R550">
        <v>269</v>
      </c>
      <c r="S550">
        <v>234629509.00900903</v>
      </c>
      <c r="T550">
        <v>219722927.92792794</v>
      </c>
      <c r="U550">
        <v>76571801.801801801</v>
      </c>
      <c r="V550">
        <v>82289007.207207218</v>
      </c>
      <c r="W550">
        <v>7358</v>
      </c>
      <c r="X550">
        <v>7127</v>
      </c>
    </row>
    <row r="551" spans="1:24">
      <c r="A551" s="7" t="s">
        <v>646</v>
      </c>
      <c r="B551" s="16" t="s">
        <v>121</v>
      </c>
      <c r="C551">
        <v>248496749.24038759</v>
      </c>
      <c r="D551">
        <v>257813075.40832114</v>
      </c>
      <c r="E551">
        <v>14639.63963964</v>
      </c>
      <c r="F551">
        <v>163063.06306306299</v>
      </c>
      <c r="G551">
        <v>66</v>
      </c>
      <c r="H551">
        <v>62</v>
      </c>
      <c r="I551">
        <v>2</v>
      </c>
      <c r="J551">
        <v>2</v>
      </c>
      <c r="M551">
        <v>70</v>
      </c>
      <c r="N551">
        <v>70</v>
      </c>
      <c r="O551">
        <v>438738.73873873899</v>
      </c>
      <c r="P551">
        <v>1157657.657657658</v>
      </c>
      <c r="Q551">
        <v>27</v>
      </c>
      <c r="R551">
        <v>7</v>
      </c>
      <c r="S551">
        <v>21112162.162162159</v>
      </c>
      <c r="T551">
        <v>22254817.567567568</v>
      </c>
      <c r="U551">
        <v>761801.80180180201</v>
      </c>
      <c r="V551">
        <v>1008468.468468469</v>
      </c>
      <c r="W551">
        <v>3368</v>
      </c>
      <c r="X551">
        <v>3278</v>
      </c>
    </row>
    <row r="552" spans="1:24">
      <c r="A552" s="7" t="s">
        <v>647</v>
      </c>
      <c r="B552" s="16" t="s">
        <v>315</v>
      </c>
      <c r="C552">
        <v>95105081.963346377</v>
      </c>
      <c r="D552">
        <v>93230857.85402137</v>
      </c>
      <c r="E552">
        <v>463063.06306306302</v>
      </c>
      <c r="F552">
        <v>1519819.8198198201</v>
      </c>
      <c r="G552">
        <v>109</v>
      </c>
      <c r="H552">
        <v>36</v>
      </c>
      <c r="I552">
        <v>6</v>
      </c>
      <c r="J552">
        <v>9</v>
      </c>
      <c r="M552">
        <v>111</v>
      </c>
      <c r="N552">
        <v>45</v>
      </c>
      <c r="O552">
        <v>11009909.909909908</v>
      </c>
      <c r="P552">
        <v>16599099.0990991</v>
      </c>
      <c r="Q552">
        <v>50</v>
      </c>
      <c r="S552">
        <v>25059346.846846849</v>
      </c>
      <c r="T552">
        <v>23875189.189189188</v>
      </c>
      <c r="U552">
        <v>13516576.576576576</v>
      </c>
      <c r="V552">
        <v>18700900.9009009</v>
      </c>
      <c r="W552">
        <v>1201</v>
      </c>
      <c r="X552">
        <v>1315</v>
      </c>
    </row>
    <row r="553" spans="1:24">
      <c r="A553" s="7" t="s">
        <v>648</v>
      </c>
      <c r="B553" s="16" t="s">
        <v>260</v>
      </c>
      <c r="C553">
        <v>251889453.42474249</v>
      </c>
      <c r="D553">
        <v>235225437.8745302</v>
      </c>
      <c r="E553">
        <v>208153.15315315299</v>
      </c>
      <c r="F553">
        <v>1265090.090090089</v>
      </c>
      <c r="G553">
        <v>62</v>
      </c>
      <c r="H553">
        <v>70</v>
      </c>
      <c r="I553">
        <v>2</v>
      </c>
      <c r="J553">
        <v>2</v>
      </c>
      <c r="M553">
        <v>66</v>
      </c>
      <c r="N553">
        <v>89</v>
      </c>
      <c r="O553">
        <v>47362432.432432435</v>
      </c>
      <c r="P553">
        <v>47654954.954954952</v>
      </c>
      <c r="Q553">
        <v>34</v>
      </c>
      <c r="R553">
        <v>93</v>
      </c>
      <c r="S553">
        <v>82028468.468468457</v>
      </c>
      <c r="T553">
        <v>78141612.612612605</v>
      </c>
      <c r="U553">
        <v>41703783.783783786</v>
      </c>
      <c r="V553">
        <v>44836666.666666664</v>
      </c>
      <c r="W553">
        <v>4216</v>
      </c>
      <c r="X553">
        <v>4254</v>
      </c>
    </row>
    <row r="554" spans="1:24">
      <c r="A554" s="7" t="s">
        <v>649</v>
      </c>
      <c r="B554" s="16" t="s">
        <v>224</v>
      </c>
      <c r="C554">
        <v>261303320.16524822</v>
      </c>
      <c r="D554">
        <v>229650125.73825559</v>
      </c>
      <c r="E554">
        <v>93243.243243243996</v>
      </c>
      <c r="F554">
        <v>2547522.522522524</v>
      </c>
      <c r="G554">
        <v>62</v>
      </c>
      <c r="H554">
        <v>59</v>
      </c>
      <c r="I554">
        <v>11</v>
      </c>
      <c r="J554">
        <v>7</v>
      </c>
      <c r="M554">
        <v>73</v>
      </c>
      <c r="N554">
        <v>76</v>
      </c>
      <c r="O554">
        <v>26054864.864864863</v>
      </c>
      <c r="P554">
        <v>22837657.657657657</v>
      </c>
      <c r="Q554">
        <v>119</v>
      </c>
      <c r="R554">
        <v>130</v>
      </c>
      <c r="S554">
        <v>54124935.135135137</v>
      </c>
      <c r="T554">
        <v>53565259.459459454</v>
      </c>
      <c r="U554">
        <v>26555765.765765768</v>
      </c>
      <c r="V554">
        <v>21203963.963963967</v>
      </c>
      <c r="W554">
        <v>5072</v>
      </c>
      <c r="X554">
        <v>5394</v>
      </c>
    </row>
    <row r="555" spans="1:24">
      <c r="A555" s="7" t="s">
        <v>650</v>
      </c>
      <c r="B555" s="16" t="s">
        <v>224</v>
      </c>
      <c r="C555">
        <v>212148299.27345085</v>
      </c>
      <c r="D555">
        <v>185390915.80714691</v>
      </c>
      <c r="E555">
        <v>27927.927927928002</v>
      </c>
      <c r="F555">
        <v>63963.963963964998</v>
      </c>
      <c r="G555">
        <v>36</v>
      </c>
      <c r="H555">
        <v>35</v>
      </c>
      <c r="I555">
        <v>2</v>
      </c>
      <c r="J555">
        <v>0</v>
      </c>
      <c r="M555">
        <v>40</v>
      </c>
      <c r="N555">
        <v>44</v>
      </c>
      <c r="O555">
        <v>13496216.216216218</v>
      </c>
      <c r="P555">
        <v>7134234.2342342334</v>
      </c>
      <c r="Q555">
        <v>53</v>
      </c>
      <c r="R555">
        <v>103</v>
      </c>
      <c r="S555">
        <v>28063423.423423424</v>
      </c>
      <c r="T555">
        <v>26555396.396396395</v>
      </c>
      <c r="U555">
        <v>10462522.522522524</v>
      </c>
      <c r="V555">
        <v>7066486.4864864871</v>
      </c>
      <c r="W555">
        <v>3156</v>
      </c>
      <c r="X555">
        <v>3063</v>
      </c>
    </row>
    <row r="556" spans="1:24">
      <c r="A556" s="7" t="s">
        <v>651</v>
      </c>
      <c r="B556" s="16" t="s">
        <v>224</v>
      </c>
      <c r="C556">
        <v>815447876.47045374</v>
      </c>
      <c r="D556">
        <v>716727659.84266174</v>
      </c>
      <c r="E556">
        <v>208278983.78378379</v>
      </c>
      <c r="F556">
        <v>195148120.72072074</v>
      </c>
      <c r="G556">
        <v>294</v>
      </c>
      <c r="H556">
        <v>250</v>
      </c>
      <c r="I556">
        <v>51</v>
      </c>
      <c r="J556">
        <v>37</v>
      </c>
      <c r="K556">
        <v>4</v>
      </c>
      <c r="M556">
        <v>354</v>
      </c>
      <c r="N556">
        <v>426</v>
      </c>
      <c r="O556">
        <v>169625315.31531534</v>
      </c>
      <c r="P556">
        <v>174661261.26126125</v>
      </c>
      <c r="Q556">
        <v>618</v>
      </c>
      <c r="R556">
        <v>925</v>
      </c>
      <c r="S556">
        <v>185665151.35135135</v>
      </c>
      <c r="T556">
        <v>179024495.4954955</v>
      </c>
      <c r="U556">
        <v>154530223.42342341</v>
      </c>
      <c r="V556">
        <v>162405675.67567569</v>
      </c>
      <c r="W556">
        <v>18450</v>
      </c>
      <c r="X556">
        <v>18418</v>
      </c>
    </row>
    <row r="557" spans="1:24">
      <c r="A557" s="7" t="s">
        <v>652</v>
      </c>
      <c r="B557" s="16" t="s">
        <v>224</v>
      </c>
      <c r="C557">
        <v>93648469.582795441</v>
      </c>
      <c r="D557">
        <v>85228402.436290443</v>
      </c>
      <c r="E557">
        <v>272972.97297297302</v>
      </c>
      <c r="F557">
        <v>207207.207207208</v>
      </c>
      <c r="G557">
        <v>13</v>
      </c>
      <c r="H557">
        <v>23</v>
      </c>
      <c r="I557">
        <v>2</v>
      </c>
      <c r="J557">
        <v>1</v>
      </c>
      <c r="M557">
        <v>13</v>
      </c>
      <c r="N557">
        <v>24</v>
      </c>
      <c r="O557">
        <v>2374594.594594595</v>
      </c>
      <c r="P557">
        <v>1648648.6486486481</v>
      </c>
      <c r="Q557">
        <v>9</v>
      </c>
      <c r="S557">
        <v>13860765.765765766</v>
      </c>
      <c r="T557">
        <v>13784405.405405404</v>
      </c>
      <c r="U557">
        <v>1656036.036036036</v>
      </c>
      <c r="V557">
        <v>1398828.8288288279</v>
      </c>
      <c r="W557">
        <v>1796</v>
      </c>
      <c r="X557">
        <v>1757</v>
      </c>
    </row>
    <row r="558" spans="1:24">
      <c r="A558" s="7" t="s">
        <v>653</v>
      </c>
      <c r="B558" s="16" t="s">
        <v>96</v>
      </c>
      <c r="C558">
        <v>486506775.31121707</v>
      </c>
      <c r="D558">
        <v>453865094.1429621</v>
      </c>
      <c r="E558">
        <v>163963.963963966</v>
      </c>
      <c r="F558">
        <v>782882.88288288505</v>
      </c>
      <c r="G558">
        <v>112</v>
      </c>
      <c r="H558">
        <v>178</v>
      </c>
      <c r="I558">
        <v>1</v>
      </c>
      <c r="J558">
        <v>1</v>
      </c>
      <c r="M558">
        <v>128</v>
      </c>
      <c r="N558">
        <v>239</v>
      </c>
      <c r="O558">
        <v>16329774.774774775</v>
      </c>
      <c r="P558">
        <v>28674099.0990991</v>
      </c>
      <c r="Q558">
        <v>51</v>
      </c>
      <c r="R558">
        <v>94</v>
      </c>
      <c r="S558">
        <v>58895621.621621624</v>
      </c>
      <c r="T558">
        <v>61636972.972972974</v>
      </c>
      <c r="U558">
        <v>13197297.297297295</v>
      </c>
      <c r="V558">
        <v>8011171.1711711716</v>
      </c>
      <c r="W558">
        <v>8434</v>
      </c>
      <c r="X558">
        <v>9128</v>
      </c>
    </row>
    <row r="559" spans="1:24">
      <c r="A559" s="7" t="s">
        <v>654</v>
      </c>
      <c r="B559" s="16" t="s">
        <v>66</v>
      </c>
      <c r="C559">
        <v>290293243.38651234</v>
      </c>
      <c r="D559">
        <v>281509642.23188764</v>
      </c>
      <c r="E559">
        <v>139429279.27927929</v>
      </c>
      <c r="F559">
        <v>280723423.42342341</v>
      </c>
      <c r="G559">
        <v>120</v>
      </c>
      <c r="H559">
        <v>82</v>
      </c>
      <c r="I559">
        <v>5</v>
      </c>
      <c r="J559">
        <v>4</v>
      </c>
      <c r="M559">
        <v>125</v>
      </c>
      <c r="N559">
        <v>115</v>
      </c>
      <c r="O559">
        <v>62018648.648648649</v>
      </c>
      <c r="P559">
        <v>149771846.84684685</v>
      </c>
      <c r="Q559">
        <v>100</v>
      </c>
      <c r="R559">
        <v>11</v>
      </c>
      <c r="S559">
        <v>186055315.31531534</v>
      </c>
      <c r="T559">
        <v>182963081.08108109</v>
      </c>
      <c r="U559">
        <v>38083513.513513513</v>
      </c>
      <c r="V559">
        <v>120040270.27027027</v>
      </c>
      <c r="W559">
        <v>5486</v>
      </c>
      <c r="X559">
        <v>5625</v>
      </c>
    </row>
    <row r="560" spans="1:24">
      <c r="A560" s="7" t="s">
        <v>655</v>
      </c>
      <c r="B560" s="16" t="s">
        <v>68</v>
      </c>
      <c r="C560">
        <v>500387174.98567873</v>
      </c>
      <c r="D560">
        <v>444782217.58344948</v>
      </c>
      <c r="E560">
        <v>795765.76576576696</v>
      </c>
      <c r="F560">
        <v>1048648.648648649</v>
      </c>
      <c r="G560">
        <v>137</v>
      </c>
      <c r="H560">
        <v>75</v>
      </c>
      <c r="I560">
        <v>8</v>
      </c>
      <c r="J560">
        <v>6</v>
      </c>
      <c r="K560">
        <v>4</v>
      </c>
      <c r="M560">
        <v>149</v>
      </c>
      <c r="N560">
        <v>84</v>
      </c>
      <c r="O560">
        <v>27637657.657657657</v>
      </c>
      <c r="P560">
        <v>19231166.666666664</v>
      </c>
      <c r="Q560">
        <v>63</v>
      </c>
      <c r="R560">
        <v>86</v>
      </c>
      <c r="S560">
        <v>63245824.324324325</v>
      </c>
      <c r="T560">
        <v>59778720.720720723</v>
      </c>
      <c r="U560">
        <v>21698378.378378376</v>
      </c>
      <c r="V560">
        <v>14963423.423423424</v>
      </c>
      <c r="W560">
        <v>7300</v>
      </c>
      <c r="X560">
        <v>7012</v>
      </c>
    </row>
    <row r="561" spans="1:24">
      <c r="A561" s="7" t="s">
        <v>14</v>
      </c>
      <c r="B561" s="16" t="s">
        <v>158</v>
      </c>
      <c r="C561">
        <v>208581906.10644227</v>
      </c>
      <c r="D561">
        <v>193879675.17056084</v>
      </c>
      <c r="E561">
        <v>118018.018018022</v>
      </c>
      <c r="F561">
        <v>933333.33333333698</v>
      </c>
      <c r="G561">
        <v>19</v>
      </c>
      <c r="H561">
        <v>26</v>
      </c>
      <c r="I561">
        <v>8</v>
      </c>
      <c r="J561">
        <v>4</v>
      </c>
      <c r="M561">
        <v>20</v>
      </c>
      <c r="N561">
        <v>31</v>
      </c>
      <c r="O561">
        <v>25018738.738738742</v>
      </c>
      <c r="P561">
        <v>36453153.153153151</v>
      </c>
      <c r="Q561">
        <v>202</v>
      </c>
      <c r="R561">
        <v>43</v>
      </c>
      <c r="S561">
        <v>69474270.270270273</v>
      </c>
      <c r="T561">
        <v>65305000</v>
      </c>
      <c r="U561">
        <v>25355045.045045048</v>
      </c>
      <c r="V561">
        <v>40746306.306306303</v>
      </c>
      <c r="W561">
        <v>4075</v>
      </c>
      <c r="X561">
        <v>4037</v>
      </c>
    </row>
    <row r="562" spans="1:24">
      <c r="A562" s="7" t="s">
        <v>656</v>
      </c>
      <c r="B562" s="16" t="s">
        <v>304</v>
      </c>
      <c r="C562">
        <v>183921425.75952253</v>
      </c>
      <c r="D562">
        <v>207936454.99932817</v>
      </c>
      <c r="E562">
        <v>978378.37837838102</v>
      </c>
      <c r="F562">
        <v>754054.05405405199</v>
      </c>
      <c r="G562">
        <v>85</v>
      </c>
      <c r="H562">
        <v>44</v>
      </c>
      <c r="I562">
        <v>8</v>
      </c>
      <c r="J562">
        <v>5</v>
      </c>
      <c r="M562">
        <v>91</v>
      </c>
      <c r="N562">
        <v>287</v>
      </c>
      <c r="O562">
        <v>36744144.144144148</v>
      </c>
      <c r="P562">
        <v>33533333.333333332</v>
      </c>
      <c r="Q562">
        <v>70</v>
      </c>
      <c r="R562">
        <v>64</v>
      </c>
      <c r="S562">
        <v>57873855.855855852</v>
      </c>
      <c r="T562">
        <v>60108734.234234229</v>
      </c>
      <c r="U562">
        <v>32845495.495495491</v>
      </c>
      <c r="V562">
        <v>31791891.891891893</v>
      </c>
      <c r="W562">
        <v>3214</v>
      </c>
      <c r="X562">
        <v>3016</v>
      </c>
    </row>
    <row r="563" spans="1:24">
      <c r="A563" s="7" t="s">
        <v>657</v>
      </c>
      <c r="B563" s="16" t="s">
        <v>48</v>
      </c>
      <c r="C563">
        <v>297239655.20918101</v>
      </c>
      <c r="D563">
        <v>256911302.90863696</v>
      </c>
      <c r="E563">
        <v>2428828.8288288289</v>
      </c>
      <c r="F563">
        <v>1560360.3603603609</v>
      </c>
      <c r="G563">
        <v>102</v>
      </c>
      <c r="H563">
        <v>54</v>
      </c>
      <c r="I563">
        <v>7</v>
      </c>
      <c r="J563">
        <v>5</v>
      </c>
      <c r="M563">
        <v>114</v>
      </c>
      <c r="N563">
        <v>158</v>
      </c>
      <c r="O563">
        <v>31035315.315315317</v>
      </c>
      <c r="P563">
        <v>53150810.810810804</v>
      </c>
      <c r="R563">
        <v>5</v>
      </c>
      <c r="S563">
        <v>90043459.459459454</v>
      </c>
      <c r="T563">
        <v>81965333.333333328</v>
      </c>
      <c r="U563">
        <v>30987477.477477476</v>
      </c>
      <c r="V563">
        <v>50631891.891891889</v>
      </c>
      <c r="W563">
        <v>3446</v>
      </c>
      <c r="X563">
        <v>3280</v>
      </c>
    </row>
    <row r="564" spans="1:24">
      <c r="A564" s="7" t="s">
        <v>658</v>
      </c>
      <c r="B564" s="16" t="s">
        <v>54</v>
      </c>
      <c r="C564">
        <v>83027952.359345809</v>
      </c>
      <c r="D564">
        <v>84376487.143710747</v>
      </c>
      <c r="E564">
        <v>469369.369369369</v>
      </c>
      <c r="F564">
        <v>604504.50450450496</v>
      </c>
      <c r="G564">
        <v>10</v>
      </c>
      <c r="H564">
        <v>1</v>
      </c>
      <c r="I564">
        <v>3</v>
      </c>
      <c r="J564">
        <v>2</v>
      </c>
      <c r="M564">
        <v>10</v>
      </c>
      <c r="N564">
        <v>2</v>
      </c>
      <c r="O564">
        <v>11066666.666666666</v>
      </c>
      <c r="P564">
        <v>6387387.3873873884</v>
      </c>
      <c r="Q564">
        <v>26</v>
      </c>
      <c r="R564">
        <v>15</v>
      </c>
      <c r="S564">
        <v>19137477.47747748</v>
      </c>
      <c r="T564">
        <v>19364189.189189188</v>
      </c>
      <c r="U564">
        <v>9827747.7477477472</v>
      </c>
      <c r="V564">
        <v>5963153.1531531541</v>
      </c>
      <c r="W564">
        <v>1550</v>
      </c>
      <c r="X564">
        <v>1531</v>
      </c>
    </row>
    <row r="565" spans="1:24">
      <c r="A565" s="7" t="s">
        <v>659</v>
      </c>
      <c r="B565" s="16" t="s">
        <v>50</v>
      </c>
      <c r="C565">
        <v>377669788.446275</v>
      </c>
      <c r="D565">
        <v>373484793.57424611</v>
      </c>
      <c r="E565">
        <v>578108.10810811003</v>
      </c>
      <c r="F565">
        <v>1736936.9369369401</v>
      </c>
      <c r="G565">
        <v>68</v>
      </c>
      <c r="H565">
        <v>71</v>
      </c>
      <c r="I565">
        <v>21</v>
      </c>
      <c r="J565">
        <v>9</v>
      </c>
      <c r="M565">
        <v>72</v>
      </c>
      <c r="N565">
        <v>94</v>
      </c>
      <c r="O565">
        <v>83248648.648648649</v>
      </c>
      <c r="P565">
        <v>91631441.441441447</v>
      </c>
      <c r="Q565">
        <v>65</v>
      </c>
      <c r="R565">
        <v>42</v>
      </c>
      <c r="S565">
        <v>189657268.46846849</v>
      </c>
      <c r="T565">
        <v>187719081.08108109</v>
      </c>
      <c r="U565">
        <v>82097070.270270273</v>
      </c>
      <c r="V565">
        <v>85107657.657657668</v>
      </c>
      <c r="W565">
        <v>5827</v>
      </c>
      <c r="X565">
        <v>7804</v>
      </c>
    </row>
    <row r="566" spans="1:24">
      <c r="A566" s="7" t="s">
        <v>660</v>
      </c>
      <c r="B566" s="16" t="s">
        <v>83</v>
      </c>
      <c r="C566">
        <v>429726990.73868167</v>
      </c>
      <c r="D566">
        <v>452008634.92172527</v>
      </c>
      <c r="E566">
        <v>69193558.558558553</v>
      </c>
      <c r="F566">
        <v>69820512.612612605</v>
      </c>
      <c r="G566">
        <v>133</v>
      </c>
      <c r="H566">
        <v>118</v>
      </c>
      <c r="I566">
        <v>10</v>
      </c>
      <c r="J566">
        <v>11</v>
      </c>
      <c r="K566">
        <v>2</v>
      </c>
      <c r="M566">
        <v>257</v>
      </c>
      <c r="N566">
        <v>139</v>
      </c>
      <c r="O566">
        <v>58694909.909909911</v>
      </c>
      <c r="P566">
        <v>64497209.009009011</v>
      </c>
      <c r="Q566">
        <v>310</v>
      </c>
      <c r="R566">
        <v>141</v>
      </c>
      <c r="S566">
        <v>110884612.61261261</v>
      </c>
      <c r="T566">
        <v>116314639.63963965</v>
      </c>
      <c r="U566">
        <v>44316576.576576576</v>
      </c>
      <c r="V566">
        <v>39433558.558558561</v>
      </c>
      <c r="W566">
        <v>8543</v>
      </c>
      <c r="X566">
        <v>8874</v>
      </c>
    </row>
    <row r="567" spans="1:24">
      <c r="A567" s="12" t="s">
        <v>665</v>
      </c>
      <c r="B567" s="13"/>
      <c r="C567" s="14">
        <v>192984236117.93707</v>
      </c>
      <c r="D567" s="14">
        <v>187295449703.53049</v>
      </c>
      <c r="E567" s="14">
        <v>43643566928.828873</v>
      </c>
      <c r="F567" s="14">
        <v>40904106182.882881</v>
      </c>
      <c r="G567" s="14">
        <v>65413</v>
      </c>
      <c r="H567" s="14">
        <v>60013</v>
      </c>
      <c r="I567" s="14">
        <v>6176</v>
      </c>
      <c r="J567" s="14">
        <v>6334</v>
      </c>
      <c r="K567" s="14">
        <v>680</v>
      </c>
      <c r="L567" s="14"/>
      <c r="M567" s="14">
        <v>84151</v>
      </c>
      <c r="N567" s="14">
        <v>98338</v>
      </c>
      <c r="O567" s="14">
        <v>39086117051.351349</v>
      </c>
      <c r="P567" s="14">
        <v>38073042940.540497</v>
      </c>
      <c r="Q567" s="14">
        <v>107932</v>
      </c>
      <c r="R567" s="14">
        <v>120316</v>
      </c>
      <c r="S567" s="14">
        <v>56389825218.01799</v>
      </c>
      <c r="T567" s="14">
        <v>56011002198.198219</v>
      </c>
      <c r="U567" s="14">
        <v>28736827850.450459</v>
      </c>
      <c r="V567" s="14">
        <v>28601154250.450455</v>
      </c>
      <c r="W567" s="14">
        <v>3718457</v>
      </c>
      <c r="X567" s="14">
        <v>3714061</v>
      </c>
    </row>
    <row r="568" spans="1:24">
      <c r="A568" s="7" t="s">
        <v>656</v>
      </c>
      <c r="B568" s="16" t="s">
        <v>304</v>
      </c>
      <c r="C568">
        <v>172122790.70562565</v>
      </c>
      <c r="D568">
        <v>192744807.42664525</v>
      </c>
      <c r="E568">
        <v>976576.57657657994</v>
      </c>
      <c r="F568">
        <v>704504.50450450205</v>
      </c>
      <c r="G568">
        <v>83</v>
      </c>
      <c r="H568">
        <v>40</v>
      </c>
      <c r="I568">
        <v>8</v>
      </c>
      <c r="J568">
        <v>18</v>
      </c>
      <c r="M568">
        <v>87</v>
      </c>
      <c r="N568">
        <v>283</v>
      </c>
      <c r="O568">
        <v>35390990.990990989</v>
      </c>
      <c r="P568">
        <v>30419819.819819819</v>
      </c>
      <c r="Q568">
        <v>71</v>
      </c>
      <c r="R568">
        <v>55</v>
      </c>
      <c r="S568">
        <v>52860450.45045045</v>
      </c>
      <c r="T568">
        <v>55611797.297297299</v>
      </c>
      <c r="U568">
        <v>30786036.036036037</v>
      </c>
      <c r="V568">
        <v>29044774.774774775</v>
      </c>
      <c r="W568">
        <v>3238</v>
      </c>
      <c r="X568">
        <v>3051</v>
      </c>
    </row>
    <row r="569" spans="1:24">
      <c r="A569" s="7" t="s">
        <v>657</v>
      </c>
      <c r="B569" s="16" t="s">
        <v>48</v>
      </c>
      <c r="C569">
        <v>276140839.0605619</v>
      </c>
      <c r="D569">
        <v>234506782.22110707</v>
      </c>
      <c r="E569">
        <v>2425225.2252252251</v>
      </c>
      <c r="F569">
        <v>1551351.3513513519</v>
      </c>
      <c r="G569">
        <v>47</v>
      </c>
      <c r="H569">
        <v>49</v>
      </c>
      <c r="I569">
        <v>6</v>
      </c>
      <c r="J569">
        <v>5</v>
      </c>
      <c r="M569">
        <v>54</v>
      </c>
      <c r="N569">
        <v>158</v>
      </c>
      <c r="O569">
        <v>31022702.702702705</v>
      </c>
      <c r="P569">
        <v>53141801.801801801</v>
      </c>
      <c r="R569">
        <v>5</v>
      </c>
      <c r="S569">
        <v>82989135.135135129</v>
      </c>
      <c r="T569">
        <v>74986459.459459454</v>
      </c>
      <c r="U569">
        <v>30184594.59459459</v>
      </c>
      <c r="V569">
        <v>50438108.108108111</v>
      </c>
      <c r="W569">
        <v>3443</v>
      </c>
      <c r="X569">
        <v>3687</v>
      </c>
    </row>
    <row r="570" spans="1:24">
      <c r="A570" s="7" t="s">
        <v>658</v>
      </c>
      <c r="B570" s="16" t="s">
        <v>54</v>
      </c>
      <c r="C570">
        <v>76568898.204804853</v>
      </c>
      <c r="D570">
        <v>77530614.95521006</v>
      </c>
      <c r="E570">
        <v>199099.099099099</v>
      </c>
      <c r="F570">
        <v>595495.49549549597</v>
      </c>
      <c r="G570">
        <v>10</v>
      </c>
      <c r="H570">
        <v>1</v>
      </c>
      <c r="I570">
        <v>3</v>
      </c>
      <c r="J570">
        <v>2</v>
      </c>
      <c r="M570">
        <v>10</v>
      </c>
      <c r="N570">
        <v>2</v>
      </c>
      <c r="O570">
        <v>10796396.396396397</v>
      </c>
      <c r="P570">
        <v>6378378.3783783792</v>
      </c>
      <c r="Q570">
        <v>26</v>
      </c>
      <c r="R570">
        <v>15</v>
      </c>
      <c r="S570">
        <v>17320990.990990993</v>
      </c>
      <c r="T570">
        <v>18063378.378378376</v>
      </c>
      <c r="U570">
        <v>9046126.1261261255</v>
      </c>
      <c r="V570">
        <v>5773063.0630630637</v>
      </c>
      <c r="W570">
        <v>1566</v>
      </c>
      <c r="X570">
        <v>1521</v>
      </c>
    </row>
    <row r="571" spans="1:24">
      <c r="A571" s="7" t="s">
        <v>659</v>
      </c>
      <c r="B571" s="16" t="s">
        <v>50</v>
      </c>
      <c r="C571">
        <v>347391102.80854738</v>
      </c>
      <c r="D571">
        <v>340537179.69678855</v>
      </c>
      <c r="E571">
        <v>571801.80180180306</v>
      </c>
      <c r="F571">
        <v>1679279.279279283</v>
      </c>
      <c r="G571">
        <v>63</v>
      </c>
      <c r="H571">
        <v>64</v>
      </c>
      <c r="I571">
        <v>18</v>
      </c>
      <c r="J571">
        <v>9</v>
      </c>
      <c r="M571">
        <v>67</v>
      </c>
      <c r="N571">
        <v>90</v>
      </c>
      <c r="O571">
        <v>75984864.864864871</v>
      </c>
      <c r="P571">
        <v>86525855.855855852</v>
      </c>
      <c r="Q571">
        <v>65</v>
      </c>
      <c r="R571">
        <v>41</v>
      </c>
      <c r="S571">
        <v>173811998.1981982</v>
      </c>
      <c r="T571">
        <v>171298864.86486486</v>
      </c>
      <c r="U571">
        <v>78233917.117117122</v>
      </c>
      <c r="V571">
        <v>80741261.261261269</v>
      </c>
      <c r="W571">
        <v>5875</v>
      </c>
      <c r="X571">
        <v>5820</v>
      </c>
    </row>
    <row r="572" spans="1:24">
      <c r="A572" s="7" t="s">
        <v>660</v>
      </c>
      <c r="B572" s="16" t="s">
        <v>83</v>
      </c>
      <c r="C572">
        <v>398516194.16650575</v>
      </c>
      <c r="D572">
        <v>414757468.53338248</v>
      </c>
      <c r="E572">
        <v>2165405.4054054059</v>
      </c>
      <c r="F572">
        <v>3228620.72072072</v>
      </c>
      <c r="G572">
        <v>116</v>
      </c>
      <c r="H572">
        <v>113</v>
      </c>
      <c r="I572">
        <v>10</v>
      </c>
      <c r="J572">
        <v>11</v>
      </c>
      <c r="K572">
        <v>2</v>
      </c>
      <c r="M572">
        <v>252</v>
      </c>
      <c r="N572">
        <v>134</v>
      </c>
      <c r="O572">
        <v>45278468.468468465</v>
      </c>
      <c r="P572">
        <v>59891353.153153151</v>
      </c>
      <c r="Q572">
        <v>309</v>
      </c>
      <c r="R572">
        <v>90</v>
      </c>
      <c r="S572">
        <v>101786072.07207206</v>
      </c>
      <c r="T572">
        <v>107165225.22522523</v>
      </c>
      <c r="U572">
        <v>41165675.675675683</v>
      </c>
      <c r="V572">
        <v>36548783.783783786</v>
      </c>
      <c r="W572">
        <v>8657</v>
      </c>
      <c r="X572">
        <v>8999</v>
      </c>
    </row>
    <row r="573" spans="1:24">
      <c r="A573" s="12" t="s">
        <v>665</v>
      </c>
      <c r="B573" s="13"/>
      <c r="C573" s="14">
        <v>178504410962.55844</v>
      </c>
      <c r="D573" s="14">
        <v>172259556724.99863</v>
      </c>
      <c r="E573" s="14">
        <v>36575272365.765778</v>
      </c>
      <c r="F573" s="14">
        <v>38669568402.702713</v>
      </c>
      <c r="G573" s="14">
        <v>59915</v>
      </c>
      <c r="H573" s="14">
        <v>54098</v>
      </c>
      <c r="I573" s="14">
        <v>5607</v>
      </c>
      <c r="J573" s="14">
        <v>6429</v>
      </c>
      <c r="K573" s="14">
        <v>637</v>
      </c>
      <c r="L573" s="14"/>
      <c r="M573" s="14">
        <v>76186</v>
      </c>
      <c r="N573" s="14">
        <v>88600</v>
      </c>
      <c r="O573" s="14">
        <v>35288471990.990997</v>
      </c>
      <c r="P573" s="14">
        <v>35837360132.432426</v>
      </c>
      <c r="Q573" s="14">
        <v>97719</v>
      </c>
      <c r="R573" s="14">
        <v>114251</v>
      </c>
      <c r="S573" s="14">
        <v>51483064335.135132</v>
      </c>
      <c r="T573" s="14">
        <v>51685643409.909904</v>
      </c>
      <c r="U573" s="14">
        <v>25744805472.072067</v>
      </c>
      <c r="V573" s="14">
        <v>26768292895.495483</v>
      </c>
      <c r="W573" s="14">
        <v>3722851</v>
      </c>
      <c r="X573" s="14">
        <v>3716379</v>
      </c>
    </row>
    <row r="574" spans="1:24">
      <c r="A574" s="7" t="s">
        <v>659</v>
      </c>
      <c r="B574" s="16" t="s">
        <v>50</v>
      </c>
      <c r="C574">
        <v>331723796.98063087</v>
      </c>
      <c r="D574">
        <v>325757180.96824449</v>
      </c>
      <c r="E574">
        <v>436666.66666666802</v>
      </c>
      <c r="F574">
        <v>1651351.3513513559</v>
      </c>
      <c r="G574">
        <v>61</v>
      </c>
      <c r="H574">
        <v>59</v>
      </c>
      <c r="I574">
        <v>17</v>
      </c>
      <c r="J574">
        <v>8</v>
      </c>
      <c r="M574">
        <v>64</v>
      </c>
      <c r="N574">
        <v>84</v>
      </c>
      <c r="O574">
        <v>75247927.927927941</v>
      </c>
      <c r="P574">
        <v>86497927.927927941</v>
      </c>
      <c r="Q574">
        <v>65</v>
      </c>
      <c r="R574">
        <v>41</v>
      </c>
      <c r="S574">
        <v>165837360.36036035</v>
      </c>
      <c r="T574">
        <v>164119144.14414412</v>
      </c>
      <c r="U574">
        <v>73317207.207207203</v>
      </c>
      <c r="V574">
        <v>78835135.135135129</v>
      </c>
      <c r="W574">
        <v>5879</v>
      </c>
      <c r="X574">
        <v>5886</v>
      </c>
    </row>
    <row r="575" spans="1:24">
      <c r="A575" s="7" t="s">
        <v>660</v>
      </c>
      <c r="B575" s="16" t="s">
        <v>83</v>
      </c>
      <c r="C575">
        <v>382838809.07222694</v>
      </c>
      <c r="D575">
        <v>397807260.50249064</v>
      </c>
      <c r="E575">
        <v>2163603.6036036038</v>
      </c>
      <c r="F575">
        <v>3051143.2432432421</v>
      </c>
      <c r="G575">
        <v>112</v>
      </c>
      <c r="H575">
        <v>110</v>
      </c>
      <c r="I575">
        <v>9</v>
      </c>
      <c r="J575">
        <v>11</v>
      </c>
      <c r="K575">
        <v>2</v>
      </c>
      <c r="M575">
        <v>248</v>
      </c>
      <c r="N575">
        <v>130</v>
      </c>
      <c r="O575">
        <v>43433423.423423424</v>
      </c>
      <c r="P575">
        <v>59704866.666666664</v>
      </c>
      <c r="Q575">
        <v>309</v>
      </c>
      <c r="R575">
        <v>89</v>
      </c>
      <c r="S575">
        <v>97145801.801801801</v>
      </c>
      <c r="T575">
        <v>102423558.55855855</v>
      </c>
      <c r="U575">
        <v>39932522.522522517</v>
      </c>
      <c r="V575">
        <v>35365630.630630635</v>
      </c>
      <c r="W575">
        <v>8695</v>
      </c>
      <c r="X575">
        <v>8689</v>
      </c>
    </row>
    <row r="576" spans="1:24">
      <c r="A576" s="12" t="s">
        <v>665</v>
      </c>
      <c r="B576" s="13"/>
      <c r="C576" s="14">
        <v>170647571392.03604</v>
      </c>
      <c r="D576" s="14">
        <v>165176510778.63831</v>
      </c>
      <c r="E576" s="14">
        <v>32781030644.144142</v>
      </c>
      <c r="F576" s="14">
        <v>38543971790.090103</v>
      </c>
      <c r="G576" s="14">
        <v>56327</v>
      </c>
      <c r="H576" s="14">
        <v>51589</v>
      </c>
      <c r="I576" s="14">
        <v>5351</v>
      </c>
      <c r="J576" s="14">
        <v>6268</v>
      </c>
      <c r="K576" s="14">
        <v>529</v>
      </c>
      <c r="L576" s="14"/>
      <c r="M576" s="14">
        <v>71325</v>
      </c>
      <c r="N576" s="14">
        <v>86024</v>
      </c>
      <c r="O576" s="14">
        <v>33456758997.297302</v>
      </c>
      <c r="P576" s="14">
        <v>35706034837.837807</v>
      </c>
      <c r="Q576" s="14">
        <v>90449</v>
      </c>
      <c r="R576" s="14">
        <v>113108</v>
      </c>
      <c r="S576" s="14">
        <v>49157994558.558563</v>
      </c>
      <c r="T576" s="14">
        <v>49698301227.027039</v>
      </c>
      <c r="U576" s="14">
        <v>23769426241.44146</v>
      </c>
      <c r="V576" s="14">
        <v>26268212502.702713</v>
      </c>
      <c r="W576" s="14">
        <v>3720402</v>
      </c>
      <c r="X576" s="14">
        <v>3717608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2026-09-27T12:37:27Z</dcterms:modified>
</cp:coreProperties>
</file>