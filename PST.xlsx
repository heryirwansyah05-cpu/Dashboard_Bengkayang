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D7" i="1"/>
  <c r="D8" i="1"/>
  <c r="E8" i="1" s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6" i="1"/>
  <c r="E19" i="1" l="1"/>
  <c r="E7" i="1"/>
  <c r="E18" i="1"/>
  <c r="E17" i="1"/>
  <c r="E16" i="1"/>
  <c r="E21" i="1"/>
  <c r="E9" i="1"/>
  <c r="E14" i="1"/>
  <c r="E20" i="1"/>
  <c r="E13" i="1"/>
  <c r="E12" i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<sst xmlns="http://schemas.openxmlformats.org/spreadsheetml/2006/main" count="1253" uniqueCount="686">
  <si>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</si>
  <si>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</si>
  <si>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</si>
  <si>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</si>
  <si>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</si>
  <si>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</si>
  <si>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</si>
  <si>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</si>
  <si>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</si>
  <si>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</si>
  <si>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</si>
  <si>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</si>
  <si>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</si>
  <si>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</si>
  <si>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</si>
  <si>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</si>
  <si>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</si>
  <si>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</si>
  <si>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</si>
  <si>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</si>
  <si>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</si>
  <si>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</si>
  <si>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</si>
  <si>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</si>
  <si>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</si>
  <si>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</si>
  <si>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</si>
  <si>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</si>
  <si>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</si>
  <si>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</si>
  <si>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</si>
  <si>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</si>
  <si>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</si>
  <si>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</si>
  <si>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</si>
  <si>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</si>
  <si>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</si>
  <si>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</si>
  <si>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</si>
  <si>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</si>
  <si>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</si>
  <si>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</si>
  <si>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</si>
  <si>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</si>
  <si>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</si>
  <si>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</si>
  <si>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</si>
  <si>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</si>
  <si>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</si>
  <si>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</si>
  <si>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</si>
  <si>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</si>
  <si>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</si>
  <si>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</si>
  <si>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</si>
  <si>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</si>
  <si>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</si>
  <si>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</si>
  <si>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</si>
  <si>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</si>
  <si>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</si>
  <si>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</si>
  <si>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</si>
  <si>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</si>
  <si>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</si>
  <si>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</si>
  <si>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</si>
  <si>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</si>
  <si>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</si>
  <si>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</si>
  <si>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</si>
  <si>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</si>
  <si>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</si>
  <si>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</si>
  <si>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</si>
  <si>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</si>
  <si>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</si>
  <si>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</si>
  <si>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</si>
  <si>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</si>
  <si>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</si>
  <si>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</si>
  <si>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</si>
  <si>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</si>
  <si>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</si>
  <si>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</si>
  <si>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</si>
  <si>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</si>
  <si>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</si>
  <si>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</si>
  <si>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</si>
  <si>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</si>
  <si>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</si>
  <si>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</si>
  <si>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</si>
  <si>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</si>
  <si>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</si>
  <si>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</si>
  <si>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</si>
  <si>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</si>
  <si>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</si>
  <si>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</si>
  <si>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</si>
  <si>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</si>
  <si>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</si>
  <si>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</si>
  <si>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</si>
  <si>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</si>
  <si>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</si>
  <si>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</si>
  <si>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</si>
  <si>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</si>
  <si>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</si>
  <si>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</si>
  <si>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</si>
  <si>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</si>
  <si>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</si>
  <si>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</si>
  <si>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</si>
  <si>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</si>
  <si>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</si>
  <si>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</si>
  <si>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</si>
  <si>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</si>
  <si>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</si>
  <si>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</si>
  <si>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</si>
  <si>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</si>
  <si>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</si>
  <si>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</si>
  <si>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</si>
  <si>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</si>
  <si>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</si>
  <si>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</si>
  <si>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</si>
  <si>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</si>
  <si>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</si>
  <si>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</si>
  <si>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</si>
  <si>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</si>
  <si>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</si>
  <si>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</si>
  <si>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</si>
  <si>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</si>
  <si>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</si>
  <si>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</si>
  <si>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</si>
  <si>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</si>
  <si>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</si>
  <si>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</si>
  <si>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</si>
  <si>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</si>
  <si>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</si>
  <si>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</si>
  <si>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</si>
  <si>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</si>
  <si>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</si>
  <si>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</si>
  <si>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</si>
  <si>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</si>
  <si>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</si>
  <si>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</si>
  <si>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</si>
  <si>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</si>
  <si>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</si>
  <si>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</si>
  <si>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</si>
  <si>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</si>
  <si>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</si>
  <si>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</si>
  <si>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</si>
  <si>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</si>
  <si>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</si>
  <si>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</si>
  <si>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</si>
  <si>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</si>
  <si>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</si>
  <si>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</si>
  <si>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</si>
  <si>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</si>
  <si>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</si>
  <si>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</si>
  <si>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</si>
  <si>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</si>
  <si>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</si>
  <si>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</si>
  <si>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</si>
  <si>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</si>
  <si>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</si>
  <si>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</si>
  <si>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</si>
  <si>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</si>
  <si>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</si>
  <si>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</si>
  <si>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</si>
  <si>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</si>
  <si>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</si>
  <si>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</si>
  <si>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</si>
  <si>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</si>
  <si>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</si>
  <si>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</si>
  <si>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</si>
  <si>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</si>
  <si>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</si>
  <si>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</si>
  <si>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</si>
  <si>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</si>
  <si>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</si>
  <si>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</si>
  <si>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</si>
  <si>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</si>
  <si>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</si>
  <si>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</si>
  <si>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</si>
  <si>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</si>
  <si>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</si>
  <si>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</si>
  <si>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</si>
  <si>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</si>
  <si>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</si>
  <si>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</si>
  <si>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</si>
  <si>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</si>
  <si>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</si>
  <si>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</si>
  <si>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</si>
  <si>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</si>
  <si>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</si>
  <si>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</si>
  <si>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</si>
  <si>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</si>
  <si>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</si>
  <si>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</si>
  <si>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</si>
  <si>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</si>
  <si>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</si>
  <si>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</si>
  <si>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</si>
  <si>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</si>
  <si>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</si>
  <si>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</si>
  <si>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</si>
  <si>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</si>
  <si>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</si>
  <si>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</si>
  <si>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</si>
  <si>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</si>
  <si>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</si>
  <si>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</si>
  <si>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</si>
  <si>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</si>
  <si>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</si>
  <si>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</si>
  <si>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</si>
  <si>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</si>
  <si>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</si>
  <si>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</si>
  <si>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</si>
  <si>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</si>
  <si>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</si>
  <si>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</si>
  <si>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</si>
  <si>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</si>
  <si>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</si>
  <si>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</si>
  <si>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</si>
  <si>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</si>
  <si>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</si>
  <si>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</si>
  <si>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</si>
  <si>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</si>
  <si>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</si>
  <si>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</si>
  <si>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</si>
  <si>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</si>
  <si>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</si>
  <si>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</si>
  <si>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</si>
  <si>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</si>
  <si>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</si>
  <si>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</si>
  <si>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</si>
  <si>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</si>
  <si>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</si>
  <si>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</si>
  <si>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</si>
  <si>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</si>
  <si>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</si>
  <si>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</si>
  <si>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</si>
  <si>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</si>
  <si>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</si>
  <si>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</si>
  <si>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</si>
  <si>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</si>
  <si>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</si>
  <si>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</si>
  <si>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</si>
  <si>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</si>
  <si>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</si>
  <si>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</si>
  <si>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</si>
  <si>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</si>
  <si>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</si>
  <si>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</si>
  <si>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</si>
  <si>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</si>
  <si>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</si>
  <si>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</si>
  <si>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</si>
  <si>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</si>
  <si>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</si>
  <si>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</si>
  <si>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</si>
  <si>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</si>
  <si>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</si>
  <si>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</si>
  <si>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</si>
  <si>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</si>
  <si>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</si>
  <si>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</si>
  <si>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</si>
  <si>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</si>
  <si>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</si>
  <si>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</si>
  <si>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</si>
  <si>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</si>
  <si>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</si>
  <si>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</si>
  <si>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</si>
  <si>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</si>
  <si>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</si>
  <si>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</si>
  <si>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</si>
  <si>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</si>
  <si>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</si>
  <si>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</si>
  <si>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</si>
  <si>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</si>
  <si>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</si>
  <si>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</si>
  <si>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</si>
  <si>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</si>
  <si>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</si>
  <si>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</si>
  <si>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</si>
  <si>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</si>
  <si>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</si>
  <si>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</si>
  <si>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</si>
  <si>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</si>
  <si>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</si>
  <si>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</si>
  <si>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</si>
  <si>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</si>
  <si>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</si>
  <si>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</si>
  <si>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</si>
  <si>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</si>
  <si>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</si>
  <si>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</si>
  <si>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</si>
  <si>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</si>
  <si>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</si>
  <si>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</si>
  <si>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</si>
  <si>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</si>
  <si>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</si>
  <si>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</si>
  <si>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</si>
  <si>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</si>
  <si>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</si>
  <si>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</si>
  <si>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</si>
  <si>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</si>
  <si>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</si>
  <si>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</si>
  <si>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</si>
  <si>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</si>
  <si>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</si>
  <si>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</si>
  <si>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</si>
  <si>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</si>
  <si>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</si>
  <si>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</si>
  <si>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</si>
  <si>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</si>
  <si>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</si>
  <si>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</si>
  <si>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</si>
  <si>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</si>
  <si>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</si>
  <si>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</si>
  <si>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</si>
  <si>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</si>
  <si>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</si>
  <si>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</si>
  <si>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</si>
  <si>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</si>
  <si>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</si>
  <si>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</si>
  <si>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</si>
  <si>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</si>
  <si>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</si>
  <si>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</si>
  <si>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</si>
  <si>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</si>
  <si>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</si>
  <si>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</si>
  <si>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</si>
  <si>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</si>
  <si>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</si>
  <si>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</si>
  <si>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</si>
  <si>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</si>
  <si>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</si>
  <si>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</si>
  <si>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</si>
  <si>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</si>
  <si>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</si>
  <si>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</si>
  <si>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</si>
  <si>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</si>
  <si>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</si>
  <si>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</si>
  <si>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</si>
  <si>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</si>
  <si>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</si>
  <si>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</si>
  <si>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</si>
  <si>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</si>
  <si>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</si>
  <si>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</si>
  <si>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</si>
  <si>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</si>
  <si>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</si>
  <si>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</si>
  <si>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</si>
  <si>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</si>
  <si>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</si>
  <si>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</si>
  <si>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</si>
  <si>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</si>
  <si>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</si>
  <si>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</si>
  <si>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</si>
  <si>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</si>
  <si>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</si>
  <si>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</si>
  <si>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</si>
  <si>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</si>
  <si>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</si>
  <si>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</si>
  <si>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</si>
  <si>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</si>
  <si>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</si>
  <si>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</si>
  <si>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</si>
  <si>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</si>
  <si>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</si>
  <si>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</si>
  <si>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</si>
  <si>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</si>
  <si>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</si>
  <si>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</si>
  <si>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</si>
  <si>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</si>
  <si>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</si>
  <si>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</si>
  <si>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</si>
  <si>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</si>
  <si>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</si>
  <si>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</si>
  <si>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</si>
  <si>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</si>
  <si>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</si>
  <si>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</si>
  <si>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</si>
  <si>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</si>
  <si>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</si>
  <si>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</si>
  <si>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</si>
  <si>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</si>
  <si>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</si>
  <si>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</si>
  <si>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</si>
  <si>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</si>
  <si>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</si>
  <si>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</si>
  <si>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</si>
  <si>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</si>
  <si>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</si>
  <si>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</si>
  <si>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</si>
  <si>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</si>
  <si>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</si>
  <si>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</si>
  <si>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</si>
  <si>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</si>
  <si>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</si>
  <si>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</si>
  <si>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</si>
  <si>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</si>
  <si>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</si>
  <si>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</si>
  <si>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</si>
  <si>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</si>
  <si>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</si>
  <si>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</si>
  <si>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</si>
  <si>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</si>
  <si>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</si>
  <si>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</si>
  <si>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</si>
  <si>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</si>
  <si>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</si>
  <si>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</si>
  <si>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</si>
  <si>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</si>
  <si>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</si>
  <si>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</si>
  <si>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</si>
  <si>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</si>
  <si>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</si>
  <si>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</si>
  <si>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</si>
  <si>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</si>
  <si>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</si>
  <si>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</si>
  <si>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</si>
  <si>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</si>
  <si>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</si>
  <si>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</si>
  <si>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</si>
  <si>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</si>
  <si>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</si>
  <si>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</si>
  <si>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</si>
  <si>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</si>
  <si>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</si>
  <si>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</si>
  <si>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</si>
  <si>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</si>
  <si>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</si>
  <si>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</si>
  <si>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</si>
  <si>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</si>
  <si>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</si>
  <si>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</si>
  <si>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</si>
  <si>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</si>
  <si>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</si>
  <si>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</si>
  <si>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</si>
  <si>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</si>
  <si>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</si>
  <si>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</si>
  <si>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</si>
  <si>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</si>
  <si>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</si>
  <si>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</si>
  <si>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</si>
  <si>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</si>
  <si>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</si>
  <si>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</si>
  <si>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</si>
  <si>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</si>
  <si>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</si>
  <si>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</si>
  <si>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</si>
  <si>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</si>
  <si>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</si>
  <si>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</si>
  <si>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</si>
  <si>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</si>
  <si>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</si>
  <si>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</si>
  <si>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</si>
  <si>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</si>
  <si>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</si>
  <si>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</si>
  <si>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</si>
  <si>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</si>
  <si>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</si>
  <si>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</si>
  <si>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</si>
  <si>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</si>
  <si>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</si>
  <si>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</si>
  <si>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</si>
  <si>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</si>
  <si>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</si>
  <si>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</si>
  <si>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</si>
  <si>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</si>
  <si>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</si>
  <si>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</si>
  <si>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</si>
  <si>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</si>
  <si>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</si>
  <si>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</si>
  <si>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</si>
  <si>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</si>
  <si>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</si>
  <si>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</si>
  <si>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</si>
  <si>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</si>
  <si>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</si>
  <si>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</si>
  <si>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</si>
  <si>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</si>
  <si>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</si>
  <si>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</si>
  <si>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</si>
  <si>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</si>
  <si>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</si>
  <si>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</si>
  <si>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</si>
  <si>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</si>
  <si>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</si>
  <si>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</si>
  <si>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</si>
  <si>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</si>
  <si>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</si>
  <si>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</si>
  <si>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</si>
  <si>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</si>
  <si>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</si>
  <si>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</si>
  <si>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</si>
  <si>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</si>
  <si>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</si>
  <si>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</si>
  <si>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</si>
  <si>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</si>
  <si>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</si>
  <si>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</si>
  <si>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</si>
  <si>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</si>
  <si>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</si>
  <si>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</si>
  <si>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</si>
  <si>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</si>
  <si>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</si>
  <si>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</si>
  <si>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</si>
  <si>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</si>
  <si>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</si>
  <si>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</si>
  <si>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</si>
  <si>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</si>
  <si>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</si>
  <si>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</si>
  <si>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</si>
  <si>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</si>
  <si>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</si>
  <si>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</si>
  <si>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</si>
  <si>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</si>
  <si>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</si>
  <si>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</si>
  <si>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</si>
  <si>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</si>
  <si>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</si>
  <si>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</si>
  <si>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</si>
  <si>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SP SELL IN MTD</t>
  </si>
  <si>
    <t>SP SELL IN LMTD</t>
  </si>
  <si>
    <t>DD</t>
  </si>
  <si>
    <t>RETTAG_3GB</t>
  </si>
  <si>
    <t>SELLIN_3GB</t>
  </si>
  <si>
    <t>BUKIT SANTUAI|KOTAWARINGIN TIMUR</t>
  </si>
  <si>
    <t>TANJUNG PALAS BARAT|BULUNGAN</t>
  </si>
  <si>
    <t>DAHA BARAT|HULU SUNGAI SELATAN</t>
  </si>
  <si>
    <t>KAYAN HILIR|MALINAU</t>
  </si>
  <si>
    <t>KRAYAN TENGAH|NUNUKAN</t>
  </si>
  <si>
    <t>LAMANDAU|LAMANDAU</t>
  </si>
  <si>
    <t>MARIKIT|KATINGAN</t>
  </si>
  <si>
    <t>MERANTI|LANDAK</t>
  </si>
  <si>
    <t>PESO|BULUNGAN</t>
  </si>
  <si>
    <t>RUNGAN BARAT|GUNUNG MAS</t>
  </si>
  <si>
    <t>SADANIANG|MEMPAWAH</t>
  </si>
  <si>
    <t>SEBATIK TENGAH|NUNUKAN</t>
  </si>
  <si>
    <t>SIMPANG DUA|KETAPANG</t>
  </si>
  <si>
    <t>TANAH PINOH BARAT|MELAWI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</si>
</sst>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667</v>
      </c>
      <c r="Y5" s="3" t="s">
        <v>668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366194740.4444766</v>
      </c>
      <c r="D6" s="4">
        <f>IFERROR(VLOOKUP(A:A,MASTER!A:D,4,0),0)</f>
        <v>366730526.08712852</v>
      </c>
      <c r="E6" s="8">
        <f>IFERROR(C6/D6-1,0)</f>
        <v>-1.4609791237412129E-3</v>
      </c>
      <c r="F6" s="4">
        <f>IFERROR(VLOOKUP(A6,MASTER!A:E,5,0),0)</f>
        <v>566216.21621621703</v>
      </c>
      <c r="G6" s="4">
        <f>IFERROR(VLOOKUP(A6,MASTER!A:F,6,0),0)</f>
        <v>2608108.1081081112</v>
      </c>
      <c r="H6" s="8">
        <f>IFERROR(F6/G6-1,0)</f>
        <v>-0.78290155440414499</v>
      </c>
      <c r="I6" s="4">
        <f>IFERROR(VLOOKUP(A6,MASTER!A:O,15,0),0)</f>
        <v>40944504.504504502</v>
      </c>
      <c r="J6" s="4">
        <f>IFERROR(VLOOKUP(A6,MASTER!A:P,16,0),0)</f>
        <v>46132522.522522517</v>
      </c>
      <c r="K6" s="8">
        <f>IFERROR(I6/J6-1,0)</f>
        <v>-0.11245901447260243</v>
      </c>
      <c r="L6" s="4">
        <f>IFERROR(VLOOKUP(A6,MASTER!A:S,19,0),0)</f>
        <v>172196574.77477479</v>
      </c>
      <c r="M6" s="4">
        <f>IFERROR(VLOOKUP(A6,MASTER!A:T,20,0),0)</f>
        <v>175049495.4954955</v>
      </c>
      <c r="N6" s="8">
        <f>IFERROR(L6/M6-1,0)</f>
        <v>-1.629779459029701E-2</v>
      </c>
      <c r="O6" s="4">
        <f>IFERROR(VLOOKUP(A6,MASTER!A:U,21,0),0)</f>
        <v>38065045.045045048</v>
      </c>
      <c r="P6" s="4">
        <f>IFERROR(VLOOKUP(A6,MASTER!A:V,22,0),0)</f>
        <v>42542072.072072074</v>
      </c>
      <c r="Q6" s="8">
        <f>IFERROR(O6/P6-1,0)</f>
        <v>-0.10523763439266265</v>
      </c>
      <c r="R6" s="4">
        <f>IFERROR(VLOOKUP(A6,MASTER!A:W,23,0),0)</f>
        <v>8516</v>
      </c>
      <c r="S6" s="4">
        <f>IFERROR(VLOOKUP(A6,MASTER!A:X,24,0),0)</f>
        <v>7758</v>
      </c>
      <c r="T6" s="8">
        <f>IFERROR(R6/S6-1,0)</f>
        <v>9.7705594225315773E-2</v>
      </c>
      <c r="U6" s="11">
        <f>IFERROR(VLOOKUP(A6,MASTER!A:M,13,0),0)</f>
        <v>581</v>
      </c>
      <c r="V6" s="11">
        <f>IFERROR(VLOOKUP(A6,MASTER!A:N,14,0),0)</f>
        <v>507</v>
      </c>
      <c r="W6" s="8">
        <f>IFERROR(U6/V6-1,0)</f>
        <v>0.14595660749506911</v>
      </c>
      <c r="X6" s="11">
        <f>IFERROR(VLOOKUP(A6,MASTER!A:Q,17,0),0)</f>
        <v>169</v>
      </c>
      <c r="Y6" s="11">
        <f>IFERROR(VLOOKUP(A6,MASTER!A:R,18,0),0)</f>
        <v>141</v>
      </c>
      <c r="Z6" s="8">
        <f>IFERROR(X6/Y6-1,0)</f>
        <v>0.19858156028368801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43652986.415352896</v>
      </c>
      <c r="D7" s="4">
        <f>IFERROR(VLOOKUP(A:A,MASTER!A:D,4,0),0)</f>
        <v>34841043.134335563</v>
      </c>
      <c r="E7" s="8">
        <f t="shared" ref="E7:E22" si="0">IFERROR(C7/D7-1,0)</f>
        <v>0.25291846880248059</v>
      </c>
      <c r="F7" s="4">
        <f>IFERROR(VLOOKUP(A7,MASTER!A:E,5,0),0)</f>
        <v>57657.657657657001</v>
      </c>
      <c r="G7" s="4">
        <f>IFERROR(VLOOKUP(A7,MASTER!A:F,6,0),0)</f>
        <v>310810.81081081199</v>
      </c>
      <c r="H7" s="8">
        <f t="shared" ref="H7:H22" si="1">IFERROR(F7/G7-1,0)</f>
        <v>-0.81449275362319118</v>
      </c>
      <c r="I7" s="4">
        <f>IFERROR(VLOOKUP(A7,MASTER!A:O,15,0),0)</f>
        <v>324324.32432432403</v>
      </c>
      <c r="J7" s="4">
        <f>IFERROR(VLOOKUP(A7,MASTER!A:P,16,0),0)</f>
        <v>6662162.1621621633</v>
      </c>
      <c r="K7" s="8">
        <f t="shared" ref="K7:K22" si="2">IFERROR(I7/J7-1,0)</f>
        <v>-0.9513184584178499</v>
      </c>
      <c r="L7" s="4">
        <f>IFERROR(VLOOKUP(A7,MASTER!A:S,19,0),0)</f>
        <v>23028378.378378376</v>
      </c>
      <c r="M7" s="4">
        <f>IFERROR(VLOOKUP(A7,MASTER!A:T,20,0),0)</f>
        <v>19572693.693693697</v>
      </c>
      <c r="N7" s="8">
        <f t="shared" ref="N7:N22" si="3">IFERROR(L7/M7-1,0)</f>
        <v>0.17655641777085074</v>
      </c>
      <c r="O7" s="4">
        <f>IFERROR(VLOOKUP(A7,MASTER!A:U,21,0),0)</f>
        <v>330180.18018018099</v>
      </c>
      <c r="P7" s="4">
        <f>IFERROR(VLOOKUP(A7,MASTER!A:V,22,0),0)</f>
        <v>6509009.0090090092</v>
      </c>
      <c r="Q7" s="8">
        <f t="shared" ref="Q7:Q22" si="4">IFERROR(O7/P7-1,0)</f>
        <v>-0.94927335640138399</v>
      </c>
      <c r="R7" s="4">
        <f>IFERROR(VLOOKUP(A7,MASTER!A:W,23,0),0)</f>
        <v>1009</v>
      </c>
      <c r="S7" s="4">
        <f>IFERROR(VLOOKUP(A7,MASTER!A:X,24,0),0)</f>
        <v>1032</v>
      </c>
      <c r="T7" s="8">
        <f t="shared" ref="T7:T22" si="5">IFERROR(R7/S7-1,0)</f>
        <v>-2.2286821705426396E-2</v>
      </c>
      <c r="U7" s="11">
        <f>IFERROR(VLOOKUP(A7,MASTER!A:M,13,0),0)</f>
        <v>10</v>
      </c>
      <c r="V7" s="11">
        <f>IFERROR(VLOOKUP(A7,MASTER!A:N,14,0),0)</f>
        <v>5</v>
      </c>
      <c r="W7" s="8">
        <f t="shared" ref="W7:W22" si="6">IFERROR(U7/V7-1,0)</f>
        <v>1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280653386.37025607</v>
      </c>
      <c r="D8" s="4">
        <f>IFERROR(VLOOKUP(A:A,MASTER!A:D,4,0),0)</f>
        <v>274556663.76783377</v>
      </c>
      <c r="E8" s="8">
        <f t="shared" si="0"/>
        <v>2.2205698884721681E-2</v>
      </c>
      <c r="F8" s="4">
        <f>IFERROR(VLOOKUP(A8,MASTER!A:E,5,0),0)</f>
        <v>3255630.6306306329</v>
      </c>
      <c r="G8" s="4">
        <f>IFERROR(VLOOKUP(A8,MASTER!A:F,6,0),0)</f>
        <v>3681081.081081084</v>
      </c>
      <c r="H8" s="8">
        <f t="shared" si="1"/>
        <v>-0.11557758198727375</v>
      </c>
      <c r="I8" s="4">
        <f>IFERROR(VLOOKUP(A8,MASTER!A:O,15,0),0)</f>
        <v>51086036.036036029</v>
      </c>
      <c r="J8" s="4">
        <f>IFERROR(VLOOKUP(A8,MASTER!A:P,16,0),0)</f>
        <v>59822522.522522517</v>
      </c>
      <c r="K8" s="8">
        <f t="shared" si="2"/>
        <v>-0.14604008855021611</v>
      </c>
      <c r="L8" s="4">
        <f>IFERROR(VLOOKUP(A8,MASTER!A:S,19,0),0)</f>
        <v>72744279.279279277</v>
      </c>
      <c r="M8" s="4">
        <f>IFERROR(VLOOKUP(A8,MASTER!A:T,20,0),0)</f>
        <v>77725297.297297299</v>
      </c>
      <c r="N8" s="8">
        <f t="shared" si="3"/>
        <v>-6.4084901457060472E-2</v>
      </c>
      <c r="O8" s="4">
        <f>IFERROR(VLOOKUP(A8,MASTER!A:U,21,0),0)</f>
        <v>48851081.081081077</v>
      </c>
      <c r="P8" s="4">
        <f>IFERROR(VLOOKUP(A8,MASTER!A:V,22,0),0)</f>
        <v>55724234.234234229</v>
      </c>
      <c r="Q8" s="8">
        <f t="shared" si="4"/>
        <v>-0.12334226297775885</v>
      </c>
      <c r="R8" s="4">
        <f>IFERROR(VLOOKUP(A8,MASTER!A:W,23,0),0)</f>
        <v>4264</v>
      </c>
      <c r="S8" s="4">
        <f>IFERROR(VLOOKUP(A8,MASTER!A:X,24,0),0)</f>
        <v>3884</v>
      </c>
      <c r="T8" s="8">
        <f t="shared" si="5"/>
        <v>9.7837281153450029E-2</v>
      </c>
      <c r="U8" s="11">
        <f>IFERROR(VLOOKUP(A8,MASTER!A:M,13,0),0)</f>
        <v>44</v>
      </c>
      <c r="V8" s="11">
        <f>IFERROR(VLOOKUP(A8,MASTER!A:N,14,0),0)</f>
        <v>50</v>
      </c>
      <c r="W8" s="8">
        <f t="shared" si="6"/>
        <v>-0.12</v>
      </c>
      <c r="X8" s="11">
        <f>IFERROR(VLOOKUP(A8,MASTER!A:Q,17,0),0)</f>
        <v>102</v>
      </c>
      <c r="Y8" s="11">
        <f>IFERROR(VLOOKUP(A8,MASTER!A:R,18,0),0)</f>
        <v>71</v>
      </c>
      <c r="Z8" s="8">
        <f t="shared" si="7"/>
        <v>0.43661971830985924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164828216.9273501</v>
      </c>
      <c r="D9" s="4">
        <f>IFERROR(VLOOKUP(A:A,MASTER!A:D,4,0),0)</f>
        <v>163127372.56476727</v>
      </c>
      <c r="E9" s="8">
        <f t="shared" si="0"/>
        <v>1.0426480460276721E-2</v>
      </c>
      <c r="F9" s="4">
        <f>IFERROR(VLOOKUP(A9,MASTER!A:E,5,0),0)</f>
        <v>1250450.4504504499</v>
      </c>
      <c r="G9" s="4">
        <f>IFERROR(VLOOKUP(A9,MASTER!A:F,6,0),0)</f>
        <v>2141441.4414414442</v>
      </c>
      <c r="H9" s="8">
        <f t="shared" si="1"/>
        <v>-0.41607067732435943</v>
      </c>
      <c r="I9" s="4">
        <f>IFERROR(VLOOKUP(A9,MASTER!A:O,15,0),0)</f>
        <v>28617567.567567568</v>
      </c>
      <c r="J9" s="4">
        <f>IFERROR(VLOOKUP(A9,MASTER!A:P,16,0),0)</f>
        <v>27266666.666666668</v>
      </c>
      <c r="K9" s="8">
        <f t="shared" si="2"/>
        <v>4.9544042820326428E-2</v>
      </c>
      <c r="L9" s="4">
        <f>IFERROR(VLOOKUP(A9,MASTER!A:S,19,0),0)</f>
        <v>60835540.540540546</v>
      </c>
      <c r="M9" s="4">
        <f>IFERROR(VLOOKUP(A9,MASTER!A:T,20,0),0)</f>
        <v>57515522.522522517</v>
      </c>
      <c r="N9" s="8">
        <f t="shared" si="3"/>
        <v>5.7723860836315088E-2</v>
      </c>
      <c r="O9" s="4">
        <f>IFERROR(VLOOKUP(A9,MASTER!A:U,21,0),0)</f>
        <v>29037657.657657657</v>
      </c>
      <c r="P9" s="4">
        <f>IFERROR(VLOOKUP(A9,MASTER!A:V,22,0),0)</f>
        <v>33841531.531531535</v>
      </c>
      <c r="Q9" s="8">
        <f t="shared" si="4"/>
        <v>-0.1419520233414352</v>
      </c>
      <c r="R9" s="4">
        <f>IFERROR(VLOOKUP(A9,MASTER!A:W,23,0),0)</f>
        <v>3477</v>
      </c>
      <c r="S9" s="4">
        <f>IFERROR(VLOOKUP(A9,MASTER!A:X,24,0),0)</f>
        <v>3580</v>
      </c>
      <c r="T9" s="8">
        <f t="shared" si="5"/>
        <v>-2.8770949720670402E-2</v>
      </c>
      <c r="U9" s="11">
        <f>IFERROR(VLOOKUP(A9,MASTER!A:M,13,0),0)</f>
        <v>15</v>
      </c>
      <c r="V9" s="11">
        <f>IFERROR(VLOOKUP(A9,MASTER!A:N,14,0),0)</f>
        <v>17</v>
      </c>
      <c r="W9" s="8">
        <f t="shared" si="6"/>
        <v>-0.11764705882352944</v>
      </c>
      <c r="X9" s="11">
        <f>IFERROR(VLOOKUP(A9,MASTER!A:Q,17,0),0)</f>
        <v>95</v>
      </c>
      <c r="Y9" s="11">
        <f>IFERROR(VLOOKUP(A9,MASTER!A:R,18,0),0)</f>
        <v>49</v>
      </c>
      <c r="Z9" s="8">
        <f t="shared" si="7"/>
        <v>0.93877551020408156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0</v>
      </c>
      <c r="G10" s="4">
        <f>IFERROR(VLOOKUP(A10,MASTER!A:F,6,0),0)</f>
        <v>0</v>
      </c>
      <c r="H10" s="8">
        <f t="shared" si="1"/>
        <v>0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169222784.38921875</v>
      </c>
      <c r="D11" s="4">
        <f>IFERROR(VLOOKUP(A:A,MASTER!A:D,4,0),0)</f>
        <v>171780424.86397979</v>
      </c>
      <c r="E11" s="8">
        <f t="shared" si="0"/>
        <v>-1.4889010064949137E-2</v>
      </c>
      <c r="F11" s="4">
        <f>IFERROR(VLOOKUP(A11,MASTER!A:E,5,0),0)</f>
        <v>1783333.333333334</v>
      </c>
      <c r="G11" s="4">
        <f>IFERROR(VLOOKUP(A11,MASTER!A:F,6,0),0)</f>
        <v>870270.27027027204</v>
      </c>
      <c r="H11" s="8">
        <f t="shared" si="1"/>
        <v>1.0491718426501002</v>
      </c>
      <c r="I11" s="4">
        <f>IFERROR(VLOOKUP(A11,MASTER!A:O,15,0),0)</f>
        <v>14744774.774774777</v>
      </c>
      <c r="J11" s="4">
        <f>IFERROR(VLOOKUP(A11,MASTER!A:P,16,0),0)</f>
        <v>13427027.027027028</v>
      </c>
      <c r="K11" s="8">
        <f t="shared" si="2"/>
        <v>9.8141438539989467E-2</v>
      </c>
      <c r="L11" s="4">
        <f>IFERROR(VLOOKUP(A11,MASTER!A:S,19,0),0)</f>
        <v>73423153.153153151</v>
      </c>
      <c r="M11" s="4">
        <f>IFERROR(VLOOKUP(A11,MASTER!A:T,20,0),0)</f>
        <v>72832558.558558553</v>
      </c>
      <c r="N11" s="8">
        <f t="shared" si="3"/>
        <v>8.1089365289803705E-3</v>
      </c>
      <c r="O11" s="4">
        <f>IFERROR(VLOOKUP(A11,MASTER!A:U,21,0),0)</f>
        <v>13042252.252252253</v>
      </c>
      <c r="P11" s="4">
        <f>IFERROR(VLOOKUP(A11,MASTER!A:V,22,0),0)</f>
        <v>12312252.252252253</v>
      </c>
      <c r="Q11" s="8">
        <f t="shared" si="4"/>
        <v>5.9290533124551903E-2</v>
      </c>
      <c r="R11" s="4">
        <f>IFERROR(VLOOKUP(A11,MASTER!A:W,23,0),0)</f>
        <v>3114</v>
      </c>
      <c r="S11" s="4">
        <f>IFERROR(VLOOKUP(A11,MASTER!A:X,24,0),0)</f>
        <v>2937</v>
      </c>
      <c r="T11" s="8">
        <f t="shared" si="5"/>
        <v>6.026557711950975E-2</v>
      </c>
      <c r="U11" s="11">
        <f>IFERROR(VLOOKUP(A11,MASTER!A:M,13,0),0)</f>
        <v>15</v>
      </c>
      <c r="V11" s="11">
        <f>IFERROR(VLOOKUP(A11,MASTER!A:N,14,0),0)</f>
        <v>28</v>
      </c>
      <c r="W11" s="8">
        <f t="shared" si="6"/>
        <v>-0.4642857142857143</v>
      </c>
      <c r="X11" s="11">
        <f>IFERROR(VLOOKUP(A11,MASTER!A:Q,17,0),0)</f>
        <v>86</v>
      </c>
      <c r="Y11" s="11">
        <f>IFERROR(VLOOKUP(A11,MASTER!A:R,18,0),0)</f>
        <v>27</v>
      </c>
      <c r="Z11" s="8">
        <f t="shared" si="7"/>
        <v>2.1851851851851851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640865816.06836939</v>
      </c>
      <c r="D12" s="4">
        <f>IFERROR(VLOOKUP(A:A,MASTER!A:D,4,0),0)</f>
        <v>623954353.33436406</v>
      </c>
      <c r="E12" s="8">
        <f t="shared" si="0"/>
        <v>2.7103685780268671E-2</v>
      </c>
      <c r="F12" s="4">
        <f>IFERROR(VLOOKUP(A12,MASTER!A:E,5,0),0)</f>
        <v>257349000.9009009</v>
      </c>
      <c r="G12" s="4">
        <f>IFERROR(VLOOKUP(A12,MASTER!A:F,6,0),0)</f>
        <v>404034141.44144148</v>
      </c>
      <c r="H12" s="8">
        <f t="shared" si="1"/>
        <v>-0.36305135010923406</v>
      </c>
      <c r="I12" s="4">
        <f>IFERROR(VLOOKUP(A12,MASTER!A:O,15,0),0)</f>
        <v>273627252.25225228</v>
      </c>
      <c r="J12" s="4">
        <f>IFERROR(VLOOKUP(A12,MASTER!A:P,16,0),0)</f>
        <v>227135931.53153151</v>
      </c>
      <c r="K12" s="8">
        <f t="shared" si="2"/>
        <v>0.20468501133765682</v>
      </c>
      <c r="L12" s="4">
        <f>IFERROR(VLOOKUP(A12,MASTER!A:S,19,0),0)</f>
        <v>427378243.24324328</v>
      </c>
      <c r="M12" s="4">
        <f>IFERROR(VLOOKUP(A12,MASTER!A:T,20,0),0)</f>
        <v>423503000</v>
      </c>
      <c r="N12" s="8">
        <f t="shared" si="3"/>
        <v>9.1504505121411395E-3</v>
      </c>
      <c r="O12" s="4">
        <f>IFERROR(VLOOKUP(A12,MASTER!A:U,21,0),0)</f>
        <v>247491621.62162164</v>
      </c>
      <c r="P12" s="4">
        <f>IFERROR(VLOOKUP(A12,MASTER!A:V,22,0),0)</f>
        <v>198111171.17117116</v>
      </c>
      <c r="Q12" s="8">
        <f t="shared" si="4"/>
        <v>0.24925626434152459</v>
      </c>
      <c r="R12" s="4">
        <f>IFERROR(VLOOKUP(A12,MASTER!A:W,23,0),0)</f>
        <v>13725</v>
      </c>
      <c r="S12" s="4">
        <f>IFERROR(VLOOKUP(A12,MASTER!A:X,24,0),0)</f>
        <v>13059</v>
      </c>
      <c r="T12" s="8">
        <f t="shared" si="5"/>
        <v>5.09993108201241E-2</v>
      </c>
      <c r="U12" s="11">
        <f>IFERROR(VLOOKUP(A12,MASTER!A:M,13,0),0)</f>
        <v>1054</v>
      </c>
      <c r="V12" s="11">
        <f>IFERROR(VLOOKUP(A12,MASTER!A:N,14,0),0)</f>
        <v>782</v>
      </c>
      <c r="W12" s="8">
        <f t="shared" si="6"/>
        <v>0.34782608695652173</v>
      </c>
      <c r="X12" s="11">
        <f>IFERROR(VLOOKUP(A12,MASTER!A:Q,17,0),0)</f>
        <v>593</v>
      </c>
      <c r="Y12" s="11">
        <f>IFERROR(VLOOKUP(A12,MASTER!A:R,18,0),0)</f>
        <v>819</v>
      </c>
      <c r="Z12" s="8">
        <f t="shared" si="7"/>
        <v>-0.27594627594627597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138979470.93279043</v>
      </c>
      <c r="D13" s="4">
        <f>IFERROR(VLOOKUP(A:A,MASTER!A:D,4,0),0)</f>
        <v>148365062.63741854</v>
      </c>
      <c r="E13" s="8">
        <f t="shared" si="0"/>
        <v>-6.3260120258669339E-2</v>
      </c>
      <c r="F13" s="4">
        <f>IFERROR(VLOOKUP(A13,MASTER!A:E,5,0),0)</f>
        <v>40090.090090090001</v>
      </c>
      <c r="G13" s="4">
        <f>IFERROR(VLOOKUP(A13,MASTER!A:F,6,0),0)</f>
        <v>403603.603603606</v>
      </c>
      <c r="H13" s="8">
        <f t="shared" si="1"/>
        <v>-0.90066964285714368</v>
      </c>
      <c r="I13" s="4">
        <f>IFERROR(VLOOKUP(A13,MASTER!A:O,15,0),0)</f>
        <v>26420270.270270273</v>
      </c>
      <c r="J13" s="4">
        <f>IFERROR(VLOOKUP(A13,MASTER!A:P,16,0),0)</f>
        <v>28275225.225225225</v>
      </c>
      <c r="K13" s="8">
        <f t="shared" si="2"/>
        <v>-6.56035430373898E-2</v>
      </c>
      <c r="L13" s="4">
        <f>IFERROR(VLOOKUP(A13,MASTER!A:S,19,0),0)</f>
        <v>95094171.171171173</v>
      </c>
      <c r="M13" s="4">
        <f>IFERROR(VLOOKUP(A13,MASTER!A:T,20,0),0)</f>
        <v>104187621.62162161</v>
      </c>
      <c r="N13" s="8">
        <f t="shared" si="3"/>
        <v>-8.7279566506231809E-2</v>
      </c>
      <c r="O13" s="4">
        <f>IFERROR(VLOOKUP(A13,MASTER!A:U,21,0),0)</f>
        <v>27968198.198198199</v>
      </c>
      <c r="P13" s="4">
        <f>IFERROR(VLOOKUP(A13,MASTER!A:V,22,0),0)</f>
        <v>29318828.828828827</v>
      </c>
      <c r="Q13" s="8">
        <f t="shared" si="4"/>
        <v>-4.6067004876489848E-2</v>
      </c>
      <c r="R13" s="4">
        <f>IFERROR(VLOOKUP(A13,MASTER!A:W,23,0),0)</f>
        <v>4750</v>
      </c>
      <c r="S13" s="4">
        <f>IFERROR(VLOOKUP(A13,MASTER!A:X,24,0),0)</f>
        <v>4729</v>
      </c>
      <c r="T13" s="8">
        <f t="shared" si="5"/>
        <v>4.4406851342777554E-3</v>
      </c>
      <c r="U13" s="11">
        <f>IFERROR(VLOOKUP(A13,MASTER!A:M,13,0),0)</f>
        <v>38</v>
      </c>
      <c r="V13" s="11">
        <f>IFERROR(VLOOKUP(A13,MASTER!A:N,14,0),0)</f>
        <v>53</v>
      </c>
      <c r="W13" s="8">
        <f t="shared" si="6"/>
        <v>-0.28301886792452835</v>
      </c>
      <c r="X13" s="11">
        <f>IFERROR(VLOOKUP(A13,MASTER!A:Q,17,0),0)</f>
        <v>132</v>
      </c>
      <c r="Y13" s="11">
        <f>IFERROR(VLOOKUP(A13,MASTER!A:R,18,0),0)</f>
        <v>154</v>
      </c>
      <c r="Z13" s="8">
        <f t="shared" si="7"/>
        <v>-0.1428571428571429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207761036.52719289</v>
      </c>
      <c r="D14" s="4">
        <f>IFERROR(VLOOKUP(A:A,MASTER!A:D,4,0),0)</f>
        <v>205237358.30055285</v>
      </c>
      <c r="E14" s="8">
        <f t="shared" si="0"/>
        <v>1.2296388179701356E-2</v>
      </c>
      <c r="F14" s="4">
        <f>IFERROR(VLOOKUP(A14,MASTER!A:E,5,0),0)</f>
        <v>2077477.47747748</v>
      </c>
      <c r="G14" s="4">
        <f>IFERROR(VLOOKUP(A14,MASTER!A:F,6,0),0)</f>
        <v>4509009.0090090111</v>
      </c>
      <c r="H14" s="8">
        <f t="shared" si="1"/>
        <v>-0.53926073926073892</v>
      </c>
      <c r="I14" s="4">
        <f>IFERROR(VLOOKUP(A14,MASTER!A:O,15,0),0)</f>
        <v>28581531.531531528</v>
      </c>
      <c r="J14" s="4">
        <f>IFERROR(VLOOKUP(A14,MASTER!A:P,16,0),0)</f>
        <v>42163063.063063063</v>
      </c>
      <c r="K14" s="8">
        <f t="shared" si="2"/>
        <v>-0.32211918548748963</v>
      </c>
      <c r="L14" s="4">
        <f>IFERROR(VLOOKUP(A14,MASTER!A:S,19,0),0)</f>
        <v>60844819.819819823</v>
      </c>
      <c r="M14" s="4">
        <f>IFERROR(VLOOKUP(A14,MASTER!A:T,20,0),0)</f>
        <v>60094792.79279279</v>
      </c>
      <c r="N14" s="8">
        <f t="shared" si="3"/>
        <v>1.2480732392457616E-2</v>
      </c>
      <c r="O14" s="4">
        <f>IFERROR(VLOOKUP(A14,MASTER!A:U,21,0),0)</f>
        <v>27996216.216216218</v>
      </c>
      <c r="P14" s="4">
        <f>IFERROR(VLOOKUP(A14,MASTER!A:V,22,0),0)</f>
        <v>38268468.468468465</v>
      </c>
      <c r="Q14" s="8">
        <f t="shared" si="4"/>
        <v>-0.26842600875747435</v>
      </c>
      <c r="R14" s="4">
        <f>IFERROR(VLOOKUP(A14,MASTER!A:W,23,0),0)</f>
        <v>3858</v>
      </c>
      <c r="S14" s="4">
        <f>IFERROR(VLOOKUP(A14,MASTER!A:X,24,0),0)</f>
        <v>3523</v>
      </c>
      <c r="T14" s="8">
        <f t="shared" si="5"/>
        <v>9.508941243258584E-2</v>
      </c>
      <c r="U14" s="11">
        <f>IFERROR(VLOOKUP(A14,MASTER!A:M,13,0),0)</f>
        <v>24</v>
      </c>
      <c r="V14" s="11">
        <f>IFERROR(VLOOKUP(A14,MASTER!A:N,14,0),0)</f>
        <v>21</v>
      </c>
      <c r="W14" s="8">
        <f t="shared" si="6"/>
        <v>0.14285714285714279</v>
      </c>
      <c r="X14" s="11">
        <f>IFERROR(VLOOKUP(A14,MASTER!A:Q,17,0),0)</f>
        <v>96</v>
      </c>
      <c r="Y14" s="11">
        <f>IFERROR(VLOOKUP(A14,MASTER!A:R,18,0),0)</f>
        <v>51</v>
      </c>
      <c r="Z14" s="8">
        <f t="shared" si="7"/>
        <v>0.88235294117647056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418557239.04655689</v>
      </c>
      <c r="D15" s="4">
        <f>IFERROR(VLOOKUP(A:A,MASTER!A:D,4,0),0)</f>
        <v>398620443.48848742</v>
      </c>
      <c r="E15" s="8">
        <f t="shared" si="0"/>
        <v>5.0014483410822042E-2</v>
      </c>
      <c r="F15" s="4">
        <f>IFERROR(VLOOKUP(A15,MASTER!A:E,5,0),0)</f>
        <v>7286173.8738738792</v>
      </c>
      <c r="G15" s="4">
        <f>IFERROR(VLOOKUP(A15,MASTER!A:F,6,0),0)</f>
        <v>11154598.198198205</v>
      </c>
      <c r="H15" s="8">
        <f t="shared" si="1"/>
        <v>-0.34680086683437772</v>
      </c>
      <c r="I15" s="4">
        <f>IFERROR(VLOOKUP(A15,MASTER!A:O,15,0),0)</f>
        <v>644204023.42342353</v>
      </c>
      <c r="J15" s="4">
        <f>IFERROR(VLOOKUP(A15,MASTER!A:P,16,0),0)</f>
        <v>564007518.91891897</v>
      </c>
      <c r="K15" s="8">
        <f t="shared" si="2"/>
        <v>0.14219048827261016</v>
      </c>
      <c r="L15" s="4">
        <f>IFERROR(VLOOKUP(A15,MASTER!A:S,19,0),0)</f>
        <v>149439756.75675678</v>
      </c>
      <c r="M15" s="4">
        <f>IFERROR(VLOOKUP(A15,MASTER!A:T,20,0),0)</f>
        <v>144516225.22522521</v>
      </c>
      <c r="N15" s="8">
        <f t="shared" si="3"/>
        <v>3.4069057117001034E-2</v>
      </c>
      <c r="O15" s="4">
        <f>IFERROR(VLOOKUP(A15,MASTER!A:U,21,0),0)</f>
        <v>539868828.82882881</v>
      </c>
      <c r="P15" s="4">
        <f>IFERROR(VLOOKUP(A15,MASTER!A:V,22,0),0)</f>
        <v>483946396.3963964</v>
      </c>
      <c r="Q15" s="8">
        <f t="shared" si="4"/>
        <v>0.11555501363135856</v>
      </c>
      <c r="R15" s="4">
        <f>IFERROR(VLOOKUP(A15,MASTER!A:W,23,0),0)</f>
        <v>7073</v>
      </c>
      <c r="S15" s="4">
        <f>IFERROR(VLOOKUP(A15,MASTER!A:X,24,0),0)</f>
        <v>7014</v>
      </c>
      <c r="T15" s="8">
        <f t="shared" si="5"/>
        <v>8.4117479327059375E-3</v>
      </c>
      <c r="U15" s="11">
        <f>IFERROR(VLOOKUP(A15,MASTER!A:M,13,0),0)</f>
        <v>90</v>
      </c>
      <c r="V15" s="11">
        <f>IFERROR(VLOOKUP(A15,MASTER!A:N,14,0),0)</f>
        <v>68</v>
      </c>
      <c r="W15" s="8">
        <f t="shared" si="6"/>
        <v>0.32352941176470584</v>
      </c>
      <c r="X15" s="11">
        <f>IFERROR(VLOOKUP(A15,MASTER!A:Q,17,0),0)</f>
        <v>315</v>
      </c>
      <c r="Y15" s="11">
        <f>IFERROR(VLOOKUP(A15,MASTER!A:R,18,0),0)</f>
        <v>147</v>
      </c>
      <c r="Z15" s="8">
        <f t="shared" si="7"/>
        <v>1.1428571428571428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0</v>
      </c>
      <c r="G16" s="4">
        <f>IFERROR(VLOOKUP(A16,MASTER!A:F,6,0),0)</f>
        <v>0</v>
      </c>
      <c r="H16" s="8">
        <f t="shared" si="1"/>
        <v>0</v>
      </c>
      <c r="I16" s="4">
        <f>IFERROR(VLOOKUP(A16,MASTER!A:O,15,0),0)</f>
        <v>0</v>
      </c>
      <c r="J16" s="4">
        <f>IFERROR(VLOOKUP(A16,MASTER!A:P,16,0),0)</f>
        <v>0</v>
      </c>
      <c r="K16" s="8">
        <f t="shared" si="2"/>
        <v>0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177271305.83012226</v>
      </c>
      <c r="D17" s="4">
        <f>IFERROR(VLOOKUP(A:A,MASTER!A:D,4,0),0)</f>
        <v>167562031.34106871</v>
      </c>
      <c r="E17" s="8">
        <f t="shared" si="0"/>
        <v>5.7944358941856899E-2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102269459.45945945</v>
      </c>
      <c r="M17" s="4">
        <f>IFERROR(VLOOKUP(A17,MASTER!A:T,20,0),0)</f>
        <v>100528845.04504503</v>
      </c>
      <c r="N17" s="8">
        <f t="shared" si="3"/>
        <v>1.7314576862337283E-2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3842</v>
      </c>
      <c r="S17" s="4">
        <f>IFERROR(VLOOKUP(A17,MASTER!A:X,24,0),0)</f>
        <v>3580</v>
      </c>
      <c r="T17" s="8">
        <f t="shared" si="5"/>
        <v>7.3184357541899336E-2</v>
      </c>
      <c r="U17" s="11">
        <f>IFERROR(VLOOKUP(A17,MASTER!A:M,13,0),0)</f>
        <v>13</v>
      </c>
      <c r="V17" s="11">
        <f>IFERROR(VLOOKUP(A17,MASTER!A:N,14,0),0)</f>
        <v>25</v>
      </c>
      <c r="W17" s="8">
        <f t="shared" si="6"/>
        <v>-0.48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139325592.51115382</v>
      </c>
      <c r="D18" s="4">
        <f>IFERROR(VLOOKUP(A:A,MASTER!A:D,4,0),0)</f>
        <v>145670985.26522806</v>
      </c>
      <c r="E18" s="8">
        <f t="shared" si="0"/>
        <v>-4.3559757233199048E-2</v>
      </c>
      <c r="F18" s="4">
        <f>IFERROR(VLOOKUP(A18,MASTER!A:E,5,0),0)</f>
        <v>343243.24324324197</v>
      </c>
      <c r="G18" s="4">
        <f>IFERROR(VLOOKUP(A18,MASTER!A:F,6,0),0)</f>
        <v>586486.48648648802</v>
      </c>
      <c r="H18" s="8">
        <f t="shared" si="1"/>
        <v>-0.41474654377880549</v>
      </c>
      <c r="I18" s="4">
        <f>IFERROR(VLOOKUP(A18,MASTER!A:O,15,0),0)</f>
        <v>4226126.1261261255</v>
      </c>
      <c r="J18" s="4">
        <f>IFERROR(VLOOKUP(A18,MASTER!A:P,16,0),0)</f>
        <v>14505405.405405408</v>
      </c>
      <c r="K18" s="8">
        <f t="shared" si="2"/>
        <v>-0.70865163654431407</v>
      </c>
      <c r="L18" s="4">
        <f>IFERROR(VLOOKUP(A18,MASTER!A:S,19,0),0)</f>
        <v>46436981.981981985</v>
      </c>
      <c r="M18" s="4">
        <f>IFERROR(VLOOKUP(A18,MASTER!A:T,20,0),0)</f>
        <v>49595092.342342347</v>
      </c>
      <c r="N18" s="8">
        <f t="shared" si="3"/>
        <v>-6.3677880435441647E-2</v>
      </c>
      <c r="O18" s="4">
        <f>IFERROR(VLOOKUP(A18,MASTER!A:U,21,0),0)</f>
        <v>4466756.7567567546</v>
      </c>
      <c r="P18" s="4">
        <f>IFERROR(VLOOKUP(A18,MASTER!A:V,22,0),0)</f>
        <v>13777207.207207208</v>
      </c>
      <c r="Q18" s="8">
        <f t="shared" si="4"/>
        <v>-0.67578648636277461</v>
      </c>
      <c r="R18" s="4">
        <f>IFERROR(VLOOKUP(A18,MASTER!A:W,23,0),0)</f>
        <v>3795</v>
      </c>
      <c r="S18" s="4">
        <f>IFERROR(VLOOKUP(A18,MASTER!A:X,24,0),0)</f>
        <v>4851</v>
      </c>
      <c r="T18" s="8">
        <f t="shared" si="5"/>
        <v>-0.21768707482993199</v>
      </c>
      <c r="U18" s="11">
        <f>IFERROR(VLOOKUP(A18,MASTER!A:M,13,0),0)</f>
        <v>50</v>
      </c>
      <c r="V18" s="11">
        <f>IFERROR(VLOOKUP(A18,MASTER!A:N,14,0),0)</f>
        <v>39</v>
      </c>
      <c r="W18" s="8">
        <f t="shared" si="6"/>
        <v>0.28205128205128216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97572620.444985211</v>
      </c>
      <c r="D19" s="4">
        <f>IFERROR(VLOOKUP(A:A,MASTER!A:D,4,0),0)</f>
        <v>97215448.830412477</v>
      </c>
      <c r="E19" s="8">
        <f t="shared" si="0"/>
        <v>3.6740211444767912E-3</v>
      </c>
      <c r="F19" s="4">
        <f>IFERROR(VLOOKUP(A19,MASTER!A:E,5,0),0)</f>
        <v>66666.666666664998</v>
      </c>
      <c r="G19" s="4">
        <f>IFERROR(VLOOKUP(A19,MASTER!A:F,6,0),0)</f>
        <v>4319819.8198198201</v>
      </c>
      <c r="H19" s="8">
        <f t="shared" si="1"/>
        <v>-0.98456725755995866</v>
      </c>
      <c r="I19" s="4">
        <f>IFERROR(VLOOKUP(A19,MASTER!A:O,15,0),0)</f>
        <v>7716666.6666666651</v>
      </c>
      <c r="J19" s="4">
        <f>IFERROR(VLOOKUP(A19,MASTER!A:P,16,0),0)</f>
        <v>20626126.126126129</v>
      </c>
      <c r="K19" s="8">
        <f t="shared" si="2"/>
        <v>-0.62587901288490944</v>
      </c>
      <c r="L19" s="4">
        <f>IFERROR(VLOOKUP(A19,MASTER!A:S,19,0),0)</f>
        <v>38217648.648648649</v>
      </c>
      <c r="M19" s="4">
        <f>IFERROR(VLOOKUP(A19,MASTER!A:T,20,0),0)</f>
        <v>39194882.882882878</v>
      </c>
      <c r="N19" s="8">
        <f t="shared" si="3"/>
        <v>-2.493269943309373E-2</v>
      </c>
      <c r="O19" s="4">
        <f>IFERROR(VLOOKUP(A19,MASTER!A:U,21,0),0)</f>
        <v>5482792.7927927906</v>
      </c>
      <c r="P19" s="4">
        <f>IFERROR(VLOOKUP(A19,MASTER!A:V,22,0),0)</f>
        <v>22741531.531531531</v>
      </c>
      <c r="Q19" s="8">
        <f t="shared" si="4"/>
        <v>-0.7589083749618708</v>
      </c>
      <c r="R19" s="4">
        <f>IFERROR(VLOOKUP(A19,MASTER!A:W,23,0),0)</f>
        <v>2893</v>
      </c>
      <c r="S19" s="4">
        <f>IFERROR(VLOOKUP(A19,MASTER!A:X,24,0),0)</f>
        <v>3043</v>
      </c>
      <c r="T19" s="8">
        <f t="shared" si="5"/>
        <v>-4.9293460400920197E-2</v>
      </c>
      <c r="U19" s="11">
        <f>IFERROR(VLOOKUP(A19,MASTER!A:M,13,0),0)</f>
        <v>32</v>
      </c>
      <c r="V19" s="11">
        <f>IFERROR(VLOOKUP(A19,MASTER!A:N,14,0),0)</f>
        <v>15</v>
      </c>
      <c r="W19" s="8">
        <f t="shared" si="6"/>
        <v>1.1333333333333333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780634449.54954958</v>
      </c>
      <c r="G20" s="4">
        <f>IFERROR(VLOOKUP(A20,MASTER!A:F,6,0),0)</f>
        <v>722332996.3963964</v>
      </c>
      <c r="H20" s="8">
        <f t="shared" si="1"/>
        <v>8.0712709296141494E-2</v>
      </c>
      <c r="I20" s="4">
        <f>IFERROR(VLOOKUP(A20,MASTER!A:O,15,0),0)</f>
        <v>81048563.063063055</v>
      </c>
      <c r="J20" s="4">
        <f>IFERROR(VLOOKUP(A20,MASTER!A:P,16,0),0)</f>
        <v>80240990.990990996</v>
      </c>
      <c r="K20" s="8">
        <f t="shared" si="2"/>
        <v>1.006433323041489E-2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356637804.02859557</v>
      </c>
      <c r="D21" s="4">
        <f>IFERROR(VLOOKUP(A:A,MASTER!A:D,4,0),0)</f>
        <v>333741242.65212399</v>
      </c>
      <c r="E21" s="8">
        <f t="shared" si="0"/>
        <v>6.8605729380404545E-2</v>
      </c>
      <c r="F21" s="4">
        <f>IFERROR(VLOOKUP(A21,MASTER!A:E,5,0),0)</f>
        <v>1045945.945945951</v>
      </c>
      <c r="G21" s="4">
        <f>IFERROR(VLOOKUP(A21,MASTER!A:F,6,0),0)</f>
        <v>3113513.5135135199</v>
      </c>
      <c r="H21" s="8">
        <f t="shared" si="1"/>
        <v>-0.66406249999999911</v>
      </c>
      <c r="I21" s="4">
        <f>IFERROR(VLOOKUP(A21,MASTER!A:O,15,0),0)</f>
        <v>61666666.666666672</v>
      </c>
      <c r="J21" s="4">
        <f>IFERROR(VLOOKUP(A21,MASTER!A:P,16,0),0)</f>
        <v>72125855.855855852</v>
      </c>
      <c r="K21" s="8">
        <f t="shared" si="2"/>
        <v>-0.14501303402335997</v>
      </c>
      <c r="L21" s="4">
        <f>IFERROR(VLOOKUP(A21,MASTER!A:S,19,0),0)</f>
        <v>206554283.78378376</v>
      </c>
      <c r="M21" s="4">
        <f>IFERROR(VLOOKUP(A21,MASTER!A:T,20,0),0)</f>
        <v>193603378.37837836</v>
      </c>
      <c r="N21" s="8">
        <f t="shared" si="3"/>
        <v>6.6894005228019138E-2</v>
      </c>
      <c r="O21" s="4">
        <f>IFERROR(VLOOKUP(A21,MASTER!A:U,21,0),0)</f>
        <v>68110000</v>
      </c>
      <c r="P21" s="4">
        <f>IFERROR(VLOOKUP(A21,MASTER!A:V,22,0),0)</f>
        <v>69363016.216216221</v>
      </c>
      <c r="Q21" s="8">
        <f t="shared" si="4"/>
        <v>-1.8064615476212298E-2</v>
      </c>
      <c r="R21" s="4">
        <f>IFERROR(VLOOKUP(A21,MASTER!A:W,23,0),0)</f>
        <v>7360</v>
      </c>
      <c r="S21" s="4">
        <f>IFERROR(VLOOKUP(A21,MASTER!A:X,24,0),0)</f>
        <v>7071</v>
      </c>
      <c r="T21" s="8">
        <f t="shared" si="5"/>
        <v>4.0871163908923869E-2</v>
      </c>
      <c r="U21" s="11">
        <f>IFERROR(VLOOKUP(A21,MASTER!A:M,13,0),0)</f>
        <v>425</v>
      </c>
      <c r="V21" s="11">
        <f>IFERROR(VLOOKUP(A21,MASTER!A:N,14,0),0)</f>
        <v>307</v>
      </c>
      <c r="W21" s="8">
        <f t="shared" si="6"/>
        <v>0.38436482084690549</v>
      </c>
      <c r="X21" s="11">
        <f>IFERROR(VLOOKUP(A21,MASTER!A:Q,17,0),0)</f>
        <v>356</v>
      </c>
      <c r="Y21" s="11">
        <f>IFERROR(VLOOKUP(A21,MASTER!A:R,18,0),0)</f>
        <v>268</v>
      </c>
      <c r="Z21" s="8">
        <f t="shared" si="7"/>
        <v>0.32835820895522394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183386713.28458416</v>
      </c>
      <c r="D22" s="4">
        <f>IFERROR(VLOOKUP(A:A,MASTER!A:D,4,0),0)</f>
        <v>169789676.46267271</v>
      </c>
      <c r="E22" s="8">
        <f t="shared" si="0"/>
        <v>8.0081646335551371E-2</v>
      </c>
      <c r="F22" s="4">
        <f>IFERROR(VLOOKUP(A22,MASTER!A:E,5,0),0)</f>
        <v>115315.31531531901</v>
      </c>
      <c r="G22" s="4">
        <f>IFERROR(VLOOKUP(A22,MASTER!A:F,6,0),0)</f>
        <v>933333.33333333698</v>
      </c>
      <c r="H22" s="8">
        <f t="shared" si="1"/>
        <v>-0.87644787644787292</v>
      </c>
      <c r="I22" s="4">
        <f>IFERROR(VLOOKUP(A22,MASTER!A:O,15,0),0)</f>
        <v>17336756.756756756</v>
      </c>
      <c r="J22" s="4">
        <f>IFERROR(VLOOKUP(A22,MASTER!A:P,16,0),0)</f>
        <v>36453153.153153151</v>
      </c>
      <c r="K22" s="8">
        <f t="shared" si="2"/>
        <v>-0.52440995477349683</v>
      </c>
      <c r="L22" s="4">
        <f>IFERROR(VLOOKUP(A22,MASTER!A:S,19,0),0)</f>
        <v>60466117.117117122</v>
      </c>
      <c r="M22" s="4">
        <f>IFERROR(VLOOKUP(A22,MASTER!A:T,20,0),0)</f>
        <v>57671666.666666664</v>
      </c>
      <c r="N22" s="8">
        <f t="shared" si="3"/>
        <v>4.8454477076272928E-2</v>
      </c>
      <c r="O22" s="4">
        <f>IFERROR(VLOOKUP(A22,MASTER!A:U,21,0),0)</f>
        <v>17942162.162162159</v>
      </c>
      <c r="P22" s="4">
        <f>IFERROR(VLOOKUP(A22,MASTER!A:V,22,0),0)</f>
        <v>39621081.081081077</v>
      </c>
      <c r="Q22" s="8">
        <f t="shared" si="4"/>
        <v>-0.54715616856983051</v>
      </c>
      <c r="R22" s="4">
        <f>IFERROR(VLOOKUP(A22,MASTER!A:W,23,0),0)</f>
        <v>3895</v>
      </c>
      <c r="S22" s="4">
        <f>IFERROR(VLOOKUP(A22,MASTER!A:X,24,0),0)</f>
        <v>3907</v>
      </c>
      <c r="T22" s="8">
        <f t="shared" si="5"/>
        <v>-3.0714102892244188E-3</v>
      </c>
      <c r="U22" s="11">
        <f>IFERROR(VLOOKUP(A22,MASTER!A:M,13,0),0)</f>
        <v>20</v>
      </c>
      <c r="V22" s="11">
        <f>IFERROR(VLOOKUP(A22,MASTER!A:N,14,0),0)</f>
        <v>29</v>
      </c>
      <c r="W22" s="8">
        <f t="shared" si="6"/>
        <v>-0.31034482758620685</v>
      </c>
      <c r="X22" s="11">
        <f>IFERROR(VLOOKUP(A22,MASTER!A:Q,17,0),0)</f>
        <v>42</v>
      </c>
      <c r="Y22" s="11">
        <f>IFERROR(VLOOKUP(A22,MASTER!A:R,18,0),0)</f>
        <v>43</v>
      </c>
      <c r="Z22" s="8">
        <f t="shared" si="7"/>
        <v>-2.3255813953488413E-2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6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X576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669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670</v>
      </c>
      <c r="J2" s="7" t="s">
        <v>670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671</v>
      </c>
      <c r="R2" s="7" t="s">
        <v>671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480434668.74623388</v>
      </c>
      <c r="D4">
        <v>526180784.13445318</v>
      </c>
      <c r="E4">
        <v>1488063.063063063</v>
      </c>
      <c r="F4">
        <v>2044819.819819821</v>
      </c>
      <c r="G4">
        <v>35</v>
      </c>
      <c r="H4">
        <v>50</v>
      </c>
      <c r="I4">
        <v>8</v>
      </c>
      <c r="J4">
        <v>6</v>
      </c>
      <c r="M4">
        <v>57</v>
      </c>
      <c r="N4">
        <v>108</v>
      </c>
      <c r="O4">
        <v>12127387.387387384</v>
      </c>
      <c r="P4">
        <v>33945045.045045048</v>
      </c>
      <c r="R4">
        <v>23</v>
      </c>
      <c r="S4">
        <v>58802792.79279279</v>
      </c>
      <c r="T4">
        <v>65218664.864864863</v>
      </c>
      <c r="U4">
        <v>8219639.6396396374</v>
      </c>
      <c r="V4">
        <v>32400360.360360362</v>
      </c>
      <c r="W4">
        <v>7880</v>
      </c>
      <c r="X4">
        <v>8103</v>
      </c>
    </row>
    <row r="5" spans="1:24">
      <c r="A5" s="7" t="s">
        <v>49</v>
      </c>
      <c r="B5" s="16" t="s">
        <v>50</v>
      </c>
      <c r="C5">
        <v>839531517.92989028</v>
      </c>
      <c r="D5">
        <v>790641396.14474833</v>
      </c>
      <c r="E5">
        <v>5662792.7927928045</v>
      </c>
      <c r="F5">
        <v>13533333.333333343</v>
      </c>
      <c r="G5">
        <v>525</v>
      </c>
      <c r="H5">
        <v>436</v>
      </c>
      <c r="I5">
        <v>40</v>
      </c>
      <c r="J5">
        <v>29</v>
      </c>
      <c r="K5">
        <v>10</v>
      </c>
      <c r="M5">
        <v>581</v>
      </c>
      <c r="N5">
        <v>1130</v>
      </c>
      <c r="O5">
        <v>196985135.13513514</v>
      </c>
      <c r="P5">
        <v>234299639.63963965</v>
      </c>
      <c r="Q5">
        <v>366</v>
      </c>
      <c r="R5">
        <v>773</v>
      </c>
      <c r="S5">
        <v>258296581.08108109</v>
      </c>
      <c r="T5">
        <v>255546261.26126125</v>
      </c>
      <c r="U5">
        <v>190510630.63063061</v>
      </c>
      <c r="V5">
        <v>223237387.38738739</v>
      </c>
      <c r="W5">
        <v>20789</v>
      </c>
      <c r="X5">
        <v>19557</v>
      </c>
    </row>
    <row r="6" spans="1:24">
      <c r="A6" s="7" t="s">
        <v>51</v>
      </c>
      <c r="B6" s="16" t="s">
        <v>52</v>
      </c>
      <c r="C6">
        <v>196934162.61421308</v>
      </c>
      <c r="D6">
        <v>200337765.5470494</v>
      </c>
      <c r="E6">
        <v>1954729.7297297299</v>
      </c>
      <c r="F6">
        <v>4676576.5765765756</v>
      </c>
      <c r="G6">
        <v>36</v>
      </c>
      <c r="H6">
        <v>100</v>
      </c>
      <c r="I6">
        <v>7</v>
      </c>
      <c r="J6">
        <v>11</v>
      </c>
      <c r="M6">
        <v>37</v>
      </c>
      <c r="N6">
        <v>125</v>
      </c>
      <c r="O6">
        <v>52915765.765765756</v>
      </c>
      <c r="P6">
        <v>67615765.765765771</v>
      </c>
      <c r="Q6">
        <v>174</v>
      </c>
      <c r="R6">
        <v>278</v>
      </c>
      <c r="S6">
        <v>68808180.180180177</v>
      </c>
      <c r="T6">
        <v>67564720.720720723</v>
      </c>
      <c r="U6">
        <v>14907927.927927928</v>
      </c>
      <c r="V6">
        <v>55955585.585585594</v>
      </c>
      <c r="W6">
        <v>4497</v>
      </c>
      <c r="X6">
        <v>4436</v>
      </c>
    </row>
    <row r="7" spans="1:24">
      <c r="A7" s="7" t="s">
        <v>53</v>
      </c>
      <c r="B7" s="16" t="s">
        <v>54</v>
      </c>
      <c r="C7">
        <v>110448446.48201981</v>
      </c>
      <c r="D7">
        <v>108457519.14307386</v>
      </c>
      <c r="E7">
        <v>1045495.495495497</v>
      </c>
      <c r="F7">
        <v>2100900.9009009041</v>
      </c>
      <c r="G7">
        <v>30</v>
      </c>
      <c r="H7">
        <v>25</v>
      </c>
      <c r="I7">
        <v>4</v>
      </c>
      <c r="J7">
        <v>5</v>
      </c>
      <c r="M7">
        <v>35</v>
      </c>
      <c r="N7">
        <v>55</v>
      </c>
      <c r="O7">
        <v>12207207.207207205</v>
      </c>
      <c r="P7">
        <v>11379009.009009011</v>
      </c>
      <c r="Q7">
        <v>118</v>
      </c>
      <c r="R7">
        <v>92</v>
      </c>
      <c r="S7">
        <v>36049153.153153151</v>
      </c>
      <c r="T7">
        <v>34355975.225225225</v>
      </c>
      <c r="U7">
        <v>13270810.810810812</v>
      </c>
      <c r="V7">
        <v>11814684.684684688</v>
      </c>
      <c r="W7">
        <v>3497</v>
      </c>
      <c r="X7">
        <v>3647</v>
      </c>
    </row>
    <row r="8" spans="1:24">
      <c r="A8" s="7" t="s">
        <v>55</v>
      </c>
      <c r="B8" s="16" t="s">
        <v>54</v>
      </c>
      <c r="C8">
        <v>181219681.76037616</v>
      </c>
      <c r="D8">
        <v>178552489.87996218</v>
      </c>
      <c r="E8">
        <v>713063.06306306401</v>
      </c>
      <c r="F8">
        <v>3626126.1261261292</v>
      </c>
      <c r="G8">
        <v>60</v>
      </c>
      <c r="H8">
        <v>89</v>
      </c>
      <c r="I8">
        <v>8</v>
      </c>
      <c r="J8">
        <v>16</v>
      </c>
      <c r="M8">
        <v>83</v>
      </c>
      <c r="N8">
        <v>522</v>
      </c>
      <c r="O8">
        <v>55355405.405405402</v>
      </c>
      <c r="P8">
        <v>33468648.648648649</v>
      </c>
      <c r="Q8">
        <v>186</v>
      </c>
      <c r="R8">
        <v>147</v>
      </c>
      <c r="S8">
        <v>47107369.369369365</v>
      </c>
      <c r="T8">
        <v>52293783.783783786</v>
      </c>
      <c r="U8">
        <v>43422432.432432435</v>
      </c>
      <c r="V8">
        <v>57154144.144144148</v>
      </c>
      <c r="W8">
        <v>4526</v>
      </c>
      <c r="X8">
        <v>4673</v>
      </c>
    </row>
    <row r="9" spans="1:24">
      <c r="A9" s="7" t="s">
        <v>56</v>
      </c>
      <c r="B9" s="16" t="s">
        <v>54</v>
      </c>
      <c r="C9">
        <v>91146578.60681203</v>
      </c>
      <c r="D9">
        <v>87856948.88592878</v>
      </c>
      <c r="E9">
        <v>23187567.567567568</v>
      </c>
      <c r="F9">
        <v>52799549.54954955</v>
      </c>
      <c r="G9">
        <v>18</v>
      </c>
      <c r="H9">
        <v>22</v>
      </c>
      <c r="I9">
        <v>3</v>
      </c>
      <c r="J9">
        <v>3</v>
      </c>
      <c r="M9">
        <v>22</v>
      </c>
      <c r="N9">
        <v>28</v>
      </c>
      <c r="O9">
        <v>9052432.4324324317</v>
      </c>
      <c r="P9">
        <v>9270810.81081081</v>
      </c>
      <c r="Q9">
        <v>66</v>
      </c>
      <c r="R9">
        <v>55</v>
      </c>
      <c r="S9">
        <v>27153691.891891893</v>
      </c>
      <c r="T9">
        <v>26565513.513513513</v>
      </c>
      <c r="U9">
        <v>6871261.2612612592</v>
      </c>
      <c r="V9">
        <v>8520540.5405405406</v>
      </c>
      <c r="W9">
        <v>2032</v>
      </c>
      <c r="X9">
        <v>2136</v>
      </c>
    </row>
    <row r="10" spans="1:24">
      <c r="A10" s="7" t="s">
        <v>57</v>
      </c>
      <c r="B10" s="16" t="s">
        <v>58</v>
      </c>
      <c r="C10">
        <v>235776575.40689993</v>
      </c>
      <c r="D10">
        <v>235129175.691441</v>
      </c>
      <c r="E10">
        <v>1813513.5135135141</v>
      </c>
      <c r="F10">
        <v>1063063.0630630639</v>
      </c>
      <c r="G10">
        <v>64</v>
      </c>
      <c r="H10">
        <v>80</v>
      </c>
      <c r="I10">
        <v>1</v>
      </c>
      <c r="J10">
        <v>3</v>
      </c>
      <c r="M10">
        <v>73</v>
      </c>
      <c r="N10">
        <v>89</v>
      </c>
      <c r="O10">
        <v>5696396.3963963958</v>
      </c>
      <c r="P10">
        <v>4486486.4864864862</v>
      </c>
      <c r="Q10">
        <v>4</v>
      </c>
      <c r="S10">
        <v>41545810.810810804</v>
      </c>
      <c r="T10">
        <v>43289178.378378376</v>
      </c>
      <c r="U10">
        <v>4968288.2882882887</v>
      </c>
      <c r="V10">
        <v>3777567.5675675678</v>
      </c>
      <c r="W10">
        <v>5635</v>
      </c>
      <c r="X10">
        <v>5537</v>
      </c>
    </row>
    <row r="11" spans="1:24">
      <c r="A11" s="7" t="s">
        <v>59</v>
      </c>
      <c r="B11" s="16" t="s">
        <v>60</v>
      </c>
      <c r="C11">
        <v>100126080.2884763</v>
      </c>
      <c r="D11">
        <v>100628405.94983241</v>
      </c>
      <c r="E11">
        <v>206846.846846848</v>
      </c>
      <c r="F11">
        <v>1009009.009009013</v>
      </c>
      <c r="G11">
        <v>17</v>
      </c>
      <c r="H11">
        <v>38</v>
      </c>
      <c r="I11">
        <v>3</v>
      </c>
      <c r="J11">
        <v>11</v>
      </c>
      <c r="M11">
        <v>19</v>
      </c>
      <c r="N11">
        <v>81</v>
      </c>
      <c r="O11">
        <v>13062702.702702701</v>
      </c>
      <c r="P11">
        <v>16738738.738738736</v>
      </c>
      <c r="Q11">
        <v>87</v>
      </c>
      <c r="R11">
        <v>66</v>
      </c>
      <c r="S11">
        <v>46131927.927927926</v>
      </c>
      <c r="T11">
        <v>47374288.288288288</v>
      </c>
      <c r="U11">
        <v>9006216.2162162159</v>
      </c>
      <c r="V11">
        <v>11157477.477477476</v>
      </c>
      <c r="W11">
        <v>3035</v>
      </c>
      <c r="X11">
        <v>2991</v>
      </c>
    </row>
    <row r="12" spans="1:24">
      <c r="A12" s="7" t="s">
        <v>61</v>
      </c>
      <c r="B12" s="16" t="s">
        <v>62</v>
      </c>
      <c r="C12">
        <v>475971244.6344552</v>
      </c>
      <c r="D12">
        <v>460768688.49185967</v>
      </c>
      <c r="E12">
        <v>218918.918918924</v>
      </c>
      <c r="F12">
        <v>5037387.3873873958</v>
      </c>
      <c r="G12">
        <v>104</v>
      </c>
      <c r="H12">
        <v>59</v>
      </c>
      <c r="I12">
        <v>9</v>
      </c>
      <c r="J12">
        <v>23</v>
      </c>
      <c r="M12">
        <v>114</v>
      </c>
      <c r="N12">
        <v>63</v>
      </c>
      <c r="O12">
        <v>14835495.495495498</v>
      </c>
      <c r="P12">
        <v>69211531.531531528</v>
      </c>
      <c r="Q12">
        <v>70</v>
      </c>
      <c r="R12">
        <v>162</v>
      </c>
      <c r="S12">
        <v>51222117.117117122</v>
      </c>
      <c r="T12">
        <v>48503655.855855852</v>
      </c>
      <c r="U12">
        <v>11422972.972972974</v>
      </c>
      <c r="V12">
        <v>66972702.702702694</v>
      </c>
      <c r="W12">
        <v>8805</v>
      </c>
      <c r="X12">
        <v>8602</v>
      </c>
    </row>
    <row r="13" spans="1:24">
      <c r="A13" s="7" t="s">
        <v>63</v>
      </c>
      <c r="B13" s="16" t="s">
        <v>50</v>
      </c>
      <c r="C13">
        <v>244140655.95396</v>
      </c>
      <c r="D13">
        <v>245052067.95356444</v>
      </c>
      <c r="E13">
        <v>830630.63063063298</v>
      </c>
      <c r="F13">
        <v>2844144.144144149</v>
      </c>
      <c r="G13">
        <v>42</v>
      </c>
      <c r="H13">
        <v>77</v>
      </c>
      <c r="I13">
        <v>12</v>
      </c>
      <c r="J13">
        <v>24</v>
      </c>
      <c r="M13">
        <v>48</v>
      </c>
      <c r="N13">
        <v>117</v>
      </c>
      <c r="O13">
        <v>83522710.810810819</v>
      </c>
      <c r="P13">
        <v>82849729.729729727</v>
      </c>
      <c r="Q13">
        <v>84</v>
      </c>
      <c r="R13">
        <v>224</v>
      </c>
      <c r="S13">
        <v>94481954.954954967</v>
      </c>
      <c r="T13">
        <v>95216720.720720723</v>
      </c>
      <c r="U13">
        <v>85627027.027027026</v>
      </c>
      <c r="V13">
        <v>79937657.657657668</v>
      </c>
      <c r="W13">
        <v>5386</v>
      </c>
      <c r="X13">
        <v>5119</v>
      </c>
    </row>
    <row r="14" spans="1:24">
      <c r="A14" s="7" t="s">
        <v>64</v>
      </c>
      <c r="B14" s="16" t="s">
        <v>50</v>
      </c>
      <c r="C14">
        <v>256040631.98651835</v>
      </c>
      <c r="D14">
        <v>250141986.90942225</v>
      </c>
      <c r="E14">
        <v>1906756.756756759</v>
      </c>
      <c r="F14">
        <v>3510810.8108108118</v>
      </c>
      <c r="G14">
        <v>40</v>
      </c>
      <c r="H14">
        <v>57</v>
      </c>
      <c r="I14">
        <v>5</v>
      </c>
      <c r="J14">
        <v>13</v>
      </c>
      <c r="M14">
        <v>45</v>
      </c>
      <c r="N14">
        <v>75</v>
      </c>
      <c r="O14">
        <v>58604406.306306303</v>
      </c>
      <c r="P14">
        <v>31072342.342342339</v>
      </c>
      <c r="Q14">
        <v>232</v>
      </c>
      <c r="R14">
        <v>95</v>
      </c>
      <c r="S14">
        <v>97057270.270270273</v>
      </c>
      <c r="T14">
        <v>95311909.909909904</v>
      </c>
      <c r="U14">
        <v>57333873.873873875</v>
      </c>
      <c r="V14">
        <v>28380720.72072072</v>
      </c>
      <c r="W14">
        <v>5457</v>
      </c>
      <c r="X14">
        <v>5795</v>
      </c>
    </row>
    <row r="15" spans="1:24">
      <c r="A15" s="7" t="s">
        <v>65</v>
      </c>
      <c r="B15" s="16" t="s">
        <v>66</v>
      </c>
      <c r="C15">
        <v>264568966.46624625</v>
      </c>
      <c r="D15">
        <v>254752515.55292198</v>
      </c>
      <c r="E15">
        <v>1616306.3063063091</v>
      </c>
      <c r="F15">
        <v>4556756.7567567602</v>
      </c>
      <c r="G15">
        <v>109</v>
      </c>
      <c r="H15">
        <v>51</v>
      </c>
      <c r="I15">
        <v>13</v>
      </c>
      <c r="J15">
        <v>9</v>
      </c>
      <c r="M15">
        <v>118</v>
      </c>
      <c r="N15">
        <v>79</v>
      </c>
      <c r="O15">
        <v>53970720.720720723</v>
      </c>
      <c r="P15">
        <v>96417207.207207203</v>
      </c>
      <c r="Q15">
        <v>408</v>
      </c>
      <c r="R15">
        <v>12</v>
      </c>
      <c r="S15">
        <v>131146837.83783785</v>
      </c>
      <c r="T15">
        <v>129339666.66666667</v>
      </c>
      <c r="U15">
        <v>53594864.864864863</v>
      </c>
      <c r="V15">
        <v>86355045.045045033</v>
      </c>
      <c r="W15">
        <v>5562</v>
      </c>
      <c r="X15">
        <v>6129</v>
      </c>
    </row>
    <row r="16" spans="1:24">
      <c r="A16" s="7" t="s">
        <v>67</v>
      </c>
      <c r="B16" s="16" t="s">
        <v>68</v>
      </c>
      <c r="C16">
        <v>156638188.41354969</v>
      </c>
      <c r="D16">
        <v>147493349.20584843</v>
      </c>
      <c r="E16">
        <v>319369.36936936999</v>
      </c>
      <c r="F16">
        <v>1307207.207207209</v>
      </c>
      <c r="G16">
        <v>66</v>
      </c>
      <c r="H16">
        <v>52</v>
      </c>
      <c r="I16">
        <v>5</v>
      </c>
      <c r="J16">
        <v>4</v>
      </c>
      <c r="M16">
        <v>71</v>
      </c>
      <c r="N16">
        <v>69</v>
      </c>
      <c r="O16">
        <v>21144189.189189188</v>
      </c>
      <c r="P16">
        <v>27906846.846846849</v>
      </c>
      <c r="Q16">
        <v>47</v>
      </c>
      <c r="R16">
        <v>90</v>
      </c>
      <c r="S16">
        <v>40809774.774774775</v>
      </c>
      <c r="T16">
        <v>40055531.531531528</v>
      </c>
      <c r="U16">
        <v>18678378.378378376</v>
      </c>
      <c r="V16">
        <v>19845945.945945945</v>
      </c>
      <c r="W16">
        <v>3487</v>
      </c>
      <c r="X16">
        <v>3234</v>
      </c>
    </row>
    <row r="17" spans="1:24">
      <c r="A17" s="7" t="s">
        <v>69</v>
      </c>
      <c r="B17" s="16" t="s">
        <v>70</v>
      </c>
      <c r="C17">
        <v>11402940.512538768</v>
      </c>
      <c r="D17">
        <v>11568019.194622893</v>
      </c>
      <c r="E17">
        <v>25675.675675676001</v>
      </c>
      <c r="F17">
        <v>116216.216216217</v>
      </c>
      <c r="G17">
        <v>3</v>
      </c>
      <c r="H17">
        <v>3</v>
      </c>
      <c r="I17">
        <v>0</v>
      </c>
      <c r="J17">
        <v>2</v>
      </c>
      <c r="M17">
        <v>3</v>
      </c>
      <c r="N17">
        <v>3</v>
      </c>
      <c r="O17">
        <v>302702.70270270301</v>
      </c>
      <c r="P17">
        <v>404504.50450450502</v>
      </c>
      <c r="Q17">
        <v>2</v>
      </c>
      <c r="R17">
        <v>4</v>
      </c>
      <c r="S17">
        <v>2460045.0450450452</v>
      </c>
      <c r="T17">
        <v>3400103.6036036038</v>
      </c>
      <c r="U17">
        <v>298828.828828828</v>
      </c>
      <c r="V17">
        <v>404054.05405405402</v>
      </c>
      <c r="W17">
        <v>343</v>
      </c>
      <c r="X17">
        <v>404</v>
      </c>
    </row>
    <row r="18" spans="1:24">
      <c r="A18" s="7" t="s">
        <v>71</v>
      </c>
      <c r="B18" s="16" t="s">
        <v>72</v>
      </c>
      <c r="C18">
        <v>2074577697.1630592</v>
      </c>
      <c r="D18">
        <v>1990635662.0092194</v>
      </c>
      <c r="E18">
        <v>479579531.53153151</v>
      </c>
      <c r="F18">
        <v>495775846.84684682</v>
      </c>
      <c r="G18">
        <v>643</v>
      </c>
      <c r="H18">
        <v>599</v>
      </c>
      <c r="I18">
        <v>116</v>
      </c>
      <c r="J18">
        <v>118</v>
      </c>
      <c r="K18">
        <v>24</v>
      </c>
      <c r="M18">
        <v>907</v>
      </c>
      <c r="N18">
        <v>935</v>
      </c>
      <c r="O18">
        <v>227896854.05405405</v>
      </c>
      <c r="P18">
        <v>224715772.97297296</v>
      </c>
      <c r="Q18">
        <v>633</v>
      </c>
      <c r="R18">
        <v>1750</v>
      </c>
      <c r="S18">
        <v>399352590.990991</v>
      </c>
      <c r="T18">
        <v>408781360.36036038</v>
      </c>
      <c r="U18">
        <v>203732162.16216218</v>
      </c>
      <c r="V18">
        <v>188548962.16216218</v>
      </c>
      <c r="W18">
        <v>45717</v>
      </c>
      <c r="X18">
        <v>46893</v>
      </c>
    </row>
    <row r="19" spans="1:24">
      <c r="A19" s="7" t="s">
        <v>73</v>
      </c>
      <c r="B19" s="16" t="s">
        <v>72</v>
      </c>
      <c r="C19">
        <v>211580376.03416404</v>
      </c>
      <c r="D19">
        <v>190637103.99546424</v>
      </c>
      <c r="E19">
        <v>3603.603603604</v>
      </c>
      <c r="F19">
        <v>160360.360360361</v>
      </c>
      <c r="G19">
        <v>49</v>
      </c>
      <c r="H19">
        <v>42</v>
      </c>
      <c r="I19">
        <v>3</v>
      </c>
      <c r="J19">
        <v>1</v>
      </c>
      <c r="M19">
        <v>52</v>
      </c>
      <c r="N19">
        <v>58</v>
      </c>
      <c r="O19">
        <v>3778378.3783783782</v>
      </c>
      <c r="P19">
        <v>5250450.4504504511</v>
      </c>
      <c r="Q19">
        <v>18</v>
      </c>
      <c r="R19">
        <v>20</v>
      </c>
      <c r="S19">
        <v>27456126.126126129</v>
      </c>
      <c r="T19">
        <v>27992810.810810808</v>
      </c>
      <c r="U19">
        <v>3713063.0630630632</v>
      </c>
      <c r="V19">
        <v>5258918.9189189197</v>
      </c>
      <c r="W19">
        <v>3858</v>
      </c>
      <c r="X19">
        <v>3439</v>
      </c>
    </row>
    <row r="20" spans="1:24">
      <c r="A20" s="7" t="s">
        <v>74</v>
      </c>
      <c r="B20" s="16" t="s">
        <v>70</v>
      </c>
      <c r="C20">
        <v>206402463.86525127</v>
      </c>
      <c r="D20">
        <v>203227524.0354386</v>
      </c>
      <c r="E20">
        <v>1464954.954954956</v>
      </c>
      <c r="F20">
        <v>5661261.2612612657</v>
      </c>
      <c r="G20">
        <v>53</v>
      </c>
      <c r="H20">
        <v>61</v>
      </c>
      <c r="I20">
        <v>6</v>
      </c>
      <c r="J20">
        <v>22</v>
      </c>
      <c r="M20">
        <v>61</v>
      </c>
      <c r="N20">
        <v>85</v>
      </c>
      <c r="O20">
        <v>37229369.369369365</v>
      </c>
      <c r="P20">
        <v>49044144.144144148</v>
      </c>
      <c r="Q20">
        <v>26</v>
      </c>
      <c r="R20">
        <v>281</v>
      </c>
      <c r="S20">
        <v>71138990.990990996</v>
      </c>
      <c r="T20">
        <v>73821639.639639631</v>
      </c>
      <c r="U20">
        <v>49753513.513513513</v>
      </c>
      <c r="V20">
        <v>44789189.189189196</v>
      </c>
      <c r="W20">
        <v>4295</v>
      </c>
      <c r="X20">
        <v>9045</v>
      </c>
    </row>
    <row r="21" spans="1:24">
      <c r="A21" s="7" t="s">
        <v>75</v>
      </c>
      <c r="B21" s="16" t="s">
        <v>76</v>
      </c>
      <c r="C21">
        <v>59552380.812694281</v>
      </c>
      <c r="D21">
        <v>58727055.680984445</v>
      </c>
      <c r="E21">
        <v>79279.279279280003</v>
      </c>
      <c r="F21">
        <v>526126.12612612697</v>
      </c>
      <c r="G21">
        <v>16</v>
      </c>
      <c r="H21">
        <v>16</v>
      </c>
      <c r="I21">
        <v>1</v>
      </c>
      <c r="J21">
        <v>3</v>
      </c>
      <c r="M21">
        <v>16</v>
      </c>
      <c r="N21">
        <v>18</v>
      </c>
      <c r="O21">
        <v>7294594.594594595</v>
      </c>
      <c r="P21">
        <v>7413873.8738738727</v>
      </c>
      <c r="Q21">
        <v>15</v>
      </c>
      <c r="R21">
        <v>8</v>
      </c>
      <c r="S21">
        <v>15061846.846846847</v>
      </c>
      <c r="T21">
        <v>14741270.270270269</v>
      </c>
      <c r="U21">
        <v>5249009.0090090092</v>
      </c>
      <c r="V21">
        <v>5499279.2792792786</v>
      </c>
      <c r="W21">
        <v>1512</v>
      </c>
      <c r="X21">
        <v>1506</v>
      </c>
    </row>
    <row r="22" spans="1:24">
      <c r="A22" s="7" t="s">
        <v>77</v>
      </c>
      <c r="B22" s="16" t="s">
        <v>78</v>
      </c>
      <c r="C22">
        <v>136320530.19235829</v>
      </c>
      <c r="D22">
        <v>125776732.60733944</v>
      </c>
      <c r="E22">
        <v>606396.39639639505</v>
      </c>
      <c r="F22">
        <v>1862162.16216216</v>
      </c>
      <c r="G22">
        <v>33</v>
      </c>
      <c r="H22">
        <v>24</v>
      </c>
      <c r="I22">
        <v>4</v>
      </c>
      <c r="J22">
        <v>5</v>
      </c>
      <c r="M22">
        <v>36</v>
      </c>
      <c r="N22">
        <v>34</v>
      </c>
      <c r="O22">
        <v>15667657.657657657</v>
      </c>
      <c r="P22">
        <v>15799099.0990991</v>
      </c>
      <c r="Q22">
        <v>94</v>
      </c>
      <c r="R22">
        <v>58</v>
      </c>
      <c r="S22">
        <v>42019891.891891897</v>
      </c>
      <c r="T22">
        <v>41201585.585585587</v>
      </c>
      <c r="U22">
        <v>13760720.720720721</v>
      </c>
      <c r="V22">
        <v>15594594.594594592</v>
      </c>
      <c r="W22">
        <v>2406</v>
      </c>
      <c r="X22">
        <v>2484</v>
      </c>
    </row>
    <row r="23" spans="1:24">
      <c r="A23" s="7" t="s">
        <v>79</v>
      </c>
      <c r="B23" s="16" t="s">
        <v>80</v>
      </c>
      <c r="C23">
        <v>1228590469.595557</v>
      </c>
      <c r="D23">
        <v>1175900906.2453747</v>
      </c>
      <c r="E23">
        <v>3223198.1981982049</v>
      </c>
      <c r="F23">
        <v>7042342.3423423534</v>
      </c>
      <c r="G23">
        <v>417</v>
      </c>
      <c r="H23">
        <v>782</v>
      </c>
      <c r="I23">
        <v>39</v>
      </c>
      <c r="J23">
        <v>36</v>
      </c>
      <c r="K23">
        <v>4</v>
      </c>
      <c r="M23">
        <v>489</v>
      </c>
      <c r="N23">
        <v>1023</v>
      </c>
      <c r="O23">
        <v>428298468.46846849</v>
      </c>
      <c r="P23">
        <v>172690090.09009007</v>
      </c>
      <c r="Q23">
        <v>254</v>
      </c>
      <c r="R23">
        <v>455</v>
      </c>
      <c r="S23">
        <v>299987833.33333331</v>
      </c>
      <c r="T23">
        <v>307227650.9009009</v>
      </c>
      <c r="U23">
        <v>101491531.53153151</v>
      </c>
      <c r="V23">
        <v>157595495.4954955</v>
      </c>
      <c r="W23">
        <v>26100</v>
      </c>
      <c r="X23">
        <v>26383</v>
      </c>
    </row>
    <row r="24" spans="1:24">
      <c r="A24" s="7" t="s">
        <v>81</v>
      </c>
      <c r="B24" s="16" t="s">
        <v>54</v>
      </c>
      <c r="C24">
        <v>36379634.569343321</v>
      </c>
      <c r="D24">
        <v>36576990.492257625</v>
      </c>
      <c r="E24">
        <v>141441.441441442</v>
      </c>
      <c r="F24">
        <v>431531.53153153299</v>
      </c>
      <c r="G24">
        <v>11</v>
      </c>
      <c r="H24">
        <v>10</v>
      </c>
      <c r="I24">
        <v>0</v>
      </c>
      <c r="J24">
        <v>4</v>
      </c>
      <c r="M24">
        <v>13</v>
      </c>
      <c r="N24">
        <v>17</v>
      </c>
      <c r="O24">
        <v>3087837.8378378358</v>
      </c>
      <c r="P24">
        <v>3109729.7297297302</v>
      </c>
      <c r="Q24">
        <v>40</v>
      </c>
      <c r="R24">
        <v>30</v>
      </c>
      <c r="S24">
        <v>8149054.0540540544</v>
      </c>
      <c r="T24">
        <v>8694126.1261261255</v>
      </c>
      <c r="U24">
        <v>3164774.774774773</v>
      </c>
      <c r="V24">
        <v>2619459.4594594599</v>
      </c>
      <c r="W24">
        <v>1371</v>
      </c>
      <c r="X24">
        <v>1315</v>
      </c>
    </row>
    <row r="25" spans="1:24">
      <c r="A25" s="7" t="s">
        <v>82</v>
      </c>
      <c r="B25" s="16" t="s">
        <v>83</v>
      </c>
      <c r="C25">
        <v>852352162.67454398</v>
      </c>
      <c r="D25">
        <v>843723798.26529968</v>
      </c>
      <c r="E25">
        <v>7243108.1081081107</v>
      </c>
      <c r="F25">
        <v>9584909.9099099115</v>
      </c>
      <c r="G25">
        <v>155</v>
      </c>
      <c r="H25">
        <v>159</v>
      </c>
      <c r="I25">
        <v>16</v>
      </c>
      <c r="J25">
        <v>24</v>
      </c>
      <c r="K25">
        <v>1</v>
      </c>
      <c r="M25">
        <v>172</v>
      </c>
      <c r="N25">
        <v>203</v>
      </c>
      <c r="O25">
        <v>141613603.6036036</v>
      </c>
      <c r="P25">
        <v>176309459.45945945</v>
      </c>
      <c r="Q25">
        <v>364</v>
      </c>
      <c r="R25">
        <v>508</v>
      </c>
      <c r="S25">
        <v>243780655.85585585</v>
      </c>
      <c r="T25">
        <v>246786986.93693691</v>
      </c>
      <c r="U25">
        <v>134230000</v>
      </c>
      <c r="V25">
        <v>127954234.23423424</v>
      </c>
      <c r="W25">
        <v>15229</v>
      </c>
      <c r="X25">
        <v>14911</v>
      </c>
    </row>
    <row r="26" spans="1:24">
      <c r="A26" s="7" t="s">
        <v>84</v>
      </c>
      <c r="B26" s="16" t="s">
        <v>85</v>
      </c>
      <c r="C26">
        <v>85615549.132701099</v>
      </c>
      <c r="D26">
        <v>77557234.137399405</v>
      </c>
      <c r="E26">
        <v>304954.95495495602</v>
      </c>
      <c r="F26">
        <v>1659234.234234235</v>
      </c>
      <c r="G26">
        <v>36</v>
      </c>
      <c r="H26">
        <v>40</v>
      </c>
      <c r="I26">
        <v>12</v>
      </c>
      <c r="J26">
        <v>11</v>
      </c>
      <c r="M26">
        <v>46</v>
      </c>
      <c r="N26">
        <v>50</v>
      </c>
      <c r="O26">
        <v>82810360.360360354</v>
      </c>
      <c r="P26">
        <v>170145495.4954955</v>
      </c>
      <c r="Q26">
        <v>270</v>
      </c>
      <c r="R26">
        <v>289</v>
      </c>
      <c r="S26">
        <v>28941531.531531531</v>
      </c>
      <c r="T26">
        <v>27841108.108108107</v>
      </c>
      <c r="U26">
        <v>59890630.630630627</v>
      </c>
      <c r="V26">
        <v>143523783.78378376</v>
      </c>
      <c r="W26">
        <v>2274</v>
      </c>
      <c r="X26">
        <v>2201</v>
      </c>
    </row>
    <row r="27" spans="1:24">
      <c r="A27" s="7" t="s">
        <v>86</v>
      </c>
      <c r="B27" s="16" t="s">
        <v>87</v>
      </c>
      <c r="C27">
        <v>3482288.9956443929</v>
      </c>
      <c r="D27">
        <v>2987576.0994916358</v>
      </c>
      <c r="G27">
        <v>2</v>
      </c>
      <c r="H27">
        <v>1</v>
      </c>
      <c r="M27">
        <v>3</v>
      </c>
      <c r="N27">
        <v>1</v>
      </c>
      <c r="S27">
        <v>1002432.432432432</v>
      </c>
      <c r="T27">
        <v>1354873.8738738741</v>
      </c>
      <c r="W27">
        <v>154</v>
      </c>
      <c r="X27">
        <v>181</v>
      </c>
    </row>
    <row r="28" spans="1:24">
      <c r="A28" s="7" t="s">
        <v>88</v>
      </c>
      <c r="B28" s="16" t="s">
        <v>89</v>
      </c>
      <c r="C28">
        <v>174664087.83868387</v>
      </c>
      <c r="D28">
        <v>171762885.9186838</v>
      </c>
      <c r="E28">
        <v>552027.02702702896</v>
      </c>
      <c r="F28">
        <v>3054054.0540540582</v>
      </c>
      <c r="G28">
        <v>20</v>
      </c>
      <c r="H28">
        <v>24</v>
      </c>
      <c r="I28">
        <v>15</v>
      </c>
      <c r="J28">
        <v>27</v>
      </c>
      <c r="K28">
        <v>1</v>
      </c>
      <c r="M28">
        <v>21</v>
      </c>
      <c r="N28">
        <v>29</v>
      </c>
      <c r="O28">
        <v>16097837.837837838</v>
      </c>
      <c r="P28">
        <v>26418378.378378376</v>
      </c>
      <c r="Q28">
        <v>112</v>
      </c>
      <c r="R28">
        <v>180</v>
      </c>
      <c r="S28">
        <v>61667639.639639638</v>
      </c>
      <c r="T28">
        <v>61564828.828828834</v>
      </c>
      <c r="U28">
        <v>13118918.918918919</v>
      </c>
      <c r="V28">
        <v>25911261.261261258</v>
      </c>
      <c r="W28">
        <v>3344</v>
      </c>
      <c r="X28">
        <v>3375</v>
      </c>
    </row>
    <row r="29" spans="1:24">
      <c r="A29" s="7" t="s">
        <v>90</v>
      </c>
      <c r="B29" s="16" t="s">
        <v>60</v>
      </c>
      <c r="C29">
        <v>55216537.841789946</v>
      </c>
      <c r="D29">
        <v>61732323.688041165</v>
      </c>
      <c r="E29">
        <v>63063.063063062997</v>
      </c>
      <c r="F29">
        <v>122522.522522524</v>
      </c>
      <c r="G29">
        <v>32</v>
      </c>
      <c r="H29">
        <v>14</v>
      </c>
      <c r="I29">
        <v>2</v>
      </c>
      <c r="J29">
        <v>1</v>
      </c>
      <c r="M29">
        <v>88</v>
      </c>
      <c r="N29">
        <v>140</v>
      </c>
      <c r="O29">
        <v>5594594.5945945941</v>
      </c>
      <c r="P29">
        <v>4284684.6846846854</v>
      </c>
      <c r="Q29">
        <v>88</v>
      </c>
      <c r="R29">
        <v>36</v>
      </c>
      <c r="S29">
        <v>32735945.945945945</v>
      </c>
      <c r="T29">
        <v>36454720.720720723</v>
      </c>
      <c r="U29">
        <v>5474324.3243243238</v>
      </c>
      <c r="V29">
        <v>3861261.2612612611</v>
      </c>
      <c r="W29">
        <v>1561</v>
      </c>
      <c r="X29">
        <v>1551</v>
      </c>
    </row>
    <row r="30" spans="1:24">
      <c r="A30" s="7" t="s">
        <v>91</v>
      </c>
      <c r="B30" s="16" t="s">
        <v>92</v>
      </c>
      <c r="C30">
        <v>52540589.219343163</v>
      </c>
      <c r="D30">
        <v>51116783.270643227</v>
      </c>
      <c r="E30">
        <v>414189.18918919098</v>
      </c>
      <c r="F30">
        <v>2318018.018018018</v>
      </c>
      <c r="G30">
        <v>18</v>
      </c>
      <c r="H30">
        <v>11</v>
      </c>
      <c r="I30">
        <v>4</v>
      </c>
      <c r="J30">
        <v>2</v>
      </c>
      <c r="M30">
        <v>19</v>
      </c>
      <c r="N30">
        <v>17</v>
      </c>
      <c r="O30">
        <v>1000540.54054054</v>
      </c>
      <c r="P30">
        <v>16535675.675675675</v>
      </c>
      <c r="Q30">
        <v>52</v>
      </c>
      <c r="R30">
        <v>2</v>
      </c>
      <c r="S30">
        <v>17643198.198198199</v>
      </c>
      <c r="T30">
        <v>16342126.126126125</v>
      </c>
      <c r="U30">
        <v>1200540.5405405399</v>
      </c>
      <c r="V30">
        <v>16602342.342342343</v>
      </c>
      <c r="W30">
        <v>1011</v>
      </c>
      <c r="X30">
        <v>1035</v>
      </c>
    </row>
    <row r="31" spans="1:24">
      <c r="A31" s="7" t="s">
        <v>93</v>
      </c>
      <c r="B31" s="16" t="s">
        <v>94</v>
      </c>
      <c r="C31">
        <v>226893090.8339828</v>
      </c>
      <c r="D31">
        <v>221630844.97595131</v>
      </c>
      <c r="E31">
        <v>590990.99099099205</v>
      </c>
      <c r="F31">
        <v>452702.70270270499</v>
      </c>
      <c r="G31">
        <v>57</v>
      </c>
      <c r="H31">
        <v>38</v>
      </c>
      <c r="I31">
        <v>8</v>
      </c>
      <c r="J31">
        <v>6</v>
      </c>
      <c r="M31">
        <v>62</v>
      </c>
      <c r="N31">
        <v>48</v>
      </c>
      <c r="O31">
        <v>28548648.648648649</v>
      </c>
      <c r="P31">
        <v>31137387.387387387</v>
      </c>
      <c r="Q31">
        <v>122</v>
      </c>
      <c r="R31">
        <v>125</v>
      </c>
      <c r="S31">
        <v>33196117.117117114</v>
      </c>
      <c r="T31">
        <v>32105881.081081081</v>
      </c>
      <c r="U31">
        <v>26795315.315315317</v>
      </c>
      <c r="V31">
        <v>24617567.567567568</v>
      </c>
      <c r="W31">
        <v>4470</v>
      </c>
      <c r="X31">
        <v>4739</v>
      </c>
    </row>
    <row r="32" spans="1:24">
      <c r="A32" s="7" t="s">
        <v>95</v>
      </c>
      <c r="B32" s="16" t="s">
        <v>96</v>
      </c>
      <c r="C32">
        <v>237694841.54491156</v>
      </c>
      <c r="D32">
        <v>234037304.85061044</v>
      </c>
      <c r="E32">
        <v>227027.02702702599</v>
      </c>
      <c r="F32">
        <v>1579279.2792792791</v>
      </c>
      <c r="G32">
        <v>60</v>
      </c>
      <c r="H32">
        <v>52</v>
      </c>
      <c r="I32">
        <v>5</v>
      </c>
      <c r="J32">
        <v>6</v>
      </c>
      <c r="M32">
        <v>67</v>
      </c>
      <c r="N32">
        <v>60</v>
      </c>
      <c r="O32">
        <v>32851621.62162162</v>
      </c>
      <c r="P32">
        <v>46149549.54954955</v>
      </c>
      <c r="Q32">
        <v>190</v>
      </c>
      <c r="R32">
        <v>96</v>
      </c>
      <c r="S32">
        <v>115838414.41441442</v>
      </c>
      <c r="T32">
        <v>118042774.77477477</v>
      </c>
      <c r="U32">
        <v>38932072.072072074</v>
      </c>
      <c r="V32">
        <v>44299189.189189196</v>
      </c>
      <c r="W32">
        <v>6165</v>
      </c>
      <c r="X32">
        <v>5826</v>
      </c>
    </row>
    <row r="33" spans="1:24">
      <c r="A33" s="7" t="s">
        <v>97</v>
      </c>
      <c r="B33" s="16" t="s">
        <v>98</v>
      </c>
      <c r="C33">
        <v>818239457.52287054</v>
      </c>
      <c r="D33">
        <v>810023105.62295234</v>
      </c>
      <c r="E33">
        <v>2788153.1531531569</v>
      </c>
      <c r="F33">
        <v>8137837.8378378386</v>
      </c>
      <c r="G33">
        <v>384</v>
      </c>
      <c r="H33">
        <v>319</v>
      </c>
      <c r="I33">
        <v>33</v>
      </c>
      <c r="J33">
        <v>39</v>
      </c>
      <c r="M33">
        <v>445</v>
      </c>
      <c r="N33">
        <v>437</v>
      </c>
      <c r="O33">
        <v>126424504.50450452</v>
      </c>
      <c r="P33">
        <v>159440990.99099097</v>
      </c>
      <c r="Q33">
        <v>747</v>
      </c>
      <c r="R33">
        <v>1003</v>
      </c>
      <c r="S33">
        <v>215982547.74774775</v>
      </c>
      <c r="T33">
        <v>211205922.07207206</v>
      </c>
      <c r="U33">
        <v>124059459.45945945</v>
      </c>
      <c r="V33">
        <v>105038018.01801802</v>
      </c>
      <c r="W33">
        <v>22211</v>
      </c>
      <c r="X33">
        <v>21896</v>
      </c>
    </row>
    <row r="34" spans="1:24">
      <c r="A34" s="7" t="s">
        <v>99</v>
      </c>
      <c r="B34" s="16" t="s">
        <v>98</v>
      </c>
      <c r="C34">
        <v>1356400508.717206</v>
      </c>
      <c r="D34">
        <v>1313534954.8444664</v>
      </c>
      <c r="E34">
        <v>1006147.747747756</v>
      </c>
      <c r="F34">
        <v>5311805.4054054096</v>
      </c>
      <c r="G34">
        <v>381</v>
      </c>
      <c r="H34">
        <v>393</v>
      </c>
      <c r="I34">
        <v>31</v>
      </c>
      <c r="J34">
        <v>38</v>
      </c>
      <c r="K34">
        <v>2</v>
      </c>
      <c r="M34">
        <v>486</v>
      </c>
      <c r="N34">
        <v>709</v>
      </c>
      <c r="O34">
        <v>76272927.927927926</v>
      </c>
      <c r="P34">
        <v>79010810.810810819</v>
      </c>
      <c r="Q34">
        <v>413</v>
      </c>
      <c r="R34">
        <v>434</v>
      </c>
      <c r="S34">
        <v>258885743.24324322</v>
      </c>
      <c r="T34">
        <v>254914068.01801801</v>
      </c>
      <c r="U34">
        <v>76666441.441441447</v>
      </c>
      <c r="V34">
        <v>74060360.360360354</v>
      </c>
      <c r="W34">
        <v>28118</v>
      </c>
      <c r="X34">
        <v>29014</v>
      </c>
    </row>
    <row r="35" spans="1:24">
      <c r="A35" s="7" t="s">
        <v>100</v>
      </c>
      <c r="B35" s="16" t="s">
        <v>98</v>
      </c>
      <c r="C35">
        <v>1840555261.9274883</v>
      </c>
      <c r="D35">
        <v>1650732386.6291161</v>
      </c>
      <c r="E35">
        <v>7060990.9909909982</v>
      </c>
      <c r="F35">
        <v>13698198.198198205</v>
      </c>
      <c r="G35">
        <v>335</v>
      </c>
      <c r="H35">
        <v>345</v>
      </c>
      <c r="I35">
        <v>40</v>
      </c>
      <c r="J35">
        <v>71</v>
      </c>
      <c r="K35">
        <v>20</v>
      </c>
      <c r="M35">
        <v>537</v>
      </c>
      <c r="N35">
        <v>951</v>
      </c>
      <c r="O35">
        <v>887875900.90090084</v>
      </c>
      <c r="P35">
        <v>537768603.6036036</v>
      </c>
      <c r="Q35">
        <v>1128</v>
      </c>
      <c r="R35">
        <v>733</v>
      </c>
      <c r="S35">
        <v>798079547.74774766</v>
      </c>
      <c r="T35">
        <v>672118740.990991</v>
      </c>
      <c r="U35">
        <v>610033151.35135126</v>
      </c>
      <c r="V35">
        <v>164843648.64864865</v>
      </c>
      <c r="W35">
        <v>32932</v>
      </c>
      <c r="X35">
        <v>32415</v>
      </c>
    </row>
    <row r="36" spans="1:24">
      <c r="A36" s="7" t="s">
        <v>101</v>
      </c>
      <c r="B36" s="16" t="s">
        <v>98</v>
      </c>
      <c r="C36">
        <v>781026074.69235599</v>
      </c>
      <c r="D36">
        <v>754082236.53136277</v>
      </c>
      <c r="E36">
        <v>127549549.54954955</v>
      </c>
      <c r="F36">
        <v>183803063.06306309</v>
      </c>
      <c r="G36">
        <v>264</v>
      </c>
      <c r="H36">
        <v>220</v>
      </c>
      <c r="I36">
        <v>22</v>
      </c>
      <c r="J36">
        <v>29</v>
      </c>
      <c r="K36">
        <v>1</v>
      </c>
      <c r="M36">
        <v>339</v>
      </c>
      <c r="N36">
        <v>274</v>
      </c>
      <c r="O36">
        <v>64525315.315315314</v>
      </c>
      <c r="P36">
        <v>80071396.396396399</v>
      </c>
      <c r="Q36">
        <v>70</v>
      </c>
      <c r="R36">
        <v>314</v>
      </c>
      <c r="S36">
        <v>168921971.17117116</v>
      </c>
      <c r="T36">
        <v>167564495.4954955</v>
      </c>
      <c r="U36">
        <v>46608738.738738738</v>
      </c>
      <c r="V36">
        <v>55678288.288288288</v>
      </c>
      <c r="W36">
        <v>21463</v>
      </c>
      <c r="X36">
        <v>21848</v>
      </c>
    </row>
    <row r="37" spans="1:24">
      <c r="A37" s="7" t="s">
        <v>102</v>
      </c>
      <c r="B37" s="16" t="s">
        <v>98</v>
      </c>
      <c r="C37">
        <v>859376249.23116624</v>
      </c>
      <c r="D37">
        <v>853818359.72299945</v>
      </c>
      <c r="E37">
        <v>5569864.8648648681</v>
      </c>
      <c r="F37">
        <v>8554054.0540540572</v>
      </c>
      <c r="G37">
        <v>180</v>
      </c>
      <c r="H37">
        <v>198</v>
      </c>
      <c r="I37">
        <v>30</v>
      </c>
      <c r="J37">
        <v>28</v>
      </c>
      <c r="K37">
        <v>2</v>
      </c>
      <c r="M37">
        <v>301</v>
      </c>
      <c r="N37">
        <v>263</v>
      </c>
      <c r="O37">
        <v>125409459.45945945</v>
      </c>
      <c r="P37">
        <v>149681081.08108109</v>
      </c>
      <c r="Q37">
        <v>768</v>
      </c>
      <c r="R37">
        <v>278</v>
      </c>
      <c r="S37">
        <v>248044475.67567569</v>
      </c>
      <c r="T37">
        <v>250446644.14414415</v>
      </c>
      <c r="U37">
        <v>113544954.95495494</v>
      </c>
      <c r="V37">
        <v>146421711.7117117</v>
      </c>
      <c r="W37">
        <v>24828</v>
      </c>
      <c r="X37">
        <v>24791</v>
      </c>
    </row>
    <row r="38" spans="1:24">
      <c r="A38" s="7" t="s">
        <v>103</v>
      </c>
      <c r="B38" s="16" t="s">
        <v>98</v>
      </c>
      <c r="C38">
        <v>2223138140.3253736</v>
      </c>
      <c r="D38">
        <v>2197253767.7696958</v>
      </c>
      <c r="E38">
        <v>1247645149.5495496</v>
      </c>
      <c r="F38">
        <v>942552162.16216218</v>
      </c>
      <c r="G38">
        <v>683</v>
      </c>
      <c r="H38">
        <v>614</v>
      </c>
      <c r="I38">
        <v>63</v>
      </c>
      <c r="J38">
        <v>69</v>
      </c>
      <c r="K38">
        <v>24</v>
      </c>
      <c r="M38">
        <v>867</v>
      </c>
      <c r="N38">
        <v>1008</v>
      </c>
      <c r="O38">
        <v>498564774.77477479</v>
      </c>
      <c r="P38">
        <v>242653901.8018018</v>
      </c>
      <c r="Q38">
        <v>1647</v>
      </c>
      <c r="R38">
        <v>751</v>
      </c>
      <c r="S38">
        <v>455426556.75675672</v>
      </c>
      <c r="T38">
        <v>469680124.32432437</v>
      </c>
      <c r="U38">
        <v>224867160.36036035</v>
      </c>
      <c r="V38">
        <v>214045675.67567569</v>
      </c>
      <c r="W38">
        <v>55610</v>
      </c>
      <c r="X38">
        <v>59454</v>
      </c>
    </row>
    <row r="39" spans="1:24">
      <c r="A39" s="7" t="s">
        <v>104</v>
      </c>
      <c r="B39" s="16" t="s">
        <v>105</v>
      </c>
      <c r="C39">
        <v>170822383.91549963</v>
      </c>
      <c r="D39">
        <v>151653902.15635255</v>
      </c>
      <c r="E39">
        <v>48276576.576576576</v>
      </c>
      <c r="F39">
        <v>6660360.3603603588</v>
      </c>
      <c r="G39">
        <v>47</v>
      </c>
      <c r="H39">
        <v>31</v>
      </c>
      <c r="I39">
        <v>1</v>
      </c>
      <c r="J39">
        <v>0</v>
      </c>
      <c r="M39">
        <v>49</v>
      </c>
      <c r="N39">
        <v>35</v>
      </c>
      <c r="O39">
        <v>1451126.1261261259</v>
      </c>
      <c r="P39">
        <v>2283783.7837837832</v>
      </c>
      <c r="Q39">
        <v>1</v>
      </c>
      <c r="R39">
        <v>50</v>
      </c>
      <c r="S39">
        <v>33307162.162162159</v>
      </c>
      <c r="T39">
        <v>33165072.072072074</v>
      </c>
      <c r="U39">
        <v>1254414.414414414</v>
      </c>
      <c r="V39">
        <v>1101261.2612612611</v>
      </c>
      <c r="W39">
        <v>2498</v>
      </c>
      <c r="X39">
        <v>2447</v>
      </c>
    </row>
    <row r="40" spans="1:24">
      <c r="A40" s="7" t="s">
        <v>106</v>
      </c>
      <c r="B40" s="16" t="s">
        <v>54</v>
      </c>
      <c r="C40">
        <v>54953633.052618749</v>
      </c>
      <c r="D40">
        <v>52077716.550015949</v>
      </c>
      <c r="E40">
        <v>142342.34234234301</v>
      </c>
      <c r="F40">
        <v>48648.648648649003</v>
      </c>
      <c r="G40">
        <v>47</v>
      </c>
      <c r="H40">
        <v>29</v>
      </c>
      <c r="I40">
        <v>0</v>
      </c>
      <c r="J40">
        <v>0</v>
      </c>
      <c r="M40">
        <v>66</v>
      </c>
      <c r="N40">
        <v>35</v>
      </c>
      <c r="O40">
        <v>2723873.8738738731</v>
      </c>
      <c r="P40">
        <v>1791171.1711711721</v>
      </c>
      <c r="Q40">
        <v>27</v>
      </c>
      <c r="R40">
        <v>22</v>
      </c>
      <c r="S40">
        <v>14816126.126126125</v>
      </c>
      <c r="T40">
        <v>13253990.990990993</v>
      </c>
      <c r="U40">
        <v>2823513.5135135129</v>
      </c>
      <c r="V40">
        <v>1737927.927927928</v>
      </c>
      <c r="W40">
        <v>1423</v>
      </c>
      <c r="X40">
        <v>1404</v>
      </c>
    </row>
    <row r="41" spans="1:24">
      <c r="A41" s="7" t="s">
        <v>107</v>
      </c>
      <c r="B41" s="16" t="s">
        <v>108</v>
      </c>
      <c r="C41">
        <v>454435731.75377917</v>
      </c>
      <c r="D41">
        <v>422664296.78764415</v>
      </c>
      <c r="E41">
        <v>1304684.6846846859</v>
      </c>
      <c r="F41">
        <v>5042342.3423423478</v>
      </c>
      <c r="G41">
        <v>121</v>
      </c>
      <c r="H41">
        <v>118</v>
      </c>
      <c r="I41">
        <v>11</v>
      </c>
      <c r="J41">
        <v>14</v>
      </c>
      <c r="M41">
        <v>147</v>
      </c>
      <c r="N41">
        <v>148</v>
      </c>
      <c r="O41">
        <v>89851081.081081092</v>
      </c>
      <c r="P41">
        <v>65945225.225225225</v>
      </c>
      <c r="Q41">
        <v>419</v>
      </c>
      <c r="R41">
        <v>684</v>
      </c>
      <c r="S41">
        <v>93986527.927927941</v>
      </c>
      <c r="T41">
        <v>94685864.864864871</v>
      </c>
      <c r="U41">
        <v>57950450.45045045</v>
      </c>
      <c r="V41">
        <v>55353603.603603601</v>
      </c>
      <c r="W41">
        <v>10719</v>
      </c>
      <c r="X41">
        <v>10579</v>
      </c>
    </row>
    <row r="42" spans="1:24">
      <c r="A42" s="7" t="s">
        <v>109</v>
      </c>
      <c r="B42" s="16" t="s">
        <v>108</v>
      </c>
      <c r="C42">
        <v>612595748.74053442</v>
      </c>
      <c r="D42">
        <v>601312879.91802752</v>
      </c>
      <c r="E42">
        <v>5419369.3693693727</v>
      </c>
      <c r="F42">
        <v>6128004.5045045093</v>
      </c>
      <c r="G42">
        <v>145</v>
      </c>
      <c r="H42">
        <v>198</v>
      </c>
      <c r="I42">
        <v>14</v>
      </c>
      <c r="J42">
        <v>23</v>
      </c>
      <c r="K42">
        <v>1</v>
      </c>
      <c r="M42">
        <v>333</v>
      </c>
      <c r="N42">
        <v>308</v>
      </c>
      <c r="O42">
        <v>273529729.72972971</v>
      </c>
      <c r="P42">
        <v>46657557.657657653</v>
      </c>
      <c r="Q42">
        <v>534</v>
      </c>
      <c r="R42">
        <v>324</v>
      </c>
      <c r="S42">
        <v>155204662.16216218</v>
      </c>
      <c r="T42">
        <v>174247396.3963964</v>
      </c>
      <c r="U42">
        <v>226594234.23423424</v>
      </c>
      <c r="V42">
        <v>164493513.51351351</v>
      </c>
      <c r="W42">
        <v>14177</v>
      </c>
      <c r="X42">
        <v>14668</v>
      </c>
    </row>
    <row r="43" spans="1:24">
      <c r="A43" s="7" t="s">
        <v>110</v>
      </c>
      <c r="B43" s="16" t="s">
        <v>111</v>
      </c>
      <c r="C43">
        <v>735422402.56491709</v>
      </c>
      <c r="D43">
        <v>686634816.91191089</v>
      </c>
      <c r="E43">
        <v>4967207.2072072066</v>
      </c>
      <c r="F43">
        <v>8532432.4324324355</v>
      </c>
      <c r="G43">
        <v>137</v>
      </c>
      <c r="H43">
        <v>225</v>
      </c>
      <c r="I43">
        <v>19</v>
      </c>
      <c r="J43">
        <v>37</v>
      </c>
      <c r="K43">
        <v>1</v>
      </c>
      <c r="M43">
        <v>167</v>
      </c>
      <c r="N43">
        <v>534</v>
      </c>
      <c r="O43">
        <v>58967747.747747742</v>
      </c>
      <c r="P43">
        <v>68564168.468468457</v>
      </c>
      <c r="Q43">
        <v>469</v>
      </c>
      <c r="R43">
        <v>1321</v>
      </c>
      <c r="S43">
        <v>237569207.2072072</v>
      </c>
      <c r="T43">
        <v>241429954.95495495</v>
      </c>
      <c r="U43">
        <v>58336936.936936937</v>
      </c>
      <c r="V43">
        <v>62641351.351351351</v>
      </c>
      <c r="W43">
        <v>20079</v>
      </c>
      <c r="X43">
        <v>18974</v>
      </c>
    </row>
    <row r="44" spans="1:24">
      <c r="A44" s="7" t="s">
        <v>112</v>
      </c>
      <c r="B44" s="16" t="s">
        <v>111</v>
      </c>
      <c r="C44">
        <v>912306037.13862598</v>
      </c>
      <c r="D44">
        <v>892388015.02795267</v>
      </c>
      <c r="E44">
        <v>13548108.108108109</v>
      </c>
      <c r="F44">
        <v>12522522.522522528</v>
      </c>
      <c r="G44">
        <v>168</v>
      </c>
      <c r="H44">
        <v>353</v>
      </c>
      <c r="I44">
        <v>15</v>
      </c>
      <c r="J44">
        <v>51</v>
      </c>
      <c r="K44">
        <v>3</v>
      </c>
      <c r="M44">
        <v>203</v>
      </c>
      <c r="N44">
        <v>625</v>
      </c>
      <c r="O44">
        <v>73191531.531531513</v>
      </c>
      <c r="P44">
        <v>71954156.756756753</v>
      </c>
      <c r="Q44">
        <v>1100</v>
      </c>
      <c r="R44">
        <v>1954</v>
      </c>
      <c r="S44">
        <v>316240873.87387383</v>
      </c>
      <c r="T44">
        <v>333041463.96396399</v>
      </c>
      <c r="U44">
        <v>69087387.38738738</v>
      </c>
      <c r="V44">
        <v>73054054.054054052</v>
      </c>
      <c r="W44">
        <v>27039</v>
      </c>
      <c r="X44">
        <v>27253</v>
      </c>
    </row>
    <row r="45" spans="1:24">
      <c r="A45" s="7" t="s">
        <v>113</v>
      </c>
      <c r="B45" s="16" t="s">
        <v>111</v>
      </c>
      <c r="C45">
        <v>1277697619.3009641</v>
      </c>
      <c r="D45">
        <v>1039165827.6913576</v>
      </c>
      <c r="E45">
        <v>37465675.675675683</v>
      </c>
      <c r="F45">
        <v>88340225.225225225</v>
      </c>
      <c r="G45">
        <v>229</v>
      </c>
      <c r="H45">
        <v>306</v>
      </c>
      <c r="I45">
        <v>29</v>
      </c>
      <c r="J45">
        <v>44</v>
      </c>
      <c r="K45">
        <v>6</v>
      </c>
      <c r="M45">
        <v>269</v>
      </c>
      <c r="N45">
        <v>571</v>
      </c>
      <c r="O45">
        <v>502035585.58558559</v>
      </c>
      <c r="P45">
        <v>489993889.1891892</v>
      </c>
      <c r="Q45">
        <v>399</v>
      </c>
      <c r="R45">
        <v>1401</v>
      </c>
      <c r="S45">
        <v>1171117783.7837837</v>
      </c>
      <c r="T45">
        <v>627593836.03603613</v>
      </c>
      <c r="U45">
        <v>51792162.162162162</v>
      </c>
      <c r="V45">
        <v>37974594.59459459</v>
      </c>
      <c r="W45">
        <v>13900</v>
      </c>
      <c r="X45">
        <v>14542</v>
      </c>
    </row>
    <row r="46" spans="1:24">
      <c r="A46" s="7" t="s">
        <v>114</v>
      </c>
      <c r="B46" s="16" t="s">
        <v>111</v>
      </c>
      <c r="C46">
        <v>711802808.88405478</v>
      </c>
      <c r="D46">
        <v>714108138.00452662</v>
      </c>
      <c r="E46">
        <v>5359459.4594594641</v>
      </c>
      <c r="F46">
        <v>8477252.2522522658</v>
      </c>
      <c r="G46">
        <v>924</v>
      </c>
      <c r="H46">
        <v>345</v>
      </c>
      <c r="I46">
        <v>25</v>
      </c>
      <c r="J46">
        <v>60</v>
      </c>
      <c r="K46">
        <v>25</v>
      </c>
      <c r="M46">
        <v>2617</v>
      </c>
      <c r="N46">
        <v>925</v>
      </c>
      <c r="O46">
        <v>65968018.018018015</v>
      </c>
      <c r="P46">
        <v>74881981.981981978</v>
      </c>
      <c r="Q46">
        <v>522</v>
      </c>
      <c r="R46">
        <v>648</v>
      </c>
      <c r="S46">
        <v>226342414.41441441</v>
      </c>
      <c r="T46">
        <v>212437351.35135135</v>
      </c>
      <c r="U46">
        <v>66099099.0990991</v>
      </c>
      <c r="V46">
        <v>67110990.990990996</v>
      </c>
      <c r="W46">
        <v>21096</v>
      </c>
      <c r="X46">
        <v>20161</v>
      </c>
    </row>
    <row r="47" spans="1:24">
      <c r="A47" s="7" t="s">
        <v>115</v>
      </c>
      <c r="B47" s="16" t="s">
        <v>111</v>
      </c>
      <c r="C47">
        <v>1006638312.454362</v>
      </c>
      <c r="D47">
        <v>872869624.65797222</v>
      </c>
      <c r="E47">
        <v>938078498.1981982</v>
      </c>
      <c r="F47">
        <v>1677869337.8378379</v>
      </c>
      <c r="G47">
        <v>402</v>
      </c>
      <c r="H47">
        <v>379</v>
      </c>
      <c r="I47">
        <v>43</v>
      </c>
      <c r="J47">
        <v>72</v>
      </c>
      <c r="K47">
        <v>1</v>
      </c>
      <c r="M47">
        <v>457</v>
      </c>
      <c r="N47">
        <v>643</v>
      </c>
      <c r="O47">
        <v>691425211.71171176</v>
      </c>
      <c r="P47">
        <v>737638297.29729724</v>
      </c>
      <c r="Q47">
        <v>639</v>
      </c>
      <c r="R47">
        <v>8030</v>
      </c>
      <c r="S47">
        <v>343991477.47747749</v>
      </c>
      <c r="T47">
        <v>262597431.08108109</v>
      </c>
      <c r="U47">
        <v>152579729.72972974</v>
      </c>
      <c r="V47">
        <v>150149095.4954955</v>
      </c>
      <c r="W47">
        <v>24855</v>
      </c>
      <c r="X47">
        <v>23058</v>
      </c>
    </row>
    <row r="48" spans="1:24">
      <c r="A48" s="7" t="s">
        <v>116</v>
      </c>
      <c r="B48" s="16" t="s">
        <v>54</v>
      </c>
      <c r="C48">
        <v>49663817.301857106</v>
      </c>
      <c r="D48">
        <v>48278323.772299752</v>
      </c>
      <c r="E48">
        <v>808333.33333333198</v>
      </c>
      <c r="F48">
        <v>1121396.396396396</v>
      </c>
      <c r="G48">
        <v>5</v>
      </c>
      <c r="H48">
        <v>10</v>
      </c>
      <c r="I48">
        <v>2</v>
      </c>
      <c r="J48">
        <v>3</v>
      </c>
      <c r="M48">
        <v>5</v>
      </c>
      <c r="N48">
        <v>12</v>
      </c>
      <c r="O48">
        <v>5345945.9459459456</v>
      </c>
      <c r="P48">
        <v>4540990.9909909898</v>
      </c>
      <c r="Q48">
        <v>31</v>
      </c>
      <c r="R48">
        <v>17</v>
      </c>
      <c r="S48">
        <v>11454450.450450448</v>
      </c>
      <c r="T48">
        <v>12083756.756756756</v>
      </c>
      <c r="U48">
        <v>4565675.6756756753</v>
      </c>
      <c r="V48">
        <v>4101441.44144144</v>
      </c>
      <c r="W48">
        <v>1006</v>
      </c>
      <c r="X48">
        <v>1071</v>
      </c>
    </row>
    <row r="49" spans="1:24">
      <c r="A49" s="7" t="s">
        <v>118</v>
      </c>
      <c r="B49" s="16" t="s">
        <v>78</v>
      </c>
      <c r="C49">
        <v>434365892.32007968</v>
      </c>
      <c r="D49">
        <v>409813989.56884903</v>
      </c>
      <c r="E49">
        <v>267226278.37837836</v>
      </c>
      <c r="F49">
        <v>271364196.3963964</v>
      </c>
      <c r="G49">
        <v>162</v>
      </c>
      <c r="H49">
        <v>142</v>
      </c>
      <c r="I49">
        <v>15</v>
      </c>
      <c r="J49">
        <v>26</v>
      </c>
      <c r="K49">
        <v>2</v>
      </c>
      <c r="M49">
        <v>199</v>
      </c>
      <c r="N49">
        <v>196</v>
      </c>
      <c r="O49">
        <v>68335765.765765771</v>
      </c>
      <c r="P49">
        <v>93072522.522522524</v>
      </c>
      <c r="Q49">
        <v>363</v>
      </c>
      <c r="R49">
        <v>1912</v>
      </c>
      <c r="S49">
        <v>163867412.61261261</v>
      </c>
      <c r="T49">
        <v>164644531.98198199</v>
      </c>
      <c r="U49">
        <v>70655358.558558553</v>
      </c>
      <c r="V49">
        <v>89472882.882882878</v>
      </c>
      <c r="W49">
        <v>11744</v>
      </c>
      <c r="X49">
        <v>11980</v>
      </c>
    </row>
    <row r="50" spans="1:24">
      <c r="A50" s="7" t="s">
        <v>119</v>
      </c>
      <c r="B50" s="16" t="s">
        <v>50</v>
      </c>
      <c r="C50">
        <v>137110599.76964262</v>
      </c>
      <c r="D50">
        <v>129660850.0956351</v>
      </c>
      <c r="E50">
        <v>426351.35135135299</v>
      </c>
      <c r="F50">
        <v>4047747.7477477491</v>
      </c>
      <c r="G50">
        <v>82</v>
      </c>
      <c r="H50">
        <v>41</v>
      </c>
      <c r="I50">
        <v>12</v>
      </c>
      <c r="J50">
        <v>10</v>
      </c>
      <c r="M50">
        <v>83</v>
      </c>
      <c r="N50">
        <v>46</v>
      </c>
      <c r="O50">
        <v>89410360.360360369</v>
      </c>
      <c r="P50">
        <v>72199279.279279277</v>
      </c>
      <c r="Q50">
        <v>247</v>
      </c>
      <c r="R50">
        <v>310</v>
      </c>
      <c r="S50">
        <v>48678738.738738738</v>
      </c>
      <c r="T50">
        <v>47322891.891891889</v>
      </c>
      <c r="U50">
        <v>88146576.576576576</v>
      </c>
      <c r="V50">
        <v>67189099.0990991</v>
      </c>
      <c r="W50">
        <v>2464</v>
      </c>
      <c r="X50">
        <v>2422</v>
      </c>
    </row>
    <row r="51" spans="1:24">
      <c r="A51" s="7" t="s">
        <v>120</v>
      </c>
      <c r="B51" s="16" t="s">
        <v>121</v>
      </c>
      <c r="C51">
        <v>485953791.57038242</v>
      </c>
      <c r="D51">
        <v>439316817.46728092</v>
      </c>
      <c r="E51">
        <v>1388513.5135135129</v>
      </c>
      <c r="F51">
        <v>3275000.0000000028</v>
      </c>
      <c r="G51">
        <v>196</v>
      </c>
      <c r="H51">
        <v>167</v>
      </c>
      <c r="I51">
        <v>13</v>
      </c>
      <c r="J51">
        <v>14</v>
      </c>
      <c r="M51">
        <v>215</v>
      </c>
      <c r="N51">
        <v>188</v>
      </c>
      <c r="O51">
        <v>19056756.756756756</v>
      </c>
      <c r="P51">
        <v>19237837.837837841</v>
      </c>
      <c r="Q51">
        <v>144</v>
      </c>
      <c r="R51">
        <v>81</v>
      </c>
      <c r="S51">
        <v>33735108.108108111</v>
      </c>
      <c r="T51">
        <v>37519130.630630635</v>
      </c>
      <c r="U51">
        <v>18173603.603603605</v>
      </c>
      <c r="V51">
        <v>16014234.234234234</v>
      </c>
      <c r="W51">
        <v>8346</v>
      </c>
      <c r="X51">
        <v>7878</v>
      </c>
    </row>
    <row r="52" spans="1:24">
      <c r="A52" s="7" t="s">
        <v>122</v>
      </c>
      <c r="B52" s="16" t="s">
        <v>123</v>
      </c>
      <c r="C52">
        <v>216776812.44273499</v>
      </c>
      <c r="D52">
        <v>230264575.90516511</v>
      </c>
      <c r="E52">
        <v>348198.19819819799</v>
      </c>
      <c r="F52">
        <v>1048423.4234234249</v>
      </c>
      <c r="G52">
        <v>28</v>
      </c>
      <c r="H52">
        <v>33</v>
      </c>
      <c r="I52">
        <v>3</v>
      </c>
      <c r="J52">
        <v>3</v>
      </c>
      <c r="M52">
        <v>34</v>
      </c>
      <c r="N52">
        <v>47</v>
      </c>
      <c r="O52">
        <v>50415045.045045041</v>
      </c>
      <c r="P52">
        <v>42752792.79279279</v>
      </c>
      <c r="Q52">
        <v>81</v>
      </c>
      <c r="R52">
        <v>52</v>
      </c>
      <c r="S52">
        <v>98296933.333333328</v>
      </c>
      <c r="T52">
        <v>104007504.50450452</v>
      </c>
      <c r="U52">
        <v>48054234.234234229</v>
      </c>
      <c r="V52">
        <v>42183693.693693697</v>
      </c>
      <c r="W52">
        <v>4354</v>
      </c>
      <c r="X52">
        <v>5233</v>
      </c>
    </row>
    <row r="53" spans="1:24">
      <c r="A53" s="7" t="s">
        <v>124</v>
      </c>
      <c r="B53" s="16" t="s">
        <v>125</v>
      </c>
      <c r="C53">
        <v>324113774.55129945</v>
      </c>
      <c r="D53">
        <v>304697093.3356483</v>
      </c>
      <c r="E53">
        <v>908873.87387387303</v>
      </c>
      <c r="F53">
        <v>3563513.513513519</v>
      </c>
      <c r="G53">
        <v>55</v>
      </c>
      <c r="H53">
        <v>64</v>
      </c>
      <c r="I53">
        <v>8</v>
      </c>
      <c r="J53">
        <v>7</v>
      </c>
      <c r="M53">
        <v>61</v>
      </c>
      <c r="N53">
        <v>124</v>
      </c>
      <c r="O53">
        <v>76934234.234234244</v>
      </c>
      <c r="P53">
        <v>95284234.234234244</v>
      </c>
      <c r="Q53">
        <v>116</v>
      </c>
      <c r="R53">
        <v>258</v>
      </c>
      <c r="S53">
        <v>95212646.846846849</v>
      </c>
      <c r="T53">
        <v>95746224.324324325</v>
      </c>
      <c r="U53">
        <v>81809189.189189181</v>
      </c>
      <c r="V53">
        <v>106326349.54954955</v>
      </c>
      <c r="W53">
        <v>6467</v>
      </c>
      <c r="X53">
        <v>6560</v>
      </c>
    </row>
    <row r="54" spans="1:24">
      <c r="A54" s="7" t="s">
        <v>126</v>
      </c>
      <c r="B54" s="16" t="s">
        <v>78</v>
      </c>
      <c r="C54">
        <v>207506162.94729552</v>
      </c>
      <c r="D54">
        <v>197895013.71764842</v>
      </c>
      <c r="E54">
        <v>2426756.7567567579</v>
      </c>
      <c r="F54">
        <v>4355855.8558558598</v>
      </c>
      <c r="G54">
        <v>47</v>
      </c>
      <c r="H54">
        <v>58</v>
      </c>
      <c r="I54">
        <v>7</v>
      </c>
      <c r="J54">
        <v>7</v>
      </c>
      <c r="M54">
        <v>51</v>
      </c>
      <c r="N54">
        <v>77</v>
      </c>
      <c r="O54">
        <v>39660990.990990989</v>
      </c>
      <c r="P54">
        <v>35720720.720720723</v>
      </c>
      <c r="Q54">
        <v>135</v>
      </c>
      <c r="R54">
        <v>122</v>
      </c>
      <c r="S54">
        <v>81891000</v>
      </c>
      <c r="T54">
        <v>81587504.504504517</v>
      </c>
      <c r="U54">
        <v>40268468.468468465</v>
      </c>
      <c r="V54">
        <v>32706216.216216218</v>
      </c>
      <c r="W54">
        <v>4940</v>
      </c>
      <c r="X54">
        <v>4867</v>
      </c>
    </row>
    <row r="55" spans="1:24">
      <c r="A55" s="7" t="s">
        <v>127</v>
      </c>
      <c r="B55" s="16" t="s">
        <v>78</v>
      </c>
      <c r="C55">
        <v>37575382.054734163</v>
      </c>
      <c r="D55">
        <v>33027780.208828487</v>
      </c>
      <c r="E55">
        <v>16666.666666667999</v>
      </c>
      <c r="F55">
        <v>694594.59459459304</v>
      </c>
      <c r="G55">
        <v>15</v>
      </c>
      <c r="H55">
        <v>13</v>
      </c>
      <c r="I55">
        <v>4</v>
      </c>
      <c r="J55">
        <v>8</v>
      </c>
      <c r="K55">
        <v>1</v>
      </c>
      <c r="M55">
        <v>15</v>
      </c>
      <c r="N55">
        <v>17</v>
      </c>
      <c r="O55">
        <v>7827477.4774774769</v>
      </c>
      <c r="P55">
        <v>12000900.9009009</v>
      </c>
      <c r="Q55">
        <v>18</v>
      </c>
      <c r="R55">
        <v>32</v>
      </c>
      <c r="S55">
        <v>20284864.864864863</v>
      </c>
      <c r="T55">
        <v>19056981.981981985</v>
      </c>
      <c r="U55">
        <v>8946936.9369369354</v>
      </c>
      <c r="V55">
        <v>12758918.918918921</v>
      </c>
      <c r="W55">
        <v>1234</v>
      </c>
      <c r="X55">
        <v>1263</v>
      </c>
    </row>
    <row r="56" spans="1:24">
      <c r="A56" s="7" t="s">
        <v>128</v>
      </c>
      <c r="B56" s="16" t="s">
        <v>78</v>
      </c>
      <c r="C56">
        <v>200694842.29052046</v>
      </c>
      <c r="D56">
        <v>190106657.06457898</v>
      </c>
      <c r="E56">
        <v>1219144.1441441451</v>
      </c>
      <c r="F56">
        <v>2363063.063063066</v>
      </c>
      <c r="G56">
        <v>87</v>
      </c>
      <c r="H56">
        <v>136</v>
      </c>
      <c r="I56">
        <v>7</v>
      </c>
      <c r="J56">
        <v>11</v>
      </c>
      <c r="K56">
        <v>1</v>
      </c>
      <c r="M56">
        <v>98</v>
      </c>
      <c r="N56">
        <v>182</v>
      </c>
      <c r="O56">
        <v>24338738.738738734</v>
      </c>
      <c r="P56">
        <v>24615315.315315317</v>
      </c>
      <c r="Q56">
        <v>88</v>
      </c>
      <c r="R56">
        <v>113</v>
      </c>
      <c r="S56">
        <v>77157621.621621609</v>
      </c>
      <c r="T56">
        <v>74559935.135135129</v>
      </c>
      <c r="U56">
        <v>22195405.405405402</v>
      </c>
      <c r="V56">
        <v>25841081.081081081</v>
      </c>
      <c r="W56">
        <v>5703</v>
      </c>
      <c r="X56">
        <v>5815</v>
      </c>
    </row>
    <row r="57" spans="1:24">
      <c r="A57" s="7" t="s">
        <v>129</v>
      </c>
      <c r="B57" s="16" t="s">
        <v>85</v>
      </c>
      <c r="C57">
        <v>61743594.588352203</v>
      </c>
      <c r="D57">
        <v>55924088.235873483</v>
      </c>
      <c r="E57">
        <v>48648.64864865</v>
      </c>
      <c r="F57">
        <v>169369.36936937101</v>
      </c>
      <c r="G57">
        <v>20</v>
      </c>
      <c r="H57">
        <v>12</v>
      </c>
      <c r="I57">
        <v>4</v>
      </c>
      <c r="J57">
        <v>2</v>
      </c>
      <c r="M57">
        <v>21</v>
      </c>
      <c r="N57">
        <v>14</v>
      </c>
      <c r="O57">
        <v>35363963.963963963</v>
      </c>
      <c r="P57">
        <v>77624954.954954967</v>
      </c>
      <c r="Q57">
        <v>70</v>
      </c>
      <c r="R57">
        <v>48</v>
      </c>
      <c r="S57">
        <v>26617612.612612613</v>
      </c>
      <c r="T57">
        <v>26734486.486486487</v>
      </c>
      <c r="U57">
        <v>24825945.945945945</v>
      </c>
      <c r="V57">
        <v>64462162.162162162</v>
      </c>
      <c r="W57">
        <v>1174</v>
      </c>
      <c r="X57">
        <v>1259</v>
      </c>
    </row>
    <row r="58" spans="1:24">
      <c r="A58" s="7" t="s">
        <v>130</v>
      </c>
      <c r="B58" s="16" t="s">
        <v>89</v>
      </c>
      <c r="C58">
        <v>528622943.75991833</v>
      </c>
      <c r="D58">
        <v>519401460.99209386</v>
      </c>
      <c r="E58">
        <v>2160585.5855855881</v>
      </c>
      <c r="F58">
        <v>3939189.1891891952</v>
      </c>
      <c r="G58">
        <v>66</v>
      </c>
      <c r="H58">
        <v>69</v>
      </c>
      <c r="I58">
        <v>10</v>
      </c>
      <c r="J58">
        <v>34</v>
      </c>
      <c r="M58">
        <v>74</v>
      </c>
      <c r="N58">
        <v>98</v>
      </c>
      <c r="O58">
        <v>29381081.081081081</v>
      </c>
      <c r="P58">
        <v>36668558.558558561</v>
      </c>
      <c r="Q58">
        <v>250</v>
      </c>
      <c r="R58">
        <v>409</v>
      </c>
      <c r="S58">
        <v>157197872.07207206</v>
      </c>
      <c r="T58">
        <v>164370628.82882884</v>
      </c>
      <c r="U58">
        <v>29972836.036036037</v>
      </c>
      <c r="V58">
        <v>34493016.216216214</v>
      </c>
      <c r="W58">
        <v>10709</v>
      </c>
      <c r="X58">
        <v>10658</v>
      </c>
    </row>
    <row r="59" spans="1:24">
      <c r="A59" s="7" t="s">
        <v>131</v>
      </c>
      <c r="B59" s="16" t="s">
        <v>132</v>
      </c>
      <c r="C59">
        <v>315329238.0585236</v>
      </c>
      <c r="D59">
        <v>283667299.11429012</v>
      </c>
      <c r="E59">
        <v>6945045.0450450461</v>
      </c>
      <c r="F59">
        <v>21209909.909909911</v>
      </c>
      <c r="G59">
        <v>128</v>
      </c>
      <c r="H59">
        <v>162</v>
      </c>
      <c r="I59">
        <v>5</v>
      </c>
      <c r="J59">
        <v>7</v>
      </c>
      <c r="K59">
        <v>1</v>
      </c>
      <c r="M59">
        <v>137</v>
      </c>
      <c r="N59">
        <v>178</v>
      </c>
      <c r="O59">
        <v>26924324.324324325</v>
      </c>
      <c r="P59">
        <v>32212612.612612616</v>
      </c>
      <c r="Q59">
        <v>27</v>
      </c>
      <c r="R59">
        <v>54</v>
      </c>
      <c r="S59">
        <v>96795567.567567572</v>
      </c>
      <c r="T59">
        <v>89588168.918918908</v>
      </c>
      <c r="U59">
        <v>20340540.540540542</v>
      </c>
      <c r="V59">
        <v>29583423.423423424</v>
      </c>
      <c r="W59">
        <v>7394</v>
      </c>
      <c r="X59">
        <v>7284</v>
      </c>
    </row>
    <row r="60" spans="1:24">
      <c r="A60" s="7" t="s">
        <v>133</v>
      </c>
      <c r="B60" s="16" t="s">
        <v>134</v>
      </c>
      <c r="C60">
        <v>49273543.587018058</v>
      </c>
      <c r="D60">
        <v>29755803.681701131</v>
      </c>
      <c r="G60">
        <v>15</v>
      </c>
      <c r="H60">
        <v>1</v>
      </c>
      <c r="M60">
        <v>17</v>
      </c>
      <c r="N60">
        <v>2</v>
      </c>
      <c r="S60">
        <v>6161387.3873873884</v>
      </c>
      <c r="T60">
        <v>5300529.7297297297</v>
      </c>
      <c r="W60">
        <v>2245</v>
      </c>
      <c r="X60">
        <v>2147</v>
      </c>
    </row>
    <row r="61" spans="1:24">
      <c r="A61" s="7" t="s">
        <v>135</v>
      </c>
      <c r="B61" s="16" t="s">
        <v>136</v>
      </c>
      <c r="C61">
        <v>258521017.65678662</v>
      </c>
      <c r="D61">
        <v>237123457.90308386</v>
      </c>
      <c r="E61">
        <v>461261.261261262</v>
      </c>
      <c r="F61">
        <v>917117.11711711995</v>
      </c>
      <c r="G61">
        <v>86</v>
      </c>
      <c r="H61">
        <v>61</v>
      </c>
      <c r="I61">
        <v>5</v>
      </c>
      <c r="J61">
        <v>4</v>
      </c>
      <c r="M61">
        <v>94</v>
      </c>
      <c r="N61">
        <v>72</v>
      </c>
      <c r="O61">
        <v>25154954.954954956</v>
      </c>
      <c r="P61">
        <v>20466666.666666668</v>
      </c>
      <c r="Q61">
        <v>6</v>
      </c>
      <c r="S61">
        <v>43729585.585585587</v>
      </c>
      <c r="T61">
        <v>36668315.315315314</v>
      </c>
      <c r="U61">
        <v>23667837.837837838</v>
      </c>
      <c r="V61">
        <v>17270450.45045045</v>
      </c>
      <c r="W61">
        <v>3530</v>
      </c>
      <c r="X61">
        <v>3549</v>
      </c>
    </row>
    <row r="62" spans="1:24">
      <c r="A62" s="7" t="s">
        <v>137</v>
      </c>
      <c r="B62" s="16" t="s">
        <v>89</v>
      </c>
      <c r="C62">
        <v>267487800.49388376</v>
      </c>
      <c r="D62">
        <v>254939924.01554683</v>
      </c>
      <c r="E62">
        <v>323648.648648653</v>
      </c>
      <c r="F62">
        <v>3068243.243243251</v>
      </c>
      <c r="G62">
        <v>33</v>
      </c>
      <c r="H62">
        <v>46</v>
      </c>
      <c r="I62">
        <v>17</v>
      </c>
      <c r="J62">
        <v>30</v>
      </c>
      <c r="K62">
        <v>4</v>
      </c>
      <c r="M62">
        <v>88</v>
      </c>
      <c r="N62">
        <v>220</v>
      </c>
      <c r="O62">
        <v>34644594.59459459</v>
      </c>
      <c r="P62">
        <v>43112882.882882878</v>
      </c>
      <c r="Q62">
        <v>283</v>
      </c>
      <c r="R62">
        <v>288</v>
      </c>
      <c r="S62">
        <v>92681666.666666672</v>
      </c>
      <c r="T62">
        <v>92155277.477477476</v>
      </c>
      <c r="U62">
        <v>35653873.873873875</v>
      </c>
      <c r="V62">
        <v>31849009.009009011</v>
      </c>
      <c r="W62">
        <v>4759</v>
      </c>
      <c r="X62">
        <v>5198</v>
      </c>
    </row>
    <row r="63" spans="1:24">
      <c r="A63" s="7" t="s">
        <v>138</v>
      </c>
      <c r="B63" s="16" t="s">
        <v>78</v>
      </c>
      <c r="C63">
        <v>194050440.43202329</v>
      </c>
      <c r="D63">
        <v>184994593.26846516</v>
      </c>
      <c r="E63">
        <v>3086216.2162162159</v>
      </c>
      <c r="F63">
        <v>4906306.3063063081</v>
      </c>
      <c r="G63">
        <v>82</v>
      </c>
      <c r="H63">
        <v>75</v>
      </c>
      <c r="I63">
        <v>6</v>
      </c>
      <c r="J63">
        <v>16</v>
      </c>
      <c r="K63">
        <v>3</v>
      </c>
      <c r="M63">
        <v>95</v>
      </c>
      <c r="N63">
        <v>99</v>
      </c>
      <c r="O63">
        <v>24050180.180180177</v>
      </c>
      <c r="P63">
        <v>24690090.090090089</v>
      </c>
      <c r="Q63">
        <v>51</v>
      </c>
      <c r="R63">
        <v>97</v>
      </c>
      <c r="S63">
        <v>81680810.810810819</v>
      </c>
      <c r="T63">
        <v>80561587.837837845</v>
      </c>
      <c r="U63">
        <v>22769099.0990991</v>
      </c>
      <c r="V63">
        <v>24091171.171171173</v>
      </c>
      <c r="W63">
        <v>5180</v>
      </c>
      <c r="X63">
        <v>5134</v>
      </c>
    </row>
    <row r="64" spans="1:24">
      <c r="A64" s="7" t="s">
        <v>139</v>
      </c>
      <c r="B64" s="16" t="s">
        <v>140</v>
      </c>
      <c r="C64">
        <v>248850156.10752541</v>
      </c>
      <c r="D64">
        <v>255462169.09387365</v>
      </c>
      <c r="E64">
        <v>76702027.027027026</v>
      </c>
      <c r="F64">
        <v>112780630.63063063</v>
      </c>
      <c r="G64">
        <v>26</v>
      </c>
      <c r="H64">
        <v>21</v>
      </c>
      <c r="I64">
        <v>2</v>
      </c>
      <c r="J64">
        <v>3</v>
      </c>
      <c r="M64">
        <v>27</v>
      </c>
      <c r="N64">
        <v>22</v>
      </c>
      <c r="O64">
        <v>31971666.666666664</v>
      </c>
      <c r="P64">
        <v>26431351.351351351</v>
      </c>
      <c r="Q64">
        <v>197</v>
      </c>
      <c r="R64">
        <v>45</v>
      </c>
      <c r="S64">
        <v>43297297.297297299</v>
      </c>
      <c r="T64">
        <v>46592963.963963971</v>
      </c>
      <c r="U64">
        <v>26957477.477477476</v>
      </c>
      <c r="V64">
        <v>22387027.027027026</v>
      </c>
      <c r="W64">
        <v>5008</v>
      </c>
      <c r="X64">
        <v>5094</v>
      </c>
    </row>
    <row r="65" spans="1:24">
      <c r="A65" s="7" t="s">
        <v>141</v>
      </c>
      <c r="B65" s="16" t="s">
        <v>62</v>
      </c>
      <c r="C65">
        <v>174555978.75063631</v>
      </c>
      <c r="D65">
        <v>170937779.31025052</v>
      </c>
      <c r="E65">
        <v>1415315.3153153181</v>
      </c>
      <c r="F65">
        <v>3097186.4864864899</v>
      </c>
      <c r="G65">
        <v>60</v>
      </c>
      <c r="H65">
        <v>79</v>
      </c>
      <c r="I65">
        <v>9</v>
      </c>
      <c r="J65">
        <v>7</v>
      </c>
      <c r="M65">
        <v>73</v>
      </c>
      <c r="N65">
        <v>110</v>
      </c>
      <c r="O65">
        <v>102422612.61261261</v>
      </c>
      <c r="P65">
        <v>94564227.027027026</v>
      </c>
      <c r="Q65">
        <v>51</v>
      </c>
      <c r="R65">
        <v>63</v>
      </c>
      <c r="S65">
        <v>37597198.198198199</v>
      </c>
      <c r="T65">
        <v>38157405.40540541</v>
      </c>
      <c r="U65">
        <v>100921621.62162161</v>
      </c>
      <c r="V65">
        <v>95732882.882882878</v>
      </c>
      <c r="W65">
        <v>3928</v>
      </c>
      <c r="X65">
        <v>3871</v>
      </c>
    </row>
    <row r="66" spans="1:24">
      <c r="A66" s="7" t="s">
        <v>142</v>
      </c>
      <c r="B66" s="16" t="s">
        <v>143</v>
      </c>
      <c r="C66">
        <v>2030170.848331905</v>
      </c>
      <c r="D66">
        <v>1706968.0465945359</v>
      </c>
      <c r="E66">
        <v>137751787.38738739</v>
      </c>
      <c r="F66">
        <v>103623003.6036036</v>
      </c>
      <c r="G66">
        <v>1</v>
      </c>
      <c r="H66">
        <v>1</v>
      </c>
      <c r="M66">
        <v>1</v>
      </c>
      <c r="N66">
        <v>1</v>
      </c>
      <c r="O66">
        <v>14882882.882882884</v>
      </c>
      <c r="P66">
        <v>7207207.2072072066</v>
      </c>
      <c r="S66">
        <v>201576.576576577</v>
      </c>
      <c r="T66">
        <v>164504.50450450499</v>
      </c>
      <c r="W66">
        <v>144</v>
      </c>
      <c r="X66">
        <v>131</v>
      </c>
    </row>
    <row r="67" spans="1:24">
      <c r="A67" s="7" t="s">
        <v>144</v>
      </c>
      <c r="B67" s="16" t="s">
        <v>140</v>
      </c>
      <c r="C67">
        <v>370536546.01062411</v>
      </c>
      <c r="D67">
        <v>365701576.87972808</v>
      </c>
      <c r="E67">
        <v>388108.10810811003</v>
      </c>
      <c r="F67">
        <v>1888738.7387387401</v>
      </c>
      <c r="G67">
        <v>66</v>
      </c>
      <c r="H67">
        <v>82</v>
      </c>
      <c r="I67">
        <v>9</v>
      </c>
      <c r="J67">
        <v>9</v>
      </c>
      <c r="K67">
        <v>2</v>
      </c>
      <c r="M67">
        <v>76</v>
      </c>
      <c r="N67">
        <v>105</v>
      </c>
      <c r="O67">
        <v>43922342.342342339</v>
      </c>
      <c r="P67">
        <v>39614774.774774767</v>
      </c>
      <c r="Q67">
        <v>193</v>
      </c>
      <c r="R67">
        <v>148</v>
      </c>
      <c r="S67">
        <v>68382252.252252251</v>
      </c>
      <c r="T67">
        <v>68003810.810810804</v>
      </c>
      <c r="U67">
        <v>39325135.135135137</v>
      </c>
      <c r="V67">
        <v>38003513.513513513</v>
      </c>
      <c r="W67">
        <v>7685</v>
      </c>
      <c r="X67">
        <v>7459</v>
      </c>
    </row>
    <row r="68" spans="1:24">
      <c r="A68" s="7" t="s">
        <v>145</v>
      </c>
      <c r="B68" s="16" t="s">
        <v>78</v>
      </c>
      <c r="C68">
        <v>259273254.49145812</v>
      </c>
      <c r="D68">
        <v>259741689.68414387</v>
      </c>
      <c r="E68">
        <v>1710630.630630631</v>
      </c>
      <c r="F68">
        <v>2949549.5495495489</v>
      </c>
      <c r="G68">
        <v>58</v>
      </c>
      <c r="H68">
        <v>81</v>
      </c>
      <c r="I68">
        <v>7</v>
      </c>
      <c r="J68">
        <v>5</v>
      </c>
      <c r="M68">
        <v>65</v>
      </c>
      <c r="N68">
        <v>95</v>
      </c>
      <c r="O68">
        <v>28161081.081081081</v>
      </c>
      <c r="P68">
        <v>22972072.072072074</v>
      </c>
      <c r="Q68">
        <v>82</v>
      </c>
      <c r="R68">
        <v>50</v>
      </c>
      <c r="S68">
        <v>70494504.504504502</v>
      </c>
      <c r="T68">
        <v>74972306.306306303</v>
      </c>
      <c r="U68">
        <v>27501261.261261258</v>
      </c>
      <c r="V68">
        <v>27008198.198198199</v>
      </c>
      <c r="W68">
        <v>6531</v>
      </c>
      <c r="X68">
        <v>6206</v>
      </c>
    </row>
    <row r="69" spans="1:24">
      <c r="A69" s="7" t="s">
        <v>146</v>
      </c>
      <c r="B69" s="16" t="s">
        <v>147</v>
      </c>
      <c r="C69">
        <v>185108308.66800457</v>
      </c>
      <c r="D69">
        <v>170213955.50701603</v>
      </c>
      <c r="E69">
        <v>183699175.67567569</v>
      </c>
      <c r="F69">
        <v>404833196.3963964</v>
      </c>
      <c r="G69">
        <v>38</v>
      </c>
      <c r="H69">
        <v>33</v>
      </c>
      <c r="I69">
        <v>6</v>
      </c>
      <c r="J69">
        <v>2</v>
      </c>
      <c r="M69">
        <v>42</v>
      </c>
      <c r="N69">
        <v>41</v>
      </c>
      <c r="O69">
        <v>34908468.468468465</v>
      </c>
      <c r="P69">
        <v>56649633.333333328</v>
      </c>
      <c r="Q69">
        <v>163</v>
      </c>
      <c r="R69">
        <v>34</v>
      </c>
      <c r="S69">
        <v>50520351.351351351</v>
      </c>
      <c r="T69">
        <v>55904810.810810804</v>
      </c>
      <c r="U69">
        <v>19391081.081081081</v>
      </c>
      <c r="V69">
        <v>45784684.684684686</v>
      </c>
      <c r="W69">
        <v>3829</v>
      </c>
      <c r="X69">
        <v>3658</v>
      </c>
    </row>
    <row r="70" spans="1:24">
      <c r="A70" s="7" t="s">
        <v>148</v>
      </c>
      <c r="B70" s="16" t="s">
        <v>94</v>
      </c>
      <c r="D70">
        <v>17.531949365999999</v>
      </c>
      <c r="E70">
        <v>58851351.351351351</v>
      </c>
      <c r="F70">
        <v>56371621.621621624</v>
      </c>
      <c r="O70">
        <v>6400450.4504504502</v>
      </c>
      <c r="P70">
        <v>7909459.4594594594</v>
      </c>
    </row>
    <row r="71" spans="1:24">
      <c r="A71" s="7" t="s">
        <v>149</v>
      </c>
      <c r="B71" s="16" t="s">
        <v>50</v>
      </c>
      <c r="C71">
        <v>146651214.30052719</v>
      </c>
      <c r="D71">
        <v>150507449.54142222</v>
      </c>
      <c r="E71">
        <v>233333.33333333401</v>
      </c>
      <c r="F71">
        <v>545945.94594594499</v>
      </c>
      <c r="G71">
        <v>33</v>
      </c>
      <c r="H71">
        <v>38</v>
      </c>
      <c r="I71">
        <v>6</v>
      </c>
      <c r="J71">
        <v>3</v>
      </c>
      <c r="M71">
        <v>38</v>
      </c>
      <c r="N71">
        <v>42</v>
      </c>
      <c r="O71">
        <v>15644504.504504504</v>
      </c>
      <c r="P71">
        <v>9613063.0630630646</v>
      </c>
      <c r="Q71">
        <v>16</v>
      </c>
      <c r="R71">
        <v>13</v>
      </c>
      <c r="S71">
        <v>66451171.171171166</v>
      </c>
      <c r="T71">
        <v>67713153.153153151</v>
      </c>
      <c r="U71">
        <v>16574864.864864863</v>
      </c>
      <c r="V71">
        <v>9476396.3963963967</v>
      </c>
      <c r="W71">
        <v>3739</v>
      </c>
      <c r="X71">
        <v>3475</v>
      </c>
    </row>
    <row r="72" spans="1:24">
      <c r="A72" s="7" t="s">
        <v>150</v>
      </c>
      <c r="B72" s="16" t="s">
        <v>151</v>
      </c>
      <c r="C72">
        <v>45238953.622373216</v>
      </c>
      <c r="D72">
        <v>45804102.877915025</v>
      </c>
      <c r="E72">
        <v>5567567.5675675673</v>
      </c>
      <c r="F72">
        <v>411328828.82882881</v>
      </c>
      <c r="G72">
        <v>13</v>
      </c>
      <c r="H72">
        <v>6</v>
      </c>
      <c r="I72">
        <v>9</v>
      </c>
      <c r="J72">
        <v>1</v>
      </c>
      <c r="M72">
        <v>14</v>
      </c>
      <c r="N72">
        <v>10</v>
      </c>
      <c r="O72">
        <v>72308468.468468457</v>
      </c>
      <c r="P72">
        <v>58371621.621621624</v>
      </c>
      <c r="Q72">
        <v>27</v>
      </c>
      <c r="R72">
        <v>17</v>
      </c>
      <c r="S72">
        <v>11106486.486486487</v>
      </c>
      <c r="T72">
        <v>12688549.549549548</v>
      </c>
      <c r="U72">
        <v>42494234.234234229</v>
      </c>
      <c r="V72">
        <v>17635045.045045044</v>
      </c>
      <c r="W72">
        <v>665</v>
      </c>
      <c r="X72">
        <v>582</v>
      </c>
    </row>
    <row r="73" spans="1:24">
      <c r="A73" s="7" t="s">
        <v>152</v>
      </c>
      <c r="B73" s="16" t="s">
        <v>151</v>
      </c>
      <c r="C73">
        <v>452741289.54095227</v>
      </c>
      <c r="D73">
        <v>450745292.07818639</v>
      </c>
      <c r="E73">
        <v>214615084.68468466</v>
      </c>
      <c r="F73">
        <v>186127787.38738739</v>
      </c>
      <c r="G73">
        <v>166</v>
      </c>
      <c r="H73">
        <v>225</v>
      </c>
      <c r="I73">
        <v>28</v>
      </c>
      <c r="J73">
        <v>24</v>
      </c>
      <c r="M73">
        <v>182</v>
      </c>
      <c r="N73">
        <v>281</v>
      </c>
      <c r="O73">
        <v>562863423.42342341</v>
      </c>
      <c r="P73">
        <v>326869891.8918919</v>
      </c>
      <c r="Q73">
        <v>273</v>
      </c>
      <c r="R73">
        <v>222</v>
      </c>
      <c r="S73">
        <v>155744989.1891892</v>
      </c>
      <c r="T73">
        <v>159780036.03603604</v>
      </c>
      <c r="U73">
        <v>478599138.73873878</v>
      </c>
      <c r="V73">
        <v>250208998.1981982</v>
      </c>
      <c r="W73">
        <v>7883</v>
      </c>
      <c r="X73">
        <v>8609</v>
      </c>
    </row>
    <row r="74" spans="1:24">
      <c r="A74" s="7" t="s">
        <v>153</v>
      </c>
      <c r="B74" s="16" t="s">
        <v>154</v>
      </c>
      <c r="C74">
        <v>412586378.82203287</v>
      </c>
      <c r="D74">
        <v>388050910.63986731</v>
      </c>
      <c r="E74">
        <v>139612760.36036035</v>
      </c>
      <c r="F74">
        <v>91998697.297297299</v>
      </c>
      <c r="G74">
        <v>35</v>
      </c>
      <c r="H74">
        <v>57</v>
      </c>
      <c r="I74">
        <v>1</v>
      </c>
      <c r="J74">
        <v>1</v>
      </c>
      <c r="M74">
        <v>77</v>
      </c>
      <c r="N74">
        <v>65</v>
      </c>
      <c r="O74">
        <v>69452612.612612605</v>
      </c>
      <c r="P74">
        <v>73372072.072072074</v>
      </c>
      <c r="Q74">
        <v>55</v>
      </c>
      <c r="R74">
        <v>88</v>
      </c>
      <c r="S74">
        <v>178294097.2972973</v>
      </c>
      <c r="T74">
        <v>161319657.65765765</v>
      </c>
      <c r="U74">
        <v>49770090.090090089</v>
      </c>
      <c r="V74">
        <v>46972882.882882878</v>
      </c>
      <c r="W74">
        <v>7224</v>
      </c>
      <c r="X74">
        <v>8524</v>
      </c>
    </row>
    <row r="75" spans="1:24">
      <c r="A75" s="7" t="s">
        <v>155</v>
      </c>
      <c r="B75" s="16" t="s">
        <v>154</v>
      </c>
      <c r="C75">
        <v>61990310.657746032</v>
      </c>
      <c r="D75">
        <v>42775434.886560403</v>
      </c>
      <c r="E75">
        <v>44144.144144143997</v>
      </c>
      <c r="F75">
        <v>223423.423423425</v>
      </c>
      <c r="G75">
        <v>17</v>
      </c>
      <c r="H75">
        <v>11</v>
      </c>
      <c r="I75">
        <v>3</v>
      </c>
      <c r="J75">
        <v>2</v>
      </c>
      <c r="M75">
        <v>22</v>
      </c>
      <c r="N75">
        <v>12</v>
      </c>
      <c r="O75">
        <v>314414.41441441397</v>
      </c>
      <c r="P75">
        <v>5332432.4324324336</v>
      </c>
      <c r="Q75">
        <v>1</v>
      </c>
      <c r="R75">
        <v>33</v>
      </c>
      <c r="S75">
        <v>17045765.765765764</v>
      </c>
      <c r="T75">
        <v>10867648.648648648</v>
      </c>
      <c r="U75">
        <v>647747.74774774804</v>
      </c>
      <c r="V75">
        <v>3980090.0900900899</v>
      </c>
      <c r="W75">
        <v>2083</v>
      </c>
      <c r="X75">
        <v>1408</v>
      </c>
    </row>
    <row r="76" spans="1:24">
      <c r="A76" s="7" t="s">
        <v>156</v>
      </c>
      <c r="B76" s="16" t="s">
        <v>154</v>
      </c>
      <c r="C76">
        <v>540517321.21138477</v>
      </c>
      <c r="D76">
        <v>435200171.1771484</v>
      </c>
      <c r="E76">
        <v>62902027.027027026</v>
      </c>
      <c r="F76">
        <v>132165990.990991</v>
      </c>
      <c r="G76">
        <v>97</v>
      </c>
      <c r="H76">
        <v>32</v>
      </c>
      <c r="I76">
        <v>10</v>
      </c>
      <c r="J76">
        <v>8</v>
      </c>
      <c r="M76">
        <v>202</v>
      </c>
      <c r="N76">
        <v>133</v>
      </c>
      <c r="O76">
        <v>111070117.11711712</v>
      </c>
      <c r="P76">
        <v>83080630.630630627</v>
      </c>
      <c r="Q76">
        <v>38</v>
      </c>
      <c r="R76">
        <v>183</v>
      </c>
      <c r="S76">
        <v>205935304.5045045</v>
      </c>
      <c r="T76">
        <v>169708378.37837836</v>
      </c>
      <c r="U76">
        <v>94783333.333333328</v>
      </c>
      <c r="V76">
        <v>90597837.837837845</v>
      </c>
      <c r="W76">
        <v>7909</v>
      </c>
      <c r="X76">
        <v>8380</v>
      </c>
    </row>
    <row r="77" spans="1:24">
      <c r="A77" s="7" t="s">
        <v>157</v>
      </c>
      <c r="B77" s="16" t="s">
        <v>134</v>
      </c>
      <c r="C77">
        <v>205236288.91198179</v>
      </c>
      <c r="D77">
        <v>203357315.06746116</v>
      </c>
      <c r="E77">
        <v>467567.56756756903</v>
      </c>
      <c r="F77">
        <v>791891.89189189498</v>
      </c>
      <c r="G77">
        <v>47</v>
      </c>
      <c r="H77">
        <v>38</v>
      </c>
      <c r="I77">
        <v>13</v>
      </c>
      <c r="J77">
        <v>6</v>
      </c>
      <c r="K77">
        <v>1</v>
      </c>
      <c r="M77">
        <v>51</v>
      </c>
      <c r="N77">
        <v>45</v>
      </c>
      <c r="O77">
        <v>21575675.675675675</v>
      </c>
      <c r="P77">
        <v>24656764.864864863</v>
      </c>
      <c r="Q77">
        <v>129</v>
      </c>
      <c r="R77">
        <v>117</v>
      </c>
      <c r="S77">
        <v>18222072.072072074</v>
      </c>
      <c r="T77">
        <v>20552216.216216218</v>
      </c>
      <c r="U77">
        <v>8800270.2702702712</v>
      </c>
      <c r="V77">
        <v>8915315.3153153174</v>
      </c>
      <c r="W77">
        <v>4581</v>
      </c>
      <c r="X77">
        <v>4464</v>
      </c>
    </row>
    <row r="78" spans="1:24">
      <c r="A78" s="7" t="s">
        <v>1</v>
      </c>
      <c r="B78" s="16" t="s">
        <v>158</v>
      </c>
      <c r="C78">
        <v>366194740.4444766</v>
      </c>
      <c r="D78">
        <v>366730526.08712852</v>
      </c>
      <c r="E78">
        <v>566216.21621621703</v>
      </c>
      <c r="F78">
        <v>2608108.1081081112</v>
      </c>
      <c r="G78">
        <v>273</v>
      </c>
      <c r="H78">
        <v>81</v>
      </c>
      <c r="I78">
        <v>21</v>
      </c>
      <c r="J78">
        <v>12</v>
      </c>
      <c r="K78">
        <v>2</v>
      </c>
      <c r="M78">
        <v>581</v>
      </c>
      <c r="N78">
        <v>507</v>
      </c>
      <c r="O78">
        <v>40944504.504504502</v>
      </c>
      <c r="P78">
        <v>46132522.522522517</v>
      </c>
      <c r="Q78">
        <v>169</v>
      </c>
      <c r="R78">
        <v>141</v>
      </c>
      <c r="S78">
        <v>172196574.77477479</v>
      </c>
      <c r="T78">
        <v>175049495.4954955</v>
      </c>
      <c r="U78">
        <v>38065045.045045048</v>
      </c>
      <c r="V78">
        <v>42542072.072072074</v>
      </c>
      <c r="W78">
        <v>8516</v>
      </c>
      <c r="X78">
        <v>7758</v>
      </c>
    </row>
    <row r="79" spans="1:24">
      <c r="A79" s="7" t="s">
        <v>159</v>
      </c>
      <c r="B79" s="16" t="s">
        <v>121</v>
      </c>
      <c r="C79">
        <v>16205028.866853531</v>
      </c>
      <c r="D79">
        <v>13729911.403366933</v>
      </c>
      <c r="G79">
        <v>20</v>
      </c>
      <c r="H79">
        <v>6</v>
      </c>
      <c r="M79">
        <v>20</v>
      </c>
      <c r="N79">
        <v>7</v>
      </c>
      <c r="O79">
        <v>972972.97297297302</v>
      </c>
      <c r="Q79">
        <v>8</v>
      </c>
      <c r="S79">
        <v>1681396.396396396</v>
      </c>
      <c r="T79">
        <v>1241261.2612612611</v>
      </c>
      <c r="U79">
        <v>348468.468468468</v>
      </c>
      <c r="V79">
        <v>29729.729729729999</v>
      </c>
      <c r="W79">
        <v>634</v>
      </c>
      <c r="X79">
        <v>507</v>
      </c>
    </row>
    <row r="80" spans="1:24">
      <c r="A80" s="7" t="s">
        <v>160</v>
      </c>
      <c r="B80" s="16" t="s">
        <v>161</v>
      </c>
      <c r="C80">
        <v>188707181.79122111</v>
      </c>
      <c r="D80">
        <v>194228038.92347294</v>
      </c>
      <c r="E80">
        <v>1216936.9369369471</v>
      </c>
      <c r="F80">
        <v>5575675.6756756837</v>
      </c>
      <c r="G80">
        <v>93</v>
      </c>
      <c r="H80">
        <v>115</v>
      </c>
      <c r="I80">
        <v>34</v>
      </c>
      <c r="J80">
        <v>38</v>
      </c>
      <c r="M80">
        <v>161</v>
      </c>
      <c r="N80">
        <v>225</v>
      </c>
      <c r="O80">
        <v>47478250.45045045</v>
      </c>
      <c r="P80">
        <v>60867773.873873882</v>
      </c>
      <c r="Q80">
        <v>181</v>
      </c>
      <c r="R80">
        <v>234</v>
      </c>
      <c r="S80">
        <v>79723450.45045045</v>
      </c>
      <c r="T80">
        <v>85307153.153153151</v>
      </c>
      <c r="U80">
        <v>54268738.738738738</v>
      </c>
      <c r="V80">
        <v>60544414.414414413</v>
      </c>
      <c r="W80">
        <v>5984</v>
      </c>
      <c r="X80">
        <v>5870</v>
      </c>
    </row>
    <row r="81" spans="1:24">
      <c r="A81" s="7" t="s">
        <v>162</v>
      </c>
      <c r="B81" s="16" t="s">
        <v>76</v>
      </c>
      <c r="C81">
        <v>88669400.964660302</v>
      </c>
      <c r="D81">
        <v>86678295.212428078</v>
      </c>
      <c r="E81">
        <v>120189864.86486487</v>
      </c>
      <c r="F81">
        <v>74053153.153153151</v>
      </c>
      <c r="G81">
        <v>18</v>
      </c>
      <c r="H81">
        <v>40</v>
      </c>
      <c r="I81">
        <v>1</v>
      </c>
      <c r="J81">
        <v>1</v>
      </c>
      <c r="M81">
        <v>20</v>
      </c>
      <c r="N81">
        <v>43</v>
      </c>
      <c r="O81">
        <v>1319594.5945945941</v>
      </c>
      <c r="P81">
        <v>1687387.387387387</v>
      </c>
      <c r="Q81">
        <v>11</v>
      </c>
      <c r="R81">
        <v>9</v>
      </c>
      <c r="S81">
        <v>5120945.9459459456</v>
      </c>
      <c r="T81">
        <v>4887612.6126126116</v>
      </c>
      <c r="U81">
        <v>1367747.747747747</v>
      </c>
      <c r="V81">
        <v>1294774.7747747749</v>
      </c>
      <c r="W81">
        <v>999</v>
      </c>
      <c r="X81">
        <v>954</v>
      </c>
    </row>
    <row r="82" spans="1:24">
      <c r="A82" s="7" t="s">
        <v>163</v>
      </c>
      <c r="B82" s="16" t="s">
        <v>52</v>
      </c>
      <c r="C82">
        <v>67243364.509237871</v>
      </c>
      <c r="D82">
        <v>67148900.944221079</v>
      </c>
      <c r="E82">
        <v>808783.78378378402</v>
      </c>
      <c r="F82">
        <v>1102702.702702703</v>
      </c>
      <c r="G82">
        <v>9</v>
      </c>
      <c r="H82">
        <v>23</v>
      </c>
      <c r="I82">
        <v>1</v>
      </c>
      <c r="J82">
        <v>4</v>
      </c>
      <c r="M82">
        <v>11</v>
      </c>
      <c r="N82">
        <v>28</v>
      </c>
      <c r="O82">
        <v>1731531.5315315321</v>
      </c>
      <c r="P82">
        <v>1354954.954954955</v>
      </c>
      <c r="Q82">
        <v>2</v>
      </c>
      <c r="R82">
        <v>16</v>
      </c>
      <c r="S82">
        <v>33191342.342342343</v>
      </c>
      <c r="T82">
        <v>32754099.0990991</v>
      </c>
      <c r="U82">
        <v>1580540.5405405399</v>
      </c>
      <c r="V82">
        <v>1412972.972972973</v>
      </c>
      <c r="W82">
        <v>1514</v>
      </c>
      <c r="X82">
        <v>1554</v>
      </c>
    </row>
    <row r="83" spans="1:24">
      <c r="A83" s="7" t="s">
        <v>164</v>
      </c>
      <c r="B83" s="16" t="s">
        <v>87</v>
      </c>
      <c r="C83">
        <v>58147601.817549646</v>
      </c>
      <c r="D83">
        <v>34982469.140452333</v>
      </c>
      <c r="E83">
        <v>48648.648648649003</v>
      </c>
      <c r="F83">
        <v>144144.144144144</v>
      </c>
      <c r="G83">
        <v>85</v>
      </c>
      <c r="H83">
        <v>11</v>
      </c>
      <c r="I83">
        <v>1</v>
      </c>
      <c r="J83">
        <v>1</v>
      </c>
      <c r="M83">
        <v>91</v>
      </c>
      <c r="N83">
        <v>12</v>
      </c>
      <c r="O83">
        <v>1913513.5135135129</v>
      </c>
      <c r="P83">
        <v>1526126.1261261259</v>
      </c>
      <c r="Q83">
        <v>30</v>
      </c>
      <c r="R83">
        <v>101</v>
      </c>
      <c r="S83">
        <v>5895945.9459459456</v>
      </c>
      <c r="T83">
        <v>3255090.0900900899</v>
      </c>
      <c r="U83">
        <v>2334594.594594595</v>
      </c>
      <c r="V83">
        <v>1385045.045045044</v>
      </c>
      <c r="W83">
        <v>1233</v>
      </c>
      <c r="X83">
        <v>1139</v>
      </c>
    </row>
    <row r="84" spans="1:24">
      <c r="A84" s="7" t="s">
        <v>165</v>
      </c>
      <c r="B84" s="16" t="s">
        <v>143</v>
      </c>
      <c r="C84">
        <v>10496864.202627191</v>
      </c>
      <c r="D84">
        <v>11736009.03680991</v>
      </c>
      <c r="E84">
        <v>287387.38738738699</v>
      </c>
      <c r="F84">
        <v>121621.62162162201</v>
      </c>
      <c r="G84">
        <v>6</v>
      </c>
      <c r="H84">
        <v>10</v>
      </c>
      <c r="I84">
        <v>3</v>
      </c>
      <c r="J84">
        <v>2</v>
      </c>
      <c r="M84">
        <v>8</v>
      </c>
      <c r="N84">
        <v>10</v>
      </c>
      <c r="O84">
        <v>3098198.1981981979</v>
      </c>
      <c r="P84">
        <v>1626126.1261261259</v>
      </c>
      <c r="Q84">
        <v>25</v>
      </c>
      <c r="R84">
        <v>11</v>
      </c>
      <c r="S84">
        <v>1631441.441441441</v>
      </c>
      <c r="T84">
        <v>1429477.4774774769</v>
      </c>
      <c r="U84">
        <v>2001891.8918918909</v>
      </c>
      <c r="V84">
        <v>673333.33333333302</v>
      </c>
      <c r="W84">
        <v>333</v>
      </c>
      <c r="X84">
        <v>329</v>
      </c>
    </row>
    <row r="85" spans="1:24">
      <c r="A85" s="7" t="s">
        <v>166</v>
      </c>
      <c r="B85" s="16" t="s">
        <v>167</v>
      </c>
      <c r="C85">
        <v>44498920.978365563</v>
      </c>
      <c r="D85">
        <v>47693947.181813478</v>
      </c>
      <c r="E85">
        <v>2043243.2432432431</v>
      </c>
      <c r="F85">
        <v>6352252.2522522528</v>
      </c>
      <c r="G85">
        <v>24</v>
      </c>
      <c r="H85">
        <v>10</v>
      </c>
      <c r="I85">
        <v>3</v>
      </c>
      <c r="J85">
        <v>2</v>
      </c>
      <c r="M85">
        <v>26</v>
      </c>
      <c r="N85">
        <v>11</v>
      </c>
      <c r="O85">
        <v>4650980.1801801817</v>
      </c>
      <c r="P85">
        <v>4611261.2612612611</v>
      </c>
      <c r="R85">
        <v>32</v>
      </c>
      <c r="S85">
        <v>20768063.063063063</v>
      </c>
      <c r="T85">
        <v>23173385.585585583</v>
      </c>
      <c r="U85">
        <v>4550990.9909909926</v>
      </c>
      <c r="V85">
        <v>4064774.774774774</v>
      </c>
      <c r="W85">
        <v>1366</v>
      </c>
      <c r="X85">
        <v>1384</v>
      </c>
    </row>
    <row r="86" spans="1:24">
      <c r="A86" s="7" t="s">
        <v>168</v>
      </c>
      <c r="B86" s="16" t="s">
        <v>169</v>
      </c>
      <c r="C86">
        <v>213706060.93432009</v>
      </c>
      <c r="D86">
        <v>221507971.52558243</v>
      </c>
      <c r="E86">
        <v>792342.34234234295</v>
      </c>
      <c r="F86">
        <v>1484684.6846846871</v>
      </c>
      <c r="G86">
        <v>52</v>
      </c>
      <c r="H86">
        <v>31</v>
      </c>
      <c r="I86">
        <v>6</v>
      </c>
      <c r="J86">
        <v>3</v>
      </c>
      <c r="K86">
        <v>1</v>
      </c>
      <c r="M86">
        <v>62</v>
      </c>
      <c r="N86">
        <v>50</v>
      </c>
      <c r="O86">
        <v>27341891.891891893</v>
      </c>
      <c r="P86">
        <v>37268718.018018015</v>
      </c>
      <c r="Q86">
        <v>125</v>
      </c>
      <c r="R86">
        <v>28</v>
      </c>
      <c r="S86">
        <v>59375342.342342347</v>
      </c>
      <c r="T86">
        <v>68642650.9009009</v>
      </c>
      <c r="U86">
        <v>26341081.081081081</v>
      </c>
      <c r="V86">
        <v>35362612.612612613</v>
      </c>
      <c r="W86">
        <v>6309</v>
      </c>
      <c r="X86">
        <v>6833</v>
      </c>
    </row>
    <row r="87" spans="1:24">
      <c r="A87" s="7" t="s">
        <v>170</v>
      </c>
      <c r="B87" s="16" t="s">
        <v>54</v>
      </c>
      <c r="C87">
        <v>32626678.55500133</v>
      </c>
      <c r="D87">
        <v>32735265.826750871</v>
      </c>
      <c r="E87">
        <v>45945.945945947002</v>
      </c>
      <c r="F87">
        <v>381081.08108108101</v>
      </c>
      <c r="G87">
        <v>3</v>
      </c>
      <c r="H87">
        <v>2</v>
      </c>
      <c r="I87">
        <v>2</v>
      </c>
      <c r="J87">
        <v>1</v>
      </c>
      <c r="M87">
        <v>5</v>
      </c>
      <c r="N87">
        <v>3</v>
      </c>
      <c r="O87">
        <v>4798198.1981981993</v>
      </c>
      <c r="P87">
        <v>2680630.630630631</v>
      </c>
      <c r="Q87">
        <v>18</v>
      </c>
      <c r="R87">
        <v>6</v>
      </c>
      <c r="S87">
        <v>5412522.5225225221</v>
      </c>
      <c r="T87">
        <v>5260720.7207207195</v>
      </c>
      <c r="U87">
        <v>4593963.9639639631</v>
      </c>
      <c r="V87">
        <v>3234234.2342342339</v>
      </c>
      <c r="W87">
        <v>695</v>
      </c>
      <c r="X87">
        <v>692</v>
      </c>
    </row>
    <row r="88" spans="1:24">
      <c r="A88" s="7" t="s">
        <v>171</v>
      </c>
      <c r="B88" s="16" t="s">
        <v>60</v>
      </c>
      <c r="C88">
        <v>705342208.64095843</v>
      </c>
      <c r="D88">
        <v>684421938.03077519</v>
      </c>
      <c r="E88">
        <v>4065090.0900900918</v>
      </c>
      <c r="F88">
        <v>7798198.1981982011</v>
      </c>
      <c r="G88">
        <v>148</v>
      </c>
      <c r="H88">
        <v>178</v>
      </c>
      <c r="I88">
        <v>24</v>
      </c>
      <c r="J88">
        <v>35</v>
      </c>
      <c r="M88">
        <v>163</v>
      </c>
      <c r="N88">
        <v>205</v>
      </c>
      <c r="O88">
        <v>38529729.729729727</v>
      </c>
      <c r="P88">
        <v>32911711.711711712</v>
      </c>
      <c r="Q88">
        <v>271</v>
      </c>
      <c r="R88">
        <v>159</v>
      </c>
      <c r="S88">
        <v>242318085.58558559</v>
      </c>
      <c r="T88">
        <v>252461270.27027026</v>
      </c>
      <c r="U88">
        <v>41052972.972972967</v>
      </c>
      <c r="V88">
        <v>32773963.963963963</v>
      </c>
      <c r="W88">
        <v>12043</v>
      </c>
      <c r="X88">
        <v>11654</v>
      </c>
    </row>
    <row r="89" spans="1:24">
      <c r="A89" s="7" t="s">
        <v>172</v>
      </c>
      <c r="B89" s="16" t="s">
        <v>121</v>
      </c>
      <c r="C89">
        <v>294699370.7882458</v>
      </c>
      <c r="D89">
        <v>280747726.15690029</v>
      </c>
      <c r="E89">
        <v>1172072.072072075</v>
      </c>
      <c r="F89">
        <v>1691891.8918918939</v>
      </c>
      <c r="G89">
        <v>197</v>
      </c>
      <c r="H89">
        <v>107</v>
      </c>
      <c r="I89">
        <v>16</v>
      </c>
      <c r="J89">
        <v>13</v>
      </c>
      <c r="M89">
        <v>211</v>
      </c>
      <c r="N89">
        <v>119</v>
      </c>
      <c r="O89">
        <v>21857657.657657657</v>
      </c>
      <c r="P89">
        <v>19454954.954954956</v>
      </c>
      <c r="Q89">
        <v>189</v>
      </c>
      <c r="R89">
        <v>79</v>
      </c>
      <c r="S89">
        <v>41944189.189189181</v>
      </c>
      <c r="T89">
        <v>39082195.945945941</v>
      </c>
      <c r="U89">
        <v>16998738.738738742</v>
      </c>
      <c r="V89">
        <v>13046126.126126124</v>
      </c>
      <c r="W89">
        <v>5970</v>
      </c>
      <c r="X89">
        <v>5599</v>
      </c>
    </row>
    <row r="90" spans="1:24">
      <c r="A90" s="7" t="s">
        <v>173</v>
      </c>
      <c r="B90" s="16" t="s">
        <v>174</v>
      </c>
      <c r="C90">
        <v>211982165.44008845</v>
      </c>
      <c r="D90">
        <v>202595527.60293224</v>
      </c>
      <c r="E90">
        <v>131616797.2972973</v>
      </c>
      <c r="F90">
        <v>122212607.2072072</v>
      </c>
      <c r="G90">
        <v>68</v>
      </c>
      <c r="H90">
        <v>40</v>
      </c>
      <c r="I90">
        <v>16</v>
      </c>
      <c r="J90">
        <v>14</v>
      </c>
      <c r="K90">
        <v>5</v>
      </c>
      <c r="M90">
        <v>82</v>
      </c>
      <c r="N90">
        <v>153</v>
      </c>
      <c r="O90">
        <v>37405810.810810804</v>
      </c>
      <c r="P90">
        <v>50084234.234234229</v>
      </c>
      <c r="Q90">
        <v>424</v>
      </c>
      <c r="R90">
        <v>690</v>
      </c>
      <c r="S90">
        <v>25545018.018018015</v>
      </c>
      <c r="T90">
        <v>24809837.837837841</v>
      </c>
      <c r="U90">
        <v>22113873.873873871</v>
      </c>
      <c r="V90">
        <v>30881441.441441439</v>
      </c>
      <c r="W90">
        <v>4565</v>
      </c>
      <c r="X90">
        <v>4502</v>
      </c>
    </row>
    <row r="91" spans="1:24">
      <c r="A91" s="7" t="s">
        <v>175</v>
      </c>
      <c r="B91" s="16" t="s">
        <v>174</v>
      </c>
      <c r="C91">
        <v>321593848.65540248</v>
      </c>
      <c r="D91">
        <v>317690093.36146688</v>
      </c>
      <c r="E91">
        <v>888288.28828829399</v>
      </c>
      <c r="F91">
        <v>2251126.1261261292</v>
      </c>
      <c r="G91">
        <v>132</v>
      </c>
      <c r="H91">
        <v>118</v>
      </c>
      <c r="I91">
        <v>29</v>
      </c>
      <c r="J91">
        <v>15</v>
      </c>
      <c r="K91">
        <v>1</v>
      </c>
      <c r="M91">
        <v>153</v>
      </c>
      <c r="N91">
        <v>182</v>
      </c>
      <c r="O91">
        <v>55374720.720720723</v>
      </c>
      <c r="P91">
        <v>42981981.981981978</v>
      </c>
      <c r="Q91">
        <v>391</v>
      </c>
      <c r="R91">
        <v>332</v>
      </c>
      <c r="S91">
        <v>56436282.882882878</v>
      </c>
      <c r="T91">
        <v>53275711.711711712</v>
      </c>
      <c r="U91">
        <v>46519816.216216214</v>
      </c>
      <c r="V91">
        <v>36517657.657657653</v>
      </c>
      <c r="W91">
        <v>8698</v>
      </c>
      <c r="X91">
        <v>9981</v>
      </c>
    </row>
    <row r="92" spans="1:24">
      <c r="A92" s="7" t="s">
        <v>176</v>
      </c>
      <c r="B92" s="16" t="s">
        <v>174</v>
      </c>
      <c r="C92">
        <v>434657904.91856736</v>
      </c>
      <c r="D92">
        <v>432331701.46672863</v>
      </c>
      <c r="E92">
        <v>433333.33333333599</v>
      </c>
      <c r="F92">
        <v>1790315.3153153199</v>
      </c>
      <c r="G92">
        <v>229</v>
      </c>
      <c r="H92">
        <v>208</v>
      </c>
      <c r="I92">
        <v>20</v>
      </c>
      <c r="J92">
        <v>18</v>
      </c>
      <c r="K92">
        <v>4</v>
      </c>
      <c r="M92">
        <v>286</v>
      </c>
      <c r="N92">
        <v>275</v>
      </c>
      <c r="O92">
        <v>58778836.036036029</v>
      </c>
      <c r="P92">
        <v>42009009.009009011</v>
      </c>
      <c r="Q92">
        <v>371</v>
      </c>
      <c r="R92">
        <v>93</v>
      </c>
      <c r="S92">
        <v>73809022.522522524</v>
      </c>
      <c r="T92">
        <v>66708905.40540541</v>
      </c>
      <c r="U92">
        <v>40653873.873873875</v>
      </c>
      <c r="V92">
        <v>35223333.333333328</v>
      </c>
      <c r="W92">
        <v>11640</v>
      </c>
      <c r="X92">
        <v>14227</v>
      </c>
    </row>
    <row r="93" spans="1:24">
      <c r="A93" s="7" t="s">
        <v>177</v>
      </c>
      <c r="B93" s="16" t="s">
        <v>178</v>
      </c>
      <c r="C93">
        <v>156278138.67402989</v>
      </c>
      <c r="D93">
        <v>146400631.84885204</v>
      </c>
      <c r="E93">
        <v>541441.441441442</v>
      </c>
      <c r="F93">
        <v>485585.58558558603</v>
      </c>
      <c r="G93">
        <v>52</v>
      </c>
      <c r="H93">
        <v>29</v>
      </c>
      <c r="I93">
        <v>0</v>
      </c>
      <c r="J93">
        <v>5</v>
      </c>
      <c r="M93">
        <v>62</v>
      </c>
      <c r="N93">
        <v>37</v>
      </c>
      <c r="O93">
        <v>7977563.0630630627</v>
      </c>
      <c r="P93">
        <v>9602027.0270270277</v>
      </c>
      <c r="Q93">
        <v>39</v>
      </c>
      <c r="R93">
        <v>12</v>
      </c>
      <c r="S93">
        <v>53423153.153153151</v>
      </c>
      <c r="T93">
        <v>60165439.639639638</v>
      </c>
      <c r="U93">
        <v>5575135.1351351365</v>
      </c>
      <c r="V93">
        <v>9152297.2972972952</v>
      </c>
      <c r="W93">
        <v>3702</v>
      </c>
      <c r="X93">
        <v>3515</v>
      </c>
    </row>
    <row r="94" spans="1:24">
      <c r="A94" s="7" t="s">
        <v>179</v>
      </c>
      <c r="B94" s="16" t="s">
        <v>167</v>
      </c>
      <c r="C94">
        <v>196348359.15730637</v>
      </c>
      <c r="D94">
        <v>171810161.46144789</v>
      </c>
      <c r="E94">
        <v>622522.52252252295</v>
      </c>
      <c r="F94">
        <v>2044819.8198198201</v>
      </c>
      <c r="G94">
        <v>80</v>
      </c>
      <c r="H94">
        <v>26</v>
      </c>
      <c r="I94">
        <v>1</v>
      </c>
      <c r="J94">
        <v>3</v>
      </c>
      <c r="M94">
        <v>88</v>
      </c>
      <c r="N94">
        <v>48</v>
      </c>
      <c r="O94">
        <v>6624234.2342342352</v>
      </c>
      <c r="P94">
        <v>4609909.9099099115</v>
      </c>
      <c r="Q94">
        <v>43</v>
      </c>
      <c r="S94">
        <v>47913648.648648649</v>
      </c>
      <c r="T94">
        <v>43531135.135135137</v>
      </c>
      <c r="U94">
        <v>8032792.7927927943</v>
      </c>
      <c r="V94">
        <v>2602252.2522522551</v>
      </c>
      <c r="W94">
        <v>4702</v>
      </c>
      <c r="X94">
        <v>4768</v>
      </c>
    </row>
    <row r="95" spans="1:24">
      <c r="A95" s="7" t="s">
        <v>180</v>
      </c>
      <c r="B95" s="16" t="s">
        <v>181</v>
      </c>
      <c r="C95">
        <v>148020611.38973588</v>
      </c>
      <c r="D95">
        <v>139434218.35869139</v>
      </c>
      <c r="E95">
        <v>5405.4054054059998</v>
      </c>
      <c r="F95">
        <v>357657.65765765798</v>
      </c>
      <c r="G95">
        <v>20</v>
      </c>
      <c r="H95">
        <v>20</v>
      </c>
      <c r="I95">
        <v>1</v>
      </c>
      <c r="J95">
        <v>1</v>
      </c>
      <c r="M95">
        <v>21</v>
      </c>
      <c r="N95">
        <v>26</v>
      </c>
      <c r="O95">
        <v>8533783.7837837841</v>
      </c>
      <c r="P95">
        <v>7767387.3873873837</v>
      </c>
      <c r="Q95">
        <v>43</v>
      </c>
      <c r="R95">
        <v>54</v>
      </c>
      <c r="S95">
        <v>30663153.153153151</v>
      </c>
      <c r="T95">
        <v>34949551.801801801</v>
      </c>
      <c r="U95">
        <v>10758108.108108105</v>
      </c>
      <c r="V95">
        <v>9752252.2522522472</v>
      </c>
      <c r="W95">
        <v>2948</v>
      </c>
      <c r="X95">
        <v>3019</v>
      </c>
    </row>
    <row r="96" spans="1:24">
      <c r="A96" s="7" t="s">
        <v>672</v>
      </c>
      <c r="B96" s="16" t="s">
        <v>68</v>
      </c>
      <c r="X96">
        <v>2</v>
      </c>
    </row>
    <row r="97" spans="1:24">
      <c r="A97" s="7" t="s">
        <v>182</v>
      </c>
      <c r="B97" s="16" t="s">
        <v>94</v>
      </c>
      <c r="C97">
        <v>130543592.40869202</v>
      </c>
      <c r="D97">
        <v>136076402.50134677</v>
      </c>
      <c r="E97">
        <v>141441.44144144101</v>
      </c>
      <c r="F97">
        <v>54054.054054054002</v>
      </c>
      <c r="G97">
        <v>58</v>
      </c>
      <c r="H97">
        <v>41</v>
      </c>
      <c r="I97">
        <v>0</v>
      </c>
      <c r="J97">
        <v>0</v>
      </c>
      <c r="K97">
        <v>1</v>
      </c>
      <c r="M97">
        <v>68</v>
      </c>
      <c r="N97">
        <v>52</v>
      </c>
      <c r="O97">
        <v>141441.44144144101</v>
      </c>
      <c r="P97">
        <v>4477477.4774774769</v>
      </c>
      <c r="R97">
        <v>17</v>
      </c>
      <c r="S97">
        <v>11774054.054054054</v>
      </c>
      <c r="T97">
        <v>14800981.981981982</v>
      </c>
      <c r="U97">
        <v>992882.88288288296</v>
      </c>
      <c r="V97">
        <v>1633963.963963964</v>
      </c>
      <c r="W97">
        <v>3861</v>
      </c>
      <c r="X97">
        <v>3643</v>
      </c>
    </row>
    <row r="98" spans="1:24">
      <c r="A98" s="7" t="s">
        <v>183</v>
      </c>
      <c r="B98" s="16" t="s">
        <v>94</v>
      </c>
      <c r="C98">
        <v>883366681.6075114</v>
      </c>
      <c r="D98">
        <v>831902026.98542452</v>
      </c>
      <c r="E98">
        <v>544747965.76576579</v>
      </c>
      <c r="F98">
        <v>962580420.72072077</v>
      </c>
      <c r="G98">
        <v>214</v>
      </c>
      <c r="H98">
        <v>162</v>
      </c>
      <c r="I98">
        <v>31</v>
      </c>
      <c r="J98">
        <v>23</v>
      </c>
      <c r="K98">
        <v>2</v>
      </c>
      <c r="M98">
        <v>239</v>
      </c>
      <c r="N98">
        <v>200</v>
      </c>
      <c r="O98">
        <v>46844594.59459459</v>
      </c>
      <c r="P98">
        <v>55246396.396396391</v>
      </c>
      <c r="Q98">
        <v>158</v>
      </c>
      <c r="R98">
        <v>523</v>
      </c>
      <c r="S98">
        <v>101224662.16216215</v>
      </c>
      <c r="T98">
        <v>102138421.17117117</v>
      </c>
      <c r="U98">
        <v>42161531.531531528</v>
      </c>
      <c r="V98">
        <v>45211981.981981985</v>
      </c>
      <c r="W98">
        <v>16205</v>
      </c>
      <c r="X98">
        <v>15951</v>
      </c>
    </row>
    <row r="99" spans="1:24">
      <c r="A99" s="7" t="s">
        <v>184</v>
      </c>
      <c r="B99" s="16" t="s">
        <v>89</v>
      </c>
      <c r="C99">
        <v>78680604.363846526</v>
      </c>
      <c r="D99">
        <v>75070328.63973929</v>
      </c>
      <c r="E99">
        <v>1047297.297297298</v>
      </c>
      <c r="F99">
        <v>695270.27027027099</v>
      </c>
      <c r="G99">
        <v>16</v>
      </c>
      <c r="H99">
        <v>17</v>
      </c>
      <c r="I99">
        <v>2</v>
      </c>
      <c r="J99">
        <v>5</v>
      </c>
      <c r="M99">
        <v>17</v>
      </c>
      <c r="N99">
        <v>19</v>
      </c>
      <c r="O99">
        <v>2835585.5855855849</v>
      </c>
      <c r="P99">
        <v>3356216.2162162159</v>
      </c>
      <c r="Q99">
        <v>25</v>
      </c>
      <c r="R99">
        <v>45</v>
      </c>
      <c r="S99">
        <v>24974369.369369369</v>
      </c>
      <c r="T99">
        <v>25460792.792792793</v>
      </c>
      <c r="U99">
        <v>2773603.6036036038</v>
      </c>
      <c r="V99">
        <v>3410540.5405405411</v>
      </c>
      <c r="W99">
        <v>1816</v>
      </c>
      <c r="X99">
        <v>1607</v>
      </c>
    </row>
    <row r="100" spans="1:24">
      <c r="A100" s="7" t="s">
        <v>185</v>
      </c>
      <c r="B100" s="16" t="s">
        <v>60</v>
      </c>
      <c r="C100">
        <v>43256986.310156018</v>
      </c>
      <c r="D100">
        <v>45027698.148513928</v>
      </c>
      <c r="E100">
        <v>360360.36036036001</v>
      </c>
      <c r="F100">
        <v>259459.45945946101</v>
      </c>
      <c r="G100">
        <v>6</v>
      </c>
      <c r="H100">
        <v>10</v>
      </c>
      <c r="I100">
        <v>1</v>
      </c>
      <c r="J100">
        <v>3</v>
      </c>
      <c r="M100">
        <v>6</v>
      </c>
      <c r="N100">
        <v>11</v>
      </c>
      <c r="O100">
        <v>2756306.3063063058</v>
      </c>
      <c r="P100">
        <v>1250450.450450452</v>
      </c>
      <c r="Q100">
        <v>13</v>
      </c>
      <c r="S100">
        <v>15720945.945945946</v>
      </c>
      <c r="T100">
        <v>15621731.981981982</v>
      </c>
      <c r="U100">
        <v>2255855.8558558552</v>
      </c>
      <c r="V100">
        <v>953603.60360360402</v>
      </c>
      <c r="W100">
        <v>811</v>
      </c>
      <c r="X100">
        <v>812</v>
      </c>
    </row>
    <row r="101" spans="1:24">
      <c r="A101" s="7" t="s">
        <v>186</v>
      </c>
      <c r="B101" s="16" t="s">
        <v>167</v>
      </c>
      <c r="C101">
        <v>105082239.88922697</v>
      </c>
      <c r="D101">
        <v>112791541.86453353</v>
      </c>
      <c r="E101">
        <v>7207.207207208</v>
      </c>
      <c r="F101">
        <v>1630405.4054054059</v>
      </c>
      <c r="G101">
        <v>21</v>
      </c>
      <c r="H101">
        <v>5</v>
      </c>
      <c r="I101">
        <v>2</v>
      </c>
      <c r="J101">
        <v>5</v>
      </c>
      <c r="M101">
        <v>27</v>
      </c>
      <c r="N101">
        <v>6</v>
      </c>
      <c r="O101">
        <v>268468.468468468</v>
      </c>
      <c r="P101">
        <v>1671171.1711711721</v>
      </c>
      <c r="S101">
        <v>26332927.927927926</v>
      </c>
      <c r="T101">
        <v>29998540.540540539</v>
      </c>
      <c r="U101">
        <v>396396.39639639598</v>
      </c>
      <c r="V101">
        <v>268828.82882882899</v>
      </c>
      <c r="W101">
        <v>2742</v>
      </c>
      <c r="X101">
        <v>2624</v>
      </c>
    </row>
    <row r="102" spans="1:24">
      <c r="A102" s="7" t="s">
        <v>187</v>
      </c>
      <c r="B102" s="16" t="s">
        <v>167</v>
      </c>
      <c r="C102">
        <v>315737208.17177302</v>
      </c>
      <c r="D102">
        <v>297566841.75135416</v>
      </c>
      <c r="E102">
        <v>22522.522522523999</v>
      </c>
      <c r="F102">
        <v>1033333.333333336</v>
      </c>
      <c r="G102">
        <v>95</v>
      </c>
      <c r="H102">
        <v>32</v>
      </c>
      <c r="I102">
        <v>3</v>
      </c>
      <c r="J102">
        <v>7</v>
      </c>
      <c r="M102">
        <v>109</v>
      </c>
      <c r="N102">
        <v>36</v>
      </c>
      <c r="O102">
        <v>8463963.9639639668</v>
      </c>
      <c r="P102">
        <v>12394175.675675675</v>
      </c>
      <c r="Q102">
        <v>30</v>
      </c>
      <c r="R102">
        <v>15</v>
      </c>
      <c r="S102">
        <v>63401495.495495498</v>
      </c>
      <c r="T102">
        <v>60482531.531531535</v>
      </c>
      <c r="U102">
        <v>8378288.2882882869</v>
      </c>
      <c r="V102">
        <v>9370720.7207207233</v>
      </c>
      <c r="W102">
        <v>5843</v>
      </c>
      <c r="X102">
        <v>5430</v>
      </c>
    </row>
    <row r="103" spans="1:24">
      <c r="A103" s="7" t="s">
        <v>188</v>
      </c>
      <c r="B103" s="16" t="s">
        <v>189</v>
      </c>
      <c r="C103">
        <v>138735132.23468807</v>
      </c>
      <c r="D103">
        <v>131151174.64913021</v>
      </c>
      <c r="E103">
        <v>632432.43243243196</v>
      </c>
      <c r="F103">
        <v>270270.27027027</v>
      </c>
      <c r="G103">
        <v>23</v>
      </c>
      <c r="H103">
        <v>19</v>
      </c>
      <c r="I103">
        <v>0</v>
      </c>
      <c r="M103">
        <v>25</v>
      </c>
      <c r="N103">
        <v>22</v>
      </c>
      <c r="O103">
        <v>2614414.4144144142</v>
      </c>
      <c r="P103">
        <v>2072072.072072072</v>
      </c>
      <c r="Q103">
        <v>1</v>
      </c>
      <c r="S103">
        <v>10832612.612612613</v>
      </c>
      <c r="T103">
        <v>9582288.2882882878</v>
      </c>
      <c r="U103">
        <v>2447747.7477477482</v>
      </c>
      <c r="V103">
        <v>1700900.9009009011</v>
      </c>
      <c r="W103">
        <v>1700</v>
      </c>
      <c r="X103">
        <v>1654</v>
      </c>
    </row>
    <row r="104" spans="1:24">
      <c r="A104" s="7" t="s">
        <v>190</v>
      </c>
      <c r="B104" s="16" t="s">
        <v>134</v>
      </c>
      <c r="C104">
        <v>31703577.835283581</v>
      </c>
      <c r="D104">
        <v>31250772.951153941</v>
      </c>
      <c r="F104">
        <v>13513.513513514001</v>
      </c>
      <c r="G104">
        <v>16</v>
      </c>
      <c r="H104">
        <v>19</v>
      </c>
      <c r="J104">
        <v>0</v>
      </c>
      <c r="M104">
        <v>19</v>
      </c>
      <c r="N104">
        <v>20</v>
      </c>
      <c r="O104">
        <v>45045.045045045001</v>
      </c>
      <c r="P104">
        <v>58558.558558559002</v>
      </c>
      <c r="Q104">
        <v>5</v>
      </c>
      <c r="R104">
        <v>6</v>
      </c>
      <c r="S104">
        <v>3742657.6576576568</v>
      </c>
      <c r="T104">
        <v>2272657.6576576582</v>
      </c>
      <c r="U104">
        <v>45045.045045045001</v>
      </c>
      <c r="V104">
        <v>166666.66666666701</v>
      </c>
      <c r="W104">
        <v>1360</v>
      </c>
      <c r="X104">
        <v>932</v>
      </c>
    </row>
    <row r="105" spans="1:24">
      <c r="A105" s="7" t="s">
        <v>191</v>
      </c>
      <c r="B105" s="16" t="s">
        <v>60</v>
      </c>
      <c r="C105">
        <v>200707389.8216503</v>
      </c>
      <c r="D105">
        <v>187863184.27280039</v>
      </c>
      <c r="E105">
        <v>1330630.630630631</v>
      </c>
      <c r="F105">
        <v>2733108.108108107</v>
      </c>
      <c r="G105">
        <v>45</v>
      </c>
      <c r="H105">
        <v>18</v>
      </c>
      <c r="I105">
        <v>3</v>
      </c>
      <c r="J105">
        <v>10</v>
      </c>
      <c r="M105">
        <v>63</v>
      </c>
      <c r="N105">
        <v>73</v>
      </c>
      <c r="O105">
        <v>12663963.963963963</v>
      </c>
      <c r="P105">
        <v>16553153.153153151</v>
      </c>
      <c r="Q105">
        <v>71</v>
      </c>
      <c r="R105">
        <v>121</v>
      </c>
      <c r="S105">
        <v>65960972.972972974</v>
      </c>
      <c r="T105">
        <v>62417162.162162162</v>
      </c>
      <c r="U105">
        <v>14265045.045045044</v>
      </c>
      <c r="V105">
        <v>15316936.936936937</v>
      </c>
      <c r="W105">
        <v>4027</v>
      </c>
      <c r="X105">
        <v>3853</v>
      </c>
    </row>
    <row r="106" spans="1:24">
      <c r="A106" s="7" t="s">
        <v>192</v>
      </c>
      <c r="B106" s="16" t="s">
        <v>60</v>
      </c>
      <c r="C106">
        <v>340606583.87336737</v>
      </c>
      <c r="D106">
        <v>324365745.60151488</v>
      </c>
      <c r="E106">
        <v>2621621.6216216218</v>
      </c>
      <c r="F106">
        <v>2804504.5045045041</v>
      </c>
      <c r="G106">
        <v>59</v>
      </c>
      <c r="H106">
        <v>26</v>
      </c>
      <c r="I106">
        <v>3</v>
      </c>
      <c r="J106">
        <v>9</v>
      </c>
      <c r="M106">
        <v>66</v>
      </c>
      <c r="N106">
        <v>36</v>
      </c>
      <c r="O106">
        <v>12238738.73873874</v>
      </c>
      <c r="P106">
        <v>18272972.97297297</v>
      </c>
      <c r="Q106">
        <v>56</v>
      </c>
      <c r="R106">
        <v>51</v>
      </c>
      <c r="S106">
        <v>78595945.945945948</v>
      </c>
      <c r="T106">
        <v>77827225.225225225</v>
      </c>
      <c r="U106">
        <v>12636666.666666668</v>
      </c>
      <c r="V106">
        <v>18077207.207207207</v>
      </c>
      <c r="W106">
        <v>6534</v>
      </c>
      <c r="X106">
        <v>6512</v>
      </c>
    </row>
    <row r="107" spans="1:24">
      <c r="A107" s="7" t="s">
        <v>2</v>
      </c>
      <c r="B107" s="16" t="s">
        <v>193</v>
      </c>
      <c r="C107">
        <v>43652986.415352896</v>
      </c>
      <c r="D107">
        <v>34841043.134335563</v>
      </c>
      <c r="E107">
        <v>57657.657657657001</v>
      </c>
      <c r="F107">
        <v>310810.81081081199</v>
      </c>
      <c r="G107">
        <v>9</v>
      </c>
      <c r="H107">
        <v>4</v>
      </c>
      <c r="I107">
        <v>3</v>
      </c>
      <c r="J107">
        <v>0</v>
      </c>
      <c r="M107">
        <v>10</v>
      </c>
      <c r="N107">
        <v>5</v>
      </c>
      <c r="O107">
        <v>324324.32432432403</v>
      </c>
      <c r="P107">
        <v>6662162.1621621633</v>
      </c>
      <c r="Q107">
        <v>6</v>
      </c>
      <c r="S107">
        <v>23028378.378378376</v>
      </c>
      <c r="T107">
        <v>19572693.693693697</v>
      </c>
      <c r="U107">
        <v>330180.18018018099</v>
      </c>
      <c r="V107">
        <v>6509009.0090090092</v>
      </c>
      <c r="W107">
        <v>1009</v>
      </c>
      <c r="X107">
        <v>1032</v>
      </c>
    </row>
    <row r="108" spans="1:24">
      <c r="A108" s="7" t="s">
        <v>194</v>
      </c>
      <c r="B108" s="16" t="s">
        <v>195</v>
      </c>
      <c r="C108">
        <v>1137129399.9706883</v>
      </c>
      <c r="D108">
        <v>1140603597.4939096</v>
      </c>
      <c r="E108">
        <v>2254504.504504506</v>
      </c>
      <c r="F108">
        <v>3202477.4774774779</v>
      </c>
      <c r="G108">
        <v>291</v>
      </c>
      <c r="H108">
        <v>271</v>
      </c>
      <c r="I108">
        <v>4</v>
      </c>
      <c r="J108">
        <v>10</v>
      </c>
      <c r="M108">
        <v>323</v>
      </c>
      <c r="N108">
        <v>441</v>
      </c>
      <c r="O108">
        <v>47801351.351351351</v>
      </c>
      <c r="P108">
        <v>53034594.59459459</v>
      </c>
      <c r="Q108">
        <v>118</v>
      </c>
      <c r="R108">
        <v>196</v>
      </c>
      <c r="S108">
        <v>204420801.8018018</v>
      </c>
      <c r="T108">
        <v>221892252.25225225</v>
      </c>
      <c r="U108">
        <v>46786396.396396391</v>
      </c>
      <c r="V108">
        <v>44963603.603603601</v>
      </c>
      <c r="W108">
        <v>18480</v>
      </c>
      <c r="X108">
        <v>17344</v>
      </c>
    </row>
    <row r="109" spans="1:24">
      <c r="A109" s="7" t="s">
        <v>196</v>
      </c>
      <c r="B109" s="16" t="s">
        <v>80</v>
      </c>
      <c r="C109">
        <v>348519268.91902822</v>
      </c>
      <c r="D109">
        <v>349371302.51296008</v>
      </c>
      <c r="E109">
        <v>242342.342342344</v>
      </c>
      <c r="F109">
        <v>1740540.540540542</v>
      </c>
      <c r="G109">
        <v>91</v>
      </c>
      <c r="H109">
        <v>81</v>
      </c>
      <c r="I109">
        <v>17</v>
      </c>
      <c r="J109">
        <v>11</v>
      </c>
      <c r="M109">
        <v>95</v>
      </c>
      <c r="N109">
        <v>92</v>
      </c>
      <c r="O109">
        <v>43885585.585585587</v>
      </c>
      <c r="P109">
        <v>43524324.324324317</v>
      </c>
      <c r="Q109">
        <v>139</v>
      </c>
      <c r="R109">
        <v>300</v>
      </c>
      <c r="S109">
        <v>92027827.027027026</v>
      </c>
      <c r="T109">
        <v>95530828.828828827</v>
      </c>
      <c r="U109">
        <v>45324637.837837838</v>
      </c>
      <c r="V109">
        <v>45325315.315315314</v>
      </c>
      <c r="W109">
        <v>6650</v>
      </c>
      <c r="X109">
        <v>6832</v>
      </c>
    </row>
    <row r="110" spans="1:24">
      <c r="A110" s="7" t="s">
        <v>197</v>
      </c>
      <c r="B110" s="16" t="s">
        <v>108</v>
      </c>
      <c r="C110">
        <v>270580460.9560141</v>
      </c>
      <c r="D110">
        <v>278162289.86883217</v>
      </c>
      <c r="E110">
        <v>1105675.6756756781</v>
      </c>
      <c r="F110">
        <v>2476576.5765765761</v>
      </c>
      <c r="G110">
        <v>81</v>
      </c>
      <c r="H110">
        <v>98</v>
      </c>
      <c r="I110">
        <v>3</v>
      </c>
      <c r="J110">
        <v>7</v>
      </c>
      <c r="M110">
        <v>99</v>
      </c>
      <c r="N110">
        <v>115</v>
      </c>
      <c r="O110">
        <v>18283603.603603601</v>
      </c>
      <c r="P110">
        <v>15972972.97297297</v>
      </c>
      <c r="Q110">
        <v>181</v>
      </c>
      <c r="R110">
        <v>73</v>
      </c>
      <c r="S110">
        <v>79687837.837837845</v>
      </c>
      <c r="T110">
        <v>86185270.270270273</v>
      </c>
      <c r="U110">
        <v>18063153.153153151</v>
      </c>
      <c r="V110">
        <v>15584594.594594594</v>
      </c>
      <c r="W110">
        <v>7250</v>
      </c>
      <c r="X110">
        <v>6652</v>
      </c>
    </row>
    <row r="111" spans="1:24">
      <c r="A111" s="7" t="s">
        <v>198</v>
      </c>
      <c r="B111" s="16" t="s">
        <v>92</v>
      </c>
      <c r="C111">
        <v>153903174.99425307</v>
      </c>
      <c r="D111">
        <v>149230536.91548362</v>
      </c>
      <c r="E111">
        <v>3107387.3873873889</v>
      </c>
      <c r="F111">
        <v>5240540.5405405397</v>
      </c>
      <c r="G111">
        <v>31</v>
      </c>
      <c r="H111">
        <v>134</v>
      </c>
      <c r="I111">
        <v>7</v>
      </c>
      <c r="J111">
        <v>4</v>
      </c>
      <c r="M111">
        <v>32</v>
      </c>
      <c r="N111">
        <v>243</v>
      </c>
      <c r="O111">
        <v>19179099.0990991</v>
      </c>
      <c r="P111">
        <v>50025135.135135137</v>
      </c>
      <c r="Q111">
        <v>56</v>
      </c>
      <c r="R111">
        <v>152</v>
      </c>
      <c r="S111">
        <v>39196891.891891889</v>
      </c>
      <c r="T111">
        <v>40954009.009009011</v>
      </c>
      <c r="U111">
        <v>18894324.324324325</v>
      </c>
      <c r="V111">
        <v>48544144.144144148</v>
      </c>
      <c r="W111">
        <v>2758</v>
      </c>
      <c r="X111">
        <v>2670</v>
      </c>
    </row>
    <row r="112" spans="1:24">
      <c r="A112" s="7" t="s">
        <v>199</v>
      </c>
      <c r="B112" s="16" t="s">
        <v>123</v>
      </c>
      <c r="C112">
        <v>149767729.10694829</v>
      </c>
      <c r="D112">
        <v>139838305.86645052</v>
      </c>
      <c r="E112">
        <v>490990.99099099101</v>
      </c>
      <c r="F112">
        <v>260360.360360361</v>
      </c>
      <c r="G112">
        <v>59</v>
      </c>
      <c r="H112">
        <v>41</v>
      </c>
      <c r="I112">
        <v>2</v>
      </c>
      <c r="J112">
        <v>2</v>
      </c>
      <c r="M112">
        <v>62</v>
      </c>
      <c r="N112">
        <v>47</v>
      </c>
      <c r="O112">
        <v>7316216.2162162159</v>
      </c>
      <c r="P112">
        <v>4034774.774774774</v>
      </c>
      <c r="Q112">
        <v>10</v>
      </c>
      <c r="R112">
        <v>6</v>
      </c>
      <c r="S112">
        <v>30688108.108108107</v>
      </c>
      <c r="T112">
        <v>25922657.657657657</v>
      </c>
      <c r="U112">
        <v>5951801.8018018017</v>
      </c>
      <c r="V112">
        <v>5371441.4414414419</v>
      </c>
      <c r="W112">
        <v>2569</v>
      </c>
      <c r="X112">
        <v>2545</v>
      </c>
    </row>
    <row r="113" spans="1:24">
      <c r="A113" s="7" t="s">
        <v>674</v>
      </c>
      <c r="B113" s="16" t="s">
        <v>60</v>
      </c>
      <c r="W113">
        <v>1</v>
      </c>
    </row>
    <row r="114" spans="1:24">
      <c r="A114" s="7" t="s">
        <v>200</v>
      </c>
      <c r="B114" s="16" t="s">
        <v>60</v>
      </c>
      <c r="C114">
        <v>101496125.89141563</v>
      </c>
      <c r="D114">
        <v>100395302.47068061</v>
      </c>
      <c r="E114">
        <v>54054.054054054999</v>
      </c>
      <c r="F114">
        <v>1584684.6846846859</v>
      </c>
      <c r="G114">
        <v>24</v>
      </c>
      <c r="H114">
        <v>27</v>
      </c>
      <c r="I114">
        <v>2</v>
      </c>
      <c r="J114">
        <v>5</v>
      </c>
      <c r="M114">
        <v>32</v>
      </c>
      <c r="N114">
        <v>29</v>
      </c>
      <c r="O114">
        <v>12198198.198198196</v>
      </c>
      <c r="P114">
        <v>12809909.909909911</v>
      </c>
      <c r="Q114">
        <v>108</v>
      </c>
      <c r="R114">
        <v>95</v>
      </c>
      <c r="S114">
        <v>16908729.729729731</v>
      </c>
      <c r="T114">
        <v>18774292.792792793</v>
      </c>
      <c r="U114">
        <v>8652432.4324324317</v>
      </c>
      <c r="V114">
        <v>7280720.7207207195</v>
      </c>
      <c r="W114">
        <v>3359</v>
      </c>
      <c r="X114">
        <v>3605</v>
      </c>
    </row>
    <row r="115" spans="1:24">
      <c r="A115" s="7" t="s">
        <v>201</v>
      </c>
      <c r="B115" s="16" t="s">
        <v>60</v>
      </c>
      <c r="C115">
        <v>34891685.856620222</v>
      </c>
      <c r="D115">
        <v>33530581.600948349</v>
      </c>
      <c r="E115">
        <v>222702.70270270301</v>
      </c>
      <c r="F115">
        <v>226126.126126127</v>
      </c>
      <c r="G115">
        <v>10</v>
      </c>
      <c r="H115">
        <v>15</v>
      </c>
      <c r="I115">
        <v>2</v>
      </c>
      <c r="J115">
        <v>2</v>
      </c>
      <c r="M115">
        <v>10</v>
      </c>
      <c r="N115">
        <v>16</v>
      </c>
      <c r="O115">
        <v>2186666.666666667</v>
      </c>
      <c r="P115">
        <v>2199099.0990990992</v>
      </c>
      <c r="Q115">
        <v>26</v>
      </c>
      <c r="R115">
        <v>19</v>
      </c>
      <c r="S115">
        <v>6644414.4144144151</v>
      </c>
      <c r="T115">
        <v>6192414.4144144142</v>
      </c>
      <c r="U115">
        <v>1545045.045045045</v>
      </c>
      <c r="V115">
        <v>514234.23423423403</v>
      </c>
      <c r="W115">
        <v>1166</v>
      </c>
      <c r="X115">
        <v>1167</v>
      </c>
    </row>
    <row r="116" spans="1:24">
      <c r="A116" s="7" t="s">
        <v>202</v>
      </c>
      <c r="B116" s="16" t="s">
        <v>121</v>
      </c>
      <c r="C116">
        <v>69480989.288172483</v>
      </c>
      <c r="D116">
        <v>64378465.815949447</v>
      </c>
      <c r="E116">
        <v>70612648.648648649</v>
      </c>
      <c r="F116">
        <v>61634298.198198199</v>
      </c>
      <c r="G116">
        <v>41</v>
      </c>
      <c r="H116">
        <v>35</v>
      </c>
      <c r="I116">
        <v>5</v>
      </c>
      <c r="J116">
        <v>6</v>
      </c>
      <c r="M116">
        <v>48</v>
      </c>
      <c r="N116">
        <v>40</v>
      </c>
      <c r="O116">
        <v>4048773.8738738731</v>
      </c>
      <c r="P116">
        <v>15991027.027027028</v>
      </c>
      <c r="Q116">
        <v>3</v>
      </c>
      <c r="R116">
        <v>100</v>
      </c>
      <c r="S116">
        <v>6188063.0630630627</v>
      </c>
      <c r="T116">
        <v>6176783.7837837841</v>
      </c>
      <c r="U116">
        <v>337567.56756756798</v>
      </c>
      <c r="V116">
        <v>1427477.4774774781</v>
      </c>
      <c r="W116">
        <v>1563</v>
      </c>
      <c r="X116">
        <v>1429</v>
      </c>
    </row>
    <row r="117" spans="1:24">
      <c r="A117" s="7" t="s">
        <v>203</v>
      </c>
      <c r="B117" s="16" t="s">
        <v>54</v>
      </c>
      <c r="C117">
        <v>108232070.16875213</v>
      </c>
      <c r="D117">
        <v>102811581.79460332</v>
      </c>
      <c r="E117">
        <v>592792.79279279301</v>
      </c>
      <c r="F117">
        <v>702702.70270270295</v>
      </c>
      <c r="G117">
        <v>26</v>
      </c>
      <c r="H117">
        <v>26</v>
      </c>
      <c r="I117">
        <v>2</v>
      </c>
      <c r="J117">
        <v>4</v>
      </c>
      <c r="M117">
        <v>27</v>
      </c>
      <c r="N117">
        <v>26</v>
      </c>
      <c r="O117">
        <v>7115315.3153153136</v>
      </c>
      <c r="P117">
        <v>5734234.2342342334</v>
      </c>
      <c r="Q117">
        <v>58</v>
      </c>
      <c r="R117">
        <v>40</v>
      </c>
      <c r="S117">
        <v>27621171.171171173</v>
      </c>
      <c r="T117">
        <v>26961612.612612613</v>
      </c>
      <c r="U117">
        <v>6255495.4954954972</v>
      </c>
      <c r="V117">
        <v>5877837.8378378386</v>
      </c>
      <c r="W117">
        <v>3640</v>
      </c>
      <c r="X117">
        <v>3990</v>
      </c>
    </row>
    <row r="118" spans="1:24">
      <c r="A118" s="7" t="s">
        <v>204</v>
      </c>
      <c r="B118" s="16" t="s">
        <v>136</v>
      </c>
      <c r="C118">
        <v>419924601.16110462</v>
      </c>
      <c r="D118">
        <v>372925556.43579996</v>
      </c>
      <c r="E118">
        <v>267117.11711711698</v>
      </c>
      <c r="F118">
        <v>773873.87387387501</v>
      </c>
      <c r="G118">
        <v>96</v>
      </c>
      <c r="H118">
        <v>54</v>
      </c>
      <c r="I118">
        <v>9</v>
      </c>
      <c r="J118">
        <v>9</v>
      </c>
      <c r="M118">
        <v>102</v>
      </c>
      <c r="N118">
        <v>61</v>
      </c>
      <c r="O118">
        <v>42392162.162162162</v>
      </c>
      <c r="P118">
        <v>33089189.189189188</v>
      </c>
      <c r="Q118">
        <v>77</v>
      </c>
      <c r="R118">
        <v>95</v>
      </c>
      <c r="S118">
        <v>67958333.333333343</v>
      </c>
      <c r="T118">
        <v>65788085.585585587</v>
      </c>
      <c r="U118">
        <v>35787477.477477483</v>
      </c>
      <c r="V118">
        <v>26687657.657657657</v>
      </c>
      <c r="W118">
        <v>5527</v>
      </c>
      <c r="X118">
        <v>5827</v>
      </c>
    </row>
    <row r="119" spans="1:24">
      <c r="A119" s="7" t="s">
        <v>205</v>
      </c>
      <c r="B119" s="16" t="s">
        <v>136</v>
      </c>
      <c r="C119">
        <v>195596960.18451312</v>
      </c>
      <c r="D119">
        <v>187616813.69419363</v>
      </c>
      <c r="E119">
        <v>278378.37837837799</v>
      </c>
      <c r="F119">
        <v>649549.54954955005</v>
      </c>
      <c r="G119">
        <v>53</v>
      </c>
      <c r="H119">
        <v>34</v>
      </c>
      <c r="I119">
        <v>5</v>
      </c>
      <c r="J119">
        <v>1</v>
      </c>
      <c r="M119">
        <v>58</v>
      </c>
      <c r="N119">
        <v>40</v>
      </c>
      <c r="O119">
        <v>10181081.081081079</v>
      </c>
      <c r="P119">
        <v>6217117.1171171162</v>
      </c>
      <c r="Q119">
        <v>50</v>
      </c>
      <c r="R119">
        <v>18</v>
      </c>
      <c r="S119">
        <v>34762070.270270273</v>
      </c>
      <c r="T119">
        <v>35659475.675675675</v>
      </c>
      <c r="U119">
        <v>6556666.6666666688</v>
      </c>
      <c r="V119">
        <v>3408648.648648649</v>
      </c>
      <c r="W119">
        <v>3166</v>
      </c>
      <c r="X119">
        <v>3165</v>
      </c>
    </row>
    <row r="120" spans="1:24">
      <c r="A120" s="7" t="s">
        <v>206</v>
      </c>
      <c r="B120" s="16" t="s">
        <v>169</v>
      </c>
      <c r="C120">
        <v>428646830.79445291</v>
      </c>
      <c r="D120">
        <v>436600609.10154873</v>
      </c>
      <c r="E120">
        <v>340540.540540541</v>
      </c>
      <c r="F120">
        <v>1471171.1711711709</v>
      </c>
      <c r="G120">
        <v>54</v>
      </c>
      <c r="H120">
        <v>17</v>
      </c>
      <c r="I120">
        <v>0</v>
      </c>
      <c r="J120">
        <v>1</v>
      </c>
      <c r="M120">
        <v>56</v>
      </c>
      <c r="N120">
        <v>20</v>
      </c>
      <c r="O120">
        <v>2823089009.0090094</v>
      </c>
      <c r="P120">
        <v>2467686328.8288288</v>
      </c>
      <c r="Q120">
        <v>1506</v>
      </c>
      <c r="R120">
        <v>45</v>
      </c>
      <c r="S120">
        <v>203244675.67567569</v>
      </c>
      <c r="T120">
        <v>206690720.72072074</v>
      </c>
      <c r="U120">
        <v>1115780605.4054055</v>
      </c>
      <c r="V120">
        <v>671884158.55855858</v>
      </c>
      <c r="W120">
        <v>7475</v>
      </c>
      <c r="X120">
        <v>8416</v>
      </c>
    </row>
    <row r="121" spans="1:24">
      <c r="A121" s="7" t="s">
        <v>207</v>
      </c>
      <c r="B121" s="16" t="s">
        <v>161</v>
      </c>
      <c r="C121">
        <v>484580298.16668701</v>
      </c>
      <c r="D121">
        <v>483847209.63414705</v>
      </c>
      <c r="E121">
        <v>118066331.53153154</v>
      </c>
      <c r="F121">
        <v>131319360.36036037</v>
      </c>
      <c r="G121">
        <v>249</v>
      </c>
      <c r="H121">
        <v>306</v>
      </c>
      <c r="I121">
        <v>36</v>
      </c>
      <c r="J121">
        <v>32</v>
      </c>
      <c r="M121">
        <v>304</v>
      </c>
      <c r="N121">
        <v>532</v>
      </c>
      <c r="O121">
        <v>86549331.531531513</v>
      </c>
      <c r="P121">
        <v>70717468.468468472</v>
      </c>
      <c r="Q121">
        <v>191</v>
      </c>
      <c r="R121">
        <v>200</v>
      </c>
      <c r="S121">
        <v>140669432.43243244</v>
      </c>
      <c r="T121">
        <v>141318752.25225225</v>
      </c>
      <c r="U121">
        <v>70988371.171171173</v>
      </c>
      <c r="V121">
        <v>59710396.396396399</v>
      </c>
      <c r="W121">
        <v>12136</v>
      </c>
      <c r="X121">
        <v>12458</v>
      </c>
    </row>
    <row r="122" spans="1:24">
      <c r="A122" s="7" t="s">
        <v>208</v>
      </c>
      <c r="B122" s="16" t="s">
        <v>76</v>
      </c>
      <c r="C122">
        <v>20364545.980075292</v>
      </c>
      <c r="D122">
        <v>14497941.216660587</v>
      </c>
      <c r="G122">
        <v>4</v>
      </c>
      <c r="I122">
        <v>0</v>
      </c>
      <c r="J122">
        <v>0</v>
      </c>
      <c r="M122">
        <v>4</v>
      </c>
      <c r="S122">
        <v>916216.21621621598</v>
      </c>
      <c r="T122">
        <v>1055000</v>
      </c>
      <c r="W122">
        <v>525</v>
      </c>
      <c r="X122">
        <v>525</v>
      </c>
    </row>
    <row r="123" spans="1:24">
      <c r="A123" s="7" t="s">
        <v>209</v>
      </c>
      <c r="B123" s="16" t="s">
        <v>76</v>
      </c>
      <c r="C123">
        <v>234962152.05213448</v>
      </c>
      <c r="D123">
        <v>213072267.06130841</v>
      </c>
      <c r="E123">
        <v>132850050.45045045</v>
      </c>
      <c r="F123">
        <v>148134745.94594595</v>
      </c>
      <c r="G123">
        <v>78</v>
      </c>
      <c r="H123">
        <v>106</v>
      </c>
      <c r="I123">
        <v>6</v>
      </c>
      <c r="J123">
        <v>14</v>
      </c>
      <c r="K123">
        <v>5</v>
      </c>
      <c r="M123">
        <v>94</v>
      </c>
      <c r="N123">
        <v>237</v>
      </c>
      <c r="O123">
        <v>23374332.432432432</v>
      </c>
      <c r="P123">
        <v>25347387.387387384</v>
      </c>
      <c r="Q123">
        <v>202</v>
      </c>
      <c r="R123">
        <v>244</v>
      </c>
      <c r="S123">
        <v>31620747.747747749</v>
      </c>
      <c r="T123">
        <v>33972000</v>
      </c>
      <c r="U123">
        <v>24861711.711711712</v>
      </c>
      <c r="V123">
        <v>23041981.981981982</v>
      </c>
      <c r="W123">
        <v>4816</v>
      </c>
      <c r="X123">
        <v>4548</v>
      </c>
    </row>
    <row r="124" spans="1:24">
      <c r="A124" s="7" t="s">
        <v>210</v>
      </c>
      <c r="B124" s="16" t="s">
        <v>76</v>
      </c>
      <c r="C124">
        <v>278694309.13525182</v>
      </c>
      <c r="D124">
        <v>269849851.59177649</v>
      </c>
      <c r="E124">
        <v>1594819.8198198229</v>
      </c>
      <c r="F124">
        <v>3942342.3423423478</v>
      </c>
      <c r="G124">
        <v>139</v>
      </c>
      <c r="H124">
        <v>154</v>
      </c>
      <c r="I124">
        <v>20</v>
      </c>
      <c r="J124">
        <v>17</v>
      </c>
      <c r="K124">
        <v>8</v>
      </c>
      <c r="M124">
        <v>166</v>
      </c>
      <c r="N124">
        <v>249</v>
      </c>
      <c r="O124">
        <v>95192792.792792782</v>
      </c>
      <c r="P124">
        <v>97683603.603603601</v>
      </c>
      <c r="Q124">
        <v>158</v>
      </c>
      <c r="R124">
        <v>553</v>
      </c>
      <c r="S124">
        <v>84263203.603603601</v>
      </c>
      <c r="T124">
        <v>83709295.495495483</v>
      </c>
      <c r="U124">
        <v>68101527.927927926</v>
      </c>
      <c r="V124">
        <v>70085899.0990991</v>
      </c>
      <c r="W124">
        <v>6874</v>
      </c>
      <c r="X124">
        <v>7255</v>
      </c>
    </row>
    <row r="125" spans="1:24">
      <c r="A125" s="7" t="s">
        <v>211</v>
      </c>
      <c r="B125" s="16" t="s">
        <v>76</v>
      </c>
      <c r="C125">
        <v>189762311.03390637</v>
      </c>
      <c r="D125">
        <v>198448663.76047128</v>
      </c>
      <c r="E125">
        <v>1863738.738738741</v>
      </c>
      <c r="F125">
        <v>2582657.6576576638</v>
      </c>
      <c r="G125">
        <v>82</v>
      </c>
      <c r="H125">
        <v>86</v>
      </c>
      <c r="I125">
        <v>10</v>
      </c>
      <c r="J125">
        <v>16</v>
      </c>
      <c r="M125">
        <v>96</v>
      </c>
      <c r="N125">
        <v>102</v>
      </c>
      <c r="O125">
        <v>16823873.873873875</v>
      </c>
      <c r="P125">
        <v>15949909.909909911</v>
      </c>
      <c r="Q125">
        <v>67</v>
      </c>
      <c r="R125">
        <v>21</v>
      </c>
      <c r="S125">
        <v>27545522.522522524</v>
      </c>
      <c r="T125">
        <v>30515731.981981985</v>
      </c>
      <c r="U125">
        <v>16387477.477477476</v>
      </c>
      <c r="V125">
        <v>14856486.486486485</v>
      </c>
      <c r="W125">
        <v>3952</v>
      </c>
      <c r="X125">
        <v>4406</v>
      </c>
    </row>
    <row r="126" spans="1:24">
      <c r="A126" s="7" t="s">
        <v>212</v>
      </c>
      <c r="B126" s="16" t="s">
        <v>76</v>
      </c>
      <c r="C126">
        <v>76164647.418226883</v>
      </c>
      <c r="D126">
        <v>72520159.190731898</v>
      </c>
      <c r="E126">
        <v>26576.576576577001</v>
      </c>
      <c r="F126">
        <v>35135.135135135002</v>
      </c>
      <c r="G126">
        <v>19</v>
      </c>
      <c r="H126">
        <v>13</v>
      </c>
      <c r="I126">
        <v>1</v>
      </c>
      <c r="J126">
        <v>0</v>
      </c>
      <c r="M126">
        <v>20</v>
      </c>
      <c r="N126">
        <v>14</v>
      </c>
      <c r="O126">
        <v>1197747.7477477479</v>
      </c>
      <c r="P126">
        <v>1510090.0900900881</v>
      </c>
      <c r="Q126">
        <v>5</v>
      </c>
      <c r="R126">
        <v>5</v>
      </c>
      <c r="S126">
        <v>10773828.82882883</v>
      </c>
      <c r="T126">
        <v>11338522.522522524</v>
      </c>
      <c r="U126">
        <v>954684.68468468601</v>
      </c>
      <c r="V126">
        <v>1798018.018018018</v>
      </c>
      <c r="W126">
        <v>1710</v>
      </c>
      <c r="X126">
        <v>2061</v>
      </c>
    </row>
    <row r="127" spans="1:24">
      <c r="A127" s="7" t="s">
        <v>213</v>
      </c>
      <c r="B127" s="16" t="s">
        <v>214</v>
      </c>
      <c r="C127">
        <v>90883905.715758204</v>
      </c>
      <c r="D127">
        <v>102897790.04652515</v>
      </c>
      <c r="E127">
        <v>213963.96396396399</v>
      </c>
      <c r="F127">
        <v>749549.54954955005</v>
      </c>
      <c r="G127">
        <v>19</v>
      </c>
      <c r="H127">
        <v>32</v>
      </c>
      <c r="I127">
        <v>4</v>
      </c>
      <c r="J127">
        <v>3</v>
      </c>
      <c r="M127">
        <v>20</v>
      </c>
      <c r="N127">
        <v>35</v>
      </c>
      <c r="O127">
        <v>13539369.369369373</v>
      </c>
      <c r="P127">
        <v>13442810.810810812</v>
      </c>
      <c r="Q127">
        <v>23</v>
      </c>
      <c r="R127">
        <v>46</v>
      </c>
      <c r="S127">
        <v>43190135.135135137</v>
      </c>
      <c r="T127">
        <v>46523459.459459454</v>
      </c>
      <c r="U127">
        <v>11405045.045045046</v>
      </c>
      <c r="V127">
        <v>11262162.162162162</v>
      </c>
      <c r="W127">
        <v>2306</v>
      </c>
      <c r="X127">
        <v>2313</v>
      </c>
    </row>
    <row r="128" spans="1:24">
      <c r="A128" s="7" t="s">
        <v>215</v>
      </c>
      <c r="B128" s="16" t="s">
        <v>167</v>
      </c>
      <c r="C128">
        <v>83801725.979843915</v>
      </c>
      <c r="D128">
        <v>111772249.53668791</v>
      </c>
      <c r="E128">
        <v>8108.1081081089997</v>
      </c>
      <c r="F128">
        <v>1833333.333333333</v>
      </c>
      <c r="G128">
        <v>8</v>
      </c>
      <c r="H128">
        <v>7</v>
      </c>
      <c r="I128">
        <v>1</v>
      </c>
      <c r="J128">
        <v>3</v>
      </c>
      <c r="M128">
        <v>9</v>
      </c>
      <c r="N128">
        <v>7</v>
      </c>
      <c r="O128">
        <v>8809909.9099099096</v>
      </c>
      <c r="P128">
        <v>2283783.7837837832</v>
      </c>
      <c r="Q128">
        <v>309</v>
      </c>
      <c r="R128">
        <v>19</v>
      </c>
      <c r="S128">
        <v>15349054.054054054</v>
      </c>
      <c r="T128">
        <v>19839369.369369369</v>
      </c>
      <c r="U128">
        <v>9098648.6486486476</v>
      </c>
      <c r="V128">
        <v>171621.62162162201</v>
      </c>
      <c r="W128">
        <v>1800</v>
      </c>
      <c r="X128">
        <v>1891</v>
      </c>
    </row>
    <row r="129" spans="1:24">
      <c r="A129" s="7" t="s">
        <v>216</v>
      </c>
      <c r="B129" s="16" t="s">
        <v>85</v>
      </c>
      <c r="C129">
        <v>20585950.794222347</v>
      </c>
      <c r="D129">
        <v>25786972.861889079</v>
      </c>
      <c r="E129">
        <v>9909.9099099110008</v>
      </c>
      <c r="F129">
        <v>585585.58558558603</v>
      </c>
      <c r="G129">
        <v>3</v>
      </c>
      <c r="H129">
        <v>10</v>
      </c>
      <c r="I129">
        <v>3</v>
      </c>
      <c r="J129">
        <v>2</v>
      </c>
      <c r="M129">
        <v>3</v>
      </c>
      <c r="N129">
        <v>12</v>
      </c>
      <c r="O129">
        <v>48000900.900900893</v>
      </c>
      <c r="P129">
        <v>51040090.090090089</v>
      </c>
      <c r="Q129">
        <v>49</v>
      </c>
      <c r="R129">
        <v>126</v>
      </c>
      <c r="S129">
        <v>6319135.1351351347</v>
      </c>
      <c r="T129">
        <v>7870657.6576576577</v>
      </c>
      <c r="U129">
        <v>37550360.360360362</v>
      </c>
      <c r="V129">
        <v>43546396.396396399</v>
      </c>
      <c r="W129">
        <v>630</v>
      </c>
      <c r="X129">
        <v>640</v>
      </c>
    </row>
    <row r="130" spans="1:24">
      <c r="A130" s="7" t="s">
        <v>217</v>
      </c>
      <c r="B130" s="16" t="s">
        <v>85</v>
      </c>
      <c r="C130">
        <v>103824396.81076109</v>
      </c>
      <c r="D130">
        <v>99663532.324810714</v>
      </c>
      <c r="E130">
        <v>531524661.26126122</v>
      </c>
      <c r="F130">
        <v>521720902.7027027</v>
      </c>
      <c r="G130">
        <v>51</v>
      </c>
      <c r="H130">
        <v>34</v>
      </c>
      <c r="I130">
        <v>5</v>
      </c>
      <c r="J130">
        <v>4</v>
      </c>
      <c r="M130">
        <v>64</v>
      </c>
      <c r="N130">
        <v>38</v>
      </c>
      <c r="O130">
        <v>26745045.045045044</v>
      </c>
      <c r="P130">
        <v>61125855.855855852</v>
      </c>
      <c r="Q130">
        <v>52</v>
      </c>
      <c r="R130">
        <v>28</v>
      </c>
      <c r="S130">
        <v>18288243.243243244</v>
      </c>
      <c r="T130">
        <v>19504180.180180181</v>
      </c>
      <c r="U130">
        <v>17924684.684684683</v>
      </c>
      <c r="V130">
        <v>26848918.918918919</v>
      </c>
      <c r="W130">
        <v>2489</v>
      </c>
      <c r="X130">
        <v>2388</v>
      </c>
    </row>
    <row r="131" spans="1:24">
      <c r="A131" s="7" t="s">
        <v>218</v>
      </c>
      <c r="B131" s="16" t="s">
        <v>147</v>
      </c>
      <c r="C131">
        <v>101257098.20174931</v>
      </c>
      <c r="D131">
        <v>96946587.635346651</v>
      </c>
      <c r="E131">
        <v>581981.98198198399</v>
      </c>
      <c r="F131">
        <v>6792792.7927927924</v>
      </c>
      <c r="G131">
        <v>31</v>
      </c>
      <c r="H131">
        <v>67</v>
      </c>
      <c r="I131">
        <v>3</v>
      </c>
      <c r="J131">
        <v>10</v>
      </c>
      <c r="M131">
        <v>34</v>
      </c>
      <c r="N131">
        <v>84</v>
      </c>
      <c r="O131">
        <v>4884324.3243243219</v>
      </c>
      <c r="P131">
        <v>58434890.990990989</v>
      </c>
      <c r="Q131">
        <v>54</v>
      </c>
      <c r="R131">
        <v>292</v>
      </c>
      <c r="S131">
        <v>27272864.864864863</v>
      </c>
      <c r="T131">
        <v>32078711.711711712</v>
      </c>
      <c r="U131">
        <v>6514684.6846846808</v>
      </c>
      <c r="V131">
        <v>59354954.954954952</v>
      </c>
      <c r="W131">
        <v>2553</v>
      </c>
      <c r="X131">
        <v>2475</v>
      </c>
    </row>
    <row r="132" spans="1:24">
      <c r="A132" s="7" t="s">
        <v>219</v>
      </c>
      <c r="B132" s="16" t="s">
        <v>220</v>
      </c>
      <c r="C132">
        <v>196781895.95104069</v>
      </c>
      <c r="D132">
        <v>192185317.11014095</v>
      </c>
      <c r="E132">
        <v>500381016.21621621</v>
      </c>
      <c r="F132">
        <v>427793073.87387383</v>
      </c>
      <c r="G132">
        <v>79</v>
      </c>
      <c r="H132">
        <v>60</v>
      </c>
      <c r="I132">
        <v>6</v>
      </c>
      <c r="J132">
        <v>9</v>
      </c>
      <c r="M132">
        <v>94</v>
      </c>
      <c r="N132">
        <v>76</v>
      </c>
      <c r="O132">
        <v>248493970.27027026</v>
      </c>
      <c r="P132">
        <v>187287032.43243244</v>
      </c>
      <c r="Q132">
        <v>398</v>
      </c>
      <c r="R132">
        <v>70</v>
      </c>
      <c r="S132">
        <v>53109657.657657653</v>
      </c>
      <c r="T132">
        <v>49667668.918918923</v>
      </c>
      <c r="U132">
        <v>351058918.91891891</v>
      </c>
      <c r="V132">
        <v>269378468.46846849</v>
      </c>
      <c r="W132">
        <v>6110</v>
      </c>
      <c r="X132">
        <v>6817</v>
      </c>
    </row>
    <row r="133" spans="1:24">
      <c r="A133" s="7" t="s">
        <v>221</v>
      </c>
      <c r="B133" s="16" t="s">
        <v>52</v>
      </c>
      <c r="C133">
        <v>471981035.6630559</v>
      </c>
      <c r="D133">
        <v>447900556.56896973</v>
      </c>
      <c r="E133">
        <v>2347522.5225225249</v>
      </c>
      <c r="F133">
        <v>4560360.3603603626</v>
      </c>
      <c r="G133">
        <v>93</v>
      </c>
      <c r="H133">
        <v>92</v>
      </c>
      <c r="I133">
        <v>10</v>
      </c>
      <c r="J133">
        <v>25</v>
      </c>
      <c r="M133">
        <v>122</v>
      </c>
      <c r="N133">
        <v>132</v>
      </c>
      <c r="O133">
        <v>60748468.468468465</v>
      </c>
      <c r="P133">
        <v>38884684.684684679</v>
      </c>
      <c r="Q133">
        <v>450</v>
      </c>
      <c r="R133">
        <v>991</v>
      </c>
      <c r="S133">
        <v>150384711.7117117</v>
      </c>
      <c r="T133">
        <v>145829648.64864865</v>
      </c>
      <c r="U133">
        <v>31493153.153153151</v>
      </c>
      <c r="V133">
        <v>48946756.756756753</v>
      </c>
      <c r="W133">
        <v>10777</v>
      </c>
      <c r="X133">
        <v>10420</v>
      </c>
    </row>
    <row r="134" spans="1:24">
      <c r="A134" s="7" t="s">
        <v>222</v>
      </c>
      <c r="B134" s="16" t="s">
        <v>76</v>
      </c>
      <c r="C134">
        <v>363235883.4844541</v>
      </c>
      <c r="D134">
        <v>348099612.33076197</v>
      </c>
      <c r="E134">
        <v>142207.20720720699</v>
      </c>
      <c r="F134">
        <v>1062162.1621621691</v>
      </c>
      <c r="G134">
        <v>102</v>
      </c>
      <c r="H134">
        <v>89</v>
      </c>
      <c r="I134">
        <v>10</v>
      </c>
      <c r="J134">
        <v>11</v>
      </c>
      <c r="K134">
        <v>5</v>
      </c>
      <c r="M134">
        <v>116</v>
      </c>
      <c r="N134">
        <v>105</v>
      </c>
      <c r="O134">
        <v>23309549.54954955</v>
      </c>
      <c r="P134">
        <v>25767387.387387391</v>
      </c>
      <c r="Q134">
        <v>44</v>
      </c>
      <c r="R134">
        <v>38</v>
      </c>
      <c r="S134">
        <v>68283043.243243247</v>
      </c>
      <c r="T134">
        <v>66677263.963963971</v>
      </c>
      <c r="U134">
        <v>21065495.495495494</v>
      </c>
      <c r="V134">
        <v>19208198.198198196</v>
      </c>
      <c r="W134">
        <v>7125</v>
      </c>
      <c r="X134">
        <v>6952</v>
      </c>
    </row>
    <row r="135" spans="1:24">
      <c r="A135" s="7" t="s">
        <v>223</v>
      </c>
      <c r="B135" s="16" t="s">
        <v>224</v>
      </c>
      <c r="C135">
        <v>37299777.560145736</v>
      </c>
      <c r="D135">
        <v>31657465.322176583</v>
      </c>
      <c r="F135">
        <v>5405.4054054050002</v>
      </c>
      <c r="G135">
        <v>28</v>
      </c>
      <c r="H135">
        <v>2</v>
      </c>
      <c r="M135">
        <v>28</v>
      </c>
      <c r="N135">
        <v>2</v>
      </c>
      <c r="O135">
        <v>400000</v>
      </c>
      <c r="P135">
        <v>5405.4054054050002</v>
      </c>
      <c r="Q135">
        <v>6</v>
      </c>
      <c r="S135">
        <v>8565180.1801801808</v>
      </c>
      <c r="T135">
        <v>7762639.6396396402</v>
      </c>
      <c r="U135">
        <v>1378288.2882882881</v>
      </c>
      <c r="V135">
        <v>837567.56756756804</v>
      </c>
      <c r="W135">
        <v>880</v>
      </c>
      <c r="X135">
        <v>791</v>
      </c>
    </row>
    <row r="136" spans="1:24">
      <c r="A136" s="7" t="s">
        <v>225</v>
      </c>
      <c r="B136" s="16" t="s">
        <v>143</v>
      </c>
      <c r="C136">
        <v>295020811.39521164</v>
      </c>
      <c r="D136">
        <v>284241764.83350587</v>
      </c>
      <c r="E136">
        <v>454954.95495495701</v>
      </c>
      <c r="F136">
        <v>3578378.378378381</v>
      </c>
      <c r="G136">
        <v>70</v>
      </c>
      <c r="H136">
        <v>89</v>
      </c>
      <c r="I136">
        <v>14</v>
      </c>
      <c r="J136">
        <v>7</v>
      </c>
      <c r="M136">
        <v>80</v>
      </c>
      <c r="N136">
        <v>137</v>
      </c>
      <c r="O136">
        <v>15973153.153153151</v>
      </c>
      <c r="P136">
        <v>19509909.909909911</v>
      </c>
      <c r="Q136">
        <v>198</v>
      </c>
      <c r="R136">
        <v>88</v>
      </c>
      <c r="S136">
        <v>30762846.846846849</v>
      </c>
      <c r="T136">
        <v>36575717.567567565</v>
      </c>
      <c r="U136">
        <v>11600180.180180181</v>
      </c>
      <c r="V136">
        <v>11555585.585585585</v>
      </c>
      <c r="W136">
        <v>5526</v>
      </c>
      <c r="X136">
        <v>5787</v>
      </c>
    </row>
    <row r="137" spans="1:24">
      <c r="A137" s="7" t="s">
        <v>226</v>
      </c>
      <c r="B137" s="16" t="s">
        <v>224</v>
      </c>
      <c r="C137">
        <v>35592765.461318903</v>
      </c>
      <c r="D137">
        <v>32997985.550306607</v>
      </c>
      <c r="E137">
        <v>4504.5045045050001</v>
      </c>
      <c r="F137">
        <v>121621.62162162201</v>
      </c>
      <c r="G137">
        <v>7</v>
      </c>
      <c r="H137">
        <v>11</v>
      </c>
      <c r="I137">
        <v>3</v>
      </c>
      <c r="J137">
        <v>2</v>
      </c>
      <c r="M137">
        <v>8</v>
      </c>
      <c r="N137">
        <v>14</v>
      </c>
      <c r="O137">
        <v>3726306.3063063058</v>
      </c>
      <c r="P137">
        <v>4954054.0540540544</v>
      </c>
      <c r="Q137">
        <v>32</v>
      </c>
      <c r="R137">
        <v>25</v>
      </c>
      <c r="S137">
        <v>7660270.2702702703</v>
      </c>
      <c r="T137">
        <v>9088995.4954954963</v>
      </c>
      <c r="U137">
        <v>3194684.684684684</v>
      </c>
      <c r="V137">
        <v>4284864.8648648653</v>
      </c>
      <c r="W137">
        <v>768</v>
      </c>
      <c r="X137">
        <v>761</v>
      </c>
    </row>
    <row r="138" spans="1:24">
      <c r="A138" s="7" t="s">
        <v>227</v>
      </c>
      <c r="B138" s="16" t="s">
        <v>78</v>
      </c>
      <c r="C138">
        <v>280863946.88004935</v>
      </c>
      <c r="D138">
        <v>267752796.05552214</v>
      </c>
      <c r="E138">
        <v>31487387.387387391</v>
      </c>
      <c r="F138">
        <v>65505405.40540541</v>
      </c>
      <c r="G138">
        <v>51</v>
      </c>
      <c r="H138">
        <v>53</v>
      </c>
      <c r="I138">
        <v>6</v>
      </c>
      <c r="J138">
        <v>14</v>
      </c>
      <c r="M138">
        <v>57</v>
      </c>
      <c r="N138">
        <v>65</v>
      </c>
      <c r="O138">
        <v>25682792.792792793</v>
      </c>
      <c r="P138">
        <v>28017387.387387387</v>
      </c>
      <c r="Q138">
        <v>150</v>
      </c>
      <c r="R138">
        <v>86</v>
      </c>
      <c r="S138">
        <v>107989809.009009</v>
      </c>
      <c r="T138">
        <v>107891522.52252252</v>
      </c>
      <c r="U138">
        <v>22300673.873873875</v>
      </c>
      <c r="V138">
        <v>25990630.630630631</v>
      </c>
      <c r="W138">
        <v>4888</v>
      </c>
      <c r="X138">
        <v>5147</v>
      </c>
    </row>
    <row r="139" spans="1:24">
      <c r="A139" s="7" t="s">
        <v>228</v>
      </c>
      <c r="B139" s="16" t="s">
        <v>136</v>
      </c>
      <c r="C139">
        <v>384929684.4750452</v>
      </c>
      <c r="D139">
        <v>356933196.17774844</v>
      </c>
      <c r="E139">
        <v>719144.144144146</v>
      </c>
      <c r="F139">
        <v>2565315.3153153202</v>
      </c>
      <c r="G139">
        <v>90</v>
      </c>
      <c r="H139">
        <v>85</v>
      </c>
      <c r="I139">
        <v>10</v>
      </c>
      <c r="J139">
        <v>10</v>
      </c>
      <c r="M139">
        <v>103</v>
      </c>
      <c r="N139">
        <v>102</v>
      </c>
      <c r="O139">
        <v>57429819.819819815</v>
      </c>
      <c r="P139">
        <v>43111711.711711712</v>
      </c>
      <c r="Q139">
        <v>129</v>
      </c>
      <c r="R139">
        <v>148</v>
      </c>
      <c r="S139">
        <v>81414445.045045033</v>
      </c>
      <c r="T139">
        <v>83705049.54954955</v>
      </c>
      <c r="U139">
        <v>50972072.072072074</v>
      </c>
      <c r="V139">
        <v>33924054.054054052</v>
      </c>
      <c r="W139">
        <v>8008</v>
      </c>
      <c r="X139">
        <v>7366</v>
      </c>
    </row>
    <row r="140" spans="1:24">
      <c r="A140" s="7" t="s">
        <v>229</v>
      </c>
      <c r="B140" s="16" t="s">
        <v>78</v>
      </c>
      <c r="C140">
        <v>99611867.321329638</v>
      </c>
      <c r="D140">
        <v>101018004.42422408</v>
      </c>
      <c r="E140">
        <v>2802252.2522522518</v>
      </c>
      <c r="F140">
        <v>3586936.9369369368</v>
      </c>
      <c r="G140">
        <v>26</v>
      </c>
      <c r="H140">
        <v>38</v>
      </c>
      <c r="I140">
        <v>1</v>
      </c>
      <c r="J140">
        <v>3</v>
      </c>
      <c r="M140">
        <v>26</v>
      </c>
      <c r="N140">
        <v>46</v>
      </c>
      <c r="O140">
        <v>15414864.864864863</v>
      </c>
      <c r="P140">
        <v>22418918.918918919</v>
      </c>
      <c r="Q140">
        <v>21</v>
      </c>
      <c r="R140">
        <v>19</v>
      </c>
      <c r="S140">
        <v>44392837.837837838</v>
      </c>
      <c r="T140">
        <v>49328727.927927926</v>
      </c>
      <c r="U140">
        <v>16214774.774774777</v>
      </c>
      <c r="V140">
        <v>22657610.810810808</v>
      </c>
      <c r="W140">
        <v>2481</v>
      </c>
      <c r="X140">
        <v>2452</v>
      </c>
    </row>
    <row r="141" spans="1:24">
      <c r="A141" s="7" t="s">
        <v>230</v>
      </c>
      <c r="B141" s="16" t="s">
        <v>54</v>
      </c>
      <c r="C141">
        <v>307188123.60206968</v>
      </c>
      <c r="D141">
        <v>290789805.27447385</v>
      </c>
      <c r="E141">
        <v>634459.45945946197</v>
      </c>
      <c r="F141">
        <v>982882.88288288296</v>
      </c>
      <c r="G141">
        <v>44</v>
      </c>
      <c r="H141">
        <v>30</v>
      </c>
      <c r="I141">
        <v>7</v>
      </c>
      <c r="J141">
        <v>8</v>
      </c>
      <c r="M141">
        <v>52</v>
      </c>
      <c r="N141">
        <v>46</v>
      </c>
      <c r="O141">
        <v>8601801.8018018026</v>
      </c>
      <c r="P141">
        <v>22007207.207207207</v>
      </c>
      <c r="Q141">
        <v>90</v>
      </c>
      <c r="R141">
        <v>2423</v>
      </c>
      <c r="S141">
        <v>69518468.468468457</v>
      </c>
      <c r="T141">
        <v>71782673.873873875</v>
      </c>
      <c r="U141">
        <v>9268828.8288288284</v>
      </c>
      <c r="V141">
        <v>24907297.297297299</v>
      </c>
      <c r="W141">
        <v>6829</v>
      </c>
      <c r="X141">
        <v>7667</v>
      </c>
    </row>
    <row r="142" spans="1:24">
      <c r="A142" s="7" t="s">
        <v>231</v>
      </c>
      <c r="B142" s="16" t="s">
        <v>78</v>
      </c>
      <c r="C142">
        <v>116960237.76685907</v>
      </c>
      <c r="D142">
        <v>111430036.37660329</v>
      </c>
      <c r="E142">
        <v>470270.27027027297</v>
      </c>
      <c r="F142">
        <v>2886486.486486488</v>
      </c>
      <c r="G142">
        <v>54</v>
      </c>
      <c r="H142">
        <v>54</v>
      </c>
      <c r="I142">
        <v>9</v>
      </c>
      <c r="J142">
        <v>11</v>
      </c>
      <c r="M142">
        <v>61</v>
      </c>
      <c r="N142">
        <v>72</v>
      </c>
      <c r="O142">
        <v>29298378.378378376</v>
      </c>
      <c r="P142">
        <v>26244144.144144144</v>
      </c>
      <c r="Q142">
        <v>36</v>
      </c>
      <c r="R142">
        <v>85</v>
      </c>
      <c r="S142">
        <v>54771576.576576576</v>
      </c>
      <c r="T142">
        <v>53331774.774774775</v>
      </c>
      <c r="U142">
        <v>29724504.504504506</v>
      </c>
      <c r="V142">
        <v>27481441.441441439</v>
      </c>
      <c r="W142">
        <v>3917</v>
      </c>
      <c r="X142">
        <v>3979</v>
      </c>
    </row>
    <row r="143" spans="1:24">
      <c r="A143" s="7" t="s">
        <v>232</v>
      </c>
      <c r="B143" s="16" t="s">
        <v>60</v>
      </c>
      <c r="C143">
        <v>98100455.292004347</v>
      </c>
      <c r="D143">
        <v>101524873.72054221</v>
      </c>
      <c r="G143">
        <v>35</v>
      </c>
      <c r="H143">
        <v>29</v>
      </c>
      <c r="I143">
        <v>0</v>
      </c>
      <c r="M143">
        <v>36</v>
      </c>
      <c r="N143">
        <v>33</v>
      </c>
      <c r="O143">
        <v>81081.081081081007</v>
      </c>
      <c r="Q143">
        <v>3</v>
      </c>
      <c r="S143">
        <v>39056126.126126125</v>
      </c>
      <c r="T143">
        <v>42893063.063063063</v>
      </c>
      <c r="U143">
        <v>81081.081081081007</v>
      </c>
      <c r="W143">
        <v>1918</v>
      </c>
      <c r="X143">
        <v>1936</v>
      </c>
    </row>
    <row r="144" spans="1:24">
      <c r="A144" s="7" t="s">
        <v>233</v>
      </c>
      <c r="B144" s="16" t="s">
        <v>54</v>
      </c>
      <c r="C144">
        <v>48936902.82918264</v>
      </c>
      <c r="D144">
        <v>48902118.461802088</v>
      </c>
      <c r="E144">
        <v>573873.87387387396</v>
      </c>
      <c r="F144">
        <v>98198.198198198996</v>
      </c>
      <c r="G144">
        <v>30</v>
      </c>
      <c r="H144">
        <v>36</v>
      </c>
      <c r="I144">
        <v>1</v>
      </c>
      <c r="J144">
        <v>0</v>
      </c>
      <c r="M144">
        <v>50</v>
      </c>
      <c r="N144">
        <v>61</v>
      </c>
      <c r="O144">
        <v>3218018.0180180161</v>
      </c>
      <c r="P144">
        <v>2336306.3063063058</v>
      </c>
      <c r="Q144">
        <v>60</v>
      </c>
      <c r="R144">
        <v>29</v>
      </c>
      <c r="S144">
        <v>10570585.585585587</v>
      </c>
      <c r="T144">
        <v>11037198.198198196</v>
      </c>
      <c r="U144">
        <v>3760180.1801801799</v>
      </c>
      <c r="V144">
        <v>2377567.5675675669</v>
      </c>
      <c r="W144">
        <v>1116</v>
      </c>
      <c r="X144">
        <v>1089</v>
      </c>
    </row>
    <row r="145" spans="1:24">
      <c r="A145" s="7" t="s">
        <v>234</v>
      </c>
      <c r="B145" s="16" t="s">
        <v>167</v>
      </c>
      <c r="C145">
        <v>236239006.80296442</v>
      </c>
      <c r="D145">
        <v>228472881.21645239</v>
      </c>
      <c r="E145">
        <v>29729.729729729999</v>
      </c>
      <c r="F145">
        <v>391891.89189189201</v>
      </c>
      <c r="G145">
        <v>56</v>
      </c>
      <c r="H145">
        <v>13</v>
      </c>
      <c r="I145">
        <v>1</v>
      </c>
      <c r="J145">
        <v>2</v>
      </c>
      <c r="M145">
        <v>64</v>
      </c>
      <c r="N145">
        <v>20</v>
      </c>
      <c r="O145">
        <v>17701801.801801804</v>
      </c>
      <c r="P145">
        <v>26552600.900900904</v>
      </c>
      <c r="Q145">
        <v>11</v>
      </c>
      <c r="R145">
        <v>2</v>
      </c>
      <c r="S145">
        <v>63489180.180180185</v>
      </c>
      <c r="T145">
        <v>63494193.693693697</v>
      </c>
      <c r="U145">
        <v>13952385.585585589</v>
      </c>
      <c r="V145">
        <v>11653333.333333336</v>
      </c>
      <c r="W145">
        <v>4766</v>
      </c>
      <c r="X145">
        <v>5003</v>
      </c>
    </row>
    <row r="146" spans="1:24">
      <c r="A146" s="7" t="s">
        <v>235</v>
      </c>
      <c r="B146" s="16" t="s">
        <v>236</v>
      </c>
      <c r="C146">
        <v>6196.4937303839997</v>
      </c>
      <c r="D146">
        <v>184.33338469700001</v>
      </c>
      <c r="T146">
        <v>9009.0090090089998</v>
      </c>
      <c r="W146">
        <v>4</v>
      </c>
      <c r="X146">
        <v>2</v>
      </c>
    </row>
    <row r="147" spans="1:24">
      <c r="A147" s="7" t="s">
        <v>237</v>
      </c>
      <c r="B147" s="16" t="s">
        <v>105</v>
      </c>
      <c r="C147">
        <v>141301699.13756493</v>
      </c>
      <c r="D147">
        <v>133513011.48665871</v>
      </c>
      <c r="E147">
        <v>267027.02702702698</v>
      </c>
      <c r="F147">
        <v>854954.95495495398</v>
      </c>
      <c r="G147">
        <v>30</v>
      </c>
      <c r="H147">
        <v>19</v>
      </c>
      <c r="I147">
        <v>1</v>
      </c>
      <c r="J147">
        <v>0</v>
      </c>
      <c r="M147">
        <v>34</v>
      </c>
      <c r="N147">
        <v>21</v>
      </c>
      <c r="O147">
        <v>17262792.792792793</v>
      </c>
      <c r="P147">
        <v>21403963.963963963</v>
      </c>
      <c r="Q147">
        <v>6</v>
      </c>
      <c r="R147">
        <v>50</v>
      </c>
      <c r="S147">
        <v>39517783.783783786</v>
      </c>
      <c r="T147">
        <v>39507864.864864863</v>
      </c>
      <c r="U147">
        <v>15392972.972972972</v>
      </c>
      <c r="V147">
        <v>22236576.576576576</v>
      </c>
      <c r="W147">
        <v>2042</v>
      </c>
      <c r="X147">
        <v>1965</v>
      </c>
    </row>
    <row r="148" spans="1:24">
      <c r="A148" s="7" t="s">
        <v>3</v>
      </c>
      <c r="B148" s="16" t="s">
        <v>158</v>
      </c>
      <c r="C148">
        <v>280653386.37025607</v>
      </c>
      <c r="D148">
        <v>274556663.76783377</v>
      </c>
      <c r="E148">
        <v>3255630.6306306329</v>
      </c>
      <c r="F148">
        <v>3681081.081081084</v>
      </c>
      <c r="G148">
        <v>42</v>
      </c>
      <c r="H148">
        <v>44</v>
      </c>
      <c r="I148">
        <v>13</v>
      </c>
      <c r="J148">
        <v>11</v>
      </c>
      <c r="M148">
        <v>44</v>
      </c>
      <c r="N148">
        <v>50</v>
      </c>
      <c r="O148">
        <v>51086036.036036029</v>
      </c>
      <c r="P148">
        <v>59822522.522522517</v>
      </c>
      <c r="Q148">
        <v>102</v>
      </c>
      <c r="R148">
        <v>71</v>
      </c>
      <c r="S148">
        <v>72744279.279279277</v>
      </c>
      <c r="T148">
        <v>77725297.297297299</v>
      </c>
      <c r="U148">
        <v>48851081.081081077</v>
      </c>
      <c r="V148">
        <v>55724234.234234229</v>
      </c>
      <c r="W148">
        <v>4264</v>
      </c>
      <c r="X148">
        <v>3884</v>
      </c>
    </row>
    <row r="149" spans="1:24">
      <c r="A149" s="7" t="s">
        <v>238</v>
      </c>
      <c r="B149" s="16" t="s">
        <v>178</v>
      </c>
      <c r="C149">
        <v>245649611.72403216</v>
      </c>
      <c r="D149">
        <v>211887607.24535197</v>
      </c>
      <c r="E149">
        <v>4553153.1531531541</v>
      </c>
      <c r="F149">
        <v>511711.711711713</v>
      </c>
      <c r="G149">
        <v>51</v>
      </c>
      <c r="H149">
        <v>44</v>
      </c>
      <c r="I149">
        <v>3</v>
      </c>
      <c r="J149">
        <v>4</v>
      </c>
      <c r="M149">
        <v>59</v>
      </c>
      <c r="N149">
        <v>78</v>
      </c>
      <c r="O149">
        <v>26761863.063063063</v>
      </c>
      <c r="P149">
        <v>31187387.387387387</v>
      </c>
      <c r="S149">
        <v>73696189.189189181</v>
      </c>
      <c r="T149">
        <v>68425432.432432428</v>
      </c>
      <c r="U149">
        <v>20523243.24324324</v>
      </c>
      <c r="V149">
        <v>26429009.009009007</v>
      </c>
      <c r="W149">
        <v>5507</v>
      </c>
      <c r="X149">
        <v>5197</v>
      </c>
    </row>
    <row r="150" spans="1:24">
      <c r="A150" s="7" t="s">
        <v>239</v>
      </c>
      <c r="B150" s="16" t="s">
        <v>54</v>
      </c>
      <c r="C150">
        <v>167213210.06861854</v>
      </c>
      <c r="D150">
        <v>151134896.46195298</v>
      </c>
      <c r="E150">
        <v>1955270.2702702701</v>
      </c>
      <c r="F150">
        <v>3563063.0630630641</v>
      </c>
      <c r="G150">
        <v>18</v>
      </c>
      <c r="H150">
        <v>26</v>
      </c>
      <c r="I150">
        <v>2</v>
      </c>
      <c r="J150">
        <v>4</v>
      </c>
      <c r="M150">
        <v>21</v>
      </c>
      <c r="N150">
        <v>27</v>
      </c>
      <c r="O150">
        <v>22470810.810810812</v>
      </c>
      <c r="P150">
        <v>21275135.135135137</v>
      </c>
      <c r="Q150">
        <v>89</v>
      </c>
      <c r="R150">
        <v>27</v>
      </c>
      <c r="S150">
        <v>47375933.333333336</v>
      </c>
      <c r="T150">
        <v>42116104.504504502</v>
      </c>
      <c r="U150">
        <v>19205178.378378376</v>
      </c>
      <c r="V150">
        <v>18380897.297297295</v>
      </c>
      <c r="W150">
        <v>3479</v>
      </c>
      <c r="X150">
        <v>3436</v>
      </c>
    </row>
    <row r="151" spans="1:24">
      <c r="A151" s="7" t="s">
        <v>240</v>
      </c>
      <c r="B151" s="16" t="s">
        <v>241</v>
      </c>
      <c r="C151">
        <v>142821139.50174665</v>
      </c>
      <c r="D151">
        <v>130567479.62036861</v>
      </c>
      <c r="E151">
        <v>169369.36936937101</v>
      </c>
      <c r="F151">
        <v>949549.54954955203</v>
      </c>
      <c r="G151">
        <v>65</v>
      </c>
      <c r="H151">
        <v>59</v>
      </c>
      <c r="I151">
        <v>6</v>
      </c>
      <c r="J151">
        <v>5</v>
      </c>
      <c r="M151">
        <v>75</v>
      </c>
      <c r="N151">
        <v>67</v>
      </c>
      <c r="O151">
        <v>97155945.945945948</v>
      </c>
      <c r="P151">
        <v>28511891.891891897</v>
      </c>
      <c r="Q151">
        <v>44</v>
      </c>
      <c r="R151">
        <v>23</v>
      </c>
      <c r="S151">
        <v>33770540.540540539</v>
      </c>
      <c r="T151">
        <v>30228331.531531531</v>
      </c>
      <c r="U151">
        <v>107069369.36936937</v>
      </c>
      <c r="V151">
        <v>11443333.333333336</v>
      </c>
      <c r="W151">
        <v>2803</v>
      </c>
      <c r="X151">
        <v>2737</v>
      </c>
    </row>
    <row r="152" spans="1:24">
      <c r="A152" s="7" t="s">
        <v>242</v>
      </c>
      <c r="B152" s="16" t="s">
        <v>241</v>
      </c>
      <c r="C152">
        <v>359744914.24840128</v>
      </c>
      <c r="D152">
        <v>341267260.13527536</v>
      </c>
      <c r="E152">
        <v>782882.88288288505</v>
      </c>
      <c r="F152">
        <v>3154954.9549549581</v>
      </c>
      <c r="G152">
        <v>178</v>
      </c>
      <c r="H152">
        <v>127</v>
      </c>
      <c r="I152">
        <v>21</v>
      </c>
      <c r="J152">
        <v>16</v>
      </c>
      <c r="K152">
        <v>1</v>
      </c>
      <c r="M152">
        <v>199</v>
      </c>
      <c r="N152">
        <v>146</v>
      </c>
      <c r="O152">
        <v>105336306.3063063</v>
      </c>
      <c r="P152">
        <v>84389819.819819823</v>
      </c>
      <c r="Q152">
        <v>388</v>
      </c>
      <c r="R152">
        <v>123</v>
      </c>
      <c r="S152">
        <v>109125945.94594595</v>
      </c>
      <c r="T152">
        <v>101275774.77477477</v>
      </c>
      <c r="U152">
        <v>99491081.081081092</v>
      </c>
      <c r="V152">
        <v>78287477.477477491</v>
      </c>
      <c r="W152">
        <v>6858</v>
      </c>
      <c r="X152">
        <v>6639</v>
      </c>
    </row>
    <row r="153" spans="1:24">
      <c r="A153" s="7" t="s">
        <v>243</v>
      </c>
      <c r="B153" s="16" t="s">
        <v>50</v>
      </c>
      <c r="C153">
        <v>58171987.634185016</v>
      </c>
      <c r="D153">
        <v>58966621.236625746</v>
      </c>
      <c r="E153">
        <v>3638513.5135135138</v>
      </c>
      <c r="F153">
        <v>2310810.8108108109</v>
      </c>
      <c r="G153">
        <v>14</v>
      </c>
      <c r="H153">
        <v>12</v>
      </c>
      <c r="I153">
        <v>6</v>
      </c>
      <c r="J153">
        <v>3</v>
      </c>
      <c r="M153">
        <v>14</v>
      </c>
      <c r="N153">
        <v>12</v>
      </c>
      <c r="O153">
        <v>9224324.3243243247</v>
      </c>
      <c r="P153">
        <v>12294954.954954956</v>
      </c>
      <c r="Q153">
        <v>9</v>
      </c>
      <c r="R153">
        <v>25</v>
      </c>
      <c r="S153">
        <v>21369864.864864863</v>
      </c>
      <c r="T153">
        <v>19220549.549549554</v>
      </c>
      <c r="U153">
        <v>8513423.4234234225</v>
      </c>
      <c r="V153">
        <v>10924774.774774777</v>
      </c>
      <c r="W153">
        <v>934</v>
      </c>
      <c r="X153">
        <v>1188</v>
      </c>
    </row>
    <row r="154" spans="1:24">
      <c r="A154" s="7" t="s">
        <v>244</v>
      </c>
      <c r="B154" s="16" t="s">
        <v>181</v>
      </c>
      <c r="C154">
        <v>1991996540.2836103</v>
      </c>
      <c r="D154">
        <v>1862335179.0315869</v>
      </c>
      <c r="E154">
        <v>295578871.17117119</v>
      </c>
      <c r="F154">
        <v>167860243.24324322</v>
      </c>
      <c r="G154">
        <v>914</v>
      </c>
      <c r="H154">
        <v>791</v>
      </c>
      <c r="I154">
        <v>94</v>
      </c>
      <c r="J154">
        <v>85</v>
      </c>
      <c r="K154">
        <v>16</v>
      </c>
      <c r="M154">
        <v>1066</v>
      </c>
      <c r="N154">
        <v>1345</v>
      </c>
      <c r="O154">
        <v>207426666.66666666</v>
      </c>
      <c r="P154">
        <v>233274144.14414412</v>
      </c>
      <c r="Q154">
        <v>1477</v>
      </c>
      <c r="R154">
        <v>956</v>
      </c>
      <c r="S154">
        <v>398894428.82882881</v>
      </c>
      <c r="T154">
        <v>415435678.37837839</v>
      </c>
      <c r="U154">
        <v>197516126.12612611</v>
      </c>
      <c r="V154">
        <v>227195765.76576576</v>
      </c>
      <c r="W154">
        <v>43963</v>
      </c>
      <c r="X154">
        <v>44795</v>
      </c>
    </row>
    <row r="155" spans="1:24">
      <c r="A155" s="7" t="s">
        <v>245</v>
      </c>
      <c r="B155" s="16" t="s">
        <v>48</v>
      </c>
      <c r="C155">
        <v>86345214.228971452</v>
      </c>
      <c r="D155">
        <v>80320667.022080064</v>
      </c>
      <c r="E155">
        <v>272972.97297297302</v>
      </c>
      <c r="F155">
        <v>2002027.0270270279</v>
      </c>
      <c r="G155">
        <v>7</v>
      </c>
      <c r="H155">
        <v>3</v>
      </c>
      <c r="I155">
        <v>3</v>
      </c>
      <c r="J155">
        <v>7</v>
      </c>
      <c r="M155">
        <v>7</v>
      </c>
      <c r="N155">
        <v>9</v>
      </c>
      <c r="O155">
        <v>10889729.729729732</v>
      </c>
      <c r="P155">
        <v>20444324.324324325</v>
      </c>
      <c r="R155">
        <v>25</v>
      </c>
      <c r="S155">
        <v>20254720.72072072</v>
      </c>
      <c r="T155">
        <v>18399612.612612613</v>
      </c>
      <c r="U155">
        <v>11043243.243243244</v>
      </c>
      <c r="V155">
        <v>22094774.774774775</v>
      </c>
      <c r="W155">
        <v>1792</v>
      </c>
      <c r="X155">
        <v>1762</v>
      </c>
    </row>
    <row r="156" spans="1:24">
      <c r="A156" s="7" t="s">
        <v>246</v>
      </c>
      <c r="B156" s="16" t="s">
        <v>94</v>
      </c>
      <c r="C156">
        <v>35717101.109026186</v>
      </c>
      <c r="D156">
        <v>23316149.130017243</v>
      </c>
      <c r="G156">
        <v>5</v>
      </c>
      <c r="H156">
        <v>3</v>
      </c>
      <c r="J156">
        <v>0</v>
      </c>
      <c r="M156">
        <v>6</v>
      </c>
      <c r="N156">
        <v>3</v>
      </c>
      <c r="S156">
        <v>6383720.7207207214</v>
      </c>
      <c r="T156">
        <v>4572414.4144144142</v>
      </c>
      <c r="W156">
        <v>702</v>
      </c>
      <c r="X156">
        <v>671</v>
      </c>
    </row>
    <row r="157" spans="1:24">
      <c r="A157" s="7" t="s">
        <v>247</v>
      </c>
      <c r="B157" s="16" t="s">
        <v>117</v>
      </c>
      <c r="C157">
        <v>74986270.911075547</v>
      </c>
      <c r="D157">
        <v>75828644.933509082</v>
      </c>
      <c r="E157">
        <v>750965.76576576801</v>
      </c>
      <c r="F157">
        <v>1351519.819819821</v>
      </c>
      <c r="G157">
        <v>27</v>
      </c>
      <c r="H157">
        <v>9</v>
      </c>
      <c r="I157">
        <v>7</v>
      </c>
      <c r="J157">
        <v>3</v>
      </c>
      <c r="M157">
        <v>29</v>
      </c>
      <c r="N157">
        <v>12</v>
      </c>
      <c r="O157">
        <v>17499385.585585587</v>
      </c>
      <c r="P157">
        <v>11444706.306306308</v>
      </c>
      <c r="Q157">
        <v>71</v>
      </c>
      <c r="R157">
        <v>43</v>
      </c>
      <c r="S157">
        <v>35931531.531531535</v>
      </c>
      <c r="T157">
        <v>36361468.468468465</v>
      </c>
      <c r="U157">
        <v>17235765.765765764</v>
      </c>
      <c r="V157">
        <v>13309279.27927928</v>
      </c>
      <c r="W157">
        <v>1683</v>
      </c>
      <c r="X157">
        <v>1679</v>
      </c>
    </row>
    <row r="158" spans="1:24">
      <c r="A158" s="7" t="s">
        <v>248</v>
      </c>
      <c r="B158" s="16" t="s">
        <v>121</v>
      </c>
      <c r="C158">
        <v>125114460.61802086</v>
      </c>
      <c r="D158">
        <v>124029508.47547136</v>
      </c>
      <c r="E158">
        <v>102252.25225225301</v>
      </c>
      <c r="F158">
        <v>850450.450450451</v>
      </c>
      <c r="G158">
        <v>99</v>
      </c>
      <c r="H158">
        <v>80</v>
      </c>
      <c r="I158">
        <v>3</v>
      </c>
      <c r="J158">
        <v>5</v>
      </c>
      <c r="M158">
        <v>110</v>
      </c>
      <c r="N158">
        <v>86</v>
      </c>
      <c r="O158">
        <v>6690090.0900900904</v>
      </c>
      <c r="P158">
        <v>6310810.8108108109</v>
      </c>
      <c r="Q158">
        <v>197</v>
      </c>
      <c r="R158">
        <v>14</v>
      </c>
      <c r="S158">
        <v>14324648.648648648</v>
      </c>
      <c r="T158">
        <v>14875099.099099098</v>
      </c>
      <c r="U158">
        <v>7339549.5495495489</v>
      </c>
      <c r="V158">
        <v>4565405.405405405</v>
      </c>
      <c r="W158">
        <v>2407</v>
      </c>
      <c r="X158">
        <v>2303</v>
      </c>
    </row>
    <row r="159" spans="1:24">
      <c r="A159" s="7" t="s">
        <v>249</v>
      </c>
      <c r="B159" s="16" t="s">
        <v>76</v>
      </c>
      <c r="C159">
        <v>59841451.88978567</v>
      </c>
      <c r="D159">
        <v>53285203.260243908</v>
      </c>
      <c r="G159">
        <v>11</v>
      </c>
      <c r="H159">
        <v>4</v>
      </c>
      <c r="I159">
        <v>0</v>
      </c>
      <c r="J159">
        <v>0</v>
      </c>
      <c r="M159">
        <v>13</v>
      </c>
      <c r="N159">
        <v>6</v>
      </c>
      <c r="S159">
        <v>6379531.5315315323</v>
      </c>
      <c r="T159">
        <v>5303108.1081081079</v>
      </c>
      <c r="W159">
        <v>1575</v>
      </c>
      <c r="X159">
        <v>1650</v>
      </c>
    </row>
    <row r="160" spans="1:24">
      <c r="A160" s="7" t="s">
        <v>250</v>
      </c>
      <c r="B160" s="16" t="s">
        <v>167</v>
      </c>
      <c r="C160">
        <v>186916623.2839478</v>
      </c>
      <c r="D160">
        <v>173752799.88800582</v>
      </c>
      <c r="G160">
        <v>25</v>
      </c>
      <c r="H160">
        <v>14</v>
      </c>
      <c r="M160">
        <v>32</v>
      </c>
      <c r="N160">
        <v>42</v>
      </c>
      <c r="O160">
        <v>5194594.594594595</v>
      </c>
      <c r="P160">
        <v>1828828.8288288291</v>
      </c>
      <c r="Q160">
        <v>9</v>
      </c>
      <c r="S160">
        <v>33484864.864864863</v>
      </c>
      <c r="T160">
        <v>33422432.432432432</v>
      </c>
      <c r="U160">
        <v>2432612.612612613</v>
      </c>
      <c r="V160">
        <v>1974414.4144144149</v>
      </c>
      <c r="W160">
        <v>3762</v>
      </c>
      <c r="X160">
        <v>3828</v>
      </c>
    </row>
    <row r="161" spans="1:24">
      <c r="A161" s="7" t="s">
        <v>251</v>
      </c>
      <c r="B161" s="16" t="s">
        <v>89</v>
      </c>
      <c r="C161">
        <v>519656457.19701153</v>
      </c>
      <c r="D161">
        <v>511129492.20849854</v>
      </c>
      <c r="E161">
        <v>72222882.882882893</v>
      </c>
      <c r="F161">
        <v>137161711.7117117</v>
      </c>
      <c r="G161">
        <v>56</v>
      </c>
      <c r="H161">
        <v>95</v>
      </c>
      <c r="I161">
        <v>21</v>
      </c>
      <c r="J161">
        <v>8</v>
      </c>
      <c r="M161">
        <v>64</v>
      </c>
      <c r="N161">
        <v>108</v>
      </c>
      <c r="O161">
        <v>40303783.783783786</v>
      </c>
      <c r="P161">
        <v>39202612.612612605</v>
      </c>
      <c r="Q161">
        <v>339</v>
      </c>
      <c r="R161">
        <v>329</v>
      </c>
      <c r="S161">
        <v>124630704.50450452</v>
      </c>
      <c r="T161">
        <v>126848693.6936937</v>
      </c>
      <c r="U161">
        <v>44462612.612612605</v>
      </c>
      <c r="V161">
        <v>38895225.225225218</v>
      </c>
      <c r="W161">
        <v>10475</v>
      </c>
      <c r="X161">
        <v>10431</v>
      </c>
    </row>
    <row r="162" spans="1:24">
      <c r="A162" s="7" t="s">
        <v>252</v>
      </c>
      <c r="B162" s="16" t="s">
        <v>78</v>
      </c>
      <c r="C162">
        <v>155645337.70483279</v>
      </c>
      <c r="D162">
        <v>150052960.7756671</v>
      </c>
      <c r="E162">
        <v>559459.45945945894</v>
      </c>
      <c r="F162">
        <v>2291891.8918918949</v>
      </c>
      <c r="G162">
        <v>36</v>
      </c>
      <c r="H162">
        <v>23</v>
      </c>
      <c r="I162">
        <v>4</v>
      </c>
      <c r="J162">
        <v>10</v>
      </c>
      <c r="M162">
        <v>39</v>
      </c>
      <c r="N162">
        <v>26</v>
      </c>
      <c r="O162">
        <v>18262972.97297297</v>
      </c>
      <c r="P162">
        <v>29656306.306306303</v>
      </c>
      <c r="Q162">
        <v>27</v>
      </c>
      <c r="R162">
        <v>71</v>
      </c>
      <c r="S162">
        <v>43367684.684684686</v>
      </c>
      <c r="T162">
        <v>42659873.873873875</v>
      </c>
      <c r="U162">
        <v>17011621.621621624</v>
      </c>
      <c r="V162">
        <v>28403963.963963963</v>
      </c>
      <c r="W162">
        <v>2855</v>
      </c>
      <c r="X162">
        <v>2854</v>
      </c>
    </row>
    <row r="163" spans="1:24">
      <c r="A163" s="7" t="s">
        <v>253</v>
      </c>
      <c r="B163" s="16" t="s">
        <v>105</v>
      </c>
      <c r="C163">
        <v>302615993.71493036</v>
      </c>
      <c r="D163">
        <v>296148853.71680409</v>
      </c>
      <c r="E163">
        <v>29697942.342342343</v>
      </c>
      <c r="F163">
        <v>171397228.82882884</v>
      </c>
      <c r="G163">
        <v>69</v>
      </c>
      <c r="H163">
        <v>111</v>
      </c>
      <c r="I163">
        <v>10</v>
      </c>
      <c r="J163">
        <v>14</v>
      </c>
      <c r="K163">
        <v>1</v>
      </c>
      <c r="M163">
        <v>78</v>
      </c>
      <c r="N163">
        <v>193</v>
      </c>
      <c r="O163">
        <v>48634774.774774775</v>
      </c>
      <c r="P163">
        <v>45033873.873873875</v>
      </c>
      <c r="Q163">
        <v>186</v>
      </c>
      <c r="R163">
        <v>373</v>
      </c>
      <c r="S163">
        <v>87714522.522522524</v>
      </c>
      <c r="T163">
        <v>85668090.090090096</v>
      </c>
      <c r="U163">
        <v>45859819.819819815</v>
      </c>
      <c r="V163">
        <v>44951351.351351343</v>
      </c>
      <c r="W163">
        <v>5498</v>
      </c>
      <c r="X163">
        <v>5205</v>
      </c>
    </row>
    <row r="164" spans="1:24">
      <c r="A164" s="7" t="s">
        <v>254</v>
      </c>
      <c r="B164" s="16" t="s">
        <v>105</v>
      </c>
      <c r="C164">
        <v>194642662.44188657</v>
      </c>
      <c r="D164">
        <v>193947962.83998623</v>
      </c>
      <c r="E164">
        <v>1750450.4504504499</v>
      </c>
      <c r="F164">
        <v>1804504.5045045069</v>
      </c>
      <c r="G164">
        <v>24</v>
      </c>
      <c r="H164">
        <v>23</v>
      </c>
      <c r="I164">
        <v>1</v>
      </c>
      <c r="J164">
        <v>1</v>
      </c>
      <c r="M164">
        <v>27</v>
      </c>
      <c r="N164">
        <v>26</v>
      </c>
      <c r="O164">
        <v>12452612.612612611</v>
      </c>
      <c r="P164">
        <v>15275135.135135137</v>
      </c>
      <c r="Q164">
        <v>12</v>
      </c>
      <c r="R164">
        <v>45</v>
      </c>
      <c r="S164">
        <v>58058061.261261262</v>
      </c>
      <c r="T164">
        <v>60522369.369369365</v>
      </c>
      <c r="U164">
        <v>11733513.513513513</v>
      </c>
      <c r="V164">
        <v>14071801.801801801</v>
      </c>
      <c r="W164">
        <v>3618</v>
      </c>
      <c r="X164">
        <v>3973</v>
      </c>
    </row>
    <row r="165" spans="1:24">
      <c r="A165" s="7" t="s">
        <v>255</v>
      </c>
      <c r="B165" s="16" t="s">
        <v>105</v>
      </c>
      <c r="C165">
        <v>163180513.71345112</v>
      </c>
      <c r="D165">
        <v>162341027.0680097</v>
      </c>
      <c r="E165">
        <v>1120720.7207207209</v>
      </c>
      <c r="F165">
        <v>132432.43243243301</v>
      </c>
      <c r="G165">
        <v>25</v>
      </c>
      <c r="H165">
        <v>26</v>
      </c>
      <c r="I165">
        <v>0</v>
      </c>
      <c r="J165">
        <v>0</v>
      </c>
      <c r="M165">
        <v>26</v>
      </c>
      <c r="N165">
        <v>29</v>
      </c>
      <c r="O165">
        <v>2156756.7567567569</v>
      </c>
      <c r="P165">
        <v>2384684.684684685</v>
      </c>
      <c r="Q165">
        <v>1</v>
      </c>
      <c r="S165">
        <v>33579819.819819823</v>
      </c>
      <c r="T165">
        <v>35450376.576576576</v>
      </c>
      <c r="U165">
        <v>2575945.945945946</v>
      </c>
      <c r="V165">
        <v>2338918.9189189188</v>
      </c>
      <c r="W165">
        <v>2169</v>
      </c>
      <c r="X165">
        <v>2124</v>
      </c>
    </row>
    <row r="166" spans="1:24">
      <c r="A166" s="7" t="s">
        <v>256</v>
      </c>
      <c r="B166" s="16" t="s">
        <v>134</v>
      </c>
      <c r="C166">
        <v>259125879.77886403</v>
      </c>
      <c r="D166">
        <v>250756467.64823475</v>
      </c>
      <c r="E166">
        <v>20227927.927927926</v>
      </c>
      <c r="F166">
        <v>27342342.342342343</v>
      </c>
      <c r="G166">
        <v>25</v>
      </c>
      <c r="H166">
        <v>22</v>
      </c>
      <c r="I166">
        <v>1</v>
      </c>
      <c r="J166">
        <v>2</v>
      </c>
      <c r="M166">
        <v>26</v>
      </c>
      <c r="N166">
        <v>23</v>
      </c>
      <c r="O166">
        <v>8651351.3513513505</v>
      </c>
      <c r="P166">
        <v>3387387.387387387</v>
      </c>
      <c r="Q166">
        <v>185</v>
      </c>
      <c r="S166">
        <v>17388639.639639638</v>
      </c>
      <c r="T166">
        <v>17787054.054054055</v>
      </c>
      <c r="U166">
        <v>6477207.2072072057</v>
      </c>
      <c r="V166">
        <v>4252972.9729729732</v>
      </c>
      <c r="W166">
        <v>4162</v>
      </c>
      <c r="X166">
        <v>4137</v>
      </c>
    </row>
    <row r="167" spans="1:24">
      <c r="A167" s="7" t="s">
        <v>257</v>
      </c>
      <c r="B167" s="16" t="s">
        <v>167</v>
      </c>
      <c r="C167">
        <v>98044656.366141468</v>
      </c>
      <c r="D167">
        <v>87586971.356926322</v>
      </c>
      <c r="E167">
        <v>904504.50450450496</v>
      </c>
      <c r="F167">
        <v>1171171.1711711709</v>
      </c>
      <c r="G167">
        <v>53</v>
      </c>
      <c r="H167">
        <v>20</v>
      </c>
      <c r="I167">
        <v>1</v>
      </c>
      <c r="J167">
        <v>0</v>
      </c>
      <c r="M167">
        <v>60</v>
      </c>
      <c r="N167">
        <v>25</v>
      </c>
      <c r="O167">
        <v>6875225.225225226</v>
      </c>
      <c r="P167">
        <v>4375467.5675675673</v>
      </c>
      <c r="Q167">
        <v>12</v>
      </c>
      <c r="S167">
        <v>34612432.432432435</v>
      </c>
      <c r="T167">
        <v>29821678.378378376</v>
      </c>
      <c r="U167">
        <v>6033333.3333333358</v>
      </c>
      <c r="V167">
        <v>4572072.072072072</v>
      </c>
      <c r="W167">
        <v>2463</v>
      </c>
      <c r="X167">
        <v>2478</v>
      </c>
    </row>
    <row r="168" spans="1:24">
      <c r="A168" s="7" t="s">
        <v>258</v>
      </c>
      <c r="B168" s="16" t="s">
        <v>60</v>
      </c>
      <c r="C168">
        <v>39049669.611887343</v>
      </c>
      <c r="D168">
        <v>34335533.63228409</v>
      </c>
      <c r="E168">
        <v>15765.765765766</v>
      </c>
      <c r="F168">
        <v>280180.18018018</v>
      </c>
      <c r="G168">
        <v>18</v>
      </c>
      <c r="H168">
        <v>16</v>
      </c>
      <c r="I168">
        <v>1</v>
      </c>
      <c r="J168">
        <v>5</v>
      </c>
      <c r="K168">
        <v>2</v>
      </c>
      <c r="M168">
        <v>35</v>
      </c>
      <c r="N168">
        <v>23</v>
      </c>
      <c r="O168">
        <v>7592342.3423423423</v>
      </c>
      <c r="P168">
        <v>7118018.0180180185</v>
      </c>
      <c r="Q168">
        <v>8</v>
      </c>
      <c r="R168">
        <v>19</v>
      </c>
      <c r="S168">
        <v>14245225.225225223</v>
      </c>
      <c r="T168">
        <v>12215711.711711712</v>
      </c>
      <c r="U168">
        <v>6920810.8108108109</v>
      </c>
      <c r="V168">
        <v>7339729.7297297288</v>
      </c>
      <c r="W168">
        <v>673</v>
      </c>
      <c r="X168">
        <v>589</v>
      </c>
    </row>
    <row r="169" spans="1:24">
      <c r="A169" s="7" t="s">
        <v>259</v>
      </c>
      <c r="B169" s="16" t="s">
        <v>260</v>
      </c>
      <c r="C169">
        <v>19511855.315089457</v>
      </c>
      <c r="D169">
        <v>21080993.537032839</v>
      </c>
      <c r="E169">
        <v>359765403.6036036</v>
      </c>
      <c r="F169">
        <v>347061816.21621621</v>
      </c>
      <c r="G169">
        <v>10</v>
      </c>
      <c r="H169">
        <v>5</v>
      </c>
      <c r="M169">
        <v>10</v>
      </c>
      <c r="N169">
        <v>6</v>
      </c>
      <c r="O169">
        <v>2702702.702702703</v>
      </c>
      <c r="P169">
        <v>58948198.198198199</v>
      </c>
      <c r="S169">
        <v>3925585.5855855858</v>
      </c>
      <c r="T169">
        <v>3699306.3063063072</v>
      </c>
      <c r="U169">
        <v>4369459.4594594603</v>
      </c>
      <c r="V169">
        <v>1823693.693693694</v>
      </c>
      <c r="W169">
        <v>519</v>
      </c>
      <c r="X169">
        <v>551</v>
      </c>
    </row>
    <row r="170" spans="1:24">
      <c r="A170" s="7" t="s">
        <v>261</v>
      </c>
      <c r="B170" s="16" t="s">
        <v>60</v>
      </c>
      <c r="C170">
        <v>328829331.48826832</v>
      </c>
      <c r="D170">
        <v>327573908.15792334</v>
      </c>
      <c r="E170">
        <v>149050671.17117116</v>
      </c>
      <c r="F170">
        <v>235646744.14414415</v>
      </c>
      <c r="G170">
        <v>167</v>
      </c>
      <c r="H170">
        <v>226</v>
      </c>
      <c r="I170">
        <v>26</v>
      </c>
      <c r="J170">
        <v>49</v>
      </c>
      <c r="K170">
        <v>12</v>
      </c>
      <c r="M170">
        <v>210</v>
      </c>
      <c r="N170">
        <v>460</v>
      </c>
      <c r="O170">
        <v>62484324.324324317</v>
      </c>
      <c r="P170">
        <v>68884684.684684694</v>
      </c>
      <c r="Q170">
        <v>558</v>
      </c>
      <c r="R170">
        <v>1989</v>
      </c>
      <c r="S170">
        <v>115137729.72972973</v>
      </c>
      <c r="T170">
        <v>120624641.89189188</v>
      </c>
      <c r="U170">
        <v>59959549.549549542</v>
      </c>
      <c r="V170">
        <v>73713783.783783779</v>
      </c>
      <c r="W170">
        <v>6228</v>
      </c>
      <c r="X170">
        <v>6192</v>
      </c>
    </row>
    <row r="171" spans="1:24">
      <c r="A171" s="7" t="s">
        <v>262</v>
      </c>
      <c r="B171" s="16" t="s">
        <v>123</v>
      </c>
      <c r="C171">
        <v>262789839.45358682</v>
      </c>
      <c r="D171">
        <v>253865206.05554724</v>
      </c>
      <c r="E171">
        <v>305855.85585585702</v>
      </c>
      <c r="F171">
        <v>426126.12612612703</v>
      </c>
      <c r="G171">
        <v>38</v>
      </c>
      <c r="H171">
        <v>73</v>
      </c>
      <c r="I171">
        <v>0</v>
      </c>
      <c r="J171">
        <v>2</v>
      </c>
      <c r="K171">
        <v>1</v>
      </c>
      <c r="M171">
        <v>44</v>
      </c>
      <c r="N171">
        <v>89</v>
      </c>
      <c r="O171">
        <v>17163153.153153151</v>
      </c>
      <c r="P171">
        <v>17325045.045045044</v>
      </c>
      <c r="Q171">
        <v>20</v>
      </c>
      <c r="R171">
        <v>34</v>
      </c>
      <c r="S171">
        <v>99890621.621621609</v>
      </c>
      <c r="T171">
        <v>100679072.07207206</v>
      </c>
      <c r="U171">
        <v>16926306.306306303</v>
      </c>
      <c r="V171">
        <v>15655855.855855856</v>
      </c>
      <c r="W171">
        <v>5502</v>
      </c>
      <c r="X171">
        <v>4636</v>
      </c>
    </row>
    <row r="172" spans="1:24">
      <c r="A172" s="7" t="s">
        <v>263</v>
      </c>
      <c r="B172" s="16" t="s">
        <v>123</v>
      </c>
      <c r="C172">
        <v>114274108.56840147</v>
      </c>
      <c r="D172">
        <v>107270026.65343772</v>
      </c>
      <c r="E172">
        <v>405405.40540540603</v>
      </c>
      <c r="F172">
        <v>3135360.3603603612</v>
      </c>
      <c r="G172">
        <v>44</v>
      </c>
      <c r="H172">
        <v>61</v>
      </c>
      <c r="I172">
        <v>5</v>
      </c>
      <c r="J172">
        <v>7</v>
      </c>
      <c r="K172">
        <v>2</v>
      </c>
      <c r="M172">
        <v>50</v>
      </c>
      <c r="N172">
        <v>226</v>
      </c>
      <c r="O172">
        <v>28014684.684684683</v>
      </c>
      <c r="P172">
        <v>35120810.810810812</v>
      </c>
      <c r="Q172">
        <v>268</v>
      </c>
      <c r="R172">
        <v>439</v>
      </c>
      <c r="S172">
        <v>47820261.261261262</v>
      </c>
      <c r="T172">
        <v>44775621.621621624</v>
      </c>
      <c r="U172">
        <v>32157027.027027026</v>
      </c>
      <c r="V172">
        <v>32591891.891891893</v>
      </c>
      <c r="W172">
        <v>2290</v>
      </c>
      <c r="X172">
        <v>2347</v>
      </c>
    </row>
    <row r="173" spans="1:24">
      <c r="A173" s="7" t="s">
        <v>264</v>
      </c>
      <c r="B173" s="16" t="s">
        <v>125</v>
      </c>
      <c r="C173">
        <v>268807527.41471583</v>
      </c>
      <c r="D173">
        <v>272581833.0855009</v>
      </c>
      <c r="E173">
        <v>556306.30630630697</v>
      </c>
      <c r="F173">
        <v>2532432.4324324308</v>
      </c>
      <c r="G173">
        <v>44</v>
      </c>
      <c r="H173">
        <v>80</v>
      </c>
      <c r="I173">
        <v>4</v>
      </c>
      <c r="J173">
        <v>5</v>
      </c>
      <c r="M173">
        <v>46</v>
      </c>
      <c r="N173">
        <v>80</v>
      </c>
      <c r="O173">
        <v>30307657.657657657</v>
      </c>
      <c r="P173">
        <v>23108108.108108107</v>
      </c>
      <c r="Q173">
        <v>30</v>
      </c>
      <c r="R173">
        <v>8</v>
      </c>
      <c r="S173">
        <v>93338468.468468457</v>
      </c>
      <c r="T173">
        <v>98632789.189189181</v>
      </c>
      <c r="U173">
        <v>23913513.513513513</v>
      </c>
      <c r="V173">
        <v>19889279.27927928</v>
      </c>
      <c r="W173">
        <v>4471</v>
      </c>
      <c r="X173">
        <v>4450</v>
      </c>
    </row>
    <row r="174" spans="1:24">
      <c r="A174" s="7" t="s">
        <v>265</v>
      </c>
      <c r="B174" s="16" t="s">
        <v>123</v>
      </c>
      <c r="C174">
        <v>271997248.74482018</v>
      </c>
      <c r="D174">
        <v>258817929.27269295</v>
      </c>
      <c r="E174">
        <v>159300900.9009009</v>
      </c>
      <c r="F174">
        <v>158198918.91891891</v>
      </c>
      <c r="G174">
        <v>72</v>
      </c>
      <c r="H174">
        <v>39</v>
      </c>
      <c r="I174">
        <v>9</v>
      </c>
      <c r="J174">
        <v>5</v>
      </c>
      <c r="M174">
        <v>77</v>
      </c>
      <c r="N174">
        <v>44</v>
      </c>
      <c r="O174">
        <v>27000450.450450446</v>
      </c>
      <c r="P174">
        <v>26293243.24324324</v>
      </c>
      <c r="Q174">
        <v>60</v>
      </c>
      <c r="R174">
        <v>54</v>
      </c>
      <c r="S174">
        <v>93799009.009009004</v>
      </c>
      <c r="T174">
        <v>91565381.981981978</v>
      </c>
      <c r="U174">
        <v>23587027.027027026</v>
      </c>
      <c r="V174">
        <v>26710990.990990989</v>
      </c>
      <c r="W174">
        <v>4886</v>
      </c>
      <c r="X174">
        <v>4881</v>
      </c>
    </row>
    <row r="175" spans="1:24">
      <c r="A175" s="7" t="s">
        <v>266</v>
      </c>
      <c r="B175" s="16" t="s">
        <v>123</v>
      </c>
      <c r="C175">
        <v>265511453.37603238</v>
      </c>
      <c r="D175">
        <v>270643365.45431799</v>
      </c>
      <c r="E175">
        <v>1717117.117117119</v>
      </c>
      <c r="F175">
        <v>2805855.855855857</v>
      </c>
      <c r="G175">
        <v>34</v>
      </c>
      <c r="H175">
        <v>59</v>
      </c>
      <c r="I175">
        <v>2</v>
      </c>
      <c r="J175">
        <v>7</v>
      </c>
      <c r="M175">
        <v>36</v>
      </c>
      <c r="N175">
        <v>65</v>
      </c>
      <c r="O175">
        <v>40353873.873873875</v>
      </c>
      <c r="P175">
        <v>30885765.765765768</v>
      </c>
      <c r="Q175">
        <v>179</v>
      </c>
      <c r="R175">
        <v>107</v>
      </c>
      <c r="S175">
        <v>104011972.97297297</v>
      </c>
      <c r="T175">
        <v>110466691.89189188</v>
      </c>
      <c r="U175">
        <v>38405765.765765756</v>
      </c>
      <c r="V175">
        <v>29734234.234234232</v>
      </c>
      <c r="W175">
        <v>5439</v>
      </c>
      <c r="X175">
        <v>5366</v>
      </c>
    </row>
    <row r="176" spans="1:24">
      <c r="A176" s="7" t="s">
        <v>267</v>
      </c>
      <c r="B176" s="16" t="s">
        <v>178</v>
      </c>
      <c r="C176">
        <v>1441466179.9331489</v>
      </c>
      <c r="D176">
        <v>1371748200.1665306</v>
      </c>
      <c r="E176">
        <v>892900510.8108108</v>
      </c>
      <c r="F176">
        <v>987893449.54954958</v>
      </c>
      <c r="G176">
        <v>717</v>
      </c>
      <c r="H176">
        <v>651</v>
      </c>
      <c r="I176">
        <v>47</v>
      </c>
      <c r="J176">
        <v>91</v>
      </c>
      <c r="K176">
        <v>5</v>
      </c>
      <c r="M176">
        <v>951</v>
      </c>
      <c r="N176">
        <v>1241</v>
      </c>
      <c r="O176">
        <v>209822339.63963965</v>
      </c>
      <c r="P176">
        <v>202215068.46846849</v>
      </c>
      <c r="Q176">
        <v>520</v>
      </c>
      <c r="R176">
        <v>1046</v>
      </c>
      <c r="S176">
        <v>406235441.44144148</v>
      </c>
      <c r="T176">
        <v>417685056.75675672</v>
      </c>
      <c r="U176">
        <v>197863603.6036036</v>
      </c>
      <c r="V176">
        <v>183005045.04504505</v>
      </c>
      <c r="W176">
        <v>32826</v>
      </c>
      <c r="X176">
        <v>31968</v>
      </c>
    </row>
    <row r="177" spans="1:24">
      <c r="A177" s="7" t="s">
        <v>268</v>
      </c>
      <c r="B177" s="16" t="s">
        <v>62</v>
      </c>
      <c r="C177">
        <v>214043179.22142649</v>
      </c>
      <c r="D177">
        <v>223890938.8564505</v>
      </c>
      <c r="E177">
        <v>2166756.7567567611</v>
      </c>
      <c r="F177">
        <v>5159459.4594594631</v>
      </c>
      <c r="G177">
        <v>46</v>
      </c>
      <c r="H177">
        <v>51</v>
      </c>
      <c r="I177">
        <v>16</v>
      </c>
      <c r="J177">
        <v>24</v>
      </c>
      <c r="M177">
        <v>51</v>
      </c>
      <c r="N177">
        <v>79</v>
      </c>
      <c r="O177">
        <v>18962072.072072066</v>
      </c>
      <c r="P177">
        <v>75445315.315315306</v>
      </c>
      <c r="Q177">
        <v>16</v>
      </c>
      <c r="R177">
        <v>134</v>
      </c>
      <c r="S177">
        <v>70824459.459459454</v>
      </c>
      <c r="T177">
        <v>73775495.495495483</v>
      </c>
      <c r="U177">
        <v>18832432.432432432</v>
      </c>
      <c r="V177">
        <v>64108738.738738738</v>
      </c>
      <c r="W177">
        <v>4654</v>
      </c>
      <c r="X177">
        <v>4692</v>
      </c>
    </row>
    <row r="178" spans="1:24">
      <c r="A178" s="7" t="s">
        <v>269</v>
      </c>
      <c r="B178" s="16" t="s">
        <v>70</v>
      </c>
      <c r="C178">
        <v>286535994.17663723</v>
      </c>
      <c r="D178">
        <v>288496327.28259343</v>
      </c>
      <c r="E178">
        <v>4410360.3603603588</v>
      </c>
      <c r="F178">
        <v>4545855.8558558617</v>
      </c>
      <c r="G178">
        <v>66</v>
      </c>
      <c r="H178">
        <v>105</v>
      </c>
      <c r="I178">
        <v>4</v>
      </c>
      <c r="J178">
        <v>31</v>
      </c>
      <c r="K178">
        <v>1</v>
      </c>
      <c r="M178">
        <v>68</v>
      </c>
      <c r="N178">
        <v>287</v>
      </c>
      <c r="O178">
        <v>43938963.963963971</v>
      </c>
      <c r="P178">
        <v>25191891.891891897</v>
      </c>
      <c r="Q178">
        <v>208</v>
      </c>
      <c r="R178">
        <v>175</v>
      </c>
      <c r="S178">
        <v>130528450.45045045</v>
      </c>
      <c r="T178">
        <v>134447414.41441441</v>
      </c>
      <c r="U178">
        <v>40282477.477477483</v>
      </c>
      <c r="V178">
        <v>21951531.531531535</v>
      </c>
      <c r="W178">
        <v>6812</v>
      </c>
      <c r="X178">
        <v>6928</v>
      </c>
    </row>
    <row r="179" spans="1:24">
      <c r="A179" s="7" t="s">
        <v>270</v>
      </c>
      <c r="B179" s="16" t="s">
        <v>134</v>
      </c>
      <c r="C179">
        <v>4154825.6438268241</v>
      </c>
      <c r="D179">
        <v>4484472.8254594142</v>
      </c>
      <c r="G179">
        <v>2</v>
      </c>
      <c r="M179">
        <v>3</v>
      </c>
      <c r="S179">
        <v>217792.792792792</v>
      </c>
      <c r="T179">
        <v>261801.80180180201</v>
      </c>
      <c r="W179">
        <v>290</v>
      </c>
      <c r="X179">
        <v>246</v>
      </c>
    </row>
    <row r="180" spans="1:24">
      <c r="A180" s="7" t="s">
        <v>271</v>
      </c>
      <c r="B180" s="16" t="s">
        <v>76</v>
      </c>
      <c r="C180">
        <v>138908132.96765324</v>
      </c>
      <c r="D180">
        <v>135725546.28872436</v>
      </c>
      <c r="E180">
        <v>10810.810810810999</v>
      </c>
      <c r="F180">
        <v>76576.576576577005</v>
      </c>
      <c r="G180">
        <v>33</v>
      </c>
      <c r="H180">
        <v>18</v>
      </c>
      <c r="I180">
        <v>0</v>
      </c>
      <c r="J180">
        <v>0</v>
      </c>
      <c r="M180">
        <v>36</v>
      </c>
      <c r="N180">
        <v>20</v>
      </c>
      <c r="O180">
        <v>190990.99099099101</v>
      </c>
      <c r="P180">
        <v>166666.66666666701</v>
      </c>
      <c r="S180">
        <v>8112792.7927927934</v>
      </c>
      <c r="T180">
        <v>8144409.9099099096</v>
      </c>
      <c r="U180">
        <v>357657.65765765699</v>
      </c>
      <c r="V180">
        <v>271171.17117117101</v>
      </c>
      <c r="W180">
        <v>2359</v>
      </c>
      <c r="X180">
        <v>2418</v>
      </c>
    </row>
    <row r="181" spans="1:24">
      <c r="A181" s="7" t="s">
        <v>272</v>
      </c>
      <c r="B181" s="16" t="s">
        <v>76</v>
      </c>
      <c r="C181">
        <v>50172040.228897154</v>
      </c>
      <c r="D181">
        <v>46535567.485767365</v>
      </c>
      <c r="E181">
        <v>57207.207207207</v>
      </c>
      <c r="F181">
        <v>150450.450450451</v>
      </c>
      <c r="G181">
        <v>15</v>
      </c>
      <c r="H181">
        <v>4</v>
      </c>
      <c r="I181">
        <v>1</v>
      </c>
      <c r="J181">
        <v>1</v>
      </c>
      <c r="M181">
        <v>17</v>
      </c>
      <c r="N181">
        <v>6</v>
      </c>
      <c r="O181">
        <v>15674324.324324325</v>
      </c>
      <c r="P181">
        <v>10073153.153153151</v>
      </c>
      <c r="Q181">
        <v>24</v>
      </c>
      <c r="R181">
        <v>23</v>
      </c>
      <c r="S181">
        <v>14632837.837837838</v>
      </c>
      <c r="T181">
        <v>11739963.963963963</v>
      </c>
      <c r="U181">
        <v>10008648.648648648</v>
      </c>
      <c r="V181">
        <v>8756396.3963963967</v>
      </c>
      <c r="W181">
        <v>801</v>
      </c>
      <c r="X181">
        <v>719</v>
      </c>
    </row>
    <row r="182" spans="1:24">
      <c r="A182" s="7" t="s">
        <v>273</v>
      </c>
      <c r="B182" s="16" t="s">
        <v>260</v>
      </c>
      <c r="C182">
        <v>1031488618.9304206</v>
      </c>
      <c r="D182">
        <v>969161709.73245025</v>
      </c>
      <c r="E182">
        <v>9252702.7027027085</v>
      </c>
      <c r="F182">
        <v>11908108.108108109</v>
      </c>
      <c r="G182">
        <v>289</v>
      </c>
      <c r="H182">
        <v>276</v>
      </c>
      <c r="I182">
        <v>25</v>
      </c>
      <c r="J182">
        <v>33</v>
      </c>
      <c r="K182">
        <v>1</v>
      </c>
      <c r="M182">
        <v>325</v>
      </c>
      <c r="N182">
        <v>375</v>
      </c>
      <c r="O182">
        <v>165004954.95495495</v>
      </c>
      <c r="P182">
        <v>203757657.65765765</v>
      </c>
      <c r="Q182">
        <v>164</v>
      </c>
      <c r="R182">
        <v>137</v>
      </c>
      <c r="S182">
        <v>292739612.61261261</v>
      </c>
      <c r="T182">
        <v>296648139.63963962</v>
      </c>
      <c r="U182">
        <v>168079909.90990993</v>
      </c>
      <c r="V182">
        <v>181679819.81981981</v>
      </c>
      <c r="W182">
        <v>19699</v>
      </c>
      <c r="X182">
        <v>18050</v>
      </c>
    </row>
    <row r="183" spans="1:24">
      <c r="A183" s="7" t="s">
        <v>274</v>
      </c>
      <c r="B183" s="16" t="s">
        <v>260</v>
      </c>
      <c r="C183">
        <v>239750953.25439361</v>
      </c>
      <c r="D183">
        <v>214414622.66484052</v>
      </c>
      <c r="E183">
        <v>2351351.3513513519</v>
      </c>
      <c r="F183">
        <v>1258108.1081081091</v>
      </c>
      <c r="G183">
        <v>24</v>
      </c>
      <c r="H183">
        <v>12</v>
      </c>
      <c r="I183">
        <v>3</v>
      </c>
      <c r="J183">
        <v>2</v>
      </c>
      <c r="M183">
        <v>24</v>
      </c>
      <c r="N183">
        <v>15</v>
      </c>
      <c r="O183">
        <v>11517117.117117116</v>
      </c>
      <c r="P183">
        <v>16129279.279279279</v>
      </c>
      <c r="Q183">
        <v>7</v>
      </c>
      <c r="R183">
        <v>11</v>
      </c>
      <c r="S183">
        <v>43357063.063063063</v>
      </c>
      <c r="T183">
        <v>43289540.540540546</v>
      </c>
      <c r="U183">
        <v>10771981.981981983</v>
      </c>
      <c r="V183">
        <v>12830360.36036036</v>
      </c>
      <c r="W183">
        <v>3843</v>
      </c>
      <c r="X183">
        <v>3919</v>
      </c>
    </row>
    <row r="184" spans="1:24">
      <c r="A184" s="7" t="s">
        <v>275</v>
      </c>
      <c r="B184" s="16" t="s">
        <v>260</v>
      </c>
      <c r="C184">
        <v>251015236.20635679</v>
      </c>
      <c r="D184">
        <v>239429330.8917003</v>
      </c>
      <c r="E184">
        <v>6448558.5585585581</v>
      </c>
      <c r="F184">
        <v>5715855.855855857</v>
      </c>
      <c r="G184">
        <v>84</v>
      </c>
      <c r="H184">
        <v>26</v>
      </c>
      <c r="I184">
        <v>5</v>
      </c>
      <c r="J184">
        <v>6</v>
      </c>
      <c r="K184">
        <v>1</v>
      </c>
      <c r="M184">
        <v>89</v>
      </c>
      <c r="N184">
        <v>32</v>
      </c>
      <c r="O184">
        <v>42530630.630630635</v>
      </c>
      <c r="P184">
        <v>47474774.774774775</v>
      </c>
      <c r="Q184">
        <v>300</v>
      </c>
      <c r="R184">
        <v>21</v>
      </c>
      <c r="S184">
        <v>58330495.495495498</v>
      </c>
      <c r="T184">
        <v>54135153.153153151</v>
      </c>
      <c r="U184">
        <v>41412522.522522517</v>
      </c>
      <c r="V184">
        <v>47093063.063063063</v>
      </c>
      <c r="W184">
        <v>6037</v>
      </c>
      <c r="X184">
        <v>5769</v>
      </c>
    </row>
    <row r="185" spans="1:24">
      <c r="A185" s="7" t="s">
        <v>276</v>
      </c>
      <c r="B185" s="16" t="s">
        <v>134</v>
      </c>
      <c r="C185">
        <v>296452992.8458932</v>
      </c>
      <c r="D185">
        <v>302119380.61142719</v>
      </c>
      <c r="E185">
        <v>29729.729729729999</v>
      </c>
      <c r="F185">
        <v>2175675.6756756771</v>
      </c>
      <c r="G185">
        <v>46</v>
      </c>
      <c r="H185">
        <v>60</v>
      </c>
      <c r="I185">
        <v>4</v>
      </c>
      <c r="J185">
        <v>5</v>
      </c>
      <c r="M185">
        <v>51</v>
      </c>
      <c r="N185">
        <v>70</v>
      </c>
      <c r="O185">
        <v>12372072.072072072</v>
      </c>
      <c r="P185">
        <v>16139639.639639642</v>
      </c>
      <c r="Q185">
        <v>20</v>
      </c>
      <c r="S185">
        <v>26601108.108108107</v>
      </c>
      <c r="T185">
        <v>26167707.207207207</v>
      </c>
      <c r="U185">
        <v>8437387.3873873875</v>
      </c>
      <c r="V185">
        <v>7108288.2882882878</v>
      </c>
      <c r="W185">
        <v>5183</v>
      </c>
      <c r="X185">
        <v>5280</v>
      </c>
    </row>
    <row r="186" spans="1:24">
      <c r="A186" s="7" t="s">
        <v>675</v>
      </c>
      <c r="B186" s="16" t="s">
        <v>87</v>
      </c>
      <c r="E186">
        <v>59898899.0990991</v>
      </c>
      <c r="F186">
        <v>92915642.342342332</v>
      </c>
      <c r="O186">
        <v>19819819.819819819</v>
      </c>
    </row>
    <row r="187" spans="1:24">
      <c r="A187" s="7" t="s">
        <v>277</v>
      </c>
      <c r="B187" s="16" t="s">
        <v>169</v>
      </c>
      <c r="C187">
        <v>231289814.68550009</v>
      </c>
      <c r="D187">
        <v>175054227.13267747</v>
      </c>
      <c r="E187">
        <v>69165765.765765771</v>
      </c>
      <c r="F187">
        <v>76372972.972972974</v>
      </c>
      <c r="G187">
        <v>38</v>
      </c>
      <c r="H187">
        <v>30</v>
      </c>
      <c r="I187">
        <v>1</v>
      </c>
      <c r="J187">
        <v>1</v>
      </c>
      <c r="M187">
        <v>40</v>
      </c>
      <c r="N187">
        <v>48</v>
      </c>
      <c r="O187">
        <v>29564162.162162159</v>
      </c>
      <c r="P187">
        <v>22830450.45045045</v>
      </c>
      <c r="Q187">
        <v>12</v>
      </c>
      <c r="R187">
        <v>14</v>
      </c>
      <c r="S187">
        <v>95681603.603603601</v>
      </c>
      <c r="T187">
        <v>80151610.360360354</v>
      </c>
      <c r="U187">
        <v>16288288.288288288</v>
      </c>
      <c r="V187">
        <v>11225675.675675675</v>
      </c>
      <c r="W187">
        <v>3310</v>
      </c>
      <c r="X187">
        <v>3228</v>
      </c>
    </row>
    <row r="188" spans="1:24">
      <c r="A188" s="7" t="s">
        <v>278</v>
      </c>
      <c r="B188" s="16" t="s">
        <v>169</v>
      </c>
      <c r="C188">
        <v>101759992.80778101</v>
      </c>
      <c r="D188">
        <v>103034648.11407083</v>
      </c>
      <c r="E188">
        <v>900.900900901</v>
      </c>
      <c r="F188">
        <v>3603.603603604</v>
      </c>
      <c r="G188">
        <v>8</v>
      </c>
      <c r="H188">
        <v>18</v>
      </c>
      <c r="M188">
        <v>8</v>
      </c>
      <c r="N188">
        <v>19</v>
      </c>
      <c r="O188">
        <v>5885602.702702703</v>
      </c>
      <c r="P188">
        <v>6973536.036036036</v>
      </c>
      <c r="S188">
        <v>39297405.40540541</v>
      </c>
      <c r="T188">
        <v>45563256.75675676</v>
      </c>
      <c r="U188">
        <v>4325315.3153153146</v>
      </c>
      <c r="V188">
        <v>5354864.8648648653</v>
      </c>
      <c r="W188">
        <v>2118</v>
      </c>
      <c r="X188">
        <v>2044</v>
      </c>
    </row>
    <row r="189" spans="1:24">
      <c r="A189" s="7" t="s">
        <v>279</v>
      </c>
      <c r="B189" s="16" t="s">
        <v>87</v>
      </c>
      <c r="C189">
        <v>2658995.478950101</v>
      </c>
      <c r="D189">
        <v>2452777.58421674</v>
      </c>
      <c r="G189">
        <v>4</v>
      </c>
      <c r="H189">
        <v>6</v>
      </c>
      <c r="M189">
        <v>5</v>
      </c>
      <c r="N189">
        <v>6</v>
      </c>
      <c r="S189">
        <v>1369592.7927927929</v>
      </c>
      <c r="T189">
        <v>931045.04504504497</v>
      </c>
      <c r="W189">
        <v>195</v>
      </c>
      <c r="X189">
        <v>208</v>
      </c>
    </row>
    <row r="190" spans="1:24">
      <c r="A190" s="7" t="s">
        <v>280</v>
      </c>
      <c r="B190" s="16" t="s">
        <v>169</v>
      </c>
      <c r="C190">
        <v>178626265.90739802</v>
      </c>
      <c r="D190">
        <v>174209956.49821758</v>
      </c>
      <c r="E190">
        <v>909234.23423423304</v>
      </c>
      <c r="F190">
        <v>887387.38738738897</v>
      </c>
      <c r="G190">
        <v>35</v>
      </c>
      <c r="H190">
        <v>27</v>
      </c>
      <c r="I190">
        <v>5</v>
      </c>
      <c r="J190">
        <v>4</v>
      </c>
      <c r="M190">
        <v>40</v>
      </c>
      <c r="N190">
        <v>41</v>
      </c>
      <c r="O190">
        <v>18719743.243243244</v>
      </c>
      <c r="P190">
        <v>23745765.765765764</v>
      </c>
      <c r="Q190">
        <v>43</v>
      </c>
      <c r="R190">
        <v>95</v>
      </c>
      <c r="S190">
        <v>69595720.720720723</v>
      </c>
      <c r="T190">
        <v>70322405.405405402</v>
      </c>
      <c r="U190">
        <v>18532702.702702705</v>
      </c>
      <c r="V190">
        <v>22033513.513513513</v>
      </c>
      <c r="W190">
        <v>4160</v>
      </c>
      <c r="X190">
        <v>4218</v>
      </c>
    </row>
    <row r="191" spans="1:24">
      <c r="A191" s="7" t="s">
        <v>281</v>
      </c>
      <c r="B191" s="16" t="s">
        <v>54</v>
      </c>
      <c r="C191">
        <v>136605392.21567923</v>
      </c>
      <c r="D191">
        <v>131184118.90456769</v>
      </c>
      <c r="E191">
        <v>590315.31531531701</v>
      </c>
      <c r="F191">
        <v>2445045.0450450471</v>
      </c>
      <c r="G191">
        <v>50</v>
      </c>
      <c r="H191">
        <v>50</v>
      </c>
      <c r="I191">
        <v>6</v>
      </c>
      <c r="J191">
        <v>12</v>
      </c>
      <c r="K191">
        <v>3</v>
      </c>
      <c r="M191">
        <v>57</v>
      </c>
      <c r="N191">
        <v>61</v>
      </c>
      <c r="O191">
        <v>14030180.180180181</v>
      </c>
      <c r="P191">
        <v>15370270.270270268</v>
      </c>
      <c r="Q191">
        <v>116</v>
      </c>
      <c r="R191">
        <v>56</v>
      </c>
      <c r="S191">
        <v>27570387.387387387</v>
      </c>
      <c r="T191">
        <v>28533855.855855856</v>
      </c>
      <c r="U191">
        <v>13982702.702702705</v>
      </c>
      <c r="V191">
        <v>13905855.855855856</v>
      </c>
      <c r="W191">
        <v>3704</v>
      </c>
      <c r="X191">
        <v>3734</v>
      </c>
    </row>
    <row r="192" spans="1:24">
      <c r="A192" s="7" t="s">
        <v>282</v>
      </c>
      <c r="B192" s="16" t="s">
        <v>283</v>
      </c>
      <c r="C192">
        <v>221477607.84580618</v>
      </c>
      <c r="D192">
        <v>181127851.12131006</v>
      </c>
      <c r="E192">
        <v>954504.50450450496</v>
      </c>
      <c r="F192">
        <v>333333.33333333401</v>
      </c>
      <c r="G192">
        <v>101</v>
      </c>
      <c r="H192">
        <v>67</v>
      </c>
      <c r="I192">
        <v>2</v>
      </c>
      <c r="J192">
        <v>2</v>
      </c>
      <c r="M192">
        <v>105</v>
      </c>
      <c r="N192">
        <v>96</v>
      </c>
      <c r="O192">
        <v>7341891.891891893</v>
      </c>
      <c r="P192">
        <v>8901981.9819819834</v>
      </c>
      <c r="Q192">
        <v>2</v>
      </c>
      <c r="R192">
        <v>1</v>
      </c>
      <c r="S192">
        <v>27239324.324324325</v>
      </c>
      <c r="T192">
        <v>28842558.558558561</v>
      </c>
      <c r="U192">
        <v>7604864.8648648672</v>
      </c>
      <c r="V192">
        <v>9217657.6576576605</v>
      </c>
      <c r="W192">
        <v>3360</v>
      </c>
      <c r="X192">
        <v>3326</v>
      </c>
    </row>
    <row r="193" spans="1:24">
      <c r="A193" s="7" t="s">
        <v>284</v>
      </c>
      <c r="B193" s="16" t="s">
        <v>283</v>
      </c>
      <c r="C193">
        <v>361067057.99679691</v>
      </c>
      <c r="D193">
        <v>373553794.48427206</v>
      </c>
      <c r="E193">
        <v>1638513.513513515</v>
      </c>
      <c r="F193">
        <v>2768918.918918923</v>
      </c>
      <c r="G193">
        <v>88</v>
      </c>
      <c r="H193">
        <v>70</v>
      </c>
      <c r="I193">
        <v>8</v>
      </c>
      <c r="J193">
        <v>7</v>
      </c>
      <c r="K193">
        <v>1</v>
      </c>
      <c r="M193">
        <v>108</v>
      </c>
      <c r="N193">
        <v>116</v>
      </c>
      <c r="O193">
        <v>42118108.108108111</v>
      </c>
      <c r="P193">
        <v>45738018.018018022</v>
      </c>
      <c r="Q193">
        <v>41</v>
      </c>
      <c r="R193">
        <v>100</v>
      </c>
      <c r="S193">
        <v>70632702.702702701</v>
      </c>
      <c r="T193">
        <v>79479063.06306307</v>
      </c>
      <c r="U193">
        <v>35610450.45045045</v>
      </c>
      <c r="V193">
        <v>40165135.135135137</v>
      </c>
      <c r="W193">
        <v>8290</v>
      </c>
      <c r="X193">
        <v>7412</v>
      </c>
    </row>
    <row r="194" spans="1:24">
      <c r="A194" s="7" t="s">
        <v>285</v>
      </c>
      <c r="B194" s="16" t="s">
        <v>283</v>
      </c>
      <c r="C194">
        <v>192077297.87318757</v>
      </c>
      <c r="D194">
        <v>195845533.42639029</v>
      </c>
      <c r="E194">
        <v>1390090.090090092</v>
      </c>
      <c r="F194">
        <v>1737747.7477477479</v>
      </c>
      <c r="G194">
        <v>67</v>
      </c>
      <c r="H194">
        <v>29</v>
      </c>
      <c r="I194">
        <v>12</v>
      </c>
      <c r="J194">
        <v>6</v>
      </c>
      <c r="M194">
        <v>72</v>
      </c>
      <c r="N194">
        <v>65</v>
      </c>
      <c r="O194">
        <v>48726126.126126125</v>
      </c>
      <c r="P194">
        <v>54451531.531531535</v>
      </c>
      <c r="Q194">
        <v>33</v>
      </c>
      <c r="R194">
        <v>85</v>
      </c>
      <c r="S194">
        <v>61142099.099099107</v>
      </c>
      <c r="T194">
        <v>60167918.918918923</v>
      </c>
      <c r="U194">
        <v>43070270.270270273</v>
      </c>
      <c r="V194">
        <v>46309639.639639638</v>
      </c>
      <c r="W194">
        <v>4721</v>
      </c>
      <c r="X194">
        <v>4614</v>
      </c>
    </row>
    <row r="195" spans="1:24">
      <c r="A195" s="7" t="s">
        <v>286</v>
      </c>
      <c r="B195" s="16" t="s">
        <v>283</v>
      </c>
      <c r="C195">
        <v>138199137.55953446</v>
      </c>
      <c r="D195">
        <v>146846394.85582203</v>
      </c>
      <c r="E195">
        <v>73648.648648649003</v>
      </c>
      <c r="F195">
        <v>614414.414414417</v>
      </c>
      <c r="G195">
        <v>21</v>
      </c>
      <c r="H195">
        <v>12</v>
      </c>
      <c r="I195">
        <v>4</v>
      </c>
      <c r="J195">
        <v>2</v>
      </c>
      <c r="M195">
        <v>22</v>
      </c>
      <c r="N195">
        <v>13</v>
      </c>
      <c r="O195">
        <v>6736036.0360360369</v>
      </c>
      <c r="P195">
        <v>31981261.261261266</v>
      </c>
      <c r="Q195">
        <v>114</v>
      </c>
      <c r="R195">
        <v>113</v>
      </c>
      <c r="S195">
        <v>22596153.153153151</v>
      </c>
      <c r="T195">
        <v>27545990.990990993</v>
      </c>
      <c r="U195">
        <v>5897567.5675675683</v>
      </c>
      <c r="V195">
        <v>30820180.180180181</v>
      </c>
      <c r="W195">
        <v>2513</v>
      </c>
      <c r="X195">
        <v>2491</v>
      </c>
    </row>
    <row r="196" spans="1:24">
      <c r="A196" s="7" t="s">
        <v>287</v>
      </c>
      <c r="B196" s="16" t="s">
        <v>283</v>
      </c>
      <c r="C196">
        <v>70457631.589302883</v>
      </c>
      <c r="D196">
        <v>74259424.275953591</v>
      </c>
      <c r="E196">
        <v>81081.081081081007</v>
      </c>
      <c r="F196">
        <v>456756.75675675902</v>
      </c>
      <c r="G196">
        <v>6</v>
      </c>
      <c r="I196">
        <v>2</v>
      </c>
      <c r="J196">
        <v>1</v>
      </c>
      <c r="M196">
        <v>6</v>
      </c>
      <c r="N196">
        <v>2</v>
      </c>
      <c r="O196">
        <v>81081.081081081007</v>
      </c>
      <c r="P196">
        <v>12672972.972972972</v>
      </c>
      <c r="Q196">
        <v>2</v>
      </c>
      <c r="R196">
        <v>2</v>
      </c>
      <c r="S196">
        <v>12329504.504504504</v>
      </c>
      <c r="T196">
        <v>13474252.252252253</v>
      </c>
      <c r="U196">
        <v>13063.063063063</v>
      </c>
      <c r="V196">
        <v>12340810.810810812</v>
      </c>
      <c r="W196">
        <v>1345</v>
      </c>
      <c r="X196">
        <v>1336</v>
      </c>
    </row>
    <row r="197" spans="1:24">
      <c r="A197" s="7" t="s">
        <v>288</v>
      </c>
      <c r="B197" s="16" t="s">
        <v>283</v>
      </c>
      <c r="C197">
        <v>12148096.416351538</v>
      </c>
      <c r="D197">
        <v>11928578.068538338</v>
      </c>
      <c r="E197">
        <v>5180.1801801800002</v>
      </c>
      <c r="F197">
        <v>370270.27027027</v>
      </c>
      <c r="G197">
        <v>5</v>
      </c>
      <c r="M197">
        <v>5</v>
      </c>
      <c r="O197">
        <v>1694594.594594595</v>
      </c>
      <c r="P197">
        <v>19847747.747747749</v>
      </c>
      <c r="Q197">
        <v>75</v>
      </c>
      <c r="R197">
        <v>98</v>
      </c>
      <c r="S197">
        <v>1856621.621621622</v>
      </c>
      <c r="T197">
        <v>1747216.2162162161</v>
      </c>
      <c r="U197">
        <v>1689189.1891891891</v>
      </c>
      <c r="V197">
        <v>19450450.45045045</v>
      </c>
      <c r="W197">
        <v>300</v>
      </c>
      <c r="X197">
        <v>351</v>
      </c>
    </row>
    <row r="198" spans="1:24">
      <c r="A198" s="7" t="s">
        <v>289</v>
      </c>
      <c r="B198" s="16" t="s">
        <v>290</v>
      </c>
      <c r="C198">
        <v>151884321.26501298</v>
      </c>
      <c r="D198">
        <v>149588958.56701833</v>
      </c>
      <c r="E198">
        <v>32432.432432433001</v>
      </c>
      <c r="F198">
        <v>133333.33333333401</v>
      </c>
      <c r="G198">
        <v>60</v>
      </c>
      <c r="H198">
        <v>41</v>
      </c>
      <c r="I198">
        <v>2</v>
      </c>
      <c r="J198">
        <v>1</v>
      </c>
      <c r="M198">
        <v>68</v>
      </c>
      <c r="N198">
        <v>45</v>
      </c>
      <c r="O198">
        <v>1518918.91891892</v>
      </c>
      <c r="P198">
        <v>639639.63963963999</v>
      </c>
      <c r="Q198">
        <v>10</v>
      </c>
      <c r="R198">
        <v>8</v>
      </c>
      <c r="S198">
        <v>13743237.837837836</v>
      </c>
      <c r="T198">
        <v>13993866.666666668</v>
      </c>
      <c r="U198">
        <v>1496396.3963963969</v>
      </c>
      <c r="V198">
        <v>844594.59459459502</v>
      </c>
      <c r="W198">
        <v>4068</v>
      </c>
      <c r="X198">
        <v>4176</v>
      </c>
    </row>
    <row r="199" spans="1:24">
      <c r="A199" s="7" t="s">
        <v>291</v>
      </c>
      <c r="B199" s="16" t="s">
        <v>147</v>
      </c>
      <c r="C199">
        <v>356161264.1792587</v>
      </c>
      <c r="D199">
        <v>354324089.4313975</v>
      </c>
      <c r="E199">
        <v>814414.41441441595</v>
      </c>
      <c r="F199">
        <v>5410090.0900900932</v>
      </c>
      <c r="G199">
        <v>63</v>
      </c>
      <c r="H199">
        <v>86</v>
      </c>
      <c r="I199">
        <v>11</v>
      </c>
      <c r="J199">
        <v>8</v>
      </c>
      <c r="K199">
        <v>2</v>
      </c>
      <c r="M199">
        <v>221</v>
      </c>
      <c r="N199">
        <v>105</v>
      </c>
      <c r="O199">
        <v>52827027.027027026</v>
      </c>
      <c r="P199">
        <v>134092308.1081081</v>
      </c>
      <c r="Q199">
        <v>271</v>
      </c>
      <c r="R199">
        <v>222</v>
      </c>
      <c r="S199">
        <v>125639144.14414415</v>
      </c>
      <c r="T199">
        <v>139759198.1981982</v>
      </c>
      <c r="U199">
        <v>46571441.441441439</v>
      </c>
      <c r="V199">
        <v>129690270.27027027</v>
      </c>
      <c r="W199">
        <v>7738</v>
      </c>
      <c r="X199">
        <v>8059</v>
      </c>
    </row>
    <row r="200" spans="1:24">
      <c r="A200" s="7" t="s">
        <v>292</v>
      </c>
      <c r="B200" s="16" t="s">
        <v>293</v>
      </c>
      <c r="C200">
        <v>181732587.91890228</v>
      </c>
      <c r="D200">
        <v>168307905.2619209</v>
      </c>
      <c r="E200">
        <v>74774.774774778998</v>
      </c>
      <c r="F200">
        <v>1402702.702702703</v>
      </c>
      <c r="G200">
        <v>23</v>
      </c>
      <c r="H200">
        <v>17</v>
      </c>
      <c r="I200">
        <v>15</v>
      </c>
      <c r="J200">
        <v>8</v>
      </c>
      <c r="M200">
        <v>32</v>
      </c>
      <c r="N200">
        <v>22</v>
      </c>
      <c r="O200">
        <v>26468648.648648646</v>
      </c>
      <c r="P200">
        <v>41182972.972972974</v>
      </c>
      <c r="Q200">
        <v>230</v>
      </c>
      <c r="R200">
        <v>50</v>
      </c>
      <c r="S200">
        <v>21823864.864864863</v>
      </c>
      <c r="T200">
        <v>23104801.801801801</v>
      </c>
      <c r="U200">
        <v>27237747.747747749</v>
      </c>
      <c r="V200">
        <v>42807207.20720721</v>
      </c>
      <c r="W200">
        <v>3640</v>
      </c>
      <c r="X200">
        <v>3468</v>
      </c>
    </row>
    <row r="201" spans="1:24">
      <c r="A201" s="7" t="s">
        <v>294</v>
      </c>
      <c r="B201" s="16" t="s">
        <v>290</v>
      </c>
      <c r="C201">
        <v>50585106.308387265</v>
      </c>
      <c r="D201">
        <v>37480424.582113206</v>
      </c>
      <c r="E201">
        <v>144987688.2882883</v>
      </c>
      <c r="F201">
        <v>172175914.41441441</v>
      </c>
      <c r="G201">
        <v>21</v>
      </c>
      <c r="H201">
        <v>8</v>
      </c>
      <c r="I201">
        <v>1</v>
      </c>
      <c r="J201">
        <v>2</v>
      </c>
      <c r="M201">
        <v>22</v>
      </c>
      <c r="N201">
        <v>8</v>
      </c>
      <c r="O201">
        <v>22040414.414414417</v>
      </c>
      <c r="P201">
        <v>24374363.063063063</v>
      </c>
      <c r="Q201">
        <v>5</v>
      </c>
      <c r="R201">
        <v>8</v>
      </c>
      <c r="S201">
        <v>5380180.1801801799</v>
      </c>
      <c r="T201">
        <v>5444592.7927927934</v>
      </c>
      <c r="U201">
        <v>1935045.0450450459</v>
      </c>
      <c r="V201">
        <v>2290000</v>
      </c>
      <c r="W201">
        <v>1227</v>
      </c>
      <c r="X201">
        <v>1223</v>
      </c>
    </row>
    <row r="202" spans="1:24">
      <c r="A202" s="7" t="s">
        <v>295</v>
      </c>
      <c r="B202" s="16" t="s">
        <v>52</v>
      </c>
      <c r="C202">
        <v>493422034.97890598</v>
      </c>
      <c r="D202">
        <v>488327693.88506836</v>
      </c>
      <c r="E202">
        <v>4924948.6486486504</v>
      </c>
      <c r="F202">
        <v>6832432.4324324364</v>
      </c>
      <c r="G202">
        <v>89</v>
      </c>
      <c r="H202">
        <v>131</v>
      </c>
      <c r="I202">
        <v>12</v>
      </c>
      <c r="J202">
        <v>15</v>
      </c>
      <c r="M202">
        <v>114</v>
      </c>
      <c r="N202">
        <v>209</v>
      </c>
      <c r="O202">
        <v>317783116.21621621</v>
      </c>
      <c r="P202">
        <v>266355675.67567569</v>
      </c>
      <c r="Q202">
        <v>355</v>
      </c>
      <c r="R202">
        <v>551</v>
      </c>
      <c r="S202">
        <v>130556171.17117117</v>
      </c>
      <c r="T202">
        <v>133569576.57657658</v>
      </c>
      <c r="U202">
        <v>305845585.58558559</v>
      </c>
      <c r="V202">
        <v>282963243.24324322</v>
      </c>
      <c r="W202">
        <v>11797</v>
      </c>
      <c r="X202">
        <v>11717</v>
      </c>
    </row>
    <row r="203" spans="1:24">
      <c r="A203" s="7" t="s">
        <v>296</v>
      </c>
      <c r="B203" s="16" t="s">
        <v>169</v>
      </c>
      <c r="C203">
        <v>160229152.70057279</v>
      </c>
      <c r="D203">
        <v>138463811.80763593</v>
      </c>
      <c r="E203">
        <v>1801.801801802</v>
      </c>
      <c r="F203">
        <v>86486.486486487003</v>
      </c>
      <c r="G203">
        <v>19</v>
      </c>
      <c r="H203">
        <v>20</v>
      </c>
      <c r="I203">
        <v>0</v>
      </c>
      <c r="J203">
        <v>0</v>
      </c>
      <c r="K203">
        <v>1</v>
      </c>
      <c r="M203">
        <v>22</v>
      </c>
      <c r="N203">
        <v>28</v>
      </c>
      <c r="O203">
        <v>5722522.5225225221</v>
      </c>
      <c r="P203">
        <v>10627027.027027028</v>
      </c>
      <c r="R203">
        <v>1</v>
      </c>
      <c r="S203">
        <v>32594027.02702703</v>
      </c>
      <c r="T203">
        <v>31157738.738738742</v>
      </c>
      <c r="U203">
        <v>5338108.1081081079</v>
      </c>
      <c r="V203">
        <v>8904144.1441441439</v>
      </c>
      <c r="W203">
        <v>4573</v>
      </c>
      <c r="X203">
        <v>3416</v>
      </c>
    </row>
    <row r="204" spans="1:24">
      <c r="A204" s="7" t="s">
        <v>297</v>
      </c>
      <c r="B204" s="16" t="s">
        <v>169</v>
      </c>
      <c r="C204">
        <v>152874821.8237437</v>
      </c>
      <c r="D204">
        <v>190080235.18323493</v>
      </c>
      <c r="E204">
        <v>900.900900901</v>
      </c>
      <c r="F204">
        <v>694261.261261262</v>
      </c>
      <c r="G204">
        <v>15</v>
      </c>
      <c r="H204">
        <v>26</v>
      </c>
      <c r="J204">
        <v>0</v>
      </c>
      <c r="M204">
        <v>16</v>
      </c>
      <c r="N204">
        <v>45</v>
      </c>
      <c r="O204">
        <v>991031683.78378379</v>
      </c>
      <c r="P204">
        <v>1841349054.0540543</v>
      </c>
      <c r="S204">
        <v>56863819.819819823</v>
      </c>
      <c r="T204">
        <v>67115504.504504502</v>
      </c>
      <c r="U204">
        <v>988305434.23423421</v>
      </c>
      <c r="V204">
        <v>1827176479.2792795</v>
      </c>
      <c r="W204">
        <v>3134</v>
      </c>
      <c r="X204">
        <v>2878</v>
      </c>
    </row>
    <row r="205" spans="1:24">
      <c r="A205" s="7" t="s">
        <v>298</v>
      </c>
      <c r="B205" s="16" t="s">
        <v>89</v>
      </c>
      <c r="C205">
        <v>577270477.75637066</v>
      </c>
      <c r="D205">
        <v>558210049.54018116</v>
      </c>
      <c r="E205">
        <v>1748063.0630630699</v>
      </c>
      <c r="F205">
        <v>8156622.5225225314</v>
      </c>
      <c r="G205">
        <v>88</v>
      </c>
      <c r="H205">
        <v>109</v>
      </c>
      <c r="I205">
        <v>24</v>
      </c>
      <c r="J205">
        <v>36</v>
      </c>
      <c r="K205">
        <v>2</v>
      </c>
      <c r="M205">
        <v>96</v>
      </c>
      <c r="N205">
        <v>210</v>
      </c>
      <c r="O205">
        <v>37131711.711711712</v>
      </c>
      <c r="P205">
        <v>37722285.585585587</v>
      </c>
      <c r="Q205">
        <v>379</v>
      </c>
      <c r="R205">
        <v>248</v>
      </c>
      <c r="S205">
        <v>105625315.31531531</v>
      </c>
      <c r="T205">
        <v>109663657.65765767</v>
      </c>
      <c r="U205">
        <v>36751711.711711712</v>
      </c>
      <c r="V205">
        <v>35013873.873873875</v>
      </c>
      <c r="W205">
        <v>10855</v>
      </c>
      <c r="X205">
        <v>10744</v>
      </c>
    </row>
    <row r="206" spans="1:24">
      <c r="A206" s="7" t="s">
        <v>299</v>
      </c>
      <c r="B206" s="16" t="s">
        <v>134</v>
      </c>
      <c r="C206">
        <v>292054988.35985392</v>
      </c>
      <c r="D206">
        <v>309499965.92654902</v>
      </c>
      <c r="E206">
        <v>1733558.5585585679</v>
      </c>
      <c r="F206">
        <v>2067567.5675675699</v>
      </c>
      <c r="G206">
        <v>128</v>
      </c>
      <c r="H206">
        <v>72</v>
      </c>
      <c r="I206">
        <v>37</v>
      </c>
      <c r="J206">
        <v>11</v>
      </c>
      <c r="M206">
        <v>208</v>
      </c>
      <c r="N206">
        <v>92</v>
      </c>
      <c r="O206">
        <v>32074774.774774775</v>
      </c>
      <c r="P206">
        <v>22621621.62162162</v>
      </c>
      <c r="Q206">
        <v>274</v>
      </c>
      <c r="R206">
        <v>82</v>
      </c>
      <c r="S206">
        <v>41900052.252252258</v>
      </c>
      <c r="T206">
        <v>38021108.108108111</v>
      </c>
      <c r="U206">
        <v>26901845.045045044</v>
      </c>
      <c r="V206">
        <v>19740630.630630627</v>
      </c>
      <c r="W206">
        <v>7168</v>
      </c>
      <c r="X206">
        <v>6877</v>
      </c>
    </row>
    <row r="207" spans="1:24">
      <c r="A207" s="7" t="s">
        <v>300</v>
      </c>
      <c r="B207" s="16" t="s">
        <v>290</v>
      </c>
      <c r="C207">
        <v>229163554.57893187</v>
      </c>
      <c r="D207">
        <v>210421171.89705947</v>
      </c>
      <c r="E207">
        <v>1103153.1531531541</v>
      </c>
      <c r="F207">
        <v>2803603.6036036052</v>
      </c>
      <c r="G207">
        <v>105</v>
      </c>
      <c r="H207">
        <v>66</v>
      </c>
      <c r="I207">
        <v>18</v>
      </c>
      <c r="J207">
        <v>17</v>
      </c>
      <c r="M207">
        <v>112</v>
      </c>
      <c r="N207">
        <v>78</v>
      </c>
      <c r="O207">
        <v>23870720.72072072</v>
      </c>
      <c r="P207">
        <v>16030630.630630633</v>
      </c>
      <c r="Q207">
        <v>107</v>
      </c>
      <c r="R207">
        <v>59</v>
      </c>
      <c r="S207">
        <v>31499144.144144144</v>
      </c>
      <c r="T207">
        <v>29896696.396396395</v>
      </c>
      <c r="U207">
        <v>21249909.909909911</v>
      </c>
      <c r="V207">
        <v>15238198.198198196</v>
      </c>
      <c r="W207">
        <v>4392</v>
      </c>
      <c r="X207">
        <v>4411</v>
      </c>
    </row>
    <row r="208" spans="1:24">
      <c r="A208" s="7" t="s">
        <v>301</v>
      </c>
      <c r="B208" s="16" t="s">
        <v>80</v>
      </c>
      <c r="C208">
        <v>336686675.30720425</v>
      </c>
      <c r="D208">
        <v>310356435.26227808</v>
      </c>
      <c r="E208">
        <v>1219369.3693693699</v>
      </c>
      <c r="F208">
        <v>4416891.8918918921</v>
      </c>
      <c r="G208">
        <v>100</v>
      </c>
      <c r="H208">
        <v>49</v>
      </c>
      <c r="I208">
        <v>10</v>
      </c>
      <c r="J208">
        <v>11</v>
      </c>
      <c r="M208">
        <v>112</v>
      </c>
      <c r="N208">
        <v>59</v>
      </c>
      <c r="O208">
        <v>28449279.27927928</v>
      </c>
      <c r="P208">
        <v>50092342.342342339</v>
      </c>
      <c r="Q208">
        <v>116</v>
      </c>
      <c r="R208">
        <v>156</v>
      </c>
      <c r="S208">
        <v>72982977.477477476</v>
      </c>
      <c r="T208">
        <v>65165863.063063063</v>
      </c>
      <c r="U208">
        <v>27317297.297297295</v>
      </c>
      <c r="V208">
        <v>45849279.279279277</v>
      </c>
      <c r="W208">
        <v>5845</v>
      </c>
      <c r="X208">
        <v>5719</v>
      </c>
    </row>
    <row r="209" spans="1:24">
      <c r="A209" s="7" t="s">
        <v>302</v>
      </c>
      <c r="B209" s="16" t="s">
        <v>72</v>
      </c>
      <c r="C209">
        <v>472784841.44248456</v>
      </c>
      <c r="D209">
        <v>471748037.04123873</v>
      </c>
      <c r="E209">
        <v>57163963.963963971</v>
      </c>
      <c r="F209">
        <v>42343603.603603609</v>
      </c>
      <c r="G209">
        <v>89</v>
      </c>
      <c r="H209">
        <v>112</v>
      </c>
      <c r="I209">
        <v>16</v>
      </c>
      <c r="J209">
        <v>16</v>
      </c>
      <c r="K209">
        <v>3</v>
      </c>
      <c r="M209">
        <v>93</v>
      </c>
      <c r="N209">
        <v>125</v>
      </c>
      <c r="O209">
        <v>35095180.180180177</v>
      </c>
      <c r="P209">
        <v>29667567.567567568</v>
      </c>
      <c r="Q209">
        <v>68</v>
      </c>
      <c r="R209">
        <v>59</v>
      </c>
      <c r="S209">
        <v>64701477.477477483</v>
      </c>
      <c r="T209">
        <v>70119216.216216221</v>
      </c>
      <c r="U209">
        <v>25670270.270270273</v>
      </c>
      <c r="V209">
        <v>24446306.306306306</v>
      </c>
      <c r="W209">
        <v>9036</v>
      </c>
      <c r="X209">
        <v>9071</v>
      </c>
    </row>
    <row r="210" spans="1:24">
      <c r="A210" s="7" t="s">
        <v>303</v>
      </c>
      <c r="B210" s="16" t="s">
        <v>304</v>
      </c>
      <c r="C210">
        <v>1659278.1983617779</v>
      </c>
      <c r="D210">
        <v>1651052.9443526829</v>
      </c>
      <c r="S210">
        <v>863738.73873873905</v>
      </c>
      <c r="T210">
        <v>651441.44144144095</v>
      </c>
      <c r="W210">
        <v>70</v>
      </c>
      <c r="X210">
        <v>62</v>
      </c>
    </row>
    <row r="211" spans="1:24">
      <c r="A211" s="7" t="s">
        <v>676</v>
      </c>
      <c r="B211" s="16" t="s">
        <v>304</v>
      </c>
      <c r="E211">
        <v>9009009.0090090074</v>
      </c>
      <c r="F211">
        <v>7207207.2072072066</v>
      </c>
      <c r="P211">
        <v>44594.594594595001</v>
      </c>
    </row>
    <row r="212" spans="1:24">
      <c r="A212" s="7" t="s">
        <v>305</v>
      </c>
      <c r="B212" s="16" t="s">
        <v>117</v>
      </c>
      <c r="C212">
        <v>72205097.373386666</v>
      </c>
      <c r="D212">
        <v>61627103.744098395</v>
      </c>
      <c r="E212">
        <v>16216.216216217999</v>
      </c>
      <c r="F212">
        <v>308108.10810810601</v>
      </c>
      <c r="G212">
        <v>14</v>
      </c>
      <c r="H212">
        <v>20</v>
      </c>
      <c r="I212">
        <v>6</v>
      </c>
      <c r="J212">
        <v>7</v>
      </c>
      <c r="M212">
        <v>16</v>
      </c>
      <c r="N212">
        <v>39</v>
      </c>
      <c r="O212">
        <v>3035225.2252252242</v>
      </c>
      <c r="P212">
        <v>3283243.243243244</v>
      </c>
      <c r="Q212">
        <v>33</v>
      </c>
      <c r="R212">
        <v>21</v>
      </c>
      <c r="S212">
        <v>28469504.504504506</v>
      </c>
      <c r="T212">
        <v>27217612.612612613</v>
      </c>
      <c r="U212">
        <v>2843333.3333333302</v>
      </c>
      <c r="V212">
        <v>3187747.7477477472</v>
      </c>
      <c r="W212">
        <v>1863</v>
      </c>
      <c r="X212">
        <v>1744</v>
      </c>
    </row>
    <row r="213" spans="1:24">
      <c r="A213" s="7" t="s">
        <v>306</v>
      </c>
      <c r="B213" s="16" t="s">
        <v>307</v>
      </c>
      <c r="C213">
        <v>79459649.018780246</v>
      </c>
      <c r="D213">
        <v>79286693.224552348</v>
      </c>
      <c r="E213">
        <v>43243.243243243996</v>
      </c>
      <c r="F213">
        <v>271171.17117117101</v>
      </c>
      <c r="G213">
        <v>41</v>
      </c>
      <c r="H213">
        <v>36</v>
      </c>
      <c r="M213">
        <v>46</v>
      </c>
      <c r="N213">
        <v>50</v>
      </c>
      <c r="O213">
        <v>1454414.414414414</v>
      </c>
      <c r="P213">
        <v>1239639.6396396391</v>
      </c>
      <c r="Q213">
        <v>35</v>
      </c>
      <c r="R213">
        <v>24</v>
      </c>
      <c r="S213">
        <v>39506252.252252258</v>
      </c>
      <c r="T213">
        <v>42451576.576576576</v>
      </c>
      <c r="U213">
        <v>1183783.783783783</v>
      </c>
      <c r="V213">
        <v>1177387.3873873879</v>
      </c>
      <c r="W213">
        <v>4339</v>
      </c>
      <c r="X213">
        <v>4342</v>
      </c>
    </row>
    <row r="214" spans="1:24">
      <c r="A214" s="7" t="s">
        <v>308</v>
      </c>
      <c r="B214" s="16" t="s">
        <v>140</v>
      </c>
      <c r="C214">
        <v>487132966.64963025</v>
      </c>
      <c r="D214">
        <v>498167941.46210676</v>
      </c>
      <c r="E214">
        <v>830090.09009009204</v>
      </c>
      <c r="F214">
        <v>2212162.1621621698</v>
      </c>
      <c r="G214">
        <v>40</v>
      </c>
      <c r="H214">
        <v>76</v>
      </c>
      <c r="I214">
        <v>10</v>
      </c>
      <c r="J214">
        <v>15</v>
      </c>
      <c r="M214">
        <v>57</v>
      </c>
      <c r="N214">
        <v>93</v>
      </c>
      <c r="O214">
        <v>76112162.162162155</v>
      </c>
      <c r="P214">
        <v>92258108.108108118</v>
      </c>
      <c r="Q214">
        <v>18</v>
      </c>
      <c r="R214">
        <v>171</v>
      </c>
      <c r="S214">
        <v>103267250.45045045</v>
      </c>
      <c r="T214">
        <v>111346680.18018018</v>
      </c>
      <c r="U214">
        <v>46793783.783783786</v>
      </c>
      <c r="V214">
        <v>51405045.045045048</v>
      </c>
      <c r="W214">
        <v>7846</v>
      </c>
      <c r="X214">
        <v>8103</v>
      </c>
    </row>
    <row r="215" spans="1:24">
      <c r="A215" s="7" t="s">
        <v>309</v>
      </c>
      <c r="B215" s="16" t="s">
        <v>132</v>
      </c>
      <c r="C215">
        <v>586449852.4183358</v>
      </c>
      <c r="D215">
        <v>492859658.6544379</v>
      </c>
      <c r="E215">
        <v>3094594.594594596</v>
      </c>
      <c r="F215">
        <v>3604504.504504506</v>
      </c>
      <c r="G215">
        <v>181</v>
      </c>
      <c r="H215">
        <v>132</v>
      </c>
      <c r="I215">
        <v>3</v>
      </c>
      <c r="J215">
        <v>3</v>
      </c>
      <c r="M215">
        <v>202</v>
      </c>
      <c r="N215">
        <v>167</v>
      </c>
      <c r="O215">
        <v>37912612.612612613</v>
      </c>
      <c r="P215">
        <v>19856756.756756756</v>
      </c>
      <c r="Q215">
        <v>112</v>
      </c>
      <c r="R215">
        <v>26</v>
      </c>
      <c r="S215">
        <v>154272504.5045045</v>
      </c>
      <c r="T215">
        <v>132238000</v>
      </c>
      <c r="U215">
        <v>32980450.45045045</v>
      </c>
      <c r="V215">
        <v>16731441.441441447</v>
      </c>
      <c r="W215">
        <v>12023</v>
      </c>
      <c r="X215">
        <v>11932</v>
      </c>
    </row>
    <row r="216" spans="1:24">
      <c r="A216" s="7" t="s">
        <v>310</v>
      </c>
      <c r="B216" s="16" t="s">
        <v>72</v>
      </c>
      <c r="C216">
        <v>849154168.83036566</v>
      </c>
      <c r="D216">
        <v>803379924.31188786</v>
      </c>
      <c r="E216">
        <v>2125540.540540548</v>
      </c>
      <c r="F216">
        <v>6179504.5045045121</v>
      </c>
      <c r="G216">
        <v>202</v>
      </c>
      <c r="H216">
        <v>182</v>
      </c>
      <c r="I216">
        <v>42</v>
      </c>
      <c r="J216">
        <v>58</v>
      </c>
      <c r="M216">
        <v>232</v>
      </c>
      <c r="N216">
        <v>229</v>
      </c>
      <c r="O216">
        <v>119028108.1081081</v>
      </c>
      <c r="P216">
        <v>123587387.38738739</v>
      </c>
      <c r="Q216">
        <v>209</v>
      </c>
      <c r="R216">
        <v>152</v>
      </c>
      <c r="S216">
        <v>202394809.00900903</v>
      </c>
      <c r="T216">
        <v>202493289.1891892</v>
      </c>
      <c r="U216">
        <v>104862252.25225225</v>
      </c>
      <c r="V216">
        <v>104385448.64864863</v>
      </c>
      <c r="W216">
        <v>16908</v>
      </c>
      <c r="X216">
        <v>16401</v>
      </c>
    </row>
    <row r="217" spans="1:24">
      <c r="A217" s="7" t="s">
        <v>311</v>
      </c>
      <c r="B217" s="16" t="s">
        <v>62</v>
      </c>
      <c r="C217">
        <v>146451343.1840522</v>
      </c>
      <c r="D217">
        <v>140676030.31423542</v>
      </c>
      <c r="E217">
        <v>210810.81081081199</v>
      </c>
      <c r="F217">
        <v>1684684.6846846871</v>
      </c>
      <c r="G217">
        <v>22</v>
      </c>
      <c r="H217">
        <v>17</v>
      </c>
      <c r="I217">
        <v>6</v>
      </c>
      <c r="J217">
        <v>5</v>
      </c>
      <c r="M217">
        <v>25</v>
      </c>
      <c r="N217">
        <v>18</v>
      </c>
      <c r="O217">
        <v>22973513.513513513</v>
      </c>
      <c r="P217">
        <v>29319459.459459465</v>
      </c>
      <c r="Q217">
        <v>31</v>
      </c>
      <c r="R217">
        <v>42</v>
      </c>
      <c r="S217">
        <v>39340396.396396399</v>
      </c>
      <c r="T217">
        <v>38945297.297297299</v>
      </c>
      <c r="U217">
        <v>23786666.666666664</v>
      </c>
      <c r="V217">
        <v>25129189.189189192</v>
      </c>
      <c r="W217">
        <v>2323</v>
      </c>
      <c r="X217">
        <v>2236</v>
      </c>
    </row>
    <row r="218" spans="1:24">
      <c r="A218" s="7" t="s">
        <v>312</v>
      </c>
      <c r="B218" s="16" t="s">
        <v>89</v>
      </c>
      <c r="C218">
        <v>47631372.250297278</v>
      </c>
      <c r="D218">
        <v>48030454.369586408</v>
      </c>
      <c r="E218">
        <v>36936.936936938</v>
      </c>
      <c r="F218">
        <v>863963.96396396204</v>
      </c>
      <c r="G218">
        <v>10</v>
      </c>
      <c r="H218">
        <v>12</v>
      </c>
      <c r="I218">
        <v>6</v>
      </c>
      <c r="J218">
        <v>14</v>
      </c>
      <c r="M218">
        <v>12</v>
      </c>
      <c r="N218">
        <v>16</v>
      </c>
      <c r="O218">
        <v>3037387.387387387</v>
      </c>
      <c r="P218">
        <v>6172612.6126126125</v>
      </c>
      <c r="Q218">
        <v>52</v>
      </c>
      <c r="R218">
        <v>112</v>
      </c>
      <c r="S218">
        <v>14461126.126126125</v>
      </c>
      <c r="T218">
        <v>16475342.342342343</v>
      </c>
      <c r="U218">
        <v>2409009.0090090069</v>
      </c>
      <c r="V218">
        <v>6145945.9459459484</v>
      </c>
      <c r="W218">
        <v>1137</v>
      </c>
      <c r="X218">
        <v>1262</v>
      </c>
    </row>
    <row r="219" spans="1:24">
      <c r="A219" s="7" t="s">
        <v>313</v>
      </c>
      <c r="B219" s="16" t="s">
        <v>92</v>
      </c>
      <c r="C219">
        <v>22276225.671397597</v>
      </c>
      <c r="D219">
        <v>21528284.567814931</v>
      </c>
      <c r="E219">
        <v>1801.801801802</v>
      </c>
      <c r="F219">
        <v>144144.144144144</v>
      </c>
      <c r="G219">
        <v>4</v>
      </c>
      <c r="H219">
        <v>4</v>
      </c>
      <c r="I219">
        <v>1</v>
      </c>
      <c r="M219">
        <v>4</v>
      </c>
      <c r="N219">
        <v>5</v>
      </c>
      <c r="O219">
        <v>28828.828828828999</v>
      </c>
      <c r="P219">
        <v>1360360.36036036</v>
      </c>
      <c r="Q219">
        <v>1</v>
      </c>
      <c r="S219">
        <v>1654369.369369369</v>
      </c>
      <c r="T219">
        <v>1556441.441441441</v>
      </c>
      <c r="U219">
        <v>27027.027027027001</v>
      </c>
      <c r="V219">
        <v>1361261.2612612611</v>
      </c>
      <c r="W219">
        <v>512</v>
      </c>
      <c r="X219">
        <v>629</v>
      </c>
    </row>
    <row r="220" spans="1:24">
      <c r="A220" s="7" t="s">
        <v>314</v>
      </c>
      <c r="B220" s="16" t="s">
        <v>315</v>
      </c>
      <c r="C220">
        <v>177345615.09977043</v>
      </c>
      <c r="D220">
        <v>164236668.34543023</v>
      </c>
      <c r="E220">
        <v>140870149.54954955</v>
      </c>
      <c r="F220">
        <v>166965130.63063061</v>
      </c>
      <c r="G220">
        <v>57</v>
      </c>
      <c r="H220">
        <v>33</v>
      </c>
      <c r="I220">
        <v>1</v>
      </c>
      <c r="J220">
        <v>3</v>
      </c>
      <c r="M220">
        <v>61</v>
      </c>
      <c r="N220">
        <v>37</v>
      </c>
      <c r="O220">
        <v>48199549.54954955</v>
      </c>
      <c r="P220">
        <v>22672522.52252252</v>
      </c>
      <c r="S220">
        <v>28438036.036036037</v>
      </c>
      <c r="T220">
        <v>25003601.801801801</v>
      </c>
      <c r="U220">
        <v>10122792.79279279</v>
      </c>
      <c r="V220">
        <v>21290360.360360362</v>
      </c>
      <c r="W220">
        <v>3502</v>
      </c>
      <c r="X220">
        <v>3286</v>
      </c>
    </row>
    <row r="221" spans="1:24">
      <c r="A221" s="7" t="s">
        <v>316</v>
      </c>
      <c r="B221" s="16" t="s">
        <v>62</v>
      </c>
      <c r="C221">
        <v>272721093.4861834</v>
      </c>
      <c r="D221">
        <v>277013704.78458583</v>
      </c>
      <c r="E221">
        <v>1199549.5495495531</v>
      </c>
      <c r="F221">
        <v>5591891.8918918986</v>
      </c>
      <c r="G221">
        <v>95</v>
      </c>
      <c r="H221">
        <v>121</v>
      </c>
      <c r="I221">
        <v>14</v>
      </c>
      <c r="J221">
        <v>15</v>
      </c>
      <c r="M221">
        <v>140</v>
      </c>
      <c r="N221">
        <v>190</v>
      </c>
      <c r="O221">
        <v>17108648.648648646</v>
      </c>
      <c r="P221">
        <v>50629009.009009011</v>
      </c>
      <c r="Q221">
        <v>65</v>
      </c>
      <c r="R221">
        <v>175</v>
      </c>
      <c r="S221">
        <v>97324135.135135129</v>
      </c>
      <c r="T221">
        <v>97223675.675675675</v>
      </c>
      <c r="U221">
        <v>17951531.531531528</v>
      </c>
      <c r="V221">
        <v>47425675.675675675</v>
      </c>
      <c r="W221">
        <v>8752</v>
      </c>
      <c r="X221">
        <v>8637</v>
      </c>
    </row>
    <row r="222" spans="1:24">
      <c r="A222" s="7" t="s">
        <v>317</v>
      </c>
      <c r="B222" s="16" t="s">
        <v>62</v>
      </c>
      <c r="C222">
        <v>274250737.52039629</v>
      </c>
      <c r="D222">
        <v>256807593.27354139</v>
      </c>
      <c r="E222">
        <v>878828.82882883295</v>
      </c>
      <c r="F222">
        <v>1952252.2522522539</v>
      </c>
      <c r="G222">
        <v>107</v>
      </c>
      <c r="H222">
        <v>42</v>
      </c>
      <c r="I222">
        <v>14</v>
      </c>
      <c r="J222">
        <v>10</v>
      </c>
      <c r="M222">
        <v>132</v>
      </c>
      <c r="N222">
        <v>50</v>
      </c>
      <c r="O222">
        <v>23535945.945945945</v>
      </c>
      <c r="P222">
        <v>37641441.441441439</v>
      </c>
      <c r="Q222">
        <v>19</v>
      </c>
      <c r="R222">
        <v>129</v>
      </c>
      <c r="S222">
        <v>91029279.279279277</v>
      </c>
      <c r="T222">
        <v>90540063.06306307</v>
      </c>
      <c r="U222">
        <v>24511261.261261258</v>
      </c>
      <c r="V222">
        <v>36878648.648648649</v>
      </c>
      <c r="W222">
        <v>5587</v>
      </c>
      <c r="X222">
        <v>5478</v>
      </c>
    </row>
    <row r="223" spans="1:24">
      <c r="A223" s="7" t="s">
        <v>318</v>
      </c>
      <c r="B223" s="16" t="s">
        <v>78</v>
      </c>
      <c r="C223">
        <v>284701895.57119453</v>
      </c>
      <c r="D223">
        <v>268755155.75686222</v>
      </c>
      <c r="E223">
        <v>3639504.5045045069</v>
      </c>
      <c r="F223">
        <v>5467567.5675675701</v>
      </c>
      <c r="G223">
        <v>112</v>
      </c>
      <c r="H223">
        <v>106</v>
      </c>
      <c r="I223">
        <v>16</v>
      </c>
      <c r="J223">
        <v>27</v>
      </c>
      <c r="M223">
        <v>125</v>
      </c>
      <c r="N223">
        <v>156</v>
      </c>
      <c r="O223">
        <v>58689549.549549542</v>
      </c>
      <c r="P223">
        <v>69840990.990990996</v>
      </c>
      <c r="Q223">
        <v>172</v>
      </c>
      <c r="R223">
        <v>185</v>
      </c>
      <c r="S223">
        <v>121010585.58558558</v>
      </c>
      <c r="T223">
        <v>117855626.12612613</v>
      </c>
      <c r="U223">
        <v>58865855.855855852</v>
      </c>
      <c r="V223">
        <v>70146036.036036029</v>
      </c>
      <c r="W223">
        <v>8543</v>
      </c>
      <c r="X223">
        <v>8551</v>
      </c>
    </row>
    <row r="224" spans="1:24">
      <c r="A224" s="7" t="s">
        <v>319</v>
      </c>
      <c r="B224" s="16" t="s">
        <v>78</v>
      </c>
      <c r="C224">
        <v>169914758.34951913</v>
      </c>
      <c r="D224">
        <v>161668693.15181744</v>
      </c>
      <c r="E224">
        <v>2720900.9009009022</v>
      </c>
      <c r="F224">
        <v>3170270.2702702712</v>
      </c>
      <c r="G224">
        <v>24</v>
      </c>
      <c r="H224">
        <v>76</v>
      </c>
      <c r="I224">
        <v>0</v>
      </c>
      <c r="J224">
        <v>5</v>
      </c>
      <c r="K224">
        <v>1</v>
      </c>
      <c r="M224">
        <v>33</v>
      </c>
      <c r="N224">
        <v>127</v>
      </c>
      <c r="O224">
        <v>20265945.945945945</v>
      </c>
      <c r="P224">
        <v>15566666.666666664</v>
      </c>
      <c r="Q224">
        <v>149</v>
      </c>
      <c r="R224">
        <v>124</v>
      </c>
      <c r="S224">
        <v>59355738.738738738</v>
      </c>
      <c r="T224">
        <v>61774675.675675683</v>
      </c>
      <c r="U224">
        <v>17312252.252252251</v>
      </c>
      <c r="V224">
        <v>13709009.009009011</v>
      </c>
      <c r="W224">
        <v>5670</v>
      </c>
      <c r="X224">
        <v>5610</v>
      </c>
    </row>
    <row r="225" spans="1:24">
      <c r="A225" s="7" t="s">
        <v>320</v>
      </c>
      <c r="B225" s="16" t="s">
        <v>121</v>
      </c>
      <c r="C225">
        <v>1182566.4697124651</v>
      </c>
      <c r="D225">
        <v>1209681.137275253</v>
      </c>
      <c r="G225">
        <v>1</v>
      </c>
      <c r="M225">
        <v>3</v>
      </c>
      <c r="S225">
        <v>323873.87387387402</v>
      </c>
      <c r="T225">
        <v>122702.702702703</v>
      </c>
      <c r="W225">
        <v>60</v>
      </c>
      <c r="X225">
        <v>65</v>
      </c>
    </row>
    <row r="226" spans="1:24">
      <c r="A226" s="7" t="s">
        <v>321</v>
      </c>
      <c r="B226" s="16" t="s">
        <v>224</v>
      </c>
      <c r="C226">
        <v>214025492.33786803</v>
      </c>
      <c r="D226">
        <v>184055905.20879403</v>
      </c>
      <c r="E226">
        <v>1801.801801802</v>
      </c>
      <c r="F226">
        <v>69369.369369370004</v>
      </c>
      <c r="G226">
        <v>52</v>
      </c>
      <c r="H226">
        <v>41</v>
      </c>
      <c r="I226">
        <v>1</v>
      </c>
      <c r="J226">
        <v>1</v>
      </c>
      <c r="M226">
        <v>56</v>
      </c>
      <c r="N226">
        <v>55</v>
      </c>
      <c r="O226">
        <v>5096936.9369369363</v>
      </c>
      <c r="P226">
        <v>9117297.2972973008</v>
      </c>
      <c r="Q226">
        <v>33</v>
      </c>
      <c r="R226">
        <v>51</v>
      </c>
      <c r="S226">
        <v>78575855.855855852</v>
      </c>
      <c r="T226">
        <v>75015385.585585579</v>
      </c>
      <c r="U226">
        <v>5309729.7297297297</v>
      </c>
      <c r="V226">
        <v>9457657.6576576605</v>
      </c>
      <c r="W226">
        <v>3937</v>
      </c>
      <c r="X226">
        <v>3995</v>
      </c>
    </row>
    <row r="227" spans="1:24">
      <c r="A227" s="7" t="s">
        <v>322</v>
      </c>
      <c r="B227" s="16" t="s">
        <v>224</v>
      </c>
      <c r="C227">
        <v>153558263.21466139</v>
      </c>
      <c r="D227">
        <v>130798983.40062377</v>
      </c>
      <c r="E227">
        <v>302702.702702704</v>
      </c>
      <c r="F227">
        <v>57657.657657657997</v>
      </c>
      <c r="G227">
        <v>21</v>
      </c>
      <c r="H227">
        <v>9</v>
      </c>
      <c r="I227">
        <v>4</v>
      </c>
      <c r="J227">
        <v>0</v>
      </c>
      <c r="M227">
        <v>22</v>
      </c>
      <c r="N227">
        <v>10</v>
      </c>
      <c r="O227">
        <v>17023063.063063063</v>
      </c>
      <c r="P227">
        <v>12781261.26126126</v>
      </c>
      <c r="Q227">
        <v>56</v>
      </c>
      <c r="R227">
        <v>105</v>
      </c>
      <c r="S227">
        <v>42476666.666666664</v>
      </c>
      <c r="T227">
        <v>40162346.846846849</v>
      </c>
      <c r="U227">
        <v>12287837.837837839</v>
      </c>
      <c r="V227">
        <v>9685315.3153153155</v>
      </c>
      <c r="W227">
        <v>2236</v>
      </c>
      <c r="X227">
        <v>2187</v>
      </c>
    </row>
    <row r="228" spans="1:24">
      <c r="A228" s="7" t="s">
        <v>677</v>
      </c>
      <c r="B228" s="16" t="s">
        <v>94</v>
      </c>
      <c r="X228">
        <v>28</v>
      </c>
    </row>
    <row r="229" spans="1:24">
      <c r="A229" s="7" t="s">
        <v>323</v>
      </c>
      <c r="B229" s="16" t="s">
        <v>78</v>
      </c>
      <c r="C229">
        <v>205286760.63748384</v>
      </c>
      <c r="D229">
        <v>202295483.75476342</v>
      </c>
      <c r="E229">
        <v>779729.72972973005</v>
      </c>
      <c r="F229">
        <v>1065765.7657657689</v>
      </c>
      <c r="G229">
        <v>81</v>
      </c>
      <c r="H229">
        <v>82</v>
      </c>
      <c r="I229">
        <v>9</v>
      </c>
      <c r="J229">
        <v>8</v>
      </c>
      <c r="M229">
        <v>93</v>
      </c>
      <c r="N229">
        <v>157</v>
      </c>
      <c r="O229">
        <v>24189639.639639635</v>
      </c>
      <c r="P229">
        <v>22200900.900900904</v>
      </c>
      <c r="Q229">
        <v>183</v>
      </c>
      <c r="R229">
        <v>129</v>
      </c>
      <c r="S229">
        <v>59127626.126126125</v>
      </c>
      <c r="T229">
        <v>61005423.423423424</v>
      </c>
      <c r="U229">
        <v>21808918.918918919</v>
      </c>
      <c r="V229">
        <v>20893783.783783779</v>
      </c>
      <c r="W229">
        <v>4591</v>
      </c>
      <c r="X229">
        <v>4565</v>
      </c>
    </row>
    <row r="230" spans="1:24">
      <c r="A230" s="7" t="s">
        <v>324</v>
      </c>
      <c r="B230" s="16" t="s">
        <v>108</v>
      </c>
      <c r="C230">
        <v>957964222.82236171</v>
      </c>
      <c r="D230">
        <v>1370289682.6383166</v>
      </c>
      <c r="E230">
        <v>1565089835.1351352</v>
      </c>
      <c r="F230">
        <v>1823638832.4324324</v>
      </c>
      <c r="G230">
        <v>227</v>
      </c>
      <c r="H230">
        <v>366</v>
      </c>
      <c r="I230">
        <v>27</v>
      </c>
      <c r="J230">
        <v>45</v>
      </c>
      <c r="K230">
        <v>1</v>
      </c>
      <c r="M230">
        <v>463</v>
      </c>
      <c r="N230">
        <v>615</v>
      </c>
      <c r="O230">
        <v>583461351.35135126</v>
      </c>
      <c r="P230">
        <v>568327477.47747743</v>
      </c>
      <c r="Q230">
        <v>599</v>
      </c>
      <c r="R230">
        <v>2540</v>
      </c>
      <c r="S230">
        <v>233066130.63063061</v>
      </c>
      <c r="T230">
        <v>691867846.84684682</v>
      </c>
      <c r="U230">
        <v>94292162.162162155</v>
      </c>
      <c r="V230">
        <v>120681441.44144145</v>
      </c>
      <c r="W230">
        <v>21881</v>
      </c>
      <c r="X230">
        <v>23247</v>
      </c>
    </row>
    <row r="231" spans="1:24">
      <c r="A231" s="7" t="s">
        <v>325</v>
      </c>
      <c r="B231" s="16" t="s">
        <v>224</v>
      </c>
      <c r="C231">
        <v>214737940.95240003</v>
      </c>
      <c r="D231">
        <v>188495798.76597714</v>
      </c>
      <c r="E231">
        <v>547387.38738738699</v>
      </c>
      <c r="F231">
        <v>577477.47747747798</v>
      </c>
      <c r="G231">
        <v>51</v>
      </c>
      <c r="H231">
        <v>28</v>
      </c>
      <c r="I231">
        <v>4</v>
      </c>
      <c r="J231">
        <v>1</v>
      </c>
      <c r="M231">
        <v>56</v>
      </c>
      <c r="N231">
        <v>32</v>
      </c>
      <c r="O231">
        <v>17815855.855855852</v>
      </c>
      <c r="P231">
        <v>17787927.927927926</v>
      </c>
      <c r="Q231">
        <v>19</v>
      </c>
      <c r="S231">
        <v>41968846.846846849</v>
      </c>
      <c r="T231">
        <v>39400657.657657653</v>
      </c>
      <c r="U231">
        <v>16258378.37837838</v>
      </c>
      <c r="V231">
        <v>16374774.774774771</v>
      </c>
      <c r="W231">
        <v>4294</v>
      </c>
      <c r="X231">
        <v>4323</v>
      </c>
    </row>
    <row r="232" spans="1:24">
      <c r="A232" s="7" t="s">
        <v>4</v>
      </c>
      <c r="B232" s="16" t="s">
        <v>158</v>
      </c>
      <c r="C232">
        <v>164828216.9273501</v>
      </c>
      <c r="D232">
        <v>163127372.56476727</v>
      </c>
      <c r="E232">
        <v>1250450.4504504499</v>
      </c>
      <c r="F232">
        <v>2141441.4414414442</v>
      </c>
      <c r="G232">
        <v>14</v>
      </c>
      <c r="H232">
        <v>13</v>
      </c>
      <c r="I232">
        <v>11</v>
      </c>
      <c r="J232">
        <v>8</v>
      </c>
      <c r="M232">
        <v>15</v>
      </c>
      <c r="N232">
        <v>17</v>
      </c>
      <c r="O232">
        <v>28617567.567567568</v>
      </c>
      <c r="P232">
        <v>27266666.666666668</v>
      </c>
      <c r="Q232">
        <v>95</v>
      </c>
      <c r="R232">
        <v>49</v>
      </c>
      <c r="S232">
        <v>60835540.540540546</v>
      </c>
      <c r="T232">
        <v>57515522.522522517</v>
      </c>
      <c r="U232">
        <v>29037657.657657657</v>
      </c>
      <c r="V232">
        <v>33841531.531531535</v>
      </c>
      <c r="W232">
        <v>3477</v>
      </c>
      <c r="X232">
        <v>3580</v>
      </c>
    </row>
    <row r="233" spans="1:24">
      <c r="A233" s="7" t="s">
        <v>326</v>
      </c>
      <c r="B233" s="16" t="s">
        <v>108</v>
      </c>
      <c r="C233">
        <v>757495938.42540479</v>
      </c>
      <c r="D233">
        <v>759838437.03967476</v>
      </c>
      <c r="E233">
        <v>60935631.531531535</v>
      </c>
      <c r="F233">
        <v>95653984.684684694</v>
      </c>
      <c r="G233">
        <v>297</v>
      </c>
      <c r="H233">
        <v>240</v>
      </c>
      <c r="I233">
        <v>35</v>
      </c>
      <c r="J233">
        <v>34</v>
      </c>
      <c r="M233">
        <v>589</v>
      </c>
      <c r="N233">
        <v>609</v>
      </c>
      <c r="O233">
        <v>600233774.77477479</v>
      </c>
      <c r="P233">
        <v>564641463.06306303</v>
      </c>
      <c r="Q233">
        <v>815</v>
      </c>
      <c r="R233">
        <v>1596</v>
      </c>
      <c r="S233">
        <v>223369369.36936939</v>
      </c>
      <c r="T233">
        <v>236008948.1981982</v>
      </c>
      <c r="U233">
        <v>108536756.75675675</v>
      </c>
      <c r="V233">
        <v>102970360.36036037</v>
      </c>
      <c r="W233">
        <v>19846</v>
      </c>
      <c r="X233">
        <v>19385</v>
      </c>
    </row>
    <row r="234" spans="1:24">
      <c r="A234" s="7" t="s">
        <v>327</v>
      </c>
      <c r="B234" s="16" t="s">
        <v>78</v>
      </c>
      <c r="C234">
        <v>78836317.617360622</v>
      </c>
      <c r="D234">
        <v>80065881.52652438</v>
      </c>
      <c r="E234">
        <v>155855.85585585699</v>
      </c>
      <c r="F234">
        <v>538738.73873873998</v>
      </c>
      <c r="G234">
        <v>38</v>
      </c>
      <c r="H234">
        <v>27</v>
      </c>
      <c r="I234">
        <v>3</v>
      </c>
      <c r="J234">
        <v>6</v>
      </c>
      <c r="M234">
        <v>38</v>
      </c>
      <c r="N234">
        <v>34</v>
      </c>
      <c r="O234">
        <v>6399099.0990990987</v>
      </c>
      <c r="P234">
        <v>5583783.7837837851</v>
      </c>
      <c r="Q234">
        <v>43</v>
      </c>
      <c r="R234">
        <v>15</v>
      </c>
      <c r="S234">
        <v>24134099.0990991</v>
      </c>
      <c r="T234">
        <v>25894099.0990991</v>
      </c>
      <c r="U234">
        <v>6507837.8378378367</v>
      </c>
      <c r="V234">
        <v>5785945.9459459446</v>
      </c>
      <c r="W234">
        <v>1992</v>
      </c>
      <c r="X234">
        <v>1988</v>
      </c>
    </row>
    <row r="235" spans="1:24">
      <c r="A235" s="7" t="s">
        <v>328</v>
      </c>
      <c r="B235" s="16" t="s">
        <v>121</v>
      </c>
      <c r="C235">
        <v>224311872.22324878</v>
      </c>
      <c r="D235">
        <v>204223363.16261959</v>
      </c>
      <c r="E235">
        <v>457657.65765765699</v>
      </c>
      <c r="F235">
        <v>975450.45045044995</v>
      </c>
      <c r="G235">
        <v>81</v>
      </c>
      <c r="H235">
        <v>63</v>
      </c>
      <c r="I235">
        <v>8</v>
      </c>
      <c r="J235">
        <v>7</v>
      </c>
      <c r="M235">
        <v>91</v>
      </c>
      <c r="N235">
        <v>72</v>
      </c>
      <c r="O235">
        <v>13163063.063063065</v>
      </c>
      <c r="P235">
        <v>19162162.162162162</v>
      </c>
      <c r="Q235">
        <v>78</v>
      </c>
      <c r="R235">
        <v>197</v>
      </c>
      <c r="S235">
        <v>31585908.108108107</v>
      </c>
      <c r="T235">
        <v>32249529.729729727</v>
      </c>
      <c r="U235">
        <v>10305045.045045048</v>
      </c>
      <c r="V235">
        <v>13782252.252252253</v>
      </c>
      <c r="W235">
        <v>4009</v>
      </c>
      <c r="X235">
        <v>3887</v>
      </c>
    </row>
    <row r="236" spans="1:24">
      <c r="A236" s="7" t="s">
        <v>329</v>
      </c>
      <c r="B236" s="16" t="s">
        <v>330</v>
      </c>
      <c r="C236">
        <v>516630783.39430863</v>
      </c>
      <c r="D236">
        <v>498035255.37511301</v>
      </c>
      <c r="E236">
        <v>3162837.837837839</v>
      </c>
      <c r="F236">
        <v>6515540.5405405425</v>
      </c>
      <c r="G236">
        <v>191</v>
      </c>
      <c r="H236">
        <v>182</v>
      </c>
      <c r="I236">
        <v>20</v>
      </c>
      <c r="J236">
        <v>22</v>
      </c>
      <c r="K236">
        <v>12</v>
      </c>
      <c r="M236">
        <v>292</v>
      </c>
      <c r="N236">
        <v>253</v>
      </c>
      <c r="O236">
        <v>39625495.495495491</v>
      </c>
      <c r="P236">
        <v>69240225.225225225</v>
      </c>
      <c r="Q236">
        <v>444</v>
      </c>
      <c r="R236">
        <v>122</v>
      </c>
      <c r="S236">
        <v>109433459.45945945</v>
      </c>
      <c r="T236">
        <v>118243605.85585585</v>
      </c>
      <c r="U236">
        <v>41063196.396396399</v>
      </c>
      <c r="V236">
        <v>64531981.981981985</v>
      </c>
      <c r="W236">
        <v>14423</v>
      </c>
      <c r="X236">
        <v>14259</v>
      </c>
    </row>
    <row r="237" spans="1:24">
      <c r="A237" s="7" t="s">
        <v>331</v>
      </c>
      <c r="B237" s="16" t="s">
        <v>290</v>
      </c>
      <c r="C237">
        <v>750618602.40997839</v>
      </c>
      <c r="D237">
        <v>730449026.55849469</v>
      </c>
      <c r="E237">
        <v>20244144.144144148</v>
      </c>
      <c r="F237">
        <v>22847297.297297299</v>
      </c>
      <c r="G237">
        <v>231</v>
      </c>
      <c r="H237">
        <v>251</v>
      </c>
      <c r="I237">
        <v>36</v>
      </c>
      <c r="J237">
        <v>32</v>
      </c>
      <c r="K237">
        <v>7</v>
      </c>
      <c r="M237">
        <v>267</v>
      </c>
      <c r="N237">
        <v>394</v>
      </c>
      <c r="O237">
        <v>78165765.765765771</v>
      </c>
      <c r="P237">
        <v>84876576.576576576</v>
      </c>
      <c r="Q237">
        <v>222</v>
      </c>
      <c r="R237">
        <v>243</v>
      </c>
      <c r="S237">
        <v>140339144.14414415</v>
      </c>
      <c r="T237">
        <v>132369836.03603603</v>
      </c>
      <c r="U237">
        <v>72498962.162162155</v>
      </c>
      <c r="V237">
        <v>68692162.162162155</v>
      </c>
      <c r="W237">
        <v>17026</v>
      </c>
      <c r="X237">
        <v>17133</v>
      </c>
    </row>
    <row r="238" spans="1:24">
      <c r="A238" s="7" t="s">
        <v>332</v>
      </c>
      <c r="B238" s="16" t="s">
        <v>290</v>
      </c>
      <c r="C238">
        <v>555166665.00326133</v>
      </c>
      <c r="D238">
        <v>555265984.89156747</v>
      </c>
      <c r="E238">
        <v>2908558.5585585651</v>
      </c>
      <c r="F238">
        <v>5988288.2882882971</v>
      </c>
      <c r="G238">
        <v>172</v>
      </c>
      <c r="H238">
        <v>148</v>
      </c>
      <c r="I238">
        <v>22</v>
      </c>
      <c r="J238">
        <v>29</v>
      </c>
      <c r="K238">
        <v>2</v>
      </c>
      <c r="M238">
        <v>196</v>
      </c>
      <c r="N238">
        <v>217</v>
      </c>
      <c r="O238">
        <v>68074324.32432434</v>
      </c>
      <c r="P238">
        <v>79831531.531531543</v>
      </c>
      <c r="Q238">
        <v>226</v>
      </c>
      <c r="R238">
        <v>175</v>
      </c>
      <c r="S238">
        <v>140053684.68468469</v>
      </c>
      <c r="T238">
        <v>148291792.7927928</v>
      </c>
      <c r="U238">
        <v>70510810.810810819</v>
      </c>
      <c r="V238">
        <v>77863603.603603601</v>
      </c>
      <c r="W238">
        <v>14756</v>
      </c>
      <c r="X238">
        <v>14892</v>
      </c>
    </row>
    <row r="239" spans="1:24">
      <c r="A239" s="7" t="s">
        <v>333</v>
      </c>
      <c r="B239" s="16" t="s">
        <v>60</v>
      </c>
      <c r="C239">
        <v>76858594.562475517</v>
      </c>
      <c r="D239">
        <v>76208345.183330908</v>
      </c>
      <c r="E239">
        <v>1126801.8018018031</v>
      </c>
      <c r="F239">
        <v>2315315.3153153169</v>
      </c>
      <c r="G239">
        <v>35</v>
      </c>
      <c r="H239">
        <v>79</v>
      </c>
      <c r="I239">
        <v>3</v>
      </c>
      <c r="J239">
        <v>5</v>
      </c>
      <c r="M239">
        <v>58</v>
      </c>
      <c r="N239">
        <v>118</v>
      </c>
      <c r="O239">
        <v>21043243.24324324</v>
      </c>
      <c r="P239">
        <v>33158558.558558561</v>
      </c>
      <c r="Q239">
        <v>55</v>
      </c>
      <c r="R239">
        <v>144</v>
      </c>
      <c r="S239">
        <v>26973558.558558561</v>
      </c>
      <c r="T239">
        <v>27267549.549549554</v>
      </c>
      <c r="U239">
        <v>19609459.459459461</v>
      </c>
      <c r="V239">
        <v>30282252.252252251</v>
      </c>
      <c r="W239">
        <v>1953</v>
      </c>
      <c r="X239">
        <v>1959</v>
      </c>
    </row>
    <row r="240" spans="1:24">
      <c r="A240" s="7" t="s">
        <v>334</v>
      </c>
      <c r="B240" s="16" t="s">
        <v>60</v>
      </c>
      <c r="C240">
        <v>10755528.872942178</v>
      </c>
      <c r="D240">
        <v>14904622.454124736</v>
      </c>
      <c r="E240">
        <v>127927.927927928</v>
      </c>
      <c r="F240">
        <v>243243.24324324299</v>
      </c>
      <c r="G240">
        <v>6</v>
      </c>
      <c r="H240">
        <v>5</v>
      </c>
      <c r="I240">
        <v>1</v>
      </c>
      <c r="J240">
        <v>4</v>
      </c>
      <c r="M240">
        <v>7</v>
      </c>
      <c r="N240">
        <v>8</v>
      </c>
      <c r="O240">
        <v>841441.44144144095</v>
      </c>
      <c r="P240">
        <v>631981.98198198201</v>
      </c>
      <c r="Q240">
        <v>13</v>
      </c>
      <c r="R240">
        <v>12</v>
      </c>
      <c r="S240">
        <v>6878378.3783783792</v>
      </c>
      <c r="T240">
        <v>8296486.4864864871</v>
      </c>
      <c r="U240">
        <v>671171.17117117101</v>
      </c>
      <c r="V240">
        <v>850720.72072072094</v>
      </c>
      <c r="W240">
        <v>966</v>
      </c>
      <c r="X240">
        <v>1039</v>
      </c>
    </row>
    <row r="241" spans="1:24">
      <c r="A241" s="7" t="s">
        <v>335</v>
      </c>
      <c r="B241" s="16" t="s">
        <v>121</v>
      </c>
      <c r="C241">
        <v>62277.294743115002</v>
      </c>
      <c r="D241">
        <v>1659839.437174096</v>
      </c>
      <c r="N241">
        <v>1</v>
      </c>
      <c r="S241">
        <v>34234.234234233998</v>
      </c>
      <c r="T241">
        <v>97747.747747747999</v>
      </c>
      <c r="X241">
        <v>151</v>
      </c>
    </row>
    <row r="242" spans="1:24">
      <c r="A242" s="7" t="s">
        <v>336</v>
      </c>
      <c r="B242" s="16" t="s">
        <v>121</v>
      </c>
      <c r="C242">
        <v>2809631.2693726532</v>
      </c>
      <c r="D242">
        <v>2708264.6326092049</v>
      </c>
      <c r="G242">
        <v>2</v>
      </c>
      <c r="H242">
        <v>2</v>
      </c>
      <c r="M242">
        <v>3</v>
      </c>
      <c r="N242">
        <v>2</v>
      </c>
      <c r="S242">
        <v>615135.13513513503</v>
      </c>
      <c r="T242">
        <v>537882.88288288296</v>
      </c>
      <c r="W242">
        <v>102</v>
      </c>
      <c r="X242">
        <v>96</v>
      </c>
    </row>
    <row r="243" spans="1:24">
      <c r="A243" s="7" t="s">
        <v>337</v>
      </c>
      <c r="B243" s="16" t="s">
        <v>121</v>
      </c>
      <c r="C243">
        <v>2357745.1198905772</v>
      </c>
      <c r="D243">
        <v>2164050.8357696789</v>
      </c>
      <c r="G243">
        <v>2</v>
      </c>
      <c r="H243">
        <v>1</v>
      </c>
      <c r="M243">
        <v>2</v>
      </c>
      <c r="N243">
        <v>1</v>
      </c>
      <c r="S243">
        <v>99774.774774774996</v>
      </c>
      <c r="T243">
        <v>18918.918918919</v>
      </c>
      <c r="W243">
        <v>152</v>
      </c>
      <c r="X243">
        <v>140</v>
      </c>
    </row>
    <row r="244" spans="1:24">
      <c r="A244" s="7" t="s">
        <v>338</v>
      </c>
      <c r="B244" s="16" t="s">
        <v>140</v>
      </c>
      <c r="C244">
        <v>854012753.41210294</v>
      </c>
      <c r="D244">
        <v>831925101.15358222</v>
      </c>
      <c r="E244">
        <v>1128963.963963968</v>
      </c>
      <c r="F244">
        <v>3558558.5585585618</v>
      </c>
      <c r="G244">
        <v>232</v>
      </c>
      <c r="H244">
        <v>292</v>
      </c>
      <c r="I244">
        <v>32</v>
      </c>
      <c r="J244">
        <v>29</v>
      </c>
      <c r="K244">
        <v>1</v>
      </c>
      <c r="M244">
        <v>259</v>
      </c>
      <c r="N244">
        <v>333</v>
      </c>
      <c r="O244">
        <v>91608927.027027026</v>
      </c>
      <c r="P244">
        <v>83143063.06306307</v>
      </c>
      <c r="Q244">
        <v>333</v>
      </c>
      <c r="R244">
        <v>169</v>
      </c>
      <c r="S244">
        <v>166298502.7027027</v>
      </c>
      <c r="T244">
        <v>167794872.07207206</v>
      </c>
      <c r="U244">
        <v>74713153.153153151</v>
      </c>
      <c r="V244">
        <v>72166846.846846849</v>
      </c>
      <c r="W244">
        <v>16298</v>
      </c>
      <c r="X244">
        <v>16205</v>
      </c>
    </row>
    <row r="245" spans="1:24">
      <c r="A245" s="7" t="s">
        <v>339</v>
      </c>
      <c r="B245" s="16" t="s">
        <v>121</v>
      </c>
      <c r="C245">
        <v>139836003.42577744</v>
      </c>
      <c r="D245">
        <v>129063448.48269807</v>
      </c>
      <c r="E245">
        <v>3603.603603604</v>
      </c>
      <c r="G245">
        <v>85</v>
      </c>
      <c r="H245">
        <v>43</v>
      </c>
      <c r="I245">
        <v>0</v>
      </c>
      <c r="J245">
        <v>1</v>
      </c>
      <c r="M245">
        <v>88</v>
      </c>
      <c r="N245">
        <v>47</v>
      </c>
      <c r="O245">
        <v>165765.765765766</v>
      </c>
      <c r="Q245">
        <v>18</v>
      </c>
      <c r="S245">
        <v>9682918.9189189207</v>
      </c>
      <c r="T245">
        <v>8553873.8738738745</v>
      </c>
      <c r="U245">
        <v>162162.16216216201</v>
      </c>
      <c r="W245">
        <v>2478</v>
      </c>
      <c r="X245">
        <v>2539</v>
      </c>
    </row>
    <row r="246" spans="1:24">
      <c r="A246" s="7" t="s">
        <v>340</v>
      </c>
      <c r="B246" s="16" t="s">
        <v>140</v>
      </c>
      <c r="C246">
        <v>426659553.47779775</v>
      </c>
      <c r="D246">
        <v>442074228.23512715</v>
      </c>
      <c r="E246">
        <v>635810.810810811</v>
      </c>
      <c r="F246">
        <v>2583333.3333333372</v>
      </c>
      <c r="G246">
        <v>60</v>
      </c>
      <c r="H246">
        <v>85</v>
      </c>
      <c r="I246">
        <v>9</v>
      </c>
      <c r="J246">
        <v>10</v>
      </c>
      <c r="K246">
        <v>5</v>
      </c>
      <c r="M246">
        <v>89</v>
      </c>
      <c r="N246">
        <v>116</v>
      </c>
      <c r="O246">
        <v>74732432.432432428</v>
      </c>
      <c r="P246">
        <v>79715495.495495498</v>
      </c>
      <c r="Q246">
        <v>62</v>
      </c>
      <c r="R246">
        <v>145</v>
      </c>
      <c r="S246">
        <v>119347045.04504503</v>
      </c>
      <c r="T246">
        <v>132400189.63963963</v>
      </c>
      <c r="U246">
        <v>68793423.423423424</v>
      </c>
      <c r="V246">
        <v>73756576.576576576</v>
      </c>
      <c r="W246">
        <v>8520</v>
      </c>
      <c r="X246">
        <v>9120</v>
      </c>
    </row>
    <row r="247" spans="1:24">
      <c r="A247" s="7" t="s">
        <v>341</v>
      </c>
      <c r="B247" s="16" t="s">
        <v>134</v>
      </c>
      <c r="C247">
        <v>55622967.354462795</v>
      </c>
      <c r="D247">
        <v>49224993.665178411</v>
      </c>
      <c r="E247">
        <v>5405.4054054059998</v>
      </c>
      <c r="F247">
        <v>54054.054054054002</v>
      </c>
      <c r="G247">
        <v>21</v>
      </c>
      <c r="H247">
        <v>12</v>
      </c>
      <c r="I247">
        <v>2</v>
      </c>
      <c r="J247">
        <v>1</v>
      </c>
      <c r="M247">
        <v>23</v>
      </c>
      <c r="N247">
        <v>13</v>
      </c>
      <c r="O247">
        <v>2212612.6126126121</v>
      </c>
      <c r="P247">
        <v>1765765.7657657659</v>
      </c>
      <c r="Q247">
        <v>25</v>
      </c>
      <c r="S247">
        <v>5139819.8198198201</v>
      </c>
      <c r="T247">
        <v>4639783.7837837841</v>
      </c>
      <c r="U247">
        <v>1835045.045045045</v>
      </c>
      <c r="V247">
        <v>1248558.558558559</v>
      </c>
      <c r="W247">
        <v>1288</v>
      </c>
      <c r="X247">
        <v>1275</v>
      </c>
    </row>
    <row r="248" spans="1:24">
      <c r="A248" s="7" t="s">
        <v>342</v>
      </c>
      <c r="B248" s="16" t="s">
        <v>121</v>
      </c>
      <c r="C248">
        <v>2600927.3555981279</v>
      </c>
      <c r="D248">
        <v>1998551.58288424</v>
      </c>
      <c r="G248">
        <v>6</v>
      </c>
      <c r="H248">
        <v>10</v>
      </c>
      <c r="M248">
        <v>7</v>
      </c>
      <c r="N248">
        <v>14</v>
      </c>
      <c r="S248">
        <v>1144414.414414414</v>
      </c>
      <c r="T248">
        <v>952882.88288288296</v>
      </c>
      <c r="W248">
        <v>402</v>
      </c>
      <c r="X248">
        <v>390</v>
      </c>
    </row>
    <row r="249" spans="1:24">
      <c r="A249" s="7" t="s">
        <v>5</v>
      </c>
      <c r="B249" s="16" t="s">
        <v>158</v>
      </c>
      <c r="C249">
        <v>169222784.38921875</v>
      </c>
      <c r="D249">
        <v>171780424.86397979</v>
      </c>
      <c r="E249">
        <v>1783333.333333334</v>
      </c>
      <c r="F249">
        <v>870270.27027027204</v>
      </c>
      <c r="G249">
        <v>14</v>
      </c>
      <c r="H249">
        <v>27</v>
      </c>
      <c r="I249">
        <v>5</v>
      </c>
      <c r="J249">
        <v>2</v>
      </c>
      <c r="K249">
        <v>2</v>
      </c>
      <c r="M249">
        <v>15</v>
      </c>
      <c r="N249">
        <v>28</v>
      </c>
      <c r="O249">
        <v>14744774.774774777</v>
      </c>
      <c r="P249">
        <v>13427027.027027028</v>
      </c>
      <c r="Q249">
        <v>86</v>
      </c>
      <c r="R249">
        <v>27</v>
      </c>
      <c r="S249">
        <v>73423153.153153151</v>
      </c>
      <c r="T249">
        <v>72832558.558558553</v>
      </c>
      <c r="U249">
        <v>13042252.252252253</v>
      </c>
      <c r="V249">
        <v>12312252.252252253</v>
      </c>
      <c r="W249">
        <v>3114</v>
      </c>
      <c r="X249">
        <v>2937</v>
      </c>
    </row>
    <row r="250" spans="1:24">
      <c r="A250" s="7" t="s">
        <v>343</v>
      </c>
      <c r="B250" s="16" t="s">
        <v>304</v>
      </c>
      <c r="C250">
        <v>16242149.81440063</v>
      </c>
      <c r="D250">
        <v>17978884.945688635</v>
      </c>
      <c r="E250">
        <v>1801.801801802</v>
      </c>
      <c r="F250">
        <v>900900.90090090095</v>
      </c>
      <c r="G250">
        <v>28</v>
      </c>
      <c r="H250">
        <v>12</v>
      </c>
      <c r="I250">
        <v>0</v>
      </c>
      <c r="M250">
        <v>32</v>
      </c>
      <c r="N250">
        <v>16</v>
      </c>
      <c r="O250">
        <v>452252.25225225202</v>
      </c>
      <c r="P250">
        <v>1351351.351351351</v>
      </c>
      <c r="S250">
        <v>3776261.2612612611</v>
      </c>
      <c r="T250">
        <v>2924423.423423423</v>
      </c>
      <c r="U250">
        <v>348828.82882882899</v>
      </c>
      <c r="V250">
        <v>256216.21621621601</v>
      </c>
      <c r="W250">
        <v>563</v>
      </c>
      <c r="X250">
        <v>516</v>
      </c>
    </row>
    <row r="251" spans="1:24">
      <c r="A251" s="7" t="s">
        <v>344</v>
      </c>
      <c r="B251" s="16" t="s">
        <v>105</v>
      </c>
      <c r="C251">
        <v>353066099.03406566</v>
      </c>
      <c r="D251">
        <v>348436354.98068696</v>
      </c>
      <c r="E251">
        <v>267342.342342344</v>
      </c>
      <c r="F251">
        <v>1722972.9729729751</v>
      </c>
      <c r="G251">
        <v>91</v>
      </c>
      <c r="H251">
        <v>59</v>
      </c>
      <c r="I251">
        <v>13</v>
      </c>
      <c r="J251">
        <v>7</v>
      </c>
      <c r="K251">
        <v>1</v>
      </c>
      <c r="M251">
        <v>132</v>
      </c>
      <c r="N251">
        <v>119</v>
      </c>
      <c r="O251">
        <v>58961621.621621616</v>
      </c>
      <c r="P251">
        <v>47759819.819819823</v>
      </c>
      <c r="Q251">
        <v>141</v>
      </c>
      <c r="R251">
        <v>328</v>
      </c>
      <c r="S251">
        <v>86650891.891891882</v>
      </c>
      <c r="T251">
        <v>85768540.540540546</v>
      </c>
      <c r="U251">
        <v>57455945.945945948</v>
      </c>
      <c r="V251">
        <v>45304954.954954959</v>
      </c>
      <c r="W251">
        <v>5903</v>
      </c>
      <c r="X251">
        <v>5787</v>
      </c>
    </row>
    <row r="252" spans="1:24">
      <c r="A252" s="7" t="s">
        <v>345</v>
      </c>
      <c r="B252" s="16" t="s">
        <v>87</v>
      </c>
      <c r="C252">
        <v>105999761.85354909</v>
      </c>
      <c r="D252">
        <v>102816187.99279872</v>
      </c>
      <c r="E252">
        <v>340540.540540541</v>
      </c>
      <c r="F252">
        <v>762162.16216216097</v>
      </c>
      <c r="G252">
        <v>56</v>
      </c>
      <c r="H252">
        <v>46</v>
      </c>
      <c r="I252">
        <v>7</v>
      </c>
      <c r="J252">
        <v>5</v>
      </c>
      <c r="K252">
        <v>1</v>
      </c>
      <c r="M252">
        <v>63</v>
      </c>
      <c r="N252">
        <v>50</v>
      </c>
      <c r="O252">
        <v>25408108.108108107</v>
      </c>
      <c r="P252">
        <v>30563063.063063063</v>
      </c>
      <c r="Q252">
        <v>37</v>
      </c>
      <c r="R252">
        <v>107</v>
      </c>
      <c r="S252">
        <v>26158130.630630631</v>
      </c>
      <c r="T252">
        <v>27122361.261261258</v>
      </c>
      <c r="U252">
        <v>17286306.306306303</v>
      </c>
      <c r="V252">
        <v>20455581.981981985</v>
      </c>
      <c r="W252">
        <v>2210</v>
      </c>
      <c r="X252">
        <v>2035</v>
      </c>
    </row>
    <row r="253" spans="1:24">
      <c r="A253" s="7" t="s">
        <v>346</v>
      </c>
      <c r="B253" s="16" t="s">
        <v>87</v>
      </c>
      <c r="C253">
        <v>329445039.16941601</v>
      </c>
      <c r="D253">
        <v>287940619.26089168</v>
      </c>
      <c r="E253">
        <v>956081.08108108002</v>
      </c>
      <c r="F253">
        <v>3290090.0900900918</v>
      </c>
      <c r="G253">
        <v>260</v>
      </c>
      <c r="H253">
        <v>178</v>
      </c>
      <c r="I253">
        <v>15</v>
      </c>
      <c r="J253">
        <v>20</v>
      </c>
      <c r="K253">
        <v>1</v>
      </c>
      <c r="M253">
        <v>289</v>
      </c>
      <c r="N253">
        <v>208</v>
      </c>
      <c r="O253">
        <v>26848648.648648649</v>
      </c>
      <c r="P253">
        <v>28202702.702702705</v>
      </c>
      <c r="Q253">
        <v>142</v>
      </c>
      <c r="R253">
        <v>148</v>
      </c>
      <c r="S253">
        <v>51775750.45045045</v>
      </c>
      <c r="T253">
        <v>48641394.59459459</v>
      </c>
      <c r="U253">
        <v>21200000.000000004</v>
      </c>
      <c r="V253">
        <v>21450450.45045045</v>
      </c>
      <c r="W253">
        <v>6820</v>
      </c>
      <c r="X253">
        <v>6466</v>
      </c>
    </row>
    <row r="254" spans="1:24">
      <c r="A254" s="7" t="s">
        <v>347</v>
      </c>
      <c r="B254" s="16" t="s">
        <v>87</v>
      </c>
      <c r="C254">
        <v>7645637.8835345991</v>
      </c>
      <c r="D254">
        <v>8785492.1361650191</v>
      </c>
      <c r="G254">
        <v>5</v>
      </c>
      <c r="H254">
        <v>17</v>
      </c>
      <c r="M254">
        <v>10</v>
      </c>
      <c r="N254">
        <v>22</v>
      </c>
      <c r="S254">
        <v>3656801.8018018021</v>
      </c>
      <c r="T254">
        <v>3617378.3783783792</v>
      </c>
      <c r="W254">
        <v>744</v>
      </c>
      <c r="X254">
        <v>839</v>
      </c>
    </row>
    <row r="255" spans="1:24">
      <c r="A255" s="7" t="s">
        <v>348</v>
      </c>
      <c r="B255" s="16" t="s">
        <v>87</v>
      </c>
      <c r="C255">
        <v>4037598.2456418518</v>
      </c>
      <c r="D255">
        <v>3967510.4587295018</v>
      </c>
      <c r="G255">
        <v>1</v>
      </c>
      <c r="H255">
        <v>3</v>
      </c>
      <c r="M255">
        <v>2</v>
      </c>
      <c r="N255">
        <v>3</v>
      </c>
      <c r="S255">
        <v>789729.72972973005</v>
      </c>
      <c r="T255">
        <v>1398153.1531531541</v>
      </c>
      <c r="W255">
        <v>367</v>
      </c>
      <c r="X255">
        <v>194</v>
      </c>
    </row>
    <row r="256" spans="1:24">
      <c r="A256" s="7" t="s">
        <v>349</v>
      </c>
      <c r="B256" s="16" t="s">
        <v>87</v>
      </c>
      <c r="C256">
        <v>3373996.7063592412</v>
      </c>
      <c r="D256">
        <v>3294739.9397380268</v>
      </c>
      <c r="G256">
        <v>1</v>
      </c>
      <c r="H256">
        <v>6</v>
      </c>
      <c r="M256">
        <v>2</v>
      </c>
      <c r="N256">
        <v>12</v>
      </c>
      <c r="S256">
        <v>1235675.675675676</v>
      </c>
      <c r="T256">
        <v>1991450.4504504499</v>
      </c>
      <c r="W256">
        <v>645</v>
      </c>
      <c r="X256">
        <v>537</v>
      </c>
    </row>
    <row r="257" spans="1:24">
      <c r="A257" s="7" t="s">
        <v>350</v>
      </c>
      <c r="B257" s="16" t="s">
        <v>87</v>
      </c>
      <c r="C257">
        <v>87968043.066482127</v>
      </c>
      <c r="D257">
        <v>95337133.584293678</v>
      </c>
      <c r="E257">
        <v>11711.711711712</v>
      </c>
      <c r="F257">
        <v>160360.36036036201</v>
      </c>
      <c r="G257">
        <v>79</v>
      </c>
      <c r="H257">
        <v>75</v>
      </c>
      <c r="I257">
        <v>3</v>
      </c>
      <c r="J257">
        <v>3</v>
      </c>
      <c r="M257">
        <v>87</v>
      </c>
      <c r="N257">
        <v>82</v>
      </c>
      <c r="O257">
        <v>6778378.3783783792</v>
      </c>
      <c r="P257">
        <v>7884684.6846846836</v>
      </c>
      <c r="Q257">
        <v>23</v>
      </c>
      <c r="R257">
        <v>55</v>
      </c>
      <c r="S257">
        <v>16995630.630630631</v>
      </c>
      <c r="T257">
        <v>18665788.288288288</v>
      </c>
      <c r="U257">
        <v>5787837.8378378386</v>
      </c>
      <c r="V257">
        <v>5767027.0270270268</v>
      </c>
      <c r="W257">
        <v>2245</v>
      </c>
      <c r="X257">
        <v>1953</v>
      </c>
    </row>
    <row r="258" spans="1:24">
      <c r="A258" s="7" t="s">
        <v>351</v>
      </c>
      <c r="B258" s="16" t="s">
        <v>50</v>
      </c>
      <c r="C258">
        <v>243545215.93134707</v>
      </c>
      <c r="D258">
        <v>253262447.98970479</v>
      </c>
      <c r="E258">
        <v>398862781.08108109</v>
      </c>
      <c r="F258">
        <v>692809969.36936939</v>
      </c>
      <c r="G258">
        <v>34</v>
      </c>
      <c r="H258">
        <v>55</v>
      </c>
      <c r="I258">
        <v>13</v>
      </c>
      <c r="J258">
        <v>12</v>
      </c>
      <c r="M258">
        <v>39</v>
      </c>
      <c r="N258">
        <v>71</v>
      </c>
      <c r="O258">
        <v>141785590.09009007</v>
      </c>
      <c r="P258">
        <v>131184324.32432432</v>
      </c>
      <c r="Q258">
        <v>78</v>
      </c>
      <c r="R258">
        <v>293</v>
      </c>
      <c r="S258">
        <v>97207747.747747749</v>
      </c>
      <c r="T258">
        <v>99282427.927927926</v>
      </c>
      <c r="U258">
        <v>37549639.639639638</v>
      </c>
      <c r="V258">
        <v>39741891.891891897</v>
      </c>
      <c r="W258">
        <v>5466</v>
      </c>
      <c r="X258">
        <v>5291</v>
      </c>
    </row>
    <row r="259" spans="1:24">
      <c r="A259" s="7" t="s">
        <v>352</v>
      </c>
      <c r="B259" s="16" t="s">
        <v>123</v>
      </c>
      <c r="C259">
        <v>1144606.8984459059</v>
      </c>
      <c r="D259">
        <v>1531828.219166457</v>
      </c>
      <c r="H259">
        <v>1</v>
      </c>
      <c r="M259">
        <v>1</v>
      </c>
      <c r="N259">
        <v>1</v>
      </c>
      <c r="S259">
        <v>438783.78378378402</v>
      </c>
      <c r="T259">
        <v>562252.25225225196</v>
      </c>
      <c r="X259">
        <v>96</v>
      </c>
    </row>
    <row r="260" spans="1:24">
      <c r="A260" s="7" t="s">
        <v>353</v>
      </c>
      <c r="B260" s="16" t="s">
        <v>354</v>
      </c>
      <c r="C260">
        <v>470950427.30719638</v>
      </c>
      <c r="D260">
        <v>443060690.49554223</v>
      </c>
      <c r="E260">
        <v>2386486.4864864862</v>
      </c>
      <c r="F260">
        <v>10337837.837837839</v>
      </c>
      <c r="G260">
        <v>201</v>
      </c>
      <c r="H260">
        <v>363</v>
      </c>
      <c r="I260">
        <v>38</v>
      </c>
      <c r="J260">
        <v>15</v>
      </c>
      <c r="M260">
        <v>253</v>
      </c>
      <c r="N260">
        <v>550</v>
      </c>
      <c r="O260">
        <v>183635765.76576576</v>
      </c>
      <c r="P260">
        <v>270448378.37837839</v>
      </c>
      <c r="Q260">
        <v>375</v>
      </c>
      <c r="R260">
        <v>451</v>
      </c>
      <c r="S260">
        <v>272172070.27027029</v>
      </c>
      <c r="T260">
        <v>264410486.48648649</v>
      </c>
      <c r="U260">
        <v>170225945.94594595</v>
      </c>
      <c r="V260">
        <v>287271891.8918919</v>
      </c>
      <c r="W260">
        <v>10172</v>
      </c>
      <c r="X260">
        <v>9551</v>
      </c>
    </row>
    <row r="261" spans="1:24">
      <c r="A261" s="7" t="s">
        <v>355</v>
      </c>
      <c r="B261" s="16" t="s">
        <v>48</v>
      </c>
      <c r="C261">
        <v>296783856.95264465</v>
      </c>
      <c r="D261">
        <v>302929489.16779923</v>
      </c>
      <c r="E261">
        <v>120775518.91891892</v>
      </c>
      <c r="F261">
        <v>169688290.09009007</v>
      </c>
      <c r="G261">
        <v>60</v>
      </c>
      <c r="H261">
        <v>24</v>
      </c>
      <c r="I261">
        <v>7</v>
      </c>
      <c r="J261">
        <v>6</v>
      </c>
      <c r="M261">
        <v>64</v>
      </c>
      <c r="N261">
        <v>26</v>
      </c>
      <c r="O261">
        <v>9592972.9729729723</v>
      </c>
      <c r="P261">
        <v>15480952.252252253</v>
      </c>
      <c r="R261">
        <v>35</v>
      </c>
      <c r="S261">
        <v>22397819.819819819</v>
      </c>
      <c r="T261">
        <v>23240441.441441439</v>
      </c>
      <c r="U261">
        <v>1074864.8648648621</v>
      </c>
      <c r="V261">
        <v>1844684.684684684</v>
      </c>
      <c r="W261">
        <v>5730</v>
      </c>
      <c r="X261">
        <v>5511</v>
      </c>
    </row>
    <row r="262" spans="1:24">
      <c r="A262" s="7" t="s">
        <v>356</v>
      </c>
      <c r="B262" s="16" t="s">
        <v>123</v>
      </c>
      <c r="C262">
        <v>347331089.22007632</v>
      </c>
      <c r="D262">
        <v>325720729.70693398</v>
      </c>
      <c r="E262">
        <v>69369.369369370004</v>
      </c>
      <c r="F262">
        <v>209909.90990991099</v>
      </c>
      <c r="G262">
        <v>79</v>
      </c>
      <c r="H262">
        <v>75</v>
      </c>
      <c r="I262">
        <v>3</v>
      </c>
      <c r="J262">
        <v>4</v>
      </c>
      <c r="M262">
        <v>81</v>
      </c>
      <c r="N262">
        <v>79</v>
      </c>
      <c r="O262">
        <v>11574594.594594592</v>
      </c>
      <c r="P262">
        <v>18335945.945945945</v>
      </c>
      <c r="Q262">
        <v>29</v>
      </c>
      <c r="R262">
        <v>165</v>
      </c>
      <c r="S262">
        <v>74468412.612612605</v>
      </c>
      <c r="T262">
        <v>71834342.342342332</v>
      </c>
      <c r="U262">
        <v>10266396.396396397</v>
      </c>
      <c r="V262">
        <v>17343333.333333332</v>
      </c>
      <c r="W262">
        <v>5890</v>
      </c>
      <c r="X262">
        <v>5886</v>
      </c>
    </row>
    <row r="263" spans="1:24">
      <c r="A263" s="7" t="s">
        <v>357</v>
      </c>
      <c r="B263" s="16" t="s">
        <v>62</v>
      </c>
      <c r="C263">
        <v>187141942.94744241</v>
      </c>
      <c r="D263">
        <v>180881563.38489068</v>
      </c>
      <c r="E263">
        <v>682882.88288288203</v>
      </c>
      <c r="F263">
        <v>2326126.1261261269</v>
      </c>
      <c r="G263">
        <v>37</v>
      </c>
      <c r="H263">
        <v>33</v>
      </c>
      <c r="I263">
        <v>2</v>
      </c>
      <c r="J263">
        <v>10</v>
      </c>
      <c r="M263">
        <v>42</v>
      </c>
      <c r="N263">
        <v>37</v>
      </c>
      <c r="O263">
        <v>17815855.855855856</v>
      </c>
      <c r="P263">
        <v>30683063.063063063</v>
      </c>
      <c r="Q263">
        <v>21</v>
      </c>
      <c r="R263">
        <v>148</v>
      </c>
      <c r="S263">
        <v>50589864.864864863</v>
      </c>
      <c r="T263">
        <v>51081279.279279277</v>
      </c>
      <c r="U263">
        <v>17042252.252252251</v>
      </c>
      <c r="V263">
        <v>31882792.792792793</v>
      </c>
      <c r="W263">
        <v>3906</v>
      </c>
      <c r="X263">
        <v>3776</v>
      </c>
    </row>
    <row r="264" spans="1:24">
      <c r="A264" s="7" t="s">
        <v>358</v>
      </c>
      <c r="B264" s="16" t="s">
        <v>315</v>
      </c>
      <c r="C264">
        <v>10645440.433752764</v>
      </c>
      <c r="D264">
        <v>5702507.4467237089</v>
      </c>
      <c r="G264">
        <v>16</v>
      </c>
      <c r="H264">
        <v>10</v>
      </c>
      <c r="M264">
        <v>16</v>
      </c>
      <c r="N264">
        <v>11</v>
      </c>
      <c r="S264">
        <v>6058828.8288288293</v>
      </c>
      <c r="T264">
        <v>2316846.8468468469</v>
      </c>
      <c r="W264">
        <v>684</v>
      </c>
      <c r="X264">
        <v>3</v>
      </c>
    </row>
    <row r="265" spans="1:24">
      <c r="A265" s="7" t="s">
        <v>359</v>
      </c>
      <c r="B265" s="16" t="s">
        <v>315</v>
      </c>
      <c r="C265">
        <v>207764818.87786183</v>
      </c>
      <c r="D265">
        <v>181997351.05502802</v>
      </c>
      <c r="E265">
        <v>86486.486486487003</v>
      </c>
      <c r="F265">
        <v>1071171.1711711721</v>
      </c>
      <c r="G265">
        <v>51</v>
      </c>
      <c r="H265">
        <v>45</v>
      </c>
      <c r="I265">
        <v>10</v>
      </c>
      <c r="J265">
        <v>8</v>
      </c>
      <c r="M265">
        <v>53</v>
      </c>
      <c r="N265">
        <v>52</v>
      </c>
      <c r="O265">
        <v>37254774.774774775</v>
      </c>
      <c r="P265">
        <v>35734594.59459459</v>
      </c>
      <c r="S265">
        <v>75235315.315315306</v>
      </c>
      <c r="T265">
        <v>66688864.864864863</v>
      </c>
      <c r="U265">
        <v>41138198.198198199</v>
      </c>
      <c r="V265">
        <v>36607297.297297299</v>
      </c>
      <c r="W265">
        <v>3061</v>
      </c>
      <c r="X265">
        <v>3088</v>
      </c>
    </row>
    <row r="266" spans="1:24">
      <c r="A266" s="7" t="s">
        <v>360</v>
      </c>
      <c r="B266" s="16" t="s">
        <v>92</v>
      </c>
      <c r="C266">
        <v>342652257.67727184</v>
      </c>
      <c r="D266">
        <v>333522883.8142038</v>
      </c>
      <c r="E266">
        <v>45422715.315315314</v>
      </c>
      <c r="F266">
        <v>141142303.6036036</v>
      </c>
      <c r="G266">
        <v>127</v>
      </c>
      <c r="H266">
        <v>74</v>
      </c>
      <c r="I266">
        <v>6</v>
      </c>
      <c r="J266">
        <v>10</v>
      </c>
      <c r="M266">
        <v>183</v>
      </c>
      <c r="N266">
        <v>233</v>
      </c>
      <c r="O266">
        <v>41108018.018018015</v>
      </c>
      <c r="P266">
        <v>86494054.054054052</v>
      </c>
      <c r="Q266">
        <v>79</v>
      </c>
      <c r="R266">
        <v>272</v>
      </c>
      <c r="S266">
        <v>100377648.64864865</v>
      </c>
      <c r="T266">
        <v>100499700.9009009</v>
      </c>
      <c r="U266">
        <v>35673693.69369369</v>
      </c>
      <c r="V266">
        <v>73343196.396396399</v>
      </c>
      <c r="W266">
        <v>6858</v>
      </c>
      <c r="X266">
        <v>6560</v>
      </c>
    </row>
    <row r="267" spans="1:24">
      <c r="A267" s="7" t="s">
        <v>361</v>
      </c>
      <c r="B267" s="16" t="s">
        <v>58</v>
      </c>
      <c r="C267">
        <v>693546334.9295212</v>
      </c>
      <c r="D267">
        <v>656243462.44713247</v>
      </c>
      <c r="E267">
        <v>2348648.6486486518</v>
      </c>
      <c r="F267">
        <v>1499099.099099101</v>
      </c>
      <c r="G267">
        <v>109</v>
      </c>
      <c r="H267">
        <v>110</v>
      </c>
      <c r="I267">
        <v>20</v>
      </c>
      <c r="J267">
        <v>20</v>
      </c>
      <c r="M267">
        <v>119</v>
      </c>
      <c r="N267">
        <v>123</v>
      </c>
      <c r="O267">
        <v>39071171.171171173</v>
      </c>
      <c r="P267">
        <v>30468468.468468472</v>
      </c>
      <c r="Q267">
        <v>564</v>
      </c>
      <c r="R267">
        <v>33</v>
      </c>
      <c r="S267">
        <v>104673099.0990991</v>
      </c>
      <c r="T267">
        <v>104859549.54954955</v>
      </c>
      <c r="U267">
        <v>31485045.045045048</v>
      </c>
      <c r="V267">
        <v>26107297.297297295</v>
      </c>
      <c r="W267">
        <v>12632</v>
      </c>
      <c r="X267">
        <v>13049</v>
      </c>
    </row>
    <row r="268" spans="1:24">
      <c r="A268" s="7" t="s">
        <v>362</v>
      </c>
      <c r="B268" s="16" t="s">
        <v>48</v>
      </c>
      <c r="C268">
        <v>235100600.86750674</v>
      </c>
      <c r="D268">
        <v>232025604.83017555</v>
      </c>
      <c r="E268">
        <v>221621.62162162201</v>
      </c>
      <c r="F268">
        <v>466666.66666666599</v>
      </c>
      <c r="G268">
        <v>15</v>
      </c>
      <c r="H268">
        <v>8</v>
      </c>
      <c r="I268">
        <v>9</v>
      </c>
      <c r="J268">
        <v>4</v>
      </c>
      <c r="M268">
        <v>20</v>
      </c>
      <c r="N268">
        <v>27</v>
      </c>
      <c r="O268">
        <v>14981801.801801803</v>
      </c>
      <c r="P268">
        <v>30860540.540540535</v>
      </c>
      <c r="R268">
        <v>12</v>
      </c>
      <c r="S268">
        <v>40369135.135135137</v>
      </c>
      <c r="T268">
        <v>38178324.324324317</v>
      </c>
      <c r="U268">
        <v>16843243.243243244</v>
      </c>
      <c r="V268">
        <v>27624144.144144144</v>
      </c>
      <c r="W268">
        <v>3333</v>
      </c>
      <c r="X268">
        <v>4164</v>
      </c>
    </row>
    <row r="269" spans="1:24">
      <c r="A269" s="7" t="s">
        <v>678</v>
      </c>
      <c r="B269" s="16" t="s">
        <v>260</v>
      </c>
      <c r="E269">
        <v>24324324.324324325</v>
      </c>
      <c r="F269">
        <v>66892792.79279279</v>
      </c>
      <c r="O269">
        <v>10041891.891891891</v>
      </c>
      <c r="P269">
        <v>1693693.693693694</v>
      </c>
    </row>
    <row r="270" spans="1:24">
      <c r="A270" s="7" t="s">
        <v>363</v>
      </c>
      <c r="B270" s="16" t="s">
        <v>52</v>
      </c>
      <c r="C270">
        <v>94643776.365722239</v>
      </c>
      <c r="D270">
        <v>98395308.932528093</v>
      </c>
      <c r="E270">
        <v>37051891.891891889</v>
      </c>
      <c r="F270">
        <v>159876576.57657659</v>
      </c>
      <c r="G270">
        <v>14</v>
      </c>
      <c r="H270">
        <v>59</v>
      </c>
      <c r="I270">
        <v>3</v>
      </c>
      <c r="J270">
        <v>5</v>
      </c>
      <c r="M270">
        <v>18</v>
      </c>
      <c r="N270">
        <v>69</v>
      </c>
      <c r="O270">
        <v>8105045.0450450443</v>
      </c>
      <c r="P270">
        <v>2956756.756756756</v>
      </c>
      <c r="Q270">
        <v>82</v>
      </c>
      <c r="R270">
        <v>65</v>
      </c>
      <c r="S270">
        <v>46435090.090090089</v>
      </c>
      <c r="T270">
        <v>48405000</v>
      </c>
      <c r="U270">
        <v>6564054.0540540526</v>
      </c>
      <c r="V270">
        <v>2492072.072072071</v>
      </c>
      <c r="W270">
        <v>2288</v>
      </c>
      <c r="X270">
        <v>2367</v>
      </c>
    </row>
    <row r="271" spans="1:24">
      <c r="A271" s="7" t="s">
        <v>364</v>
      </c>
      <c r="B271" s="16" t="s">
        <v>52</v>
      </c>
      <c r="C271">
        <v>76611885.786893204</v>
      </c>
      <c r="D271">
        <v>75719619.391510174</v>
      </c>
      <c r="E271">
        <v>2866441.441441441</v>
      </c>
      <c r="F271">
        <v>2707207.2072072099</v>
      </c>
      <c r="G271">
        <v>50</v>
      </c>
      <c r="H271">
        <v>83</v>
      </c>
      <c r="I271">
        <v>3</v>
      </c>
      <c r="J271">
        <v>9</v>
      </c>
      <c r="M271">
        <v>94</v>
      </c>
      <c r="N271">
        <v>208</v>
      </c>
      <c r="O271">
        <v>16626576.576576576</v>
      </c>
      <c r="P271">
        <v>7644144.1441441439</v>
      </c>
      <c r="Q271">
        <v>216</v>
      </c>
      <c r="R271">
        <v>467</v>
      </c>
      <c r="S271">
        <v>42688450.45045045</v>
      </c>
      <c r="T271">
        <v>42230837.837837838</v>
      </c>
      <c r="U271">
        <v>15487747.747747747</v>
      </c>
      <c r="V271">
        <v>12530180.180180181</v>
      </c>
      <c r="W271">
        <v>2373</v>
      </c>
      <c r="X271">
        <v>2297</v>
      </c>
    </row>
    <row r="272" spans="1:24">
      <c r="A272" s="7" t="s">
        <v>365</v>
      </c>
      <c r="B272" s="16" t="s">
        <v>52</v>
      </c>
      <c r="C272">
        <v>826134028.10184753</v>
      </c>
      <c r="D272">
        <v>858910140.90130246</v>
      </c>
      <c r="E272">
        <v>172945012.61261261</v>
      </c>
      <c r="F272">
        <v>334270104.5045045</v>
      </c>
      <c r="G272">
        <v>201</v>
      </c>
      <c r="H272">
        <v>285</v>
      </c>
      <c r="I272">
        <v>26</v>
      </c>
      <c r="J272">
        <v>64</v>
      </c>
      <c r="M272">
        <v>397</v>
      </c>
      <c r="N272">
        <v>503</v>
      </c>
      <c r="O272">
        <v>82319099.099099085</v>
      </c>
      <c r="P272">
        <v>50415322.522522531</v>
      </c>
      <c r="Q272">
        <v>1142</v>
      </c>
      <c r="R272">
        <v>4598</v>
      </c>
      <c r="S272">
        <v>298474887.38738739</v>
      </c>
      <c r="T272">
        <v>316507557.65765768</v>
      </c>
      <c r="U272">
        <v>78428108.108108118</v>
      </c>
      <c r="V272">
        <v>70993513.513513505</v>
      </c>
      <c r="W272">
        <v>20823</v>
      </c>
      <c r="X272">
        <v>20565</v>
      </c>
    </row>
    <row r="273" spans="1:24">
      <c r="A273" s="7" t="s">
        <v>366</v>
      </c>
      <c r="B273" s="16" t="s">
        <v>293</v>
      </c>
      <c r="C273">
        <v>542884018.45441055</v>
      </c>
      <c r="D273">
        <v>493644174.14887089</v>
      </c>
      <c r="E273">
        <v>167809721.62162164</v>
      </c>
      <c r="F273">
        <v>99988205.405405402</v>
      </c>
      <c r="G273">
        <v>156</v>
      </c>
      <c r="H273">
        <v>136</v>
      </c>
      <c r="I273">
        <v>22</v>
      </c>
      <c r="J273">
        <v>23</v>
      </c>
      <c r="K273">
        <v>2</v>
      </c>
      <c r="M273">
        <v>180</v>
      </c>
      <c r="N273">
        <v>369</v>
      </c>
      <c r="O273">
        <v>75392792.792792782</v>
      </c>
      <c r="P273">
        <v>62654594.59459459</v>
      </c>
      <c r="Q273">
        <v>397</v>
      </c>
      <c r="R273">
        <v>53</v>
      </c>
      <c r="S273">
        <v>167863781.98198199</v>
      </c>
      <c r="T273">
        <v>162766903.6036036</v>
      </c>
      <c r="U273">
        <v>61584144.144144148</v>
      </c>
      <c r="V273">
        <v>56166216.216216214</v>
      </c>
      <c r="W273">
        <v>11392</v>
      </c>
      <c r="X273">
        <v>11023</v>
      </c>
    </row>
    <row r="274" spans="1:24">
      <c r="A274" s="7" t="s">
        <v>367</v>
      </c>
      <c r="B274" s="16" t="s">
        <v>368</v>
      </c>
      <c r="C274">
        <v>228840771.6886425</v>
      </c>
      <c r="D274">
        <v>208452229.3293516</v>
      </c>
      <c r="E274">
        <v>1312117.1171171181</v>
      </c>
      <c r="F274">
        <v>1840540.5405405429</v>
      </c>
      <c r="G274">
        <v>37</v>
      </c>
      <c r="H274">
        <v>47</v>
      </c>
      <c r="I274">
        <v>8</v>
      </c>
      <c r="J274">
        <v>9</v>
      </c>
      <c r="K274">
        <v>1</v>
      </c>
      <c r="M274">
        <v>41</v>
      </c>
      <c r="N274">
        <v>64</v>
      </c>
      <c r="O274">
        <v>31401981.981981978</v>
      </c>
      <c r="P274">
        <v>60980810.810810804</v>
      </c>
      <c r="Q274">
        <v>284</v>
      </c>
      <c r="R274">
        <v>70</v>
      </c>
      <c r="S274">
        <v>94093124.324324325</v>
      </c>
      <c r="T274">
        <v>89260801.801801801</v>
      </c>
      <c r="U274">
        <v>30456306.306306299</v>
      </c>
      <c r="V274">
        <v>64973693.69369369</v>
      </c>
      <c r="W274">
        <v>3972</v>
      </c>
      <c r="X274">
        <v>3811</v>
      </c>
    </row>
    <row r="275" spans="1:24">
      <c r="A275" s="7" t="s">
        <v>369</v>
      </c>
      <c r="B275" s="16" t="s">
        <v>70</v>
      </c>
      <c r="C275">
        <v>60512619.017836317</v>
      </c>
      <c r="D275">
        <v>60878889.496353641</v>
      </c>
      <c r="E275">
        <v>1216891.8918918921</v>
      </c>
      <c r="F275">
        <v>2105405.4054054078</v>
      </c>
      <c r="G275">
        <v>20</v>
      </c>
      <c r="H275">
        <v>41</v>
      </c>
      <c r="I275">
        <v>2</v>
      </c>
      <c r="J275">
        <v>7</v>
      </c>
      <c r="M275">
        <v>21</v>
      </c>
      <c r="N275">
        <v>49</v>
      </c>
      <c r="O275">
        <v>10517567.567567568</v>
      </c>
      <c r="P275">
        <v>14038738.738738736</v>
      </c>
      <c r="R275">
        <v>48</v>
      </c>
      <c r="S275">
        <v>19291846.846846849</v>
      </c>
      <c r="T275">
        <v>20802846.846846849</v>
      </c>
      <c r="U275">
        <v>11120360.360360362</v>
      </c>
      <c r="V275">
        <v>13327747.747747747</v>
      </c>
      <c r="W275">
        <v>1212</v>
      </c>
      <c r="X275">
        <v>1236</v>
      </c>
    </row>
    <row r="276" spans="1:24">
      <c r="A276" s="7" t="s">
        <v>370</v>
      </c>
      <c r="B276" s="16" t="s">
        <v>50</v>
      </c>
      <c r="C276">
        <v>121022667.42562912</v>
      </c>
      <c r="D276">
        <v>127050047.52919167</v>
      </c>
      <c r="E276">
        <v>758558.55855855905</v>
      </c>
      <c r="F276">
        <v>1186486.486486488</v>
      </c>
      <c r="G276">
        <v>22</v>
      </c>
      <c r="H276">
        <v>27</v>
      </c>
      <c r="I276">
        <v>2</v>
      </c>
      <c r="J276">
        <v>7</v>
      </c>
      <c r="M276">
        <v>25</v>
      </c>
      <c r="N276">
        <v>30</v>
      </c>
      <c r="O276">
        <v>14844144.144144146</v>
      </c>
      <c r="P276">
        <v>10169549.54954955</v>
      </c>
      <c r="Q276">
        <v>12</v>
      </c>
      <c r="R276">
        <v>9</v>
      </c>
      <c r="S276">
        <v>55885756.756756753</v>
      </c>
      <c r="T276">
        <v>57349288.288288288</v>
      </c>
      <c r="U276">
        <v>12930270.270270269</v>
      </c>
      <c r="V276">
        <v>9569459.4594594594</v>
      </c>
      <c r="W276">
        <v>2888</v>
      </c>
      <c r="X276">
        <v>2733</v>
      </c>
    </row>
    <row r="277" spans="1:24">
      <c r="A277" s="7" t="s">
        <v>371</v>
      </c>
      <c r="B277" s="16" t="s">
        <v>121</v>
      </c>
      <c r="C277">
        <v>133234629.51149745</v>
      </c>
      <c r="D277">
        <v>125412951.37148641</v>
      </c>
      <c r="E277">
        <v>135135.13513513599</v>
      </c>
      <c r="F277">
        <v>922522.52252252295</v>
      </c>
      <c r="G277">
        <v>47</v>
      </c>
      <c r="H277">
        <v>50</v>
      </c>
      <c r="I277">
        <v>7</v>
      </c>
      <c r="J277">
        <v>5</v>
      </c>
      <c r="M277">
        <v>54</v>
      </c>
      <c r="N277">
        <v>66</v>
      </c>
      <c r="O277">
        <v>3279279.27927928</v>
      </c>
      <c r="P277">
        <v>6306306.3063063063</v>
      </c>
      <c r="Q277">
        <v>40</v>
      </c>
      <c r="R277">
        <v>18</v>
      </c>
      <c r="S277">
        <v>12084774.774774777</v>
      </c>
      <c r="T277">
        <v>13122333.333333332</v>
      </c>
      <c r="U277">
        <v>1850630.630630631</v>
      </c>
      <c r="V277">
        <v>4637387.3873873856</v>
      </c>
      <c r="W277">
        <v>2793</v>
      </c>
      <c r="X277">
        <v>2741</v>
      </c>
    </row>
    <row r="278" spans="1:24">
      <c r="A278" s="7" t="s">
        <v>372</v>
      </c>
      <c r="B278" s="16" t="s">
        <v>373</v>
      </c>
      <c r="C278">
        <v>331851087.90180027</v>
      </c>
      <c r="D278">
        <v>284736651.15509564</v>
      </c>
      <c r="E278">
        <v>66022334.234234244</v>
      </c>
      <c r="F278">
        <v>32187384.684684686</v>
      </c>
      <c r="G278">
        <v>438</v>
      </c>
      <c r="H278">
        <v>43</v>
      </c>
      <c r="I278">
        <v>21</v>
      </c>
      <c r="J278">
        <v>6</v>
      </c>
      <c r="K278">
        <v>1</v>
      </c>
      <c r="M278">
        <v>468</v>
      </c>
      <c r="N278">
        <v>49</v>
      </c>
      <c r="O278">
        <v>56299729.729729727</v>
      </c>
      <c r="P278">
        <v>63225945.945945941</v>
      </c>
      <c r="Q278">
        <v>34</v>
      </c>
      <c r="R278">
        <v>41</v>
      </c>
      <c r="S278">
        <v>133132507.2072072</v>
      </c>
      <c r="T278">
        <v>108139459.45945945</v>
      </c>
      <c r="U278">
        <v>60999682.882882878</v>
      </c>
      <c r="V278">
        <v>54612702.702702701</v>
      </c>
      <c r="W278">
        <v>10161</v>
      </c>
      <c r="X278">
        <v>9757</v>
      </c>
    </row>
    <row r="279" spans="1:24">
      <c r="A279" s="7" t="s">
        <v>374</v>
      </c>
      <c r="B279" s="16" t="s">
        <v>66</v>
      </c>
      <c r="C279">
        <v>212122437.77180812</v>
      </c>
      <c r="D279">
        <v>212286648.03692943</v>
      </c>
      <c r="E279">
        <v>1595045.045045044</v>
      </c>
      <c r="F279">
        <v>9733333.3333333358</v>
      </c>
      <c r="G279">
        <v>89</v>
      </c>
      <c r="H279">
        <v>77</v>
      </c>
      <c r="I279">
        <v>11</v>
      </c>
      <c r="J279">
        <v>14</v>
      </c>
      <c r="M279">
        <v>108</v>
      </c>
      <c r="N279">
        <v>103</v>
      </c>
      <c r="O279">
        <v>36715945.945945948</v>
      </c>
      <c r="P279">
        <v>184406306.3063063</v>
      </c>
      <c r="Q279">
        <v>478</v>
      </c>
      <c r="R279">
        <v>1195</v>
      </c>
      <c r="S279">
        <v>76656495.495495483</v>
      </c>
      <c r="T279">
        <v>78119792.792792782</v>
      </c>
      <c r="U279">
        <v>33918738.738738738</v>
      </c>
      <c r="V279">
        <v>152846666.66666666</v>
      </c>
      <c r="W279">
        <v>7381</v>
      </c>
      <c r="X279">
        <v>7152</v>
      </c>
    </row>
    <row r="280" spans="1:24">
      <c r="A280" s="7" t="s">
        <v>375</v>
      </c>
      <c r="B280" s="16" t="s">
        <v>354</v>
      </c>
      <c r="C280">
        <v>333770137.61580551</v>
      </c>
      <c r="D280">
        <v>317439693.87560564</v>
      </c>
      <c r="E280">
        <v>1449324.324324324</v>
      </c>
      <c r="F280">
        <v>2674774.7747747782</v>
      </c>
      <c r="G280">
        <v>502</v>
      </c>
      <c r="H280">
        <v>411</v>
      </c>
      <c r="I280">
        <v>8</v>
      </c>
      <c r="J280">
        <v>7</v>
      </c>
      <c r="M280">
        <v>518</v>
      </c>
      <c r="N280">
        <v>485</v>
      </c>
      <c r="O280">
        <v>57097837.837837838</v>
      </c>
      <c r="P280">
        <v>68684594.594594598</v>
      </c>
      <c r="Q280">
        <v>205</v>
      </c>
      <c r="R280">
        <v>310</v>
      </c>
      <c r="S280">
        <v>198181612.61261261</v>
      </c>
      <c r="T280">
        <v>197148576.57657659</v>
      </c>
      <c r="U280">
        <v>60523963.963963971</v>
      </c>
      <c r="V280">
        <v>74790990.990990996</v>
      </c>
      <c r="W280">
        <v>7037</v>
      </c>
      <c r="X280">
        <v>7056</v>
      </c>
    </row>
    <row r="281" spans="1:24">
      <c r="A281" s="7" t="s">
        <v>376</v>
      </c>
      <c r="B281" s="16" t="s">
        <v>66</v>
      </c>
      <c r="C281">
        <v>114037095.84899265</v>
      </c>
      <c r="D281">
        <v>122825800.71877456</v>
      </c>
      <c r="E281">
        <v>44144.144144145997</v>
      </c>
      <c r="F281">
        <v>1160360.3603603609</v>
      </c>
      <c r="G281">
        <v>47</v>
      </c>
      <c r="H281">
        <v>50</v>
      </c>
      <c r="I281">
        <v>5</v>
      </c>
      <c r="J281">
        <v>5</v>
      </c>
      <c r="M281">
        <v>62</v>
      </c>
      <c r="N281">
        <v>66</v>
      </c>
      <c r="O281">
        <v>9226486.4864864834</v>
      </c>
      <c r="P281">
        <v>9855855.8558558561</v>
      </c>
      <c r="Q281">
        <v>135</v>
      </c>
      <c r="R281">
        <v>99</v>
      </c>
      <c r="S281">
        <v>51124655.855855852</v>
      </c>
      <c r="T281">
        <v>58140364.864864863</v>
      </c>
      <c r="U281">
        <v>15187477.477477476</v>
      </c>
      <c r="V281">
        <v>13583693.693693692</v>
      </c>
      <c r="W281">
        <v>4462</v>
      </c>
      <c r="X281">
        <v>5013</v>
      </c>
    </row>
    <row r="282" spans="1:24">
      <c r="A282" s="7" t="s">
        <v>377</v>
      </c>
      <c r="B282" s="16" t="s">
        <v>260</v>
      </c>
      <c r="C282">
        <v>109623862.40588284</v>
      </c>
      <c r="D282">
        <v>101984534.30317713</v>
      </c>
      <c r="E282">
        <v>183783.78378378399</v>
      </c>
      <c r="F282">
        <v>13513.513513514001</v>
      </c>
      <c r="G282">
        <v>6</v>
      </c>
      <c r="H282">
        <v>8</v>
      </c>
      <c r="I282">
        <v>1</v>
      </c>
      <c r="J282">
        <v>0</v>
      </c>
      <c r="M282">
        <v>6</v>
      </c>
      <c r="N282">
        <v>8</v>
      </c>
      <c r="O282">
        <v>3607207.2072072071</v>
      </c>
      <c r="P282">
        <v>6454954.9549549539</v>
      </c>
      <c r="Q282">
        <v>4</v>
      </c>
      <c r="R282">
        <v>1</v>
      </c>
      <c r="S282">
        <v>17150720.72072072</v>
      </c>
      <c r="T282">
        <v>16931324.324324325</v>
      </c>
      <c r="U282">
        <v>7599729.7297297288</v>
      </c>
      <c r="V282">
        <v>2965405.405405405</v>
      </c>
      <c r="W282">
        <v>1686</v>
      </c>
      <c r="X282">
        <v>1543</v>
      </c>
    </row>
    <row r="283" spans="1:24">
      <c r="A283" s="7" t="s">
        <v>378</v>
      </c>
      <c r="B283" s="16" t="s">
        <v>354</v>
      </c>
      <c r="C283">
        <v>275836503.02493435</v>
      </c>
      <c r="D283">
        <v>266986583.14284599</v>
      </c>
      <c r="E283">
        <v>324089927.02702701</v>
      </c>
      <c r="F283">
        <v>388412709.009009</v>
      </c>
      <c r="G283">
        <v>50</v>
      </c>
      <c r="H283">
        <v>55</v>
      </c>
      <c r="I283">
        <v>3</v>
      </c>
      <c r="J283">
        <v>8</v>
      </c>
      <c r="M283">
        <v>52</v>
      </c>
      <c r="N283">
        <v>60</v>
      </c>
      <c r="O283">
        <v>72932027.027027026</v>
      </c>
      <c r="P283">
        <v>62708468.468468472</v>
      </c>
      <c r="Q283">
        <v>145</v>
      </c>
      <c r="R283">
        <v>43</v>
      </c>
      <c r="S283">
        <v>142063468.46846846</v>
      </c>
      <c r="T283">
        <v>149189518.91891891</v>
      </c>
      <c r="U283">
        <v>62654774.774774775</v>
      </c>
      <c r="V283">
        <v>51285675.675675683</v>
      </c>
      <c r="W283">
        <v>4716</v>
      </c>
      <c r="X283">
        <v>4760</v>
      </c>
    </row>
    <row r="284" spans="1:24">
      <c r="A284" s="7" t="s">
        <v>379</v>
      </c>
      <c r="B284" s="16" t="s">
        <v>87</v>
      </c>
      <c r="C284">
        <v>5616644.0702236006</v>
      </c>
      <c r="D284">
        <v>7168313.3589285472</v>
      </c>
      <c r="H284">
        <v>1</v>
      </c>
      <c r="N284">
        <v>3</v>
      </c>
      <c r="S284">
        <v>177252.25225225199</v>
      </c>
      <c r="T284">
        <v>378513.51351351402</v>
      </c>
      <c r="W284">
        <v>166</v>
      </c>
      <c r="X284">
        <v>143</v>
      </c>
    </row>
    <row r="285" spans="1:24">
      <c r="A285" s="7" t="s">
        <v>380</v>
      </c>
      <c r="B285" s="16" t="s">
        <v>87</v>
      </c>
      <c r="C285">
        <v>23785537.077248085</v>
      </c>
      <c r="D285">
        <v>10449383.983604573</v>
      </c>
      <c r="E285">
        <v>22522.522522522999</v>
      </c>
      <c r="G285">
        <v>182</v>
      </c>
      <c r="H285">
        <v>20</v>
      </c>
      <c r="I285">
        <v>1</v>
      </c>
      <c r="M285">
        <v>186</v>
      </c>
      <c r="N285">
        <v>22</v>
      </c>
      <c r="O285">
        <v>90090.090090090001</v>
      </c>
      <c r="Q285">
        <v>3</v>
      </c>
      <c r="S285">
        <v>4302252.2522522518</v>
      </c>
      <c r="T285">
        <v>1300729.7297297299</v>
      </c>
      <c r="U285">
        <v>86036.036036036006</v>
      </c>
      <c r="W285">
        <v>538</v>
      </c>
      <c r="X285">
        <v>440</v>
      </c>
    </row>
    <row r="286" spans="1:24">
      <c r="A286" s="7" t="s">
        <v>381</v>
      </c>
      <c r="B286" s="16" t="s">
        <v>80</v>
      </c>
      <c r="C286">
        <v>1836622907.1072998</v>
      </c>
      <c r="D286">
        <v>1794535390.7945375</v>
      </c>
      <c r="E286">
        <v>1402745328.8288288</v>
      </c>
      <c r="F286">
        <v>1036689245.0450451</v>
      </c>
      <c r="G286">
        <v>545</v>
      </c>
      <c r="H286">
        <v>670</v>
      </c>
      <c r="I286">
        <v>63</v>
      </c>
      <c r="J286">
        <v>63</v>
      </c>
      <c r="K286">
        <v>1</v>
      </c>
      <c r="M286">
        <v>636</v>
      </c>
      <c r="N286">
        <v>855</v>
      </c>
      <c r="O286">
        <v>234430630.63063061</v>
      </c>
      <c r="P286">
        <v>295903153.15315318</v>
      </c>
      <c r="Q286">
        <v>485</v>
      </c>
      <c r="R286">
        <v>704</v>
      </c>
      <c r="S286">
        <v>447011762.16216218</v>
      </c>
      <c r="T286">
        <v>466735243.6936937</v>
      </c>
      <c r="U286">
        <v>195388378.37837836</v>
      </c>
      <c r="V286">
        <v>254598828.82882884</v>
      </c>
      <c r="W286">
        <v>36654</v>
      </c>
      <c r="X286">
        <v>37059</v>
      </c>
    </row>
    <row r="287" spans="1:24">
      <c r="A287" s="7" t="s">
        <v>382</v>
      </c>
      <c r="B287" s="16" t="s">
        <v>80</v>
      </c>
      <c r="C287">
        <v>491005403.8440212</v>
      </c>
      <c r="D287">
        <v>491459218.01918876</v>
      </c>
      <c r="E287">
        <v>103068468.46846846</v>
      </c>
      <c r="F287">
        <v>90439144.144144148</v>
      </c>
      <c r="G287">
        <v>132</v>
      </c>
      <c r="H287">
        <v>141</v>
      </c>
      <c r="I287">
        <v>16</v>
      </c>
      <c r="J287">
        <v>18</v>
      </c>
      <c r="K287">
        <v>1</v>
      </c>
      <c r="M287">
        <v>153</v>
      </c>
      <c r="N287">
        <v>211</v>
      </c>
      <c r="O287">
        <v>99993423.423423424</v>
      </c>
      <c r="P287">
        <v>101098198.1981982</v>
      </c>
      <c r="Q287">
        <v>229</v>
      </c>
      <c r="R287">
        <v>191</v>
      </c>
      <c r="S287">
        <v>204040787.38738739</v>
      </c>
      <c r="T287">
        <v>203683041.8918919</v>
      </c>
      <c r="U287">
        <v>90793423.423423424</v>
      </c>
      <c r="V287">
        <v>84889228.828828827</v>
      </c>
      <c r="W287">
        <v>9795</v>
      </c>
      <c r="X287">
        <v>10039</v>
      </c>
    </row>
    <row r="288" spans="1:24">
      <c r="A288" s="7" t="s">
        <v>383</v>
      </c>
      <c r="B288" s="16" t="s">
        <v>80</v>
      </c>
      <c r="C288">
        <v>686073921.38386881</v>
      </c>
      <c r="D288">
        <v>618107721.08135831</v>
      </c>
      <c r="E288">
        <v>69594.594594594993</v>
      </c>
      <c r="F288">
        <v>749168.46846847096</v>
      </c>
      <c r="G288">
        <v>156</v>
      </c>
      <c r="H288">
        <v>83</v>
      </c>
      <c r="I288">
        <v>2</v>
      </c>
      <c r="J288">
        <v>3</v>
      </c>
      <c r="M288">
        <v>172</v>
      </c>
      <c r="N288">
        <v>96</v>
      </c>
      <c r="O288">
        <v>29776396.396396395</v>
      </c>
      <c r="P288">
        <v>52813112.612612605</v>
      </c>
      <c r="Q288">
        <v>33</v>
      </c>
      <c r="R288">
        <v>15</v>
      </c>
      <c r="S288">
        <v>127024138.73873873</v>
      </c>
      <c r="T288">
        <v>125418513.51351352</v>
      </c>
      <c r="U288">
        <v>28221261.261261258</v>
      </c>
      <c r="V288">
        <v>50828018.018018015</v>
      </c>
      <c r="W288">
        <v>10040</v>
      </c>
      <c r="X288">
        <v>9350</v>
      </c>
    </row>
    <row r="289" spans="1:24">
      <c r="A289" s="7" t="s">
        <v>384</v>
      </c>
      <c r="B289" s="16" t="s">
        <v>68</v>
      </c>
      <c r="C289">
        <v>272083646.8706882</v>
      </c>
      <c r="D289">
        <v>271298038.39227116</v>
      </c>
      <c r="E289">
        <v>202792.79279279301</v>
      </c>
      <c r="F289">
        <v>1083783.7837837851</v>
      </c>
      <c r="G289">
        <v>80</v>
      </c>
      <c r="H289">
        <v>56</v>
      </c>
      <c r="I289">
        <v>4</v>
      </c>
      <c r="J289">
        <v>3</v>
      </c>
      <c r="M289">
        <v>88</v>
      </c>
      <c r="N289">
        <v>63</v>
      </c>
      <c r="O289">
        <v>13472252.252252251</v>
      </c>
      <c r="P289">
        <v>11104054.054054054</v>
      </c>
      <c r="Q289">
        <v>78</v>
      </c>
      <c r="R289">
        <v>49</v>
      </c>
      <c r="S289">
        <v>36450387.387387387</v>
      </c>
      <c r="T289">
        <v>38697000</v>
      </c>
      <c r="U289">
        <v>12958378.37837838</v>
      </c>
      <c r="V289">
        <v>9556306.3063063063</v>
      </c>
      <c r="W289">
        <v>5122</v>
      </c>
      <c r="X289">
        <v>5192</v>
      </c>
    </row>
    <row r="290" spans="1:24">
      <c r="A290" s="7" t="s">
        <v>385</v>
      </c>
      <c r="B290" s="16" t="s">
        <v>167</v>
      </c>
      <c r="C290">
        <v>98501145.17828615</v>
      </c>
      <c r="D290">
        <v>93013609.449516624</v>
      </c>
      <c r="E290">
        <v>25225.225225227001</v>
      </c>
      <c r="F290">
        <v>1709009.0090090111</v>
      </c>
      <c r="G290">
        <v>43</v>
      </c>
      <c r="H290">
        <v>34</v>
      </c>
      <c r="I290">
        <v>5</v>
      </c>
      <c r="J290">
        <v>7</v>
      </c>
      <c r="M290">
        <v>48</v>
      </c>
      <c r="N290">
        <v>42</v>
      </c>
      <c r="O290">
        <v>26715123.423423424</v>
      </c>
      <c r="P290">
        <v>23088354.054054055</v>
      </c>
      <c r="Q290">
        <v>45</v>
      </c>
      <c r="R290">
        <v>17</v>
      </c>
      <c r="S290">
        <v>39519097.297297299</v>
      </c>
      <c r="T290">
        <v>39467495.495495498</v>
      </c>
      <c r="U290">
        <v>20192702.702702705</v>
      </c>
      <c r="V290">
        <v>21473333.333333332</v>
      </c>
      <c r="W290">
        <v>2442</v>
      </c>
      <c r="X290">
        <v>2480</v>
      </c>
    </row>
    <row r="291" spans="1:24">
      <c r="A291" s="7" t="s">
        <v>386</v>
      </c>
      <c r="B291" s="16" t="s">
        <v>94</v>
      </c>
      <c r="C291">
        <v>544459076.30829692</v>
      </c>
      <c r="D291">
        <v>538444983.24828696</v>
      </c>
      <c r="E291">
        <v>1269369.369369369</v>
      </c>
      <c r="F291">
        <v>734234.23423423502</v>
      </c>
      <c r="G291">
        <v>125</v>
      </c>
      <c r="H291">
        <v>118</v>
      </c>
      <c r="I291">
        <v>6</v>
      </c>
      <c r="J291">
        <v>8</v>
      </c>
      <c r="K291">
        <v>2</v>
      </c>
      <c r="M291">
        <v>139</v>
      </c>
      <c r="N291">
        <v>128</v>
      </c>
      <c r="O291">
        <v>17181981.981981982</v>
      </c>
      <c r="P291">
        <v>20716216.216216218</v>
      </c>
      <c r="Q291">
        <v>37</v>
      </c>
      <c r="R291">
        <v>144</v>
      </c>
      <c r="S291">
        <v>56842473.873873875</v>
      </c>
      <c r="T291">
        <v>64482927.927927926</v>
      </c>
      <c r="U291">
        <v>13094684.684684685</v>
      </c>
      <c r="V291">
        <v>16241171.171171172</v>
      </c>
      <c r="W291">
        <v>8440</v>
      </c>
      <c r="X291">
        <v>8085</v>
      </c>
    </row>
    <row r="292" spans="1:24">
      <c r="A292" s="7" t="s">
        <v>387</v>
      </c>
      <c r="B292" s="16" t="s">
        <v>214</v>
      </c>
      <c r="C292">
        <v>96147503.286407977</v>
      </c>
      <c r="D292">
        <v>99093440.319181353</v>
      </c>
      <c r="E292">
        <v>17117.117117116999</v>
      </c>
      <c r="F292">
        <v>1143243.243243244</v>
      </c>
      <c r="G292">
        <v>33</v>
      </c>
      <c r="H292">
        <v>38</v>
      </c>
      <c r="I292">
        <v>0</v>
      </c>
      <c r="J292">
        <v>1</v>
      </c>
      <c r="M292">
        <v>33</v>
      </c>
      <c r="N292">
        <v>45</v>
      </c>
      <c r="O292">
        <v>107207.207207207</v>
      </c>
      <c r="P292">
        <v>2945045.0450450452</v>
      </c>
      <c r="S292">
        <v>44511621.621621624</v>
      </c>
      <c r="T292">
        <v>47040621.621621624</v>
      </c>
      <c r="U292">
        <v>89639.639639639994</v>
      </c>
      <c r="V292">
        <v>2116666.666666667</v>
      </c>
      <c r="W292">
        <v>2351</v>
      </c>
      <c r="X292">
        <v>2307</v>
      </c>
    </row>
    <row r="293" spans="1:24">
      <c r="A293" s="7" t="s">
        <v>388</v>
      </c>
      <c r="B293" s="16" t="s">
        <v>117</v>
      </c>
      <c r="C293">
        <v>41722627.673524141</v>
      </c>
      <c r="D293">
        <v>39434995.738686569</v>
      </c>
      <c r="E293">
        <v>52252.252252254002</v>
      </c>
      <c r="F293">
        <v>569369.36936936795</v>
      </c>
      <c r="G293">
        <v>31</v>
      </c>
      <c r="H293">
        <v>26</v>
      </c>
      <c r="I293">
        <v>6</v>
      </c>
      <c r="J293">
        <v>8</v>
      </c>
      <c r="M293">
        <v>37</v>
      </c>
      <c r="N293">
        <v>35</v>
      </c>
      <c r="O293">
        <v>5428236.9369369363</v>
      </c>
      <c r="P293">
        <v>9803718.9189189207</v>
      </c>
      <c r="Q293">
        <v>30</v>
      </c>
      <c r="S293">
        <v>19563918.918918919</v>
      </c>
      <c r="T293">
        <v>18589603.603603605</v>
      </c>
      <c r="U293">
        <v>2916576.5765765752</v>
      </c>
      <c r="V293">
        <v>7644684.6846846854</v>
      </c>
      <c r="W293">
        <v>1930</v>
      </c>
      <c r="X293">
        <v>1779</v>
      </c>
    </row>
    <row r="294" spans="1:24">
      <c r="A294" s="7" t="s">
        <v>679</v>
      </c>
      <c r="B294" s="16" t="s">
        <v>117</v>
      </c>
      <c r="E294">
        <v>16328828.828828828</v>
      </c>
      <c r="F294">
        <v>4617117.1171171172</v>
      </c>
      <c r="O294">
        <v>5969594.594594595</v>
      </c>
      <c r="P294">
        <v>2404504.5045045051</v>
      </c>
    </row>
    <row r="295" spans="1:24">
      <c r="A295" s="7" t="s">
        <v>389</v>
      </c>
      <c r="B295" s="16" t="s">
        <v>315</v>
      </c>
      <c r="C295">
        <v>179568592.52630135</v>
      </c>
      <c r="D295">
        <v>171997144.12108293</v>
      </c>
      <c r="E295">
        <v>2891441.4414414419</v>
      </c>
      <c r="F295">
        <v>381081.08108108101</v>
      </c>
      <c r="G295">
        <v>26</v>
      </c>
      <c r="H295">
        <v>18</v>
      </c>
      <c r="I295">
        <v>0</v>
      </c>
      <c r="J295">
        <v>1</v>
      </c>
      <c r="M295">
        <v>29</v>
      </c>
      <c r="N295">
        <v>19</v>
      </c>
      <c r="O295">
        <v>9873423.4234234244</v>
      </c>
      <c r="P295">
        <v>7408108.1081081079</v>
      </c>
      <c r="S295">
        <v>35794234.234234229</v>
      </c>
      <c r="T295">
        <v>35632666.666666672</v>
      </c>
      <c r="U295">
        <v>8119009.0090090092</v>
      </c>
      <c r="V295">
        <v>7182252.2522522518</v>
      </c>
      <c r="W295">
        <v>2767</v>
      </c>
      <c r="X295">
        <v>2541</v>
      </c>
    </row>
    <row r="296" spans="1:24">
      <c r="A296" s="7" t="s">
        <v>390</v>
      </c>
      <c r="B296" s="16" t="s">
        <v>224</v>
      </c>
      <c r="C296">
        <v>95317850.304782823</v>
      </c>
      <c r="D296">
        <v>74417836.428947777</v>
      </c>
      <c r="G296">
        <v>110</v>
      </c>
      <c r="H296">
        <v>7</v>
      </c>
      <c r="M296">
        <v>114</v>
      </c>
      <c r="N296">
        <v>7</v>
      </c>
      <c r="S296">
        <v>18993819.819819819</v>
      </c>
      <c r="T296">
        <v>14194009.009009007</v>
      </c>
      <c r="W296">
        <v>1586</v>
      </c>
      <c r="X296">
        <v>1517</v>
      </c>
    </row>
    <row r="297" spans="1:24">
      <c r="A297" s="7" t="s">
        <v>6</v>
      </c>
      <c r="B297" s="16" t="s">
        <v>193</v>
      </c>
      <c r="C297">
        <v>640865816.06836939</v>
      </c>
      <c r="D297">
        <v>623954353.33436406</v>
      </c>
      <c r="E297">
        <v>257349000.9009009</v>
      </c>
      <c r="F297">
        <v>404034141.44144148</v>
      </c>
      <c r="G297">
        <v>453</v>
      </c>
      <c r="H297">
        <v>357</v>
      </c>
      <c r="I297">
        <v>25</v>
      </c>
      <c r="J297">
        <v>16</v>
      </c>
      <c r="K297">
        <v>2</v>
      </c>
      <c r="M297">
        <v>1054</v>
      </c>
      <c r="N297">
        <v>782</v>
      </c>
      <c r="O297">
        <v>273627252.25225228</v>
      </c>
      <c r="P297">
        <v>227135931.53153151</v>
      </c>
      <c r="Q297">
        <v>593</v>
      </c>
      <c r="R297">
        <v>819</v>
      </c>
      <c r="S297">
        <v>427378243.24324328</v>
      </c>
      <c r="T297">
        <v>423503000</v>
      </c>
      <c r="U297">
        <v>247491621.62162164</v>
      </c>
      <c r="V297">
        <v>198111171.17117116</v>
      </c>
      <c r="W297">
        <v>13725</v>
      </c>
      <c r="X297">
        <v>13059</v>
      </c>
    </row>
    <row r="298" spans="1:24">
      <c r="A298" s="7" t="s">
        <v>391</v>
      </c>
      <c r="B298" s="16" t="s">
        <v>121</v>
      </c>
      <c r="C298">
        <v>23312381.04071968</v>
      </c>
      <c r="D298">
        <v>27854233.281139743</v>
      </c>
      <c r="E298">
        <v>9009.0090090089998</v>
      </c>
      <c r="G298">
        <v>17</v>
      </c>
      <c r="H298">
        <v>10</v>
      </c>
      <c r="M298">
        <v>18</v>
      </c>
      <c r="N298">
        <v>10</v>
      </c>
      <c r="O298">
        <v>90090.090090090001</v>
      </c>
      <c r="Q298">
        <v>9</v>
      </c>
      <c r="S298">
        <v>1332882.8828828831</v>
      </c>
      <c r="T298">
        <v>1436036.036036036</v>
      </c>
      <c r="U298">
        <v>81081.081081081007</v>
      </c>
      <c r="W298">
        <v>569</v>
      </c>
      <c r="X298">
        <v>503</v>
      </c>
    </row>
    <row r="299" spans="1:24">
      <c r="A299" s="7" t="s">
        <v>392</v>
      </c>
      <c r="B299" s="16" t="s">
        <v>134</v>
      </c>
      <c r="C299">
        <v>85782265.931957662</v>
      </c>
      <c r="D299">
        <v>81962066.637607753</v>
      </c>
      <c r="E299">
        <v>220648213.51351351</v>
      </c>
      <c r="F299">
        <v>243758624.32432431</v>
      </c>
      <c r="G299">
        <v>29</v>
      </c>
      <c r="H299">
        <v>22</v>
      </c>
      <c r="I299">
        <v>1</v>
      </c>
      <c r="J299">
        <v>1</v>
      </c>
      <c r="M299">
        <v>34</v>
      </c>
      <c r="N299">
        <v>28</v>
      </c>
      <c r="O299">
        <v>37859459.459459454</v>
      </c>
      <c r="P299">
        <v>52788288.288288288</v>
      </c>
      <c r="Q299">
        <v>78</v>
      </c>
      <c r="R299">
        <v>5</v>
      </c>
      <c r="S299">
        <v>17832412.612612613</v>
      </c>
      <c r="T299">
        <v>16431475.675675675</v>
      </c>
      <c r="U299">
        <v>2998558.558558559</v>
      </c>
      <c r="V299">
        <v>1786216.216216217</v>
      </c>
      <c r="W299">
        <v>3452</v>
      </c>
      <c r="X299">
        <v>3545</v>
      </c>
    </row>
    <row r="300" spans="1:24">
      <c r="A300" s="7" t="s">
        <v>393</v>
      </c>
      <c r="B300" s="16" t="s">
        <v>58</v>
      </c>
      <c r="C300">
        <v>423271604.53812641</v>
      </c>
      <c r="D300">
        <v>405742297.21073282</v>
      </c>
      <c r="E300">
        <v>10413288.288288292</v>
      </c>
      <c r="F300">
        <v>12240315.315315319</v>
      </c>
      <c r="G300">
        <v>234</v>
      </c>
      <c r="H300">
        <v>118</v>
      </c>
      <c r="I300">
        <v>20</v>
      </c>
      <c r="J300">
        <v>26</v>
      </c>
      <c r="K300">
        <v>3</v>
      </c>
      <c r="M300">
        <v>257</v>
      </c>
      <c r="N300">
        <v>188</v>
      </c>
      <c r="O300">
        <v>55947297.297297299</v>
      </c>
      <c r="P300">
        <v>41802702.702702701</v>
      </c>
      <c r="Q300">
        <v>309</v>
      </c>
      <c r="R300">
        <v>68</v>
      </c>
      <c r="S300">
        <v>66929297.297297299</v>
      </c>
      <c r="T300">
        <v>65091441.441441439</v>
      </c>
      <c r="U300">
        <v>48283963.963963971</v>
      </c>
      <c r="V300">
        <v>39283963.963963971</v>
      </c>
      <c r="W300">
        <v>8938</v>
      </c>
      <c r="X300">
        <v>9002</v>
      </c>
    </row>
    <row r="301" spans="1:24">
      <c r="A301" s="7" t="s">
        <v>394</v>
      </c>
      <c r="B301" s="16" t="s">
        <v>134</v>
      </c>
      <c r="C301">
        <v>149534544.86523092</v>
      </c>
      <c r="D301">
        <v>140192517.26550618</v>
      </c>
      <c r="E301">
        <v>47972.972972973999</v>
      </c>
      <c r="F301">
        <v>747747.74774774804</v>
      </c>
      <c r="G301">
        <v>27</v>
      </c>
      <c r="H301">
        <v>25</v>
      </c>
      <c r="I301">
        <v>6</v>
      </c>
      <c r="J301">
        <v>6</v>
      </c>
      <c r="M301">
        <v>29</v>
      </c>
      <c r="N301">
        <v>30</v>
      </c>
      <c r="O301">
        <v>15796396.396396397</v>
      </c>
      <c r="P301">
        <v>22743243.24324324</v>
      </c>
      <c r="Q301">
        <v>185</v>
      </c>
      <c r="R301">
        <v>85</v>
      </c>
      <c r="S301">
        <v>26984322.522522524</v>
      </c>
      <c r="T301">
        <v>26109657.657657657</v>
      </c>
      <c r="U301">
        <v>10562162.162162164</v>
      </c>
      <c r="V301">
        <v>12905765.765765764</v>
      </c>
      <c r="W301">
        <v>3819</v>
      </c>
      <c r="X301">
        <v>3881</v>
      </c>
    </row>
    <row r="302" spans="1:24">
      <c r="A302" s="7" t="s">
        <v>395</v>
      </c>
      <c r="B302" s="16" t="s">
        <v>54</v>
      </c>
      <c r="C302">
        <v>62305895.734504521</v>
      </c>
      <c r="D302">
        <v>58812035.451919854</v>
      </c>
      <c r="E302">
        <v>274774.77477477503</v>
      </c>
      <c r="F302">
        <v>55855.855855856003</v>
      </c>
      <c r="G302">
        <v>10</v>
      </c>
      <c r="H302">
        <v>18</v>
      </c>
      <c r="I302">
        <v>1</v>
      </c>
      <c r="J302">
        <v>2</v>
      </c>
      <c r="M302">
        <v>12</v>
      </c>
      <c r="N302">
        <v>19</v>
      </c>
      <c r="O302">
        <v>3635135.1351351351</v>
      </c>
      <c r="P302">
        <v>3010810.8108108109</v>
      </c>
      <c r="Q302">
        <v>24</v>
      </c>
      <c r="R302">
        <v>7</v>
      </c>
      <c r="S302">
        <v>10548918.918918921</v>
      </c>
      <c r="T302">
        <v>9870027.0270270277</v>
      </c>
      <c r="U302">
        <v>3632972.9729729719</v>
      </c>
      <c r="V302">
        <v>3108288.2882882878</v>
      </c>
      <c r="W302">
        <v>1539</v>
      </c>
      <c r="X302">
        <v>1588</v>
      </c>
    </row>
    <row r="303" spans="1:24">
      <c r="A303" s="7" t="s">
        <v>396</v>
      </c>
      <c r="B303" s="16" t="s">
        <v>397</v>
      </c>
      <c r="C303">
        <v>429870511.78188598</v>
      </c>
      <c r="D303">
        <v>415968871.46540421</v>
      </c>
      <c r="E303">
        <v>69018648.648648649</v>
      </c>
      <c r="F303">
        <v>87635135.135135129</v>
      </c>
      <c r="G303">
        <v>218</v>
      </c>
      <c r="H303">
        <v>172</v>
      </c>
      <c r="I303">
        <v>12</v>
      </c>
      <c r="J303">
        <v>19</v>
      </c>
      <c r="M303">
        <v>292</v>
      </c>
      <c r="N303">
        <v>347</v>
      </c>
      <c r="O303">
        <v>49445855.855855852</v>
      </c>
      <c r="P303">
        <v>46251801.801801801</v>
      </c>
      <c r="Q303">
        <v>178</v>
      </c>
      <c r="R303">
        <v>426</v>
      </c>
      <c r="S303">
        <v>81369250.45045045</v>
      </c>
      <c r="T303">
        <v>82442095.495495483</v>
      </c>
      <c r="U303">
        <v>41722027.027027026</v>
      </c>
      <c r="V303">
        <v>43902882.882882878</v>
      </c>
      <c r="W303">
        <v>9499</v>
      </c>
      <c r="X303">
        <v>9386</v>
      </c>
    </row>
    <row r="304" spans="1:24">
      <c r="A304" s="7" t="s">
        <v>398</v>
      </c>
      <c r="B304" s="16" t="s">
        <v>399</v>
      </c>
      <c r="C304">
        <v>491967760.19307375</v>
      </c>
      <c r="D304">
        <v>450790564.45624465</v>
      </c>
      <c r="E304">
        <v>821171.17117117299</v>
      </c>
      <c r="F304">
        <v>6000675.6756756781</v>
      </c>
      <c r="G304">
        <v>137</v>
      </c>
      <c r="H304">
        <v>96</v>
      </c>
      <c r="I304">
        <v>19</v>
      </c>
      <c r="J304">
        <v>18</v>
      </c>
      <c r="K304">
        <v>1</v>
      </c>
      <c r="M304">
        <v>152</v>
      </c>
      <c r="N304">
        <v>112</v>
      </c>
      <c r="O304">
        <v>118684594.5945946</v>
      </c>
      <c r="P304">
        <v>47082882.882882878</v>
      </c>
      <c r="Q304">
        <v>315</v>
      </c>
      <c r="R304">
        <v>336</v>
      </c>
      <c r="S304">
        <v>88050691.891891882</v>
      </c>
      <c r="T304">
        <v>82545756.756756753</v>
      </c>
      <c r="U304">
        <v>113557837.83783785</v>
      </c>
      <c r="V304">
        <v>45720630.630630635</v>
      </c>
      <c r="W304">
        <v>11494</v>
      </c>
      <c r="X304">
        <v>11505</v>
      </c>
    </row>
    <row r="305" spans="1:24">
      <c r="A305" s="7" t="s">
        <v>400</v>
      </c>
      <c r="B305" s="16" t="s">
        <v>140</v>
      </c>
      <c r="C305">
        <v>154810324.17718899</v>
      </c>
      <c r="D305">
        <v>146169957.39645824</v>
      </c>
      <c r="E305">
        <v>705405.40540540603</v>
      </c>
      <c r="F305">
        <v>2018018.0180180201</v>
      </c>
      <c r="G305">
        <v>42</v>
      </c>
      <c r="H305">
        <v>46</v>
      </c>
      <c r="I305">
        <v>5</v>
      </c>
      <c r="J305">
        <v>8</v>
      </c>
      <c r="M305">
        <v>49</v>
      </c>
      <c r="N305">
        <v>47</v>
      </c>
      <c r="O305">
        <v>29745045.045045044</v>
      </c>
      <c r="P305">
        <v>33598378.378378376</v>
      </c>
      <c r="Q305">
        <v>21</v>
      </c>
      <c r="R305">
        <v>13</v>
      </c>
      <c r="S305">
        <v>45931171.171171166</v>
      </c>
      <c r="T305">
        <v>46501099.0990991</v>
      </c>
      <c r="U305">
        <v>27665855.855855856</v>
      </c>
      <c r="V305">
        <v>31521801.801801801</v>
      </c>
      <c r="W305">
        <v>3332</v>
      </c>
      <c r="X305">
        <v>3267</v>
      </c>
    </row>
    <row r="306" spans="1:24">
      <c r="A306" s="7" t="s">
        <v>401</v>
      </c>
      <c r="B306" s="16" t="s">
        <v>121</v>
      </c>
      <c r="C306">
        <v>45546407.144693948</v>
      </c>
      <c r="D306">
        <v>39730292.022738449</v>
      </c>
      <c r="E306">
        <v>2702.7027027029999</v>
      </c>
      <c r="F306">
        <v>400900.900900901</v>
      </c>
      <c r="G306">
        <v>27</v>
      </c>
      <c r="H306">
        <v>16</v>
      </c>
      <c r="I306">
        <v>0</v>
      </c>
      <c r="J306">
        <v>1</v>
      </c>
      <c r="M306">
        <v>32</v>
      </c>
      <c r="N306">
        <v>22</v>
      </c>
      <c r="O306">
        <v>56756.756756757</v>
      </c>
      <c r="P306">
        <v>2202702.702702703</v>
      </c>
      <c r="Q306">
        <v>7</v>
      </c>
      <c r="R306">
        <v>2</v>
      </c>
      <c r="S306">
        <v>3310180.1801801799</v>
      </c>
      <c r="T306">
        <v>3830191.441441441</v>
      </c>
      <c r="U306">
        <v>1312252.2522522521</v>
      </c>
      <c r="V306">
        <v>985495.49549549504</v>
      </c>
      <c r="W306">
        <v>1057</v>
      </c>
      <c r="X306">
        <v>1074</v>
      </c>
    </row>
    <row r="307" spans="1:24">
      <c r="A307" s="7" t="s">
        <v>402</v>
      </c>
      <c r="B307" s="16" t="s">
        <v>290</v>
      </c>
      <c r="C307">
        <v>85463134.187783599</v>
      </c>
      <c r="D307">
        <v>62229321.928997867</v>
      </c>
      <c r="E307">
        <v>73873.873873874996</v>
      </c>
      <c r="F307">
        <v>412162.16216216399</v>
      </c>
      <c r="G307">
        <v>55</v>
      </c>
      <c r="H307">
        <v>13</v>
      </c>
      <c r="I307">
        <v>5</v>
      </c>
      <c r="J307">
        <v>2</v>
      </c>
      <c r="M307">
        <v>60</v>
      </c>
      <c r="N307">
        <v>16</v>
      </c>
      <c r="O307">
        <v>4938738.7387387389</v>
      </c>
      <c r="P307">
        <v>3318018.0180180189</v>
      </c>
      <c r="Q307">
        <v>98</v>
      </c>
      <c r="R307">
        <v>48</v>
      </c>
      <c r="S307">
        <v>10568288.288288288</v>
      </c>
      <c r="T307">
        <v>8351702.702702703</v>
      </c>
      <c r="U307">
        <v>4792702.702702703</v>
      </c>
      <c r="V307">
        <v>3352252.2522522518</v>
      </c>
      <c r="W307">
        <v>1714</v>
      </c>
      <c r="X307">
        <v>1695</v>
      </c>
    </row>
    <row r="308" spans="1:24">
      <c r="A308" s="7" t="s">
        <v>403</v>
      </c>
      <c r="B308" s="16" t="s">
        <v>121</v>
      </c>
      <c r="C308">
        <v>74851606.220362052</v>
      </c>
      <c r="D308">
        <v>70870806.749075845</v>
      </c>
      <c r="F308">
        <v>55630.630630631</v>
      </c>
      <c r="G308">
        <v>12</v>
      </c>
      <c r="H308">
        <v>11</v>
      </c>
      <c r="I308">
        <v>0</v>
      </c>
      <c r="J308">
        <v>0</v>
      </c>
      <c r="M308">
        <v>13</v>
      </c>
      <c r="N308">
        <v>14</v>
      </c>
      <c r="O308">
        <v>162162.16216216201</v>
      </c>
      <c r="P308">
        <v>58558.558558559002</v>
      </c>
      <c r="Q308">
        <v>20</v>
      </c>
      <c r="S308">
        <v>6111261.2612612611</v>
      </c>
      <c r="T308">
        <v>5457243.2432432426</v>
      </c>
      <c r="U308">
        <v>198198.19819819799</v>
      </c>
      <c r="W308">
        <v>1085</v>
      </c>
      <c r="X308">
        <v>1025</v>
      </c>
    </row>
    <row r="309" spans="1:24">
      <c r="A309" s="7" t="s">
        <v>404</v>
      </c>
      <c r="B309" s="16" t="s">
        <v>368</v>
      </c>
      <c r="C309">
        <v>179669141.37333801</v>
      </c>
      <c r="D309">
        <v>155121620.26519975</v>
      </c>
      <c r="E309">
        <v>103966317.11711712</v>
      </c>
      <c r="F309">
        <v>88869566.666666672</v>
      </c>
      <c r="G309">
        <v>44</v>
      </c>
      <c r="H309">
        <v>99</v>
      </c>
      <c r="I309">
        <v>8</v>
      </c>
      <c r="J309">
        <v>12</v>
      </c>
      <c r="K309">
        <v>1</v>
      </c>
      <c r="M309">
        <v>52</v>
      </c>
      <c r="N309">
        <v>166</v>
      </c>
      <c r="O309">
        <v>32765765.765765764</v>
      </c>
      <c r="P309">
        <v>34821621.621621624</v>
      </c>
      <c r="Q309">
        <v>285</v>
      </c>
      <c r="R309">
        <v>140</v>
      </c>
      <c r="S309">
        <v>55313130.630630635</v>
      </c>
      <c r="T309">
        <v>56884234.234234229</v>
      </c>
      <c r="U309">
        <v>28384594.59459459</v>
      </c>
      <c r="V309">
        <v>27572882.882882886</v>
      </c>
      <c r="W309">
        <v>4270</v>
      </c>
      <c r="X309">
        <v>4127</v>
      </c>
    </row>
    <row r="310" spans="1:24">
      <c r="A310" s="7" t="s">
        <v>405</v>
      </c>
      <c r="B310" s="16" t="s">
        <v>140</v>
      </c>
      <c r="C310">
        <v>72929819.106794804</v>
      </c>
      <c r="D310">
        <v>75704566.281037822</v>
      </c>
      <c r="E310">
        <v>16666.666666666999</v>
      </c>
      <c r="F310">
        <v>242117.11711711599</v>
      </c>
      <c r="G310">
        <v>5</v>
      </c>
      <c r="H310">
        <v>17</v>
      </c>
      <c r="I310">
        <v>0</v>
      </c>
      <c r="J310">
        <v>1</v>
      </c>
      <c r="M310">
        <v>6</v>
      </c>
      <c r="N310">
        <v>20</v>
      </c>
      <c r="O310">
        <v>11110360.36036036</v>
      </c>
      <c r="P310">
        <v>8982342.3423423432</v>
      </c>
      <c r="Q310">
        <v>15</v>
      </c>
      <c r="R310">
        <v>16</v>
      </c>
      <c r="S310">
        <v>19675990.990990993</v>
      </c>
      <c r="T310">
        <v>20690800</v>
      </c>
      <c r="U310">
        <v>10578558.558558561</v>
      </c>
      <c r="V310">
        <v>10286666.666666668</v>
      </c>
      <c r="W310">
        <v>1397</v>
      </c>
      <c r="X310">
        <v>1409</v>
      </c>
    </row>
    <row r="311" spans="1:24">
      <c r="A311" s="7" t="s">
        <v>406</v>
      </c>
      <c r="B311" s="16" t="s">
        <v>54</v>
      </c>
      <c r="C311">
        <v>109950432.28031404</v>
      </c>
      <c r="D311">
        <v>104933137.19012739</v>
      </c>
      <c r="E311">
        <v>681216.21621621703</v>
      </c>
      <c r="F311">
        <v>2184684.6846846859</v>
      </c>
      <c r="G311">
        <v>4</v>
      </c>
      <c r="H311">
        <v>73</v>
      </c>
      <c r="I311">
        <v>2</v>
      </c>
      <c r="J311">
        <v>8</v>
      </c>
      <c r="M311">
        <v>4</v>
      </c>
      <c r="N311">
        <v>192</v>
      </c>
      <c r="O311">
        <v>7734414.4144144142</v>
      </c>
      <c r="P311">
        <v>9973333.333333334</v>
      </c>
      <c r="Q311">
        <v>85</v>
      </c>
      <c r="R311">
        <v>38</v>
      </c>
      <c r="S311">
        <v>23258018.018018018</v>
      </c>
      <c r="T311">
        <v>24262738.738738734</v>
      </c>
      <c r="U311">
        <v>7783063.0630630637</v>
      </c>
      <c r="V311">
        <v>10959819.819819817</v>
      </c>
      <c r="W311">
        <v>2193</v>
      </c>
      <c r="X311">
        <v>2252</v>
      </c>
    </row>
    <row r="312" spans="1:24">
      <c r="A312" s="7" t="s">
        <v>407</v>
      </c>
      <c r="B312" s="16" t="s">
        <v>134</v>
      </c>
      <c r="C312">
        <v>44254086.239131063</v>
      </c>
      <c r="D312">
        <v>47310284.242642887</v>
      </c>
      <c r="E312">
        <v>20720.720720721001</v>
      </c>
      <c r="F312">
        <v>27027.027027027001</v>
      </c>
      <c r="G312">
        <v>11</v>
      </c>
      <c r="H312">
        <v>6</v>
      </c>
      <c r="I312">
        <v>2</v>
      </c>
      <c r="J312">
        <v>1</v>
      </c>
      <c r="M312">
        <v>12</v>
      </c>
      <c r="N312">
        <v>6</v>
      </c>
      <c r="O312">
        <v>1831531.5315315321</v>
      </c>
      <c r="P312">
        <v>1594594.5945945941</v>
      </c>
      <c r="Q312">
        <v>1</v>
      </c>
      <c r="S312">
        <v>5157117.1171171172</v>
      </c>
      <c r="T312">
        <v>4317315.3153153146</v>
      </c>
      <c r="U312">
        <v>1846126.126126125</v>
      </c>
      <c r="V312">
        <v>1279189.1891891879</v>
      </c>
      <c r="W312">
        <v>998</v>
      </c>
      <c r="X312">
        <v>858</v>
      </c>
    </row>
    <row r="313" spans="1:24">
      <c r="A313" s="7" t="s">
        <v>408</v>
      </c>
      <c r="B313" s="16" t="s">
        <v>290</v>
      </c>
      <c r="C313">
        <v>30133524.634350762</v>
      </c>
      <c r="D313">
        <v>26009708.207728177</v>
      </c>
      <c r="E313">
        <v>116216.21621621599</v>
      </c>
      <c r="F313">
        <v>361261.261261262</v>
      </c>
      <c r="G313">
        <v>20</v>
      </c>
      <c r="H313">
        <v>9</v>
      </c>
      <c r="I313">
        <v>3</v>
      </c>
      <c r="J313">
        <v>3</v>
      </c>
      <c r="M313">
        <v>23</v>
      </c>
      <c r="N313">
        <v>10</v>
      </c>
      <c r="O313">
        <v>4647747.7477477482</v>
      </c>
      <c r="P313">
        <v>5120720.7207207214</v>
      </c>
      <c r="Q313">
        <v>14</v>
      </c>
      <c r="R313">
        <v>46</v>
      </c>
      <c r="S313">
        <v>6327648.6486486495</v>
      </c>
      <c r="T313">
        <v>5061576.5765765766</v>
      </c>
      <c r="U313">
        <v>2653873.8738738741</v>
      </c>
      <c r="V313">
        <v>2957297.297297297</v>
      </c>
      <c r="W313">
        <v>881</v>
      </c>
      <c r="X313">
        <v>907</v>
      </c>
    </row>
    <row r="314" spans="1:24">
      <c r="A314" s="7" t="s">
        <v>409</v>
      </c>
      <c r="B314" s="16" t="s">
        <v>178</v>
      </c>
      <c r="C314">
        <v>510453520.40820634</v>
      </c>
      <c r="D314">
        <v>472221721.75762928</v>
      </c>
      <c r="E314">
        <v>2735360.3603603621</v>
      </c>
      <c r="F314">
        <v>2422522.5225225259</v>
      </c>
      <c r="G314">
        <v>152</v>
      </c>
      <c r="H314">
        <v>99</v>
      </c>
      <c r="I314">
        <v>5</v>
      </c>
      <c r="J314">
        <v>8</v>
      </c>
      <c r="M314">
        <v>175</v>
      </c>
      <c r="N314">
        <v>299</v>
      </c>
      <c r="O314">
        <v>43251801.801801801</v>
      </c>
      <c r="P314">
        <v>53440621.621621624</v>
      </c>
      <c r="Q314">
        <v>11</v>
      </c>
      <c r="R314">
        <v>54</v>
      </c>
      <c r="S314">
        <v>163096205.4054054</v>
      </c>
      <c r="T314">
        <v>162756590.09009007</v>
      </c>
      <c r="U314">
        <v>40138018.018018015</v>
      </c>
      <c r="V314">
        <v>49472252.252252258</v>
      </c>
      <c r="W314">
        <v>9527</v>
      </c>
      <c r="X314">
        <v>9381</v>
      </c>
    </row>
    <row r="315" spans="1:24">
      <c r="A315" s="7" t="s">
        <v>666</v>
      </c>
      <c r="B315" s="16" t="s">
        <v>87</v>
      </c>
      <c r="W315">
        <v>1</v>
      </c>
    </row>
    <row r="316" spans="1:24">
      <c r="A316" s="7" t="s">
        <v>410</v>
      </c>
      <c r="B316" s="16" t="s">
        <v>54</v>
      </c>
      <c r="C316">
        <v>867106554.10379255</v>
      </c>
      <c r="D316">
        <v>861478777.24404383</v>
      </c>
      <c r="E316">
        <v>63883917.117117122</v>
      </c>
      <c r="F316">
        <v>116843908.10810812</v>
      </c>
      <c r="G316">
        <v>221</v>
      </c>
      <c r="H316">
        <v>288</v>
      </c>
      <c r="I316">
        <v>38</v>
      </c>
      <c r="J316">
        <v>37</v>
      </c>
      <c r="K316">
        <v>4</v>
      </c>
      <c r="M316">
        <v>250</v>
      </c>
      <c r="N316">
        <v>418</v>
      </c>
      <c r="O316">
        <v>62657477.477477483</v>
      </c>
      <c r="P316">
        <v>65897747.747747749</v>
      </c>
      <c r="Q316">
        <v>568</v>
      </c>
      <c r="R316">
        <v>272</v>
      </c>
      <c r="S316">
        <v>169620070.27027026</v>
      </c>
      <c r="T316">
        <v>178772198.1981982</v>
      </c>
      <c r="U316">
        <v>57327070.270270266</v>
      </c>
      <c r="V316">
        <v>58729819.819819823</v>
      </c>
      <c r="W316">
        <v>19695</v>
      </c>
      <c r="X316">
        <v>18476</v>
      </c>
    </row>
    <row r="317" spans="1:24">
      <c r="A317" s="7" t="s">
        <v>411</v>
      </c>
      <c r="B317" s="16" t="s">
        <v>224</v>
      </c>
      <c r="C317">
        <v>527999869.47981268</v>
      </c>
      <c r="D317">
        <v>439863627.90501088</v>
      </c>
      <c r="E317">
        <v>912972.972972975</v>
      </c>
      <c r="F317">
        <v>1875675.6756756799</v>
      </c>
      <c r="G317">
        <v>174</v>
      </c>
      <c r="H317">
        <v>162</v>
      </c>
      <c r="I317">
        <v>9</v>
      </c>
      <c r="J317">
        <v>6</v>
      </c>
      <c r="M317">
        <v>200</v>
      </c>
      <c r="N317">
        <v>181</v>
      </c>
      <c r="O317">
        <v>57056756.75675676</v>
      </c>
      <c r="P317">
        <v>49681801.801801808</v>
      </c>
      <c r="Q317">
        <v>131</v>
      </c>
      <c r="R317">
        <v>182</v>
      </c>
      <c r="S317">
        <v>137903254.95495495</v>
      </c>
      <c r="T317">
        <v>126941050.45045045</v>
      </c>
      <c r="U317">
        <v>54355585.585585587</v>
      </c>
      <c r="V317">
        <v>52086800</v>
      </c>
      <c r="W317">
        <v>13794</v>
      </c>
      <c r="X317">
        <v>13476</v>
      </c>
    </row>
    <row r="318" spans="1:24">
      <c r="A318" s="7" t="s">
        <v>412</v>
      </c>
      <c r="B318" s="16" t="s">
        <v>413</v>
      </c>
      <c r="C318">
        <v>169786985.52791193</v>
      </c>
      <c r="D318">
        <v>173460996.93193397</v>
      </c>
      <c r="E318">
        <v>137837.83783783799</v>
      </c>
      <c r="F318">
        <v>558108.10810811096</v>
      </c>
      <c r="G318">
        <v>57</v>
      </c>
      <c r="H318">
        <v>12</v>
      </c>
      <c r="I318">
        <v>1</v>
      </c>
      <c r="J318">
        <v>4</v>
      </c>
      <c r="M318">
        <v>66</v>
      </c>
      <c r="N318">
        <v>16</v>
      </c>
      <c r="O318">
        <v>4984684.6846846836</v>
      </c>
      <c r="P318">
        <v>3576576.5765765798</v>
      </c>
      <c r="Q318">
        <v>32</v>
      </c>
      <c r="R318">
        <v>39</v>
      </c>
      <c r="S318">
        <v>74056081.081081092</v>
      </c>
      <c r="T318">
        <v>70276270.270270273</v>
      </c>
      <c r="U318">
        <v>3976216.2162162159</v>
      </c>
      <c r="V318">
        <v>3779819.8198198192</v>
      </c>
      <c r="W318">
        <v>3970</v>
      </c>
      <c r="X318">
        <v>4094</v>
      </c>
    </row>
    <row r="319" spans="1:24">
      <c r="A319" s="7" t="s">
        <v>414</v>
      </c>
      <c r="B319" s="16" t="s">
        <v>214</v>
      </c>
      <c r="C319">
        <v>1034199425.6041912</v>
      </c>
      <c r="D319">
        <v>1119807670.0241671</v>
      </c>
      <c r="E319">
        <v>546789577.47747755</v>
      </c>
      <c r="F319">
        <v>612676914.41441441</v>
      </c>
      <c r="G319">
        <v>467</v>
      </c>
      <c r="H319">
        <v>984</v>
      </c>
      <c r="I319">
        <v>24</v>
      </c>
      <c r="J319">
        <v>26</v>
      </c>
      <c r="M319">
        <v>542</v>
      </c>
      <c r="N319">
        <v>1261</v>
      </c>
      <c r="O319">
        <v>137429108.1081081</v>
      </c>
      <c r="P319">
        <v>159208963.96396396</v>
      </c>
      <c r="Q319">
        <v>340</v>
      </c>
      <c r="R319">
        <v>427</v>
      </c>
      <c r="S319">
        <v>442226113.51351357</v>
      </c>
      <c r="T319">
        <v>502935732.43243247</v>
      </c>
      <c r="U319">
        <v>131197567.56756757</v>
      </c>
      <c r="V319">
        <v>148568198.1981982</v>
      </c>
      <c r="W319">
        <v>23953</v>
      </c>
      <c r="X319">
        <v>23903</v>
      </c>
    </row>
    <row r="320" spans="1:24">
      <c r="A320" s="7" t="s">
        <v>415</v>
      </c>
      <c r="B320" s="16" t="s">
        <v>413</v>
      </c>
      <c r="C320">
        <v>99131089.52554813</v>
      </c>
      <c r="D320">
        <v>96287244.514467165</v>
      </c>
      <c r="E320">
        <v>311711.711711713</v>
      </c>
      <c r="F320">
        <v>735585.58558558696</v>
      </c>
      <c r="G320">
        <v>32</v>
      </c>
      <c r="H320">
        <v>27</v>
      </c>
      <c r="I320">
        <v>3</v>
      </c>
      <c r="J320">
        <v>3</v>
      </c>
      <c r="M320">
        <v>35</v>
      </c>
      <c r="N320">
        <v>33</v>
      </c>
      <c r="O320">
        <v>23240171.171171173</v>
      </c>
      <c r="P320">
        <v>17908326.126126125</v>
      </c>
      <c r="Q320">
        <v>57</v>
      </c>
      <c r="R320">
        <v>32</v>
      </c>
      <c r="S320">
        <v>32060810.810810808</v>
      </c>
      <c r="T320">
        <v>36283722.972972974</v>
      </c>
      <c r="U320">
        <v>14783873.873873875</v>
      </c>
      <c r="V320">
        <v>13659549.549549548</v>
      </c>
      <c r="W320">
        <v>2971</v>
      </c>
      <c r="X320">
        <v>2976</v>
      </c>
    </row>
    <row r="321" spans="1:24">
      <c r="A321" s="7" t="s">
        <v>416</v>
      </c>
      <c r="B321" s="16" t="s">
        <v>236</v>
      </c>
      <c r="C321">
        <v>741371861.26780498</v>
      </c>
      <c r="D321">
        <v>693691406.41133642</v>
      </c>
      <c r="E321">
        <v>630180.18018018303</v>
      </c>
      <c r="F321">
        <v>2945045.0450450471</v>
      </c>
      <c r="G321">
        <v>265</v>
      </c>
      <c r="H321">
        <v>144</v>
      </c>
      <c r="I321">
        <v>17</v>
      </c>
      <c r="J321">
        <v>19</v>
      </c>
      <c r="K321">
        <v>4</v>
      </c>
      <c r="M321">
        <v>307</v>
      </c>
      <c r="N321">
        <v>369</v>
      </c>
      <c r="O321">
        <v>112964144.14414415</v>
      </c>
      <c r="P321">
        <v>90686756.756756753</v>
      </c>
      <c r="Q321">
        <v>189</v>
      </c>
      <c r="R321">
        <v>75</v>
      </c>
      <c r="S321">
        <v>169759036.03603604</v>
      </c>
      <c r="T321">
        <v>162803252.25225225</v>
      </c>
      <c r="U321">
        <v>98039549.54954955</v>
      </c>
      <c r="V321">
        <v>89549549.54954955</v>
      </c>
      <c r="W321">
        <v>10806</v>
      </c>
      <c r="X321">
        <v>10732</v>
      </c>
    </row>
    <row r="322" spans="1:24">
      <c r="A322" s="7" t="s">
        <v>417</v>
      </c>
      <c r="B322" s="16" t="s">
        <v>117</v>
      </c>
      <c r="C322">
        <v>709326689.56669438</v>
      </c>
      <c r="D322">
        <v>673228102.37778378</v>
      </c>
      <c r="E322">
        <v>824966933.33333337</v>
      </c>
      <c r="F322">
        <v>645859321.62162161</v>
      </c>
      <c r="G322">
        <v>542</v>
      </c>
      <c r="H322">
        <v>489</v>
      </c>
      <c r="I322">
        <v>58</v>
      </c>
      <c r="J322">
        <v>58</v>
      </c>
      <c r="K322">
        <v>8</v>
      </c>
      <c r="M322">
        <v>785</v>
      </c>
      <c r="N322">
        <v>878</v>
      </c>
      <c r="O322">
        <v>145133762.16216218</v>
      </c>
      <c r="P322">
        <v>163801951.35135135</v>
      </c>
      <c r="Q322">
        <v>527</v>
      </c>
      <c r="R322">
        <v>352</v>
      </c>
      <c r="S322">
        <v>307860621.62162161</v>
      </c>
      <c r="T322">
        <v>307274390.0900901</v>
      </c>
      <c r="U322">
        <v>141997567.56756756</v>
      </c>
      <c r="V322">
        <v>162111981.98198199</v>
      </c>
      <c r="W322">
        <v>17868</v>
      </c>
      <c r="X322">
        <v>16913</v>
      </c>
    </row>
    <row r="323" spans="1:24">
      <c r="A323" s="7" t="s">
        <v>418</v>
      </c>
      <c r="B323" s="16" t="s">
        <v>147</v>
      </c>
      <c r="C323">
        <v>18793343.619382121</v>
      </c>
      <c r="D323">
        <v>16090882.235832052</v>
      </c>
      <c r="G323">
        <v>4</v>
      </c>
      <c r="H323">
        <v>3</v>
      </c>
      <c r="M323">
        <v>4</v>
      </c>
      <c r="N323">
        <v>3</v>
      </c>
      <c r="S323">
        <v>6444414.4144144142</v>
      </c>
      <c r="T323">
        <v>5740621.6216216208</v>
      </c>
      <c r="W323">
        <v>494</v>
      </c>
      <c r="X323">
        <v>489</v>
      </c>
    </row>
    <row r="324" spans="1:24">
      <c r="A324" s="7" t="s">
        <v>419</v>
      </c>
      <c r="B324" s="16" t="s">
        <v>304</v>
      </c>
      <c r="C324">
        <v>145439007.1668871</v>
      </c>
      <c r="D324">
        <v>146023893.6975458</v>
      </c>
      <c r="E324">
        <v>959909.90990991297</v>
      </c>
      <c r="F324">
        <v>4176801.8018017998</v>
      </c>
      <c r="G324">
        <v>74</v>
      </c>
      <c r="H324">
        <v>80</v>
      </c>
      <c r="I324">
        <v>16</v>
      </c>
      <c r="J324">
        <v>32</v>
      </c>
      <c r="M324">
        <v>83</v>
      </c>
      <c r="N324">
        <v>116</v>
      </c>
      <c r="O324">
        <v>25211711.711711712</v>
      </c>
      <c r="P324">
        <v>27700000</v>
      </c>
      <c r="Q324">
        <v>208</v>
      </c>
      <c r="R324">
        <v>169</v>
      </c>
      <c r="S324">
        <v>29616036.036036037</v>
      </c>
      <c r="T324">
        <v>31927980.180180181</v>
      </c>
      <c r="U324">
        <v>30124954.954954952</v>
      </c>
      <c r="V324">
        <v>24392072.072072074</v>
      </c>
      <c r="W324">
        <v>2469</v>
      </c>
      <c r="X324">
        <v>2362</v>
      </c>
    </row>
    <row r="325" spans="1:24">
      <c r="A325" s="7" t="s">
        <v>420</v>
      </c>
      <c r="B325" s="16" t="s">
        <v>304</v>
      </c>
      <c r="C325">
        <v>172136856.02407265</v>
      </c>
      <c r="D325">
        <v>166260989.75062972</v>
      </c>
      <c r="E325">
        <v>1521396.3963963981</v>
      </c>
      <c r="F325">
        <v>6711486.4864864852</v>
      </c>
      <c r="G325">
        <v>179</v>
      </c>
      <c r="H325">
        <v>113</v>
      </c>
      <c r="I325">
        <v>13</v>
      </c>
      <c r="J325">
        <v>52</v>
      </c>
      <c r="K325">
        <v>11</v>
      </c>
      <c r="M325">
        <v>216</v>
      </c>
      <c r="N325">
        <v>908</v>
      </c>
      <c r="O325">
        <v>24196396.396396391</v>
      </c>
      <c r="P325">
        <v>33363963.963963959</v>
      </c>
      <c r="Q325">
        <v>518</v>
      </c>
      <c r="R325">
        <v>303</v>
      </c>
      <c r="S325">
        <v>39352358.558558561</v>
      </c>
      <c r="T325">
        <v>54897971.171171166</v>
      </c>
      <c r="U325">
        <v>29386486.486486487</v>
      </c>
      <c r="V325">
        <v>24544684.684684679</v>
      </c>
      <c r="W325">
        <v>3105</v>
      </c>
      <c r="X325">
        <v>3099</v>
      </c>
    </row>
    <row r="326" spans="1:24">
      <c r="A326" s="7" t="s">
        <v>421</v>
      </c>
      <c r="B326" s="16" t="s">
        <v>121</v>
      </c>
      <c r="C326">
        <v>12481433.256072124</v>
      </c>
      <c r="D326">
        <v>6581834.896094285</v>
      </c>
      <c r="E326">
        <v>12612.612612613</v>
      </c>
      <c r="F326">
        <v>42342.342342342999</v>
      </c>
      <c r="G326">
        <v>2</v>
      </c>
      <c r="H326">
        <v>4</v>
      </c>
      <c r="I326">
        <v>0</v>
      </c>
      <c r="J326">
        <v>0</v>
      </c>
      <c r="M326">
        <v>3</v>
      </c>
      <c r="N326">
        <v>4</v>
      </c>
      <c r="O326">
        <v>1418018.018018018</v>
      </c>
      <c r="P326">
        <v>42342.342342342999</v>
      </c>
      <c r="Q326">
        <v>26</v>
      </c>
      <c r="S326">
        <v>1401396.396396396</v>
      </c>
      <c r="T326">
        <v>653639.63963963999</v>
      </c>
      <c r="U326">
        <v>1412612.612612613</v>
      </c>
      <c r="V326">
        <v>169369.369369369</v>
      </c>
      <c r="W326">
        <v>256</v>
      </c>
      <c r="X326">
        <v>320</v>
      </c>
    </row>
    <row r="327" spans="1:24">
      <c r="A327" s="7" t="s">
        <v>422</v>
      </c>
      <c r="B327" s="16" t="s">
        <v>60</v>
      </c>
      <c r="C327">
        <v>85525571.203616589</v>
      </c>
      <c r="D327">
        <v>86318315.180004701</v>
      </c>
      <c r="E327">
        <v>36309009.009009011</v>
      </c>
      <c r="F327">
        <v>30396396.396396395</v>
      </c>
      <c r="G327">
        <v>38</v>
      </c>
      <c r="H327">
        <v>40</v>
      </c>
      <c r="I327">
        <v>4</v>
      </c>
      <c r="J327">
        <v>8</v>
      </c>
      <c r="M327">
        <v>40</v>
      </c>
      <c r="N327">
        <v>49</v>
      </c>
      <c r="O327">
        <v>19394594.59459459</v>
      </c>
      <c r="P327">
        <v>22380180.180180181</v>
      </c>
      <c r="Q327">
        <v>66</v>
      </c>
      <c r="R327">
        <v>38</v>
      </c>
      <c r="S327">
        <v>28384639.639639638</v>
      </c>
      <c r="T327">
        <v>30297441.441441439</v>
      </c>
      <c r="U327">
        <v>15224414.414414413</v>
      </c>
      <c r="V327">
        <v>22393603.603603605</v>
      </c>
      <c r="W327">
        <v>2035</v>
      </c>
      <c r="X327">
        <v>2064</v>
      </c>
    </row>
    <row r="328" spans="1:24">
      <c r="A328" s="7" t="s">
        <v>423</v>
      </c>
      <c r="B328" s="16" t="s">
        <v>181</v>
      </c>
      <c r="C328">
        <v>885523872.92605317</v>
      </c>
      <c r="D328">
        <v>852560790.13944077</v>
      </c>
      <c r="E328">
        <v>2606306.3063063109</v>
      </c>
      <c r="F328">
        <v>8952252.2522522621</v>
      </c>
      <c r="G328">
        <v>571</v>
      </c>
      <c r="H328">
        <v>321</v>
      </c>
      <c r="I328">
        <v>59</v>
      </c>
      <c r="J328">
        <v>47</v>
      </c>
      <c r="K328">
        <v>15</v>
      </c>
      <c r="M328">
        <v>682</v>
      </c>
      <c r="N328">
        <v>420</v>
      </c>
      <c r="O328">
        <v>97432342.342342332</v>
      </c>
      <c r="P328">
        <v>134540990.990991</v>
      </c>
      <c r="Q328">
        <v>974</v>
      </c>
      <c r="R328">
        <v>1377</v>
      </c>
      <c r="S328">
        <v>243599072.07207206</v>
      </c>
      <c r="T328">
        <v>247527699.0990991</v>
      </c>
      <c r="U328">
        <v>102603873.87387387</v>
      </c>
      <c r="V328">
        <v>130893963.96396396</v>
      </c>
      <c r="W328">
        <v>22185</v>
      </c>
      <c r="X328">
        <v>21921</v>
      </c>
    </row>
    <row r="329" spans="1:24">
      <c r="A329" s="7" t="s">
        <v>424</v>
      </c>
      <c r="B329" s="16" t="s">
        <v>76</v>
      </c>
      <c r="C329">
        <v>37739683.762373306</v>
      </c>
      <c r="D329">
        <v>26849826.417820942</v>
      </c>
      <c r="E329">
        <v>3603.603603604</v>
      </c>
      <c r="F329">
        <v>54054.054054054999</v>
      </c>
      <c r="G329">
        <v>8</v>
      </c>
      <c r="H329">
        <v>4</v>
      </c>
      <c r="I329">
        <v>2</v>
      </c>
      <c r="J329">
        <v>1</v>
      </c>
      <c r="M329">
        <v>8</v>
      </c>
      <c r="N329">
        <v>5</v>
      </c>
      <c r="O329">
        <v>3066666.666666667</v>
      </c>
      <c r="P329">
        <v>1972972.972972973</v>
      </c>
      <c r="R329">
        <v>4</v>
      </c>
      <c r="S329">
        <v>3129315.315315315</v>
      </c>
      <c r="T329">
        <v>2628306.3063063058</v>
      </c>
      <c r="U329">
        <v>2894054.054054053</v>
      </c>
      <c r="V329">
        <v>2106486.4864864862</v>
      </c>
      <c r="W329">
        <v>935</v>
      </c>
      <c r="X329">
        <v>940</v>
      </c>
    </row>
    <row r="330" spans="1:24">
      <c r="A330" s="7" t="s">
        <v>425</v>
      </c>
      <c r="B330" s="16" t="s">
        <v>76</v>
      </c>
      <c r="C330">
        <v>103108145.21840148</v>
      </c>
      <c r="D330">
        <v>98531157.231729865</v>
      </c>
      <c r="E330">
        <v>146846.846846848</v>
      </c>
      <c r="F330">
        <v>145045.04504504599</v>
      </c>
      <c r="G330">
        <v>29</v>
      </c>
      <c r="H330">
        <v>21</v>
      </c>
      <c r="I330">
        <v>1</v>
      </c>
      <c r="J330">
        <v>2</v>
      </c>
      <c r="M330">
        <v>33</v>
      </c>
      <c r="N330">
        <v>24</v>
      </c>
      <c r="O330">
        <v>10533333.333333336</v>
      </c>
      <c r="P330">
        <v>12230720.72072072</v>
      </c>
      <c r="Q330">
        <v>20</v>
      </c>
      <c r="R330">
        <v>30</v>
      </c>
      <c r="S330">
        <v>23206846.846846849</v>
      </c>
      <c r="T330">
        <v>21565243.243243244</v>
      </c>
      <c r="U330">
        <v>8017837.8378378376</v>
      </c>
      <c r="V330">
        <v>8987387.3873873856</v>
      </c>
      <c r="W330">
        <v>1426</v>
      </c>
      <c r="X330">
        <v>8020</v>
      </c>
    </row>
    <row r="331" spans="1:24">
      <c r="A331" s="7" t="s">
        <v>426</v>
      </c>
      <c r="B331" s="16" t="s">
        <v>330</v>
      </c>
      <c r="C331">
        <v>490007057.02077103</v>
      </c>
      <c r="D331">
        <v>521129605.71514201</v>
      </c>
      <c r="E331">
        <v>1467972.972972976</v>
      </c>
      <c r="F331">
        <v>4195270.270270274</v>
      </c>
      <c r="G331">
        <v>169</v>
      </c>
      <c r="H331">
        <v>178</v>
      </c>
      <c r="I331">
        <v>20</v>
      </c>
      <c r="J331">
        <v>22</v>
      </c>
      <c r="K331">
        <v>1</v>
      </c>
      <c r="M331">
        <v>199</v>
      </c>
      <c r="N331">
        <v>217</v>
      </c>
      <c r="O331">
        <v>14983153.153153149</v>
      </c>
      <c r="P331">
        <v>29666126.126126129</v>
      </c>
      <c r="Q331">
        <v>68</v>
      </c>
      <c r="R331">
        <v>150</v>
      </c>
      <c r="S331">
        <v>83176403.603603601</v>
      </c>
      <c r="T331">
        <v>144536128.37837836</v>
      </c>
      <c r="U331">
        <v>16708108.108108109</v>
      </c>
      <c r="V331">
        <v>25284954.954954952</v>
      </c>
      <c r="W331">
        <v>11485</v>
      </c>
      <c r="X331">
        <v>11862</v>
      </c>
    </row>
    <row r="332" spans="1:24">
      <c r="A332" s="7" t="s">
        <v>427</v>
      </c>
      <c r="B332" s="16" t="s">
        <v>241</v>
      </c>
      <c r="C332">
        <v>130848403.87245357</v>
      </c>
      <c r="D332">
        <v>131623657.08219962</v>
      </c>
      <c r="E332">
        <v>1392792.7927927941</v>
      </c>
      <c r="F332">
        <v>925225.22522522602</v>
      </c>
      <c r="G332">
        <v>57</v>
      </c>
      <c r="H332">
        <v>47</v>
      </c>
      <c r="I332">
        <v>3</v>
      </c>
      <c r="J332">
        <v>4</v>
      </c>
      <c r="K332">
        <v>1</v>
      </c>
      <c r="M332">
        <v>69</v>
      </c>
      <c r="N332">
        <v>52</v>
      </c>
      <c r="O332">
        <v>23680270.270270273</v>
      </c>
      <c r="P332">
        <v>16629999.999999998</v>
      </c>
      <c r="Q332">
        <v>60</v>
      </c>
      <c r="R332">
        <v>61</v>
      </c>
      <c r="S332">
        <v>50557306.306306303</v>
      </c>
      <c r="T332">
        <v>50769000</v>
      </c>
      <c r="U332">
        <v>23274594.59459459</v>
      </c>
      <c r="V332">
        <v>15980810.810810808</v>
      </c>
      <c r="W332">
        <v>5292</v>
      </c>
      <c r="X332">
        <v>5444</v>
      </c>
    </row>
    <row r="333" spans="1:24">
      <c r="A333" s="7" t="s">
        <v>428</v>
      </c>
      <c r="B333" s="16" t="s">
        <v>283</v>
      </c>
      <c r="C333">
        <v>55492941.891318098</v>
      </c>
      <c r="D333">
        <v>55088332.223873094</v>
      </c>
      <c r="E333">
        <v>52477.477477478002</v>
      </c>
      <c r="F333">
        <v>555855.85585585702</v>
      </c>
      <c r="G333">
        <v>19</v>
      </c>
      <c r="H333">
        <v>6</v>
      </c>
      <c r="I333">
        <v>2</v>
      </c>
      <c r="J333">
        <v>3</v>
      </c>
      <c r="M333">
        <v>20</v>
      </c>
      <c r="N333">
        <v>36</v>
      </c>
      <c r="O333">
        <v>4026126.1261261269</v>
      </c>
      <c r="P333">
        <v>25180720.72072072</v>
      </c>
      <c r="R333">
        <v>48</v>
      </c>
      <c r="S333">
        <v>9509279.2792792805</v>
      </c>
      <c r="T333">
        <v>10440747.747747747</v>
      </c>
      <c r="U333">
        <v>3012522.5225225221</v>
      </c>
      <c r="V333">
        <v>26639819.819819823</v>
      </c>
      <c r="W333">
        <v>765</v>
      </c>
      <c r="X333">
        <v>1171</v>
      </c>
    </row>
    <row r="334" spans="1:24">
      <c r="A334" s="7" t="s">
        <v>429</v>
      </c>
      <c r="B334" s="16" t="s">
        <v>283</v>
      </c>
      <c r="C334">
        <v>17772023.654560491</v>
      </c>
      <c r="D334">
        <v>17565476.897917055</v>
      </c>
      <c r="E334">
        <v>10810.810810810999</v>
      </c>
      <c r="F334">
        <v>207207.20720720699</v>
      </c>
      <c r="G334">
        <v>1</v>
      </c>
      <c r="M334">
        <v>2</v>
      </c>
      <c r="O334">
        <v>190990.99099099101</v>
      </c>
      <c r="P334">
        <v>3090090.090090089</v>
      </c>
      <c r="S334">
        <v>1722027.027027027</v>
      </c>
      <c r="T334">
        <v>1259495.4954954961</v>
      </c>
      <c r="U334">
        <v>163513.51351351399</v>
      </c>
      <c r="V334">
        <v>2885855.8558558552</v>
      </c>
      <c r="W334">
        <v>482</v>
      </c>
      <c r="X334">
        <v>556</v>
      </c>
    </row>
    <row r="335" spans="1:24">
      <c r="A335" s="7" t="s">
        <v>430</v>
      </c>
      <c r="B335" s="16" t="s">
        <v>283</v>
      </c>
      <c r="C335">
        <v>32550075.794853605</v>
      </c>
      <c r="D335">
        <v>37256327.724822365</v>
      </c>
      <c r="E335">
        <v>9009.0090090089998</v>
      </c>
      <c r="F335">
        <v>198198.19819819799</v>
      </c>
      <c r="G335">
        <v>5</v>
      </c>
      <c r="H335">
        <v>5</v>
      </c>
      <c r="I335">
        <v>0</v>
      </c>
      <c r="J335">
        <v>1</v>
      </c>
      <c r="M335">
        <v>5</v>
      </c>
      <c r="N335">
        <v>5</v>
      </c>
      <c r="O335">
        <v>9009.0090090089998</v>
      </c>
      <c r="P335">
        <v>288288.28828828799</v>
      </c>
      <c r="R335">
        <v>4</v>
      </c>
      <c r="S335">
        <v>2413873.8738738741</v>
      </c>
      <c r="T335">
        <v>3237297.297297298</v>
      </c>
      <c r="V335">
        <v>173423.423423423</v>
      </c>
      <c r="W335">
        <v>829</v>
      </c>
      <c r="X335">
        <v>755</v>
      </c>
    </row>
    <row r="336" spans="1:24">
      <c r="A336" s="7" t="s">
        <v>431</v>
      </c>
      <c r="B336" s="16" t="s">
        <v>78</v>
      </c>
      <c r="C336">
        <v>221398361.43564671</v>
      </c>
      <c r="D336">
        <v>220267096.38385615</v>
      </c>
      <c r="E336">
        <v>1628828.828828831</v>
      </c>
      <c r="F336">
        <v>3020720.7207207251</v>
      </c>
      <c r="G336">
        <v>47</v>
      </c>
      <c r="H336">
        <v>186</v>
      </c>
      <c r="I336">
        <v>3</v>
      </c>
      <c r="J336">
        <v>15</v>
      </c>
      <c r="M336">
        <v>58</v>
      </c>
      <c r="N336">
        <v>300</v>
      </c>
      <c r="O336">
        <v>17768468.468468469</v>
      </c>
      <c r="P336">
        <v>22863063.063063063</v>
      </c>
      <c r="Q336">
        <v>96</v>
      </c>
      <c r="R336">
        <v>406</v>
      </c>
      <c r="S336">
        <v>94457549.54954955</v>
      </c>
      <c r="T336">
        <v>97090225.225225225</v>
      </c>
      <c r="U336">
        <v>19959909.909909908</v>
      </c>
      <c r="V336">
        <v>23419459.459459461</v>
      </c>
      <c r="W336">
        <v>6192</v>
      </c>
      <c r="X336">
        <v>6453</v>
      </c>
    </row>
    <row r="337" spans="1:24">
      <c r="A337" s="7" t="s">
        <v>432</v>
      </c>
      <c r="B337" s="16" t="s">
        <v>105</v>
      </c>
      <c r="C337">
        <v>199176627.8019726</v>
      </c>
      <c r="D337">
        <v>199740600.06736287</v>
      </c>
      <c r="E337">
        <v>118918.91891892</v>
      </c>
      <c r="F337">
        <v>526126.12612612604</v>
      </c>
      <c r="G337">
        <v>49</v>
      </c>
      <c r="H337">
        <v>21</v>
      </c>
      <c r="I337">
        <v>4</v>
      </c>
      <c r="J337">
        <v>2</v>
      </c>
      <c r="M337">
        <v>75</v>
      </c>
      <c r="N337">
        <v>31</v>
      </c>
      <c r="O337">
        <v>25771711.711711708</v>
      </c>
      <c r="P337">
        <v>24231306.306306306</v>
      </c>
      <c r="Q337">
        <v>62</v>
      </c>
      <c r="R337">
        <v>98</v>
      </c>
      <c r="S337">
        <v>45989852.252252258</v>
      </c>
      <c r="T337">
        <v>46897180.180180177</v>
      </c>
      <c r="U337">
        <v>23062972.97297297</v>
      </c>
      <c r="V337">
        <v>24888783.783783782</v>
      </c>
      <c r="W337">
        <v>3903</v>
      </c>
      <c r="X337">
        <v>3626</v>
      </c>
    </row>
    <row r="338" spans="1:24">
      <c r="A338" s="7" t="s">
        <v>433</v>
      </c>
      <c r="B338" s="16" t="s">
        <v>72</v>
      </c>
      <c r="C338">
        <v>1109382188.0261927</v>
      </c>
      <c r="D338">
        <v>1069221570.9375772</v>
      </c>
      <c r="E338">
        <v>3042792.7927928031</v>
      </c>
      <c r="F338">
        <v>6740090.0900901062</v>
      </c>
      <c r="G338">
        <v>292</v>
      </c>
      <c r="H338">
        <v>299</v>
      </c>
      <c r="I338">
        <v>66</v>
      </c>
      <c r="J338">
        <v>73</v>
      </c>
      <c r="K338">
        <v>1</v>
      </c>
      <c r="M338">
        <v>395</v>
      </c>
      <c r="N338">
        <v>455</v>
      </c>
      <c r="O338">
        <v>156614864.86486486</v>
      </c>
      <c r="P338">
        <v>164343693.6936937</v>
      </c>
      <c r="Q338">
        <v>246</v>
      </c>
      <c r="R338">
        <v>730</v>
      </c>
      <c r="S338">
        <v>230312868.46846849</v>
      </c>
      <c r="T338">
        <v>225155601.35135135</v>
      </c>
      <c r="U338">
        <v>123008374.77477477</v>
      </c>
      <c r="V338">
        <v>118129279.27927928</v>
      </c>
      <c r="W338">
        <v>18283</v>
      </c>
      <c r="X338">
        <v>18357</v>
      </c>
    </row>
    <row r="339" spans="1:24">
      <c r="A339" s="7" t="s">
        <v>434</v>
      </c>
      <c r="B339" s="16" t="s">
        <v>72</v>
      </c>
      <c r="C339">
        <v>769676141.72494769</v>
      </c>
      <c r="D339">
        <v>732960043.80271959</v>
      </c>
      <c r="E339">
        <v>2894594.5945945969</v>
      </c>
      <c r="F339">
        <v>4430855.8558558635</v>
      </c>
      <c r="G339">
        <v>155</v>
      </c>
      <c r="H339">
        <v>164</v>
      </c>
      <c r="I339">
        <v>16</v>
      </c>
      <c r="J339">
        <v>21</v>
      </c>
      <c r="K339">
        <v>3</v>
      </c>
      <c r="M339">
        <v>170</v>
      </c>
      <c r="N339">
        <v>205</v>
      </c>
      <c r="O339">
        <v>90338648.648648649</v>
      </c>
      <c r="P339">
        <v>84770270.270270273</v>
      </c>
      <c r="Q339">
        <v>211</v>
      </c>
      <c r="R339">
        <v>113</v>
      </c>
      <c r="S339">
        <v>137847752.25225225</v>
      </c>
      <c r="T339">
        <v>138325378.37837839</v>
      </c>
      <c r="U339">
        <v>66308828.828828834</v>
      </c>
      <c r="V339">
        <v>60359279.279279277</v>
      </c>
      <c r="W339">
        <v>13568</v>
      </c>
      <c r="X339">
        <v>13598</v>
      </c>
    </row>
    <row r="340" spans="1:24">
      <c r="A340" s="7" t="s">
        <v>435</v>
      </c>
      <c r="B340" s="16" t="s">
        <v>94</v>
      </c>
      <c r="C340">
        <v>57706694.950348049</v>
      </c>
      <c r="D340">
        <v>51758323.797172353</v>
      </c>
      <c r="E340">
        <v>900.900900901</v>
      </c>
      <c r="F340">
        <v>13513.513513514001</v>
      </c>
      <c r="G340">
        <v>9</v>
      </c>
      <c r="H340">
        <v>3</v>
      </c>
      <c r="I340">
        <v>0</v>
      </c>
      <c r="J340">
        <v>0</v>
      </c>
      <c r="M340">
        <v>10</v>
      </c>
      <c r="N340">
        <v>3</v>
      </c>
      <c r="O340">
        <v>991891.89189189195</v>
      </c>
      <c r="P340">
        <v>554054.05405405397</v>
      </c>
      <c r="S340">
        <v>13366396.396396397</v>
      </c>
      <c r="T340">
        <v>12551414.414414413</v>
      </c>
      <c r="U340">
        <v>361351.35135135101</v>
      </c>
      <c r="V340">
        <v>381801.80180180201</v>
      </c>
      <c r="W340">
        <v>897</v>
      </c>
      <c r="X340">
        <v>896</v>
      </c>
    </row>
    <row r="341" spans="1:24">
      <c r="A341" s="7" t="s">
        <v>436</v>
      </c>
      <c r="B341" s="16" t="s">
        <v>89</v>
      </c>
      <c r="C341">
        <v>265173583.25568223</v>
      </c>
      <c r="D341">
        <v>267016377.54419541</v>
      </c>
      <c r="E341">
        <v>2916171.1711711739</v>
      </c>
      <c r="F341">
        <v>3623423.4234234309</v>
      </c>
      <c r="G341">
        <v>62</v>
      </c>
      <c r="H341">
        <v>74</v>
      </c>
      <c r="I341">
        <v>14</v>
      </c>
      <c r="J341">
        <v>24</v>
      </c>
      <c r="K341">
        <v>1</v>
      </c>
      <c r="M341">
        <v>65</v>
      </c>
      <c r="N341">
        <v>86</v>
      </c>
      <c r="O341">
        <v>36270900.9009009</v>
      </c>
      <c r="P341">
        <v>36643963.963963963</v>
      </c>
      <c r="Q341">
        <v>220</v>
      </c>
      <c r="R341">
        <v>135</v>
      </c>
      <c r="S341">
        <v>114289549.54954955</v>
      </c>
      <c r="T341">
        <v>121784950.45045045</v>
      </c>
      <c r="U341">
        <v>33241711.711711712</v>
      </c>
      <c r="V341">
        <v>36584684.684684686</v>
      </c>
      <c r="W341">
        <v>5314</v>
      </c>
      <c r="X341">
        <v>5319</v>
      </c>
    </row>
    <row r="342" spans="1:24">
      <c r="A342" s="7" t="s">
        <v>437</v>
      </c>
      <c r="B342" s="16" t="s">
        <v>70</v>
      </c>
      <c r="C342">
        <v>8982461.9817057047</v>
      </c>
      <c r="D342">
        <v>8358110.2546781171</v>
      </c>
      <c r="E342">
        <v>161641919.81981981</v>
      </c>
      <c r="F342">
        <v>150598961.26126125</v>
      </c>
      <c r="G342">
        <v>18</v>
      </c>
      <c r="H342">
        <v>6</v>
      </c>
      <c r="M342">
        <v>18</v>
      </c>
      <c r="N342">
        <v>8</v>
      </c>
      <c r="O342">
        <v>52080220.720720723</v>
      </c>
      <c r="P342">
        <v>61625235.135135137</v>
      </c>
      <c r="S342">
        <v>5343783.7837837841</v>
      </c>
      <c r="T342">
        <v>5659765.7657657657</v>
      </c>
      <c r="W342">
        <v>1282</v>
      </c>
      <c r="X342">
        <v>3473</v>
      </c>
    </row>
    <row r="343" spans="1:24">
      <c r="A343" s="7" t="s">
        <v>438</v>
      </c>
      <c r="B343" s="16" t="s">
        <v>195</v>
      </c>
      <c r="C343">
        <v>1307789275.1717882</v>
      </c>
      <c r="D343">
        <v>1269431355.6061494</v>
      </c>
      <c r="E343">
        <v>239011621.62162164</v>
      </c>
      <c r="F343">
        <v>248851054.05405405</v>
      </c>
      <c r="G343">
        <v>356</v>
      </c>
      <c r="H343">
        <v>341</v>
      </c>
      <c r="I343">
        <v>26</v>
      </c>
      <c r="J343">
        <v>22</v>
      </c>
      <c r="M343">
        <v>396</v>
      </c>
      <c r="N343">
        <v>417</v>
      </c>
      <c r="O343">
        <v>115548198.1981982</v>
      </c>
      <c r="P343">
        <v>132094774.77477477</v>
      </c>
      <c r="Q343">
        <v>284</v>
      </c>
      <c r="R343">
        <v>313</v>
      </c>
      <c r="S343">
        <v>205154108.1081081</v>
      </c>
      <c r="T343">
        <v>219783189.1891892</v>
      </c>
      <c r="U343">
        <v>101031351.35135137</v>
      </c>
      <c r="V343">
        <v>104876396.3963964</v>
      </c>
      <c r="W343">
        <v>20804</v>
      </c>
      <c r="X343">
        <v>20509</v>
      </c>
    </row>
    <row r="344" spans="1:24">
      <c r="A344" s="7" t="s">
        <v>439</v>
      </c>
      <c r="B344" s="16" t="s">
        <v>178</v>
      </c>
      <c r="C344">
        <v>641547214.11444676</v>
      </c>
      <c r="D344">
        <v>641341268.9050498</v>
      </c>
      <c r="E344">
        <v>1368738.7387387401</v>
      </c>
      <c r="F344">
        <v>9523423.4234234244</v>
      </c>
      <c r="G344">
        <v>161</v>
      </c>
      <c r="H344">
        <v>156</v>
      </c>
      <c r="I344">
        <v>9</v>
      </c>
      <c r="J344">
        <v>46</v>
      </c>
      <c r="K344">
        <v>1</v>
      </c>
      <c r="M344">
        <v>176</v>
      </c>
      <c r="N344">
        <v>221</v>
      </c>
      <c r="O344">
        <v>123241672.97297297</v>
      </c>
      <c r="P344">
        <v>119608323.42342342</v>
      </c>
      <c r="Q344">
        <v>220</v>
      </c>
      <c r="R344">
        <v>244</v>
      </c>
      <c r="S344">
        <v>247006207.2072072</v>
      </c>
      <c r="T344">
        <v>256851130.63063061</v>
      </c>
      <c r="U344">
        <v>98074774.77477479</v>
      </c>
      <c r="V344">
        <v>99455450.45045045</v>
      </c>
      <c r="W344">
        <v>14302</v>
      </c>
      <c r="X344">
        <v>15101</v>
      </c>
    </row>
    <row r="345" spans="1:24">
      <c r="A345" s="7" t="s">
        <v>440</v>
      </c>
      <c r="B345" s="16" t="s">
        <v>78</v>
      </c>
      <c r="C345">
        <v>268910378.10867059</v>
      </c>
      <c r="D345">
        <v>271256052.37879568</v>
      </c>
      <c r="E345">
        <v>2013243.243243244</v>
      </c>
      <c r="F345">
        <v>3645045.0450450471</v>
      </c>
      <c r="G345">
        <v>53</v>
      </c>
      <c r="H345">
        <v>56</v>
      </c>
      <c r="I345">
        <v>6</v>
      </c>
      <c r="J345">
        <v>10</v>
      </c>
      <c r="K345">
        <v>1</v>
      </c>
      <c r="M345">
        <v>67</v>
      </c>
      <c r="N345">
        <v>120</v>
      </c>
      <c r="O345">
        <v>22137567.567567565</v>
      </c>
      <c r="P345">
        <v>26167567.567567568</v>
      </c>
      <c r="Q345">
        <v>104</v>
      </c>
      <c r="R345">
        <v>134</v>
      </c>
      <c r="S345">
        <v>53710612.612612613</v>
      </c>
      <c r="T345">
        <v>55261306.306306303</v>
      </c>
      <c r="U345">
        <v>25755765.765765768</v>
      </c>
      <c r="V345">
        <v>26243153.153153155</v>
      </c>
      <c r="W345">
        <v>5068</v>
      </c>
      <c r="X345">
        <v>5247</v>
      </c>
    </row>
    <row r="346" spans="1:24">
      <c r="A346" s="7" t="s">
        <v>441</v>
      </c>
      <c r="B346" s="16" t="s">
        <v>78</v>
      </c>
      <c r="C346">
        <v>123496531.49562947</v>
      </c>
      <c r="D346">
        <v>114073509.52791888</v>
      </c>
      <c r="E346">
        <v>344144.144144146</v>
      </c>
      <c r="F346">
        <v>2053153.153153155</v>
      </c>
      <c r="G346">
        <v>32</v>
      </c>
      <c r="H346">
        <v>30</v>
      </c>
      <c r="I346">
        <v>4</v>
      </c>
      <c r="J346">
        <v>9</v>
      </c>
      <c r="M346">
        <v>34</v>
      </c>
      <c r="N346">
        <v>41</v>
      </c>
      <c r="O346">
        <v>14975585.585585585</v>
      </c>
      <c r="P346">
        <v>26722252.252252247</v>
      </c>
      <c r="Q346">
        <v>64</v>
      </c>
      <c r="R346">
        <v>61</v>
      </c>
      <c r="S346">
        <v>25032324.324324325</v>
      </c>
      <c r="T346">
        <v>25003738.738738742</v>
      </c>
      <c r="U346">
        <v>19845675.675675675</v>
      </c>
      <c r="V346">
        <v>24739099.0990991</v>
      </c>
      <c r="W346">
        <v>2345</v>
      </c>
      <c r="X346">
        <v>2440</v>
      </c>
    </row>
    <row r="347" spans="1:24">
      <c r="A347" s="7" t="s">
        <v>442</v>
      </c>
      <c r="B347" s="16" t="s">
        <v>123</v>
      </c>
      <c r="C347">
        <v>1862709.2966411971</v>
      </c>
      <c r="D347">
        <v>1854880.4610111469</v>
      </c>
      <c r="G347">
        <v>2</v>
      </c>
      <c r="M347">
        <v>3</v>
      </c>
      <c r="S347">
        <v>878063.06306306296</v>
      </c>
      <c r="T347">
        <v>715450.45045044995</v>
      </c>
      <c r="W347">
        <v>405</v>
      </c>
      <c r="X347">
        <v>58</v>
      </c>
    </row>
    <row r="348" spans="1:24">
      <c r="A348" s="7" t="s">
        <v>443</v>
      </c>
      <c r="B348" s="16" t="s">
        <v>140</v>
      </c>
      <c r="C348">
        <v>269477509.55389911</v>
      </c>
      <c r="D348">
        <v>275755094.74217236</v>
      </c>
      <c r="E348">
        <v>1925000</v>
      </c>
      <c r="F348">
        <v>2296846.8468468469</v>
      </c>
      <c r="G348">
        <v>23</v>
      </c>
      <c r="H348">
        <v>46</v>
      </c>
      <c r="I348">
        <v>2</v>
      </c>
      <c r="J348">
        <v>8</v>
      </c>
      <c r="K348">
        <v>1</v>
      </c>
      <c r="M348">
        <v>30</v>
      </c>
      <c r="N348">
        <v>95</v>
      </c>
      <c r="O348">
        <v>26023873.873873871</v>
      </c>
      <c r="P348">
        <v>33244504.504504506</v>
      </c>
      <c r="Q348">
        <v>18</v>
      </c>
      <c r="R348">
        <v>98</v>
      </c>
      <c r="S348">
        <v>67156531.531531528</v>
      </c>
      <c r="T348">
        <v>76325855.855855852</v>
      </c>
      <c r="U348">
        <v>23429459.459459458</v>
      </c>
      <c r="V348">
        <v>26389189.189189184</v>
      </c>
      <c r="W348">
        <v>5781</v>
      </c>
      <c r="X348">
        <v>5732</v>
      </c>
    </row>
    <row r="349" spans="1:24">
      <c r="A349" s="7" t="s">
        <v>444</v>
      </c>
      <c r="B349" s="16" t="s">
        <v>76</v>
      </c>
      <c r="C349">
        <v>30127054.959012374</v>
      </c>
      <c r="D349">
        <v>30841880.79339603</v>
      </c>
      <c r="E349">
        <v>175675.675675676</v>
      </c>
      <c r="F349">
        <v>254054.054054054</v>
      </c>
      <c r="G349">
        <v>8</v>
      </c>
      <c r="H349">
        <v>5</v>
      </c>
      <c r="I349">
        <v>1</v>
      </c>
      <c r="J349">
        <v>1</v>
      </c>
      <c r="M349">
        <v>9</v>
      </c>
      <c r="N349">
        <v>7</v>
      </c>
      <c r="O349">
        <v>9130630.6306306329</v>
      </c>
      <c r="P349">
        <v>5258558.558558559</v>
      </c>
      <c r="Q349">
        <v>12</v>
      </c>
      <c r="R349">
        <v>72</v>
      </c>
      <c r="S349">
        <v>6564459.4594594594</v>
      </c>
      <c r="T349">
        <v>6871234.2342342343</v>
      </c>
      <c r="U349">
        <v>6117027.0270270268</v>
      </c>
      <c r="V349">
        <v>4700000</v>
      </c>
      <c r="W349">
        <v>603</v>
      </c>
      <c r="X349">
        <v>606</v>
      </c>
    </row>
    <row r="350" spans="1:24">
      <c r="A350" s="7" t="s">
        <v>445</v>
      </c>
      <c r="B350" s="16" t="s">
        <v>89</v>
      </c>
      <c r="C350">
        <v>846467528.08586311</v>
      </c>
      <c r="D350">
        <v>849337153.42826998</v>
      </c>
      <c r="E350">
        <v>101456090.0900901</v>
      </c>
      <c r="F350">
        <v>413346465.76576579</v>
      </c>
      <c r="G350">
        <v>525</v>
      </c>
      <c r="H350">
        <v>354</v>
      </c>
      <c r="I350">
        <v>39</v>
      </c>
      <c r="J350">
        <v>80</v>
      </c>
      <c r="K350">
        <v>5</v>
      </c>
      <c r="M350">
        <v>594</v>
      </c>
      <c r="N350">
        <v>1134</v>
      </c>
      <c r="O350">
        <v>93970180.180180177</v>
      </c>
      <c r="P350">
        <v>281502072.07207209</v>
      </c>
      <c r="Q350">
        <v>649</v>
      </c>
      <c r="R350">
        <v>862</v>
      </c>
      <c r="S350">
        <v>262819180.18018019</v>
      </c>
      <c r="T350">
        <v>281777655.85585582</v>
      </c>
      <c r="U350">
        <v>94411081.081081077</v>
      </c>
      <c r="V350">
        <v>170186486.48648649</v>
      </c>
      <c r="W350">
        <v>16361</v>
      </c>
      <c r="X350">
        <v>16211</v>
      </c>
    </row>
    <row r="351" spans="1:24">
      <c r="A351" s="7" t="s">
        <v>446</v>
      </c>
      <c r="B351" s="16" t="s">
        <v>48</v>
      </c>
      <c r="C351">
        <v>89164492.883428544</v>
      </c>
      <c r="D351">
        <v>83561405.057173863</v>
      </c>
      <c r="E351">
        <v>1043243.243243244</v>
      </c>
      <c r="F351">
        <v>2136036.036036036</v>
      </c>
      <c r="G351">
        <v>11</v>
      </c>
      <c r="H351">
        <v>7</v>
      </c>
      <c r="I351">
        <v>2</v>
      </c>
      <c r="J351">
        <v>2</v>
      </c>
      <c r="M351">
        <v>12</v>
      </c>
      <c r="N351">
        <v>15</v>
      </c>
      <c r="O351">
        <v>10001801.801801801</v>
      </c>
      <c r="P351">
        <v>20366126.126126129</v>
      </c>
      <c r="R351">
        <v>6</v>
      </c>
      <c r="S351">
        <v>30959099.0990991</v>
      </c>
      <c r="T351">
        <v>28631468.468468469</v>
      </c>
      <c r="U351">
        <v>10188468.468468469</v>
      </c>
      <c r="V351">
        <v>20339639.639639638</v>
      </c>
      <c r="W351">
        <v>1077</v>
      </c>
      <c r="X351">
        <v>1050</v>
      </c>
    </row>
    <row r="352" spans="1:24">
      <c r="A352" s="7" t="s">
        <v>447</v>
      </c>
      <c r="B352" s="16" t="s">
        <v>448</v>
      </c>
      <c r="C352">
        <v>171548315.92112902</v>
      </c>
      <c r="D352">
        <v>169200519.09001011</v>
      </c>
      <c r="E352">
        <v>1134009.0090090099</v>
      </c>
      <c r="F352">
        <v>3816216.2162162159</v>
      </c>
      <c r="G352">
        <v>562</v>
      </c>
      <c r="H352">
        <v>88</v>
      </c>
      <c r="I352">
        <v>9</v>
      </c>
      <c r="J352">
        <v>10</v>
      </c>
      <c r="M352">
        <v>579</v>
      </c>
      <c r="N352">
        <v>192</v>
      </c>
      <c r="O352">
        <v>31252027.02702703</v>
      </c>
      <c r="P352">
        <v>15047567.567567568</v>
      </c>
      <c r="Q352">
        <v>482</v>
      </c>
      <c r="R352">
        <v>19</v>
      </c>
      <c r="S352">
        <v>67341126.126126125</v>
      </c>
      <c r="T352">
        <v>68576261.261261269</v>
      </c>
      <c r="U352">
        <v>27340765.765765764</v>
      </c>
      <c r="V352">
        <v>16172432.432432435</v>
      </c>
      <c r="W352">
        <v>5477</v>
      </c>
      <c r="X352">
        <v>5759</v>
      </c>
    </row>
    <row r="353" spans="1:24">
      <c r="A353" s="7" t="s">
        <v>449</v>
      </c>
      <c r="B353" s="16" t="s">
        <v>76</v>
      </c>
      <c r="C353">
        <v>43839597.024770357</v>
      </c>
      <c r="D353">
        <v>40005728.092579529</v>
      </c>
      <c r="E353">
        <v>22522.522522523999</v>
      </c>
      <c r="F353">
        <v>558558.55855855998</v>
      </c>
      <c r="G353">
        <v>16</v>
      </c>
      <c r="H353">
        <v>23</v>
      </c>
      <c r="I353">
        <v>1</v>
      </c>
      <c r="J353">
        <v>6</v>
      </c>
      <c r="M353">
        <v>19</v>
      </c>
      <c r="N353">
        <v>26</v>
      </c>
      <c r="O353">
        <v>10990090.090090092</v>
      </c>
      <c r="P353">
        <v>10530000</v>
      </c>
      <c r="Q353">
        <v>26</v>
      </c>
      <c r="R353">
        <v>13</v>
      </c>
      <c r="S353">
        <v>15847432.432432432</v>
      </c>
      <c r="T353">
        <v>14425493.693693694</v>
      </c>
      <c r="U353">
        <v>8241171.1711711716</v>
      </c>
      <c r="V353">
        <v>9064864.8648648635</v>
      </c>
      <c r="W353">
        <v>1865</v>
      </c>
      <c r="X353">
        <v>6157</v>
      </c>
    </row>
    <row r="354" spans="1:24">
      <c r="A354" s="7" t="s">
        <v>450</v>
      </c>
      <c r="B354" s="16" t="s">
        <v>83</v>
      </c>
      <c r="C354">
        <v>1527338672.1018856</v>
      </c>
      <c r="D354">
        <v>1512347847.6503508</v>
      </c>
      <c r="E354">
        <v>706085601.8018018</v>
      </c>
      <c r="F354">
        <v>633725072.97297287</v>
      </c>
      <c r="G354">
        <v>344</v>
      </c>
      <c r="H354">
        <v>473</v>
      </c>
      <c r="I354">
        <v>34</v>
      </c>
      <c r="J354">
        <v>41</v>
      </c>
      <c r="K354">
        <v>7</v>
      </c>
      <c r="M354">
        <v>507</v>
      </c>
      <c r="N354">
        <v>605</v>
      </c>
      <c r="O354">
        <v>179268423.42342341</v>
      </c>
      <c r="P354">
        <v>193703828.82882884</v>
      </c>
      <c r="Q354">
        <v>328</v>
      </c>
      <c r="R354">
        <v>682</v>
      </c>
      <c r="S354">
        <v>327240954.95495492</v>
      </c>
      <c r="T354">
        <v>329301542.7927928</v>
      </c>
      <c r="U354">
        <v>160789009.00900903</v>
      </c>
      <c r="V354">
        <v>177367702.7027027</v>
      </c>
      <c r="W354">
        <v>31540</v>
      </c>
      <c r="X354">
        <v>31273</v>
      </c>
    </row>
    <row r="355" spans="1:24">
      <c r="A355" s="7" t="s">
        <v>451</v>
      </c>
      <c r="B355" s="16" t="s">
        <v>70</v>
      </c>
      <c r="C355">
        <v>107839443.24317615</v>
      </c>
      <c r="D355">
        <v>99901181.346563652</v>
      </c>
      <c r="E355">
        <v>601126.12612612604</v>
      </c>
      <c r="F355">
        <v>443243.24324324401</v>
      </c>
      <c r="G355">
        <v>23</v>
      </c>
      <c r="H355">
        <v>21</v>
      </c>
      <c r="I355">
        <v>1</v>
      </c>
      <c r="J355">
        <v>1</v>
      </c>
      <c r="M355">
        <v>23</v>
      </c>
      <c r="N355">
        <v>27</v>
      </c>
      <c r="O355">
        <v>2897297.297297297</v>
      </c>
      <c r="P355">
        <v>2827027.0270270281</v>
      </c>
      <c r="R355">
        <v>20</v>
      </c>
      <c r="S355">
        <v>64895000</v>
      </c>
      <c r="T355">
        <v>61693909.909909911</v>
      </c>
      <c r="U355">
        <v>3338558.558558559</v>
      </c>
      <c r="V355">
        <v>2802432.4324324322</v>
      </c>
      <c r="W355">
        <v>2906</v>
      </c>
      <c r="X355">
        <v>2900</v>
      </c>
    </row>
    <row r="356" spans="1:24">
      <c r="A356" s="7" t="s">
        <v>452</v>
      </c>
      <c r="B356" s="16" t="s">
        <v>167</v>
      </c>
      <c r="C356">
        <v>124372864.47994345</v>
      </c>
      <c r="D356">
        <v>120660716.78497167</v>
      </c>
      <c r="E356">
        <v>39639.639639640001</v>
      </c>
      <c r="F356">
        <v>1396396.396396396</v>
      </c>
      <c r="G356">
        <v>11</v>
      </c>
      <c r="H356">
        <v>3</v>
      </c>
      <c r="I356">
        <v>1</v>
      </c>
      <c r="J356">
        <v>0</v>
      </c>
      <c r="K356">
        <v>1</v>
      </c>
      <c r="M356">
        <v>14</v>
      </c>
      <c r="N356">
        <v>4</v>
      </c>
      <c r="O356">
        <v>15650990.990990991</v>
      </c>
      <c r="P356">
        <v>5104954.9549549548</v>
      </c>
      <c r="Q356">
        <v>314</v>
      </c>
      <c r="S356">
        <v>21953738.738738734</v>
      </c>
      <c r="T356">
        <v>23061225.225225225</v>
      </c>
      <c r="U356">
        <v>16289369.369369367</v>
      </c>
      <c r="V356">
        <v>6170450.4504504502</v>
      </c>
      <c r="W356">
        <v>2707</v>
      </c>
      <c r="X356">
        <v>2681</v>
      </c>
    </row>
    <row r="357" spans="1:24">
      <c r="A357" s="7" t="s">
        <v>453</v>
      </c>
      <c r="B357" s="16" t="s">
        <v>121</v>
      </c>
      <c r="C357">
        <v>7659376.5721038859</v>
      </c>
      <c r="D357">
        <v>4849827.7596308021</v>
      </c>
      <c r="E357">
        <v>14414.414414413999</v>
      </c>
      <c r="F357">
        <v>34234.234234233998</v>
      </c>
      <c r="G357">
        <v>4</v>
      </c>
      <c r="H357">
        <v>2</v>
      </c>
      <c r="I357">
        <v>1</v>
      </c>
      <c r="J357">
        <v>0</v>
      </c>
      <c r="M357">
        <v>4</v>
      </c>
      <c r="N357">
        <v>2</v>
      </c>
      <c r="O357">
        <v>158558.558558558</v>
      </c>
      <c r="P357">
        <v>36036.036036035999</v>
      </c>
      <c r="Q357">
        <v>16</v>
      </c>
      <c r="S357">
        <v>661522.52252252295</v>
      </c>
      <c r="T357">
        <v>434774.77477477503</v>
      </c>
      <c r="U357">
        <v>144144.144144144</v>
      </c>
      <c r="W357">
        <v>155</v>
      </c>
      <c r="X357">
        <v>115</v>
      </c>
    </row>
    <row r="358" spans="1:24">
      <c r="A358" s="7" t="s">
        <v>454</v>
      </c>
      <c r="B358" s="16" t="s">
        <v>224</v>
      </c>
      <c r="C358">
        <v>46120040.906739846</v>
      </c>
      <c r="D358">
        <v>40834814.488904335</v>
      </c>
      <c r="G358">
        <v>1</v>
      </c>
      <c r="H358">
        <v>1</v>
      </c>
      <c r="M358">
        <v>1</v>
      </c>
      <c r="N358">
        <v>2</v>
      </c>
      <c r="R358">
        <v>10</v>
      </c>
      <c r="S358">
        <v>8320810.81081081</v>
      </c>
      <c r="T358">
        <v>7813729.7297297297</v>
      </c>
      <c r="U358">
        <v>212612.61261261301</v>
      </c>
      <c r="V358">
        <v>168648.64864864899</v>
      </c>
      <c r="W358">
        <v>1313</v>
      </c>
      <c r="X358">
        <v>1224</v>
      </c>
    </row>
    <row r="359" spans="1:24">
      <c r="A359" s="7" t="s">
        <v>455</v>
      </c>
      <c r="B359" s="16" t="s">
        <v>94</v>
      </c>
      <c r="C359">
        <v>49155398.963764086</v>
      </c>
      <c r="D359">
        <v>63614783.655306846</v>
      </c>
      <c r="E359">
        <v>214414.41441441499</v>
      </c>
      <c r="F359">
        <v>540540.54054054106</v>
      </c>
      <c r="G359">
        <v>18</v>
      </c>
      <c r="H359">
        <v>18</v>
      </c>
      <c r="I359">
        <v>4</v>
      </c>
      <c r="J359">
        <v>3</v>
      </c>
      <c r="M359">
        <v>21</v>
      </c>
      <c r="N359">
        <v>20</v>
      </c>
      <c r="O359">
        <v>8399999.9999999981</v>
      </c>
      <c r="P359">
        <v>27200450.45045045</v>
      </c>
      <c r="Q359">
        <v>70</v>
      </c>
      <c r="R359">
        <v>214</v>
      </c>
      <c r="S359">
        <v>10376486.486486487</v>
      </c>
      <c r="T359">
        <v>14501869.369369371</v>
      </c>
      <c r="U359">
        <v>8729549.5495495498</v>
      </c>
      <c r="V359">
        <v>26803963.963963963</v>
      </c>
      <c r="W359">
        <v>1807</v>
      </c>
      <c r="X359">
        <v>1782</v>
      </c>
    </row>
    <row r="360" spans="1:24">
      <c r="A360" s="7" t="s">
        <v>680</v>
      </c>
      <c r="B360" s="16" t="s">
        <v>189</v>
      </c>
      <c r="O360">
        <v>243243.24324324299</v>
      </c>
      <c r="P360">
        <v>1459459.4594594589</v>
      </c>
    </row>
    <row r="361" spans="1:24">
      <c r="A361" s="7" t="s">
        <v>456</v>
      </c>
      <c r="B361" s="16" t="s">
        <v>60</v>
      </c>
      <c r="C361">
        <v>12137758.772276668</v>
      </c>
      <c r="D361">
        <v>8897410.1630821787</v>
      </c>
      <c r="E361">
        <v>300900.900900901</v>
      </c>
      <c r="F361">
        <v>171171.17117117101</v>
      </c>
      <c r="G361">
        <v>8</v>
      </c>
      <c r="H361">
        <v>5</v>
      </c>
      <c r="I361">
        <v>2</v>
      </c>
      <c r="J361">
        <v>1</v>
      </c>
      <c r="M361">
        <v>9</v>
      </c>
      <c r="N361">
        <v>6</v>
      </c>
      <c r="O361">
        <v>2553153.1531531531</v>
      </c>
      <c r="P361">
        <v>1207207.207207208</v>
      </c>
      <c r="R361">
        <v>15</v>
      </c>
      <c r="S361">
        <v>7077027.0270270258</v>
      </c>
      <c r="T361">
        <v>3957378.3783783782</v>
      </c>
      <c r="U361">
        <v>1558018.0180180171</v>
      </c>
      <c r="V361">
        <v>620270.27027026995</v>
      </c>
      <c r="W361">
        <v>694</v>
      </c>
      <c r="X361">
        <v>576</v>
      </c>
    </row>
    <row r="362" spans="1:24">
      <c r="A362" s="7" t="s">
        <v>457</v>
      </c>
      <c r="B362" s="16" t="s">
        <v>214</v>
      </c>
      <c r="C362">
        <v>153526979.12393525</v>
      </c>
      <c r="D362">
        <v>166871013.68022242</v>
      </c>
      <c r="F362">
        <v>396396.39639639598</v>
      </c>
      <c r="G362">
        <v>29</v>
      </c>
      <c r="H362">
        <v>26</v>
      </c>
      <c r="J362">
        <v>1</v>
      </c>
      <c r="M362">
        <v>30</v>
      </c>
      <c r="N362">
        <v>41</v>
      </c>
      <c r="O362">
        <v>450450.45045045001</v>
      </c>
      <c r="P362">
        <v>936936.93693693704</v>
      </c>
      <c r="R362">
        <v>7</v>
      </c>
      <c r="S362">
        <v>79284549.54954955</v>
      </c>
      <c r="T362">
        <v>85185234.234234244</v>
      </c>
      <c r="U362">
        <v>432432.43243243202</v>
      </c>
      <c r="V362">
        <v>1759909.9099099101</v>
      </c>
      <c r="W362">
        <v>3034</v>
      </c>
      <c r="X362">
        <v>3028</v>
      </c>
    </row>
    <row r="363" spans="1:24">
      <c r="A363" s="7" t="s">
        <v>458</v>
      </c>
      <c r="B363" s="16" t="s">
        <v>459</v>
      </c>
      <c r="C363">
        <v>687997554.78261828</v>
      </c>
      <c r="D363">
        <v>649959620.5988524</v>
      </c>
      <c r="E363">
        <v>2315810.8108108118</v>
      </c>
      <c r="F363">
        <v>16787387.387387399</v>
      </c>
      <c r="G363">
        <v>338</v>
      </c>
      <c r="H363">
        <v>363</v>
      </c>
      <c r="I363">
        <v>35</v>
      </c>
      <c r="J363">
        <v>44</v>
      </c>
      <c r="K363">
        <v>2</v>
      </c>
      <c r="M363">
        <v>429</v>
      </c>
      <c r="N363">
        <v>575</v>
      </c>
      <c r="O363">
        <v>78334864.864864871</v>
      </c>
      <c r="P363">
        <v>250422297.29729727</v>
      </c>
      <c r="Q363">
        <v>879</v>
      </c>
      <c r="R363">
        <v>973</v>
      </c>
      <c r="S363">
        <v>222402315.31531534</v>
      </c>
      <c r="T363">
        <v>231916047.2972973</v>
      </c>
      <c r="U363">
        <v>72555045.045045033</v>
      </c>
      <c r="V363">
        <v>173227522.52252254</v>
      </c>
      <c r="W363">
        <v>25376</v>
      </c>
      <c r="X363">
        <v>24837</v>
      </c>
    </row>
    <row r="364" spans="1:24">
      <c r="A364" s="7" t="s">
        <v>460</v>
      </c>
      <c r="B364" s="16" t="s">
        <v>459</v>
      </c>
      <c r="C364">
        <v>2054350323.2192187</v>
      </c>
      <c r="D364">
        <v>2213404206.3352985</v>
      </c>
      <c r="E364">
        <v>219385090.09009007</v>
      </c>
      <c r="F364">
        <v>401498378.37837839</v>
      </c>
      <c r="G364">
        <v>620</v>
      </c>
      <c r="H364">
        <v>456</v>
      </c>
      <c r="I364">
        <v>22</v>
      </c>
      <c r="J364">
        <v>31</v>
      </c>
      <c r="K364">
        <v>2</v>
      </c>
      <c r="M364">
        <v>751</v>
      </c>
      <c r="N364">
        <v>787</v>
      </c>
      <c r="O364">
        <v>93227387.387387395</v>
      </c>
      <c r="P364">
        <v>127655990.99099098</v>
      </c>
      <c r="Q364">
        <v>558</v>
      </c>
      <c r="R364">
        <v>723</v>
      </c>
      <c r="S364">
        <v>1209625727.9279277</v>
      </c>
      <c r="T364">
        <v>1428595104.0540543</v>
      </c>
      <c r="U364">
        <v>81023828.828828827</v>
      </c>
      <c r="V364">
        <v>109496081.08108108</v>
      </c>
      <c r="W364">
        <v>31689</v>
      </c>
      <c r="X364">
        <v>32038</v>
      </c>
    </row>
    <row r="365" spans="1:24">
      <c r="A365" s="7" t="s">
        <v>461</v>
      </c>
      <c r="B365" s="16" t="s">
        <v>459</v>
      </c>
      <c r="C365">
        <v>1014154869.2008282</v>
      </c>
      <c r="D365">
        <v>1031921593.1479379</v>
      </c>
      <c r="E365">
        <v>22717809.909909915</v>
      </c>
      <c r="F365">
        <v>27667955.85585586</v>
      </c>
      <c r="G365">
        <v>476</v>
      </c>
      <c r="H365">
        <v>318</v>
      </c>
      <c r="I365">
        <v>21</v>
      </c>
      <c r="J365">
        <v>26</v>
      </c>
      <c r="K365">
        <v>6</v>
      </c>
      <c r="M365">
        <v>601</v>
      </c>
      <c r="N365">
        <v>575</v>
      </c>
      <c r="O365">
        <v>932719416.21621621</v>
      </c>
      <c r="P365">
        <v>893660983.78378379</v>
      </c>
      <c r="Q365">
        <v>649</v>
      </c>
      <c r="R365">
        <v>1613</v>
      </c>
      <c r="S365">
        <v>264567166.66666666</v>
      </c>
      <c r="T365">
        <v>289076238.73873878</v>
      </c>
      <c r="U365">
        <v>865337207.2072072</v>
      </c>
      <c r="V365">
        <v>886411306.30630636</v>
      </c>
      <c r="W365">
        <v>23813</v>
      </c>
      <c r="X365">
        <v>25969</v>
      </c>
    </row>
    <row r="366" spans="1:24">
      <c r="A366" s="7" t="s">
        <v>462</v>
      </c>
      <c r="B366" s="16" t="s">
        <v>459</v>
      </c>
      <c r="C366">
        <v>775634852.66771698</v>
      </c>
      <c r="D366">
        <v>750800321.99007595</v>
      </c>
      <c r="E366">
        <v>548558.55855856196</v>
      </c>
      <c r="F366">
        <v>4809009.0090090148</v>
      </c>
      <c r="G366">
        <v>256</v>
      </c>
      <c r="H366">
        <v>270</v>
      </c>
      <c r="I366">
        <v>24</v>
      </c>
      <c r="J366">
        <v>21</v>
      </c>
      <c r="K366">
        <v>1</v>
      </c>
      <c r="M366">
        <v>321</v>
      </c>
      <c r="N366">
        <v>361</v>
      </c>
      <c r="O366">
        <v>50571351.351351351</v>
      </c>
      <c r="P366">
        <v>134920180.18018016</v>
      </c>
      <c r="Q366">
        <v>449</v>
      </c>
      <c r="R366">
        <v>513</v>
      </c>
      <c r="S366">
        <v>172815383.78378376</v>
      </c>
      <c r="T366">
        <v>170907783.78378376</v>
      </c>
      <c r="U366">
        <v>50884054.054054052</v>
      </c>
      <c r="V366">
        <v>80582522.522522524</v>
      </c>
      <c r="W366">
        <v>19756</v>
      </c>
      <c r="X366">
        <v>20170</v>
      </c>
    </row>
    <row r="367" spans="1:24">
      <c r="A367" s="7" t="s">
        <v>463</v>
      </c>
      <c r="B367" s="16" t="s">
        <v>459</v>
      </c>
      <c r="C367">
        <v>726031870.72874594</v>
      </c>
      <c r="D367">
        <v>724543874.53887367</v>
      </c>
      <c r="E367">
        <v>1654954.954954959</v>
      </c>
      <c r="F367">
        <v>13837162.162162168</v>
      </c>
      <c r="G367">
        <v>442</v>
      </c>
      <c r="H367">
        <v>697</v>
      </c>
      <c r="I367">
        <v>34</v>
      </c>
      <c r="J367">
        <v>46</v>
      </c>
      <c r="M367">
        <v>507</v>
      </c>
      <c r="N367">
        <v>1050</v>
      </c>
      <c r="O367">
        <v>53784144.144144148</v>
      </c>
      <c r="P367">
        <v>170074954.95495495</v>
      </c>
      <c r="Q367">
        <v>481</v>
      </c>
      <c r="R367">
        <v>965</v>
      </c>
      <c r="S367">
        <v>271881576.57657659</v>
      </c>
      <c r="T367">
        <v>291270484.23423421</v>
      </c>
      <c r="U367">
        <v>51501621.621621624</v>
      </c>
      <c r="V367">
        <v>144539639.63963965</v>
      </c>
      <c r="W367">
        <v>26520</v>
      </c>
      <c r="X367">
        <v>25901</v>
      </c>
    </row>
    <row r="368" spans="1:24">
      <c r="A368" s="7" t="s">
        <v>464</v>
      </c>
      <c r="B368" s="16" t="s">
        <v>459</v>
      </c>
      <c r="C368">
        <v>813826731.87154734</v>
      </c>
      <c r="D368">
        <v>836943168.89254427</v>
      </c>
      <c r="E368">
        <v>1563799509.0090089</v>
      </c>
      <c r="F368">
        <v>1968830381.0810812</v>
      </c>
      <c r="G368">
        <v>405</v>
      </c>
      <c r="H368">
        <v>306</v>
      </c>
      <c r="I368">
        <v>39</v>
      </c>
      <c r="J368">
        <v>43</v>
      </c>
      <c r="M368">
        <v>475</v>
      </c>
      <c r="N368">
        <v>407</v>
      </c>
      <c r="O368">
        <v>123466261.26126125</v>
      </c>
      <c r="P368">
        <v>122423553.15315315</v>
      </c>
      <c r="Q368">
        <v>1417</v>
      </c>
      <c r="R368">
        <v>1088</v>
      </c>
      <c r="S368">
        <v>358064881.08108109</v>
      </c>
      <c r="T368">
        <v>359591671.62162161</v>
      </c>
      <c r="U368">
        <v>116038108.1081081</v>
      </c>
      <c r="V368">
        <v>116302342.34234233</v>
      </c>
      <c r="W368">
        <v>27950</v>
      </c>
      <c r="X368">
        <v>28031</v>
      </c>
    </row>
    <row r="369" spans="1:24">
      <c r="A369" s="7" t="s">
        <v>465</v>
      </c>
      <c r="B369" s="16" t="s">
        <v>54</v>
      </c>
      <c r="C369">
        <v>57723431.654365405</v>
      </c>
      <c r="D369">
        <v>54549264.495224684</v>
      </c>
      <c r="E369">
        <v>213738.73873873899</v>
      </c>
      <c r="F369">
        <v>656756.75675675704</v>
      </c>
      <c r="G369">
        <v>7</v>
      </c>
      <c r="H369">
        <v>13</v>
      </c>
      <c r="I369">
        <v>1</v>
      </c>
      <c r="J369">
        <v>3</v>
      </c>
      <c r="M369">
        <v>7</v>
      </c>
      <c r="N369">
        <v>25</v>
      </c>
      <c r="O369">
        <v>5353153.1531531531</v>
      </c>
      <c r="P369">
        <v>5740360.3603603607</v>
      </c>
      <c r="Q369">
        <v>55</v>
      </c>
      <c r="R369">
        <v>23</v>
      </c>
      <c r="S369">
        <v>11689414.414414413</v>
      </c>
      <c r="T369">
        <v>11849630.630630629</v>
      </c>
      <c r="U369">
        <v>5537387.3873873884</v>
      </c>
      <c r="V369">
        <v>5455675.6756756743</v>
      </c>
      <c r="W369">
        <v>1234</v>
      </c>
      <c r="X369">
        <v>1240</v>
      </c>
    </row>
    <row r="370" spans="1:24">
      <c r="A370" s="7" t="s">
        <v>466</v>
      </c>
      <c r="B370" s="16" t="s">
        <v>87</v>
      </c>
      <c r="C370">
        <v>2364987.5182569488</v>
      </c>
      <c r="D370">
        <v>2076693.2919198661</v>
      </c>
      <c r="O370">
        <v>135135.135135135</v>
      </c>
      <c r="P370">
        <v>972972.97297297302</v>
      </c>
      <c r="S370">
        <v>373873.87387387402</v>
      </c>
      <c r="T370">
        <v>351351.35135135101</v>
      </c>
      <c r="W370">
        <v>82</v>
      </c>
      <c r="X370">
        <v>96</v>
      </c>
    </row>
    <row r="371" spans="1:24">
      <c r="A371" s="7" t="s">
        <v>467</v>
      </c>
      <c r="B371" s="16" t="s">
        <v>143</v>
      </c>
      <c r="C371">
        <v>267168889.6683329</v>
      </c>
      <c r="D371">
        <v>257798007.49027893</v>
      </c>
      <c r="E371">
        <v>71171.171171170994</v>
      </c>
      <c r="F371">
        <v>257657.657657659</v>
      </c>
      <c r="G371">
        <v>77</v>
      </c>
      <c r="H371">
        <v>52</v>
      </c>
      <c r="I371">
        <v>2</v>
      </c>
      <c r="J371">
        <v>3</v>
      </c>
      <c r="M371">
        <v>81</v>
      </c>
      <c r="N371">
        <v>75</v>
      </c>
      <c r="O371">
        <v>14904504.504504504</v>
      </c>
      <c r="P371">
        <v>15834234.234234236</v>
      </c>
      <c r="Q371">
        <v>48</v>
      </c>
      <c r="R371">
        <v>37</v>
      </c>
      <c r="S371">
        <v>41053304.504504502</v>
      </c>
      <c r="T371">
        <v>40217464.864864863</v>
      </c>
      <c r="U371">
        <v>14249549.54954955</v>
      </c>
      <c r="V371">
        <v>11416036.036036033</v>
      </c>
      <c r="W371">
        <v>5016</v>
      </c>
      <c r="X371">
        <v>4993</v>
      </c>
    </row>
    <row r="372" spans="1:24">
      <c r="A372" s="7" t="s">
        <v>468</v>
      </c>
      <c r="B372" s="16" t="s">
        <v>80</v>
      </c>
      <c r="C372">
        <v>231643776.35931709</v>
      </c>
      <c r="D372">
        <v>226433021.21693841</v>
      </c>
      <c r="E372">
        <v>241216.216216217</v>
      </c>
      <c r="F372">
        <v>85135.135135138</v>
      </c>
      <c r="G372">
        <v>40</v>
      </c>
      <c r="H372">
        <v>37</v>
      </c>
      <c r="I372">
        <v>2</v>
      </c>
      <c r="J372">
        <v>0</v>
      </c>
      <c r="M372">
        <v>44</v>
      </c>
      <c r="N372">
        <v>42</v>
      </c>
      <c r="O372">
        <v>7026936.9369369373</v>
      </c>
      <c r="P372">
        <v>6056306.3063063063</v>
      </c>
      <c r="Q372">
        <v>26</v>
      </c>
      <c r="R372">
        <v>33</v>
      </c>
      <c r="S372">
        <v>87447989.189189181</v>
      </c>
      <c r="T372">
        <v>85708522.522522524</v>
      </c>
      <c r="U372">
        <v>7586036.036036036</v>
      </c>
      <c r="V372">
        <v>5292882.8828828828</v>
      </c>
      <c r="W372">
        <v>5172</v>
      </c>
      <c r="X372">
        <v>5136</v>
      </c>
    </row>
    <row r="373" spans="1:24">
      <c r="A373" s="7" t="s">
        <v>469</v>
      </c>
      <c r="B373" s="16" t="s">
        <v>470</v>
      </c>
      <c r="C373">
        <v>262569121.90211135</v>
      </c>
      <c r="D373">
        <v>268755726.4275952</v>
      </c>
      <c r="E373">
        <v>114986614.41441442</v>
      </c>
      <c r="F373">
        <v>292113149.54954958</v>
      </c>
      <c r="G373">
        <v>49</v>
      </c>
      <c r="H373">
        <v>26</v>
      </c>
      <c r="I373">
        <v>1</v>
      </c>
      <c r="J373">
        <v>2</v>
      </c>
      <c r="M373">
        <v>53</v>
      </c>
      <c r="N373">
        <v>29</v>
      </c>
      <c r="O373">
        <v>37994478.378378384</v>
      </c>
      <c r="P373">
        <v>48919965.765765771</v>
      </c>
      <c r="Q373">
        <v>15</v>
      </c>
      <c r="R373">
        <v>46</v>
      </c>
      <c r="S373">
        <v>79793072.072072059</v>
      </c>
      <c r="T373">
        <v>84270809.009009004</v>
      </c>
      <c r="U373">
        <v>10666936.936936939</v>
      </c>
      <c r="V373">
        <v>24569502.702702705</v>
      </c>
      <c r="W373">
        <v>5281</v>
      </c>
      <c r="X373">
        <v>5402</v>
      </c>
    </row>
    <row r="374" spans="1:24">
      <c r="A374" s="7" t="s">
        <v>471</v>
      </c>
      <c r="B374" s="16" t="s">
        <v>470</v>
      </c>
      <c r="C374">
        <v>24833461.390238848</v>
      </c>
      <c r="D374">
        <v>22253653.073550809</v>
      </c>
      <c r="E374">
        <v>162162.16216216201</v>
      </c>
      <c r="F374">
        <v>207207.20720720699</v>
      </c>
      <c r="G374">
        <v>5</v>
      </c>
      <c r="H374">
        <v>1</v>
      </c>
      <c r="I374">
        <v>0</v>
      </c>
      <c r="J374">
        <v>1</v>
      </c>
      <c r="M374">
        <v>5</v>
      </c>
      <c r="N374">
        <v>2</v>
      </c>
      <c r="O374">
        <v>209729.72972973</v>
      </c>
      <c r="P374">
        <v>2765765.7657657661</v>
      </c>
      <c r="Q374">
        <v>3</v>
      </c>
      <c r="R374">
        <v>2</v>
      </c>
      <c r="S374">
        <v>2054594.594594595</v>
      </c>
      <c r="T374">
        <v>2091981.981981982</v>
      </c>
      <c r="U374">
        <v>178648.64864864899</v>
      </c>
      <c r="V374">
        <v>2895135.1351351351</v>
      </c>
      <c r="W374">
        <v>595</v>
      </c>
      <c r="X374">
        <v>613</v>
      </c>
    </row>
    <row r="375" spans="1:24">
      <c r="A375" s="7" t="s">
        <v>472</v>
      </c>
      <c r="B375" s="16" t="s">
        <v>470</v>
      </c>
      <c r="C375">
        <v>3165235.632203423</v>
      </c>
      <c r="D375">
        <v>2719535.0366918538</v>
      </c>
      <c r="E375">
        <v>1801.801801802</v>
      </c>
      <c r="F375">
        <v>375675.67567567597</v>
      </c>
      <c r="J375">
        <v>1</v>
      </c>
      <c r="N375">
        <v>1</v>
      </c>
      <c r="O375">
        <v>96936.936936936996</v>
      </c>
      <c r="P375">
        <v>2925225.225225226</v>
      </c>
      <c r="Q375">
        <v>3</v>
      </c>
      <c r="S375">
        <v>455630.630630631</v>
      </c>
      <c r="T375">
        <v>606576.57657657703</v>
      </c>
      <c r="U375">
        <v>232072.072072073</v>
      </c>
      <c r="V375">
        <v>2703603.6036036038</v>
      </c>
      <c r="W375">
        <v>283</v>
      </c>
      <c r="X375">
        <v>419</v>
      </c>
    </row>
    <row r="376" spans="1:24">
      <c r="A376" s="7" t="s">
        <v>473</v>
      </c>
      <c r="B376" s="16" t="s">
        <v>470</v>
      </c>
      <c r="C376">
        <v>90077501.053333104</v>
      </c>
      <c r="D376">
        <v>94748377.522695884</v>
      </c>
      <c r="E376">
        <v>371171.17117117101</v>
      </c>
      <c r="F376">
        <v>536936.93693693704</v>
      </c>
      <c r="G376">
        <v>18</v>
      </c>
      <c r="H376">
        <v>13</v>
      </c>
      <c r="I376">
        <v>2</v>
      </c>
      <c r="J376">
        <v>1</v>
      </c>
      <c r="M376">
        <v>20</v>
      </c>
      <c r="N376">
        <v>14</v>
      </c>
      <c r="O376">
        <v>745585.58558558603</v>
      </c>
      <c r="P376">
        <v>26016666.666666664</v>
      </c>
      <c r="Q376">
        <v>3</v>
      </c>
      <c r="R376">
        <v>4</v>
      </c>
      <c r="S376">
        <v>12749583.783783784</v>
      </c>
      <c r="T376">
        <v>12744315.315315315</v>
      </c>
      <c r="U376">
        <v>7071261.2612612611</v>
      </c>
      <c r="V376">
        <v>19031261.261261258</v>
      </c>
      <c r="W376">
        <v>2191</v>
      </c>
      <c r="X376">
        <v>2256</v>
      </c>
    </row>
    <row r="377" spans="1:24">
      <c r="A377" s="7" t="s">
        <v>474</v>
      </c>
      <c r="B377" s="16" t="s">
        <v>470</v>
      </c>
      <c r="C377">
        <v>128389821.6638408</v>
      </c>
      <c r="D377">
        <v>133659033.4274378</v>
      </c>
      <c r="E377">
        <v>350990.99099099101</v>
      </c>
      <c r="F377">
        <v>1087387.3873873891</v>
      </c>
      <c r="G377">
        <v>23</v>
      </c>
      <c r="H377">
        <v>28</v>
      </c>
      <c r="I377">
        <v>1</v>
      </c>
      <c r="J377">
        <v>3</v>
      </c>
      <c r="M377">
        <v>26</v>
      </c>
      <c r="N377">
        <v>33</v>
      </c>
      <c r="O377">
        <v>4701981.9819819843</v>
      </c>
      <c r="P377">
        <v>10980270.270270269</v>
      </c>
      <c r="Q377">
        <v>6</v>
      </c>
      <c r="R377">
        <v>19</v>
      </c>
      <c r="S377">
        <v>29617702.702702705</v>
      </c>
      <c r="T377">
        <v>29185513.513513513</v>
      </c>
      <c r="U377">
        <v>4020720.7207207228</v>
      </c>
      <c r="V377">
        <v>11200900.900900904</v>
      </c>
      <c r="W377">
        <v>2630</v>
      </c>
      <c r="X377">
        <v>2367</v>
      </c>
    </row>
    <row r="378" spans="1:24">
      <c r="A378" s="7" t="s">
        <v>475</v>
      </c>
      <c r="B378" s="16" t="s">
        <v>470</v>
      </c>
      <c r="C378">
        <v>50109906.541651741</v>
      </c>
      <c r="D378">
        <v>48986158.558356978</v>
      </c>
      <c r="E378">
        <v>9009.0090090089998</v>
      </c>
      <c r="F378">
        <v>342342.34234234301</v>
      </c>
      <c r="G378">
        <v>10</v>
      </c>
      <c r="H378">
        <v>5</v>
      </c>
      <c r="I378">
        <v>2</v>
      </c>
      <c r="J378">
        <v>5</v>
      </c>
      <c r="M378">
        <v>10</v>
      </c>
      <c r="N378">
        <v>6</v>
      </c>
      <c r="O378">
        <v>3899459.4594594608</v>
      </c>
      <c r="P378">
        <v>7441441.4414414419</v>
      </c>
      <c r="S378">
        <v>11318693.693693692</v>
      </c>
      <c r="T378">
        <v>10077133.333333332</v>
      </c>
      <c r="U378">
        <v>3733423.4234234239</v>
      </c>
      <c r="V378">
        <v>6313513.5135135129</v>
      </c>
      <c r="W378">
        <v>1419</v>
      </c>
      <c r="X378">
        <v>1412</v>
      </c>
    </row>
    <row r="379" spans="1:24">
      <c r="A379" s="7" t="s">
        <v>476</v>
      </c>
      <c r="B379" s="16" t="s">
        <v>470</v>
      </c>
      <c r="C379">
        <v>496909759.34626442</v>
      </c>
      <c r="D379">
        <v>505434281.61102206</v>
      </c>
      <c r="E379">
        <v>2479414.4144144189</v>
      </c>
      <c r="F379">
        <v>10134234.23423424</v>
      </c>
      <c r="G379">
        <v>189</v>
      </c>
      <c r="H379">
        <v>188</v>
      </c>
      <c r="I379">
        <v>29</v>
      </c>
      <c r="J379">
        <v>53</v>
      </c>
      <c r="M379">
        <v>242</v>
      </c>
      <c r="N379">
        <v>374</v>
      </c>
      <c r="O379">
        <v>88815495.495495498</v>
      </c>
      <c r="P379">
        <v>141781711.7117117</v>
      </c>
      <c r="Q379">
        <v>269</v>
      </c>
      <c r="R379">
        <v>299</v>
      </c>
      <c r="S379">
        <v>122635100.9009009</v>
      </c>
      <c r="T379">
        <v>133305682.88288288</v>
      </c>
      <c r="U379">
        <v>88309009.009009004</v>
      </c>
      <c r="V379">
        <v>138968378.37837839</v>
      </c>
      <c r="W379">
        <v>15249</v>
      </c>
      <c r="X379">
        <v>16368</v>
      </c>
    </row>
    <row r="380" spans="1:24">
      <c r="A380" s="7" t="s">
        <v>477</v>
      </c>
      <c r="B380" s="16" t="s">
        <v>260</v>
      </c>
      <c r="C380">
        <v>622737676.01134717</v>
      </c>
      <c r="D380">
        <v>611603219.14287364</v>
      </c>
      <c r="E380">
        <v>1107297.297297298</v>
      </c>
      <c r="F380">
        <v>2455180.1801801799</v>
      </c>
      <c r="G380">
        <v>116</v>
      </c>
      <c r="H380">
        <v>127</v>
      </c>
      <c r="I380">
        <v>1</v>
      </c>
      <c r="J380">
        <v>6</v>
      </c>
      <c r="M380">
        <v>119</v>
      </c>
      <c r="N380">
        <v>144</v>
      </c>
      <c r="O380">
        <v>71584774.774774775</v>
      </c>
      <c r="P380">
        <v>78320720.720720723</v>
      </c>
      <c r="Q380">
        <v>148</v>
      </c>
      <c r="R380">
        <v>32</v>
      </c>
      <c r="S380">
        <v>155898144.14414412</v>
      </c>
      <c r="T380">
        <v>162309445.94594595</v>
      </c>
      <c r="U380">
        <v>76823873.873873875</v>
      </c>
      <c r="V380">
        <v>76069819.819819823</v>
      </c>
      <c r="W380">
        <v>11834</v>
      </c>
      <c r="X380">
        <v>10725</v>
      </c>
    </row>
    <row r="381" spans="1:24">
      <c r="A381" s="7" t="s">
        <v>478</v>
      </c>
      <c r="B381" s="16" t="s">
        <v>479</v>
      </c>
      <c r="C381">
        <v>50181335.964766063</v>
      </c>
      <c r="D381">
        <v>43058617.0160852</v>
      </c>
      <c r="E381">
        <v>534234.23423423397</v>
      </c>
      <c r="F381">
        <v>667567.56756756897</v>
      </c>
      <c r="G381">
        <v>15</v>
      </c>
      <c r="H381">
        <v>12</v>
      </c>
      <c r="I381">
        <v>1</v>
      </c>
      <c r="J381">
        <v>3</v>
      </c>
      <c r="M381">
        <v>15</v>
      </c>
      <c r="N381">
        <v>14</v>
      </c>
      <c r="O381">
        <v>22168468.468468469</v>
      </c>
      <c r="P381">
        <v>16450900.900900902</v>
      </c>
      <c r="R381">
        <v>10</v>
      </c>
      <c r="S381">
        <v>11622027.027027028</v>
      </c>
      <c r="T381">
        <v>10376306.306306306</v>
      </c>
      <c r="U381">
        <v>22354504.504504506</v>
      </c>
      <c r="V381">
        <v>16359189.189189188</v>
      </c>
      <c r="W381">
        <v>883</v>
      </c>
      <c r="X381">
        <v>799</v>
      </c>
    </row>
    <row r="382" spans="1:24">
      <c r="A382" s="7" t="s">
        <v>480</v>
      </c>
      <c r="B382" s="16" t="s">
        <v>123</v>
      </c>
      <c r="C382">
        <v>329652366.02202559</v>
      </c>
      <c r="D382">
        <v>321595916.67675567</v>
      </c>
      <c r="E382">
        <v>2062612.612612613</v>
      </c>
      <c r="F382">
        <v>2067567.5675675699</v>
      </c>
      <c r="G382">
        <v>65</v>
      </c>
      <c r="H382">
        <v>66</v>
      </c>
      <c r="I382">
        <v>6</v>
      </c>
      <c r="J382">
        <v>6</v>
      </c>
      <c r="M382">
        <v>75</v>
      </c>
      <c r="N382">
        <v>72</v>
      </c>
      <c r="O382">
        <v>25918468.468468469</v>
      </c>
      <c r="P382">
        <v>19821531.531531531</v>
      </c>
      <c r="Q382">
        <v>54</v>
      </c>
      <c r="R382">
        <v>42</v>
      </c>
      <c r="S382">
        <v>123068639.63963963</v>
      </c>
      <c r="T382">
        <v>121227139.63963963</v>
      </c>
      <c r="U382">
        <v>26277207.207207207</v>
      </c>
      <c r="V382">
        <v>18908108.108108107</v>
      </c>
      <c r="W382">
        <v>5568</v>
      </c>
      <c r="X382">
        <v>5792</v>
      </c>
    </row>
    <row r="383" spans="1:24">
      <c r="A383" s="7" t="s">
        <v>481</v>
      </c>
      <c r="B383" s="16" t="s">
        <v>470</v>
      </c>
      <c r="C383">
        <v>26935595.729904752</v>
      </c>
      <c r="D383">
        <v>25438207.017268777</v>
      </c>
      <c r="E383">
        <v>26576.576576577001</v>
      </c>
      <c r="F383">
        <v>94594.594594594993</v>
      </c>
      <c r="G383">
        <v>7</v>
      </c>
      <c r="H383">
        <v>3</v>
      </c>
      <c r="I383">
        <v>2</v>
      </c>
      <c r="J383">
        <v>2</v>
      </c>
      <c r="M383">
        <v>7</v>
      </c>
      <c r="N383">
        <v>4</v>
      </c>
      <c r="O383">
        <v>485135.13513513602</v>
      </c>
      <c r="P383">
        <v>1445945.945945946</v>
      </c>
      <c r="S383">
        <v>3709675.6756756762</v>
      </c>
      <c r="T383">
        <v>3632468.4684684682</v>
      </c>
      <c r="U383">
        <v>782162.16216216201</v>
      </c>
      <c r="V383">
        <v>873873.87387387303</v>
      </c>
      <c r="W383">
        <v>571</v>
      </c>
      <c r="X383">
        <v>696</v>
      </c>
    </row>
    <row r="384" spans="1:24">
      <c r="A384" s="7" t="s">
        <v>482</v>
      </c>
      <c r="B384" s="16" t="s">
        <v>167</v>
      </c>
      <c r="C384">
        <v>275887526.7671665</v>
      </c>
      <c r="D384">
        <v>263749977.01366365</v>
      </c>
      <c r="E384">
        <v>375675.67567567498</v>
      </c>
      <c r="F384">
        <v>2645045.0450450471</v>
      </c>
      <c r="G384">
        <v>163</v>
      </c>
      <c r="H384">
        <v>199</v>
      </c>
      <c r="I384">
        <v>14</v>
      </c>
      <c r="J384">
        <v>9</v>
      </c>
      <c r="M384">
        <v>204</v>
      </c>
      <c r="N384">
        <v>309</v>
      </c>
      <c r="O384">
        <v>17837542.342342339</v>
      </c>
      <c r="P384">
        <v>22373009.909909908</v>
      </c>
      <c r="Q384">
        <v>46</v>
      </c>
      <c r="R384">
        <v>59</v>
      </c>
      <c r="S384">
        <v>107699861.26126127</v>
      </c>
      <c r="T384">
        <v>110012198.1981982</v>
      </c>
      <c r="U384">
        <v>18941981.981981982</v>
      </c>
      <c r="V384">
        <v>21558828.828828827</v>
      </c>
      <c r="W384">
        <v>9111</v>
      </c>
      <c r="X384">
        <v>8243</v>
      </c>
    </row>
    <row r="385" spans="1:24">
      <c r="A385" s="7" t="s">
        <v>483</v>
      </c>
      <c r="B385" s="16" t="s">
        <v>167</v>
      </c>
      <c r="C385">
        <v>269426517.62233603</v>
      </c>
      <c r="D385">
        <v>303111113.02416849</v>
      </c>
      <c r="E385">
        <v>504074600.9009009</v>
      </c>
      <c r="F385">
        <v>477162772.97297299</v>
      </c>
      <c r="G385">
        <v>335</v>
      </c>
      <c r="H385">
        <v>387</v>
      </c>
      <c r="I385">
        <v>13</v>
      </c>
      <c r="J385">
        <v>13</v>
      </c>
      <c r="M385">
        <v>452</v>
      </c>
      <c r="N385">
        <v>1282</v>
      </c>
      <c r="O385">
        <v>58564690.090090089</v>
      </c>
      <c r="P385">
        <v>50821847.747747749</v>
      </c>
      <c r="Q385">
        <v>412</v>
      </c>
      <c r="R385">
        <v>38</v>
      </c>
      <c r="S385">
        <v>105195538.73873873</v>
      </c>
      <c r="T385">
        <v>116579759.45945945</v>
      </c>
      <c r="U385">
        <v>55453917.117117122</v>
      </c>
      <c r="V385">
        <v>45950133.333333336</v>
      </c>
      <c r="W385">
        <v>8892</v>
      </c>
      <c r="X385">
        <v>9832</v>
      </c>
    </row>
    <row r="386" spans="1:24">
      <c r="A386" s="7" t="s">
        <v>484</v>
      </c>
      <c r="B386" s="16" t="s">
        <v>50</v>
      </c>
      <c r="C386">
        <v>186521060.67984262</v>
      </c>
      <c r="D386">
        <v>178973895.88840458</v>
      </c>
      <c r="E386">
        <v>1093333.333333336</v>
      </c>
      <c r="F386">
        <v>2773873.8738738759</v>
      </c>
      <c r="G386">
        <v>74</v>
      </c>
      <c r="H386">
        <v>47</v>
      </c>
      <c r="I386">
        <v>9</v>
      </c>
      <c r="J386">
        <v>9</v>
      </c>
      <c r="M386">
        <v>77</v>
      </c>
      <c r="N386">
        <v>52</v>
      </c>
      <c r="O386">
        <v>47076216.216216214</v>
      </c>
      <c r="P386">
        <v>32230990.990990993</v>
      </c>
      <c r="Q386">
        <v>161</v>
      </c>
      <c r="R386">
        <v>41</v>
      </c>
      <c r="S386">
        <v>82740270.270270273</v>
      </c>
      <c r="T386">
        <v>80333016.216216221</v>
      </c>
      <c r="U386">
        <v>45728378.378378376</v>
      </c>
      <c r="V386">
        <v>31793333.333333332</v>
      </c>
      <c r="W386">
        <v>3749</v>
      </c>
      <c r="X386">
        <v>3671</v>
      </c>
    </row>
    <row r="387" spans="1:24">
      <c r="A387" s="7" t="s">
        <v>485</v>
      </c>
      <c r="B387" s="16" t="s">
        <v>134</v>
      </c>
      <c r="C387">
        <v>254575873.70463231</v>
      </c>
      <c r="D387">
        <v>239599953.65738589</v>
      </c>
      <c r="E387">
        <v>890990.99099099205</v>
      </c>
      <c r="F387">
        <v>1745945.945945946</v>
      </c>
      <c r="G387">
        <v>59</v>
      </c>
      <c r="H387">
        <v>41</v>
      </c>
      <c r="I387">
        <v>10</v>
      </c>
      <c r="J387">
        <v>5</v>
      </c>
      <c r="M387">
        <v>66</v>
      </c>
      <c r="N387">
        <v>61</v>
      </c>
      <c r="O387">
        <v>42629729.729729727</v>
      </c>
      <c r="P387">
        <v>38087387.387387387</v>
      </c>
      <c r="Q387">
        <v>129</v>
      </c>
      <c r="R387">
        <v>170</v>
      </c>
      <c r="S387">
        <v>47923828.828828834</v>
      </c>
      <c r="T387">
        <v>46974160.360360362</v>
      </c>
      <c r="U387">
        <v>26038648.648648649</v>
      </c>
      <c r="V387">
        <v>24245765.765765768</v>
      </c>
      <c r="W387">
        <v>4656</v>
      </c>
      <c r="X387">
        <v>4561</v>
      </c>
    </row>
    <row r="388" spans="1:24">
      <c r="A388" s="7" t="s">
        <v>486</v>
      </c>
      <c r="B388" s="16" t="s">
        <v>76</v>
      </c>
      <c r="C388">
        <v>63250665.514217101</v>
      </c>
      <c r="D388">
        <v>50939110.748942085</v>
      </c>
      <c r="E388">
        <v>1827027.0270270279</v>
      </c>
      <c r="F388">
        <v>1085585.585585586</v>
      </c>
      <c r="G388">
        <v>16</v>
      </c>
      <c r="H388">
        <v>16</v>
      </c>
      <c r="I388">
        <v>2</v>
      </c>
      <c r="J388">
        <v>2</v>
      </c>
      <c r="M388">
        <v>18</v>
      </c>
      <c r="N388">
        <v>16</v>
      </c>
      <c r="O388">
        <v>24489189.189189188</v>
      </c>
      <c r="P388">
        <v>13161351.351351352</v>
      </c>
      <c r="Q388">
        <v>17</v>
      </c>
      <c r="R388">
        <v>38</v>
      </c>
      <c r="S388">
        <v>24236905.405405402</v>
      </c>
      <c r="T388">
        <v>20378852.252252251</v>
      </c>
      <c r="U388">
        <v>22901171.171171173</v>
      </c>
      <c r="V388">
        <v>10749545.945945945</v>
      </c>
      <c r="W388">
        <v>1480</v>
      </c>
      <c r="X388">
        <v>1440</v>
      </c>
    </row>
    <row r="389" spans="1:24">
      <c r="A389" s="7" t="s">
        <v>487</v>
      </c>
      <c r="B389" s="16" t="s">
        <v>307</v>
      </c>
      <c r="C389">
        <v>395629435.77800626</v>
      </c>
      <c r="D389">
        <v>414004716.37589204</v>
      </c>
      <c r="E389">
        <v>990090.09009008994</v>
      </c>
      <c r="F389">
        <v>4602702.7027027067</v>
      </c>
      <c r="G389">
        <v>167</v>
      </c>
      <c r="H389">
        <v>101</v>
      </c>
      <c r="I389">
        <v>4</v>
      </c>
      <c r="J389">
        <v>8</v>
      </c>
      <c r="M389">
        <v>183</v>
      </c>
      <c r="N389">
        <v>196</v>
      </c>
      <c r="O389">
        <v>61306981.981981978</v>
      </c>
      <c r="P389">
        <v>105410180.18018018</v>
      </c>
      <c r="Q389">
        <v>199</v>
      </c>
      <c r="R389">
        <v>359</v>
      </c>
      <c r="S389">
        <v>162883088.2882883</v>
      </c>
      <c r="T389">
        <v>176153180.18018019</v>
      </c>
      <c r="U389">
        <v>58458558.558558553</v>
      </c>
      <c r="V389">
        <v>95542972.972972974</v>
      </c>
      <c r="W389">
        <v>11420</v>
      </c>
      <c r="X389">
        <v>11005</v>
      </c>
    </row>
    <row r="390" spans="1:24">
      <c r="A390" s="7" t="s">
        <v>681</v>
      </c>
      <c r="B390" s="16" t="s">
        <v>181</v>
      </c>
      <c r="E390">
        <v>106058558.55855855</v>
      </c>
      <c r="F390">
        <v>65472972.972972974</v>
      </c>
      <c r="O390">
        <v>14484684.684684685</v>
      </c>
      <c r="P390">
        <v>1742792.7927927929</v>
      </c>
    </row>
    <row r="391" spans="1:24">
      <c r="A391" s="7" t="s">
        <v>488</v>
      </c>
      <c r="B391" s="16" t="s">
        <v>315</v>
      </c>
      <c r="C391">
        <v>110843065.20365131</v>
      </c>
      <c r="D391">
        <v>92987489.424348399</v>
      </c>
      <c r="E391">
        <v>615315.31531531597</v>
      </c>
      <c r="F391">
        <v>1367567.5675675671</v>
      </c>
      <c r="G391">
        <v>24</v>
      </c>
      <c r="H391">
        <v>7</v>
      </c>
      <c r="I391">
        <v>2</v>
      </c>
      <c r="J391">
        <v>2</v>
      </c>
      <c r="M391">
        <v>25</v>
      </c>
      <c r="N391">
        <v>8</v>
      </c>
      <c r="O391">
        <v>71014594.594594598</v>
      </c>
      <c r="P391">
        <v>47217927.927927926</v>
      </c>
      <c r="Q391">
        <v>80</v>
      </c>
      <c r="S391">
        <v>46700342.342342347</v>
      </c>
      <c r="T391">
        <v>40094324.324324317</v>
      </c>
      <c r="U391">
        <v>67452252.252252251</v>
      </c>
      <c r="V391">
        <v>39726576.576576576</v>
      </c>
      <c r="W391">
        <v>1714</v>
      </c>
      <c r="X391">
        <v>1778</v>
      </c>
    </row>
    <row r="392" spans="1:24">
      <c r="A392" s="7" t="s">
        <v>489</v>
      </c>
      <c r="B392" s="16" t="s">
        <v>181</v>
      </c>
      <c r="C392">
        <v>230427924.0781832</v>
      </c>
      <c r="D392">
        <v>216615592.72508162</v>
      </c>
      <c r="E392">
        <v>76576.576576578998</v>
      </c>
      <c r="F392">
        <v>1340990.9909909919</v>
      </c>
      <c r="G392">
        <v>119</v>
      </c>
      <c r="H392">
        <v>111</v>
      </c>
      <c r="I392">
        <v>11</v>
      </c>
      <c r="J392">
        <v>9</v>
      </c>
      <c r="M392">
        <v>127</v>
      </c>
      <c r="N392">
        <v>157</v>
      </c>
      <c r="O392">
        <v>17526396.396396399</v>
      </c>
      <c r="P392">
        <v>23969009.009009007</v>
      </c>
      <c r="Q392">
        <v>141</v>
      </c>
      <c r="R392">
        <v>254</v>
      </c>
      <c r="S392">
        <v>62023045.045045048</v>
      </c>
      <c r="T392">
        <v>63591648.648648649</v>
      </c>
      <c r="U392">
        <v>16584684.684684686</v>
      </c>
      <c r="V392">
        <v>22237747.747747749</v>
      </c>
      <c r="W392">
        <v>6725</v>
      </c>
      <c r="X392">
        <v>6537</v>
      </c>
    </row>
    <row r="393" spans="1:24">
      <c r="A393" s="7" t="s">
        <v>682</v>
      </c>
      <c r="B393" s="16" t="s">
        <v>66</v>
      </c>
      <c r="E393">
        <v>135629279.27927929</v>
      </c>
      <c r="F393">
        <v>272174774.77477479</v>
      </c>
      <c r="O393">
        <v>21527702.702702705</v>
      </c>
      <c r="P393">
        <v>10820045.045045044</v>
      </c>
    </row>
    <row r="394" spans="1:24">
      <c r="A394" s="7" t="s">
        <v>490</v>
      </c>
      <c r="B394" s="16" t="s">
        <v>220</v>
      </c>
      <c r="C394">
        <v>133761619.26614207</v>
      </c>
      <c r="D394">
        <v>125957893.34832563</v>
      </c>
      <c r="E394">
        <v>84467792.792792797</v>
      </c>
      <c r="F394">
        <v>92534234.234234244</v>
      </c>
      <c r="G394">
        <v>44</v>
      </c>
      <c r="H394">
        <v>46</v>
      </c>
      <c r="I394">
        <v>1</v>
      </c>
      <c r="J394">
        <v>2</v>
      </c>
      <c r="M394">
        <v>55</v>
      </c>
      <c r="N394">
        <v>56</v>
      </c>
      <c r="O394">
        <v>82549954.954954967</v>
      </c>
      <c r="P394">
        <v>9194054.0540540535</v>
      </c>
      <c r="Q394">
        <v>40</v>
      </c>
      <c r="S394">
        <v>33638387.387387387</v>
      </c>
      <c r="T394">
        <v>31195259.459459461</v>
      </c>
      <c r="U394">
        <v>3529459.4594594608</v>
      </c>
      <c r="V394">
        <v>1653063.063063063</v>
      </c>
      <c r="W394">
        <v>3947</v>
      </c>
      <c r="X394">
        <v>3841</v>
      </c>
    </row>
    <row r="395" spans="1:24">
      <c r="A395" s="7" t="s">
        <v>491</v>
      </c>
      <c r="B395" s="16" t="s">
        <v>220</v>
      </c>
      <c r="C395">
        <v>34436382.036550097</v>
      </c>
      <c r="D395">
        <v>42480213.019572333</v>
      </c>
      <c r="E395">
        <v>18018.018018019</v>
      </c>
      <c r="F395">
        <v>465765.76576576597</v>
      </c>
      <c r="G395">
        <v>30</v>
      </c>
      <c r="H395">
        <v>22</v>
      </c>
      <c r="I395">
        <v>2</v>
      </c>
      <c r="J395">
        <v>1</v>
      </c>
      <c r="M395">
        <v>35</v>
      </c>
      <c r="N395">
        <v>25</v>
      </c>
      <c r="O395">
        <v>8227027.0270270268</v>
      </c>
      <c r="P395">
        <v>15679729.729729732</v>
      </c>
      <c r="R395">
        <v>16</v>
      </c>
      <c r="S395">
        <v>11399459.459459459</v>
      </c>
      <c r="T395">
        <v>12708774.774774777</v>
      </c>
      <c r="U395">
        <v>8396036.0360360369</v>
      </c>
      <c r="V395">
        <v>15343423.423423424</v>
      </c>
      <c r="W395">
        <v>1265</v>
      </c>
      <c r="X395">
        <v>1239</v>
      </c>
    </row>
    <row r="396" spans="1:24">
      <c r="A396" s="7" t="s">
        <v>492</v>
      </c>
      <c r="B396" s="16" t="s">
        <v>60</v>
      </c>
      <c r="C396">
        <v>159209474.24094456</v>
      </c>
      <c r="D396">
        <v>143406707.29691523</v>
      </c>
      <c r="E396">
        <v>1175675.675675679</v>
      </c>
      <c r="F396">
        <v>2854954.9549549608</v>
      </c>
      <c r="G396">
        <v>36</v>
      </c>
      <c r="H396">
        <v>34</v>
      </c>
      <c r="I396">
        <v>8</v>
      </c>
      <c r="J396">
        <v>21</v>
      </c>
      <c r="M396">
        <v>38</v>
      </c>
      <c r="N396">
        <v>81</v>
      </c>
      <c r="O396">
        <v>39730630.630630635</v>
      </c>
      <c r="P396">
        <v>29985315.315315314</v>
      </c>
      <c r="Q396">
        <v>173</v>
      </c>
      <c r="R396">
        <v>82</v>
      </c>
      <c r="S396">
        <v>68514639.639639646</v>
      </c>
      <c r="T396">
        <v>64886090.090090089</v>
      </c>
      <c r="U396">
        <v>33514324.324324325</v>
      </c>
      <c r="V396">
        <v>28432342.342342339</v>
      </c>
      <c r="W396">
        <v>3627</v>
      </c>
      <c r="X396">
        <v>3562</v>
      </c>
    </row>
    <row r="397" spans="1:24">
      <c r="A397" s="7" t="s">
        <v>493</v>
      </c>
      <c r="B397" s="16" t="s">
        <v>448</v>
      </c>
      <c r="C397">
        <v>192241126.29538041</v>
      </c>
      <c r="D397">
        <v>175215536.37288544</v>
      </c>
      <c r="E397">
        <v>112612.612612613</v>
      </c>
      <c r="F397">
        <v>308108.10810811102</v>
      </c>
      <c r="G397">
        <v>105</v>
      </c>
      <c r="H397">
        <v>109</v>
      </c>
      <c r="I397">
        <v>9</v>
      </c>
      <c r="J397">
        <v>2</v>
      </c>
      <c r="M397">
        <v>112</v>
      </c>
      <c r="N397">
        <v>197</v>
      </c>
      <c r="O397">
        <v>29275900.9009009</v>
      </c>
      <c r="P397">
        <v>13420720.72072072</v>
      </c>
      <c r="Q397">
        <v>84</v>
      </c>
      <c r="R397">
        <v>1</v>
      </c>
      <c r="S397">
        <v>68922963.963963971</v>
      </c>
      <c r="T397">
        <v>62829108.108108103</v>
      </c>
      <c r="U397">
        <v>29681126.126126129</v>
      </c>
      <c r="V397">
        <v>13547657.657657661</v>
      </c>
      <c r="W397">
        <v>4915</v>
      </c>
      <c r="X397">
        <v>4932</v>
      </c>
    </row>
    <row r="398" spans="1:24">
      <c r="A398" s="7" t="s">
        <v>7</v>
      </c>
      <c r="B398" s="16" t="s">
        <v>193</v>
      </c>
      <c r="C398">
        <v>138979470.93279043</v>
      </c>
      <c r="D398">
        <v>148365062.63741854</v>
      </c>
      <c r="E398">
        <v>40090.090090090001</v>
      </c>
      <c r="F398">
        <v>403603.603603606</v>
      </c>
      <c r="G398">
        <v>36</v>
      </c>
      <c r="H398">
        <v>39</v>
      </c>
      <c r="I398">
        <v>14</v>
      </c>
      <c r="J398">
        <v>3</v>
      </c>
      <c r="M398">
        <v>38</v>
      </c>
      <c r="N398">
        <v>53</v>
      </c>
      <c r="O398">
        <v>26420270.270270273</v>
      </c>
      <c r="P398">
        <v>28275225.225225225</v>
      </c>
      <c r="Q398">
        <v>132</v>
      </c>
      <c r="R398">
        <v>154</v>
      </c>
      <c r="S398">
        <v>95094171.171171173</v>
      </c>
      <c r="T398">
        <v>104187621.62162161</v>
      </c>
      <c r="U398">
        <v>27968198.198198199</v>
      </c>
      <c r="V398">
        <v>29318828.828828827</v>
      </c>
      <c r="W398">
        <v>4750</v>
      </c>
      <c r="X398">
        <v>4729</v>
      </c>
    </row>
    <row r="399" spans="1:24">
      <c r="A399" s="7" t="s">
        <v>494</v>
      </c>
      <c r="B399" s="16" t="s">
        <v>330</v>
      </c>
      <c r="C399">
        <v>174111764.16174757</v>
      </c>
      <c r="D399">
        <v>169060393.64410928</v>
      </c>
      <c r="E399">
        <v>61261.261261261003</v>
      </c>
      <c r="F399">
        <v>307207.20720720699</v>
      </c>
      <c r="G399">
        <v>81</v>
      </c>
      <c r="H399">
        <v>80</v>
      </c>
      <c r="I399">
        <v>4</v>
      </c>
      <c r="J399">
        <v>3</v>
      </c>
      <c r="M399">
        <v>96</v>
      </c>
      <c r="N399">
        <v>148</v>
      </c>
      <c r="O399">
        <v>8972342.3423423413</v>
      </c>
      <c r="P399">
        <v>8597297.2972972989</v>
      </c>
      <c r="Q399">
        <v>124</v>
      </c>
      <c r="R399">
        <v>50</v>
      </c>
      <c r="S399">
        <v>45261504.504504502</v>
      </c>
      <c r="T399">
        <v>41923189.189189196</v>
      </c>
      <c r="U399">
        <v>8190360.3603603607</v>
      </c>
      <c r="V399">
        <v>8048468.4684684677</v>
      </c>
      <c r="W399">
        <v>5955</v>
      </c>
      <c r="X399">
        <v>6095</v>
      </c>
    </row>
    <row r="400" spans="1:24">
      <c r="A400" s="7" t="s">
        <v>495</v>
      </c>
      <c r="B400" s="16" t="s">
        <v>330</v>
      </c>
      <c r="C400">
        <v>300726848.32901651</v>
      </c>
      <c r="D400">
        <v>287024808.02322012</v>
      </c>
      <c r="E400">
        <v>82882.882882883001</v>
      </c>
      <c r="F400">
        <v>2061036.036036039</v>
      </c>
      <c r="G400">
        <v>105</v>
      </c>
      <c r="H400">
        <v>130</v>
      </c>
      <c r="I400">
        <v>7</v>
      </c>
      <c r="J400">
        <v>10</v>
      </c>
      <c r="M400">
        <v>121</v>
      </c>
      <c r="N400">
        <v>163</v>
      </c>
      <c r="O400">
        <v>9200990.9909909926</v>
      </c>
      <c r="P400">
        <v>10584504.504504507</v>
      </c>
      <c r="Q400">
        <v>173</v>
      </c>
      <c r="R400">
        <v>61</v>
      </c>
      <c r="S400">
        <v>61933315.315315314</v>
      </c>
      <c r="T400">
        <v>66942887.387387387</v>
      </c>
      <c r="U400">
        <v>8945495.4954954945</v>
      </c>
      <c r="V400">
        <v>10133963.963963963</v>
      </c>
      <c r="W400">
        <v>7370</v>
      </c>
      <c r="X400">
        <v>7424</v>
      </c>
    </row>
    <row r="401" spans="1:24">
      <c r="A401" s="7" t="s">
        <v>496</v>
      </c>
      <c r="B401" s="16" t="s">
        <v>330</v>
      </c>
      <c r="C401">
        <v>302929679.15725094</v>
      </c>
      <c r="D401">
        <v>288746170.7462858</v>
      </c>
      <c r="E401">
        <v>1192567.5675675699</v>
      </c>
      <c r="F401">
        <v>3988063.0630630651</v>
      </c>
      <c r="G401">
        <v>143</v>
      </c>
      <c r="H401">
        <v>131</v>
      </c>
      <c r="I401">
        <v>18</v>
      </c>
      <c r="J401">
        <v>17</v>
      </c>
      <c r="K401">
        <v>1</v>
      </c>
      <c r="M401">
        <v>170</v>
      </c>
      <c r="N401">
        <v>186</v>
      </c>
      <c r="O401">
        <v>28471711.711711712</v>
      </c>
      <c r="P401">
        <v>38302522.522522517</v>
      </c>
      <c r="Q401">
        <v>229</v>
      </c>
      <c r="R401">
        <v>81</v>
      </c>
      <c r="S401">
        <v>64810792.79279279</v>
      </c>
      <c r="T401">
        <v>64938630.630630635</v>
      </c>
      <c r="U401">
        <v>27338738.738738734</v>
      </c>
      <c r="V401">
        <v>39337387.387387387</v>
      </c>
      <c r="W401">
        <v>8450</v>
      </c>
      <c r="X401">
        <v>8635</v>
      </c>
    </row>
    <row r="402" spans="1:24">
      <c r="A402" s="7" t="s">
        <v>497</v>
      </c>
      <c r="B402" s="16" t="s">
        <v>330</v>
      </c>
      <c r="C402">
        <v>1310324080.4786913</v>
      </c>
      <c r="D402">
        <v>1132243843.4076865</v>
      </c>
      <c r="E402">
        <v>912911329.72972977</v>
      </c>
      <c r="F402">
        <v>1013775389.1891892</v>
      </c>
      <c r="G402">
        <v>646</v>
      </c>
      <c r="H402">
        <v>622</v>
      </c>
      <c r="I402">
        <v>39</v>
      </c>
      <c r="J402">
        <v>46</v>
      </c>
      <c r="K402">
        <v>43</v>
      </c>
      <c r="M402">
        <v>1008</v>
      </c>
      <c r="N402">
        <v>1546</v>
      </c>
      <c r="O402">
        <v>341053783.78378379</v>
      </c>
      <c r="P402">
        <v>427782853.15315318</v>
      </c>
      <c r="Q402">
        <v>673</v>
      </c>
      <c r="R402">
        <v>235</v>
      </c>
      <c r="S402">
        <v>373708385.58558559</v>
      </c>
      <c r="T402">
        <v>281095819.81981981</v>
      </c>
      <c r="U402">
        <v>165868108.1081081</v>
      </c>
      <c r="V402">
        <v>189912702.70270273</v>
      </c>
      <c r="W402">
        <v>30468</v>
      </c>
      <c r="X402">
        <v>27882</v>
      </c>
    </row>
    <row r="403" spans="1:24">
      <c r="A403" s="7" t="s">
        <v>498</v>
      </c>
      <c r="B403" s="16" t="s">
        <v>330</v>
      </c>
      <c r="C403">
        <v>959461262.03915548</v>
      </c>
      <c r="D403">
        <v>889468874.72938788</v>
      </c>
      <c r="E403">
        <v>74318648.648648649</v>
      </c>
      <c r="F403">
        <v>419413513.51351357</v>
      </c>
      <c r="G403">
        <v>322</v>
      </c>
      <c r="H403">
        <v>328</v>
      </c>
      <c r="I403">
        <v>39</v>
      </c>
      <c r="J403">
        <v>32</v>
      </c>
      <c r="K403">
        <v>1</v>
      </c>
      <c r="M403">
        <v>376</v>
      </c>
      <c r="N403">
        <v>486</v>
      </c>
      <c r="O403">
        <v>187476756.75675678</v>
      </c>
      <c r="P403">
        <v>209491891.8918919</v>
      </c>
      <c r="Q403">
        <v>794</v>
      </c>
      <c r="R403">
        <v>227</v>
      </c>
      <c r="S403">
        <v>247556396.3963964</v>
      </c>
      <c r="T403">
        <v>233694290.54054055</v>
      </c>
      <c r="U403">
        <v>179850720.72072071</v>
      </c>
      <c r="V403">
        <v>201569009.00900903</v>
      </c>
      <c r="W403">
        <v>27241</v>
      </c>
      <c r="X403">
        <v>26330</v>
      </c>
    </row>
    <row r="404" spans="1:24">
      <c r="A404" s="7" t="s">
        <v>499</v>
      </c>
      <c r="B404" s="16" t="s">
        <v>143</v>
      </c>
      <c r="C404">
        <v>401864788.71703279</v>
      </c>
      <c r="D404">
        <v>374001164.76767927</v>
      </c>
      <c r="E404">
        <v>291666.66666667</v>
      </c>
      <c r="F404">
        <v>2220945.9459459479</v>
      </c>
      <c r="G404">
        <v>258</v>
      </c>
      <c r="H404">
        <v>107</v>
      </c>
      <c r="I404">
        <v>19</v>
      </c>
      <c r="J404">
        <v>16</v>
      </c>
      <c r="K404">
        <v>1</v>
      </c>
      <c r="M404">
        <v>279</v>
      </c>
      <c r="N404">
        <v>241</v>
      </c>
      <c r="O404">
        <v>32962882.882882878</v>
      </c>
      <c r="P404">
        <v>36536936.936936937</v>
      </c>
      <c r="Q404">
        <v>193</v>
      </c>
      <c r="R404">
        <v>139</v>
      </c>
      <c r="S404">
        <v>57281735.135135137</v>
      </c>
      <c r="T404">
        <v>58908106.306306303</v>
      </c>
      <c r="U404">
        <v>21674774.774774771</v>
      </c>
      <c r="V404">
        <v>23359099.0990991</v>
      </c>
      <c r="W404">
        <v>8994</v>
      </c>
      <c r="X404">
        <v>8830</v>
      </c>
    </row>
    <row r="405" spans="1:24">
      <c r="A405" s="7" t="s">
        <v>500</v>
      </c>
      <c r="B405" s="16" t="s">
        <v>220</v>
      </c>
      <c r="C405">
        <v>457327244.4423629</v>
      </c>
      <c r="D405">
        <v>445773221.62674928</v>
      </c>
      <c r="E405">
        <v>1446396.3963964011</v>
      </c>
      <c r="F405">
        <v>4782207.2072072113</v>
      </c>
      <c r="G405">
        <v>196</v>
      </c>
      <c r="H405">
        <v>195</v>
      </c>
      <c r="I405">
        <v>29</v>
      </c>
      <c r="J405">
        <v>15</v>
      </c>
      <c r="K405">
        <v>1</v>
      </c>
      <c r="M405">
        <v>242</v>
      </c>
      <c r="N405">
        <v>250</v>
      </c>
      <c r="O405">
        <v>93654954.954954967</v>
      </c>
      <c r="P405">
        <v>169877567.56756756</v>
      </c>
      <c r="Q405">
        <v>529</v>
      </c>
      <c r="R405">
        <v>149</v>
      </c>
      <c r="S405">
        <v>135777477.47747746</v>
      </c>
      <c r="T405">
        <v>137278166.66666669</v>
      </c>
      <c r="U405">
        <v>97631711.711711705</v>
      </c>
      <c r="V405">
        <v>171590090.09009007</v>
      </c>
      <c r="W405">
        <v>12505</v>
      </c>
      <c r="X405">
        <v>13624</v>
      </c>
    </row>
    <row r="406" spans="1:24">
      <c r="A406" s="7" t="s">
        <v>501</v>
      </c>
      <c r="B406" s="16" t="s">
        <v>397</v>
      </c>
      <c r="C406">
        <v>1225296798.0161054</v>
      </c>
      <c r="D406">
        <v>1254513195.0821214</v>
      </c>
      <c r="E406">
        <v>338078198.1981982</v>
      </c>
      <c r="F406">
        <v>123679424.32432432</v>
      </c>
      <c r="G406">
        <v>412</v>
      </c>
      <c r="H406">
        <v>389</v>
      </c>
      <c r="I406">
        <v>29</v>
      </c>
      <c r="J406">
        <v>59</v>
      </c>
      <c r="M406">
        <v>510</v>
      </c>
      <c r="N406">
        <v>517</v>
      </c>
      <c r="O406">
        <v>155434459.45945945</v>
      </c>
      <c r="P406">
        <v>143956531.53153154</v>
      </c>
      <c r="Q406">
        <v>851</v>
      </c>
      <c r="R406">
        <v>443</v>
      </c>
      <c r="S406">
        <v>258544095.4954955</v>
      </c>
      <c r="T406">
        <v>269261809.009009</v>
      </c>
      <c r="U406">
        <v>145103198.1981982</v>
      </c>
      <c r="V406">
        <v>129366351.35135137</v>
      </c>
      <c r="W406">
        <v>26648</v>
      </c>
      <c r="X406">
        <v>26654</v>
      </c>
    </row>
    <row r="407" spans="1:24">
      <c r="A407" s="7" t="s">
        <v>502</v>
      </c>
      <c r="B407" s="16" t="s">
        <v>70</v>
      </c>
      <c r="C407">
        <v>18901176.119272545</v>
      </c>
      <c r="D407">
        <v>19359463.413729552</v>
      </c>
      <c r="E407">
        <v>77027.027027026998</v>
      </c>
      <c r="F407">
        <v>229729.72972973</v>
      </c>
      <c r="G407">
        <v>7</v>
      </c>
      <c r="H407">
        <v>9</v>
      </c>
      <c r="I407">
        <v>0</v>
      </c>
      <c r="J407">
        <v>1</v>
      </c>
      <c r="M407">
        <v>8</v>
      </c>
      <c r="N407">
        <v>10</v>
      </c>
      <c r="O407">
        <v>819819.81981982</v>
      </c>
      <c r="P407">
        <v>959459.45945945999</v>
      </c>
      <c r="Q407">
        <v>1</v>
      </c>
      <c r="R407">
        <v>51</v>
      </c>
      <c r="S407">
        <v>13883063.063063065</v>
      </c>
      <c r="T407">
        <v>13819090.09009009</v>
      </c>
      <c r="U407">
        <v>2287837.8378378372</v>
      </c>
      <c r="V407">
        <v>777297.29729729705</v>
      </c>
      <c r="W407">
        <v>679</v>
      </c>
      <c r="X407">
        <v>679</v>
      </c>
    </row>
    <row r="408" spans="1:24">
      <c r="A408" s="7" t="s">
        <v>503</v>
      </c>
      <c r="B408" s="16" t="s">
        <v>330</v>
      </c>
      <c r="C408">
        <v>527654366.42031455</v>
      </c>
      <c r="D408">
        <v>530407487.19584435</v>
      </c>
      <c r="E408">
        <v>2018918.9189189221</v>
      </c>
      <c r="F408">
        <v>4443918.9189189197</v>
      </c>
      <c r="G408">
        <v>191</v>
      </c>
      <c r="H408">
        <v>176</v>
      </c>
      <c r="I408">
        <v>12</v>
      </c>
      <c r="J408">
        <v>20</v>
      </c>
      <c r="M408">
        <v>259</v>
      </c>
      <c r="N408">
        <v>260</v>
      </c>
      <c r="O408">
        <v>49709009.009009011</v>
      </c>
      <c r="P408">
        <v>60540360.360360354</v>
      </c>
      <c r="Q408">
        <v>345</v>
      </c>
      <c r="R408">
        <v>187</v>
      </c>
      <c r="S408">
        <v>142901726.12612614</v>
      </c>
      <c r="T408">
        <v>160053614.86486486</v>
      </c>
      <c r="U408">
        <v>45918288.288288288</v>
      </c>
      <c r="V408">
        <v>60441261.261261262</v>
      </c>
      <c r="W408">
        <v>15905</v>
      </c>
      <c r="X408">
        <v>15915</v>
      </c>
    </row>
    <row r="409" spans="1:24">
      <c r="A409" s="7" t="s">
        <v>504</v>
      </c>
      <c r="B409" s="16" t="s">
        <v>283</v>
      </c>
      <c r="C409">
        <v>168198564.24140081</v>
      </c>
      <c r="D409">
        <v>160898175.71689126</v>
      </c>
      <c r="E409">
        <v>301801.80180180201</v>
      </c>
      <c r="F409">
        <v>296396.39639639598</v>
      </c>
      <c r="G409">
        <v>59</v>
      </c>
      <c r="H409">
        <v>29</v>
      </c>
      <c r="I409">
        <v>2</v>
      </c>
      <c r="J409">
        <v>2</v>
      </c>
      <c r="M409">
        <v>62</v>
      </c>
      <c r="N409">
        <v>30</v>
      </c>
      <c r="O409">
        <v>8981981.9819819815</v>
      </c>
      <c r="P409">
        <v>14548648.648648648</v>
      </c>
      <c r="Q409">
        <v>50</v>
      </c>
      <c r="R409">
        <v>3</v>
      </c>
      <c r="S409">
        <v>30694909.909909908</v>
      </c>
      <c r="T409">
        <v>28460927.927927926</v>
      </c>
      <c r="U409">
        <v>10986486.486486485</v>
      </c>
      <c r="V409">
        <v>12221711.711711712</v>
      </c>
      <c r="W409">
        <v>3198</v>
      </c>
      <c r="X409">
        <v>2827</v>
      </c>
    </row>
    <row r="410" spans="1:24">
      <c r="A410" s="7" t="s">
        <v>505</v>
      </c>
      <c r="B410" s="16" t="s">
        <v>260</v>
      </c>
      <c r="C410">
        <v>97863395.840138257</v>
      </c>
      <c r="D410">
        <v>98976765.211925447</v>
      </c>
      <c r="E410">
        <v>9009.0090090089998</v>
      </c>
      <c r="F410">
        <v>54954.954954954999</v>
      </c>
      <c r="G410">
        <v>3</v>
      </c>
      <c r="H410">
        <v>4</v>
      </c>
      <c r="I410">
        <v>1</v>
      </c>
      <c r="J410">
        <v>1</v>
      </c>
      <c r="K410">
        <v>1</v>
      </c>
      <c r="M410">
        <v>4</v>
      </c>
      <c r="N410">
        <v>5</v>
      </c>
      <c r="O410">
        <v>1360360.36036036</v>
      </c>
      <c r="P410">
        <v>1865765.7657657659</v>
      </c>
      <c r="R410">
        <v>3</v>
      </c>
      <c r="S410">
        <v>22099369.369369369</v>
      </c>
      <c r="T410">
        <v>22400612.612612613</v>
      </c>
      <c r="U410">
        <v>1118918.9189189191</v>
      </c>
      <c r="V410">
        <v>1362162.1621621619</v>
      </c>
      <c r="W410">
        <v>2191</v>
      </c>
      <c r="X410">
        <v>2093</v>
      </c>
    </row>
    <row r="411" spans="1:24">
      <c r="A411" s="7" t="s">
        <v>506</v>
      </c>
      <c r="B411" s="16" t="s">
        <v>236</v>
      </c>
      <c r="C411">
        <v>261464816.51401389</v>
      </c>
      <c r="D411">
        <v>244402705.01515415</v>
      </c>
      <c r="E411">
        <v>414054.054054056</v>
      </c>
      <c r="F411">
        <v>1193243.243243244</v>
      </c>
      <c r="G411">
        <v>81</v>
      </c>
      <c r="H411">
        <v>31</v>
      </c>
      <c r="I411">
        <v>11</v>
      </c>
      <c r="J411">
        <v>15</v>
      </c>
      <c r="M411">
        <v>114</v>
      </c>
      <c r="N411">
        <v>206</v>
      </c>
      <c r="O411">
        <v>44905045.045045048</v>
      </c>
      <c r="P411">
        <v>52191531.531531528</v>
      </c>
      <c r="Q411">
        <v>38</v>
      </c>
      <c r="R411">
        <v>46</v>
      </c>
      <c r="S411">
        <v>58682310.810810804</v>
      </c>
      <c r="T411">
        <v>55336666.666666664</v>
      </c>
      <c r="U411">
        <v>44938918.918918923</v>
      </c>
      <c r="V411">
        <v>50336666.666666664</v>
      </c>
      <c r="W411">
        <v>4748</v>
      </c>
      <c r="X411">
        <v>4483</v>
      </c>
    </row>
    <row r="412" spans="1:24">
      <c r="A412" s="7" t="s">
        <v>507</v>
      </c>
      <c r="B412" s="16" t="s">
        <v>134</v>
      </c>
      <c r="C412">
        <v>40775819.807460688</v>
      </c>
      <c r="D412">
        <v>27259156.441275913</v>
      </c>
      <c r="G412">
        <v>1</v>
      </c>
      <c r="H412">
        <v>1</v>
      </c>
      <c r="I412">
        <v>0</v>
      </c>
      <c r="M412">
        <v>1</v>
      </c>
      <c r="N412">
        <v>2</v>
      </c>
      <c r="O412">
        <v>45045.045045045001</v>
      </c>
      <c r="Q412">
        <v>5</v>
      </c>
      <c r="S412">
        <v>6611441.441441441</v>
      </c>
      <c r="T412">
        <v>4706702.702702703</v>
      </c>
      <c r="U412">
        <v>45045.045045045001</v>
      </c>
      <c r="W412">
        <v>1318</v>
      </c>
      <c r="X412">
        <v>1204</v>
      </c>
    </row>
    <row r="413" spans="1:24">
      <c r="A413" s="7" t="s">
        <v>508</v>
      </c>
      <c r="B413" s="16" t="s">
        <v>397</v>
      </c>
      <c r="C413">
        <v>262597176.26391912</v>
      </c>
      <c r="D413">
        <v>254637603.42271924</v>
      </c>
      <c r="E413">
        <v>215765.765765766</v>
      </c>
      <c r="F413">
        <v>1125225.225225226</v>
      </c>
      <c r="G413">
        <v>59</v>
      </c>
      <c r="H413">
        <v>45</v>
      </c>
      <c r="I413">
        <v>2</v>
      </c>
      <c r="J413">
        <v>9</v>
      </c>
      <c r="M413">
        <v>66</v>
      </c>
      <c r="N413">
        <v>72</v>
      </c>
      <c r="O413">
        <v>25045720.72072072</v>
      </c>
      <c r="P413">
        <v>28668918.918918919</v>
      </c>
      <c r="Q413">
        <v>51</v>
      </c>
      <c r="R413">
        <v>219</v>
      </c>
      <c r="S413">
        <v>37053828.828828834</v>
      </c>
      <c r="T413">
        <v>39191774.774774775</v>
      </c>
      <c r="U413">
        <v>20435180.180180181</v>
      </c>
      <c r="V413">
        <v>26417477.477477476</v>
      </c>
      <c r="W413">
        <v>4540</v>
      </c>
      <c r="X413">
        <v>4362</v>
      </c>
    </row>
    <row r="414" spans="1:24">
      <c r="A414" s="7" t="s">
        <v>509</v>
      </c>
      <c r="B414" s="16" t="s">
        <v>134</v>
      </c>
      <c r="C414">
        <v>286416947.50094604</v>
      </c>
      <c r="D414">
        <v>283441602.25819778</v>
      </c>
      <c r="E414">
        <v>1486261.261261262</v>
      </c>
      <c r="F414">
        <v>1527927.9279279311</v>
      </c>
      <c r="G414">
        <v>80</v>
      </c>
      <c r="H414">
        <v>65</v>
      </c>
      <c r="I414">
        <v>16</v>
      </c>
      <c r="J414">
        <v>11</v>
      </c>
      <c r="K414">
        <v>2</v>
      </c>
      <c r="M414">
        <v>83</v>
      </c>
      <c r="N414">
        <v>81</v>
      </c>
      <c r="O414">
        <v>35457657.657657653</v>
      </c>
      <c r="P414">
        <v>28090990.990990993</v>
      </c>
      <c r="Q414">
        <v>288</v>
      </c>
      <c r="R414">
        <v>23</v>
      </c>
      <c r="S414">
        <v>50299876.576576576</v>
      </c>
      <c r="T414">
        <v>47054195.945945941</v>
      </c>
      <c r="U414">
        <v>25439909.909909911</v>
      </c>
      <c r="V414">
        <v>22496756.756756756</v>
      </c>
      <c r="W414">
        <v>5413</v>
      </c>
      <c r="X414">
        <v>5427</v>
      </c>
    </row>
    <row r="415" spans="1:24">
      <c r="A415" s="7" t="s">
        <v>510</v>
      </c>
      <c r="B415" s="16" t="s">
        <v>134</v>
      </c>
      <c r="C415">
        <v>785986806.79404771</v>
      </c>
      <c r="D415">
        <v>778584791.3241365</v>
      </c>
      <c r="E415">
        <v>2081936.936936945</v>
      </c>
      <c r="F415">
        <v>4854954.9549549641</v>
      </c>
      <c r="G415">
        <v>308</v>
      </c>
      <c r="H415">
        <v>143</v>
      </c>
      <c r="I415">
        <v>33</v>
      </c>
      <c r="J415">
        <v>28</v>
      </c>
      <c r="K415">
        <v>10</v>
      </c>
      <c r="M415">
        <v>354</v>
      </c>
      <c r="N415">
        <v>227</v>
      </c>
      <c r="O415">
        <v>61064234.234234244</v>
      </c>
      <c r="P415">
        <v>62442342.342342347</v>
      </c>
      <c r="Q415">
        <v>478</v>
      </c>
      <c r="R415">
        <v>664</v>
      </c>
      <c r="S415">
        <v>88645351.351351351</v>
      </c>
      <c r="T415">
        <v>82421630.630630627</v>
      </c>
      <c r="U415">
        <v>56597117.117117114</v>
      </c>
      <c r="V415">
        <v>57570090.090090089</v>
      </c>
      <c r="W415">
        <v>16601</v>
      </c>
      <c r="X415">
        <v>16398</v>
      </c>
    </row>
    <row r="416" spans="1:24">
      <c r="A416" s="7" t="s">
        <v>8</v>
      </c>
      <c r="B416" s="16" t="s">
        <v>158</v>
      </c>
      <c r="C416">
        <v>207761036.52719289</v>
      </c>
      <c r="D416">
        <v>205237358.30055285</v>
      </c>
      <c r="E416">
        <v>2077477.47747748</v>
      </c>
      <c r="F416">
        <v>4509009.0090090111</v>
      </c>
      <c r="G416">
        <v>22</v>
      </c>
      <c r="H416">
        <v>18</v>
      </c>
      <c r="I416">
        <v>9</v>
      </c>
      <c r="J416">
        <v>8</v>
      </c>
      <c r="M416">
        <v>24</v>
      </c>
      <c r="N416">
        <v>21</v>
      </c>
      <c r="O416">
        <v>28581531.531531528</v>
      </c>
      <c r="P416">
        <v>42163063.063063063</v>
      </c>
      <c r="Q416">
        <v>96</v>
      </c>
      <c r="R416">
        <v>51</v>
      </c>
      <c r="S416">
        <v>60844819.819819823</v>
      </c>
      <c r="T416">
        <v>60094792.79279279</v>
      </c>
      <c r="U416">
        <v>27996216.216216218</v>
      </c>
      <c r="V416">
        <v>38268468.468468465</v>
      </c>
      <c r="W416">
        <v>3858</v>
      </c>
      <c r="X416">
        <v>3523</v>
      </c>
    </row>
    <row r="417" spans="1:24">
      <c r="A417" s="7" t="s">
        <v>511</v>
      </c>
      <c r="B417" s="16" t="s">
        <v>134</v>
      </c>
      <c r="C417">
        <v>132740528.46091923</v>
      </c>
      <c r="D417">
        <v>149782253.16335806</v>
      </c>
      <c r="E417">
        <v>280180.18018018</v>
      </c>
      <c r="F417">
        <v>563063.06306306296</v>
      </c>
      <c r="G417">
        <v>50</v>
      </c>
      <c r="H417">
        <v>12</v>
      </c>
      <c r="I417">
        <v>4</v>
      </c>
      <c r="J417">
        <v>3</v>
      </c>
      <c r="M417">
        <v>99</v>
      </c>
      <c r="N417">
        <v>13</v>
      </c>
      <c r="O417">
        <v>3253153.1531531541</v>
      </c>
      <c r="P417">
        <v>5968468.4684684686</v>
      </c>
      <c r="Q417">
        <v>30</v>
      </c>
      <c r="S417">
        <v>18621612.612612613</v>
      </c>
      <c r="T417">
        <v>20807630.630630631</v>
      </c>
      <c r="U417">
        <v>3881981.9819819811</v>
      </c>
      <c r="V417">
        <v>4430270.2702702703</v>
      </c>
      <c r="W417">
        <v>3838</v>
      </c>
      <c r="X417">
        <v>3890</v>
      </c>
    </row>
    <row r="418" spans="1:24">
      <c r="A418" s="7" t="s">
        <v>512</v>
      </c>
      <c r="B418" s="16" t="s">
        <v>62</v>
      </c>
      <c r="C418">
        <v>670974445.34878731</v>
      </c>
      <c r="D418">
        <v>650442978.26574194</v>
      </c>
      <c r="E418">
        <v>3320720.7207207219</v>
      </c>
      <c r="F418">
        <v>4188288.2882882948</v>
      </c>
      <c r="G418">
        <v>153</v>
      </c>
      <c r="H418">
        <v>151</v>
      </c>
      <c r="I418">
        <v>4</v>
      </c>
      <c r="J418">
        <v>26</v>
      </c>
      <c r="M418">
        <v>170</v>
      </c>
      <c r="N418">
        <v>272</v>
      </c>
      <c r="O418">
        <v>25672972.972972967</v>
      </c>
      <c r="P418">
        <v>105642612.61261261</v>
      </c>
      <c r="Q418">
        <v>68</v>
      </c>
      <c r="R418">
        <v>203</v>
      </c>
      <c r="S418">
        <v>127608000</v>
      </c>
      <c r="T418">
        <v>135581903.6036036</v>
      </c>
      <c r="U418">
        <v>26410990.990990993</v>
      </c>
      <c r="V418">
        <v>103373963.96396397</v>
      </c>
      <c r="W418">
        <v>14556</v>
      </c>
      <c r="X418">
        <v>14264</v>
      </c>
    </row>
    <row r="419" spans="1:24">
      <c r="A419" s="7" t="s">
        <v>513</v>
      </c>
      <c r="B419" s="16" t="s">
        <v>117</v>
      </c>
      <c r="C419">
        <v>76227656.675006941</v>
      </c>
      <c r="D419">
        <v>67900713.098333061</v>
      </c>
      <c r="E419">
        <v>15315.315315317001</v>
      </c>
      <c r="F419">
        <v>291891.89189189201</v>
      </c>
      <c r="G419">
        <v>87</v>
      </c>
      <c r="H419">
        <v>31</v>
      </c>
      <c r="I419">
        <v>4</v>
      </c>
      <c r="J419">
        <v>3</v>
      </c>
      <c r="M419">
        <v>88</v>
      </c>
      <c r="N419">
        <v>31</v>
      </c>
      <c r="O419">
        <v>3547027.0270270281</v>
      </c>
      <c r="P419">
        <v>3736306.3063063058</v>
      </c>
      <c r="Q419">
        <v>38</v>
      </c>
      <c r="R419">
        <v>2</v>
      </c>
      <c r="S419">
        <v>36339594.59459459</v>
      </c>
      <c r="T419">
        <v>29286909.909909911</v>
      </c>
      <c r="U419">
        <v>3041171.1711711702</v>
      </c>
      <c r="V419">
        <v>2975315.3153153169</v>
      </c>
      <c r="W419">
        <v>2090</v>
      </c>
      <c r="X419">
        <v>2085</v>
      </c>
    </row>
    <row r="420" spans="1:24">
      <c r="A420" s="7" t="s">
        <v>514</v>
      </c>
      <c r="B420" s="16" t="s">
        <v>304</v>
      </c>
      <c r="C420">
        <v>129971340.97684456</v>
      </c>
      <c r="D420">
        <v>121953682.90470229</v>
      </c>
      <c r="E420">
        <v>295495.49549549603</v>
      </c>
      <c r="F420">
        <v>1572072.072072072</v>
      </c>
      <c r="G420">
        <v>48</v>
      </c>
      <c r="H420">
        <v>67</v>
      </c>
      <c r="I420">
        <v>6</v>
      </c>
      <c r="J420">
        <v>12</v>
      </c>
      <c r="M420">
        <v>51</v>
      </c>
      <c r="N420">
        <v>72</v>
      </c>
      <c r="O420">
        <v>3043243.243243244</v>
      </c>
      <c r="P420">
        <v>10107657.657657659</v>
      </c>
      <c r="Q420">
        <v>88</v>
      </c>
      <c r="R420">
        <v>15</v>
      </c>
      <c r="S420">
        <v>11513513.513513515</v>
      </c>
      <c r="T420">
        <v>12222612.612612613</v>
      </c>
      <c r="U420">
        <v>4437117.1171171172</v>
      </c>
      <c r="V420">
        <v>10211801.801801803</v>
      </c>
      <c r="W420">
        <v>1496</v>
      </c>
      <c r="X420">
        <v>1523</v>
      </c>
    </row>
    <row r="421" spans="1:24">
      <c r="A421" s="7" t="s">
        <v>683</v>
      </c>
      <c r="B421" s="16" t="s">
        <v>304</v>
      </c>
      <c r="E421">
        <v>82855612.612612605</v>
      </c>
      <c r="F421">
        <v>108868000.9009009</v>
      </c>
      <c r="O421">
        <v>31485585.585585583</v>
      </c>
    </row>
    <row r="422" spans="1:24">
      <c r="A422" s="7" t="s">
        <v>515</v>
      </c>
      <c r="B422" s="16" t="s">
        <v>304</v>
      </c>
      <c r="C422">
        <v>37845989.405941062</v>
      </c>
      <c r="D422">
        <v>33411469.877809353</v>
      </c>
      <c r="E422">
        <v>194954.954954955</v>
      </c>
      <c r="F422">
        <v>262162.16216216201</v>
      </c>
      <c r="G422">
        <v>12</v>
      </c>
      <c r="H422">
        <v>9</v>
      </c>
      <c r="I422">
        <v>3</v>
      </c>
      <c r="J422">
        <v>7</v>
      </c>
      <c r="M422">
        <v>12</v>
      </c>
      <c r="N422">
        <v>9</v>
      </c>
      <c r="O422">
        <v>4744504.5045045028</v>
      </c>
      <c r="P422">
        <v>4313513.5135135129</v>
      </c>
      <c r="Q422">
        <v>28</v>
      </c>
      <c r="R422">
        <v>28</v>
      </c>
      <c r="S422">
        <v>5606891.891891893</v>
      </c>
      <c r="T422">
        <v>5008747.7477477472</v>
      </c>
      <c r="U422">
        <v>4560180.180180179</v>
      </c>
      <c r="V422">
        <v>3170540.5405405401</v>
      </c>
      <c r="W422">
        <v>606</v>
      </c>
      <c r="X422">
        <v>600</v>
      </c>
    </row>
    <row r="423" spans="1:24">
      <c r="A423" s="7" t="s">
        <v>516</v>
      </c>
      <c r="B423" s="16" t="s">
        <v>304</v>
      </c>
      <c r="C423">
        <v>69713570.469665036</v>
      </c>
      <c r="D423">
        <v>72493145.992162779</v>
      </c>
      <c r="E423">
        <v>23963.963963964001</v>
      </c>
      <c r="F423">
        <v>715315.31531531399</v>
      </c>
      <c r="G423">
        <v>32</v>
      </c>
      <c r="H423">
        <v>35</v>
      </c>
      <c r="I423">
        <v>2</v>
      </c>
      <c r="J423">
        <v>14</v>
      </c>
      <c r="M423">
        <v>35</v>
      </c>
      <c r="N423">
        <v>41</v>
      </c>
      <c r="O423">
        <v>5249189.1891891882</v>
      </c>
      <c r="P423">
        <v>4019819.8198198192</v>
      </c>
      <c r="Q423">
        <v>52</v>
      </c>
      <c r="R423">
        <v>25</v>
      </c>
      <c r="S423">
        <v>9914639.6396396402</v>
      </c>
      <c r="T423">
        <v>10816315.315315315</v>
      </c>
      <c r="U423">
        <v>4579009.0090090092</v>
      </c>
      <c r="V423">
        <v>3419279.2792792791</v>
      </c>
      <c r="W423">
        <v>1094</v>
      </c>
      <c r="X423">
        <v>1079</v>
      </c>
    </row>
    <row r="424" spans="1:24">
      <c r="A424" s="7" t="s">
        <v>517</v>
      </c>
      <c r="B424" s="16" t="s">
        <v>304</v>
      </c>
      <c r="C424">
        <v>58834237.010843381</v>
      </c>
      <c r="D424">
        <v>56639582.930584624</v>
      </c>
      <c r="E424">
        <v>155855.855855856</v>
      </c>
      <c r="F424">
        <v>94594.594594594993</v>
      </c>
      <c r="G424">
        <v>18</v>
      </c>
      <c r="H424">
        <v>21</v>
      </c>
      <c r="I424">
        <v>3</v>
      </c>
      <c r="J424">
        <v>4</v>
      </c>
      <c r="M424">
        <v>19</v>
      </c>
      <c r="N424">
        <v>23</v>
      </c>
      <c r="O424">
        <v>2245945.945945946</v>
      </c>
      <c r="P424">
        <v>1445945.945945946</v>
      </c>
      <c r="Q424">
        <v>8</v>
      </c>
      <c r="R424">
        <v>5</v>
      </c>
      <c r="S424">
        <v>7849729.7297297288</v>
      </c>
      <c r="T424">
        <v>7310486.4864864862</v>
      </c>
      <c r="U424">
        <v>1889009.0090090081</v>
      </c>
      <c r="V424">
        <v>1076486.4864864859</v>
      </c>
      <c r="W424">
        <v>894</v>
      </c>
      <c r="X424">
        <v>723</v>
      </c>
    </row>
    <row r="425" spans="1:24">
      <c r="A425" s="7" t="s">
        <v>518</v>
      </c>
      <c r="B425" s="16" t="s">
        <v>448</v>
      </c>
      <c r="C425">
        <v>60993213.257893078</v>
      </c>
      <c r="D425">
        <v>58176990.451084599</v>
      </c>
      <c r="E425">
        <v>127566216.21621622</v>
      </c>
      <c r="F425">
        <v>319946846.84684682</v>
      </c>
      <c r="G425">
        <v>35</v>
      </c>
      <c r="H425">
        <v>13</v>
      </c>
      <c r="I425">
        <v>3</v>
      </c>
      <c r="M425">
        <v>43</v>
      </c>
      <c r="N425">
        <v>15</v>
      </c>
      <c r="O425">
        <v>6713288.2882882869</v>
      </c>
      <c r="P425">
        <v>6329729.7297297297</v>
      </c>
      <c r="Q425">
        <v>20</v>
      </c>
      <c r="S425">
        <v>21489216.216216218</v>
      </c>
      <c r="T425">
        <v>19865578.828828827</v>
      </c>
      <c r="U425">
        <v>4145045.0450450452</v>
      </c>
      <c r="V425">
        <v>4226126.1261261264</v>
      </c>
      <c r="W425">
        <v>1776</v>
      </c>
      <c r="X425">
        <v>1775</v>
      </c>
    </row>
    <row r="426" spans="1:24">
      <c r="A426" s="7" t="s">
        <v>519</v>
      </c>
      <c r="B426" s="16" t="s">
        <v>85</v>
      </c>
      <c r="C426">
        <v>179186136.52775705</v>
      </c>
      <c r="D426">
        <v>179577201.07160544</v>
      </c>
      <c r="E426">
        <v>226126.126126127</v>
      </c>
      <c r="F426">
        <v>1396396.3963963969</v>
      </c>
      <c r="G426">
        <v>45</v>
      </c>
      <c r="H426">
        <v>23</v>
      </c>
      <c r="I426">
        <v>6</v>
      </c>
      <c r="J426">
        <v>7</v>
      </c>
      <c r="M426">
        <v>53</v>
      </c>
      <c r="N426">
        <v>34</v>
      </c>
      <c r="O426">
        <v>26433333.333333332</v>
      </c>
      <c r="P426">
        <v>38541891.891891897</v>
      </c>
      <c r="Q426">
        <v>49</v>
      </c>
      <c r="R426">
        <v>48</v>
      </c>
      <c r="S426">
        <v>43628243.24324324</v>
      </c>
      <c r="T426">
        <v>44652000</v>
      </c>
      <c r="U426">
        <v>18777747.747747749</v>
      </c>
      <c r="V426">
        <v>33257790.990990993</v>
      </c>
      <c r="W426">
        <v>3954</v>
      </c>
      <c r="X426">
        <v>4146</v>
      </c>
    </row>
    <row r="427" spans="1:24">
      <c r="A427" s="7" t="s">
        <v>520</v>
      </c>
      <c r="B427" s="16" t="s">
        <v>304</v>
      </c>
      <c r="C427">
        <v>90678615.262500599</v>
      </c>
      <c r="D427">
        <v>92499714.514744669</v>
      </c>
      <c r="E427">
        <v>372072.07207207201</v>
      </c>
      <c r="F427">
        <v>44144.144144143997</v>
      </c>
      <c r="G427">
        <v>44</v>
      </c>
      <c r="H427">
        <v>12</v>
      </c>
      <c r="I427">
        <v>2</v>
      </c>
      <c r="J427">
        <v>5</v>
      </c>
      <c r="M427">
        <v>45</v>
      </c>
      <c r="N427">
        <v>13</v>
      </c>
      <c r="O427">
        <v>6885585.5855855858</v>
      </c>
      <c r="P427">
        <v>5756756.7567567565</v>
      </c>
      <c r="Q427">
        <v>12</v>
      </c>
      <c r="R427">
        <v>8</v>
      </c>
      <c r="S427">
        <v>15946891.891891891</v>
      </c>
      <c r="T427">
        <v>15822085.585585587</v>
      </c>
      <c r="U427">
        <v>3540450.4504504502</v>
      </c>
      <c r="V427">
        <v>2678378.3783783782</v>
      </c>
      <c r="W427">
        <v>1561</v>
      </c>
      <c r="X427">
        <v>1338</v>
      </c>
    </row>
    <row r="428" spans="1:24">
      <c r="A428" s="7" t="s">
        <v>521</v>
      </c>
      <c r="B428" s="16" t="s">
        <v>399</v>
      </c>
      <c r="C428">
        <v>651029516.99362934</v>
      </c>
      <c r="D428">
        <v>632693558.9325701</v>
      </c>
      <c r="E428">
        <v>246386508.10810813</v>
      </c>
      <c r="F428">
        <v>162554954.05405405</v>
      </c>
      <c r="G428">
        <v>336</v>
      </c>
      <c r="H428">
        <v>144</v>
      </c>
      <c r="I428">
        <v>41</v>
      </c>
      <c r="J428">
        <v>43</v>
      </c>
      <c r="K428">
        <v>6</v>
      </c>
      <c r="M428">
        <v>387</v>
      </c>
      <c r="N428">
        <v>632</v>
      </c>
      <c r="O428">
        <v>139938558.55855855</v>
      </c>
      <c r="P428">
        <v>123248198.19819821</v>
      </c>
      <c r="Q428">
        <v>575</v>
      </c>
      <c r="R428">
        <v>980</v>
      </c>
      <c r="S428">
        <v>159663873.87387389</v>
      </c>
      <c r="T428">
        <v>161848711.7117117</v>
      </c>
      <c r="U428">
        <v>114664414.41441442</v>
      </c>
      <c r="V428">
        <v>100200720.72072072</v>
      </c>
      <c r="W428">
        <v>14266</v>
      </c>
      <c r="X428">
        <v>13559</v>
      </c>
    </row>
    <row r="429" spans="1:24">
      <c r="A429" s="7" t="s">
        <v>522</v>
      </c>
      <c r="B429" s="16" t="s">
        <v>143</v>
      </c>
      <c r="C429">
        <v>185725540.49300295</v>
      </c>
      <c r="D429">
        <v>177396785.53966427</v>
      </c>
      <c r="E429">
        <v>292792.792792794</v>
      </c>
      <c r="F429">
        <v>303603.60360360402</v>
      </c>
      <c r="G429">
        <v>38</v>
      </c>
      <c r="H429">
        <v>53</v>
      </c>
      <c r="I429">
        <v>6</v>
      </c>
      <c r="J429">
        <v>2</v>
      </c>
      <c r="M429">
        <v>44</v>
      </c>
      <c r="N429">
        <v>56</v>
      </c>
      <c r="O429">
        <v>12220720.72072072</v>
      </c>
      <c r="P429">
        <v>11564864.864864865</v>
      </c>
      <c r="Q429">
        <v>18</v>
      </c>
      <c r="S429">
        <v>21689450.450450446</v>
      </c>
      <c r="T429">
        <v>22897612.612612613</v>
      </c>
      <c r="U429">
        <v>10413963.963963967</v>
      </c>
      <c r="V429">
        <v>10107297.297297295</v>
      </c>
      <c r="W429">
        <v>2971</v>
      </c>
      <c r="X429">
        <v>2923</v>
      </c>
    </row>
    <row r="430" spans="1:24">
      <c r="A430" s="7" t="s">
        <v>523</v>
      </c>
      <c r="B430" s="16" t="s">
        <v>66</v>
      </c>
      <c r="C430">
        <v>121692485.95961474</v>
      </c>
      <c r="D430">
        <v>125114140.84221122</v>
      </c>
      <c r="E430">
        <v>65405.405405406003</v>
      </c>
      <c r="F430">
        <v>3063063.0630630651</v>
      </c>
      <c r="G430">
        <v>33</v>
      </c>
      <c r="H430">
        <v>28</v>
      </c>
      <c r="I430">
        <v>3</v>
      </c>
      <c r="J430">
        <v>4</v>
      </c>
      <c r="K430">
        <v>1</v>
      </c>
      <c r="M430">
        <v>39</v>
      </c>
      <c r="N430">
        <v>33</v>
      </c>
      <c r="O430">
        <v>13664774.774774775</v>
      </c>
      <c r="P430">
        <v>59888288.288288288</v>
      </c>
      <c r="Q430">
        <v>158</v>
      </c>
      <c r="R430">
        <v>11</v>
      </c>
      <c r="S430">
        <v>57299216.216216214</v>
      </c>
      <c r="T430">
        <v>60021531.531531535</v>
      </c>
      <c r="U430">
        <v>13561711.711711712</v>
      </c>
      <c r="V430">
        <v>49740360.360360362</v>
      </c>
      <c r="W430">
        <v>3625</v>
      </c>
      <c r="X430">
        <v>3883</v>
      </c>
    </row>
    <row r="431" spans="1:24">
      <c r="A431" s="7" t="s">
        <v>524</v>
      </c>
      <c r="B431" s="16" t="s">
        <v>220</v>
      </c>
      <c r="C431">
        <v>173981997.68525529</v>
      </c>
      <c r="D431">
        <v>160501716.28090349</v>
      </c>
      <c r="E431">
        <v>614414.41441441502</v>
      </c>
      <c r="F431">
        <v>684684.68468468403</v>
      </c>
      <c r="G431">
        <v>64</v>
      </c>
      <c r="H431">
        <v>57</v>
      </c>
      <c r="I431">
        <v>3</v>
      </c>
      <c r="J431">
        <v>2</v>
      </c>
      <c r="M431">
        <v>71</v>
      </c>
      <c r="N431">
        <v>65</v>
      </c>
      <c r="O431">
        <v>10784684.684684685</v>
      </c>
      <c r="P431">
        <v>11504504.504504504</v>
      </c>
      <c r="Q431">
        <v>3</v>
      </c>
      <c r="R431">
        <v>7</v>
      </c>
      <c r="S431">
        <v>42716198.198198199</v>
      </c>
      <c r="T431">
        <v>39980099.099099107</v>
      </c>
      <c r="U431">
        <v>9005045.0450450443</v>
      </c>
      <c r="V431">
        <v>8538918.9189189188</v>
      </c>
      <c r="W431">
        <v>4461</v>
      </c>
      <c r="X431">
        <v>4242</v>
      </c>
    </row>
    <row r="432" spans="1:24">
      <c r="A432" s="7" t="s">
        <v>525</v>
      </c>
      <c r="B432" s="16" t="s">
        <v>413</v>
      </c>
      <c r="C432">
        <v>1847824271.9499249</v>
      </c>
      <c r="D432">
        <v>1770260992.5209956</v>
      </c>
      <c r="E432">
        <v>914607826.12612605</v>
      </c>
      <c r="F432">
        <v>560616536.93693697</v>
      </c>
      <c r="G432">
        <v>382</v>
      </c>
      <c r="H432">
        <v>294</v>
      </c>
      <c r="I432">
        <v>23</v>
      </c>
      <c r="J432">
        <v>60</v>
      </c>
      <c r="M432">
        <v>647</v>
      </c>
      <c r="N432">
        <v>1234</v>
      </c>
      <c r="O432">
        <v>145714425.22522521</v>
      </c>
      <c r="P432">
        <v>147294000</v>
      </c>
      <c r="Q432">
        <v>1058</v>
      </c>
      <c r="R432">
        <v>774</v>
      </c>
      <c r="S432">
        <v>522917990.990991</v>
      </c>
      <c r="T432">
        <v>519828265.76576579</v>
      </c>
      <c r="U432">
        <v>138450313.51351351</v>
      </c>
      <c r="V432">
        <v>152428378.37837836</v>
      </c>
      <c r="W432">
        <v>32728</v>
      </c>
      <c r="X432">
        <v>31486</v>
      </c>
    </row>
    <row r="433" spans="1:24">
      <c r="A433" s="7" t="s">
        <v>526</v>
      </c>
      <c r="B433" s="16" t="s">
        <v>413</v>
      </c>
      <c r="C433">
        <v>217516829.07628632</v>
      </c>
      <c r="D433">
        <v>196647328.25580567</v>
      </c>
      <c r="E433">
        <v>15315.315315316</v>
      </c>
      <c r="F433">
        <v>948873.87387387396</v>
      </c>
      <c r="G433">
        <v>29</v>
      </c>
      <c r="H433">
        <v>34</v>
      </c>
      <c r="I433">
        <v>1</v>
      </c>
      <c r="J433">
        <v>3</v>
      </c>
      <c r="M433">
        <v>32</v>
      </c>
      <c r="N433">
        <v>41</v>
      </c>
      <c r="O433">
        <v>11781801.801801803</v>
      </c>
      <c r="P433">
        <v>11848516.216216216</v>
      </c>
      <c r="Q433">
        <v>42</v>
      </c>
      <c r="R433">
        <v>30</v>
      </c>
      <c r="S433">
        <v>62011342.342342347</v>
      </c>
      <c r="T433">
        <v>61537954.954954952</v>
      </c>
      <c r="U433">
        <v>9875045.0450450443</v>
      </c>
      <c r="V433">
        <v>9927927.927927928</v>
      </c>
      <c r="W433">
        <v>4622</v>
      </c>
      <c r="X433">
        <v>4517</v>
      </c>
    </row>
    <row r="434" spans="1:24">
      <c r="A434" s="7" t="s">
        <v>661</v>
      </c>
      <c r="B434" s="16" t="s">
        <v>189</v>
      </c>
      <c r="C434">
        <v>3672141.5903658988</v>
      </c>
      <c r="D434">
        <v>575126.97232171695</v>
      </c>
      <c r="E434">
        <v>3603603.6036036038</v>
      </c>
      <c r="F434">
        <v>3603603.6036036038</v>
      </c>
      <c r="G434">
        <v>7</v>
      </c>
      <c r="H434">
        <v>1</v>
      </c>
      <c r="M434">
        <v>7</v>
      </c>
      <c r="N434">
        <v>1</v>
      </c>
      <c r="S434">
        <v>1201351.351351351</v>
      </c>
      <c r="T434">
        <v>412837.83783783799</v>
      </c>
      <c r="W434">
        <v>156</v>
      </c>
      <c r="X434">
        <v>104</v>
      </c>
    </row>
    <row r="435" spans="1:24">
      <c r="A435" s="7" t="s">
        <v>527</v>
      </c>
      <c r="B435" s="16" t="s">
        <v>147</v>
      </c>
      <c r="C435">
        <v>429161844.6374535</v>
      </c>
      <c r="D435">
        <v>410597368.15190107</v>
      </c>
      <c r="E435">
        <v>1462162.1621621649</v>
      </c>
      <c r="F435">
        <v>7872297.2972973008</v>
      </c>
      <c r="G435">
        <v>72</v>
      </c>
      <c r="H435">
        <v>124</v>
      </c>
      <c r="I435">
        <v>10</v>
      </c>
      <c r="J435">
        <v>10</v>
      </c>
      <c r="M435">
        <v>86</v>
      </c>
      <c r="N435">
        <v>473</v>
      </c>
      <c r="O435">
        <v>31547927.927927926</v>
      </c>
      <c r="P435">
        <v>111219591.8918919</v>
      </c>
      <c r="Q435">
        <v>242</v>
      </c>
      <c r="R435">
        <v>409</v>
      </c>
      <c r="S435">
        <v>134064135.13513513</v>
      </c>
      <c r="T435">
        <v>148935079.27927929</v>
      </c>
      <c r="U435">
        <v>33444414.414414417</v>
      </c>
      <c r="V435">
        <v>108074684.68468469</v>
      </c>
      <c r="W435">
        <v>10052</v>
      </c>
      <c r="X435">
        <v>9837</v>
      </c>
    </row>
    <row r="436" spans="1:24">
      <c r="A436" s="7" t="s">
        <v>528</v>
      </c>
      <c r="B436" s="16" t="s">
        <v>121</v>
      </c>
      <c r="C436">
        <v>46533242.25590159</v>
      </c>
      <c r="D436">
        <v>45737144.067251898</v>
      </c>
      <c r="E436">
        <v>150225.22522522599</v>
      </c>
      <c r="F436">
        <v>461261.26126126101</v>
      </c>
      <c r="G436">
        <v>27</v>
      </c>
      <c r="H436">
        <v>23</v>
      </c>
      <c r="I436">
        <v>4</v>
      </c>
      <c r="J436">
        <v>3</v>
      </c>
      <c r="M436">
        <v>28</v>
      </c>
      <c r="N436">
        <v>27</v>
      </c>
      <c r="O436">
        <v>2794594.594594595</v>
      </c>
      <c r="P436">
        <v>5321621.6216216218</v>
      </c>
      <c r="Q436">
        <v>13</v>
      </c>
      <c r="R436">
        <v>7</v>
      </c>
      <c r="S436">
        <v>5165495.4954954963</v>
      </c>
      <c r="T436">
        <v>6120103.6036036033</v>
      </c>
      <c r="U436">
        <v>2298738.7387387389</v>
      </c>
      <c r="V436">
        <v>4269999.9999999991</v>
      </c>
      <c r="W436">
        <v>971</v>
      </c>
      <c r="X436">
        <v>1041</v>
      </c>
    </row>
    <row r="437" spans="1:24">
      <c r="A437" s="7" t="s">
        <v>529</v>
      </c>
      <c r="B437" s="16" t="s">
        <v>448</v>
      </c>
      <c r="C437">
        <v>109510450.40562193</v>
      </c>
      <c r="D437">
        <v>81884235.111597836</v>
      </c>
      <c r="E437">
        <v>910090.09009009099</v>
      </c>
      <c r="F437">
        <v>415315.31531531701</v>
      </c>
      <c r="G437">
        <v>45</v>
      </c>
      <c r="H437">
        <v>68</v>
      </c>
      <c r="I437">
        <v>1</v>
      </c>
      <c r="J437">
        <v>0</v>
      </c>
      <c r="M437">
        <v>46</v>
      </c>
      <c r="N437">
        <v>147</v>
      </c>
      <c r="O437">
        <v>7870720.7207207223</v>
      </c>
      <c r="P437">
        <v>4254054.0540540526</v>
      </c>
      <c r="Q437">
        <v>59</v>
      </c>
      <c r="S437">
        <v>50800972.972972974</v>
      </c>
      <c r="T437">
        <v>40277002.252252258</v>
      </c>
      <c r="U437">
        <v>8128738.7387387408</v>
      </c>
      <c r="V437">
        <v>4097477.4774774751</v>
      </c>
      <c r="W437">
        <v>2229</v>
      </c>
      <c r="X437">
        <v>2017</v>
      </c>
    </row>
    <row r="438" spans="1:24">
      <c r="A438" s="7" t="s">
        <v>530</v>
      </c>
      <c r="B438" s="16" t="s">
        <v>448</v>
      </c>
      <c r="C438">
        <v>194589781.97109422</v>
      </c>
      <c r="D438">
        <v>191713244.74507618</v>
      </c>
      <c r="E438">
        <v>98198.198198198006</v>
      </c>
      <c r="F438">
        <v>1249549.549549551</v>
      </c>
      <c r="G438">
        <v>184</v>
      </c>
      <c r="H438">
        <v>119</v>
      </c>
      <c r="I438">
        <v>9</v>
      </c>
      <c r="J438">
        <v>8</v>
      </c>
      <c r="M438">
        <v>211</v>
      </c>
      <c r="N438">
        <v>217</v>
      </c>
      <c r="O438">
        <v>22542972.972972974</v>
      </c>
      <c r="P438">
        <v>8395045.0450450461</v>
      </c>
      <c r="Q438">
        <v>131</v>
      </c>
      <c r="R438">
        <v>33</v>
      </c>
      <c r="S438">
        <v>91454234.234234244</v>
      </c>
      <c r="T438">
        <v>91799297.297297299</v>
      </c>
      <c r="U438">
        <v>22853963.963963963</v>
      </c>
      <c r="V438">
        <v>9208828.8288288284</v>
      </c>
      <c r="W438">
        <v>5043</v>
      </c>
      <c r="X438">
        <v>5449</v>
      </c>
    </row>
    <row r="439" spans="1:24">
      <c r="A439" s="7" t="s">
        <v>531</v>
      </c>
      <c r="B439" s="16" t="s">
        <v>123</v>
      </c>
      <c r="C439">
        <v>502422749.20623672</v>
      </c>
      <c r="D439">
        <v>511336366.6698122</v>
      </c>
      <c r="E439">
        <v>156044614.41441444</v>
      </c>
      <c r="F439">
        <v>244057949.54954958</v>
      </c>
      <c r="G439">
        <v>153</v>
      </c>
      <c r="H439">
        <v>315</v>
      </c>
      <c r="I439">
        <v>38</v>
      </c>
      <c r="J439">
        <v>40</v>
      </c>
      <c r="K439">
        <v>7</v>
      </c>
      <c r="M439">
        <v>230</v>
      </c>
      <c r="N439">
        <v>772</v>
      </c>
      <c r="O439">
        <v>147896936.93693691</v>
      </c>
      <c r="P439">
        <v>192148918.91891891</v>
      </c>
      <c r="Q439">
        <v>1570</v>
      </c>
      <c r="R439">
        <v>2782</v>
      </c>
      <c r="S439">
        <v>172967721.62162164</v>
      </c>
      <c r="T439">
        <v>181556633.33333334</v>
      </c>
      <c r="U439">
        <v>152316846.84684685</v>
      </c>
      <c r="V439">
        <v>187685495.4954955</v>
      </c>
      <c r="W439">
        <v>11427</v>
      </c>
      <c r="X439">
        <v>11475</v>
      </c>
    </row>
    <row r="440" spans="1:24">
      <c r="A440" s="7" t="s">
        <v>532</v>
      </c>
      <c r="B440" s="16" t="s">
        <v>85</v>
      </c>
      <c r="C440">
        <v>159874764.7170386</v>
      </c>
      <c r="D440">
        <v>147864099.51291406</v>
      </c>
      <c r="E440">
        <v>4265765.7657657666</v>
      </c>
      <c r="F440">
        <v>630630.63063063205</v>
      </c>
      <c r="G440">
        <v>14</v>
      </c>
      <c r="H440">
        <v>15</v>
      </c>
      <c r="I440">
        <v>5</v>
      </c>
      <c r="J440">
        <v>3</v>
      </c>
      <c r="M440">
        <v>15</v>
      </c>
      <c r="N440">
        <v>50</v>
      </c>
      <c r="O440">
        <v>30986486.486486487</v>
      </c>
      <c r="P440">
        <v>22767207.207207207</v>
      </c>
      <c r="Q440">
        <v>27</v>
      </c>
      <c r="R440">
        <v>24</v>
      </c>
      <c r="S440">
        <v>36475045.045045048</v>
      </c>
      <c r="T440">
        <v>32087837.837837841</v>
      </c>
      <c r="U440">
        <v>24596216.216216218</v>
      </c>
      <c r="V440">
        <v>17609909.909909911</v>
      </c>
      <c r="W440">
        <v>3719</v>
      </c>
      <c r="X440">
        <v>3532</v>
      </c>
    </row>
    <row r="441" spans="1:24">
      <c r="A441" s="7" t="s">
        <v>9</v>
      </c>
      <c r="B441" s="16" t="s">
        <v>158</v>
      </c>
      <c r="C441">
        <v>418557239.04655689</v>
      </c>
      <c r="D441">
        <v>398620443.48848742</v>
      </c>
      <c r="E441">
        <v>7286173.8738738792</v>
      </c>
      <c r="F441">
        <v>11154598.198198205</v>
      </c>
      <c r="G441">
        <v>77</v>
      </c>
      <c r="H441">
        <v>59</v>
      </c>
      <c r="I441">
        <v>19</v>
      </c>
      <c r="J441">
        <v>17</v>
      </c>
      <c r="K441">
        <v>4</v>
      </c>
      <c r="M441">
        <v>90</v>
      </c>
      <c r="N441">
        <v>68</v>
      </c>
      <c r="O441">
        <v>644204023.42342353</v>
      </c>
      <c r="P441">
        <v>564007518.91891897</v>
      </c>
      <c r="Q441">
        <v>315</v>
      </c>
      <c r="R441">
        <v>147</v>
      </c>
      <c r="S441">
        <v>149439756.75675678</v>
      </c>
      <c r="T441">
        <v>144516225.22522521</v>
      </c>
      <c r="U441">
        <v>539868828.82882881</v>
      </c>
      <c r="V441">
        <v>483946396.3963964</v>
      </c>
      <c r="W441">
        <v>7073</v>
      </c>
      <c r="X441">
        <v>7014</v>
      </c>
    </row>
    <row r="442" spans="1:24">
      <c r="A442" s="7" t="s">
        <v>533</v>
      </c>
      <c r="B442" s="16" t="s">
        <v>94</v>
      </c>
      <c r="C442">
        <v>401231924.28818434</v>
      </c>
      <c r="D442">
        <v>384022314.29377216</v>
      </c>
      <c r="E442">
        <v>278378.37837837997</v>
      </c>
      <c r="F442">
        <v>1313513.513513518</v>
      </c>
      <c r="G442">
        <v>70</v>
      </c>
      <c r="H442">
        <v>81</v>
      </c>
      <c r="I442">
        <v>12</v>
      </c>
      <c r="J442">
        <v>10</v>
      </c>
      <c r="K442">
        <v>1</v>
      </c>
      <c r="M442">
        <v>75</v>
      </c>
      <c r="N442">
        <v>91</v>
      </c>
      <c r="O442">
        <v>33463063.063063063</v>
      </c>
      <c r="P442">
        <v>34848648.648648649</v>
      </c>
      <c r="Q442">
        <v>98</v>
      </c>
      <c r="R442">
        <v>320</v>
      </c>
      <c r="S442">
        <v>45734545.945945941</v>
      </c>
      <c r="T442">
        <v>52016702.702702701</v>
      </c>
      <c r="U442">
        <v>23561351.351351351</v>
      </c>
      <c r="V442">
        <v>22159639.639639638</v>
      </c>
      <c r="W442">
        <v>6343</v>
      </c>
      <c r="X442">
        <v>6319</v>
      </c>
    </row>
    <row r="443" spans="1:24">
      <c r="A443" s="7" t="s">
        <v>534</v>
      </c>
      <c r="B443" s="16" t="s">
        <v>304</v>
      </c>
      <c r="C443">
        <v>10146680.404877326</v>
      </c>
      <c r="D443">
        <v>10319951.428121051</v>
      </c>
      <c r="G443">
        <v>7</v>
      </c>
      <c r="H443">
        <v>4</v>
      </c>
      <c r="M443">
        <v>7</v>
      </c>
      <c r="N443">
        <v>4</v>
      </c>
      <c r="S443">
        <v>902837.83783783799</v>
      </c>
      <c r="T443">
        <v>1680495.4954954949</v>
      </c>
      <c r="W443">
        <v>251</v>
      </c>
      <c r="X443">
        <v>419</v>
      </c>
    </row>
    <row r="444" spans="1:24">
      <c r="A444" s="7" t="s">
        <v>535</v>
      </c>
      <c r="B444" s="16" t="s">
        <v>304</v>
      </c>
      <c r="C444">
        <v>164391831.32238346</v>
      </c>
      <c r="D444">
        <v>157327721.2429167</v>
      </c>
      <c r="E444">
        <v>1049549.5495495501</v>
      </c>
      <c r="F444">
        <v>708108.10810810805</v>
      </c>
      <c r="G444">
        <v>48</v>
      </c>
      <c r="H444">
        <v>15</v>
      </c>
      <c r="I444">
        <v>6</v>
      </c>
      <c r="J444">
        <v>7</v>
      </c>
      <c r="M444">
        <v>52</v>
      </c>
      <c r="N444">
        <v>23</v>
      </c>
      <c r="O444">
        <v>10923423.423423424</v>
      </c>
      <c r="P444">
        <v>13183783.783783784</v>
      </c>
      <c r="Q444">
        <v>74</v>
      </c>
      <c r="R444">
        <v>16</v>
      </c>
      <c r="S444">
        <v>14263693.693693692</v>
      </c>
      <c r="T444">
        <v>14016441.441441439</v>
      </c>
      <c r="U444">
        <v>6236306.3063063063</v>
      </c>
      <c r="V444">
        <v>5095315.3153153146</v>
      </c>
      <c r="W444">
        <v>2819</v>
      </c>
      <c r="X444">
        <v>2687</v>
      </c>
    </row>
    <row r="445" spans="1:24">
      <c r="A445" s="7" t="s">
        <v>536</v>
      </c>
      <c r="B445" s="16" t="s">
        <v>85</v>
      </c>
      <c r="C445">
        <v>139496424.76988184</v>
      </c>
      <c r="D445">
        <v>138127994.92554289</v>
      </c>
      <c r="E445">
        <v>300900.900900901</v>
      </c>
      <c r="F445">
        <v>816216.21621621796</v>
      </c>
      <c r="G445">
        <v>171</v>
      </c>
      <c r="H445">
        <v>54</v>
      </c>
      <c r="I445">
        <v>6</v>
      </c>
      <c r="J445">
        <v>6</v>
      </c>
      <c r="M445">
        <v>188</v>
      </c>
      <c r="N445">
        <v>65</v>
      </c>
      <c r="O445">
        <v>42688288.288288288</v>
      </c>
      <c r="P445">
        <v>52336846.846846849</v>
      </c>
      <c r="Q445">
        <v>51</v>
      </c>
      <c r="R445">
        <v>58</v>
      </c>
      <c r="S445">
        <v>63369234.234234229</v>
      </c>
      <c r="T445">
        <v>63048324.324324325</v>
      </c>
      <c r="U445">
        <v>40899909.909909911</v>
      </c>
      <c r="V445">
        <v>40337477.477477469</v>
      </c>
      <c r="W445">
        <v>3248</v>
      </c>
      <c r="X445">
        <v>2888</v>
      </c>
    </row>
    <row r="446" spans="1:24">
      <c r="A446" s="7" t="s">
        <v>537</v>
      </c>
      <c r="B446" s="16" t="s">
        <v>448</v>
      </c>
      <c r="C446">
        <v>196725008.68217054</v>
      </c>
      <c r="D446">
        <v>191542130.35247138</v>
      </c>
      <c r="E446">
        <v>164864.86486486701</v>
      </c>
      <c r="F446">
        <v>1904504.5045045069</v>
      </c>
      <c r="G446">
        <v>244</v>
      </c>
      <c r="H446">
        <v>97</v>
      </c>
      <c r="I446">
        <v>4</v>
      </c>
      <c r="J446">
        <v>6</v>
      </c>
      <c r="M446">
        <v>251</v>
      </c>
      <c r="N446">
        <v>251</v>
      </c>
      <c r="O446">
        <v>8820945.9459459446</v>
      </c>
      <c r="P446">
        <v>15547927.927927926</v>
      </c>
      <c r="Q446">
        <v>85</v>
      </c>
      <c r="R446">
        <v>16</v>
      </c>
      <c r="S446">
        <v>57064468.468468472</v>
      </c>
      <c r="T446">
        <v>54218493.693693697</v>
      </c>
      <c r="U446">
        <v>9059009.0090090074</v>
      </c>
      <c r="V446">
        <v>16352702.702702699</v>
      </c>
      <c r="W446">
        <v>5118</v>
      </c>
      <c r="X446">
        <v>4871</v>
      </c>
    </row>
    <row r="447" spans="1:24">
      <c r="A447" s="7" t="s">
        <v>538</v>
      </c>
      <c r="B447" s="16" t="s">
        <v>117</v>
      </c>
      <c r="C447">
        <v>440693481.999569</v>
      </c>
      <c r="D447">
        <v>440508176.29249388</v>
      </c>
      <c r="E447">
        <v>1855900.9009009071</v>
      </c>
      <c r="F447">
        <v>10031531.531531533</v>
      </c>
      <c r="G447">
        <v>193</v>
      </c>
      <c r="H447">
        <v>126</v>
      </c>
      <c r="I447">
        <v>38</v>
      </c>
      <c r="J447">
        <v>38</v>
      </c>
      <c r="K447">
        <v>1</v>
      </c>
      <c r="M447">
        <v>246</v>
      </c>
      <c r="N447">
        <v>183</v>
      </c>
      <c r="O447">
        <v>79903101.801801786</v>
      </c>
      <c r="P447">
        <v>99410539.639639646</v>
      </c>
      <c r="Q447">
        <v>254</v>
      </c>
      <c r="R447">
        <v>111</v>
      </c>
      <c r="S447">
        <v>232715360.36036035</v>
      </c>
      <c r="T447">
        <v>251537891.8918919</v>
      </c>
      <c r="U447">
        <v>79660540.540540546</v>
      </c>
      <c r="V447">
        <v>91109189.189189181</v>
      </c>
      <c r="W447">
        <v>10805</v>
      </c>
      <c r="X447">
        <v>11309</v>
      </c>
    </row>
    <row r="448" spans="1:24">
      <c r="A448" s="7" t="s">
        <v>539</v>
      </c>
      <c r="B448" s="16" t="s">
        <v>83</v>
      </c>
      <c r="C448">
        <v>1375698927.3077521</v>
      </c>
      <c r="D448">
        <v>1353888306.5436952</v>
      </c>
      <c r="E448">
        <v>2090765.765765768</v>
      </c>
      <c r="F448">
        <v>6702780.1801801817</v>
      </c>
      <c r="G448">
        <v>222</v>
      </c>
      <c r="H448">
        <v>277</v>
      </c>
      <c r="I448">
        <v>19</v>
      </c>
      <c r="J448">
        <v>21</v>
      </c>
      <c r="K448">
        <v>1</v>
      </c>
      <c r="M448">
        <v>245</v>
      </c>
      <c r="N448">
        <v>322</v>
      </c>
      <c r="O448">
        <v>74599549.54954955</v>
      </c>
      <c r="P448">
        <v>87710441.441441447</v>
      </c>
      <c r="Q448">
        <v>254</v>
      </c>
      <c r="R448">
        <v>413</v>
      </c>
      <c r="S448">
        <v>139370763.96396396</v>
      </c>
      <c r="T448">
        <v>147605363.51351351</v>
      </c>
      <c r="U448">
        <v>68480043.243243247</v>
      </c>
      <c r="V448">
        <v>75630763.963963971</v>
      </c>
      <c r="W448">
        <v>22232</v>
      </c>
      <c r="X448">
        <v>21386</v>
      </c>
    </row>
    <row r="449" spans="1:24">
      <c r="A449" s="7" t="s">
        <v>540</v>
      </c>
      <c r="B449" s="16" t="s">
        <v>315</v>
      </c>
      <c r="C449">
        <v>162018212.16187596</v>
      </c>
      <c r="D449">
        <v>166924927.18771982</v>
      </c>
      <c r="E449">
        <v>3655045.0450450452</v>
      </c>
      <c r="F449">
        <v>2302027.0270270258</v>
      </c>
      <c r="G449">
        <v>22</v>
      </c>
      <c r="H449">
        <v>22</v>
      </c>
      <c r="I449">
        <v>1</v>
      </c>
      <c r="J449">
        <v>1</v>
      </c>
      <c r="M449">
        <v>23</v>
      </c>
      <c r="N449">
        <v>39</v>
      </c>
      <c r="O449">
        <v>14261261.26126126</v>
      </c>
      <c r="P449">
        <v>12890540.540540541</v>
      </c>
      <c r="R449">
        <v>51</v>
      </c>
      <c r="S449">
        <v>29165268.468468469</v>
      </c>
      <c r="T449">
        <v>32289369.369369369</v>
      </c>
      <c r="U449">
        <v>13534007.207207207</v>
      </c>
      <c r="V449">
        <v>10858918.918918915</v>
      </c>
      <c r="W449">
        <v>2650</v>
      </c>
      <c r="X449">
        <v>2421</v>
      </c>
    </row>
    <row r="450" spans="1:24">
      <c r="A450" s="7" t="s">
        <v>541</v>
      </c>
      <c r="B450" s="16" t="s">
        <v>169</v>
      </c>
      <c r="C450">
        <v>1201686724.8795683</v>
      </c>
      <c r="D450">
        <v>1148862535.1148071</v>
      </c>
      <c r="E450">
        <v>1763513.5135135141</v>
      </c>
      <c r="F450">
        <v>2883783.7837837879</v>
      </c>
      <c r="G450">
        <v>144</v>
      </c>
      <c r="H450">
        <v>120</v>
      </c>
      <c r="I450">
        <v>7</v>
      </c>
      <c r="J450">
        <v>7</v>
      </c>
      <c r="K450">
        <v>2</v>
      </c>
      <c r="M450">
        <v>177</v>
      </c>
      <c r="N450">
        <v>220</v>
      </c>
      <c r="O450">
        <v>55955106.306306303</v>
      </c>
      <c r="P450">
        <v>72558445.945945948</v>
      </c>
      <c r="Q450">
        <v>350</v>
      </c>
      <c r="R450">
        <v>160</v>
      </c>
      <c r="S450">
        <v>424295189.1891892</v>
      </c>
      <c r="T450">
        <v>425663069.81981987</v>
      </c>
      <c r="U450">
        <v>52628558.558558561</v>
      </c>
      <c r="V450">
        <v>69915765.765765771</v>
      </c>
      <c r="W450">
        <v>21526</v>
      </c>
      <c r="X450">
        <v>22307</v>
      </c>
    </row>
    <row r="451" spans="1:24">
      <c r="A451" s="7" t="s">
        <v>542</v>
      </c>
      <c r="B451" s="16" t="s">
        <v>479</v>
      </c>
      <c r="C451">
        <v>375767951.2856515</v>
      </c>
      <c r="D451">
        <v>356545650.17427838</v>
      </c>
      <c r="E451">
        <v>1036936.936936937</v>
      </c>
      <c r="F451">
        <v>1153153.153153152</v>
      </c>
      <c r="G451">
        <v>31</v>
      </c>
      <c r="H451">
        <v>37</v>
      </c>
      <c r="I451">
        <v>0</v>
      </c>
      <c r="J451">
        <v>0</v>
      </c>
      <c r="M451">
        <v>37</v>
      </c>
      <c r="N451">
        <v>41</v>
      </c>
      <c r="O451">
        <v>9444144.1441441402</v>
      </c>
      <c r="P451">
        <v>3351351.3513513491</v>
      </c>
      <c r="Q451">
        <v>3</v>
      </c>
      <c r="R451">
        <v>80</v>
      </c>
      <c r="S451">
        <v>47632333.333333336</v>
      </c>
      <c r="T451">
        <v>46624333.333333336</v>
      </c>
      <c r="U451">
        <v>8658108.1081081033</v>
      </c>
      <c r="V451">
        <v>2472252.2522522509</v>
      </c>
      <c r="W451">
        <v>5308</v>
      </c>
      <c r="X451">
        <v>5331</v>
      </c>
    </row>
    <row r="452" spans="1:24">
      <c r="A452" s="7" t="s">
        <v>543</v>
      </c>
      <c r="B452" s="16" t="s">
        <v>80</v>
      </c>
      <c r="C452">
        <v>102348720.27142341</v>
      </c>
      <c r="D452">
        <v>86186500.172096133</v>
      </c>
      <c r="E452">
        <v>169369.369369369</v>
      </c>
      <c r="F452">
        <v>656306.30630630499</v>
      </c>
      <c r="G452">
        <v>29</v>
      </c>
      <c r="H452">
        <v>26</v>
      </c>
      <c r="I452">
        <v>3</v>
      </c>
      <c r="J452">
        <v>4</v>
      </c>
      <c r="M452">
        <v>30</v>
      </c>
      <c r="N452">
        <v>34</v>
      </c>
      <c r="O452">
        <v>12781081.081081081</v>
      </c>
      <c r="P452">
        <v>26314864.864864863</v>
      </c>
      <c r="Q452">
        <v>30</v>
      </c>
      <c r="R452">
        <v>54</v>
      </c>
      <c r="S452">
        <v>35618819.819819823</v>
      </c>
      <c r="T452">
        <v>31896009.009009007</v>
      </c>
      <c r="U452">
        <v>9581621.6216216236</v>
      </c>
      <c r="V452">
        <v>24772252.252252251</v>
      </c>
      <c r="W452">
        <v>2320</v>
      </c>
      <c r="X452">
        <v>2376</v>
      </c>
    </row>
    <row r="453" spans="1:24">
      <c r="A453" s="7" t="s">
        <v>544</v>
      </c>
      <c r="B453" s="16" t="s">
        <v>169</v>
      </c>
      <c r="C453">
        <v>121392693.439072</v>
      </c>
      <c r="D453">
        <v>92823935.163235411</v>
      </c>
      <c r="E453">
        <v>135135.135135135</v>
      </c>
      <c r="F453">
        <v>277477.47747747699</v>
      </c>
      <c r="G453">
        <v>30</v>
      </c>
      <c r="H453">
        <v>14</v>
      </c>
      <c r="J453">
        <v>0</v>
      </c>
      <c r="M453">
        <v>31</v>
      </c>
      <c r="N453">
        <v>15</v>
      </c>
      <c r="O453">
        <v>2837837.8378378372</v>
      </c>
      <c r="P453">
        <v>1178378.378378378</v>
      </c>
      <c r="S453">
        <v>48244989.189189196</v>
      </c>
      <c r="T453">
        <v>39219403.603603601</v>
      </c>
      <c r="U453">
        <v>2915495.4954954949</v>
      </c>
      <c r="V453">
        <v>571801.80180180096</v>
      </c>
      <c r="W453">
        <v>2563</v>
      </c>
      <c r="X453">
        <v>2441</v>
      </c>
    </row>
    <row r="454" spans="1:24">
      <c r="A454" s="7" t="s">
        <v>545</v>
      </c>
      <c r="B454" s="16" t="s">
        <v>224</v>
      </c>
      <c r="C454">
        <v>22907.305738734001</v>
      </c>
      <c r="D454">
        <v>9827.3572880310003</v>
      </c>
      <c r="S454">
        <v>10585.585585586001</v>
      </c>
    </row>
    <row r="455" spans="1:24">
      <c r="A455" s="7" t="s">
        <v>546</v>
      </c>
      <c r="B455" s="16" t="s">
        <v>136</v>
      </c>
      <c r="C455">
        <v>234241685.07836741</v>
      </c>
      <c r="D455">
        <v>226498954.26594612</v>
      </c>
      <c r="E455">
        <v>470720.720720721</v>
      </c>
      <c r="F455">
        <v>901801.80180180504</v>
      </c>
      <c r="G455">
        <v>86</v>
      </c>
      <c r="H455">
        <v>75</v>
      </c>
      <c r="I455">
        <v>7</v>
      </c>
      <c r="J455">
        <v>7</v>
      </c>
      <c r="M455">
        <v>92</v>
      </c>
      <c r="N455">
        <v>83</v>
      </c>
      <c r="O455">
        <v>49836756.75675676</v>
      </c>
      <c r="P455">
        <v>48976576.576576576</v>
      </c>
      <c r="Q455">
        <v>56</v>
      </c>
      <c r="R455">
        <v>62</v>
      </c>
      <c r="S455">
        <v>75522108.108108118</v>
      </c>
      <c r="T455">
        <v>74570106.306306303</v>
      </c>
      <c r="U455">
        <v>42932072.072072074</v>
      </c>
      <c r="V455">
        <v>40799009.009009011</v>
      </c>
      <c r="W455">
        <v>4558</v>
      </c>
      <c r="X455">
        <v>4324</v>
      </c>
    </row>
    <row r="456" spans="1:24">
      <c r="A456" s="7" t="s">
        <v>547</v>
      </c>
      <c r="B456" s="16" t="s">
        <v>136</v>
      </c>
      <c r="C456">
        <v>431098109.80795777</v>
      </c>
      <c r="D456">
        <v>431706544.98148888</v>
      </c>
      <c r="E456">
        <v>295882650.45045042</v>
      </c>
      <c r="F456">
        <v>227071163.96396396</v>
      </c>
      <c r="G456">
        <v>242</v>
      </c>
      <c r="H456">
        <v>203</v>
      </c>
      <c r="I456">
        <v>20</v>
      </c>
      <c r="J456">
        <v>19</v>
      </c>
      <c r="M456">
        <v>270</v>
      </c>
      <c r="N456">
        <v>243</v>
      </c>
      <c r="O456">
        <v>105768558.55855855</v>
      </c>
      <c r="P456">
        <v>110818018.01801802</v>
      </c>
      <c r="Q456">
        <v>261</v>
      </c>
      <c r="R456">
        <v>145</v>
      </c>
      <c r="S456">
        <v>138094407.2072072</v>
      </c>
      <c r="T456">
        <v>143425004.5045045</v>
      </c>
      <c r="U456">
        <v>93898061.261261269</v>
      </c>
      <c r="V456">
        <v>92221657.657657668</v>
      </c>
      <c r="W456">
        <v>12560</v>
      </c>
      <c r="X456">
        <v>12468</v>
      </c>
    </row>
    <row r="457" spans="1:24">
      <c r="A457" s="7" t="s">
        <v>548</v>
      </c>
      <c r="B457" s="16" t="s">
        <v>136</v>
      </c>
      <c r="C457">
        <v>493241713.88120925</v>
      </c>
      <c r="D457">
        <v>480131514.38078088</v>
      </c>
      <c r="E457">
        <v>41345945.945945941</v>
      </c>
      <c r="F457">
        <v>16518918.918918921</v>
      </c>
      <c r="G457">
        <v>147</v>
      </c>
      <c r="H457">
        <v>67</v>
      </c>
      <c r="I457">
        <v>6</v>
      </c>
      <c r="J457">
        <v>3</v>
      </c>
      <c r="M457">
        <v>158</v>
      </c>
      <c r="N457">
        <v>79</v>
      </c>
      <c r="O457">
        <v>20753153.153153151</v>
      </c>
      <c r="P457">
        <v>19226126.126126129</v>
      </c>
      <c r="Q457">
        <v>73</v>
      </c>
      <c r="R457">
        <v>28</v>
      </c>
      <c r="S457">
        <v>77110711.711711705</v>
      </c>
      <c r="T457">
        <v>77972097.297297299</v>
      </c>
      <c r="U457">
        <v>19132882.882882886</v>
      </c>
      <c r="V457">
        <v>17875135.135135137</v>
      </c>
      <c r="W457">
        <v>8311</v>
      </c>
      <c r="X457">
        <v>8231</v>
      </c>
    </row>
    <row r="458" spans="1:24">
      <c r="A458" s="7" t="s">
        <v>549</v>
      </c>
      <c r="B458" s="16" t="s">
        <v>136</v>
      </c>
      <c r="C458">
        <v>232401538.48373094</v>
      </c>
      <c r="D458">
        <v>200669548.25149959</v>
      </c>
      <c r="E458">
        <v>349549.54954954999</v>
      </c>
      <c r="F458">
        <v>564864.86486486602</v>
      </c>
      <c r="G458">
        <v>57</v>
      </c>
      <c r="H458">
        <v>37</v>
      </c>
      <c r="I458">
        <v>6</v>
      </c>
      <c r="J458">
        <v>3</v>
      </c>
      <c r="M458">
        <v>62</v>
      </c>
      <c r="N458">
        <v>42</v>
      </c>
      <c r="O458">
        <v>17782522.52252252</v>
      </c>
      <c r="P458">
        <v>15330630.630630627</v>
      </c>
      <c r="Q458">
        <v>3</v>
      </c>
      <c r="R458">
        <v>15</v>
      </c>
      <c r="S458">
        <v>40326349.54954955</v>
      </c>
      <c r="T458">
        <v>33797270.270270273</v>
      </c>
      <c r="U458">
        <v>16542385.585585589</v>
      </c>
      <c r="V458">
        <v>13157837.837837838</v>
      </c>
      <c r="W458">
        <v>3729</v>
      </c>
      <c r="X458">
        <v>3707</v>
      </c>
    </row>
    <row r="459" spans="1:24">
      <c r="A459" s="7" t="s">
        <v>550</v>
      </c>
      <c r="B459" s="16" t="s">
        <v>87</v>
      </c>
      <c r="C459">
        <v>94668161.501463622</v>
      </c>
      <c r="D459">
        <v>81310906.714979559</v>
      </c>
      <c r="E459">
        <v>911711.71171171195</v>
      </c>
      <c r="F459">
        <v>133333.33333333299</v>
      </c>
      <c r="G459">
        <v>61</v>
      </c>
      <c r="H459">
        <v>31</v>
      </c>
      <c r="I459">
        <v>2</v>
      </c>
      <c r="J459">
        <v>2</v>
      </c>
      <c r="M459">
        <v>64</v>
      </c>
      <c r="N459">
        <v>39</v>
      </c>
      <c r="O459">
        <v>5618918.9189189188</v>
      </c>
      <c r="P459">
        <v>5427027.0270270268</v>
      </c>
      <c r="Q459">
        <v>9</v>
      </c>
      <c r="R459">
        <v>21</v>
      </c>
      <c r="S459">
        <v>16652232.432432432</v>
      </c>
      <c r="T459">
        <v>12790909.90990991</v>
      </c>
      <c r="U459">
        <v>5177837.8378378376</v>
      </c>
      <c r="V459">
        <v>5083243.2432432426</v>
      </c>
      <c r="W459">
        <v>1456</v>
      </c>
      <c r="X459">
        <v>1373</v>
      </c>
    </row>
    <row r="460" spans="1:24">
      <c r="A460" s="7" t="s">
        <v>551</v>
      </c>
      <c r="B460" s="16" t="s">
        <v>87</v>
      </c>
      <c r="C460">
        <v>137301673.59290209</v>
      </c>
      <c r="D460">
        <v>125124433.414294</v>
      </c>
      <c r="E460">
        <v>50450.450450450997</v>
      </c>
      <c r="F460">
        <v>4072072.0720720729</v>
      </c>
      <c r="G460">
        <v>131</v>
      </c>
      <c r="H460">
        <v>71</v>
      </c>
      <c r="I460">
        <v>4</v>
      </c>
      <c r="J460">
        <v>3</v>
      </c>
      <c r="K460">
        <v>1</v>
      </c>
      <c r="M460">
        <v>145</v>
      </c>
      <c r="N460">
        <v>87</v>
      </c>
      <c r="O460">
        <v>14871621.621621622</v>
      </c>
      <c r="P460">
        <v>11383783.783783784</v>
      </c>
      <c r="Q460">
        <v>6</v>
      </c>
      <c r="R460">
        <v>13</v>
      </c>
      <c r="S460">
        <v>19834099.0990991</v>
      </c>
      <c r="T460">
        <v>19085124.324324325</v>
      </c>
      <c r="U460">
        <v>9781621.6216216218</v>
      </c>
      <c r="V460">
        <v>7901981.9819819815</v>
      </c>
      <c r="W460">
        <v>2712</v>
      </c>
      <c r="X460">
        <v>2443</v>
      </c>
    </row>
    <row r="461" spans="1:24">
      <c r="A461" s="7" t="s">
        <v>552</v>
      </c>
      <c r="B461" s="16" t="s">
        <v>66</v>
      </c>
      <c r="C461">
        <v>254488889.92657173</v>
      </c>
      <c r="D461">
        <v>249428681.65748906</v>
      </c>
      <c r="E461">
        <v>1902432.432432435</v>
      </c>
      <c r="F461">
        <v>8797297.2972972989</v>
      </c>
      <c r="G461">
        <v>189</v>
      </c>
      <c r="H461">
        <v>76</v>
      </c>
      <c r="I461">
        <v>10</v>
      </c>
      <c r="J461">
        <v>8</v>
      </c>
      <c r="M461">
        <v>207</v>
      </c>
      <c r="N461">
        <v>179</v>
      </c>
      <c r="O461">
        <v>51526396.396396399</v>
      </c>
      <c r="P461">
        <v>201422072.07207206</v>
      </c>
      <c r="Q461">
        <v>514</v>
      </c>
      <c r="R461">
        <v>220</v>
      </c>
      <c r="S461">
        <v>107037621.62162161</v>
      </c>
      <c r="T461">
        <v>105859389.63963965</v>
      </c>
      <c r="U461">
        <v>49036216.216216214</v>
      </c>
      <c r="V461">
        <v>165434594.5945946</v>
      </c>
      <c r="W461">
        <v>8859</v>
      </c>
      <c r="X461">
        <v>8865</v>
      </c>
    </row>
    <row r="462" spans="1:24">
      <c r="A462" s="7" t="s">
        <v>553</v>
      </c>
      <c r="B462" s="16" t="s">
        <v>554</v>
      </c>
      <c r="C462">
        <v>535228107.42126453</v>
      </c>
      <c r="D462">
        <v>496960492.00876027</v>
      </c>
      <c r="E462">
        <v>10420720.72072072</v>
      </c>
      <c r="F462">
        <v>10969819.819819825</v>
      </c>
      <c r="G462">
        <v>260</v>
      </c>
      <c r="H462">
        <v>93</v>
      </c>
      <c r="I462">
        <v>16</v>
      </c>
      <c r="J462">
        <v>17</v>
      </c>
      <c r="K462">
        <v>1</v>
      </c>
      <c r="M462">
        <v>351</v>
      </c>
      <c r="N462">
        <v>123</v>
      </c>
      <c r="O462">
        <v>53099459.459459461</v>
      </c>
      <c r="P462">
        <v>177863963.96396396</v>
      </c>
      <c r="Q462">
        <v>125</v>
      </c>
      <c r="R462">
        <v>335</v>
      </c>
      <c r="S462">
        <v>142024576.57657659</v>
      </c>
      <c r="T462">
        <v>135596558.55855855</v>
      </c>
      <c r="U462">
        <v>49167027.027027026</v>
      </c>
      <c r="V462">
        <v>171136936.93693691</v>
      </c>
      <c r="W462">
        <v>9333</v>
      </c>
      <c r="X462">
        <v>9169</v>
      </c>
    </row>
    <row r="463" spans="1:24">
      <c r="A463" s="7" t="s">
        <v>555</v>
      </c>
      <c r="B463" s="16" t="s">
        <v>554</v>
      </c>
      <c r="C463">
        <v>85839139.265598655</v>
      </c>
      <c r="D463">
        <v>77081630.478765845</v>
      </c>
      <c r="E463">
        <v>66718282.882882878</v>
      </c>
      <c r="F463">
        <v>165480554.05405405</v>
      </c>
      <c r="G463">
        <v>50</v>
      </c>
      <c r="H463">
        <v>31</v>
      </c>
      <c r="I463">
        <v>3</v>
      </c>
      <c r="J463">
        <v>3</v>
      </c>
      <c r="M463">
        <v>51</v>
      </c>
      <c r="N463">
        <v>32</v>
      </c>
      <c r="O463">
        <v>12470090.090090092</v>
      </c>
      <c r="P463">
        <v>22806306.306306306</v>
      </c>
      <c r="Q463">
        <v>20</v>
      </c>
      <c r="R463">
        <v>22</v>
      </c>
      <c r="S463">
        <v>31580720.72072072</v>
      </c>
      <c r="T463">
        <v>27790081.081081081</v>
      </c>
      <c r="U463">
        <v>7958558.558558559</v>
      </c>
      <c r="V463">
        <v>11064594.594594596</v>
      </c>
      <c r="W463">
        <v>1667</v>
      </c>
      <c r="X463">
        <v>1505</v>
      </c>
    </row>
    <row r="464" spans="1:24">
      <c r="A464" s="7" t="s">
        <v>556</v>
      </c>
      <c r="B464" s="16" t="s">
        <v>121</v>
      </c>
      <c r="C464">
        <v>60640912.887353733</v>
      </c>
      <c r="D464">
        <v>56640618.981178723</v>
      </c>
      <c r="E464">
        <v>180180.18018018</v>
      </c>
      <c r="F464">
        <v>180180.18018018</v>
      </c>
      <c r="G464">
        <v>50</v>
      </c>
      <c r="H464">
        <v>26</v>
      </c>
      <c r="I464">
        <v>1</v>
      </c>
      <c r="M464">
        <v>53</v>
      </c>
      <c r="N464">
        <v>33</v>
      </c>
      <c r="O464">
        <v>270270.27027027</v>
      </c>
      <c r="P464">
        <v>3628399.0990990992</v>
      </c>
      <c r="Q464">
        <v>10</v>
      </c>
      <c r="S464">
        <v>5621576.5765765766</v>
      </c>
      <c r="T464">
        <v>5134450.4504504502</v>
      </c>
      <c r="U464">
        <v>350270.27027027</v>
      </c>
      <c r="V464">
        <v>118918.91891891899</v>
      </c>
      <c r="W464">
        <v>1483</v>
      </c>
      <c r="X464">
        <v>1569</v>
      </c>
    </row>
    <row r="465" spans="1:24">
      <c r="A465" s="7" t="s">
        <v>684</v>
      </c>
      <c r="B465" s="16" t="s">
        <v>236</v>
      </c>
      <c r="E465">
        <v>30337162.162162159</v>
      </c>
      <c r="F465">
        <v>106914414.41441442</v>
      </c>
      <c r="O465">
        <v>572522.52252252295</v>
      </c>
      <c r="P465">
        <v>1418018.018018018</v>
      </c>
    </row>
    <row r="466" spans="1:24">
      <c r="A466" s="7" t="s">
        <v>557</v>
      </c>
      <c r="B466" s="16" t="s">
        <v>70</v>
      </c>
      <c r="C466">
        <v>460026347.98001987</v>
      </c>
      <c r="D466">
        <v>456850120.00149924</v>
      </c>
      <c r="E466">
        <v>2468873.8738738731</v>
      </c>
      <c r="F466">
        <v>4751351.3513513599</v>
      </c>
      <c r="G466">
        <v>122</v>
      </c>
      <c r="H466">
        <v>99</v>
      </c>
      <c r="I466">
        <v>9</v>
      </c>
      <c r="J466">
        <v>23</v>
      </c>
      <c r="M466">
        <v>133</v>
      </c>
      <c r="N466">
        <v>130</v>
      </c>
      <c r="O466">
        <v>53057387.387387395</v>
      </c>
      <c r="P466">
        <v>61170270.270270273</v>
      </c>
      <c r="Q466">
        <v>21</v>
      </c>
      <c r="R466">
        <v>276</v>
      </c>
      <c r="S466">
        <v>187840792.7927928</v>
      </c>
      <c r="T466">
        <v>193503045.04504505</v>
      </c>
      <c r="U466">
        <v>57798288.288288288</v>
      </c>
      <c r="V466">
        <v>57880540.540540539</v>
      </c>
      <c r="W466">
        <v>10310</v>
      </c>
      <c r="X466">
        <v>10116</v>
      </c>
    </row>
    <row r="467" spans="1:24">
      <c r="A467" s="7" t="s">
        <v>558</v>
      </c>
      <c r="B467" s="16" t="s">
        <v>62</v>
      </c>
      <c r="C467">
        <v>828393998.11603403</v>
      </c>
      <c r="D467">
        <v>826026477.63698149</v>
      </c>
      <c r="E467">
        <v>77819144.144144163</v>
      </c>
      <c r="F467">
        <v>207110090.09009007</v>
      </c>
      <c r="G467">
        <v>289</v>
      </c>
      <c r="H467">
        <v>311</v>
      </c>
      <c r="I467">
        <v>30</v>
      </c>
      <c r="J467">
        <v>21</v>
      </c>
      <c r="K467">
        <v>9</v>
      </c>
      <c r="M467">
        <v>381</v>
      </c>
      <c r="N467">
        <v>535</v>
      </c>
      <c r="O467">
        <v>63823153.153153151</v>
      </c>
      <c r="P467">
        <v>134482342.34234235</v>
      </c>
      <c r="Q467">
        <v>215</v>
      </c>
      <c r="R467">
        <v>307</v>
      </c>
      <c r="S467">
        <v>195418899.0990991</v>
      </c>
      <c r="T467">
        <v>191543243.24324322</v>
      </c>
      <c r="U467">
        <v>62024774.774774767</v>
      </c>
      <c r="V467">
        <v>122627477.47747748</v>
      </c>
      <c r="W467">
        <v>18217</v>
      </c>
      <c r="X467">
        <v>17996</v>
      </c>
    </row>
    <row r="468" spans="1:24">
      <c r="A468" s="7" t="s">
        <v>559</v>
      </c>
      <c r="B468" s="16" t="s">
        <v>479</v>
      </c>
      <c r="C468">
        <v>440784643.30093026</v>
      </c>
      <c r="D468">
        <v>385229592.6200459</v>
      </c>
      <c r="E468">
        <v>927027.02702702803</v>
      </c>
      <c r="F468">
        <v>4156756.7567567588</v>
      </c>
      <c r="G468">
        <v>210</v>
      </c>
      <c r="H468">
        <v>141</v>
      </c>
      <c r="I468">
        <v>19</v>
      </c>
      <c r="J468">
        <v>23</v>
      </c>
      <c r="K468">
        <v>2</v>
      </c>
      <c r="M468">
        <v>222</v>
      </c>
      <c r="N468">
        <v>170</v>
      </c>
      <c r="O468">
        <v>43535675.675675683</v>
      </c>
      <c r="P468">
        <v>62898198.198198199</v>
      </c>
      <c r="Q468">
        <v>20</v>
      </c>
      <c r="R468">
        <v>113</v>
      </c>
      <c r="S468">
        <v>125868709.9099099</v>
      </c>
      <c r="T468">
        <v>118332178.37837839</v>
      </c>
      <c r="U468">
        <v>43377927.927927926</v>
      </c>
      <c r="V468">
        <v>53525225.225225225</v>
      </c>
      <c r="W468">
        <v>8017</v>
      </c>
      <c r="X468">
        <v>8583</v>
      </c>
    </row>
    <row r="469" spans="1:24">
      <c r="A469" s="7" t="s">
        <v>560</v>
      </c>
      <c r="B469" s="16" t="s">
        <v>236</v>
      </c>
      <c r="C469">
        <v>67584614.98522225</v>
      </c>
      <c r="D469">
        <v>67657914.865956098</v>
      </c>
      <c r="E469">
        <v>38738.738738740001</v>
      </c>
      <c r="F469">
        <v>1248648.648648649</v>
      </c>
      <c r="G469">
        <v>29</v>
      </c>
      <c r="H469">
        <v>21</v>
      </c>
      <c r="I469">
        <v>3</v>
      </c>
      <c r="J469">
        <v>2</v>
      </c>
      <c r="M469">
        <v>32</v>
      </c>
      <c r="N469">
        <v>57</v>
      </c>
      <c r="O469">
        <v>5028828.8288288303</v>
      </c>
      <c r="P469">
        <v>5601531.5315315314</v>
      </c>
      <c r="Q469">
        <v>3</v>
      </c>
      <c r="R469">
        <v>20</v>
      </c>
      <c r="S469">
        <v>25982477.477477476</v>
      </c>
      <c r="T469">
        <v>25140648.648648649</v>
      </c>
      <c r="U469">
        <v>5671981.9819819815</v>
      </c>
      <c r="V469">
        <v>5360720.7207207186</v>
      </c>
      <c r="W469">
        <v>2172</v>
      </c>
      <c r="X469">
        <v>2033</v>
      </c>
    </row>
    <row r="470" spans="1:24">
      <c r="A470" s="7" t="s">
        <v>561</v>
      </c>
      <c r="B470" s="16" t="s">
        <v>60</v>
      </c>
      <c r="C470">
        <v>64042863.205201775</v>
      </c>
      <c r="D470">
        <v>63552330.184785768</v>
      </c>
      <c r="E470">
        <v>763513.513513515</v>
      </c>
      <c r="F470">
        <v>2744144.144144143</v>
      </c>
      <c r="G470">
        <v>21</v>
      </c>
      <c r="H470">
        <v>23</v>
      </c>
      <c r="I470">
        <v>3</v>
      </c>
      <c r="J470">
        <v>7</v>
      </c>
      <c r="M470">
        <v>23</v>
      </c>
      <c r="N470">
        <v>40</v>
      </c>
      <c r="O470">
        <v>12772522.522522522</v>
      </c>
      <c r="P470">
        <v>18869369.369369373</v>
      </c>
      <c r="Q470">
        <v>48</v>
      </c>
      <c r="R470">
        <v>88</v>
      </c>
      <c r="S470">
        <v>22138063.063063063</v>
      </c>
      <c r="T470">
        <v>22216270.270270273</v>
      </c>
      <c r="U470">
        <v>13053873.873873875</v>
      </c>
      <c r="V470">
        <v>16749549.54954955</v>
      </c>
      <c r="W470">
        <v>1208</v>
      </c>
      <c r="X470">
        <v>1221</v>
      </c>
    </row>
    <row r="471" spans="1:24">
      <c r="A471" s="7" t="s">
        <v>562</v>
      </c>
      <c r="B471" s="16" t="s">
        <v>563</v>
      </c>
      <c r="C471">
        <v>358213556.96584982</v>
      </c>
      <c r="D471">
        <v>360188412.54517025</v>
      </c>
      <c r="E471">
        <v>675370034.23423421</v>
      </c>
      <c r="F471">
        <v>746610611.71171176</v>
      </c>
      <c r="G471">
        <v>367</v>
      </c>
      <c r="H471">
        <v>420</v>
      </c>
      <c r="I471">
        <v>21</v>
      </c>
      <c r="J471">
        <v>27</v>
      </c>
      <c r="K471">
        <v>1</v>
      </c>
      <c r="M471">
        <v>591</v>
      </c>
      <c r="N471">
        <v>987</v>
      </c>
      <c r="O471">
        <v>662038972.97297287</v>
      </c>
      <c r="P471">
        <v>678590286.48648655</v>
      </c>
      <c r="Q471">
        <v>357</v>
      </c>
      <c r="R471">
        <v>121</v>
      </c>
      <c r="S471">
        <v>145886081.08108109</v>
      </c>
      <c r="T471">
        <v>154840054.05405405</v>
      </c>
      <c r="U471">
        <v>197160769.36936939</v>
      </c>
      <c r="V471">
        <v>506470639.63963962</v>
      </c>
      <c r="W471">
        <v>8705</v>
      </c>
      <c r="X471">
        <v>10351</v>
      </c>
    </row>
    <row r="472" spans="1:24">
      <c r="A472" s="7" t="s">
        <v>564</v>
      </c>
      <c r="B472" s="16" t="s">
        <v>563</v>
      </c>
      <c r="C472">
        <v>491284045.40643513</v>
      </c>
      <c r="D472">
        <v>486991894.81016088</v>
      </c>
      <c r="E472">
        <v>1641801.8018018061</v>
      </c>
      <c r="F472">
        <v>6208108.1081081107</v>
      </c>
      <c r="G472">
        <v>167</v>
      </c>
      <c r="H472">
        <v>147</v>
      </c>
      <c r="I472">
        <v>27</v>
      </c>
      <c r="J472">
        <v>20</v>
      </c>
      <c r="K472">
        <v>1</v>
      </c>
      <c r="M472">
        <v>208</v>
      </c>
      <c r="N472">
        <v>166</v>
      </c>
      <c r="O472">
        <v>49564054.054054059</v>
      </c>
      <c r="P472">
        <v>50661353.153153151</v>
      </c>
      <c r="Q472">
        <v>443</v>
      </c>
      <c r="R472">
        <v>235</v>
      </c>
      <c r="S472">
        <v>200421756.75675678</v>
      </c>
      <c r="T472">
        <v>201503603.6036036</v>
      </c>
      <c r="U472">
        <v>58259819.819819815</v>
      </c>
      <c r="V472">
        <v>53484954.954954952</v>
      </c>
      <c r="W472">
        <v>11922</v>
      </c>
      <c r="X472">
        <v>12263</v>
      </c>
    </row>
    <row r="473" spans="1:24">
      <c r="A473" s="7" t="s">
        <v>565</v>
      </c>
      <c r="B473" s="16" t="s">
        <v>563</v>
      </c>
      <c r="C473">
        <v>360158703.28989404</v>
      </c>
      <c r="D473">
        <v>352028442.60510182</v>
      </c>
      <c r="E473">
        <v>38671801.801801801</v>
      </c>
      <c r="F473">
        <v>54593063.063063063</v>
      </c>
      <c r="G473">
        <v>133</v>
      </c>
      <c r="H473">
        <v>276</v>
      </c>
      <c r="I473">
        <v>25</v>
      </c>
      <c r="J473">
        <v>21</v>
      </c>
      <c r="K473">
        <v>1</v>
      </c>
      <c r="M473">
        <v>321</v>
      </c>
      <c r="N473">
        <v>381</v>
      </c>
      <c r="O473">
        <v>240109909.90990993</v>
      </c>
      <c r="P473">
        <v>55938199.0990991</v>
      </c>
      <c r="Q473">
        <v>391</v>
      </c>
      <c r="R473">
        <v>386</v>
      </c>
      <c r="S473">
        <v>156216072.07207206</v>
      </c>
      <c r="T473">
        <v>156989108.1081081</v>
      </c>
      <c r="U473">
        <v>236785135.13513514</v>
      </c>
      <c r="V473">
        <v>39586666.666666664</v>
      </c>
      <c r="W473">
        <v>12232</v>
      </c>
      <c r="X473">
        <v>11308</v>
      </c>
    </row>
    <row r="474" spans="1:24">
      <c r="A474" s="7" t="s">
        <v>566</v>
      </c>
      <c r="B474" s="16" t="s">
        <v>563</v>
      </c>
      <c r="C474">
        <v>228088835.06976402</v>
      </c>
      <c r="D474">
        <v>231915943.3007994</v>
      </c>
      <c r="E474">
        <v>361261.261261262</v>
      </c>
      <c r="F474">
        <v>2989189.18918919</v>
      </c>
      <c r="G474">
        <v>39</v>
      </c>
      <c r="H474">
        <v>24</v>
      </c>
      <c r="I474">
        <v>15</v>
      </c>
      <c r="J474">
        <v>15</v>
      </c>
      <c r="M474">
        <v>47</v>
      </c>
      <c r="N474">
        <v>32</v>
      </c>
      <c r="O474">
        <v>35401894.59459459</v>
      </c>
      <c r="P474">
        <v>39429430.630630635</v>
      </c>
      <c r="Q474">
        <v>87</v>
      </c>
      <c r="R474">
        <v>173</v>
      </c>
      <c r="S474">
        <v>130206972.97297297</v>
      </c>
      <c r="T474">
        <v>137819558.55855855</v>
      </c>
      <c r="U474">
        <v>35920360.360360362</v>
      </c>
      <c r="V474">
        <v>37157117.117117114</v>
      </c>
      <c r="W474">
        <v>6612</v>
      </c>
      <c r="X474">
        <v>6518</v>
      </c>
    </row>
    <row r="475" spans="1:24">
      <c r="A475" s="7" t="s">
        <v>567</v>
      </c>
      <c r="B475" s="16" t="s">
        <v>563</v>
      </c>
      <c r="C475">
        <v>136488831.21030167</v>
      </c>
      <c r="D475">
        <v>136024535.56999987</v>
      </c>
      <c r="E475">
        <v>481531.53153153101</v>
      </c>
      <c r="F475">
        <v>4191891.8918918911</v>
      </c>
      <c r="G475">
        <v>48</v>
      </c>
      <c r="H475">
        <v>36</v>
      </c>
      <c r="I475">
        <v>17</v>
      </c>
      <c r="J475">
        <v>18</v>
      </c>
      <c r="K475">
        <v>4</v>
      </c>
      <c r="M475">
        <v>51</v>
      </c>
      <c r="N475">
        <v>49</v>
      </c>
      <c r="O475">
        <v>33180585.585585583</v>
      </c>
      <c r="P475">
        <v>28516929.729729727</v>
      </c>
      <c r="Q475">
        <v>350</v>
      </c>
      <c r="R475">
        <v>109</v>
      </c>
      <c r="S475">
        <v>54421846.846846849</v>
      </c>
      <c r="T475">
        <v>55663412.612612613</v>
      </c>
      <c r="U475">
        <v>35406621.621621624</v>
      </c>
      <c r="V475">
        <v>27835540.540540542</v>
      </c>
      <c r="W475">
        <v>4675</v>
      </c>
      <c r="X475">
        <v>4608</v>
      </c>
    </row>
    <row r="476" spans="1:24">
      <c r="A476" s="7" t="s">
        <v>568</v>
      </c>
      <c r="B476" s="16" t="s">
        <v>48</v>
      </c>
      <c r="C476">
        <v>318870674.11361402</v>
      </c>
      <c r="D476">
        <v>300942529.95145196</v>
      </c>
      <c r="E476">
        <v>201351.351351352</v>
      </c>
      <c r="F476">
        <v>1379279.27927928</v>
      </c>
      <c r="G476">
        <v>13</v>
      </c>
      <c r="H476">
        <v>9</v>
      </c>
      <c r="I476">
        <v>2</v>
      </c>
      <c r="J476">
        <v>6</v>
      </c>
      <c r="M476">
        <v>17</v>
      </c>
      <c r="N476">
        <v>60</v>
      </c>
      <c r="O476">
        <v>14615765.765765768</v>
      </c>
      <c r="P476">
        <v>11991891.891891891</v>
      </c>
      <c r="R476">
        <v>32</v>
      </c>
      <c r="S476">
        <v>36948863.063063063</v>
      </c>
      <c r="T476">
        <v>37946291.891891889</v>
      </c>
      <c r="U476">
        <v>17188018.018018018</v>
      </c>
      <c r="V476">
        <v>13227927.927927928</v>
      </c>
      <c r="W476">
        <v>6280</v>
      </c>
      <c r="X476">
        <v>5835</v>
      </c>
    </row>
    <row r="477" spans="1:24">
      <c r="A477" s="7" t="s">
        <v>569</v>
      </c>
      <c r="B477" s="16" t="s">
        <v>169</v>
      </c>
      <c r="C477">
        <v>4482411072.9765596</v>
      </c>
      <c r="D477">
        <v>4479707768.4144268</v>
      </c>
      <c r="E477">
        <v>3525630915.3153152</v>
      </c>
      <c r="F477">
        <v>3334159608.1081085</v>
      </c>
      <c r="G477">
        <v>1051</v>
      </c>
      <c r="H477">
        <v>1133</v>
      </c>
      <c r="I477">
        <v>81</v>
      </c>
      <c r="J477">
        <v>69</v>
      </c>
      <c r="K477">
        <v>8</v>
      </c>
      <c r="M477">
        <v>1316</v>
      </c>
      <c r="N477">
        <v>2177</v>
      </c>
      <c r="O477">
        <v>1433131357.6576576</v>
      </c>
      <c r="P477">
        <v>608957666.66666663</v>
      </c>
      <c r="Q477">
        <v>1642</v>
      </c>
      <c r="R477">
        <v>1329</v>
      </c>
      <c r="S477">
        <v>2666274627.0270271</v>
      </c>
      <c r="T477">
        <v>2883155536.036036</v>
      </c>
      <c r="U477">
        <v>772221124.32432437</v>
      </c>
      <c r="V477">
        <v>563153509.90990984</v>
      </c>
      <c r="W477">
        <v>56863</v>
      </c>
      <c r="X477">
        <v>54718</v>
      </c>
    </row>
    <row r="478" spans="1:24">
      <c r="A478" s="7" t="s">
        <v>570</v>
      </c>
      <c r="B478" s="16" t="s">
        <v>220</v>
      </c>
      <c r="C478">
        <v>297639742.18985701</v>
      </c>
      <c r="D478">
        <v>270107285.32741153</v>
      </c>
      <c r="E478">
        <v>690990.99099099298</v>
      </c>
      <c r="F478">
        <v>1470270.2702702719</v>
      </c>
      <c r="G478">
        <v>33</v>
      </c>
      <c r="H478">
        <v>26</v>
      </c>
      <c r="I478">
        <v>6</v>
      </c>
      <c r="J478">
        <v>4</v>
      </c>
      <c r="M478">
        <v>36</v>
      </c>
      <c r="N478">
        <v>30</v>
      </c>
      <c r="O478">
        <v>11201351.351351352</v>
      </c>
      <c r="P478">
        <v>12027657.657657657</v>
      </c>
      <c r="Q478">
        <v>170</v>
      </c>
      <c r="S478">
        <v>47853153.153153151</v>
      </c>
      <c r="T478">
        <v>44503360.360360362</v>
      </c>
      <c r="U478">
        <v>11925405.405405404</v>
      </c>
      <c r="V478">
        <v>11059009.009009007</v>
      </c>
      <c r="W478">
        <v>5230</v>
      </c>
      <c r="X478">
        <v>4272</v>
      </c>
    </row>
    <row r="479" spans="1:24">
      <c r="A479" s="7" t="s">
        <v>571</v>
      </c>
      <c r="B479" s="16" t="s">
        <v>85</v>
      </c>
      <c r="C479">
        <v>332326547.8205151</v>
      </c>
      <c r="D479">
        <v>328709135.79447556</v>
      </c>
      <c r="E479">
        <v>812612.61261261196</v>
      </c>
      <c r="F479">
        <v>536036.03603603796</v>
      </c>
      <c r="G479">
        <v>25</v>
      </c>
      <c r="H479">
        <v>40</v>
      </c>
      <c r="I479">
        <v>2</v>
      </c>
      <c r="J479">
        <v>3</v>
      </c>
      <c r="M479">
        <v>28</v>
      </c>
      <c r="N479">
        <v>43</v>
      </c>
      <c r="O479">
        <v>8209009.0090090102</v>
      </c>
      <c r="P479">
        <v>31006384.684684686</v>
      </c>
      <c r="Q479">
        <v>187</v>
      </c>
      <c r="R479">
        <v>12</v>
      </c>
      <c r="S479">
        <v>74754176.576576576</v>
      </c>
      <c r="T479">
        <v>75032007.207207203</v>
      </c>
      <c r="U479">
        <v>9141891.8918918874</v>
      </c>
      <c r="V479">
        <v>23595135.13513514</v>
      </c>
      <c r="W479">
        <v>4951</v>
      </c>
      <c r="X479">
        <v>4915</v>
      </c>
    </row>
    <row r="480" spans="1:24">
      <c r="A480" s="7" t="s">
        <v>572</v>
      </c>
      <c r="B480" s="16" t="s">
        <v>479</v>
      </c>
      <c r="C480">
        <v>164071483.01872385</v>
      </c>
      <c r="D480">
        <v>175022302.3312943</v>
      </c>
      <c r="E480">
        <v>123488523.42342342</v>
      </c>
      <c r="F480">
        <v>137510535.13513514</v>
      </c>
      <c r="G480">
        <v>82</v>
      </c>
      <c r="H480">
        <v>101</v>
      </c>
      <c r="I480">
        <v>7</v>
      </c>
      <c r="J480">
        <v>7</v>
      </c>
      <c r="M480">
        <v>161</v>
      </c>
      <c r="N480">
        <v>160</v>
      </c>
      <c r="O480">
        <v>41664073.873873875</v>
      </c>
      <c r="P480">
        <v>36190004.504504509</v>
      </c>
      <c r="Q480">
        <v>11</v>
      </c>
      <c r="R480">
        <v>63</v>
      </c>
      <c r="S480">
        <v>59723693.693693697</v>
      </c>
      <c r="T480">
        <v>72373030.630630627</v>
      </c>
      <c r="U480">
        <v>29002342.342342339</v>
      </c>
      <c r="V480">
        <v>29472612.612612613</v>
      </c>
      <c r="W480">
        <v>5280</v>
      </c>
      <c r="X480">
        <v>5093</v>
      </c>
    </row>
    <row r="481" spans="1:24">
      <c r="A481" s="7" t="s">
        <v>573</v>
      </c>
      <c r="B481" s="16" t="s">
        <v>94</v>
      </c>
      <c r="C481">
        <v>468326326.57125753</v>
      </c>
      <c r="D481">
        <v>448619763.34978247</v>
      </c>
      <c r="E481">
        <v>1810810.8108108121</v>
      </c>
      <c r="F481">
        <v>2696396.3963963981</v>
      </c>
      <c r="G481">
        <v>131</v>
      </c>
      <c r="H481">
        <v>83</v>
      </c>
      <c r="I481">
        <v>11</v>
      </c>
      <c r="J481">
        <v>10</v>
      </c>
      <c r="M481">
        <v>150</v>
      </c>
      <c r="N481">
        <v>121</v>
      </c>
      <c r="O481">
        <v>489762162.16216218</v>
      </c>
      <c r="P481">
        <v>850430630.63063061</v>
      </c>
      <c r="Q481">
        <v>116</v>
      </c>
      <c r="R481">
        <v>207</v>
      </c>
      <c r="S481">
        <v>103923004.50450452</v>
      </c>
      <c r="T481">
        <v>98324486.93693693</v>
      </c>
      <c r="U481">
        <v>33526936.936936937</v>
      </c>
      <c r="V481">
        <v>36456936.936936937</v>
      </c>
      <c r="W481">
        <v>9816</v>
      </c>
      <c r="X481">
        <v>9337</v>
      </c>
    </row>
    <row r="482" spans="1:24">
      <c r="A482" s="7" t="s">
        <v>574</v>
      </c>
      <c r="B482" s="16" t="s">
        <v>307</v>
      </c>
      <c r="C482">
        <v>1044634412.4795873</v>
      </c>
      <c r="D482">
        <v>1044020092.2313526</v>
      </c>
      <c r="E482">
        <v>13534774.774774777</v>
      </c>
      <c r="F482">
        <v>20199729.729729742</v>
      </c>
      <c r="G482">
        <v>372</v>
      </c>
      <c r="H482">
        <v>392</v>
      </c>
      <c r="I482">
        <v>16</v>
      </c>
      <c r="J482">
        <v>24</v>
      </c>
      <c r="M482">
        <v>411</v>
      </c>
      <c r="N482">
        <v>563</v>
      </c>
      <c r="O482">
        <v>1004169774.7747748</v>
      </c>
      <c r="P482">
        <v>1289584369.3693693</v>
      </c>
      <c r="Q482">
        <v>1503</v>
      </c>
      <c r="R482">
        <v>1768</v>
      </c>
      <c r="S482">
        <v>413447828.82882881</v>
      </c>
      <c r="T482">
        <v>424092003.15315318</v>
      </c>
      <c r="U482">
        <v>94955540.540540546</v>
      </c>
      <c r="V482">
        <v>247773198.1981982</v>
      </c>
      <c r="W482">
        <v>32718</v>
      </c>
      <c r="X482">
        <v>32006</v>
      </c>
    </row>
    <row r="483" spans="1:24">
      <c r="A483" s="7" t="s">
        <v>10</v>
      </c>
      <c r="B483" s="16" t="s">
        <v>193</v>
      </c>
      <c r="C483">
        <v>177271305.83012226</v>
      </c>
      <c r="D483">
        <v>167562031.34106871</v>
      </c>
      <c r="G483">
        <v>13</v>
      </c>
      <c r="H483">
        <v>24</v>
      </c>
      <c r="J483">
        <v>0</v>
      </c>
      <c r="M483">
        <v>13</v>
      </c>
      <c r="N483">
        <v>25</v>
      </c>
      <c r="S483">
        <v>102269459.45945945</v>
      </c>
      <c r="T483">
        <v>100528845.04504503</v>
      </c>
      <c r="V483">
        <v>19639.639639640001</v>
      </c>
      <c r="W483">
        <v>3842</v>
      </c>
      <c r="X483">
        <v>3580</v>
      </c>
    </row>
    <row r="484" spans="1:24">
      <c r="A484" s="7" t="s">
        <v>575</v>
      </c>
      <c r="B484" s="16" t="s">
        <v>87</v>
      </c>
      <c r="C484">
        <v>4045617.5877695451</v>
      </c>
      <c r="D484">
        <v>3636207.9585276968</v>
      </c>
      <c r="G484">
        <v>4</v>
      </c>
      <c r="H484">
        <v>17</v>
      </c>
      <c r="M484">
        <v>4</v>
      </c>
      <c r="N484">
        <v>19</v>
      </c>
      <c r="S484">
        <v>1158783.7837837839</v>
      </c>
      <c r="T484">
        <v>1234971.1711711709</v>
      </c>
      <c r="W484">
        <v>240</v>
      </c>
      <c r="X484">
        <v>234</v>
      </c>
    </row>
    <row r="485" spans="1:24">
      <c r="A485" s="7" t="s">
        <v>576</v>
      </c>
      <c r="B485" s="16" t="s">
        <v>283</v>
      </c>
      <c r="C485">
        <v>248783652.49639618</v>
      </c>
      <c r="D485">
        <v>227345661.47799936</v>
      </c>
      <c r="E485">
        <v>154202663.06306309</v>
      </c>
      <c r="F485">
        <v>349278277.47747749</v>
      </c>
      <c r="G485">
        <v>57</v>
      </c>
      <c r="H485">
        <v>30</v>
      </c>
      <c r="I485">
        <v>2</v>
      </c>
      <c r="J485">
        <v>0</v>
      </c>
      <c r="M485">
        <v>59</v>
      </c>
      <c r="N485">
        <v>32</v>
      </c>
      <c r="O485">
        <v>48881225.225225225</v>
      </c>
      <c r="P485">
        <v>38773307.20720721</v>
      </c>
      <c r="R485">
        <v>8</v>
      </c>
      <c r="S485">
        <v>34168333.333333328</v>
      </c>
      <c r="T485">
        <v>36388891.891891889</v>
      </c>
      <c r="U485">
        <v>8729369.369369369</v>
      </c>
      <c r="V485">
        <v>17991621.621621624</v>
      </c>
      <c r="W485">
        <v>3716</v>
      </c>
      <c r="X485">
        <v>3508</v>
      </c>
    </row>
    <row r="486" spans="1:24">
      <c r="A486" s="7" t="s">
        <v>577</v>
      </c>
      <c r="B486" s="16" t="s">
        <v>307</v>
      </c>
      <c r="C486">
        <v>1040548313.8243178</v>
      </c>
      <c r="D486">
        <v>995237578.24043226</v>
      </c>
      <c r="E486">
        <v>174306801.8018018</v>
      </c>
      <c r="F486">
        <v>414242792.7927928</v>
      </c>
      <c r="G486">
        <v>529</v>
      </c>
      <c r="H486">
        <v>372</v>
      </c>
      <c r="I486">
        <v>34</v>
      </c>
      <c r="J486">
        <v>34</v>
      </c>
      <c r="M486">
        <v>628</v>
      </c>
      <c r="N486">
        <v>552</v>
      </c>
      <c r="O486">
        <v>106479324.32432432</v>
      </c>
      <c r="P486">
        <v>135176306.3063063</v>
      </c>
      <c r="Q486">
        <v>1223</v>
      </c>
      <c r="R486">
        <v>1050</v>
      </c>
      <c r="S486">
        <v>402233909.9099099</v>
      </c>
      <c r="T486">
        <v>423317108.1081081</v>
      </c>
      <c r="U486">
        <v>92096036.036036029</v>
      </c>
      <c r="V486">
        <v>116310225.22522521</v>
      </c>
      <c r="W486">
        <v>39554</v>
      </c>
      <c r="X486">
        <v>37674</v>
      </c>
    </row>
    <row r="487" spans="1:24">
      <c r="A487" s="7" t="s">
        <v>578</v>
      </c>
      <c r="B487" s="16" t="s">
        <v>330</v>
      </c>
      <c r="C487">
        <v>984075726.32589555</v>
      </c>
      <c r="D487">
        <v>926676288.4922539</v>
      </c>
      <c r="E487">
        <v>2612162.162162167</v>
      </c>
      <c r="F487">
        <v>9168018.0180180222</v>
      </c>
      <c r="G487">
        <v>353</v>
      </c>
      <c r="H487">
        <v>336</v>
      </c>
      <c r="I487">
        <v>34</v>
      </c>
      <c r="J487">
        <v>34</v>
      </c>
      <c r="K487">
        <v>7</v>
      </c>
      <c r="M487">
        <v>444</v>
      </c>
      <c r="N487">
        <v>538</v>
      </c>
      <c r="O487">
        <v>169266666.66666666</v>
      </c>
      <c r="P487">
        <v>169126126.12612611</v>
      </c>
      <c r="Q487">
        <v>768</v>
      </c>
      <c r="R487">
        <v>235</v>
      </c>
      <c r="S487">
        <v>196222882.88288289</v>
      </c>
      <c r="T487">
        <v>202548108.1081081</v>
      </c>
      <c r="U487">
        <v>166628018.01801801</v>
      </c>
      <c r="V487">
        <v>153157657.65765765</v>
      </c>
      <c r="W487">
        <v>27965</v>
      </c>
      <c r="X487">
        <v>28046</v>
      </c>
    </row>
    <row r="488" spans="1:24">
      <c r="A488" s="7" t="s">
        <v>579</v>
      </c>
      <c r="B488" s="16" t="s">
        <v>66</v>
      </c>
      <c r="C488">
        <v>152015158.16491428</v>
      </c>
      <c r="D488">
        <v>144256868.60872787</v>
      </c>
      <c r="E488">
        <v>144594.59459459499</v>
      </c>
      <c r="F488">
        <v>390540.540540541</v>
      </c>
      <c r="G488">
        <v>32</v>
      </c>
      <c r="H488">
        <v>24</v>
      </c>
      <c r="I488">
        <v>1</v>
      </c>
      <c r="J488">
        <v>1</v>
      </c>
      <c r="M488">
        <v>36</v>
      </c>
      <c r="N488">
        <v>28</v>
      </c>
      <c r="O488">
        <v>2303603.6036036052</v>
      </c>
      <c r="P488">
        <v>4307207.2072072076</v>
      </c>
      <c r="Q488">
        <v>24</v>
      </c>
      <c r="R488">
        <v>15</v>
      </c>
      <c r="S488">
        <v>37371981.981981985</v>
      </c>
      <c r="T488">
        <v>38979364.864864863</v>
      </c>
      <c r="U488">
        <v>2450180.1801801822</v>
      </c>
      <c r="V488">
        <v>3537387.3873873879</v>
      </c>
      <c r="W488">
        <v>3365</v>
      </c>
      <c r="X488">
        <v>3321</v>
      </c>
    </row>
    <row r="489" spans="1:24">
      <c r="A489" s="7" t="s">
        <v>580</v>
      </c>
      <c r="B489" s="16" t="s">
        <v>236</v>
      </c>
      <c r="C489">
        <v>26977.949500645998</v>
      </c>
      <c r="D489">
        <v>12011.332970474001</v>
      </c>
      <c r="E489">
        <v>65975081.081081077</v>
      </c>
      <c r="F489">
        <v>48335956.75675676</v>
      </c>
      <c r="O489">
        <v>22342342.342342343</v>
      </c>
      <c r="P489">
        <v>22949549.549549554</v>
      </c>
      <c r="S489">
        <v>31756.756756757</v>
      </c>
      <c r="W489">
        <v>524</v>
      </c>
    </row>
    <row r="490" spans="1:24">
      <c r="A490" s="7" t="s">
        <v>581</v>
      </c>
      <c r="B490" s="16" t="s">
        <v>62</v>
      </c>
      <c r="C490">
        <v>374952928.27753305</v>
      </c>
      <c r="D490">
        <v>368596821.56316555</v>
      </c>
      <c r="E490">
        <v>278825004.5045045</v>
      </c>
      <c r="F490">
        <v>481210218.01801807</v>
      </c>
      <c r="G490">
        <v>146</v>
      </c>
      <c r="H490">
        <v>204</v>
      </c>
      <c r="I490">
        <v>18</v>
      </c>
      <c r="J490">
        <v>24</v>
      </c>
      <c r="M490">
        <v>152</v>
      </c>
      <c r="N490">
        <v>270</v>
      </c>
      <c r="O490">
        <v>73394145.945945933</v>
      </c>
      <c r="P490">
        <v>93942517.117117122</v>
      </c>
      <c r="Q490">
        <v>72</v>
      </c>
      <c r="R490">
        <v>186</v>
      </c>
      <c r="S490">
        <v>83758369.369369373</v>
      </c>
      <c r="T490">
        <v>85102099.0990991</v>
      </c>
      <c r="U490">
        <v>30905945.945945945</v>
      </c>
      <c r="V490">
        <v>34890900.900900893</v>
      </c>
      <c r="W490">
        <v>6763</v>
      </c>
      <c r="X490">
        <v>6695</v>
      </c>
    </row>
    <row r="491" spans="1:24">
      <c r="A491" s="7" t="s">
        <v>582</v>
      </c>
      <c r="B491" s="16" t="s">
        <v>48</v>
      </c>
      <c r="C491">
        <v>376808958.30752188</v>
      </c>
      <c r="D491">
        <v>337221535.18505329</v>
      </c>
      <c r="E491">
        <v>2575765.7657657652</v>
      </c>
      <c r="F491">
        <v>2134729.7297297302</v>
      </c>
      <c r="G491">
        <v>103</v>
      </c>
      <c r="H491">
        <v>35</v>
      </c>
      <c r="I491">
        <v>3</v>
      </c>
      <c r="J491">
        <v>4</v>
      </c>
      <c r="M491">
        <v>106</v>
      </c>
      <c r="N491">
        <v>59</v>
      </c>
      <c r="O491">
        <v>63784144.144144148</v>
      </c>
      <c r="P491">
        <v>121009099.0990991</v>
      </c>
      <c r="S491">
        <v>54417072.072072074</v>
      </c>
      <c r="T491">
        <v>50096391.891891897</v>
      </c>
      <c r="U491">
        <v>51282162.162162162</v>
      </c>
      <c r="V491">
        <v>119220990.990991</v>
      </c>
      <c r="W491">
        <v>5728</v>
      </c>
      <c r="X491">
        <v>5038</v>
      </c>
    </row>
    <row r="492" spans="1:24">
      <c r="A492" s="7" t="s">
        <v>583</v>
      </c>
      <c r="B492" s="16" t="s">
        <v>54</v>
      </c>
      <c r="C492">
        <v>67397116.871177271</v>
      </c>
      <c r="D492">
        <v>66001954.051605053</v>
      </c>
      <c r="E492">
        <v>905630.630630631</v>
      </c>
      <c r="F492">
        <v>687387.38738739002</v>
      </c>
      <c r="G492">
        <v>14</v>
      </c>
      <c r="H492">
        <v>23</v>
      </c>
      <c r="I492">
        <v>7</v>
      </c>
      <c r="J492">
        <v>9</v>
      </c>
      <c r="M492">
        <v>19</v>
      </c>
      <c r="N492">
        <v>62</v>
      </c>
      <c r="O492">
        <v>10897297.297297295</v>
      </c>
      <c r="P492">
        <v>10541081.081081079</v>
      </c>
      <c r="Q492">
        <v>75</v>
      </c>
      <c r="R492">
        <v>59</v>
      </c>
      <c r="S492">
        <v>16625405.405405404</v>
      </c>
      <c r="T492">
        <v>17308704.954954956</v>
      </c>
      <c r="U492">
        <v>10832702.702702699</v>
      </c>
      <c r="V492">
        <v>9374594.594594596</v>
      </c>
      <c r="W492">
        <v>2076</v>
      </c>
      <c r="X492">
        <v>2023</v>
      </c>
    </row>
    <row r="493" spans="1:24">
      <c r="A493" s="7" t="s">
        <v>584</v>
      </c>
      <c r="B493" s="16" t="s">
        <v>70</v>
      </c>
      <c r="C493">
        <v>174273692.47513628</v>
      </c>
      <c r="D493">
        <v>170565405.84353665</v>
      </c>
      <c r="E493">
        <v>1000000</v>
      </c>
      <c r="F493">
        <v>105405.405405406</v>
      </c>
      <c r="G493">
        <v>30</v>
      </c>
      <c r="H493">
        <v>42</v>
      </c>
      <c r="J493">
        <v>1</v>
      </c>
      <c r="K493">
        <v>1</v>
      </c>
      <c r="M493">
        <v>33</v>
      </c>
      <c r="N493">
        <v>46</v>
      </c>
      <c r="O493">
        <v>2433333.333333334</v>
      </c>
      <c r="P493">
        <v>1593693.6936936961</v>
      </c>
      <c r="Q493">
        <v>11</v>
      </c>
      <c r="R493">
        <v>8</v>
      </c>
      <c r="S493">
        <v>75953198.198198199</v>
      </c>
      <c r="T493">
        <v>77782981.981981978</v>
      </c>
      <c r="U493">
        <v>2432882.8828828828</v>
      </c>
      <c r="V493">
        <v>1812612.6126126139</v>
      </c>
      <c r="W493">
        <v>3661</v>
      </c>
      <c r="X493">
        <v>3467</v>
      </c>
    </row>
    <row r="494" spans="1:24">
      <c r="A494" s="7" t="s">
        <v>585</v>
      </c>
      <c r="B494" s="16" t="s">
        <v>330</v>
      </c>
      <c r="C494">
        <v>680200625.39142478</v>
      </c>
      <c r="D494">
        <v>639758947.09147799</v>
      </c>
      <c r="E494">
        <v>2828153.1531531522</v>
      </c>
      <c r="F494">
        <v>7111711.7117117113</v>
      </c>
      <c r="G494">
        <v>276</v>
      </c>
      <c r="H494">
        <v>257</v>
      </c>
      <c r="I494">
        <v>22</v>
      </c>
      <c r="J494">
        <v>18</v>
      </c>
      <c r="K494">
        <v>1</v>
      </c>
      <c r="M494">
        <v>335</v>
      </c>
      <c r="N494">
        <v>333</v>
      </c>
      <c r="O494">
        <v>42720180.180180185</v>
      </c>
      <c r="P494">
        <v>81104144.144144148</v>
      </c>
      <c r="Q494">
        <v>379</v>
      </c>
      <c r="R494">
        <v>196</v>
      </c>
      <c r="S494">
        <v>163647781.98198199</v>
      </c>
      <c r="T494">
        <v>174205354.95495495</v>
      </c>
      <c r="U494">
        <v>38922522.522522517</v>
      </c>
      <c r="V494">
        <v>74154054.054054052</v>
      </c>
      <c r="W494">
        <v>20638</v>
      </c>
      <c r="X494">
        <v>20146</v>
      </c>
    </row>
    <row r="495" spans="1:24">
      <c r="A495" s="7" t="s">
        <v>586</v>
      </c>
      <c r="B495" s="16" t="s">
        <v>66</v>
      </c>
      <c r="C495">
        <v>296476921.87927347</v>
      </c>
      <c r="D495">
        <v>305496671.47887486</v>
      </c>
      <c r="E495">
        <v>151436590.99099097</v>
      </c>
      <c r="F495">
        <v>712437243.24324322</v>
      </c>
      <c r="G495">
        <v>155</v>
      </c>
      <c r="H495">
        <v>151</v>
      </c>
      <c r="I495">
        <v>11</v>
      </c>
      <c r="J495">
        <v>10</v>
      </c>
      <c r="M495">
        <v>397</v>
      </c>
      <c r="N495">
        <v>311</v>
      </c>
      <c r="O495">
        <v>34798468.468468465</v>
      </c>
      <c r="P495">
        <v>77433468.468468457</v>
      </c>
      <c r="Q495">
        <v>386</v>
      </c>
      <c r="R495">
        <v>49</v>
      </c>
      <c r="S495">
        <v>154367765.76576576</v>
      </c>
      <c r="T495">
        <v>150311306.3063063</v>
      </c>
      <c r="U495">
        <v>33574504.504504502</v>
      </c>
      <c r="V495">
        <v>67665270.270270258</v>
      </c>
      <c r="W495">
        <v>10461</v>
      </c>
      <c r="X495">
        <v>11700</v>
      </c>
    </row>
    <row r="496" spans="1:24">
      <c r="A496" s="7" t="s">
        <v>11</v>
      </c>
      <c r="B496" s="16" t="s">
        <v>193</v>
      </c>
      <c r="C496">
        <v>139325592.51115382</v>
      </c>
      <c r="D496">
        <v>145670985.26522806</v>
      </c>
      <c r="E496">
        <v>343243.24324324197</v>
      </c>
      <c r="F496">
        <v>586486.48648648802</v>
      </c>
      <c r="G496">
        <v>45</v>
      </c>
      <c r="H496">
        <v>34</v>
      </c>
      <c r="I496">
        <v>6</v>
      </c>
      <c r="J496">
        <v>0</v>
      </c>
      <c r="M496">
        <v>50</v>
      </c>
      <c r="N496">
        <v>39</v>
      </c>
      <c r="O496">
        <v>4226126.1261261255</v>
      </c>
      <c r="P496">
        <v>14505405.405405408</v>
      </c>
      <c r="Q496">
        <v>44</v>
      </c>
      <c r="S496">
        <v>46436981.981981985</v>
      </c>
      <c r="T496">
        <v>49595092.342342347</v>
      </c>
      <c r="U496">
        <v>4466756.7567567546</v>
      </c>
      <c r="V496">
        <v>13777207.207207208</v>
      </c>
      <c r="W496">
        <v>3795</v>
      </c>
      <c r="X496">
        <v>4851</v>
      </c>
    </row>
    <row r="497" spans="1:24">
      <c r="A497" s="7" t="s">
        <v>12</v>
      </c>
      <c r="B497" s="16" t="s">
        <v>193</v>
      </c>
      <c r="C497">
        <v>97572620.444985211</v>
      </c>
      <c r="D497">
        <v>97215448.830412477</v>
      </c>
      <c r="E497">
        <v>66666.666666664998</v>
      </c>
      <c r="F497">
        <v>4319819.8198198201</v>
      </c>
      <c r="G497">
        <v>27</v>
      </c>
      <c r="H497">
        <v>14</v>
      </c>
      <c r="I497">
        <v>8</v>
      </c>
      <c r="J497">
        <v>4</v>
      </c>
      <c r="M497">
        <v>32</v>
      </c>
      <c r="N497">
        <v>15</v>
      </c>
      <c r="O497">
        <v>7716666.6666666651</v>
      </c>
      <c r="P497">
        <v>20626126.126126129</v>
      </c>
      <c r="Q497">
        <v>70</v>
      </c>
      <c r="S497">
        <v>38217648.648648649</v>
      </c>
      <c r="T497">
        <v>39194882.882882878</v>
      </c>
      <c r="U497">
        <v>5482792.7927927906</v>
      </c>
      <c r="V497">
        <v>22741531.531531531</v>
      </c>
      <c r="W497">
        <v>2893</v>
      </c>
      <c r="X497">
        <v>3043</v>
      </c>
    </row>
    <row r="498" spans="1:24">
      <c r="A498" s="7" t="s">
        <v>587</v>
      </c>
      <c r="B498" s="16" t="s">
        <v>60</v>
      </c>
      <c r="C498">
        <v>75237417.521757707</v>
      </c>
      <c r="D498">
        <v>78014853.166483045</v>
      </c>
      <c r="E498">
        <v>208108.10810811</v>
      </c>
      <c r="F498">
        <v>609009.00900900899</v>
      </c>
      <c r="G498">
        <v>35</v>
      </c>
      <c r="H498">
        <v>39</v>
      </c>
      <c r="I498">
        <v>5</v>
      </c>
      <c r="J498">
        <v>9</v>
      </c>
      <c r="K498">
        <v>1</v>
      </c>
      <c r="M498">
        <v>46</v>
      </c>
      <c r="N498">
        <v>65</v>
      </c>
      <c r="O498">
        <v>12595495.495495493</v>
      </c>
      <c r="P498">
        <v>13383783.783783784</v>
      </c>
      <c r="Q498">
        <v>80</v>
      </c>
      <c r="R498">
        <v>67</v>
      </c>
      <c r="S498">
        <v>29426756.756756756</v>
      </c>
      <c r="T498">
        <v>29144948.198198199</v>
      </c>
      <c r="U498">
        <v>11921981.981981982</v>
      </c>
      <c r="V498">
        <v>12856036.036036037</v>
      </c>
      <c r="W498">
        <v>1826</v>
      </c>
      <c r="X498">
        <v>1867</v>
      </c>
    </row>
    <row r="499" spans="1:24">
      <c r="A499" s="7" t="s">
        <v>588</v>
      </c>
      <c r="B499" s="16" t="s">
        <v>307</v>
      </c>
      <c r="C499">
        <v>2248515801.0100856</v>
      </c>
      <c r="D499">
        <v>2181487023.1528397</v>
      </c>
      <c r="E499">
        <v>1505231526.1261261</v>
      </c>
      <c r="F499">
        <v>1732409107.2072072</v>
      </c>
      <c r="G499">
        <v>1000</v>
      </c>
      <c r="H499">
        <v>1002</v>
      </c>
      <c r="I499">
        <v>82</v>
      </c>
      <c r="J499">
        <v>79</v>
      </c>
      <c r="K499">
        <v>1</v>
      </c>
      <c r="M499">
        <v>1174</v>
      </c>
      <c r="N499">
        <v>1422</v>
      </c>
      <c r="O499">
        <v>227668063.06306303</v>
      </c>
      <c r="P499">
        <v>537819176.57657659</v>
      </c>
      <c r="Q499">
        <v>2235</v>
      </c>
      <c r="R499">
        <v>2692</v>
      </c>
      <c r="S499">
        <v>688653315.31531537</v>
      </c>
      <c r="T499">
        <v>697495346.84684682</v>
      </c>
      <c r="U499">
        <v>224864864.86486486</v>
      </c>
      <c r="V499">
        <v>458787477.47747749</v>
      </c>
      <c r="W499">
        <v>65504</v>
      </c>
      <c r="X499">
        <v>63640</v>
      </c>
    </row>
    <row r="500" spans="1:24">
      <c r="A500" s="7" t="s">
        <v>589</v>
      </c>
      <c r="B500" s="16" t="s">
        <v>52</v>
      </c>
      <c r="C500">
        <v>538374680.62417746</v>
      </c>
      <c r="D500">
        <v>520245211.35511124</v>
      </c>
      <c r="E500">
        <v>14631801.801801804</v>
      </c>
      <c r="F500">
        <v>9490163.0630630646</v>
      </c>
      <c r="G500">
        <v>106</v>
      </c>
      <c r="H500">
        <v>107</v>
      </c>
      <c r="I500">
        <v>13</v>
      </c>
      <c r="J500">
        <v>21</v>
      </c>
      <c r="M500">
        <v>168</v>
      </c>
      <c r="N500">
        <v>251</v>
      </c>
      <c r="O500">
        <v>61640900.9009009</v>
      </c>
      <c r="P500">
        <v>147604630.63063061</v>
      </c>
      <c r="Q500">
        <v>584</v>
      </c>
      <c r="R500">
        <v>1853</v>
      </c>
      <c r="S500">
        <v>213207572.07207206</v>
      </c>
      <c r="T500">
        <v>209918756.75675678</v>
      </c>
      <c r="U500">
        <v>57716126.126126118</v>
      </c>
      <c r="V500">
        <v>159039234.23423424</v>
      </c>
      <c r="W500">
        <v>14458</v>
      </c>
      <c r="X500">
        <v>14103</v>
      </c>
    </row>
    <row r="501" spans="1:24">
      <c r="A501" s="7" t="s">
        <v>590</v>
      </c>
      <c r="B501" s="16" t="s">
        <v>54</v>
      </c>
      <c r="C501">
        <v>43197552.437745497</v>
      </c>
      <c r="D501">
        <v>44761292.481778853</v>
      </c>
      <c r="E501">
        <v>643918.91891891905</v>
      </c>
      <c r="F501">
        <v>736936.93693693797</v>
      </c>
      <c r="G501">
        <v>12</v>
      </c>
      <c r="H501">
        <v>16</v>
      </c>
      <c r="I501">
        <v>2</v>
      </c>
      <c r="J501">
        <v>3</v>
      </c>
      <c r="M501">
        <v>13</v>
      </c>
      <c r="N501">
        <v>21</v>
      </c>
      <c r="O501">
        <v>10383783.783783784</v>
      </c>
      <c r="P501">
        <v>9709459.4594594594</v>
      </c>
      <c r="Q501">
        <v>24</v>
      </c>
      <c r="R501">
        <v>16</v>
      </c>
      <c r="S501">
        <v>14328684.684684685</v>
      </c>
      <c r="T501">
        <v>13955909.90990991</v>
      </c>
      <c r="U501">
        <v>7510630.6306306319</v>
      </c>
      <c r="V501">
        <v>8372072.0720720729</v>
      </c>
      <c r="W501">
        <v>1521</v>
      </c>
      <c r="X501">
        <v>1632</v>
      </c>
    </row>
    <row r="502" spans="1:24">
      <c r="A502" s="7" t="s">
        <v>591</v>
      </c>
      <c r="B502" s="16" t="s">
        <v>169</v>
      </c>
      <c r="C502">
        <v>1304677075.8220227</v>
      </c>
      <c r="D502">
        <v>1272141228.4969206</v>
      </c>
      <c r="E502">
        <v>7833513.5135135166</v>
      </c>
      <c r="F502">
        <v>8234009.009009012</v>
      </c>
      <c r="G502">
        <v>158</v>
      </c>
      <c r="H502">
        <v>93</v>
      </c>
      <c r="I502">
        <v>21</v>
      </c>
      <c r="J502">
        <v>13</v>
      </c>
      <c r="K502">
        <v>2</v>
      </c>
      <c r="M502">
        <v>182</v>
      </c>
      <c r="N502">
        <v>156</v>
      </c>
      <c r="O502">
        <v>189053728.82882884</v>
      </c>
      <c r="P502">
        <v>270130448.64864862</v>
      </c>
      <c r="Q502">
        <v>268</v>
      </c>
      <c r="R502">
        <v>276</v>
      </c>
      <c r="S502">
        <v>437073872.07207209</v>
      </c>
      <c r="T502">
        <v>430840220.72072071</v>
      </c>
      <c r="U502">
        <v>155784054.05405405</v>
      </c>
      <c r="V502">
        <v>233518288.2882883</v>
      </c>
      <c r="W502">
        <v>23797</v>
      </c>
      <c r="X502">
        <v>22700</v>
      </c>
    </row>
    <row r="503" spans="1:24">
      <c r="A503" s="7" t="s">
        <v>592</v>
      </c>
      <c r="B503" s="16" t="s">
        <v>87</v>
      </c>
      <c r="C503">
        <v>7204821.2050366001</v>
      </c>
      <c r="D503">
        <v>6380565.3827350456</v>
      </c>
      <c r="H503">
        <v>2</v>
      </c>
      <c r="N503">
        <v>2</v>
      </c>
      <c r="S503">
        <v>1809225.2252252251</v>
      </c>
      <c r="T503">
        <v>1520135.1351351349</v>
      </c>
      <c r="W503">
        <v>336</v>
      </c>
      <c r="X503">
        <v>297</v>
      </c>
    </row>
    <row r="504" spans="1:24">
      <c r="A504" s="7" t="s">
        <v>36</v>
      </c>
      <c r="B504" s="16" t="s">
        <v>158</v>
      </c>
      <c r="E504">
        <v>780634449.54954958</v>
      </c>
      <c r="F504">
        <v>722332996.3963964</v>
      </c>
      <c r="O504">
        <v>81048563.063063055</v>
      </c>
      <c r="P504">
        <v>80240990.990990996</v>
      </c>
    </row>
    <row r="505" spans="1:24">
      <c r="A505" s="7" t="s">
        <v>593</v>
      </c>
      <c r="B505" s="16" t="s">
        <v>143</v>
      </c>
      <c r="C505">
        <v>90422854.690736815</v>
      </c>
      <c r="D505">
        <v>89720104.472712964</v>
      </c>
      <c r="E505">
        <v>29729.729729731</v>
      </c>
      <c r="F505">
        <v>259459.45945946101</v>
      </c>
      <c r="G505">
        <v>17</v>
      </c>
      <c r="H505">
        <v>27</v>
      </c>
      <c r="I505">
        <v>4</v>
      </c>
      <c r="J505">
        <v>3</v>
      </c>
      <c r="M505">
        <v>19</v>
      </c>
      <c r="N505">
        <v>30</v>
      </c>
      <c r="O505">
        <v>3885585.5855855839</v>
      </c>
      <c r="P505">
        <v>9664864.8648648635</v>
      </c>
      <c r="Q505">
        <v>50</v>
      </c>
      <c r="R505">
        <v>23</v>
      </c>
      <c r="S505">
        <v>8148603.6036036033</v>
      </c>
      <c r="T505">
        <v>9598729.7297297306</v>
      </c>
      <c r="U505">
        <v>4131891.8918918921</v>
      </c>
      <c r="V505">
        <v>5086846.8468468469</v>
      </c>
      <c r="W505">
        <v>1576</v>
      </c>
      <c r="X505">
        <v>1530</v>
      </c>
    </row>
    <row r="506" spans="1:24">
      <c r="A506" s="7" t="s">
        <v>594</v>
      </c>
      <c r="B506" s="16" t="s">
        <v>290</v>
      </c>
      <c r="C506">
        <v>24634951.84272432</v>
      </c>
      <c r="D506">
        <v>23987930.070846368</v>
      </c>
      <c r="E506">
        <v>900.900900901</v>
      </c>
      <c r="G506">
        <v>3</v>
      </c>
      <c r="H506">
        <v>1</v>
      </c>
      <c r="I506">
        <v>0</v>
      </c>
      <c r="M506">
        <v>3</v>
      </c>
      <c r="N506">
        <v>1</v>
      </c>
      <c r="O506">
        <v>9909.9099099100004</v>
      </c>
      <c r="S506">
        <v>996711.71171171195</v>
      </c>
      <c r="T506">
        <v>1496216.2162162161</v>
      </c>
      <c r="W506">
        <v>688</v>
      </c>
      <c r="X506">
        <v>688</v>
      </c>
    </row>
    <row r="507" spans="1:24">
      <c r="A507" s="7" t="s">
        <v>595</v>
      </c>
      <c r="B507" s="16" t="s">
        <v>92</v>
      </c>
      <c r="C507">
        <v>33146283.223057933</v>
      </c>
      <c r="D507">
        <v>31564835.840383157</v>
      </c>
      <c r="E507">
        <v>27804504.504504506</v>
      </c>
      <c r="F507">
        <v>62858558.558558561</v>
      </c>
      <c r="G507">
        <v>11</v>
      </c>
      <c r="H507">
        <v>17</v>
      </c>
      <c r="I507">
        <v>1</v>
      </c>
      <c r="J507">
        <v>2</v>
      </c>
      <c r="M507">
        <v>11</v>
      </c>
      <c r="N507">
        <v>26</v>
      </c>
      <c r="O507">
        <v>16585855.855855856</v>
      </c>
      <c r="P507">
        <v>4364009.0090090092</v>
      </c>
      <c r="Q507">
        <v>21</v>
      </c>
      <c r="R507">
        <v>14</v>
      </c>
      <c r="S507">
        <v>4690360.3603603598</v>
      </c>
      <c r="T507">
        <v>5548234.2342342343</v>
      </c>
      <c r="U507">
        <v>1016216.216216216</v>
      </c>
      <c r="V507">
        <v>4023693.6936936928</v>
      </c>
      <c r="W507">
        <v>481</v>
      </c>
      <c r="X507">
        <v>741</v>
      </c>
    </row>
    <row r="508" spans="1:24">
      <c r="A508" s="7" t="s">
        <v>596</v>
      </c>
      <c r="B508" s="16" t="s">
        <v>50</v>
      </c>
      <c r="C508">
        <v>116979644.50384456</v>
      </c>
      <c r="D508">
        <v>109100368.40480649</v>
      </c>
      <c r="E508">
        <v>1134234.234234235</v>
      </c>
      <c r="F508">
        <v>3511486.4864864852</v>
      </c>
      <c r="G508">
        <v>15</v>
      </c>
      <c r="H508">
        <v>10</v>
      </c>
      <c r="I508">
        <v>2</v>
      </c>
      <c r="J508">
        <v>7</v>
      </c>
      <c r="M508">
        <v>16</v>
      </c>
      <c r="N508">
        <v>12</v>
      </c>
      <c r="O508">
        <v>23597477.47747748</v>
      </c>
      <c r="P508">
        <v>29837747.747747749</v>
      </c>
      <c r="Q508">
        <v>225</v>
      </c>
      <c r="R508">
        <v>68</v>
      </c>
      <c r="S508">
        <v>24799904.504504506</v>
      </c>
      <c r="T508">
        <v>23239275.675675675</v>
      </c>
      <c r="U508">
        <v>24818108.108108107</v>
      </c>
      <c r="V508">
        <v>26967477.477477476</v>
      </c>
      <c r="W508">
        <v>1645</v>
      </c>
      <c r="X508">
        <v>1649</v>
      </c>
    </row>
    <row r="509" spans="1:24">
      <c r="A509" s="7" t="s">
        <v>597</v>
      </c>
      <c r="B509" s="16" t="s">
        <v>89</v>
      </c>
      <c r="C509">
        <v>162936765.12070704</v>
      </c>
      <c r="D509">
        <v>165335717.10203519</v>
      </c>
      <c r="E509">
        <v>932882.88288288203</v>
      </c>
      <c r="F509">
        <v>2390090.0900900951</v>
      </c>
      <c r="G509">
        <v>25</v>
      </c>
      <c r="H509">
        <v>38</v>
      </c>
      <c r="I509">
        <v>1</v>
      </c>
      <c r="J509">
        <v>16</v>
      </c>
      <c r="K509">
        <v>1</v>
      </c>
      <c r="M509">
        <v>26</v>
      </c>
      <c r="N509">
        <v>241</v>
      </c>
      <c r="O509">
        <v>10468468.468468465</v>
      </c>
      <c r="P509">
        <v>13455315.315315312</v>
      </c>
      <c r="Q509">
        <v>144</v>
      </c>
      <c r="R509">
        <v>274</v>
      </c>
      <c r="S509">
        <v>38025529.729729727</v>
      </c>
      <c r="T509">
        <v>41032567.567567565</v>
      </c>
      <c r="U509">
        <v>12159369.369369367</v>
      </c>
      <c r="V509">
        <v>12128378.378378373</v>
      </c>
      <c r="W509">
        <v>3417</v>
      </c>
      <c r="X509">
        <v>3880</v>
      </c>
    </row>
    <row r="510" spans="1:24">
      <c r="A510" s="7" t="s">
        <v>598</v>
      </c>
      <c r="B510" s="16" t="s">
        <v>143</v>
      </c>
      <c r="C510">
        <v>63241343.071698762</v>
      </c>
      <c r="D510">
        <v>63960938.350831501</v>
      </c>
      <c r="E510">
        <v>1254054.054054053</v>
      </c>
      <c r="F510">
        <v>38149549.54954955</v>
      </c>
      <c r="G510">
        <v>13</v>
      </c>
      <c r="H510">
        <v>6</v>
      </c>
      <c r="I510">
        <v>4</v>
      </c>
      <c r="J510">
        <v>3</v>
      </c>
      <c r="M510">
        <v>13</v>
      </c>
      <c r="N510">
        <v>8</v>
      </c>
      <c r="O510">
        <v>7209098.1981981983</v>
      </c>
      <c r="P510">
        <v>7717117.1171171181</v>
      </c>
      <c r="Q510">
        <v>41</v>
      </c>
      <c r="R510">
        <v>173</v>
      </c>
      <c r="S510">
        <v>4229099.0990990987</v>
      </c>
      <c r="T510">
        <v>6229108.1081081089</v>
      </c>
      <c r="U510">
        <v>3946756.7567567569</v>
      </c>
      <c r="V510">
        <v>5103243.2432432426</v>
      </c>
      <c r="W510">
        <v>1110</v>
      </c>
      <c r="X510">
        <v>1186</v>
      </c>
    </row>
    <row r="511" spans="1:24">
      <c r="A511" s="7" t="s">
        <v>599</v>
      </c>
      <c r="B511" s="16" t="s">
        <v>125</v>
      </c>
      <c r="C511">
        <v>169419132.24144927</v>
      </c>
      <c r="D511">
        <v>165530491.87508145</v>
      </c>
      <c r="E511">
        <v>95890490.990990996</v>
      </c>
      <c r="F511">
        <v>146047788.2882883</v>
      </c>
      <c r="G511">
        <v>14</v>
      </c>
      <c r="H511">
        <v>18</v>
      </c>
      <c r="I511">
        <v>0</v>
      </c>
      <c r="J511">
        <v>1</v>
      </c>
      <c r="M511">
        <v>16</v>
      </c>
      <c r="N511">
        <v>23</v>
      </c>
      <c r="O511">
        <v>50207072.072072074</v>
      </c>
      <c r="P511">
        <v>31580990.990990993</v>
      </c>
      <c r="Q511">
        <v>39</v>
      </c>
      <c r="R511">
        <v>15</v>
      </c>
      <c r="S511">
        <v>63274504.504504502</v>
      </c>
      <c r="T511">
        <v>63929899.0990991</v>
      </c>
      <c r="U511">
        <v>29438018.018018018</v>
      </c>
      <c r="V511">
        <v>18055135.135135137</v>
      </c>
      <c r="W511">
        <v>3214</v>
      </c>
      <c r="X511">
        <v>3376</v>
      </c>
    </row>
    <row r="512" spans="1:24">
      <c r="A512" s="7" t="s">
        <v>600</v>
      </c>
      <c r="B512" s="16" t="s">
        <v>50</v>
      </c>
      <c r="C512">
        <v>400918065.42565042</v>
      </c>
      <c r="D512">
        <v>402811317.5485518</v>
      </c>
      <c r="E512">
        <v>2896036.0360360378</v>
      </c>
      <c r="F512">
        <v>4549549.5495495535</v>
      </c>
      <c r="G512">
        <v>59</v>
      </c>
      <c r="H512">
        <v>33</v>
      </c>
      <c r="I512">
        <v>9</v>
      </c>
      <c r="J512">
        <v>4</v>
      </c>
      <c r="K512">
        <v>1</v>
      </c>
      <c r="M512">
        <v>63</v>
      </c>
      <c r="N512">
        <v>45</v>
      </c>
      <c r="O512">
        <v>51905855.855855852</v>
      </c>
      <c r="P512">
        <v>65066486.486486487</v>
      </c>
      <c r="Q512">
        <v>175</v>
      </c>
      <c r="R512">
        <v>26</v>
      </c>
      <c r="S512">
        <v>168891918.91891891</v>
      </c>
      <c r="T512">
        <v>169690216.21621624</v>
      </c>
      <c r="U512">
        <v>51211801.801801801</v>
      </c>
      <c r="V512">
        <v>63897297.297297299</v>
      </c>
      <c r="W512">
        <v>7440</v>
      </c>
      <c r="X512">
        <v>7626</v>
      </c>
    </row>
    <row r="513" spans="1:24">
      <c r="A513" s="7" t="s">
        <v>601</v>
      </c>
      <c r="B513" s="16" t="s">
        <v>89</v>
      </c>
      <c r="C513">
        <v>120001135.16686636</v>
      </c>
      <c r="D513">
        <v>117303879.73272629</v>
      </c>
      <c r="E513">
        <v>3609639.6396396412</v>
      </c>
      <c r="F513">
        <v>984684.68468468799</v>
      </c>
      <c r="G513">
        <v>16</v>
      </c>
      <c r="H513">
        <v>9</v>
      </c>
      <c r="I513">
        <v>4</v>
      </c>
      <c r="J513">
        <v>9</v>
      </c>
      <c r="M513">
        <v>17</v>
      </c>
      <c r="N513">
        <v>11</v>
      </c>
      <c r="O513">
        <v>12747747.747747747</v>
      </c>
      <c r="P513">
        <v>28328108.108108111</v>
      </c>
      <c r="Q513">
        <v>92</v>
      </c>
      <c r="R513">
        <v>1402</v>
      </c>
      <c r="S513">
        <v>35141306.306306303</v>
      </c>
      <c r="T513">
        <v>36026549.54954955</v>
      </c>
      <c r="U513">
        <v>9484504.5045045037</v>
      </c>
      <c r="V513">
        <v>27392342.342342339</v>
      </c>
      <c r="W513">
        <v>2505</v>
      </c>
      <c r="X513">
        <v>2402</v>
      </c>
    </row>
    <row r="514" spans="1:24">
      <c r="A514" s="7" t="s">
        <v>602</v>
      </c>
      <c r="B514" s="16" t="s">
        <v>87</v>
      </c>
      <c r="C514">
        <v>114278301.64050518</v>
      </c>
      <c r="D514">
        <v>103545746.22653507</v>
      </c>
      <c r="E514">
        <v>580180.18018018105</v>
      </c>
      <c r="F514">
        <v>617117.11711711704</v>
      </c>
      <c r="G514">
        <v>16</v>
      </c>
      <c r="H514">
        <v>12</v>
      </c>
      <c r="I514">
        <v>1</v>
      </c>
      <c r="J514">
        <v>1</v>
      </c>
      <c r="M514">
        <v>17</v>
      </c>
      <c r="N514">
        <v>15</v>
      </c>
      <c r="O514">
        <v>1886486.4864864859</v>
      </c>
      <c r="P514">
        <v>1256756.756756756</v>
      </c>
      <c r="S514">
        <v>8502340.5405405406</v>
      </c>
      <c r="T514">
        <v>8171198.1981981983</v>
      </c>
      <c r="U514">
        <v>1269412.612612613</v>
      </c>
      <c r="V514">
        <v>1361441.441441441</v>
      </c>
      <c r="W514">
        <v>1248</v>
      </c>
      <c r="X514">
        <v>1187</v>
      </c>
    </row>
    <row r="515" spans="1:24">
      <c r="A515" s="7" t="s">
        <v>603</v>
      </c>
      <c r="B515" s="16" t="s">
        <v>140</v>
      </c>
      <c r="C515">
        <v>830376192.9392302</v>
      </c>
      <c r="D515">
        <v>839440618.255813</v>
      </c>
      <c r="E515">
        <v>450931472.07207209</v>
      </c>
      <c r="F515">
        <v>454851735.13513517</v>
      </c>
      <c r="G515">
        <v>331</v>
      </c>
      <c r="H515">
        <v>471</v>
      </c>
      <c r="I515">
        <v>22</v>
      </c>
      <c r="J515">
        <v>50</v>
      </c>
      <c r="K515">
        <v>9</v>
      </c>
      <c r="M515">
        <v>442</v>
      </c>
      <c r="N515">
        <v>905</v>
      </c>
      <c r="O515">
        <v>157635045.04504505</v>
      </c>
      <c r="P515">
        <v>147290720.72072074</v>
      </c>
      <c r="Q515">
        <v>705</v>
      </c>
      <c r="R515">
        <v>411</v>
      </c>
      <c r="S515">
        <v>201190985.58558559</v>
      </c>
      <c r="T515">
        <v>211533353.15315315</v>
      </c>
      <c r="U515">
        <v>149041531.53153151</v>
      </c>
      <c r="V515">
        <v>146979909.90990993</v>
      </c>
      <c r="W515">
        <v>18972</v>
      </c>
      <c r="X515">
        <v>18690</v>
      </c>
    </row>
    <row r="516" spans="1:24">
      <c r="A516" s="7" t="s">
        <v>685</v>
      </c>
      <c r="B516" s="16" t="s">
        <v>214</v>
      </c>
      <c r="E516">
        <v>11486486.486486485</v>
      </c>
      <c r="F516">
        <v>2477477.4774774769</v>
      </c>
      <c r="O516">
        <v>243243.24324324299</v>
      </c>
      <c r="P516">
        <v>344144.14414414403</v>
      </c>
    </row>
    <row r="517" spans="1:24">
      <c r="A517" s="7" t="s">
        <v>604</v>
      </c>
      <c r="B517" s="16" t="s">
        <v>224</v>
      </c>
      <c r="C517">
        <v>168462383.62995264</v>
      </c>
      <c r="D517">
        <v>143553965.94709781</v>
      </c>
      <c r="E517">
        <v>150734009.00900903</v>
      </c>
      <c r="F517">
        <v>121763603.6036036</v>
      </c>
      <c r="G517">
        <v>25</v>
      </c>
      <c r="H517">
        <v>27</v>
      </c>
      <c r="I517">
        <v>1</v>
      </c>
      <c r="J517">
        <v>1</v>
      </c>
      <c r="M517">
        <v>30</v>
      </c>
      <c r="N517">
        <v>33</v>
      </c>
      <c r="O517">
        <v>11790675.675675675</v>
      </c>
      <c r="P517">
        <v>8449324.3243243247</v>
      </c>
      <c r="Q517">
        <v>15</v>
      </c>
      <c r="S517">
        <v>54001540.540540546</v>
      </c>
      <c r="T517">
        <v>47754153.153153151</v>
      </c>
      <c r="U517">
        <v>5643693.6936936919</v>
      </c>
      <c r="V517">
        <v>5694234.2342342343</v>
      </c>
      <c r="W517">
        <v>3627</v>
      </c>
      <c r="X517">
        <v>3630</v>
      </c>
    </row>
    <row r="518" spans="1:24">
      <c r="A518" s="7" t="s">
        <v>605</v>
      </c>
      <c r="B518" s="16" t="s">
        <v>224</v>
      </c>
      <c r="C518">
        <v>96990819.452639475</v>
      </c>
      <c r="D518">
        <v>93739782.308241829</v>
      </c>
      <c r="E518">
        <v>11711.711711712</v>
      </c>
      <c r="F518">
        <v>49549.549549549003</v>
      </c>
      <c r="G518">
        <v>34</v>
      </c>
      <c r="H518">
        <v>34</v>
      </c>
      <c r="I518">
        <v>1</v>
      </c>
      <c r="J518">
        <v>0</v>
      </c>
      <c r="M518">
        <v>37</v>
      </c>
      <c r="N518">
        <v>39</v>
      </c>
      <c r="O518">
        <v>6957657.6576576577</v>
      </c>
      <c r="P518">
        <v>4554054.0540540544</v>
      </c>
      <c r="Q518">
        <v>10</v>
      </c>
      <c r="R518">
        <v>2</v>
      </c>
      <c r="S518">
        <v>26582747.747747749</v>
      </c>
      <c r="T518">
        <v>28533639.639639638</v>
      </c>
      <c r="U518">
        <v>5806666.666666667</v>
      </c>
      <c r="V518">
        <v>5855585.5855855858</v>
      </c>
      <c r="W518">
        <v>3030</v>
      </c>
      <c r="X518">
        <v>3154</v>
      </c>
    </row>
    <row r="519" spans="1:24">
      <c r="A519" s="7" t="s">
        <v>606</v>
      </c>
      <c r="B519" s="16" t="s">
        <v>241</v>
      </c>
      <c r="C519">
        <v>86378094.285276204</v>
      </c>
      <c r="D519">
        <v>79041635.465247586</v>
      </c>
      <c r="E519">
        <v>238121262.16216218</v>
      </c>
      <c r="F519">
        <v>318162601.8018018</v>
      </c>
      <c r="G519">
        <v>42</v>
      </c>
      <c r="H519">
        <v>44</v>
      </c>
      <c r="I519">
        <v>2</v>
      </c>
      <c r="J519">
        <v>1</v>
      </c>
      <c r="M519">
        <v>44</v>
      </c>
      <c r="N519">
        <v>51</v>
      </c>
      <c r="O519">
        <v>35414376.576576576</v>
      </c>
      <c r="P519">
        <v>20553153.153153151</v>
      </c>
      <c r="Q519">
        <v>28</v>
      </c>
      <c r="R519">
        <v>17</v>
      </c>
      <c r="S519">
        <v>24989000</v>
      </c>
      <c r="T519">
        <v>24372936.936936937</v>
      </c>
      <c r="U519">
        <v>7474684.6846846817</v>
      </c>
      <c r="V519">
        <v>7192432.4324324299</v>
      </c>
      <c r="W519">
        <v>2312</v>
      </c>
      <c r="X519">
        <v>2555</v>
      </c>
    </row>
    <row r="520" spans="1:24">
      <c r="A520" s="7" t="s">
        <v>607</v>
      </c>
      <c r="B520" s="16" t="s">
        <v>140</v>
      </c>
      <c r="C520">
        <v>24023084.624130759</v>
      </c>
      <c r="D520">
        <v>23989037.303291593</v>
      </c>
      <c r="F520">
        <v>2702.7027027029999</v>
      </c>
      <c r="G520">
        <v>1</v>
      </c>
      <c r="H520">
        <v>4</v>
      </c>
      <c r="M520">
        <v>1</v>
      </c>
      <c r="N520">
        <v>4</v>
      </c>
      <c r="O520">
        <v>587387.38738738699</v>
      </c>
      <c r="P520">
        <v>227927.92792792799</v>
      </c>
      <c r="S520">
        <v>2989954.9549549548</v>
      </c>
      <c r="T520">
        <v>2863504.5045045051</v>
      </c>
      <c r="U520">
        <v>692432.43243243301</v>
      </c>
      <c r="V520">
        <v>532432.43243243301</v>
      </c>
      <c r="W520">
        <v>332</v>
      </c>
      <c r="X520">
        <v>367</v>
      </c>
    </row>
    <row r="521" spans="1:24">
      <c r="A521" s="7" t="s">
        <v>673</v>
      </c>
      <c r="B521" s="16" t="s">
        <v>189</v>
      </c>
      <c r="X521">
        <v>1</v>
      </c>
    </row>
    <row r="522" spans="1:24">
      <c r="A522" s="7" t="s">
        <v>608</v>
      </c>
      <c r="B522" s="16" t="s">
        <v>189</v>
      </c>
      <c r="C522">
        <v>97260848.151311457</v>
      </c>
      <c r="D522">
        <v>88059291.935338467</v>
      </c>
      <c r="E522">
        <v>506081.08108108101</v>
      </c>
      <c r="F522">
        <v>2081981.981981982</v>
      </c>
      <c r="G522">
        <v>32</v>
      </c>
      <c r="H522">
        <v>52</v>
      </c>
      <c r="I522">
        <v>3</v>
      </c>
      <c r="J522">
        <v>2</v>
      </c>
      <c r="M522">
        <v>34</v>
      </c>
      <c r="N522">
        <v>59</v>
      </c>
      <c r="O522">
        <v>11269369.369369367</v>
      </c>
      <c r="P522">
        <v>12081981.981981982</v>
      </c>
      <c r="Q522">
        <v>19</v>
      </c>
      <c r="R522">
        <v>3</v>
      </c>
      <c r="S522">
        <v>19586891.891891893</v>
      </c>
      <c r="T522">
        <v>21944977.477477476</v>
      </c>
      <c r="U522">
        <v>7938738.7387387389</v>
      </c>
      <c r="V522">
        <v>8412702.7027027011</v>
      </c>
      <c r="W522">
        <v>1612</v>
      </c>
      <c r="X522">
        <v>1488</v>
      </c>
    </row>
    <row r="523" spans="1:24">
      <c r="A523" s="7" t="s">
        <v>609</v>
      </c>
      <c r="B523" s="16" t="s">
        <v>189</v>
      </c>
      <c r="C523">
        <v>244629086.82339165</v>
      </c>
      <c r="D523">
        <v>233820952.06493995</v>
      </c>
      <c r="E523">
        <v>32151935.135135137</v>
      </c>
      <c r="F523">
        <v>29761839.639639638</v>
      </c>
      <c r="G523">
        <v>104</v>
      </c>
      <c r="H523">
        <v>74</v>
      </c>
      <c r="I523">
        <v>6</v>
      </c>
      <c r="J523">
        <v>6</v>
      </c>
      <c r="M523">
        <v>110</v>
      </c>
      <c r="N523">
        <v>82</v>
      </c>
      <c r="O523">
        <v>12781981.98198198</v>
      </c>
      <c r="P523">
        <v>29544364.864864863</v>
      </c>
      <c r="Q523">
        <v>37</v>
      </c>
      <c r="R523">
        <v>51</v>
      </c>
      <c r="S523">
        <v>34722792.79279279</v>
      </c>
      <c r="T523">
        <v>33427009.009009007</v>
      </c>
      <c r="U523">
        <v>8907837.8378378376</v>
      </c>
      <c r="V523">
        <v>7294324.3243243247</v>
      </c>
      <c r="W523">
        <v>4051</v>
      </c>
      <c r="X523">
        <v>3921</v>
      </c>
    </row>
    <row r="524" spans="1:24">
      <c r="A524" s="7" t="s">
        <v>610</v>
      </c>
      <c r="B524" s="16" t="s">
        <v>189</v>
      </c>
      <c r="C524">
        <v>108466314.39466216</v>
      </c>
      <c r="D524">
        <v>102325274.15346724</v>
      </c>
      <c r="E524">
        <v>410135.13513513602</v>
      </c>
      <c r="F524">
        <v>727702.70270270505</v>
      </c>
      <c r="G524">
        <v>28</v>
      </c>
      <c r="H524">
        <v>17</v>
      </c>
      <c r="I524">
        <v>4</v>
      </c>
      <c r="J524">
        <v>2</v>
      </c>
      <c r="M524">
        <v>29</v>
      </c>
      <c r="N524">
        <v>20</v>
      </c>
      <c r="O524">
        <v>6909009.0090090092</v>
      </c>
      <c r="P524">
        <v>5572072.072072072</v>
      </c>
      <c r="Q524">
        <v>41</v>
      </c>
      <c r="R524">
        <v>190</v>
      </c>
      <c r="S524">
        <v>13528918.918918919</v>
      </c>
      <c r="T524">
        <v>12534720.72072072</v>
      </c>
      <c r="U524">
        <v>5443513.513513512</v>
      </c>
      <c r="V524">
        <v>4982792.7927927934</v>
      </c>
      <c r="W524">
        <v>1658</v>
      </c>
      <c r="X524">
        <v>1641</v>
      </c>
    </row>
    <row r="525" spans="1:24">
      <c r="A525" s="7" t="s">
        <v>611</v>
      </c>
      <c r="B525" s="16" t="s">
        <v>189</v>
      </c>
      <c r="C525">
        <v>32624543.589126367</v>
      </c>
      <c r="D525">
        <v>38956415.386473216</v>
      </c>
      <c r="E525">
        <v>10810.810810810999</v>
      </c>
      <c r="F525">
        <v>202252.25225225301</v>
      </c>
      <c r="G525">
        <v>24</v>
      </c>
      <c r="H525">
        <v>20</v>
      </c>
      <c r="I525">
        <v>2</v>
      </c>
      <c r="J525">
        <v>2</v>
      </c>
      <c r="M525">
        <v>25</v>
      </c>
      <c r="N525">
        <v>22</v>
      </c>
      <c r="O525">
        <v>2498198.1981981988</v>
      </c>
      <c r="P525">
        <v>4036396.3963963971</v>
      </c>
      <c r="Q525">
        <v>17</v>
      </c>
      <c r="R525">
        <v>3</v>
      </c>
      <c r="S525">
        <v>5594954.9549549548</v>
      </c>
      <c r="T525">
        <v>7013720.7207207214</v>
      </c>
      <c r="U525">
        <v>1545945.945945947</v>
      </c>
      <c r="V525">
        <v>3340000</v>
      </c>
      <c r="W525">
        <v>898</v>
      </c>
      <c r="X525">
        <v>1020</v>
      </c>
    </row>
    <row r="526" spans="1:24">
      <c r="A526" s="7" t="s">
        <v>612</v>
      </c>
      <c r="B526" s="16" t="s">
        <v>143</v>
      </c>
      <c r="C526">
        <v>308691278.6405986</v>
      </c>
      <c r="D526">
        <v>288564864.67816484</v>
      </c>
      <c r="E526">
        <v>440499.09909910097</v>
      </c>
      <c r="F526">
        <v>3543095.4954954959</v>
      </c>
      <c r="G526">
        <v>228</v>
      </c>
      <c r="H526">
        <v>115</v>
      </c>
      <c r="I526">
        <v>19</v>
      </c>
      <c r="J526">
        <v>15</v>
      </c>
      <c r="M526">
        <v>258</v>
      </c>
      <c r="N526">
        <v>512</v>
      </c>
      <c r="O526">
        <v>29900900.900900897</v>
      </c>
      <c r="P526">
        <v>30504504.504504506</v>
      </c>
      <c r="Q526">
        <v>178</v>
      </c>
      <c r="R526">
        <v>166</v>
      </c>
      <c r="S526">
        <v>36305304.504504502</v>
      </c>
      <c r="T526">
        <v>38199563.063063063</v>
      </c>
      <c r="U526">
        <v>28626936.936936937</v>
      </c>
      <c r="V526">
        <v>28785178.378378376</v>
      </c>
      <c r="W526">
        <v>6764</v>
      </c>
      <c r="X526">
        <v>8081</v>
      </c>
    </row>
    <row r="527" spans="1:24">
      <c r="A527" s="7" t="s">
        <v>613</v>
      </c>
      <c r="B527" s="16" t="s">
        <v>189</v>
      </c>
      <c r="C527">
        <v>357416838.85144603</v>
      </c>
      <c r="D527">
        <v>338000050.12971801</v>
      </c>
      <c r="E527">
        <v>597972.972972975</v>
      </c>
      <c r="F527">
        <v>1848423.4234234251</v>
      </c>
      <c r="G527">
        <v>127</v>
      </c>
      <c r="H527">
        <v>119</v>
      </c>
      <c r="I527">
        <v>13</v>
      </c>
      <c r="J527">
        <v>10</v>
      </c>
      <c r="K527">
        <v>1</v>
      </c>
      <c r="M527">
        <v>145</v>
      </c>
      <c r="N527">
        <v>177</v>
      </c>
      <c r="O527">
        <v>8615315.3153153155</v>
      </c>
      <c r="P527">
        <v>13508828.82882883</v>
      </c>
      <c r="Q527">
        <v>90</v>
      </c>
      <c r="R527">
        <v>466</v>
      </c>
      <c r="S527">
        <v>32057481.081081081</v>
      </c>
      <c r="T527">
        <v>33200077.47747748</v>
      </c>
      <c r="U527">
        <v>7105985.5855855839</v>
      </c>
      <c r="V527">
        <v>12241124.324324327</v>
      </c>
      <c r="W527">
        <v>7604</v>
      </c>
      <c r="X527">
        <v>7418</v>
      </c>
    </row>
    <row r="528" spans="1:24">
      <c r="A528" s="7" t="s">
        <v>614</v>
      </c>
      <c r="B528" s="16" t="s">
        <v>54</v>
      </c>
      <c r="C528">
        <v>253194292.76796392</v>
      </c>
      <c r="D528">
        <v>237416672.81003955</v>
      </c>
      <c r="E528">
        <v>3692792.7927927938</v>
      </c>
      <c r="F528">
        <v>4161261.2612612662</v>
      </c>
      <c r="G528">
        <v>73</v>
      </c>
      <c r="H528">
        <v>78</v>
      </c>
      <c r="I528">
        <v>10</v>
      </c>
      <c r="J528">
        <v>15</v>
      </c>
      <c r="M528">
        <v>82</v>
      </c>
      <c r="N528">
        <v>111</v>
      </c>
      <c r="O528">
        <v>40444594.59459459</v>
      </c>
      <c r="P528">
        <v>39954054.054054059</v>
      </c>
      <c r="Q528">
        <v>193</v>
      </c>
      <c r="R528">
        <v>116</v>
      </c>
      <c r="S528">
        <v>74002387.387387395</v>
      </c>
      <c r="T528">
        <v>75822171.171171173</v>
      </c>
      <c r="U528">
        <v>42018918.918918923</v>
      </c>
      <c r="V528">
        <v>36868918.918918923</v>
      </c>
      <c r="W528">
        <v>6446</v>
      </c>
      <c r="X528">
        <v>6580</v>
      </c>
    </row>
    <row r="529" spans="1:24">
      <c r="A529" s="7" t="s">
        <v>615</v>
      </c>
      <c r="B529" s="16" t="s">
        <v>54</v>
      </c>
      <c r="C529">
        <v>131827534.82206014</v>
      </c>
      <c r="D529">
        <v>129385993.63462502</v>
      </c>
      <c r="E529">
        <v>97072.072072073002</v>
      </c>
      <c r="F529">
        <v>736036.03603603796</v>
      </c>
      <c r="G529">
        <v>11</v>
      </c>
      <c r="H529">
        <v>13</v>
      </c>
      <c r="I529">
        <v>0</v>
      </c>
      <c r="J529">
        <v>4</v>
      </c>
      <c r="M529">
        <v>13</v>
      </c>
      <c r="N529">
        <v>19</v>
      </c>
      <c r="O529">
        <v>6265765.7657657657</v>
      </c>
      <c r="P529">
        <v>6728828.8288288293</v>
      </c>
      <c r="Q529">
        <v>48</v>
      </c>
      <c r="R529">
        <v>31</v>
      </c>
      <c r="S529">
        <v>20934720.72072072</v>
      </c>
      <c r="T529">
        <v>21896144.144144144</v>
      </c>
      <c r="U529">
        <v>6463693.6936936937</v>
      </c>
      <c r="V529">
        <v>5337657.6576576587</v>
      </c>
      <c r="W529">
        <v>2767</v>
      </c>
      <c r="X529">
        <v>2898</v>
      </c>
    </row>
    <row r="530" spans="1:24">
      <c r="A530" s="7" t="s">
        <v>616</v>
      </c>
      <c r="B530" s="16" t="s">
        <v>60</v>
      </c>
      <c r="C530">
        <v>202625262.69853473</v>
      </c>
      <c r="D530">
        <v>200202525.00525919</v>
      </c>
      <c r="E530">
        <v>690090.09009009204</v>
      </c>
      <c r="F530">
        <v>2792792.792792792</v>
      </c>
      <c r="G530">
        <v>37</v>
      </c>
      <c r="H530">
        <v>79</v>
      </c>
      <c r="I530">
        <v>6</v>
      </c>
      <c r="J530">
        <v>23</v>
      </c>
      <c r="M530">
        <v>46</v>
      </c>
      <c r="N530">
        <v>125</v>
      </c>
      <c r="O530">
        <v>27719819.819819819</v>
      </c>
      <c r="P530">
        <v>31250900.9009009</v>
      </c>
      <c r="Q530">
        <v>131</v>
      </c>
      <c r="R530">
        <v>116</v>
      </c>
      <c r="S530">
        <v>61285000</v>
      </c>
      <c r="T530">
        <v>66088927.927927926</v>
      </c>
      <c r="U530">
        <v>27799009.009009007</v>
      </c>
      <c r="V530">
        <v>30500180.180180177</v>
      </c>
      <c r="W530">
        <v>4231</v>
      </c>
      <c r="X530">
        <v>4022</v>
      </c>
    </row>
    <row r="531" spans="1:24">
      <c r="A531" s="7" t="s">
        <v>617</v>
      </c>
      <c r="B531" s="16" t="s">
        <v>60</v>
      </c>
      <c r="C531">
        <v>221689856.55390334</v>
      </c>
      <c r="D531">
        <v>213952797.97784328</v>
      </c>
      <c r="E531">
        <v>726576.57657657797</v>
      </c>
      <c r="F531">
        <v>1535135.1351351361</v>
      </c>
      <c r="G531">
        <v>37</v>
      </c>
      <c r="H531">
        <v>54</v>
      </c>
      <c r="I531">
        <v>6</v>
      </c>
      <c r="J531">
        <v>9</v>
      </c>
      <c r="K531">
        <v>2</v>
      </c>
      <c r="M531">
        <v>41</v>
      </c>
      <c r="N531">
        <v>61</v>
      </c>
      <c r="O531">
        <v>26882882.882882878</v>
      </c>
      <c r="P531">
        <v>26277477.47747748</v>
      </c>
      <c r="Q531">
        <v>121</v>
      </c>
      <c r="R531">
        <v>116</v>
      </c>
      <c r="S531">
        <v>115057162.16216215</v>
      </c>
      <c r="T531">
        <v>112977545.04504503</v>
      </c>
      <c r="U531">
        <v>27501351.351351347</v>
      </c>
      <c r="V531">
        <v>25403513.513513513</v>
      </c>
      <c r="W531">
        <v>5413</v>
      </c>
      <c r="X531">
        <v>5293</v>
      </c>
    </row>
    <row r="532" spans="1:24">
      <c r="A532" s="7" t="s">
        <v>618</v>
      </c>
      <c r="B532" s="16" t="s">
        <v>60</v>
      </c>
      <c r="C532">
        <v>283600866.06514323</v>
      </c>
      <c r="D532">
        <v>271058357.03567129</v>
      </c>
      <c r="E532">
        <v>2459009.0090090092</v>
      </c>
      <c r="F532">
        <v>3445945.9459459512</v>
      </c>
      <c r="G532">
        <v>53</v>
      </c>
      <c r="H532">
        <v>46</v>
      </c>
      <c r="I532">
        <v>6</v>
      </c>
      <c r="J532">
        <v>8</v>
      </c>
      <c r="M532">
        <v>65</v>
      </c>
      <c r="N532">
        <v>56</v>
      </c>
      <c r="O532">
        <v>19088738.738738734</v>
      </c>
      <c r="P532">
        <v>40222522.522522531</v>
      </c>
      <c r="Q532">
        <v>132</v>
      </c>
      <c r="R532">
        <v>112</v>
      </c>
      <c r="S532">
        <v>90542954.954954967</v>
      </c>
      <c r="T532">
        <v>90345500.45045045</v>
      </c>
      <c r="U532">
        <v>19152252.252252251</v>
      </c>
      <c r="V532">
        <v>40007387.387387395</v>
      </c>
      <c r="W532">
        <v>5822</v>
      </c>
      <c r="X532">
        <v>6190</v>
      </c>
    </row>
    <row r="533" spans="1:24">
      <c r="A533" s="7" t="s">
        <v>619</v>
      </c>
      <c r="B533" s="16" t="s">
        <v>620</v>
      </c>
      <c r="C533">
        <v>323769462.53980839</v>
      </c>
      <c r="D533">
        <v>322803363.50429928</v>
      </c>
      <c r="E533">
        <v>2637792.7927927929</v>
      </c>
      <c r="F533">
        <v>5655630.6306306338</v>
      </c>
      <c r="G533">
        <v>125</v>
      </c>
      <c r="H533">
        <v>204</v>
      </c>
      <c r="I533">
        <v>11</v>
      </c>
      <c r="J533">
        <v>13</v>
      </c>
      <c r="K533">
        <v>7</v>
      </c>
      <c r="M533">
        <v>150</v>
      </c>
      <c r="N533">
        <v>395</v>
      </c>
      <c r="O533">
        <v>31767297.297297295</v>
      </c>
      <c r="P533">
        <v>20527477.477477476</v>
      </c>
      <c r="Q533">
        <v>390</v>
      </c>
      <c r="R533">
        <v>66</v>
      </c>
      <c r="S533">
        <v>40730990.990990989</v>
      </c>
      <c r="T533">
        <v>39539828.828828834</v>
      </c>
      <c r="U533">
        <v>32768288.288288288</v>
      </c>
      <c r="V533">
        <v>23785225.225225225</v>
      </c>
      <c r="W533">
        <v>7421</v>
      </c>
      <c r="X533">
        <v>8613</v>
      </c>
    </row>
    <row r="534" spans="1:24">
      <c r="A534" s="7" t="s">
        <v>621</v>
      </c>
      <c r="B534" s="16" t="s">
        <v>620</v>
      </c>
      <c r="C534">
        <v>257124563.36568913</v>
      </c>
      <c r="D534">
        <v>235939391.79298925</v>
      </c>
      <c r="E534">
        <v>6544824.3243243238</v>
      </c>
      <c r="F534">
        <v>60447174.774774775</v>
      </c>
      <c r="G534">
        <v>125</v>
      </c>
      <c r="H534">
        <v>89</v>
      </c>
      <c r="I534">
        <v>8</v>
      </c>
      <c r="J534">
        <v>12</v>
      </c>
      <c r="K534">
        <v>2</v>
      </c>
      <c r="M534">
        <v>146</v>
      </c>
      <c r="N534">
        <v>106</v>
      </c>
      <c r="O534">
        <v>24386797.297297295</v>
      </c>
      <c r="P534">
        <v>37849476.576576576</v>
      </c>
      <c r="Q534">
        <v>79</v>
      </c>
      <c r="R534">
        <v>25</v>
      </c>
      <c r="S534">
        <v>38470366.666666672</v>
      </c>
      <c r="T534">
        <v>38547475.675675683</v>
      </c>
      <c r="U534">
        <v>20770990.990990989</v>
      </c>
      <c r="V534">
        <v>19168018.018018015</v>
      </c>
      <c r="W534">
        <v>6272</v>
      </c>
      <c r="X534">
        <v>5958</v>
      </c>
    </row>
    <row r="535" spans="1:24">
      <c r="A535" s="7" t="s">
        <v>622</v>
      </c>
      <c r="B535" s="16" t="s">
        <v>620</v>
      </c>
      <c r="C535">
        <v>273414904.33488762</v>
      </c>
      <c r="D535">
        <v>246648233.76936463</v>
      </c>
      <c r="E535">
        <v>839639.63963964104</v>
      </c>
      <c r="F535">
        <v>1382432.4324324359</v>
      </c>
      <c r="G535">
        <v>127</v>
      </c>
      <c r="H535">
        <v>96</v>
      </c>
      <c r="I535">
        <v>7</v>
      </c>
      <c r="J535">
        <v>6</v>
      </c>
      <c r="K535">
        <v>2</v>
      </c>
      <c r="M535">
        <v>149</v>
      </c>
      <c r="N535">
        <v>113</v>
      </c>
      <c r="O535">
        <v>28858558.558558557</v>
      </c>
      <c r="P535">
        <v>18168918.918918919</v>
      </c>
      <c r="Q535">
        <v>422</v>
      </c>
      <c r="R535">
        <v>52</v>
      </c>
      <c r="S535">
        <v>36722459.459459454</v>
      </c>
      <c r="T535">
        <v>38193245.945945941</v>
      </c>
      <c r="U535">
        <v>27132428.82882883</v>
      </c>
      <c r="V535">
        <v>14478558.558558557</v>
      </c>
      <c r="W535">
        <v>6079</v>
      </c>
      <c r="X535">
        <v>5867</v>
      </c>
    </row>
    <row r="536" spans="1:24">
      <c r="A536" s="7" t="s">
        <v>623</v>
      </c>
      <c r="B536" s="16" t="s">
        <v>620</v>
      </c>
      <c r="C536">
        <v>193133003.27482292</v>
      </c>
      <c r="D536">
        <v>181407674.71340582</v>
      </c>
      <c r="E536">
        <v>82421818.918918908</v>
      </c>
      <c r="F536">
        <v>653153.15315315395</v>
      </c>
      <c r="G536">
        <v>102</v>
      </c>
      <c r="H536">
        <v>42</v>
      </c>
      <c r="I536">
        <v>6</v>
      </c>
      <c r="J536">
        <v>5</v>
      </c>
      <c r="K536">
        <v>2</v>
      </c>
      <c r="M536">
        <v>113</v>
      </c>
      <c r="N536">
        <v>56</v>
      </c>
      <c r="O536">
        <v>17689189.189189188</v>
      </c>
      <c r="P536">
        <v>15989189.189189188</v>
      </c>
      <c r="Q536">
        <v>61</v>
      </c>
      <c r="R536">
        <v>10</v>
      </c>
      <c r="S536">
        <v>24456792.792792793</v>
      </c>
      <c r="T536">
        <v>23577463.963963963</v>
      </c>
      <c r="U536">
        <v>16596576.576576576</v>
      </c>
      <c r="V536">
        <v>15585675.675675675</v>
      </c>
      <c r="W536">
        <v>3672</v>
      </c>
      <c r="X536">
        <v>3497</v>
      </c>
    </row>
    <row r="537" spans="1:24">
      <c r="A537" s="7" t="s">
        <v>624</v>
      </c>
      <c r="B537" s="16" t="s">
        <v>260</v>
      </c>
      <c r="C537">
        <v>104235070.22008885</v>
      </c>
      <c r="D537">
        <v>96400058.719683662</v>
      </c>
      <c r="E537">
        <v>18918.918918919</v>
      </c>
      <c r="F537">
        <v>363963.96396396501</v>
      </c>
      <c r="G537">
        <v>12</v>
      </c>
      <c r="H537">
        <v>16</v>
      </c>
      <c r="I537">
        <v>0</v>
      </c>
      <c r="J537">
        <v>2</v>
      </c>
      <c r="M537">
        <v>12</v>
      </c>
      <c r="N537">
        <v>16</v>
      </c>
      <c r="O537">
        <v>15063963.963963963</v>
      </c>
      <c r="P537">
        <v>7275675.6756756771</v>
      </c>
      <c r="R537">
        <v>6</v>
      </c>
      <c r="S537">
        <v>35289306.306306303</v>
      </c>
      <c r="T537">
        <v>30867522.522522524</v>
      </c>
      <c r="U537">
        <v>13227747.747747747</v>
      </c>
      <c r="V537">
        <v>10389459.459459459</v>
      </c>
      <c r="W537">
        <v>2004</v>
      </c>
      <c r="X537">
        <v>2280</v>
      </c>
    </row>
    <row r="538" spans="1:24">
      <c r="A538" s="7" t="s">
        <v>625</v>
      </c>
      <c r="B538" s="16" t="s">
        <v>52</v>
      </c>
      <c r="C538">
        <v>150597375.59281343</v>
      </c>
      <c r="D538">
        <v>147384086.67817283</v>
      </c>
      <c r="E538">
        <v>547927.92792792805</v>
      </c>
      <c r="F538">
        <v>390090.09009009099</v>
      </c>
      <c r="G538">
        <v>52</v>
      </c>
      <c r="H538">
        <v>49</v>
      </c>
      <c r="I538">
        <v>3</v>
      </c>
      <c r="J538">
        <v>6</v>
      </c>
      <c r="M538">
        <v>73</v>
      </c>
      <c r="N538">
        <v>121</v>
      </c>
      <c r="O538">
        <v>2337567.5675675669</v>
      </c>
      <c r="P538">
        <v>5218918.9189189197</v>
      </c>
      <c r="Q538">
        <v>8</v>
      </c>
      <c r="R538">
        <v>26</v>
      </c>
      <c r="S538">
        <v>53489540.540540546</v>
      </c>
      <c r="T538">
        <v>53964576.576576576</v>
      </c>
      <c r="U538">
        <v>2971171.1711711702</v>
      </c>
      <c r="V538">
        <v>3861531.5315315332</v>
      </c>
      <c r="W538">
        <v>4521</v>
      </c>
      <c r="X538">
        <v>4182</v>
      </c>
    </row>
    <row r="539" spans="1:24">
      <c r="A539" s="7" t="s">
        <v>626</v>
      </c>
      <c r="B539" s="16" t="s">
        <v>96</v>
      </c>
      <c r="C539">
        <v>384964829.78470588</v>
      </c>
      <c r="D539">
        <v>379641435.29273951</v>
      </c>
      <c r="E539">
        <v>3622882.8828828852</v>
      </c>
      <c r="F539">
        <v>6950450.4504504511</v>
      </c>
      <c r="G539">
        <v>212</v>
      </c>
      <c r="H539">
        <v>169</v>
      </c>
      <c r="I539">
        <v>9</v>
      </c>
      <c r="J539">
        <v>10</v>
      </c>
      <c r="K539">
        <v>1</v>
      </c>
      <c r="M539">
        <v>260</v>
      </c>
      <c r="N539">
        <v>208</v>
      </c>
      <c r="O539">
        <v>59750990.990990989</v>
      </c>
      <c r="P539">
        <v>82356756.756756753</v>
      </c>
      <c r="Q539">
        <v>159</v>
      </c>
      <c r="R539">
        <v>348</v>
      </c>
      <c r="S539">
        <v>121523468.46846846</v>
      </c>
      <c r="T539">
        <v>124667004.95495497</v>
      </c>
      <c r="U539">
        <v>61870270.270270273</v>
      </c>
      <c r="V539">
        <v>71307117.117117122</v>
      </c>
      <c r="W539">
        <v>10972</v>
      </c>
      <c r="X539">
        <v>10341</v>
      </c>
    </row>
    <row r="540" spans="1:24">
      <c r="A540" s="7" t="s">
        <v>627</v>
      </c>
      <c r="B540" s="16" t="s">
        <v>96</v>
      </c>
      <c r="C540">
        <v>680107906.72994578</v>
      </c>
      <c r="D540">
        <v>624441532.84333766</v>
      </c>
      <c r="E540">
        <v>120993926.12612613</v>
      </c>
      <c r="F540">
        <v>222155869.36936939</v>
      </c>
      <c r="G540">
        <v>220</v>
      </c>
      <c r="H540">
        <v>153</v>
      </c>
      <c r="I540">
        <v>10</v>
      </c>
      <c r="J540">
        <v>7</v>
      </c>
      <c r="K540">
        <v>1</v>
      </c>
      <c r="M540">
        <v>277</v>
      </c>
      <c r="N540">
        <v>232</v>
      </c>
      <c r="O540">
        <v>159485835.13513514</v>
      </c>
      <c r="P540">
        <v>217691162.16216218</v>
      </c>
      <c r="Q540">
        <v>141</v>
      </c>
      <c r="R540">
        <v>125</v>
      </c>
      <c r="S540">
        <v>266058342.34234235</v>
      </c>
      <c r="T540">
        <v>254560254.5045045</v>
      </c>
      <c r="U540">
        <v>131781171.17117119</v>
      </c>
      <c r="V540">
        <v>135478648.64864865</v>
      </c>
      <c r="W540">
        <v>13820</v>
      </c>
      <c r="X540">
        <v>13645</v>
      </c>
    </row>
    <row r="541" spans="1:24">
      <c r="A541" s="7" t="s">
        <v>628</v>
      </c>
      <c r="B541" s="16" t="s">
        <v>448</v>
      </c>
      <c r="C541">
        <v>476138038.82337415</v>
      </c>
      <c r="D541">
        <v>455862612.10232598</v>
      </c>
      <c r="E541">
        <v>163783254.05405405</v>
      </c>
      <c r="F541">
        <v>165491648.64864865</v>
      </c>
      <c r="G541">
        <v>213</v>
      </c>
      <c r="H541">
        <v>166</v>
      </c>
      <c r="I541">
        <v>18</v>
      </c>
      <c r="J541">
        <v>18</v>
      </c>
      <c r="K541">
        <v>2</v>
      </c>
      <c r="M541">
        <v>242</v>
      </c>
      <c r="N541">
        <v>214</v>
      </c>
      <c r="O541">
        <v>149218828.82882884</v>
      </c>
      <c r="P541">
        <v>141458198.1981982</v>
      </c>
      <c r="Q541">
        <v>383</v>
      </c>
      <c r="R541">
        <v>1797</v>
      </c>
      <c r="S541">
        <v>137518837.83783785</v>
      </c>
      <c r="T541">
        <v>135917331.53153154</v>
      </c>
      <c r="U541">
        <v>123863603.6036036</v>
      </c>
      <c r="V541">
        <v>134626306.3063063</v>
      </c>
      <c r="W541">
        <v>11426</v>
      </c>
      <c r="X541">
        <v>11480</v>
      </c>
    </row>
    <row r="542" spans="1:24">
      <c r="A542" s="7" t="s">
        <v>629</v>
      </c>
      <c r="B542" s="16" t="s">
        <v>78</v>
      </c>
      <c r="C542">
        <v>21389475.898733124</v>
      </c>
      <c r="D542">
        <v>20229433.985640936</v>
      </c>
      <c r="E542">
        <v>185585.58558558501</v>
      </c>
      <c r="F542">
        <v>327027.02702702698</v>
      </c>
      <c r="G542">
        <v>2</v>
      </c>
      <c r="H542">
        <v>3</v>
      </c>
      <c r="K542">
        <v>1</v>
      </c>
      <c r="M542">
        <v>2</v>
      </c>
      <c r="N542">
        <v>3</v>
      </c>
      <c r="O542">
        <v>780180.18018018</v>
      </c>
      <c r="P542">
        <v>1227927.9279279271</v>
      </c>
      <c r="Q542">
        <v>12</v>
      </c>
      <c r="S542">
        <v>5813108.1081081079</v>
      </c>
      <c r="T542">
        <v>5748090.0900900904</v>
      </c>
      <c r="U542">
        <v>825405.40540540498</v>
      </c>
      <c r="V542">
        <v>1232792.7927927929</v>
      </c>
      <c r="W542">
        <v>398</v>
      </c>
      <c r="X542">
        <v>366</v>
      </c>
    </row>
    <row r="543" spans="1:24">
      <c r="A543" s="7" t="s">
        <v>630</v>
      </c>
      <c r="B543" s="16" t="s">
        <v>241</v>
      </c>
      <c r="C543">
        <v>125199859.42271116</v>
      </c>
      <c r="D543">
        <v>120067554.84333801</v>
      </c>
      <c r="E543">
        <v>72252.252252253005</v>
      </c>
      <c r="F543">
        <v>398873.87387387501</v>
      </c>
      <c r="G543">
        <v>65</v>
      </c>
      <c r="H543">
        <v>44</v>
      </c>
      <c r="I543">
        <v>5</v>
      </c>
      <c r="J543">
        <v>3</v>
      </c>
      <c r="M543">
        <v>73</v>
      </c>
      <c r="N543">
        <v>52</v>
      </c>
      <c r="O543">
        <v>24842162.162162159</v>
      </c>
      <c r="P543">
        <v>12644864.864864863</v>
      </c>
      <c r="Q543">
        <v>189</v>
      </c>
      <c r="R543">
        <v>56</v>
      </c>
      <c r="S543">
        <v>29033423.423423424</v>
      </c>
      <c r="T543">
        <v>27326630.630630631</v>
      </c>
      <c r="U543">
        <v>25111621.621621616</v>
      </c>
      <c r="V543">
        <v>12678738.738738738</v>
      </c>
      <c r="W543">
        <v>2566</v>
      </c>
      <c r="X543">
        <v>2794</v>
      </c>
    </row>
    <row r="544" spans="1:24">
      <c r="A544" s="7" t="s">
        <v>631</v>
      </c>
      <c r="B544" s="16" t="s">
        <v>68</v>
      </c>
      <c r="C544">
        <v>555980038.35621345</v>
      </c>
      <c r="D544">
        <v>521611454.30014443</v>
      </c>
      <c r="E544">
        <v>134295819.81981984</v>
      </c>
      <c r="F544">
        <v>145586355.85585585</v>
      </c>
      <c r="G544">
        <v>226</v>
      </c>
      <c r="H544">
        <v>199</v>
      </c>
      <c r="I544">
        <v>18</v>
      </c>
      <c r="J544">
        <v>15</v>
      </c>
      <c r="M544">
        <v>242</v>
      </c>
      <c r="N544">
        <v>459</v>
      </c>
      <c r="O544">
        <v>61423873.873873875</v>
      </c>
      <c r="P544">
        <v>54019369.369369365</v>
      </c>
      <c r="Q544">
        <v>396</v>
      </c>
      <c r="R544">
        <v>304</v>
      </c>
      <c r="S544">
        <v>93019369.369369373</v>
      </c>
      <c r="T544">
        <v>89016305.405405402</v>
      </c>
      <c r="U544">
        <v>44607477.477477483</v>
      </c>
      <c r="V544">
        <v>41767927.927927926</v>
      </c>
      <c r="W544">
        <v>8968</v>
      </c>
      <c r="X544">
        <v>8955</v>
      </c>
    </row>
    <row r="545" spans="1:24">
      <c r="A545" s="7" t="s">
        <v>632</v>
      </c>
      <c r="B545" s="16" t="s">
        <v>70</v>
      </c>
      <c r="C545">
        <v>3871944.8831888689</v>
      </c>
      <c r="D545">
        <v>3842449.14810467</v>
      </c>
      <c r="E545">
        <v>266216.21621621598</v>
      </c>
      <c r="F545">
        <v>40540.540540540998</v>
      </c>
      <c r="G545">
        <v>6</v>
      </c>
      <c r="H545">
        <v>2</v>
      </c>
      <c r="J545">
        <v>1</v>
      </c>
      <c r="M545">
        <v>6</v>
      </c>
      <c r="N545">
        <v>2</v>
      </c>
      <c r="O545">
        <v>279279.279279279</v>
      </c>
      <c r="P545">
        <v>40540.540540540998</v>
      </c>
      <c r="R545">
        <v>18</v>
      </c>
      <c r="S545">
        <v>2503513.5135135138</v>
      </c>
      <c r="T545">
        <v>2247972.9729729728</v>
      </c>
      <c r="U545">
        <v>234504.50450450499</v>
      </c>
      <c r="V545">
        <v>164864.864864865</v>
      </c>
      <c r="W545">
        <v>189</v>
      </c>
      <c r="X545">
        <v>186</v>
      </c>
    </row>
    <row r="546" spans="1:24">
      <c r="A546" s="7" t="s">
        <v>633</v>
      </c>
      <c r="B546" s="16" t="s">
        <v>60</v>
      </c>
      <c r="C546">
        <v>40002646.389685035</v>
      </c>
      <c r="D546">
        <v>39729568.603714883</v>
      </c>
      <c r="E546">
        <v>136936.93693693701</v>
      </c>
      <c r="F546">
        <v>110810.810810811</v>
      </c>
      <c r="G546">
        <v>7</v>
      </c>
      <c r="H546">
        <v>13</v>
      </c>
      <c r="I546">
        <v>0</v>
      </c>
      <c r="J546">
        <v>2</v>
      </c>
      <c r="M546">
        <v>7</v>
      </c>
      <c r="N546">
        <v>16</v>
      </c>
      <c r="O546">
        <v>1884684.684684684</v>
      </c>
      <c r="P546">
        <v>1732432.432432432</v>
      </c>
      <c r="Q546">
        <v>28</v>
      </c>
      <c r="R546">
        <v>21</v>
      </c>
      <c r="S546">
        <v>14881396.396396397</v>
      </c>
      <c r="T546">
        <v>17463072.072072074</v>
      </c>
      <c r="U546">
        <v>1285585.5855855851</v>
      </c>
      <c r="V546">
        <v>256306.30630630601</v>
      </c>
      <c r="W546">
        <v>982</v>
      </c>
      <c r="X546">
        <v>1041</v>
      </c>
    </row>
    <row r="547" spans="1:24">
      <c r="A547" s="7" t="s">
        <v>634</v>
      </c>
      <c r="B547" s="16" t="s">
        <v>80</v>
      </c>
      <c r="C547">
        <v>426211816.51849282</v>
      </c>
      <c r="D547">
        <v>408781983.6716764</v>
      </c>
      <c r="E547">
        <v>4053153.1531531531</v>
      </c>
      <c r="F547">
        <v>4312162.1621621652</v>
      </c>
      <c r="G547">
        <v>141</v>
      </c>
      <c r="H547">
        <v>58</v>
      </c>
      <c r="I547">
        <v>4</v>
      </c>
      <c r="J547">
        <v>4</v>
      </c>
      <c r="M547">
        <v>159</v>
      </c>
      <c r="N547">
        <v>64</v>
      </c>
      <c r="O547">
        <v>49066126.126126125</v>
      </c>
      <c r="P547">
        <v>48207657.657657653</v>
      </c>
      <c r="Q547">
        <v>14</v>
      </c>
      <c r="R547">
        <v>24</v>
      </c>
      <c r="S547">
        <v>76518144.144144148</v>
      </c>
      <c r="T547">
        <v>83580265.765765756</v>
      </c>
      <c r="U547">
        <v>50965405.40540541</v>
      </c>
      <c r="V547">
        <v>43804864.864864863</v>
      </c>
      <c r="W547">
        <v>6294</v>
      </c>
      <c r="X547">
        <v>6672</v>
      </c>
    </row>
    <row r="548" spans="1:24">
      <c r="A548" s="7" t="s">
        <v>635</v>
      </c>
      <c r="B548" s="16" t="s">
        <v>134</v>
      </c>
      <c r="C548">
        <v>71101795.992160723</v>
      </c>
      <c r="D548">
        <v>73865349.363755777</v>
      </c>
      <c r="E548">
        <v>4504.5045045050001</v>
      </c>
      <c r="F548">
        <v>609909.90990991006</v>
      </c>
      <c r="G548">
        <v>8</v>
      </c>
      <c r="H548">
        <v>17</v>
      </c>
      <c r="I548">
        <v>2</v>
      </c>
      <c r="J548">
        <v>1</v>
      </c>
      <c r="M548">
        <v>9</v>
      </c>
      <c r="N548">
        <v>18</v>
      </c>
      <c r="O548">
        <v>454954.95495495503</v>
      </c>
      <c r="P548">
        <v>8551351.3513513505</v>
      </c>
      <c r="R548">
        <v>154</v>
      </c>
      <c r="S548">
        <v>3576981.9819819829</v>
      </c>
      <c r="T548">
        <v>4101027.0270270272</v>
      </c>
      <c r="U548">
        <v>1016936.936936937</v>
      </c>
      <c r="V548">
        <v>6974504.5045045046</v>
      </c>
      <c r="W548">
        <v>1416</v>
      </c>
      <c r="X548">
        <v>1413</v>
      </c>
    </row>
    <row r="549" spans="1:24">
      <c r="A549" s="7" t="s">
        <v>636</v>
      </c>
      <c r="B549" s="16" t="s">
        <v>479</v>
      </c>
      <c r="C549">
        <v>245497377.47162259</v>
      </c>
      <c r="D549">
        <v>221808711.26683724</v>
      </c>
      <c r="E549">
        <v>41437837.837837838</v>
      </c>
      <c r="F549">
        <v>42403603.603603609</v>
      </c>
      <c r="G549">
        <v>50</v>
      </c>
      <c r="H549">
        <v>62</v>
      </c>
      <c r="I549">
        <v>4</v>
      </c>
      <c r="J549">
        <v>6</v>
      </c>
      <c r="M549">
        <v>54</v>
      </c>
      <c r="N549">
        <v>84</v>
      </c>
      <c r="O549">
        <v>40379646.846846849</v>
      </c>
      <c r="P549">
        <v>60927863.963963971</v>
      </c>
      <c r="Q549">
        <v>29</v>
      </c>
      <c r="R549">
        <v>106</v>
      </c>
      <c r="S549">
        <v>84532112.612612605</v>
      </c>
      <c r="T549">
        <v>79196675.675675675</v>
      </c>
      <c r="U549">
        <v>39181081.081081077</v>
      </c>
      <c r="V549">
        <v>56543918.918918923</v>
      </c>
      <c r="W549">
        <v>5939</v>
      </c>
      <c r="X549">
        <v>5719</v>
      </c>
    </row>
    <row r="550" spans="1:24">
      <c r="A550" s="7" t="s">
        <v>637</v>
      </c>
      <c r="B550" s="16" t="s">
        <v>143</v>
      </c>
      <c r="C550">
        <v>384880388.59791011</v>
      </c>
      <c r="D550">
        <v>378106053.19038618</v>
      </c>
      <c r="E550">
        <v>2415540.5405405439</v>
      </c>
      <c r="F550">
        <v>3487387.3873873898</v>
      </c>
      <c r="G550">
        <v>101</v>
      </c>
      <c r="H550">
        <v>76</v>
      </c>
      <c r="I550">
        <v>28</v>
      </c>
      <c r="J550">
        <v>19</v>
      </c>
      <c r="M550">
        <v>123</v>
      </c>
      <c r="N550">
        <v>127</v>
      </c>
      <c r="O550">
        <v>30922882.882882886</v>
      </c>
      <c r="P550">
        <v>26797747.747747745</v>
      </c>
      <c r="Q550">
        <v>278</v>
      </c>
      <c r="R550">
        <v>277</v>
      </c>
      <c r="S550">
        <v>39758459.459459454</v>
      </c>
      <c r="T550">
        <v>47727349.0990991</v>
      </c>
      <c r="U550">
        <v>22638828.828828827</v>
      </c>
      <c r="V550">
        <v>21361531.531531531</v>
      </c>
      <c r="W550">
        <v>9471</v>
      </c>
      <c r="X550">
        <v>9371</v>
      </c>
    </row>
    <row r="551" spans="1:24">
      <c r="A551" s="7" t="s">
        <v>638</v>
      </c>
      <c r="B551" s="16" t="s">
        <v>241</v>
      </c>
      <c r="C551">
        <v>438038497.78819126</v>
      </c>
      <c r="D551">
        <v>413394929.13219166</v>
      </c>
      <c r="E551">
        <v>1205405.405405408</v>
      </c>
      <c r="F551">
        <v>1974774.7747747761</v>
      </c>
      <c r="G551">
        <v>233</v>
      </c>
      <c r="H551">
        <v>212</v>
      </c>
      <c r="I551">
        <v>16</v>
      </c>
      <c r="J551">
        <v>19</v>
      </c>
      <c r="M551">
        <v>252</v>
      </c>
      <c r="N551">
        <v>255</v>
      </c>
      <c r="O551">
        <v>35539369.369369365</v>
      </c>
      <c r="P551">
        <v>34650450.45045045</v>
      </c>
      <c r="Q551">
        <v>135</v>
      </c>
      <c r="R551">
        <v>271</v>
      </c>
      <c r="S551">
        <v>144056918.91891894</v>
      </c>
      <c r="T551">
        <v>134478953.15315315</v>
      </c>
      <c r="U551">
        <v>36892252.252252251</v>
      </c>
      <c r="V551">
        <v>29240720.72072072</v>
      </c>
      <c r="W551">
        <v>12436</v>
      </c>
      <c r="X551">
        <v>12440</v>
      </c>
    </row>
    <row r="552" spans="1:24">
      <c r="A552" s="7" t="s">
        <v>639</v>
      </c>
      <c r="B552" s="16" t="s">
        <v>132</v>
      </c>
      <c r="C552">
        <v>182203719.30417651</v>
      </c>
      <c r="D552">
        <v>156380986.03481483</v>
      </c>
      <c r="E552">
        <v>53316435.135135137</v>
      </c>
      <c r="F552">
        <v>44760026.126126125</v>
      </c>
      <c r="G552">
        <v>85</v>
      </c>
      <c r="H552">
        <v>57</v>
      </c>
      <c r="I552">
        <v>2</v>
      </c>
      <c r="J552">
        <v>1</v>
      </c>
      <c r="M552">
        <v>97</v>
      </c>
      <c r="N552">
        <v>78</v>
      </c>
      <c r="O552">
        <v>15628828.828828828</v>
      </c>
      <c r="P552">
        <v>5672072.0720720729</v>
      </c>
      <c r="Q552">
        <v>1</v>
      </c>
      <c r="R552">
        <v>3</v>
      </c>
      <c r="S552">
        <v>64029513.513513513</v>
      </c>
      <c r="T552">
        <v>56848855.855855852</v>
      </c>
      <c r="U552">
        <v>9296486.4864864852</v>
      </c>
      <c r="V552">
        <v>3954144.1441441439</v>
      </c>
      <c r="W552">
        <v>5423</v>
      </c>
      <c r="X552">
        <v>5796</v>
      </c>
    </row>
    <row r="553" spans="1:24">
      <c r="A553" s="7" t="s">
        <v>640</v>
      </c>
      <c r="B553" s="16" t="s">
        <v>134</v>
      </c>
      <c r="C553">
        <v>502217732.59987628</v>
      </c>
      <c r="D553">
        <v>476695921.63326025</v>
      </c>
      <c r="E553">
        <v>1082882.882882884</v>
      </c>
      <c r="F553">
        <v>1394594.5945945969</v>
      </c>
      <c r="G553">
        <v>110</v>
      </c>
      <c r="H553">
        <v>75</v>
      </c>
      <c r="I553">
        <v>14</v>
      </c>
      <c r="J553">
        <v>16</v>
      </c>
      <c r="M553">
        <v>115</v>
      </c>
      <c r="N553">
        <v>85</v>
      </c>
      <c r="O553">
        <v>35236216.216216214</v>
      </c>
      <c r="P553">
        <v>40828648.648648649</v>
      </c>
      <c r="Q553">
        <v>119</v>
      </c>
      <c r="R553">
        <v>73</v>
      </c>
      <c r="S553">
        <v>61280624.324324317</v>
      </c>
      <c r="T553">
        <v>63853897.297297299</v>
      </c>
      <c r="U553">
        <v>32681801.801801801</v>
      </c>
      <c r="V553">
        <v>31402025.225225225</v>
      </c>
      <c r="W553">
        <v>7752</v>
      </c>
      <c r="X553">
        <v>7294</v>
      </c>
    </row>
    <row r="554" spans="1:24">
      <c r="A554" s="7" t="s">
        <v>641</v>
      </c>
      <c r="B554" s="16" t="s">
        <v>80</v>
      </c>
      <c r="C554">
        <v>250154509.16633549</v>
      </c>
      <c r="D554">
        <v>252883237.04863098</v>
      </c>
      <c r="E554">
        <v>576576.57657657703</v>
      </c>
      <c r="F554">
        <v>1188288.2882882899</v>
      </c>
      <c r="G554">
        <v>45</v>
      </c>
      <c r="H554">
        <v>43</v>
      </c>
      <c r="I554">
        <v>6</v>
      </c>
      <c r="J554">
        <v>2</v>
      </c>
      <c r="K554">
        <v>2</v>
      </c>
      <c r="M554">
        <v>48</v>
      </c>
      <c r="N554">
        <v>61</v>
      </c>
      <c r="O554">
        <v>28385495.495495494</v>
      </c>
      <c r="P554">
        <v>26718918.918918919</v>
      </c>
      <c r="Q554">
        <v>34</v>
      </c>
      <c r="R554">
        <v>18</v>
      </c>
      <c r="S554">
        <v>85346971.171171173</v>
      </c>
      <c r="T554">
        <v>91566552.252252251</v>
      </c>
      <c r="U554">
        <v>27181171.171171173</v>
      </c>
      <c r="V554">
        <v>26389459.459459461</v>
      </c>
      <c r="W554">
        <v>4858</v>
      </c>
      <c r="X554">
        <v>4992</v>
      </c>
    </row>
    <row r="555" spans="1:24">
      <c r="A555" s="7" t="s">
        <v>642</v>
      </c>
      <c r="B555" s="16" t="s">
        <v>169</v>
      </c>
      <c r="C555">
        <v>479147989.55612785</v>
      </c>
      <c r="D555">
        <v>415910474.48928595</v>
      </c>
      <c r="E555">
        <v>1968018.018018018</v>
      </c>
      <c r="F555">
        <v>1540540.5405405411</v>
      </c>
      <c r="G555">
        <v>70</v>
      </c>
      <c r="H555">
        <v>34</v>
      </c>
      <c r="I555">
        <v>0</v>
      </c>
      <c r="J555">
        <v>0</v>
      </c>
      <c r="K555">
        <v>1</v>
      </c>
      <c r="M555">
        <v>73</v>
      </c>
      <c r="N555">
        <v>53</v>
      </c>
      <c r="O555">
        <v>35526576.576576576</v>
      </c>
      <c r="P555">
        <v>38788483.783783786</v>
      </c>
      <c r="Q555">
        <v>15</v>
      </c>
      <c r="R555">
        <v>4</v>
      </c>
      <c r="S555">
        <v>161680198.1981982</v>
      </c>
      <c r="T555">
        <v>149762441.44144145</v>
      </c>
      <c r="U555">
        <v>35563423.423423424</v>
      </c>
      <c r="V555">
        <v>35940540.540540539</v>
      </c>
      <c r="W555">
        <v>8940</v>
      </c>
      <c r="X555">
        <v>8763</v>
      </c>
    </row>
    <row r="556" spans="1:24">
      <c r="A556" s="7" t="s">
        <v>643</v>
      </c>
      <c r="B556" s="16" t="s">
        <v>58</v>
      </c>
      <c r="C556">
        <v>731759687.41879964</v>
      </c>
      <c r="D556">
        <v>711306400.24992776</v>
      </c>
      <c r="E556">
        <v>25546171.171171173</v>
      </c>
      <c r="F556">
        <v>21023423.423423421</v>
      </c>
      <c r="G556">
        <v>233</v>
      </c>
      <c r="H556">
        <v>189</v>
      </c>
      <c r="I556">
        <v>30</v>
      </c>
      <c r="J556">
        <v>36</v>
      </c>
      <c r="K556">
        <v>1</v>
      </c>
      <c r="M556">
        <v>281</v>
      </c>
      <c r="N556">
        <v>267</v>
      </c>
      <c r="O556">
        <v>85639639.639639631</v>
      </c>
      <c r="P556">
        <v>51585135.135135129</v>
      </c>
      <c r="Q556">
        <v>445</v>
      </c>
      <c r="R556">
        <v>87</v>
      </c>
      <c r="S556">
        <v>144717421.62162164</v>
      </c>
      <c r="T556">
        <v>148325851.35135135</v>
      </c>
      <c r="U556">
        <v>65475135.135135137</v>
      </c>
      <c r="V556">
        <v>51999909.909909911</v>
      </c>
      <c r="W556">
        <v>17438</v>
      </c>
      <c r="X556">
        <v>17429</v>
      </c>
    </row>
    <row r="557" spans="1:24">
      <c r="A557" s="7" t="s">
        <v>644</v>
      </c>
      <c r="B557" s="16" t="s">
        <v>58</v>
      </c>
      <c r="C557">
        <v>918289150.97766078</v>
      </c>
      <c r="D557">
        <v>892060889.16594326</v>
      </c>
      <c r="E557">
        <v>332553192.7927928</v>
      </c>
      <c r="F557">
        <v>15030180.180180177</v>
      </c>
      <c r="G557">
        <v>389</v>
      </c>
      <c r="H557">
        <v>762</v>
      </c>
      <c r="I557">
        <v>43</v>
      </c>
      <c r="J557">
        <v>56</v>
      </c>
      <c r="K557">
        <v>3</v>
      </c>
      <c r="M557">
        <v>445</v>
      </c>
      <c r="N557">
        <v>973</v>
      </c>
      <c r="O557">
        <v>162003153.15315315</v>
      </c>
      <c r="P557">
        <v>154404504.5045045</v>
      </c>
      <c r="Q557">
        <v>1256</v>
      </c>
      <c r="R557">
        <v>187</v>
      </c>
      <c r="S557">
        <v>250234070.27027026</v>
      </c>
      <c r="T557">
        <v>266879689.1891892</v>
      </c>
      <c r="U557">
        <v>145818108.1081081</v>
      </c>
      <c r="V557">
        <v>137096036.03603604</v>
      </c>
      <c r="W557">
        <v>21750</v>
      </c>
      <c r="X557">
        <v>22538</v>
      </c>
    </row>
    <row r="558" spans="1:24">
      <c r="A558" s="7" t="s">
        <v>645</v>
      </c>
      <c r="B558" s="16" t="s">
        <v>307</v>
      </c>
      <c r="C558">
        <v>304025871.44882804</v>
      </c>
      <c r="D558">
        <v>293769398.02292073</v>
      </c>
      <c r="E558">
        <v>2145945.945945946</v>
      </c>
      <c r="F558">
        <v>1857657.657657658</v>
      </c>
      <c r="G558">
        <v>46</v>
      </c>
      <c r="H558">
        <v>33</v>
      </c>
      <c r="I558">
        <v>1</v>
      </c>
      <c r="J558">
        <v>1</v>
      </c>
      <c r="M558">
        <v>48</v>
      </c>
      <c r="N558">
        <v>46</v>
      </c>
      <c r="O558">
        <v>5758648.6486486476</v>
      </c>
      <c r="P558">
        <v>5545045.0450450452</v>
      </c>
      <c r="Q558">
        <v>38</v>
      </c>
      <c r="R558">
        <v>7</v>
      </c>
      <c r="S558">
        <v>48748918.918918923</v>
      </c>
      <c r="T558">
        <v>49252797.297297299</v>
      </c>
      <c r="U558">
        <v>5972522.5225225212</v>
      </c>
      <c r="V558">
        <v>5486036.036036036</v>
      </c>
      <c r="W558">
        <v>5322</v>
      </c>
      <c r="X558">
        <v>5169</v>
      </c>
    </row>
    <row r="559" spans="1:24">
      <c r="A559" s="7" t="s">
        <v>13</v>
      </c>
      <c r="B559" s="16" t="s">
        <v>158</v>
      </c>
      <c r="C559">
        <v>356637804.02859557</v>
      </c>
      <c r="D559">
        <v>333741242.65212399</v>
      </c>
      <c r="E559">
        <v>1045945.945945951</v>
      </c>
      <c r="F559">
        <v>3113513.5135135199</v>
      </c>
      <c r="G559">
        <v>197</v>
      </c>
      <c r="H559">
        <v>62</v>
      </c>
      <c r="I559">
        <v>37</v>
      </c>
      <c r="J559">
        <v>11</v>
      </c>
      <c r="K559">
        <v>1</v>
      </c>
      <c r="M559">
        <v>425</v>
      </c>
      <c r="N559">
        <v>307</v>
      </c>
      <c r="O559">
        <v>61666666.666666672</v>
      </c>
      <c r="P559">
        <v>72125855.855855852</v>
      </c>
      <c r="Q559">
        <v>356</v>
      </c>
      <c r="R559">
        <v>268</v>
      </c>
      <c r="S559">
        <v>206554283.78378376</v>
      </c>
      <c r="T559">
        <v>193603378.37837836</v>
      </c>
      <c r="U559">
        <v>68110000</v>
      </c>
      <c r="V559">
        <v>69363016.216216221</v>
      </c>
      <c r="W559">
        <v>7360</v>
      </c>
      <c r="X559">
        <v>7071</v>
      </c>
    </row>
    <row r="560" spans="1:24">
      <c r="A560" s="7" t="s">
        <v>646</v>
      </c>
      <c r="B560" s="16" t="s">
        <v>121</v>
      </c>
      <c r="C560">
        <v>223099529.92570505</v>
      </c>
      <c r="D560">
        <v>227724363.46891695</v>
      </c>
      <c r="E560">
        <v>14639.63963964</v>
      </c>
      <c r="F560">
        <v>149549.54954954999</v>
      </c>
      <c r="G560">
        <v>56</v>
      </c>
      <c r="H560">
        <v>47</v>
      </c>
      <c r="I560">
        <v>1</v>
      </c>
      <c r="J560">
        <v>2</v>
      </c>
      <c r="M560">
        <v>59</v>
      </c>
      <c r="N560">
        <v>55</v>
      </c>
      <c r="O560">
        <v>438738.73873873899</v>
      </c>
      <c r="P560">
        <v>1144144.1441441439</v>
      </c>
      <c r="Q560">
        <v>27</v>
      </c>
      <c r="R560">
        <v>7</v>
      </c>
      <c r="S560">
        <v>18481270.270270273</v>
      </c>
      <c r="T560">
        <v>19387317.567567568</v>
      </c>
      <c r="U560">
        <v>761801.80180180201</v>
      </c>
      <c r="V560">
        <v>1008468.468468469</v>
      </c>
      <c r="W560">
        <v>2957</v>
      </c>
      <c r="X560">
        <v>3168</v>
      </c>
    </row>
    <row r="561" spans="1:24">
      <c r="A561" s="7" t="s">
        <v>647</v>
      </c>
      <c r="B561" s="16" t="s">
        <v>315</v>
      </c>
      <c r="C561">
        <v>86989399.923384935</v>
      </c>
      <c r="D561">
        <v>82194475.553726867</v>
      </c>
      <c r="E561">
        <v>463063.06306306302</v>
      </c>
      <c r="F561">
        <v>1326126.1261261259</v>
      </c>
      <c r="G561">
        <v>48</v>
      </c>
      <c r="H561">
        <v>32</v>
      </c>
      <c r="I561">
        <v>6</v>
      </c>
      <c r="J561">
        <v>9</v>
      </c>
      <c r="M561">
        <v>48</v>
      </c>
      <c r="N561">
        <v>42</v>
      </c>
      <c r="O561">
        <v>10559459.459459459</v>
      </c>
      <c r="P561">
        <v>13956756.756756756</v>
      </c>
      <c r="Q561">
        <v>50</v>
      </c>
      <c r="S561">
        <v>22255968.468468469</v>
      </c>
      <c r="T561">
        <v>21020594.59459459</v>
      </c>
      <c r="U561">
        <v>10933243.243243242</v>
      </c>
      <c r="V561">
        <v>15779009.009009009</v>
      </c>
      <c r="W561">
        <v>1469</v>
      </c>
      <c r="X561">
        <v>1296</v>
      </c>
    </row>
    <row r="562" spans="1:24">
      <c r="A562" s="7" t="s">
        <v>648</v>
      </c>
      <c r="B562" s="16" t="s">
        <v>260</v>
      </c>
      <c r="C562">
        <v>223103772.1472933</v>
      </c>
      <c r="D562">
        <v>209959612.14005613</v>
      </c>
      <c r="E562">
        <v>206351.35135135101</v>
      </c>
      <c r="F562">
        <v>1208333.333333333</v>
      </c>
      <c r="G562">
        <v>56</v>
      </c>
      <c r="H562">
        <v>64</v>
      </c>
      <c r="I562">
        <v>2</v>
      </c>
      <c r="J562">
        <v>2</v>
      </c>
      <c r="M562">
        <v>60</v>
      </c>
      <c r="N562">
        <v>82</v>
      </c>
      <c r="O562">
        <v>39698468.468468465</v>
      </c>
      <c r="P562">
        <v>41418018.018018015</v>
      </c>
      <c r="Q562">
        <v>12</v>
      </c>
      <c r="R562">
        <v>69</v>
      </c>
      <c r="S562">
        <v>71123333.333333343</v>
      </c>
      <c r="T562">
        <v>68168819.819819823</v>
      </c>
      <c r="U562">
        <v>35083243.243243247</v>
      </c>
      <c r="V562">
        <v>41714594.59459459</v>
      </c>
      <c r="W562">
        <v>4071</v>
      </c>
      <c r="X562">
        <v>4168</v>
      </c>
    </row>
    <row r="563" spans="1:24">
      <c r="A563" s="7" t="s">
        <v>649</v>
      </c>
      <c r="B563" s="16" t="s">
        <v>224</v>
      </c>
      <c r="C563">
        <v>231611347.71181178</v>
      </c>
      <c r="D563">
        <v>200830330.9899953</v>
      </c>
      <c r="E563">
        <v>89639.639639639994</v>
      </c>
      <c r="F563">
        <v>1610585.5855855879</v>
      </c>
      <c r="G563">
        <v>52</v>
      </c>
      <c r="H563">
        <v>55</v>
      </c>
      <c r="I563">
        <v>9</v>
      </c>
      <c r="J563">
        <v>7</v>
      </c>
      <c r="M563">
        <v>61</v>
      </c>
      <c r="N563">
        <v>70</v>
      </c>
      <c r="O563">
        <v>17235945.945945945</v>
      </c>
      <c r="P563">
        <v>19272432.432432432</v>
      </c>
      <c r="Q563">
        <v>118</v>
      </c>
      <c r="R563">
        <v>131</v>
      </c>
      <c r="S563">
        <v>47647369.369369365</v>
      </c>
      <c r="T563">
        <v>47091702.702702701</v>
      </c>
      <c r="U563">
        <v>17829549.54954955</v>
      </c>
      <c r="V563">
        <v>18408198.198198199</v>
      </c>
      <c r="W563">
        <v>5581</v>
      </c>
      <c r="X563">
        <v>5433</v>
      </c>
    </row>
    <row r="564" spans="1:24">
      <c r="A564" s="7" t="s">
        <v>650</v>
      </c>
      <c r="B564" s="16" t="s">
        <v>224</v>
      </c>
      <c r="C564">
        <v>189037266.01576838</v>
      </c>
      <c r="D564">
        <v>161887885.80429217</v>
      </c>
      <c r="E564">
        <v>27927.927927928002</v>
      </c>
      <c r="F564">
        <v>63963.963963964998</v>
      </c>
      <c r="G564">
        <v>34</v>
      </c>
      <c r="H564">
        <v>29</v>
      </c>
      <c r="I564">
        <v>2</v>
      </c>
      <c r="J564">
        <v>0</v>
      </c>
      <c r="M564">
        <v>36</v>
      </c>
      <c r="N564">
        <v>38</v>
      </c>
      <c r="O564">
        <v>8491711.7117117103</v>
      </c>
      <c r="P564">
        <v>7134234.2342342334</v>
      </c>
      <c r="Q564">
        <v>48</v>
      </c>
      <c r="R564">
        <v>103</v>
      </c>
      <c r="S564">
        <v>24769684.684684683</v>
      </c>
      <c r="T564">
        <v>23462693.693693697</v>
      </c>
      <c r="U564">
        <v>5967117.1171171162</v>
      </c>
      <c r="V564">
        <v>6937117.1171171162</v>
      </c>
      <c r="W564">
        <v>3166</v>
      </c>
      <c r="X564">
        <v>2984</v>
      </c>
    </row>
    <row r="565" spans="1:24">
      <c r="A565" s="7" t="s">
        <v>651</v>
      </c>
      <c r="B565" s="16" t="s">
        <v>224</v>
      </c>
      <c r="C565">
        <v>723530942.7576282</v>
      </c>
      <c r="D565">
        <v>626364360.3892113</v>
      </c>
      <c r="E565">
        <v>166233080.18018019</v>
      </c>
      <c r="F565">
        <v>194374821.62162164</v>
      </c>
      <c r="G565">
        <v>256</v>
      </c>
      <c r="H565">
        <v>217</v>
      </c>
      <c r="I565">
        <v>47</v>
      </c>
      <c r="J565">
        <v>32</v>
      </c>
      <c r="K565">
        <v>4</v>
      </c>
      <c r="M565">
        <v>323</v>
      </c>
      <c r="N565">
        <v>395</v>
      </c>
      <c r="O565">
        <v>108436306.3063063</v>
      </c>
      <c r="P565">
        <v>130005045.04504503</v>
      </c>
      <c r="Q565">
        <v>598</v>
      </c>
      <c r="R565">
        <v>915</v>
      </c>
      <c r="S565">
        <v>162526998.1981982</v>
      </c>
      <c r="T565">
        <v>157667504.5045045</v>
      </c>
      <c r="U565">
        <v>92605448.648648649</v>
      </c>
      <c r="V565">
        <v>110527927.92792794</v>
      </c>
      <c r="W565">
        <v>18248</v>
      </c>
      <c r="X565">
        <v>18147</v>
      </c>
    </row>
    <row r="566" spans="1:24">
      <c r="A566" s="7" t="s">
        <v>652</v>
      </c>
      <c r="B566" s="16" t="s">
        <v>224</v>
      </c>
      <c r="C566">
        <v>83901469.05681102</v>
      </c>
      <c r="D566">
        <v>76213723.588624418</v>
      </c>
      <c r="E566">
        <v>1801.801801802</v>
      </c>
      <c r="F566">
        <v>207207.207207208</v>
      </c>
      <c r="G566">
        <v>26</v>
      </c>
      <c r="H566">
        <v>19</v>
      </c>
      <c r="I566">
        <v>2</v>
      </c>
      <c r="J566">
        <v>1</v>
      </c>
      <c r="M566">
        <v>27</v>
      </c>
      <c r="N566">
        <v>21</v>
      </c>
      <c r="O566">
        <v>2013333.333333334</v>
      </c>
      <c r="P566">
        <v>1648648.6486486481</v>
      </c>
      <c r="Q566">
        <v>9</v>
      </c>
      <c r="S566">
        <v>12287072.072072072</v>
      </c>
      <c r="T566">
        <v>12436927.927927928</v>
      </c>
      <c r="U566">
        <v>1400180.1801801799</v>
      </c>
      <c r="V566">
        <v>1386936.9369369361</v>
      </c>
      <c r="W566">
        <v>1807</v>
      </c>
      <c r="X566">
        <v>1686</v>
      </c>
    </row>
    <row r="567" spans="1:24">
      <c r="A567" s="7" t="s">
        <v>653</v>
      </c>
      <c r="B567" s="16" t="s">
        <v>96</v>
      </c>
      <c r="C567">
        <v>433431178.98954934</v>
      </c>
      <c r="D567">
        <v>399418236.17299801</v>
      </c>
      <c r="E567">
        <v>163063.063063065</v>
      </c>
      <c r="F567">
        <v>782882.88288288505</v>
      </c>
      <c r="G567">
        <v>95</v>
      </c>
      <c r="H567">
        <v>166</v>
      </c>
      <c r="I567">
        <v>1</v>
      </c>
      <c r="J567">
        <v>1</v>
      </c>
      <c r="M567">
        <v>112</v>
      </c>
      <c r="N567">
        <v>227</v>
      </c>
      <c r="O567">
        <v>10570990.990990993</v>
      </c>
      <c r="P567">
        <v>9642342.3423423432</v>
      </c>
      <c r="Q567">
        <v>51</v>
      </c>
      <c r="R567">
        <v>94</v>
      </c>
      <c r="S567">
        <v>52577288.288288288</v>
      </c>
      <c r="T567">
        <v>54936657.657657653</v>
      </c>
      <c r="U567">
        <v>11683423.423423424</v>
      </c>
      <c r="V567">
        <v>7825315.3153153164</v>
      </c>
      <c r="W567">
        <v>8563</v>
      </c>
      <c r="X567">
        <v>8646</v>
      </c>
    </row>
    <row r="568" spans="1:24">
      <c r="A568" s="7" t="s">
        <v>654</v>
      </c>
      <c r="B568" s="16" t="s">
        <v>66</v>
      </c>
      <c r="C568">
        <v>257171445.27988511</v>
      </c>
      <c r="D568">
        <v>247452926.80276671</v>
      </c>
      <c r="E568">
        <v>3507207.2072072099</v>
      </c>
      <c r="F568">
        <v>8485585.5855855867</v>
      </c>
      <c r="G568">
        <v>100</v>
      </c>
      <c r="H568">
        <v>71</v>
      </c>
      <c r="I568">
        <v>3</v>
      </c>
      <c r="J568">
        <v>5</v>
      </c>
      <c r="M568">
        <v>106</v>
      </c>
      <c r="N568">
        <v>105</v>
      </c>
      <c r="O568">
        <v>32464144.144144144</v>
      </c>
      <c r="P568">
        <v>136652252.25225225</v>
      </c>
      <c r="Q568">
        <v>100</v>
      </c>
      <c r="R568">
        <v>9</v>
      </c>
      <c r="S568">
        <v>163742522.52252254</v>
      </c>
      <c r="T568">
        <v>161691009.00900903</v>
      </c>
      <c r="U568">
        <v>31533513.513513517</v>
      </c>
      <c r="V568">
        <v>118888018.01801802</v>
      </c>
      <c r="W568">
        <v>5558</v>
      </c>
      <c r="X568">
        <v>5730</v>
      </c>
    </row>
    <row r="569" spans="1:24">
      <c r="A569" s="7" t="s">
        <v>655</v>
      </c>
      <c r="B569" s="16" t="s">
        <v>68</v>
      </c>
      <c r="C569">
        <v>442709023.15225381</v>
      </c>
      <c r="D569">
        <v>388432956.51578248</v>
      </c>
      <c r="E569">
        <v>793063.06306306401</v>
      </c>
      <c r="F569">
        <v>1006306.306306307</v>
      </c>
      <c r="G569">
        <v>128</v>
      </c>
      <c r="H569">
        <v>65</v>
      </c>
      <c r="I569">
        <v>8</v>
      </c>
      <c r="J569">
        <v>5</v>
      </c>
      <c r="K569">
        <v>4</v>
      </c>
      <c r="M569">
        <v>139</v>
      </c>
      <c r="N569">
        <v>73</v>
      </c>
      <c r="O569">
        <v>26513513.513513513</v>
      </c>
      <c r="P569">
        <v>16062698.198198197</v>
      </c>
      <c r="Q569">
        <v>62</v>
      </c>
      <c r="R569">
        <v>85</v>
      </c>
      <c r="S569">
        <v>55363166.666666664</v>
      </c>
      <c r="T569">
        <v>53144090.090090089</v>
      </c>
      <c r="U569">
        <v>19510360.360360362</v>
      </c>
      <c r="V569">
        <v>13371351.351351352</v>
      </c>
      <c r="W569">
        <v>7249</v>
      </c>
      <c r="X569">
        <v>6340</v>
      </c>
    </row>
    <row r="570" spans="1:24">
      <c r="A570" s="7" t="s">
        <v>14</v>
      </c>
      <c r="B570" s="16" t="s">
        <v>158</v>
      </c>
      <c r="C570">
        <v>183386713.28458416</v>
      </c>
      <c r="D570">
        <v>169789676.46267271</v>
      </c>
      <c r="E570">
        <v>115315.31531531901</v>
      </c>
      <c r="F570">
        <v>933333.33333333698</v>
      </c>
      <c r="G570">
        <v>18</v>
      </c>
      <c r="H570">
        <v>25</v>
      </c>
      <c r="I570">
        <v>8</v>
      </c>
      <c r="J570">
        <v>7</v>
      </c>
      <c r="M570">
        <v>20</v>
      </c>
      <c r="N570">
        <v>29</v>
      </c>
      <c r="O570">
        <v>17336756.756756756</v>
      </c>
      <c r="P570">
        <v>36453153.153153151</v>
      </c>
      <c r="Q570">
        <v>42</v>
      </c>
      <c r="R570">
        <v>43</v>
      </c>
      <c r="S570">
        <v>60466117.117117122</v>
      </c>
      <c r="T570">
        <v>57671666.666666664</v>
      </c>
      <c r="U570">
        <v>17942162.162162159</v>
      </c>
      <c r="V570">
        <v>39621081.081081077</v>
      </c>
      <c r="W570">
        <v>3895</v>
      </c>
      <c r="X570">
        <v>3907</v>
      </c>
    </row>
    <row r="571" spans="1:24">
      <c r="A571" s="7" t="s">
        <v>656</v>
      </c>
      <c r="B571" s="16" t="s">
        <v>304</v>
      </c>
      <c r="C571">
        <v>164358214.26174963</v>
      </c>
      <c r="D571">
        <v>184759853.36147565</v>
      </c>
      <c r="E571">
        <v>975675.675675679</v>
      </c>
      <c r="F571">
        <v>686486.48648648395</v>
      </c>
      <c r="G571">
        <v>81</v>
      </c>
      <c r="H571">
        <v>38</v>
      </c>
      <c r="I571">
        <v>8</v>
      </c>
      <c r="J571">
        <v>17</v>
      </c>
      <c r="M571">
        <v>85</v>
      </c>
      <c r="N571">
        <v>281</v>
      </c>
      <c r="O571">
        <v>34489189.189189196</v>
      </c>
      <c r="P571">
        <v>30401801.801801801</v>
      </c>
      <c r="Q571">
        <v>50</v>
      </c>
      <c r="R571">
        <v>55</v>
      </c>
      <c r="S571">
        <v>51033963.963963971</v>
      </c>
      <c r="T571">
        <v>53376536.036036029</v>
      </c>
      <c r="U571">
        <v>29632972.97297297</v>
      </c>
      <c r="V571">
        <v>28030900.9009009</v>
      </c>
      <c r="W571">
        <v>3228</v>
      </c>
      <c r="X571">
        <v>3063</v>
      </c>
    </row>
    <row r="572" spans="1:24">
      <c r="A572" s="7" t="s">
        <v>657</v>
      </c>
      <c r="B572" s="16" t="s">
        <v>48</v>
      </c>
      <c r="C572">
        <v>264555848.42558718</v>
      </c>
      <c r="D572">
        <v>224219560.96820241</v>
      </c>
      <c r="E572">
        <v>11432432.432432432</v>
      </c>
      <c r="F572">
        <v>64681981.981981985</v>
      </c>
      <c r="G572">
        <v>45</v>
      </c>
      <c r="H572">
        <v>47</v>
      </c>
      <c r="I572">
        <v>6</v>
      </c>
      <c r="J572">
        <v>5</v>
      </c>
      <c r="M572">
        <v>51</v>
      </c>
      <c r="N572">
        <v>158</v>
      </c>
      <c r="O572">
        <v>35366396.396396399</v>
      </c>
      <c r="P572">
        <v>54046756.756756753</v>
      </c>
      <c r="R572">
        <v>5</v>
      </c>
      <c r="S572">
        <v>79374495.495495483</v>
      </c>
      <c r="T572">
        <v>71935558.558558553</v>
      </c>
      <c r="U572">
        <v>29185945.945945945</v>
      </c>
      <c r="V572">
        <v>50287657.657657653</v>
      </c>
      <c r="W572">
        <v>3370</v>
      </c>
      <c r="X572">
        <v>3295</v>
      </c>
    </row>
    <row r="573" spans="1:24">
      <c r="A573" s="7" t="s">
        <v>658</v>
      </c>
      <c r="B573" s="16" t="s">
        <v>54</v>
      </c>
      <c r="C573">
        <v>73306412.965733439</v>
      </c>
      <c r="D573">
        <v>74403092.309617057</v>
      </c>
      <c r="E573">
        <v>199099.099099099</v>
      </c>
      <c r="F573">
        <v>595495.49549549597</v>
      </c>
      <c r="G573">
        <v>10</v>
      </c>
      <c r="H573">
        <v>1</v>
      </c>
      <c r="I573">
        <v>1</v>
      </c>
      <c r="J573">
        <v>2</v>
      </c>
      <c r="M573">
        <v>10</v>
      </c>
      <c r="N573">
        <v>2</v>
      </c>
      <c r="O573">
        <v>9003603.6036036033</v>
      </c>
      <c r="P573">
        <v>6378378.3783783792</v>
      </c>
      <c r="Q573">
        <v>24</v>
      </c>
      <c r="R573">
        <v>15</v>
      </c>
      <c r="S573">
        <v>16449234.234234234</v>
      </c>
      <c r="T573">
        <v>17359504.504504506</v>
      </c>
      <c r="U573">
        <v>7932162.1621621633</v>
      </c>
      <c r="V573">
        <v>5613333.333333334</v>
      </c>
      <c r="W573">
        <v>1548</v>
      </c>
      <c r="X573">
        <v>1570</v>
      </c>
    </row>
    <row r="574" spans="1:24">
      <c r="A574" s="7" t="s">
        <v>659</v>
      </c>
      <c r="B574" s="16" t="s">
        <v>50</v>
      </c>
      <c r="C574">
        <v>331723796.98063087</v>
      </c>
      <c r="D574">
        <v>325757180.96824449</v>
      </c>
      <c r="E574">
        <v>436666.66666666802</v>
      </c>
      <c r="F574">
        <v>1651351.3513513559</v>
      </c>
      <c r="G574">
        <v>61</v>
      </c>
      <c r="H574">
        <v>59</v>
      </c>
      <c r="I574">
        <v>17</v>
      </c>
      <c r="J574">
        <v>8</v>
      </c>
      <c r="M574">
        <v>64</v>
      </c>
      <c r="N574">
        <v>84</v>
      </c>
      <c r="O574">
        <v>75247927.927927941</v>
      </c>
      <c r="P574">
        <v>86497927.927927941</v>
      </c>
      <c r="Q574">
        <v>65</v>
      </c>
      <c r="R574">
        <v>41</v>
      </c>
      <c r="S574">
        <v>165837360.36036035</v>
      </c>
      <c r="T574">
        <v>164119144.14414412</v>
      </c>
      <c r="U574">
        <v>73317207.207207203</v>
      </c>
      <c r="V574">
        <v>78835135.135135129</v>
      </c>
      <c r="W574">
        <v>5879</v>
      </c>
      <c r="X574">
        <v>5886</v>
      </c>
    </row>
    <row r="575" spans="1:24">
      <c r="A575" s="7" t="s">
        <v>660</v>
      </c>
      <c r="B575" s="16" t="s">
        <v>83</v>
      </c>
      <c r="C575">
        <v>382838809.07222694</v>
      </c>
      <c r="D575">
        <v>397807260.50249064</v>
      </c>
      <c r="E575">
        <v>2163603.6036036038</v>
      </c>
      <c r="F575">
        <v>3051143.2432432421</v>
      </c>
      <c r="G575">
        <v>112</v>
      </c>
      <c r="H575">
        <v>110</v>
      </c>
      <c r="I575">
        <v>9</v>
      </c>
      <c r="J575">
        <v>11</v>
      </c>
      <c r="K575">
        <v>2</v>
      </c>
      <c r="M575">
        <v>248</v>
      </c>
      <c r="N575">
        <v>130</v>
      </c>
      <c r="O575">
        <v>43433423.423423424</v>
      </c>
      <c r="P575">
        <v>59704866.666666664</v>
      </c>
      <c r="Q575">
        <v>309</v>
      </c>
      <c r="R575">
        <v>89</v>
      </c>
      <c r="S575">
        <v>97145801.801801801</v>
      </c>
      <c r="T575">
        <v>102423558.55855855</v>
      </c>
      <c r="U575">
        <v>39932522.522522517</v>
      </c>
      <c r="V575">
        <v>35365630.630630635</v>
      </c>
      <c r="W575">
        <v>8695</v>
      </c>
      <c r="X575">
        <v>8689</v>
      </c>
    </row>
    <row r="576" spans="1:24">
      <c r="A576" s="12" t="s">
        <v>665</v>
      </c>
      <c r="B576" s="13"/>
      <c r="C576" s="14">
        <v>170647571392.03604</v>
      </c>
      <c r="D576" s="14">
        <v>165176510778.63831</v>
      </c>
      <c r="E576" s="14">
        <v>32781030644.144142</v>
      </c>
      <c r="F576" s="14">
        <v>38543971790.090103</v>
      </c>
      <c r="G576" s="14">
        <v>56327</v>
      </c>
      <c r="H576" s="14">
        <v>51589</v>
      </c>
      <c r="I576" s="14">
        <v>5351</v>
      </c>
      <c r="J576" s="14">
        <v>6268</v>
      </c>
      <c r="K576" s="14">
        <v>529</v>
      </c>
      <c r="L576" s="14"/>
      <c r="M576" s="14">
        <v>71325</v>
      </c>
      <c r="N576" s="14">
        <v>86024</v>
      </c>
      <c r="O576" s="14">
        <v>33456758997.297302</v>
      </c>
      <c r="P576" s="14">
        <v>35706034837.837807</v>
      </c>
      <c r="Q576" s="14">
        <v>90449</v>
      </c>
      <c r="R576" s="14">
        <v>113108</v>
      </c>
      <c r="S576" s="14">
        <v>49157994558.558563</v>
      </c>
      <c r="T576" s="14">
        <v>49698301227.027039</v>
      </c>
      <c r="U576" s="14">
        <v>23769426241.44146</v>
      </c>
      <c r="V576" s="14">
        <v>26268212502.702713</v>
      </c>
      <c r="W576" s="14">
        <v>3720402</v>
      </c>
      <c r="X576" s="14">
        <v>3717608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2026-09-25T00:39:04Z</dcterms:modified>
</cp:coreProperties>
</file>