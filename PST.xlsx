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 activeTab="1"/>
  </bookViews>
  <sheets>
    <sheet name="Sheet1" sheetId="1" r:id="rId1"/>
    <sheet name="MASTER" sheetId="2" r:id="rId2"/>
  </sheets>
  <definedNames>
    <definedName name="_xlnm._FilterDatabase" localSheetId="0" hidden="1">Sheet1!$A$5:$T$22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7" i="1" l="1"/>
  <c r="Y7" i="1"/>
  <c r="X8" i="1"/>
  <c r="Y8" i="1"/>
  <c r="X9" i="1"/>
  <c r="Y9" i="1"/>
  <c r="X10" i="1"/>
  <c r="Y10" i="1"/>
  <c r="X11" i="1"/>
  <c r="Y11" i="1"/>
  <c r="X12" i="1"/>
  <c r="Y12" i="1"/>
  <c r="X13" i="1"/>
  <c r="Y13" i="1"/>
  <c r="X14" i="1"/>
  <c r="Y14" i="1"/>
  <c r="X15" i="1"/>
  <c r="Y15" i="1"/>
  <c r="X16" i="1"/>
  <c r="Y16" i="1"/>
  <c r="X17" i="1"/>
  <c r="Y17" i="1"/>
  <c r="X18" i="1"/>
  <c r="Y18" i="1"/>
  <c r="X19" i="1"/>
  <c r="Y19" i="1"/>
  <c r="X20" i="1"/>
  <c r="Y20" i="1"/>
  <c r="X21" i="1"/>
  <c r="Y21" i="1"/>
  <c r="X22" i="1"/>
  <c r="Y22" i="1"/>
  <c r="Y6" i="1"/>
  <c r="X6" i="1"/>
  <c r="U7" i="1"/>
  <c r="V7" i="1"/>
  <c r="U8" i="1"/>
  <c r="V8" i="1"/>
  <c r="U9" i="1"/>
  <c r="V9" i="1"/>
  <c r="U10" i="1"/>
  <c r="V10" i="1"/>
  <c r="U11" i="1"/>
  <c r="V11" i="1"/>
  <c r="U12" i="1"/>
  <c r="V12" i="1"/>
  <c r="U13" i="1"/>
  <c r="V13" i="1"/>
  <c r="U14" i="1"/>
  <c r="V14" i="1"/>
  <c r="U15" i="1"/>
  <c r="V15" i="1"/>
  <c r="U16" i="1"/>
  <c r="V16" i="1"/>
  <c r="U17" i="1"/>
  <c r="V17" i="1"/>
  <c r="U18" i="1"/>
  <c r="V18" i="1"/>
  <c r="U19" i="1"/>
  <c r="V19" i="1"/>
  <c r="U20" i="1"/>
  <c r="V20" i="1"/>
  <c r="U21" i="1"/>
  <c r="V21" i="1"/>
  <c r="U22" i="1"/>
  <c r="V22" i="1"/>
  <c r="V6" i="1"/>
  <c r="U6" i="1"/>
  <c r="R7" i="1"/>
  <c r="S7" i="1"/>
  <c r="R8" i="1"/>
  <c r="S8" i="1"/>
  <c r="R9" i="1"/>
  <c r="S9" i="1"/>
  <c r="R10" i="1"/>
  <c r="S10" i="1"/>
  <c r="R11" i="1"/>
  <c r="S11" i="1"/>
  <c r="R12" i="1"/>
  <c r="S12" i="1"/>
  <c r="R13" i="1"/>
  <c r="S13" i="1"/>
  <c r="R14" i="1"/>
  <c r="S14" i="1"/>
  <c r="R15" i="1"/>
  <c r="S15" i="1"/>
  <c r="R16" i="1"/>
  <c r="S16" i="1"/>
  <c r="R17" i="1"/>
  <c r="S17" i="1"/>
  <c r="R18" i="1"/>
  <c r="S18" i="1"/>
  <c r="R19" i="1"/>
  <c r="S19" i="1"/>
  <c r="R20" i="1"/>
  <c r="S20" i="1"/>
  <c r="R21" i="1"/>
  <c r="S21" i="1"/>
  <c r="R22" i="1"/>
  <c r="S22" i="1"/>
  <c r="S6" i="1"/>
  <c r="R6" i="1"/>
  <c r="O7" i="1"/>
  <c r="P7" i="1"/>
  <c r="O8" i="1"/>
  <c r="P8" i="1"/>
  <c r="O9" i="1"/>
  <c r="P9" i="1"/>
  <c r="O10" i="1"/>
  <c r="P10" i="1"/>
  <c r="O11" i="1"/>
  <c r="P11" i="1"/>
  <c r="O12" i="1"/>
  <c r="P12" i="1"/>
  <c r="O13" i="1"/>
  <c r="P13" i="1"/>
  <c r="O14" i="1"/>
  <c r="P14" i="1"/>
  <c r="O15" i="1"/>
  <c r="P15" i="1"/>
  <c r="O16" i="1"/>
  <c r="P16" i="1"/>
  <c r="O17" i="1"/>
  <c r="P17" i="1"/>
  <c r="O18" i="1"/>
  <c r="P18" i="1"/>
  <c r="O19" i="1"/>
  <c r="P19" i="1"/>
  <c r="O20" i="1"/>
  <c r="P20" i="1"/>
  <c r="O21" i="1"/>
  <c r="P21" i="1"/>
  <c r="O22" i="1"/>
  <c r="P22" i="1"/>
  <c r="P6" i="1"/>
  <c r="O6" i="1"/>
  <c r="I7" i="1"/>
  <c r="J7" i="1"/>
  <c r="I8" i="1"/>
  <c r="J8" i="1"/>
  <c r="I9" i="1"/>
  <c r="J9" i="1"/>
  <c r="I10" i="1"/>
  <c r="J10" i="1"/>
  <c r="I11" i="1"/>
  <c r="J11" i="1"/>
  <c r="I12" i="1"/>
  <c r="J12" i="1"/>
  <c r="I13" i="1"/>
  <c r="J13" i="1"/>
  <c r="I14" i="1"/>
  <c r="J14" i="1"/>
  <c r="I15" i="1"/>
  <c r="J15" i="1"/>
  <c r="I16" i="1"/>
  <c r="J16" i="1"/>
  <c r="I17" i="1"/>
  <c r="J17" i="1"/>
  <c r="I18" i="1"/>
  <c r="J18" i="1"/>
  <c r="I19" i="1"/>
  <c r="J19" i="1"/>
  <c r="I20" i="1"/>
  <c r="J20" i="1"/>
  <c r="I21" i="1"/>
  <c r="J21" i="1"/>
  <c r="I22" i="1"/>
  <c r="J22" i="1"/>
  <c r="L7" i="1"/>
  <c r="M7" i="1"/>
  <c r="L8" i="1"/>
  <c r="M8" i="1"/>
  <c r="L9" i="1"/>
  <c r="M9" i="1"/>
  <c r="L10" i="1"/>
  <c r="M10" i="1"/>
  <c r="L11" i="1"/>
  <c r="M11" i="1"/>
  <c r="L12" i="1"/>
  <c r="M12" i="1"/>
  <c r="L13" i="1"/>
  <c r="M13" i="1"/>
  <c r="L14" i="1"/>
  <c r="M14" i="1"/>
  <c r="L15" i="1"/>
  <c r="M15" i="1"/>
  <c r="L16" i="1"/>
  <c r="M16" i="1"/>
  <c r="L17" i="1"/>
  <c r="M17" i="1"/>
  <c r="L18" i="1"/>
  <c r="M18" i="1"/>
  <c r="L19" i="1"/>
  <c r="M19" i="1"/>
  <c r="L20" i="1"/>
  <c r="M20" i="1"/>
  <c r="L21" i="1"/>
  <c r="M21" i="1"/>
  <c r="L22" i="1"/>
  <c r="M22" i="1"/>
  <c r="M6" i="1"/>
  <c r="L6" i="1"/>
  <c r="J6" i="1"/>
  <c r="I6" i="1"/>
  <c r="F7" i="1"/>
  <c r="G7" i="1"/>
  <c r="F8" i="1"/>
  <c r="G8" i="1"/>
  <c r="F9" i="1"/>
  <c r="G9" i="1"/>
  <c r="F10" i="1"/>
  <c r="G10" i="1"/>
  <c r="F11" i="1"/>
  <c r="G11" i="1"/>
  <c r="F12" i="1"/>
  <c r="G12" i="1"/>
  <c r="F13" i="1"/>
  <c r="G13" i="1"/>
  <c r="F14" i="1"/>
  <c r="G14" i="1"/>
  <c r="F15" i="1"/>
  <c r="G15" i="1"/>
  <c r="F16" i="1"/>
  <c r="G16" i="1"/>
  <c r="F17" i="1"/>
  <c r="G17" i="1"/>
  <c r="F18" i="1"/>
  <c r="G18" i="1"/>
  <c r="F19" i="1"/>
  <c r="G19" i="1"/>
  <c r="F20" i="1"/>
  <c r="G20" i="1"/>
  <c r="F21" i="1"/>
  <c r="G21" i="1"/>
  <c r="F22" i="1"/>
  <c r="G22" i="1"/>
  <c r="G6" i="1"/>
  <c r="F6" i="1"/>
  <c r="E7" i="1"/>
  <c r="E8" i="1"/>
  <c r="D7" i="1"/>
  <c r="D8" i="1"/>
  <c r="D9" i="1"/>
  <c r="D10" i="1"/>
  <c r="D11" i="1"/>
  <c r="D12" i="1"/>
  <c r="D13" i="1"/>
  <c r="E13" i="1" s="1"/>
  <c r="D14" i="1"/>
  <c r="E14" i="1" s="1"/>
  <c r="D15" i="1"/>
  <c r="D16" i="1"/>
  <c r="D17" i="1"/>
  <c r="D18" i="1"/>
  <c r="D19" i="1"/>
  <c r="D20" i="1"/>
  <c r="D21" i="1"/>
  <c r="D22" i="1"/>
  <c r="D6" i="1"/>
  <c r="C7" i="1"/>
  <c r="C8" i="1"/>
  <c r="C9" i="1"/>
  <c r="E9" i="1" s="1"/>
  <c r="C10" i="1"/>
  <c r="C11" i="1"/>
  <c r="C12" i="1"/>
  <c r="C13" i="1"/>
  <c r="C14" i="1"/>
  <c r="C15" i="1"/>
  <c r="C16" i="1"/>
  <c r="E16" i="1" s="1"/>
  <c r="C17" i="1"/>
  <c r="E17" i="1" s="1"/>
  <c r="C18" i="1"/>
  <c r="E18" i="1" s="1"/>
  <c r="C19" i="1"/>
  <c r="E19" i="1" s="1"/>
  <c r="C20" i="1"/>
  <c r="E20" i="1" s="1"/>
  <c r="C21" i="1"/>
  <c r="E21" i="1" s="1"/>
  <c r="C22" i="1"/>
  <c r="C6" i="1"/>
  <c r="E12" i="1" l="1"/>
  <c r="E6" i="1"/>
  <c r="E11" i="1"/>
  <c r="E22" i="1"/>
  <c r="E10" i="1"/>
  <c r="E15" i="1"/>
  <c r="W13" i="1"/>
  <c r="W8" i="1"/>
  <c r="W7" i="1"/>
  <c r="W9" i="1"/>
  <c r="W11" i="1"/>
  <c r="W6" i="1"/>
  <c r="W10" i="1"/>
  <c r="W22" i="1"/>
  <c r="W21" i="1"/>
  <c r="W12" i="1"/>
  <c r="W20" i="1"/>
  <c r="W19" i="1"/>
  <c r="W17" i="1"/>
  <c r="W18" i="1"/>
  <c r="W16" i="1"/>
  <c r="W15" i="1"/>
  <c r="W14" i="1"/>
  <c r="Z16" i="1" l="1"/>
  <c r="Z20" i="1"/>
  <c r="Z22" i="1"/>
  <c r="Z10" i="1"/>
  <c r="Z18" i="1"/>
  <c r="Z15" i="1"/>
  <c r="Z9" i="1"/>
  <c r="T20" i="1"/>
  <c r="T22" i="1"/>
  <c r="K17" i="1"/>
  <c r="K16" i="1"/>
  <c r="T21" i="1"/>
  <c r="N21" i="1"/>
  <c r="N22" i="1"/>
  <c r="Q21" i="1"/>
  <c r="Q22" i="1"/>
  <c r="Q20" i="1"/>
  <c r="N20" i="1"/>
  <c r="K15" i="1"/>
  <c r="K13" i="1"/>
  <c r="K18" i="1"/>
  <c r="K12" i="1"/>
  <c r="K11" i="1"/>
  <c r="K22" i="1"/>
  <c r="K10" i="1"/>
  <c r="K21" i="1"/>
  <c r="K9" i="1"/>
  <c r="K14" i="1"/>
  <c r="K20" i="1"/>
  <c r="K8" i="1"/>
  <c r="K19" i="1"/>
  <c r="K7" i="1"/>
  <c r="K6" i="1"/>
  <c r="H19" i="1"/>
  <c r="H7" i="1"/>
  <c r="H20" i="1"/>
  <c r="H8" i="1"/>
  <c r="H22" i="1"/>
  <c r="H10" i="1"/>
  <c r="H21" i="1"/>
  <c r="H9" i="1"/>
  <c r="H18" i="1"/>
  <c r="H6" i="1"/>
  <c r="H17" i="1"/>
  <c r="H16" i="1"/>
  <c r="H15" i="1"/>
  <c r="H14" i="1"/>
  <c r="H13" i="1"/>
  <c r="H12" i="1"/>
  <c r="H11" i="1"/>
  <c r="T15" i="1"/>
  <c r="T17" i="1"/>
  <c r="Z17" i="1" l="1"/>
  <c r="Z11" i="1"/>
  <c r="Z6" i="1"/>
  <c r="Z21" i="1"/>
  <c r="Z19" i="1"/>
  <c r="Z8" i="1"/>
  <c r="Z7" i="1"/>
  <c r="Z12" i="1"/>
  <c r="Z14" i="1"/>
  <c r="Z13" i="1"/>
  <c r="T14" i="1"/>
  <c r="T19" i="1"/>
  <c r="T7" i="1"/>
  <c r="T18" i="1"/>
  <c r="T16" i="1"/>
  <c r="T10" i="1"/>
  <c r="T11" i="1"/>
  <c r="T9" i="1"/>
  <c r="T8" i="1"/>
  <c r="T13" i="1"/>
  <c r="T12" i="1"/>
  <c r="T6" i="1"/>
  <c r="Q12" i="1" l="1"/>
  <c r="Q14" i="1"/>
  <c r="Q15" i="1"/>
  <c r="Q17" i="1"/>
  <c r="N10" i="1"/>
  <c r="N12" i="1"/>
  <c r="N6" i="1"/>
  <c r="Q16" i="1" l="1"/>
  <c r="N11" i="1"/>
  <c r="N8" i="1"/>
  <c r="Q10" i="1"/>
  <c r="Q19" i="1"/>
  <c r="Q7" i="1"/>
  <c r="N9" i="1"/>
  <c r="Q13" i="1"/>
  <c r="Q8" i="1"/>
  <c r="Q9" i="1"/>
  <c r="N16" i="1"/>
  <c r="N15" i="1"/>
  <c r="N19" i="1"/>
  <c r="N7" i="1"/>
  <c r="Q11" i="1"/>
  <c r="Q18" i="1"/>
  <c r="N18" i="1"/>
  <c r="N17" i="1"/>
  <c r="N14" i="1"/>
  <c r="N13" i="1"/>
  <c r="Q6" i="1"/>
</calcChain>
</file>

<file path=xl/sharedStrings.xml><?xml version="1.0" encoding="utf-8"?>
<sst xmlns="http://schemas.openxmlformats.org/spreadsheetml/2006/main" count="1248" uniqueCount="682">
  <si>
    <t>KECAMATAN</t>
  </si>
  <si>
    <t>BENGKAYANG|BENGKAYANG</t>
  </si>
  <si>
    <t>CAPKALA|BENGKAYANG</t>
  </si>
  <si>
    <t>JAGOI BABANG|BENGKAYANG</t>
  </si>
  <si>
    <t>LEDO|BENGKAYANG</t>
  </si>
  <si>
    <t>LUMAR|BENGKAYANG</t>
  </si>
  <si>
    <t>MONTERADO|BENGKAYANG</t>
  </si>
  <si>
    <t>SAMALANTAN|BENGKAYANG</t>
  </si>
  <si>
    <t>SANGGAU LEDO|BENGKAYANG</t>
  </si>
  <si>
    <t>SELUAS|BENGKAYANG</t>
  </si>
  <si>
    <t>SUNGAI BETUNG|BENGKAYANG</t>
  </si>
  <si>
    <t>SUNGAI RAYA KEPULAUAN|BENGKAYANG</t>
  </si>
  <si>
    <t>SUNGAI RAYA|BENGKAYANG</t>
  </si>
  <si>
    <t>TERIAK|BENGKAYANG</t>
  </si>
  <si>
    <t>TUJUH BELAS|BENGKAYANG</t>
  </si>
  <si>
    <t>PARTNER</t>
  </si>
  <si>
    <t>SDP JAGOI BABANG</t>
  </si>
  <si>
    <t>SDP MONTERADO</t>
  </si>
  <si>
    <t>REVENUE MTD</t>
  </si>
  <si>
    <t>PRIMARY MTD</t>
  </si>
  <si>
    <t>SECONDARY MTD</t>
  </si>
  <si>
    <t>TERTIARY B# MTD</t>
  </si>
  <si>
    <t>TRADE SUPPLY MTD</t>
  </si>
  <si>
    <t>REVENUE LMTD</t>
  </si>
  <si>
    <t>PRIMARY LMTD</t>
  </si>
  <si>
    <t>SECONDARY LMTD</t>
  </si>
  <si>
    <t>TERTIARY B# LMTD</t>
  </si>
  <si>
    <t>TRADE SUPPLY LMTD</t>
  </si>
  <si>
    <t>VLR SUBS MTD</t>
  </si>
  <si>
    <t>VLR SUBS LMTD</t>
  </si>
  <si>
    <t>VLR_SUBS</t>
  </si>
  <si>
    <t>MTD</t>
  </si>
  <si>
    <t>LMTD</t>
  </si>
  <si>
    <t>GROWTH</t>
  </si>
  <si>
    <t>LEMBAH BAWANG|BENGKAYANG</t>
  </si>
  <si>
    <t>SIDING|BENGKAYANG</t>
  </si>
  <si>
    <t>SUTI SEMARANG|BENGKAYANG</t>
  </si>
  <si>
    <t>parameter</t>
  </si>
  <si>
    <t>Prepaid Rev</t>
  </si>
  <si>
    <t>Primary</t>
  </si>
  <si>
    <t>QSC 100MB</t>
  </si>
  <si>
    <t>RGUGA-Trad</t>
  </si>
  <si>
    <t>Secondary</t>
  </si>
  <si>
    <t>Tertiary B#</t>
  </si>
  <si>
    <t>Trade Supply</t>
  </si>
  <si>
    <t>kec_unik</t>
  </si>
  <si>
    <t>pt_id</t>
  </si>
  <si>
    <t>AIR UPAS|KETAPANG</t>
  </si>
  <si>
    <t>PT-PEMAHAN</t>
  </si>
  <si>
    <t>ALALAK|BARITO KUALA</t>
  </si>
  <si>
    <t>PT-MEKAR SARI</t>
  </si>
  <si>
    <t>ALUH-ALUH|BANJAR</t>
  </si>
  <si>
    <t>PT-MARTAPURA</t>
  </si>
  <si>
    <t>AMUNTAI SELATAN|HULU SUNGAI UTARA</t>
  </si>
  <si>
    <t>PT-TANJUNG</t>
  </si>
  <si>
    <t>AMUNTAI TENGAH|HULU SUNGAI UTARA</t>
  </si>
  <si>
    <t>AMUNTAI UTARA|HULU SUNGAI UTARA</t>
  </si>
  <si>
    <t>ANGGANA|KUTAI KARTANEGARA</t>
  </si>
  <si>
    <t>PT-TENGGARONG</t>
  </si>
  <si>
    <t>ANGKINANG|HULU SUNGAI SELATAN</t>
  </si>
  <si>
    <t>PT-KANDANGAN</t>
  </si>
  <si>
    <t>ANGSANA|TANAH BUMBU</t>
  </si>
  <si>
    <t>PT-BATULICIN</t>
  </si>
  <si>
    <t>ANJIR MUARA|BARITO KUALA</t>
  </si>
  <si>
    <t>ANJIR PASAR|BARITO KUALA</t>
  </si>
  <si>
    <t>ANJONGAN|MEMPAWAH</t>
  </si>
  <si>
    <t>PT-MEMPAWAH</t>
  </si>
  <si>
    <t>ANTANG KALANG|KOTAWARINGIN TIMUR</t>
  </si>
  <si>
    <t>PT-ANTANG KALANG</t>
  </si>
  <si>
    <t>ARANIO|BANJAR</t>
  </si>
  <si>
    <t>PT-KARANG INTAN</t>
  </si>
  <si>
    <t>ARUT SELATAN|KOTAWARINGIN BARAT</t>
  </si>
  <si>
    <t>PT-PANGKALANBUN</t>
  </si>
  <si>
    <t>ARUT UTARA|KOTAWARINGIN BARAT</t>
  </si>
  <si>
    <t>ASTAMBUL|BANJAR</t>
  </si>
  <si>
    <t>AWANG|BARITO TIMUR</t>
  </si>
  <si>
    <t>PT-SOUTH BARITO</t>
  </si>
  <si>
    <t>AWAYAN|BALANGAN</t>
  </si>
  <si>
    <t>PT-BARABAI</t>
  </si>
  <si>
    <t>BAAMANG|KOTAWARINGIN TIMUR</t>
  </si>
  <si>
    <t>PT-SAMPIT</t>
  </si>
  <si>
    <t>BABIRIK|HULU SUNGAI UTARA</t>
  </si>
  <si>
    <t>BABULU|PENAJAM PASER UTARA</t>
  </si>
  <si>
    <t>PT-PENAJAM</t>
  </si>
  <si>
    <t>BADAU|KAPUAS HULU</t>
  </si>
  <si>
    <t>PT-BADAU KAPUAS</t>
  </si>
  <si>
    <t>BAHAU HULU|MALINAU</t>
  </si>
  <si>
    <t>PT-MALINAU BARAT</t>
  </si>
  <si>
    <t>BAJUIN|TANAH LAUT</t>
  </si>
  <si>
    <t>PT-PELAIHARI</t>
  </si>
  <si>
    <t>BAKARANGAN|TAPIN</t>
  </si>
  <si>
    <t>BAKUMPAI|BARITO KUALA</t>
  </si>
  <si>
    <t>PT-MARABAHAN</t>
  </si>
  <si>
    <t>BALAI RIAM|SUKAMARA</t>
  </si>
  <si>
    <t>PT-LAMANDAU</t>
  </si>
  <si>
    <t>BALAI|SANGGAU</t>
  </si>
  <si>
    <t>PT-TAYAN HILIR</t>
  </si>
  <si>
    <t>BALIKPAPAN BARAT|KOTA BALIKPAPAN</t>
  </si>
  <si>
    <t>PT-BALIKPAPAN</t>
  </si>
  <si>
    <t>BALIKPAPAN KOTA|KOTA BALIKPAPAN</t>
  </si>
  <si>
    <t>BALIKPAPAN SELATAN|KOTA BALIKPAPAN</t>
  </si>
  <si>
    <t>BALIKPAPAN TENGAH|KOTA BALIKPAPAN</t>
  </si>
  <si>
    <t>BALIKPAPAN TIMUR|KOTA BALIKPAPAN</t>
  </si>
  <si>
    <t>BALIKPAPAN UTARA|KOTA BALIKPAPAN</t>
  </si>
  <si>
    <t>BANAMA TINGANG|PULANG PISAU</t>
  </si>
  <si>
    <t>PT-PULANG PISAU</t>
  </si>
  <si>
    <t>BANJANG|HULU SUNGAI UTARA</t>
  </si>
  <si>
    <t>BANJARBARU SELATAN|KOTA BANJARBARU</t>
  </si>
  <si>
    <t>PT-BANJARBARU</t>
  </si>
  <si>
    <t>BANJARBARU UTARA|KOTA BANJARBARU</t>
  </si>
  <si>
    <t>BANJARMASIN BARAT|KOTA BANJARMASIN</t>
  </si>
  <si>
    <t>PT-BANJARMASIN</t>
  </si>
  <si>
    <t>BANJARMASIN SELATAN|KOTA BANJARMASIN</t>
  </si>
  <si>
    <t>BANJARMASIN TENGAH|KOTA BANJARMASIN</t>
  </si>
  <si>
    <t>BANJARMASIN TIMUR|KOTA BANJARMASIN</t>
  </si>
  <si>
    <t>BANJARMASIN UTARA|KOTA BANJARMASIN</t>
  </si>
  <si>
    <t>BANUA LAWAS|TABALONG</t>
  </si>
  <si>
    <t>PT-LANDAK</t>
  </si>
  <si>
    <t>BARABAI|HULU SUNGAI TENGAH</t>
  </si>
  <si>
    <t>BARAMBAI|BARITO KUALA</t>
  </si>
  <si>
    <t>BARONG TONGKOK|KUTAI BARAT</t>
  </si>
  <si>
    <t>PT-MELAK</t>
  </si>
  <si>
    <t>BASARANG|KAPUAS</t>
  </si>
  <si>
    <t>PT-KAPUAS</t>
  </si>
  <si>
    <t>BATAGUH|KAPUAS</t>
  </si>
  <si>
    <t>PT-KAPUAS KUALA</t>
  </si>
  <si>
    <t>BATANG ALAI SELATAN|HULU SUNGAI TENGAH</t>
  </si>
  <si>
    <t>BATANG ALAI TIMUR|HULU SUNGAI TENGAH</t>
  </si>
  <si>
    <t>BATANG ALAI UTARA|HULU SUNGAI TENGAH</t>
  </si>
  <si>
    <t>BATANG LUPAR|KAPUAS HULU</t>
  </si>
  <si>
    <t>BATI - BATI|TANAH LAUT</t>
  </si>
  <si>
    <t>BATU AMPAR|KUBU RAYA</t>
  </si>
  <si>
    <t>PT-BATU AMPAR</t>
  </si>
  <si>
    <t>BATU AMPAR|KUTAI TIMUR</t>
  </si>
  <si>
    <t>PT-SANGATTA UTARA</t>
  </si>
  <si>
    <t>BATU AMPAR|SERUYAN</t>
  </si>
  <si>
    <t>PT-SERUYAN</t>
  </si>
  <si>
    <t>BATU AMPAR|TANAH LAUT</t>
  </si>
  <si>
    <t>BATU BENAWA|HULU SUNGAI TENGAH</t>
  </si>
  <si>
    <t>BATU ENGAU|PASER</t>
  </si>
  <si>
    <t>PT-GROGOT</t>
  </si>
  <si>
    <t>BATU LICIN|TANAH BUMBU</t>
  </si>
  <si>
    <t>BATU PUTIH|BERAU</t>
  </si>
  <si>
    <t>PT-BATU PUTIH</t>
  </si>
  <si>
    <t>BATU SOPANG|PASER</t>
  </si>
  <si>
    <t>BATUMANDI|BALANGAN</t>
  </si>
  <si>
    <t>BEDUWAI|SANGGAU</t>
  </si>
  <si>
    <t>PT-KEMBAYAN</t>
  </si>
  <si>
    <t>BELANTIKAN RAYA|LAMANDAU</t>
  </si>
  <si>
    <t>BELAWANG|BARITO KUALA</t>
  </si>
  <si>
    <t>BELIMBING HULU|MELAWI</t>
  </si>
  <si>
    <t>PT-BELIMBING</t>
  </si>
  <si>
    <t>BELIMBING|MELAWI</t>
  </si>
  <si>
    <t>BELITANG HILIR|SEKADAU</t>
  </si>
  <si>
    <t>PT-BELITANG</t>
  </si>
  <si>
    <t>BELITANG HULU|SEKADAU</t>
  </si>
  <si>
    <t>BELITANG|SEKADAU</t>
  </si>
  <si>
    <t>BENGALON|KUTAI TIMUR</t>
  </si>
  <si>
    <t>PT-JAGOI BABANG</t>
  </si>
  <si>
    <t>BENTIAN BESAR|KUTAI BARAT</t>
  </si>
  <si>
    <t>BENUA KAYONG|KETAPANG</t>
  </si>
  <si>
    <t>PT-KETAPANG</t>
  </si>
  <si>
    <t>BENUA LIMA|BARITO TIMUR</t>
  </si>
  <si>
    <t>BERUNTUNG BARU|BANJAR</t>
  </si>
  <si>
    <t>BETAYAU|TANA TIDUNG</t>
  </si>
  <si>
    <t>BIATAN|BERAU</t>
  </si>
  <si>
    <t>BIKA|KAPUAS HULU</t>
  </si>
  <si>
    <t>PT-PUTUSSIBAU</t>
  </si>
  <si>
    <t>BINJAI HULU|SINTANG</t>
  </si>
  <si>
    <t>PT-SINTANG</t>
  </si>
  <si>
    <t>BINTANG ARA|TABALONG</t>
  </si>
  <si>
    <t>BINUANG|TAPIN</t>
  </si>
  <si>
    <t>BONGAN|KUTAI BARAT</t>
  </si>
  <si>
    <t>BONTANG BARAT|KOTA BONTANG</t>
  </si>
  <si>
    <t>PT-BONTANG</t>
  </si>
  <si>
    <t>BONTANG SELATAN|KOTA BONTANG</t>
  </si>
  <si>
    <t>BONTANG UTARA|KOTA BONTANG</t>
  </si>
  <si>
    <t>BONTI|SANGGAU</t>
  </si>
  <si>
    <t>PT-SANGGAU</t>
  </si>
  <si>
    <t>BOYAN TANJUNG|KAPUAS HULU</t>
  </si>
  <si>
    <t>BUKIT BATU|KOTA PALANGKARAYA</t>
  </si>
  <si>
    <t>PT-PALANGKARAYA</t>
  </si>
  <si>
    <t>BULIK TIMUR|LAMANDAU</t>
  </si>
  <si>
    <t>BULIK|LAMANDAU</t>
  </si>
  <si>
    <t>BUMI MAKMUR|TANAH LAUT</t>
  </si>
  <si>
    <t>BUNGUR|TAPIN</t>
  </si>
  <si>
    <t>BUNUT HILIR|KAPUAS HULU</t>
  </si>
  <si>
    <t>BUNUT HULU|KAPUAS HULU</t>
  </si>
  <si>
    <t>BUNYU|BULUNGAN</t>
  </si>
  <si>
    <t>PT-TANJUNG SELOR</t>
  </si>
  <si>
    <t>BUSANG|KUTAI TIMUR</t>
  </si>
  <si>
    <t>CANDI LARAS SELATAN|TAPIN</t>
  </si>
  <si>
    <t>CANDI LARAS UTARA|TAPIN</t>
  </si>
  <si>
    <t>PT-MONTERADO</t>
  </si>
  <si>
    <t>CEMPAGA HULU|KOTAWARINGIN TIMUR</t>
  </si>
  <si>
    <t>PT-PARENGGEAN</t>
  </si>
  <si>
    <t>CEMPAGA|KOTAWARINGIN TIMUR</t>
  </si>
  <si>
    <t>CEMPAKA|KOTA BANJARBARU</t>
  </si>
  <si>
    <t>CERBON|BARITO KUALA</t>
  </si>
  <si>
    <t>DADAHUP|KAPUAS</t>
  </si>
  <si>
    <t>DAHA SELATAN|HULU SUNGAI SELATAN</t>
  </si>
  <si>
    <t>DAHA UTARA|HULU SUNGAI SELATAN</t>
  </si>
  <si>
    <t>DAMAI|KUTAI BARAT</t>
  </si>
  <si>
    <t>DANAU PANGGANG|HULU SUNGAI UTARA</t>
  </si>
  <si>
    <t>DANAU SELULUK|SERUYAN</t>
  </si>
  <si>
    <t>DANAU SEMBULUH|SERUYAN</t>
  </si>
  <si>
    <t>DEDAI|SINTANG</t>
  </si>
  <si>
    <t>DELTA PAWAN|KETAPANG</t>
  </si>
  <si>
    <t>DUSUN HILIR|BARITO SELATAN</t>
  </si>
  <si>
    <t>DUSUN SELATAN|BARITO SELATAN</t>
  </si>
  <si>
    <t>DUSUN TENGAH|BARITO TIMUR</t>
  </si>
  <si>
    <t>DUSUN TIMUR|BARITO TIMUR</t>
  </si>
  <si>
    <t>DUSUN UTARA|BARITO SELATAN</t>
  </si>
  <si>
    <t>ELLA HILIR|MELAWI</t>
  </si>
  <si>
    <t>PT-MELAWI</t>
  </si>
  <si>
    <t>EMBALOH HILIR|KAPUAS HULU</t>
  </si>
  <si>
    <t>EMBALOH HULU|KAPUAS HULU</t>
  </si>
  <si>
    <t>EMPANANG|KAPUAS HULU</t>
  </si>
  <si>
    <t>ENTIKONG|SANGGAU</t>
  </si>
  <si>
    <t>GALING|SAMBAS</t>
  </si>
  <si>
    <t>PT-SAMBAS</t>
  </si>
  <si>
    <t>GAMBUT|BANJAR</t>
  </si>
  <si>
    <t>GUNUNG BINTANG AWAI|BARITO SELATAN</t>
  </si>
  <si>
    <t>GUNUNG PUREI|BARITO UTARA</t>
  </si>
  <si>
    <t>PT-NORTH BARITO</t>
  </si>
  <si>
    <t>GUNUNG TABUR|BERAU</t>
  </si>
  <si>
    <t>GUNUNG TIMANG|BARITO UTARA</t>
  </si>
  <si>
    <t>HALONG|BALANGAN</t>
  </si>
  <si>
    <t>HANAU|SERUYAN</t>
  </si>
  <si>
    <t>HANTAKAN|HULU SUNGAI TENGAH</t>
  </si>
  <si>
    <t>HARUAI|TABALONG</t>
  </si>
  <si>
    <t>HARUYAN|HULU SUNGAI TENGAH</t>
  </si>
  <si>
    <t>HATUNGUN|TAPIN</t>
  </si>
  <si>
    <t>HAUR GADING|HULU SUNGAI UTARA</t>
  </si>
  <si>
    <t>HULU GURUNG|KAPUAS HULU</t>
  </si>
  <si>
    <t>HULU SUNGAI|KETAPANG</t>
  </si>
  <si>
    <t>PT-SANDAI</t>
  </si>
  <si>
    <t>JABIREN RAYA|PULANG PISAU</t>
  </si>
  <si>
    <t>JANGKANG|SANGGAU</t>
  </si>
  <si>
    <t>JARO|TABALONG</t>
  </si>
  <si>
    <t>JAWAI SELATAN|SAMBAS</t>
  </si>
  <si>
    <t>PT-JAWAI</t>
  </si>
  <si>
    <t>JAWAI|SAMBAS</t>
  </si>
  <si>
    <t>JEJANGKIT|BARITO KUALA</t>
  </si>
  <si>
    <t>JEKAN RAYA|KOTA PALANGKARAYA</t>
  </si>
  <si>
    <t>JELAI HULU|KETAPANG</t>
  </si>
  <si>
    <t>JELAI|SUKAMARA</t>
  </si>
  <si>
    <t>JELIMPO|LANDAK</t>
  </si>
  <si>
    <t>JEMPANG|KUTAI BARAT</t>
  </si>
  <si>
    <t>JENAMAS|BARITO SELATAN</t>
  </si>
  <si>
    <t>JONGKONG|KAPUAS HULU</t>
  </si>
  <si>
    <t>JORONG|TANAH LAUT</t>
  </si>
  <si>
    <t>JUAI|BALANGAN</t>
  </si>
  <si>
    <t>KAHAYAN HILIR|PULANG PISAU</t>
  </si>
  <si>
    <t>KAHAYAN KUALA|PULANG PISAU</t>
  </si>
  <si>
    <t>KAHAYAN TENGAH|PULANG PISAU</t>
  </si>
  <si>
    <t>KALIORANG|KUTAI TIMUR</t>
  </si>
  <si>
    <t>KALIS|KAPUAS HULU</t>
  </si>
  <si>
    <t>KALUMPANG|HULU SUNGAI SELATAN</t>
  </si>
  <si>
    <t>KAMIPANG|KATINGAN</t>
  </si>
  <si>
    <t>PT-BUKIT RAYA</t>
  </si>
  <si>
    <t>KANDANGAN|HULU SUNGAI SELATAN</t>
  </si>
  <si>
    <t>KAPUAS BARAT|KAPUAS</t>
  </si>
  <si>
    <t>KAPUAS HILIR|KAPUAS</t>
  </si>
  <si>
    <t>KAPUAS KUALA|KAPUAS</t>
  </si>
  <si>
    <t>KAPUAS MURUNG|KAPUAS</t>
  </si>
  <si>
    <t>KAPUAS TIMUR|KAPUAS</t>
  </si>
  <si>
    <t>KAPUAS|SANGGAU</t>
  </si>
  <si>
    <t>KARANG BINTANG|TANAH BUMBU</t>
  </si>
  <si>
    <t>KARANG INTAN|BANJAR</t>
  </si>
  <si>
    <t>KARANGAN|KUTAI TIMUR</t>
  </si>
  <si>
    <t>KARAU KUALA|BARITO SELATAN</t>
  </si>
  <si>
    <t>KARUSEN JANANG|BARITO TIMUR</t>
  </si>
  <si>
    <t>KATINGAN HILIR|KATINGAN</t>
  </si>
  <si>
    <t>KATINGAN KUALA|KATINGAN</t>
  </si>
  <si>
    <t>KATINGAN TENGAH|KATINGAN</t>
  </si>
  <si>
    <t>KAUBUN|KUTAI TIMUR</t>
  </si>
  <si>
    <t>KAYAN HILIR|SINTANG</t>
  </si>
  <si>
    <t>KAYAN HULU|SINTANG</t>
  </si>
  <si>
    <t>KAYAN SELATAN|MALINAU</t>
  </si>
  <si>
    <t>KELAM PERMAI|SINTANG</t>
  </si>
  <si>
    <t>KELUA|TABALONG</t>
  </si>
  <si>
    <t>KELUMPANG BARAT|KOTABARU</t>
  </si>
  <si>
    <t>PT-KOTABARU</t>
  </si>
  <si>
    <t>KELUMPANG HILIR|KOTABARU</t>
  </si>
  <si>
    <t>KELUMPANG HULU|KOTABARU</t>
  </si>
  <si>
    <t>KELUMPANG SELATAN|KOTABARU</t>
  </si>
  <si>
    <t>KELUMPANG TENGAH|KOTABARU</t>
  </si>
  <si>
    <t>KELUMPANG UTARA|KOTABARU</t>
  </si>
  <si>
    <t>KEMBANG JANGGUT|KUTAI KARTANEGARA</t>
  </si>
  <si>
    <t>PT-MUARA KAMAN</t>
  </si>
  <si>
    <t>KEMBAYAN|SANGGAU</t>
  </si>
  <si>
    <t>KENDAWANGAN|KETAPANG</t>
  </si>
  <si>
    <t>PT-KENDAWANGAN</t>
  </si>
  <si>
    <t>KENOHAN|KUTAI KARTANEGARA</t>
  </si>
  <si>
    <t>KERTAK HANYAR|BANJAR</t>
  </si>
  <si>
    <t>KETUNGAU HILIR|SINTANG</t>
  </si>
  <si>
    <t>KETUNGAU TENGAH|SINTANG</t>
  </si>
  <si>
    <t>KINTAP|TANAH LAUT</t>
  </si>
  <si>
    <t>KONGBENG|KUTAI TIMUR</t>
  </si>
  <si>
    <t>KOTA BANGUN|KUTAI KARTANEGARA</t>
  </si>
  <si>
    <t>KOTA BESI|KOTAWARINGIN TIMUR</t>
  </si>
  <si>
    <t>KOTAWARINGIN LAMA|KOTAWARINGIN BARAT</t>
  </si>
  <si>
    <t>KRAYAN BARAT|NUNUKAN</t>
  </si>
  <si>
    <t>PT-NUNUKAN</t>
  </si>
  <si>
    <t>KUALA BEHE|LANDAK</t>
  </si>
  <si>
    <t>KUALA MANDOR-B|KUBU RAYA</t>
  </si>
  <si>
    <t>PT-KUBU RAYA</t>
  </si>
  <si>
    <t>KUARO|PASER</t>
  </si>
  <si>
    <t>KUBU|KUBU RAYA</t>
  </si>
  <si>
    <t>KUMAI|KOTAWARINGIN BARAT</t>
  </si>
  <si>
    <t>KURANJI|TANAH BUMBU</t>
  </si>
  <si>
    <t>KURAU|TANAH LAUT</t>
  </si>
  <si>
    <t>KURIPAN|BARITO KUALA</t>
  </si>
  <si>
    <t>KURUN|GUNUNG MAS</t>
  </si>
  <si>
    <t>PT-RUNGAN</t>
  </si>
  <si>
    <t>KUSAN HILIR|TANAH BUMBU</t>
  </si>
  <si>
    <t>KUSAN HULU|TANAH BUMBU</t>
  </si>
  <si>
    <t>LABUAN AMAS SELATAN|HULU SUNGAI TENGAH</t>
  </si>
  <si>
    <t>LABUAN AMAS UTARA|HULU SUNGAI TENGAH</t>
  </si>
  <si>
    <t>LAHAM|MAHAKAM ULU</t>
  </si>
  <si>
    <t>LAHEI BARAT|BARITO UTARA</t>
  </si>
  <si>
    <t>LAHEI|BARITO UTARA</t>
  </si>
  <si>
    <t>LAMPIHONG|BALANGAN</t>
  </si>
  <si>
    <t>LANDASAN ULIN|KOTA BANJARBARU</t>
  </si>
  <si>
    <t>LAUNG TUHUP|MURUNG RAYA</t>
  </si>
  <si>
    <t>LIANG ANGGANG|KOTA BANJARBARU</t>
  </si>
  <si>
    <t>LIMPASU|HULU SUNGAI TENGAH</t>
  </si>
  <si>
    <t>LINGGANG BIGUNG|KUTAI BARAT</t>
  </si>
  <si>
    <t>LOA JANAN ILIR|KOTA SAMARINDA</t>
  </si>
  <si>
    <t>PT-SAMARINDA</t>
  </si>
  <si>
    <t>LOA JANAN|KUTAI KARTANEGARA</t>
  </si>
  <si>
    <t>LOA KULU|KUTAI KARTANEGARA</t>
  </si>
  <si>
    <t>LOKPAIKAT|TAPIN</t>
  </si>
  <si>
    <t>LOKSADO|HULU SUNGAI SELATAN</t>
  </si>
  <si>
    <t>LONG APARI|MAHAKAM ULU</t>
  </si>
  <si>
    <t>LONG BAGUN|MAHAKAM ULU</t>
  </si>
  <si>
    <t>LONG HUBUNG|MAHAKAM ULU</t>
  </si>
  <si>
    <t>LONG IKIS|PASER</t>
  </si>
  <si>
    <t>LONG IRAM|KUTAI BARAT</t>
  </si>
  <si>
    <t>LONG KALI|PASER</t>
  </si>
  <si>
    <t>LONG MESANGAT|KUTAI TIMUR</t>
  </si>
  <si>
    <t>LONG PAHANGAI|MAHAKAM ULU</t>
  </si>
  <si>
    <t>LUMBIS|NUNUKAN</t>
  </si>
  <si>
    <t>MALIKU|PULANG PISAU</t>
  </si>
  <si>
    <t>MALINAU BARAT|MALINAU</t>
  </si>
  <si>
    <t>MALINAU KOTA|MALINAU</t>
  </si>
  <si>
    <t>MALINAU SELATAN HILIR|MALINAU</t>
  </si>
  <si>
    <t>MALINAU SELATAN HULU|MALINAU</t>
  </si>
  <si>
    <t>MALINAU SELATAN|MALINAU</t>
  </si>
  <si>
    <t>MALINAU UTARA|MALINAU</t>
  </si>
  <si>
    <t>MANDASTANA|BARITO KUALA</t>
  </si>
  <si>
    <t>MANDAU TALAWANG|KAPUAS</t>
  </si>
  <si>
    <t>MANDOR|LANDAK</t>
  </si>
  <si>
    <t>PT-MANDOR</t>
  </si>
  <si>
    <t>MANIS MATA|KETAPANG</t>
  </si>
  <si>
    <t>MANTANGAI|KAPUAS</t>
  </si>
  <si>
    <t>MANTEWE|TANAH BUMBU</t>
  </si>
  <si>
    <t>MANUHING RAYA|GUNUNG MAS</t>
  </si>
  <si>
    <t>MANUHING|GUNUNG MAS</t>
  </si>
  <si>
    <t>MARABAHAN|BARITO KUALA</t>
  </si>
  <si>
    <t>MARANG KAYU|KUTAI KARTANEGARA</t>
  </si>
  <si>
    <t>MARAU|KETAPANG</t>
  </si>
  <si>
    <t>MARTAPURA BARAT|BANJAR</t>
  </si>
  <si>
    <t>MARTAPURA TIMUR|BANJAR</t>
  </si>
  <si>
    <t>MARTAPURA|BANJAR</t>
  </si>
  <si>
    <t>MATAN HILIR SELATAN|KETAPANG</t>
  </si>
  <si>
    <t>MATAN HILIR UTARA|KETAPANG</t>
  </si>
  <si>
    <t>PT-MUARA PAWAN</t>
  </si>
  <si>
    <t>MATARAMAN|BANJAR</t>
  </si>
  <si>
    <t>MEKAR SARI|BARITO KUALA</t>
  </si>
  <si>
    <t>MELAK|KUTAI BARAT</t>
  </si>
  <si>
    <t>MELIAU|SANGGAU</t>
  </si>
  <si>
    <t>PT-MELIAU</t>
  </si>
  <si>
    <t>MEMPAWAH HILIR|MEMPAWAH</t>
  </si>
  <si>
    <t>MEMPAWAH HULU|LANDAK</t>
  </si>
  <si>
    <t>MEMPAWAH TIMUR|MEMPAWAH</t>
  </si>
  <si>
    <t>MENDAWAI|KATINGAN</t>
  </si>
  <si>
    <t>MENJALIN|LANDAK</t>
  </si>
  <si>
    <t>MENTARANG HULU|MALINAU</t>
  </si>
  <si>
    <t>MENTARANG|MALINAU</t>
  </si>
  <si>
    <t>MENTAWA BARU KETAPANG|KOTAWARINGIN TIMUR</t>
  </si>
  <si>
    <t>MENTAYA HILIR SELATAN|KOTAWARINGIN TIMUR</t>
  </si>
  <si>
    <t>MENTAYA HILIR UTARA|KOTAWARINGIN TIMUR</t>
  </si>
  <si>
    <t>MENTAYA HULU|KOTAWARINGIN TIMUR</t>
  </si>
  <si>
    <t>MENTEBAH|KAPUAS HULU</t>
  </si>
  <si>
    <t>MENTHOBI RAYA|LAMANDAU</t>
  </si>
  <si>
    <t>MENUKUNG|MELAWI</t>
  </si>
  <si>
    <t>MENYUKE|LANDAK</t>
  </si>
  <si>
    <t>MIHING RAYA|GUNUNG MAS</t>
  </si>
  <si>
    <t>MONTALLAT|BARITO UTARA</t>
  </si>
  <si>
    <t>MOOK MANAAR BULATN|KUTAI BARAT</t>
  </si>
  <si>
    <t>MUARA ANCALONG|KUTAI TIMUR</t>
  </si>
  <si>
    <t>MUARA BADAK|KUTAI KARTANEGARA</t>
  </si>
  <si>
    <t>MUARA BENGKAL|KUTAI TIMUR</t>
  </si>
  <si>
    <t>MUARA HARUS|TABALONG</t>
  </si>
  <si>
    <t>MUARA JAWA|KUTAI KARTANEGARA</t>
  </si>
  <si>
    <t>PT-SAMBOJA</t>
  </si>
  <si>
    <t>MUARA KAMAN|KUTAI KARTANEGARA</t>
  </si>
  <si>
    <t>PT-SEBULU</t>
  </si>
  <si>
    <t>MUARA KOMAM|PASER</t>
  </si>
  <si>
    <t>MUARA LAWA|KUTAI BARAT</t>
  </si>
  <si>
    <t>MUARA MUNTAI|KUTAI KARTANEGARA</t>
  </si>
  <si>
    <t>MUARA PAHU|KUTAI BARAT</t>
  </si>
  <si>
    <t>MUARA PAWAN|KETAPANG</t>
  </si>
  <si>
    <t>MUARA SAMU|PASER</t>
  </si>
  <si>
    <t>MUARA UYA|TABALONG</t>
  </si>
  <si>
    <t>MUARA WAHAU|KUTAI TIMUR</t>
  </si>
  <si>
    <t>MUARA WIS|KUTAI KARTANEGARA</t>
  </si>
  <si>
    <t>MUKOK|SANGGAU</t>
  </si>
  <si>
    <t>MURUNG PUDAK|TABALONG</t>
  </si>
  <si>
    <t>MURUNG|MURUNG RAYA</t>
  </si>
  <si>
    <t>NANGA MAHAP|SEKADAU</t>
  </si>
  <si>
    <t>PT-SEKADAU</t>
  </si>
  <si>
    <t>NANGA PINOH|MELAWI</t>
  </si>
  <si>
    <t>NANGA TAMAN|SEKADAU</t>
  </si>
  <si>
    <t>NANGA TAYAP|KETAPANG</t>
  </si>
  <si>
    <t>NGABANG|LANDAK</t>
  </si>
  <si>
    <t>NOYAN|SANGGAU</t>
  </si>
  <si>
    <t>NUNUKAN SELATAN|NUNUKAN</t>
  </si>
  <si>
    <t>NUNUKAN|NUNUKAN</t>
  </si>
  <si>
    <t>NYUATAN|KUTAI BARAT</t>
  </si>
  <si>
    <t>PADANG BATUNG|HULU SUNGAI SELATAN</t>
  </si>
  <si>
    <t>PAHANDUT|KOTA PALANGKARAYA</t>
  </si>
  <si>
    <t>PAJU EPAT|BARITO TIMUR</t>
  </si>
  <si>
    <t>PAKU|BARITO TIMUR</t>
  </si>
  <si>
    <t>PALARAN|KOTA SAMARINDA</t>
  </si>
  <si>
    <t>PALOH|SAMBAS</t>
  </si>
  <si>
    <t>PAMUKAN BARAT|KOTABARU</t>
  </si>
  <si>
    <t>PAMUKAN SELATAN|KOTABARU</t>
  </si>
  <si>
    <t>PAMUKAN UTARA|KOTABARU</t>
  </si>
  <si>
    <t>PANDAWAN|HULU SUNGAI TENGAH</t>
  </si>
  <si>
    <t>PANDIH BATU|PULANG PISAU</t>
  </si>
  <si>
    <t>PANGKALAN BANTENG|KOTAWARINGIN BARAT</t>
  </si>
  <si>
    <t>PANGKALAN LADA|KOTAWARINGIN BARAT</t>
  </si>
  <si>
    <t>PANTAI LUNCI|SUKAMARA</t>
  </si>
  <si>
    <t>PANYIPATAN|TANAH LAUT</t>
  </si>
  <si>
    <t>PARAMASAN|BANJAR</t>
  </si>
  <si>
    <t>PARENGGEAN|KOTAWARINGIN TIMUR</t>
  </si>
  <si>
    <t>PARINDU|SANGGAU</t>
  </si>
  <si>
    <t>PARINGIN SELATAN|BALANGAN</t>
  </si>
  <si>
    <t>PARINGIN|BALANGAN</t>
  </si>
  <si>
    <t>PASAK TALAWANG|KAPUAS</t>
  </si>
  <si>
    <t>PASER BELENGKONG|PASER</t>
  </si>
  <si>
    <t>PATANGKEP TUTUI|BARITO TIMUR</t>
  </si>
  <si>
    <t>PELAIHARI|TANAH LAUT</t>
  </si>
  <si>
    <t>PEMAHAN|KETAPANG</t>
  </si>
  <si>
    <t>PEMANGKAT|SAMBAS</t>
  </si>
  <si>
    <t>PT-PEMANGKAT</t>
  </si>
  <si>
    <t>PEMATANG KARAU|BARITO TIMUR</t>
  </si>
  <si>
    <t>PENAJAM|PENAJAM PASER UTARA</t>
  </si>
  <si>
    <t>PENGARON|BANJAR</t>
  </si>
  <si>
    <t>PENGKADAN|KAPUAS HULU</t>
  </si>
  <si>
    <t>PENYINGGAHAN|KUTAI BARAT</t>
  </si>
  <si>
    <t>PERMATA INTAN|MURUNG RAYA</t>
  </si>
  <si>
    <t>PERMATA KECUBUNG|SUKAMARA</t>
  </si>
  <si>
    <t>PIANI|TAPIN</t>
  </si>
  <si>
    <t>PINOH UTARA|MELAWI</t>
  </si>
  <si>
    <t>PONTIANAK BARAT|KOTA PONTIANAK</t>
  </si>
  <si>
    <t>PT-PONTIANAK</t>
  </si>
  <si>
    <t>PONTIANAK KOTA|KOTA PONTIANAK</t>
  </si>
  <si>
    <t>PONTIANAK SELATAN|KOTA PONTIANAK</t>
  </si>
  <si>
    <t>PONTIANAK TENGGARA|KOTA PONTIANAK</t>
  </si>
  <si>
    <t>PONTIANAK TIMUR|KOTA PONTIANAK</t>
  </si>
  <si>
    <t>PONTIANAK UTARA|KOTA PONTIANAK</t>
  </si>
  <si>
    <t>PUGAAN|TABALONG</t>
  </si>
  <si>
    <t>PUJUNGAN|MALINAU</t>
  </si>
  <si>
    <t>PULAU DERAWAN|BERAU</t>
  </si>
  <si>
    <t>PULAU HANAUT|KOTAWARINGIN TIMUR</t>
  </si>
  <si>
    <t>PULAU LAUT BARAT|KOTABARU</t>
  </si>
  <si>
    <t>PT-PULAU LAUT UTARA</t>
  </si>
  <si>
    <t>PULAU LAUT KEPULAUAN|KOTABARU</t>
  </si>
  <si>
    <t>PULAU LAUT SELATAN|KOTABARU</t>
  </si>
  <si>
    <t>PULAU LAUT TANJUNG SELAYAR|KOTABARU</t>
  </si>
  <si>
    <t>PULAU LAUT TENGAH|KOTABARU</t>
  </si>
  <si>
    <t>PULAU LAUT TIMUR|KOTABARU</t>
  </si>
  <si>
    <t>PULAU LAUT UTARA|KOTABARU</t>
  </si>
  <si>
    <t>PULAU MALAN|KATINGAN</t>
  </si>
  <si>
    <t>PULAU MAYA|KAYONG UTARA</t>
  </si>
  <si>
    <t>PT-KAYONG UTARA</t>
  </si>
  <si>
    <t>PULAU PETAK|KAPUAS</t>
  </si>
  <si>
    <t>PULAU SEBUKU|KOTABARU</t>
  </si>
  <si>
    <t>PUTUSSIBAU SELATAN|KAPUAS HULU</t>
  </si>
  <si>
    <t>PUTUSSIBAU UTARA|KAPUAS HULU</t>
  </si>
  <si>
    <t>RANTAU BADAUH|BARITO KUALA</t>
  </si>
  <si>
    <t>RANTAU PULUNG|KUTAI TIMUR</t>
  </si>
  <si>
    <t>RAREN BATUAH|BARITO TIMUR</t>
  </si>
  <si>
    <t>RASAU JAYA|KUBU RAYA</t>
  </si>
  <si>
    <t>RUNGAN|GUNUNG MAS</t>
  </si>
  <si>
    <t>SABANGAU|KOTA PALANGKARAYA</t>
  </si>
  <si>
    <t>SAJAD|SAMBAS</t>
  </si>
  <si>
    <t>SAJINGAN BESAR|SAMBAS</t>
  </si>
  <si>
    <t>SALAM BABARIS|TAPIN</t>
  </si>
  <si>
    <t>SALATIGA|SAMBAS</t>
  </si>
  <si>
    <t>SAMARINDA ILIR|KOTA SAMARINDA</t>
  </si>
  <si>
    <t>SAMARINDA KOTA|KOTA SAMARINDA</t>
  </si>
  <si>
    <t>SAMARINDA SEBERANG|KOTA SAMARINDA</t>
  </si>
  <si>
    <t>SAMARINDA ULU|KOTA SAMARINDA</t>
  </si>
  <si>
    <t>SAMARINDA UTARA|KOTA SAMARINDA</t>
  </si>
  <si>
    <t>SAMBALIUNG|BERAU</t>
  </si>
  <si>
    <t>SAMBAS|SAMBAS</t>
  </si>
  <si>
    <t>SAMBOJA|KUTAI KARTANEGARA</t>
  </si>
  <si>
    <t>SAMBUNG MAKMUR|BANJAR</t>
  </si>
  <si>
    <t>SAMBUTAN|KOTA SAMARINDA</t>
  </si>
  <si>
    <t>SAMPANAHAN|KOTABARU</t>
  </si>
  <si>
    <t>SANAMAN MANTIKEI|KATINGAN</t>
  </si>
  <si>
    <t>SANDAI|KETAPANG</t>
  </si>
  <si>
    <t>SANDARAN|KUTAI TIMUR</t>
  </si>
  <si>
    <t>SANGASANGA|KUTAI KARTANEGARA</t>
  </si>
  <si>
    <t>SANGATTA SELATAN|KUTAI TIMUR</t>
  </si>
  <si>
    <t>SANGATTA UTARA|KUTAI TIMUR</t>
  </si>
  <si>
    <t>SANGKULIRANG|KUTAI TIMUR</t>
  </si>
  <si>
    <t>SATUI|TANAH BUMBU</t>
  </si>
  <si>
    <t>SEBANGKI|LANDAK</t>
  </si>
  <si>
    <t>SEBATIK BARAT|NUNUKAN</t>
  </si>
  <si>
    <t>SEBATIK TIMUR|NUNUKAN</t>
  </si>
  <si>
    <t>SEBATIK UTARA|NUNUKAN</t>
  </si>
  <si>
    <t>SEBATIK|NUNUKAN</t>
  </si>
  <si>
    <t>SEBAWI|SAMBAS</t>
  </si>
  <si>
    <t>SEBERUANG|KAPUAS HULU</t>
  </si>
  <si>
    <t>SEBUKU|NUNUKAN</t>
  </si>
  <si>
    <t>SEBULU|KUTAI KARTANEGARA</t>
  </si>
  <si>
    <t>SEGAH|BERAU</t>
  </si>
  <si>
    <t>SEGEDONG|MEMPAWAH</t>
  </si>
  <si>
    <t>SEJANGKUNG|SAMBAS</t>
  </si>
  <si>
    <t>SEKADAU HILIR|SEKADAU</t>
  </si>
  <si>
    <t>SEKADAU HULU|SEKADAU</t>
  </si>
  <si>
    <t>SEKAYAM|SANGGAU</t>
  </si>
  <si>
    <t>SEKOLAQ DARAT|KUTAI BARAT</t>
  </si>
  <si>
    <t>SELAKAU TIMUR|SAMBAS</t>
  </si>
  <si>
    <t>SELAKAU|SAMBAS</t>
  </si>
  <si>
    <t>SELAT|KAPUAS</t>
  </si>
  <si>
    <t>SELIMBAU|KAPUAS HULU</t>
  </si>
  <si>
    <t>SEMATU JAYA|LAMANDAU</t>
  </si>
  <si>
    <t>SEMBAKUNG ATULAI|NUNUKAN</t>
  </si>
  <si>
    <t>SEMBAKUNG|NUNUKAN</t>
  </si>
  <si>
    <t>SEMITAU|KAPUAS HULU</t>
  </si>
  <si>
    <t>SEMPARUK|SAMBAS</t>
  </si>
  <si>
    <t>SENGAH TEMILA|LANDAK</t>
  </si>
  <si>
    <t>SEPAKU|PENAJAM PASER UTARA</t>
  </si>
  <si>
    <t>SEPANG SIMIN|GUNUNG MAS</t>
  </si>
  <si>
    <t>SEPAUK|SINTANG</t>
  </si>
  <si>
    <t>SEPONTI|KAYONG UTARA</t>
  </si>
  <si>
    <t>SERANAU|KOTAWARINGIN TIMUR</t>
  </si>
  <si>
    <t>SERAWAI|SINTANG</t>
  </si>
  <si>
    <t>SERIBU RIAM|MURUNG RAYA</t>
  </si>
  <si>
    <t>SERUYAN HILIR TIMUR|SERUYAN</t>
  </si>
  <si>
    <t>SERUYAN HILIR|SERUYAN</t>
  </si>
  <si>
    <t>SERUYAN RAYA|SERUYAN</t>
  </si>
  <si>
    <t>SERUYAN TENGAH|SERUYAN</t>
  </si>
  <si>
    <t>SESAYAP HILIR|TANA TIDUNG</t>
  </si>
  <si>
    <t>SESAYAP|TANA TIDUNG</t>
  </si>
  <si>
    <t>SIANTAN|MEMPAWAH</t>
  </si>
  <si>
    <t>SILAT HILIR|KAPUAS HULU</t>
  </si>
  <si>
    <t>PT-SILAT HILIR</t>
  </si>
  <si>
    <t>SILAT HULU|KAPUAS HULU</t>
  </si>
  <si>
    <t>SILUQ NGURAI|KUTAI BARAT</t>
  </si>
  <si>
    <t>SIMPANG EMPAT|BANJAR</t>
  </si>
  <si>
    <t>SIMPANG EMPAT|TANAH BUMBU</t>
  </si>
  <si>
    <t>SIMPANG HILIR|KAYONG UTARA</t>
  </si>
  <si>
    <t>SIMPANG HULU|KETAPANG</t>
  </si>
  <si>
    <t>SIMPUR|HULU SUNGAI SELATAN</t>
  </si>
  <si>
    <t>SINGKAWANG BARAT|KOTA SINGKAWANG</t>
  </si>
  <si>
    <t>PT-SINGKAWANG</t>
  </si>
  <si>
    <t>SINGKAWANG SELATAN|KOTA SINGKAWANG</t>
  </si>
  <si>
    <t>SINGKAWANG TENGAH|KOTA SINGKAWANG</t>
  </si>
  <si>
    <t>SINGKAWANG TIMUR|KOTA SINGKAWANG</t>
  </si>
  <si>
    <t>SINGKAWANG UTARA|KOTA SINGKAWANG</t>
  </si>
  <si>
    <t>SINGKUP|KETAPANG</t>
  </si>
  <si>
    <t>SINTANG|SINTANG</t>
  </si>
  <si>
    <t>SUBAH|SAMBAS</t>
  </si>
  <si>
    <t>SUHAID|KAPUAS HULU</t>
  </si>
  <si>
    <t>SUKADANA|KAYONG UTARA</t>
  </si>
  <si>
    <t>SUKAMARA|SUKAMARA</t>
  </si>
  <si>
    <t>SUNGAI AMBAWANG|KUBU RAYA</t>
  </si>
  <si>
    <t>SUNGAI BOH|MALINAU</t>
  </si>
  <si>
    <t>SUNGAI DURIAN|KOTABARU</t>
  </si>
  <si>
    <t>SUNGAI KAKAP|KUBU RAYA</t>
  </si>
  <si>
    <t>SUNGAI KUNJANG|KOTA SAMARINDA</t>
  </si>
  <si>
    <t>SUNGAI KUNYIT|MEMPAWAH</t>
  </si>
  <si>
    <t>SUNGAI LAUR|KETAPANG</t>
  </si>
  <si>
    <t>SUNGAI LOBAN|TANAH BUMBU</t>
  </si>
  <si>
    <t>SUNGAI MELAYU RAYAK|KETAPANG</t>
  </si>
  <si>
    <t>SUNGAI PANDAN|HULU SUNGAI UTARA</t>
  </si>
  <si>
    <t>SUNGAI PINANG|BANJAR</t>
  </si>
  <si>
    <t>SUNGAI PINANG|KOTA SAMARINDA</t>
  </si>
  <si>
    <t>SUNGAI PINYUH|MEMPAWAH</t>
  </si>
  <si>
    <t>SUNGAI RAYA|HULU SUNGAI SELATAN</t>
  </si>
  <si>
    <t>SUNGAI RAYA|KUBU RAYA</t>
  </si>
  <si>
    <t>SUNGAI TABUK|BANJAR</t>
  </si>
  <si>
    <t>SUNGAI TABUKAN|HULU SUNGAI UTARA</t>
  </si>
  <si>
    <t>SUNGAI TEBELIAN|SINTANG</t>
  </si>
  <si>
    <t>SUNGAI TUBU|MALINAU</t>
  </si>
  <si>
    <t>TABALAR|BERAU</t>
  </si>
  <si>
    <t>TABANG|KUTAI KARTANEGARA</t>
  </si>
  <si>
    <t>TABUKAN|BARITO KUALA</t>
  </si>
  <si>
    <t>TABUNGANEN|BARITO KUALA</t>
  </si>
  <si>
    <t>TAKISUNG|TANAH LAUT</t>
  </si>
  <si>
    <t>TALISAYAN|BERAU</t>
  </si>
  <si>
    <t>TAMBAN CATUR|KAPUAS</t>
  </si>
  <si>
    <t>TAMBAN|BARITO KUALA</t>
  </si>
  <si>
    <t>TAMBANG ULANG|TANAH LAUT</t>
  </si>
  <si>
    <t>TANA LIA|TANA TIDUNG</t>
  </si>
  <si>
    <t>TANAH GROGOT|PASER</t>
  </si>
  <si>
    <t>TANAH SIANG SELATAN|MURUNG RAYA</t>
  </si>
  <si>
    <t>TANAH SIANG|MURUNG RAYA</t>
  </si>
  <si>
    <t>TANGARAN|SAMBAS</t>
  </si>
  <si>
    <t>TANJUNG HARAPAN|PASER</t>
  </si>
  <si>
    <t>TANJUNG PALAS TENGAH|BULUNGAN</t>
  </si>
  <si>
    <t>TANJUNG PALAS TIMUR|BULUNGAN</t>
  </si>
  <si>
    <t>TANJUNG PALAS UTARA|BULUNGAN</t>
  </si>
  <si>
    <t>TANJUNG PALAS|BULUNGAN</t>
  </si>
  <si>
    <t>TANJUNG REDEB|BERAU</t>
  </si>
  <si>
    <t>TANJUNG SELOR|BULUNGAN</t>
  </si>
  <si>
    <t>TANJUNG|TABALONG</t>
  </si>
  <si>
    <t>TANTA|TABALONG</t>
  </si>
  <si>
    <t>TAPIN SELATAN|TAPIN</t>
  </si>
  <si>
    <t>TAPIN TENGAH|TAPIN</t>
  </si>
  <si>
    <t>TAPIN UTARA|TAPIN</t>
  </si>
  <si>
    <t>TARAKAN BARAT|KOTA TARAKAN</t>
  </si>
  <si>
    <t>PT-TARAKAN BARAT</t>
  </si>
  <si>
    <t>TARAKAN TENGAH|KOTA TARAKAN</t>
  </si>
  <si>
    <t>TARAKAN TIMUR|KOTA TARAKAN</t>
  </si>
  <si>
    <t>TARAKAN UTARA|KOTA TARAKAN</t>
  </si>
  <si>
    <t>TASIK PAYAWAN|KATINGAN</t>
  </si>
  <si>
    <t>TATAH MAKMUR|BANJAR</t>
  </si>
  <si>
    <t>TAYAN HILIR|SANGGAU</t>
  </si>
  <si>
    <t>TAYAN HULU|SANGGAU</t>
  </si>
  <si>
    <t>TEBAS|SAMBAS</t>
  </si>
  <si>
    <t>TEBING TINGGI|BALANGAN</t>
  </si>
  <si>
    <t>TEKARANG|SAMBAS</t>
  </si>
  <si>
    <t>TELAGA ANTANG|KOTAWARINGIN TIMUR</t>
  </si>
  <si>
    <t>TELAGA BAUNTUNG|BANJAR</t>
  </si>
  <si>
    <t>TELAGA LANGSAT|HULU SUNGAI SELATAN</t>
  </si>
  <si>
    <t>TELAWANG|KOTAWARINGIN TIMUR</t>
  </si>
  <si>
    <t>TELEN|KUTAI TIMUR</t>
  </si>
  <si>
    <t>TELUK BATANG|KAYONG UTARA</t>
  </si>
  <si>
    <t>TELUK BAYUR|BERAU</t>
  </si>
  <si>
    <t>TELUK KERAMAT|SAMBAS</t>
  </si>
  <si>
    <t>TELUK PAKEDAI|KUBU RAYA</t>
  </si>
  <si>
    <t>TELUK PANDAN|KUTAI TIMUR</t>
  </si>
  <si>
    <t>TELUK SAMPIT|KOTAWARINGIN TIMUR</t>
  </si>
  <si>
    <t>TEMPUNAK|SINTANG</t>
  </si>
  <si>
    <t>TENGGARONG SEBERANG|KUTAI KARTANEGARA</t>
  </si>
  <si>
    <t>TENGGARONG|KUTAI KARTANEGARA</t>
  </si>
  <si>
    <t>TERENTANG|KUBU RAYA</t>
  </si>
  <si>
    <t>TERING|KUTAI BARAT</t>
  </si>
  <si>
    <t>TEWAH|GUNUNG MAS</t>
  </si>
  <si>
    <t>TEWANG SANGALANG GARING|KATINGAN</t>
  </si>
  <si>
    <t>TEWEH BARU|BARITO UTARA</t>
  </si>
  <si>
    <t>TEWEH SELATAN|BARITO UTARA</t>
  </si>
  <si>
    <t>TEWEH TENGAH|BARITO UTARA</t>
  </si>
  <si>
    <t>TEWEH TIMUR|BARITO UTARA</t>
  </si>
  <si>
    <t>TOBA|SANGGAU</t>
  </si>
  <si>
    <t>TOHO|MEMPAWAH</t>
  </si>
  <si>
    <t>TUALAN HULU|KOTAWARINGIN TIMUR</t>
  </si>
  <si>
    <t>TULIN ONSOI|NUNUKAN</t>
  </si>
  <si>
    <t>TUMBANG TITI|KETAPANG</t>
  </si>
  <si>
    <t>UPAU|TABALONG</t>
  </si>
  <si>
    <t>WANARAYA|BARITO KUALA</t>
  </si>
  <si>
    <t>WARU|PENAJAM PASER UTARA</t>
  </si>
  <si>
    <t>SEKATAK|BULUNGAN</t>
  </si>
  <si>
    <t>RGUGA TRADE MTD</t>
  </si>
  <si>
    <t>RGUGA TRADE LMTD</t>
  </si>
  <si>
    <t>RGUGA FWA ALL CHANNEL</t>
  </si>
  <si>
    <t>Total</t>
  </si>
  <si>
    <t>MURUK RIAN|TANA TIDUNG</t>
  </si>
  <si>
    <t>PURING KENCANA|KAPUAS HULU</t>
  </si>
  <si>
    <t>SP SELL IN MTD</t>
  </si>
  <si>
    <t>SP SELL IN LMTD</t>
  </si>
  <si>
    <t>DD</t>
  </si>
  <si>
    <t>RETTAG_3GB</t>
  </si>
  <si>
    <t>SELLIN_3GB</t>
  </si>
  <si>
    <t>BATANG KAWA|LAMANDAU</t>
  </si>
  <si>
    <t>KATINGAN HULU|KATINGAN</t>
  </si>
  <si>
    <t>RUNGAN HULU|GUNUNG MAS</t>
  </si>
  <si>
    <t>KAPUAS TENGAH|KAPUAS</t>
  </si>
  <si>
    <t>LAMANDAU|LAMANDAU</t>
  </si>
  <si>
    <t>PESO|BULUNGAN</t>
  </si>
  <si>
    <t>SADANIANG|MEMPAWAH</t>
  </si>
  <si>
    <t>SULING TAMBUN|SERUYAN</t>
  </si>
  <si>
    <t>TANAH PINOH BARAT|MELAWI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</si>
</sst>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Calibri"/>
      <family val="2"/>
      <scheme val="minor"/>
    </font>
    <font>
      <sz val="14"/>
      <color indexed="8"/>
      <name val="Century Gothic"/>
      <family val="2"/>
    </font>
    <font>
      <sz val="14"/>
      <color theme="1"/>
      <name val="Calibri"/>
      <family val="2"/>
      <scheme val="minor"/>
    </font>
    <font>
      <b/>
      <sz val="14"/>
      <color indexed="9"/>
      <name val="Century Gothic"/>
      <family val="2"/>
    </font>
    <font>
      <sz val="11"/>
      <color theme="1"/>
      <name val="Calibri"/>
      <family val="2"/>
      <scheme val="minor"/>
    </font>
    <font>
      <sz val="11"/>
      <color indexed="8"/>
      <name val="Century Gothic"/>
      <family val="2"/>
    </font>
    <font>
      <sz val="14"/>
      <color theme="1"/>
      <name val="Century Gothic"/>
      <family val="2"/>
    </font>
    <font>
      <b/>
      <sz val="11"/>
      <name val="Calibri"/>
    </font>
    <font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59595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/>
      <bottom/>
      <diagonal/>
    </border>
  </borders>
  <cellStyleXfs count="3">
    <xf numFmtId="0" fontId="0" fillId="0" borderId="0"/>
    <xf numFmtId="9" fontId="4" fillId="0" borderId="0" applyFont="0" applyFill="0" applyBorder="0" applyAlignment="0" applyProtection="0"/>
    <xf numFmtId="0" fontId="8" fillId="0" borderId="0"/>
  </cellStyleXfs>
  <cellXfs count="17">
    <xf numFmtId="0" fontId="0" fillId="0" borderId="0" xfId="0"/>
    <xf numFmtId="0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vertical="center"/>
    </xf>
    <xf numFmtId="0" fontId="3" fillId="4" borderId="1" xfId="0" applyNumberFormat="1" applyFont="1" applyFill="1" applyBorder="1" applyAlignment="1" applyProtection="1">
      <alignment horizontal="center" vertical="center"/>
    </xf>
    <xf numFmtId="3" fontId="1" fillId="3" borderId="1" xfId="0" applyNumberFormat="1" applyFont="1" applyFill="1" applyBorder="1" applyAlignment="1" applyProtection="1">
      <alignment horizontal="center" vertical="center"/>
    </xf>
    <xf numFmtId="0" fontId="2" fillId="2" borderId="0" xfId="0" applyFont="1" applyFill="1" applyAlignment="1">
      <alignment horizontal="center" vertical="center"/>
    </xf>
    <xf numFmtId="3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vertical="top"/>
    </xf>
    <xf numFmtId="10" fontId="1" fillId="3" borderId="1" xfId="1" applyNumberFormat="1" applyFont="1" applyFill="1" applyBorder="1" applyAlignment="1" applyProtection="1">
      <alignment horizontal="center" vertical="center"/>
    </xf>
    <xf numFmtId="0" fontId="5" fillId="3" borderId="3" xfId="0" applyNumberFormat="1" applyFont="1" applyFill="1" applyBorder="1" applyAlignment="1" applyProtection="1">
      <alignment horizontal="right" vertical="center" inden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/>
    </xf>
    <xf numFmtId="0" fontId="7" fillId="0" borderId="0" xfId="0" applyFont="1" applyAlignment="1">
      <alignment vertical="top"/>
    </xf>
    <xf numFmtId="0" fontId="0" fillId="0" borderId="4" xfId="0" applyBorder="1" applyAlignment="1"/>
    <xf numFmtId="0" fontId="7" fillId="0" borderId="0" xfId="0" applyFont="1"/>
    <xf numFmtId="0" fontId="0" fillId="0" borderId="2" xfId="0" applyBorder="1"/>
    <xf numFmtId="0" fontId="0" fillId="0" borderId="4" xfId="0" applyBorder="1"/>
  </cellXfs>
  <cellStyles count="3">
    <cellStyle name="Normal" xfId="0" builtinId="0"/>
    <cellStyle name="Normal 2" xfId="2"/>
    <cellStyle name="Percent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Z22"/>
  <sheetViews>
    <sheetView zoomScale="44" workbookViewId="0">
      <pane xSplit="1" ySplit="5" topLeftCell="T18" activePane="bottomRight" state="frozen"/>
      <selection pane="topRight" activeCell="B1" sqref="B1"/>
      <selection pane="bottomLeft" activeCell="A6" sqref="A6"/>
      <selection pane="bottomRight" activeCell="Y6" sqref="X6:Y22"/>
    </sheetView>
  </sheetViews>
  <sheetFormatPr defaultColWidth="11.7265625" defaultRowHeight="64.5" customHeight="1"/>
  <cols>
    <col min="1" max="1" width="60.6328125" style="2" bestFit="1" customWidth="1"/>
    <col min="2" max="2" width="29.54296875" style="5" bestFit="1" customWidth="1"/>
    <col min="3" max="17" width="40.7265625" style="5" customWidth="1"/>
    <col min="18" max="20" width="40.7265625" style="2" customWidth="1"/>
    <col min="21" max="23" width="40.7265625" style="5" customWidth="1"/>
    <col min="24" max="25" width="34.90625" style="2" customWidth="1"/>
    <col min="26" max="26" width="38" style="2" customWidth="1"/>
    <col min="27" max="16384" width="11.7265625" style="2"/>
  </cols>
  <sheetData>
    <row r="4" spans="1:26" ht="64.5" customHeight="1"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</row>
    <row r="5" spans="1:26" ht="64.5" customHeight="1">
      <c r="A5" s="3" t="s">
        <v>0</v>
      </c>
      <c r="B5" s="3" t="s">
        <v>15</v>
      </c>
      <c r="C5" s="3" t="s">
        <v>18</v>
      </c>
      <c r="D5" s="3" t="s">
        <v>23</v>
      </c>
      <c r="E5" s="3" t="s">
        <v>33</v>
      </c>
      <c r="F5" s="3" t="s">
        <v>19</v>
      </c>
      <c r="G5" s="3" t="s">
        <v>24</v>
      </c>
      <c r="H5" s="3" t="s">
        <v>33</v>
      </c>
      <c r="I5" s="3" t="s">
        <v>20</v>
      </c>
      <c r="J5" s="3" t="s">
        <v>25</v>
      </c>
      <c r="K5" s="3" t="s">
        <v>33</v>
      </c>
      <c r="L5" s="3" t="s">
        <v>21</v>
      </c>
      <c r="M5" s="3" t="s">
        <v>26</v>
      </c>
      <c r="N5" s="3" t="s">
        <v>33</v>
      </c>
      <c r="O5" s="3" t="s">
        <v>22</v>
      </c>
      <c r="P5" s="3" t="s">
        <v>27</v>
      </c>
      <c r="Q5" s="3" t="s">
        <v>33</v>
      </c>
      <c r="R5" s="3" t="s">
        <v>28</v>
      </c>
      <c r="S5" s="3" t="s">
        <v>29</v>
      </c>
      <c r="T5" s="3" t="s">
        <v>33</v>
      </c>
      <c r="U5" s="3" t="s">
        <v>662</v>
      </c>
      <c r="V5" s="3" t="s">
        <v>663</v>
      </c>
      <c r="W5" s="3" t="s">
        <v>33</v>
      </c>
      <c r="X5" s="3" t="s">
        <v>668</v>
      </c>
      <c r="Y5" s="3" t="s">
        <v>669</v>
      </c>
      <c r="Z5" s="3" t="s">
        <v>33</v>
      </c>
    </row>
    <row r="6" spans="1:26" ht="64.5" customHeight="1">
      <c r="A6" s="9" t="s">
        <v>1</v>
      </c>
      <c r="B6" s="1" t="s">
        <v>16</v>
      </c>
      <c r="C6" s="4">
        <f>IFERROR(VLOOKUP(A:A,MASTER!A:C,3,0),0)</f>
        <v>331522592.94381511</v>
      </c>
      <c r="D6" s="4">
        <f>IFERROR(VLOOKUP(A:A,MASTER!A:D,4,0),0)</f>
        <v>333032195.60686231</v>
      </c>
      <c r="E6" s="8">
        <f>IFERROR(C6/D6-1,0)</f>
        <v>-4.5329030735191678E-3</v>
      </c>
      <c r="F6" s="4">
        <f>IFERROR(VLOOKUP(A6,MASTER!A:E,5,0),0)</f>
        <v>563513.51351351605</v>
      </c>
      <c r="G6" s="4">
        <f>IFERROR(VLOOKUP(A6,MASTER!A:F,6,0),0)</f>
        <v>2395495.4954954982</v>
      </c>
      <c r="H6" s="8">
        <f>IFERROR(F6/G6-1,0)</f>
        <v>-0.76476118841669716</v>
      </c>
      <c r="I6" s="4">
        <f>IFERROR(VLOOKUP(A6,MASTER!A:O,15,0),0)</f>
        <v>33316846.846846849</v>
      </c>
      <c r="J6" s="4">
        <f>IFERROR(VLOOKUP(A6,MASTER!A:P,16,0),0)</f>
        <v>40213603.603603601</v>
      </c>
      <c r="K6" s="8">
        <f>IFERROR(I6/J6-1,0)</f>
        <v>-0.17150307703681456</v>
      </c>
      <c r="L6" s="4">
        <f>IFERROR(VLOOKUP(A6,MASTER!A:S,19,0),0)</f>
        <v>152732430.63063061</v>
      </c>
      <c r="M6" s="4">
        <f>IFERROR(VLOOKUP(A6,MASTER!A:T,20,0),0)</f>
        <v>158816441.44144145</v>
      </c>
      <c r="N6" s="8">
        <f>IFERROR(L6/M6-1,0)</f>
        <v>-3.8308444362507132E-2</v>
      </c>
      <c r="O6" s="4">
        <f>IFERROR(VLOOKUP(A6,MASTER!A:U,21,0),0)</f>
        <v>34620720.720720723</v>
      </c>
      <c r="P6" s="4">
        <f>IFERROR(VLOOKUP(A6,MASTER!A:V,22,0),0)</f>
        <v>37817477.477477483</v>
      </c>
      <c r="Q6" s="8">
        <f>IFERROR(O6/P6-1,0)</f>
        <v>-8.4531200121970462E-2</v>
      </c>
      <c r="R6" s="4">
        <f>IFERROR(VLOOKUP(A6,MASTER!A:W,23,0),0)</f>
        <v>7965</v>
      </c>
      <c r="S6" s="4">
        <f>IFERROR(VLOOKUP(A6,MASTER!A:X,24,0),0)</f>
        <v>8372</v>
      </c>
      <c r="T6" s="8">
        <f>IFERROR(R6/S6-1,0)</f>
        <v>-4.8614429049211649E-2</v>
      </c>
      <c r="U6" s="11">
        <f>IFERROR(VLOOKUP(A6,MASTER!A:M,13,0),0)</f>
        <v>446</v>
      </c>
      <c r="V6" s="11">
        <f>IFERROR(VLOOKUP(A6,MASTER!A:N,14,0),0)</f>
        <v>347</v>
      </c>
      <c r="W6" s="8">
        <f>IFERROR(U6/V6-1,0)</f>
        <v>0.28530259365994226</v>
      </c>
      <c r="X6" s="11">
        <f>IFERROR(VLOOKUP(A6,MASTER!A:Q,17,0),0)</f>
        <v>161</v>
      </c>
      <c r="Y6" s="11">
        <f>IFERROR(VLOOKUP(A6,MASTER!A:R,18,0),0)</f>
        <v>87</v>
      </c>
      <c r="Z6" s="8">
        <f>IFERROR(X6/Y6-1,0)</f>
        <v>0.85057471264367823</v>
      </c>
    </row>
    <row r="7" spans="1:26" ht="64.5" customHeight="1">
      <c r="A7" s="9" t="s">
        <v>2</v>
      </c>
      <c r="B7" s="1" t="s">
        <v>17</v>
      </c>
      <c r="C7" s="4">
        <f>IFERROR(VLOOKUP(A:A,MASTER!A:C,3,0),0)</f>
        <v>40907852.382749476</v>
      </c>
      <c r="D7" s="4">
        <f>IFERROR(VLOOKUP(A:A,MASTER!A:D,4,0),0)</f>
        <v>30954510.153037127</v>
      </c>
      <c r="E7" s="8">
        <f t="shared" ref="E7:E22" si="0">IFERROR(C7/D7-1,0)</f>
        <v>0.32154739908671326</v>
      </c>
      <c r="F7" s="4">
        <f>IFERROR(VLOOKUP(A7,MASTER!A:E,5,0),0)</f>
        <v>147982854.95495495</v>
      </c>
      <c r="G7" s="4">
        <f>IFERROR(VLOOKUP(A7,MASTER!A:F,6,0),0)</f>
        <v>305118480.18018013</v>
      </c>
      <c r="H7" s="8">
        <f t="shared" ref="H7:H22" si="1">IFERROR(F7/G7-1,0)</f>
        <v>-0.51499871503172356</v>
      </c>
      <c r="I7" s="4">
        <f>IFERROR(VLOOKUP(A7,MASTER!A:O,15,0),0)</f>
        <v>324324.32432432403</v>
      </c>
      <c r="J7" s="4">
        <f>IFERROR(VLOOKUP(A7,MASTER!A:P,16,0),0)</f>
        <v>40540.540540542002</v>
      </c>
      <c r="K7" s="8">
        <f t="shared" ref="K7:K22" si="2">IFERROR(I7/J7-1,0)</f>
        <v>6.9999999999997042</v>
      </c>
      <c r="L7" s="4">
        <f>IFERROR(VLOOKUP(A7,MASTER!A:S,19,0),0)</f>
        <v>21352612.612612613</v>
      </c>
      <c r="M7" s="4">
        <f>IFERROR(VLOOKUP(A7,MASTER!A:T,20,0),0)</f>
        <v>17535126.126126125</v>
      </c>
      <c r="N7" s="8">
        <f t="shared" ref="N7:N22" si="3">IFERROR(L7/M7-1,0)</f>
        <v>0.21770510568490842</v>
      </c>
      <c r="O7" s="4">
        <f>IFERROR(VLOOKUP(A7,MASTER!A:U,21,0),0)</f>
        <v>266666.66666666698</v>
      </c>
      <c r="P7" s="4">
        <f>IFERROR(VLOOKUP(A7,MASTER!A:V,22,0),0)</f>
        <v>157657.65765765801</v>
      </c>
      <c r="Q7" s="8">
        <f t="shared" ref="Q7:Q22" si="4">IFERROR(O7/P7-1,0)</f>
        <v>0.69142857142856951</v>
      </c>
      <c r="R7" s="4">
        <f>IFERROR(VLOOKUP(A7,MASTER!A:W,23,0),0)</f>
        <v>976</v>
      </c>
      <c r="S7" s="4">
        <f>IFERROR(VLOOKUP(A7,MASTER!A:X,24,0),0)</f>
        <v>1068</v>
      </c>
      <c r="T7" s="8">
        <f t="shared" ref="T7:T22" si="5">IFERROR(R7/S7-1,0)</f>
        <v>-8.6142322097378266E-2</v>
      </c>
      <c r="U7" s="11">
        <f>IFERROR(VLOOKUP(A7,MASTER!A:M,13,0),0)</f>
        <v>9</v>
      </c>
      <c r="V7" s="11">
        <f>IFERROR(VLOOKUP(A7,MASTER!A:N,14,0),0)</f>
        <v>5</v>
      </c>
      <c r="W7" s="8">
        <f t="shared" ref="W7:W22" si="6">IFERROR(U7/V7-1,0)</f>
        <v>0.8</v>
      </c>
      <c r="X7" s="11">
        <f>IFERROR(VLOOKUP(A7,MASTER!A:Q,17,0),0)</f>
        <v>6</v>
      </c>
      <c r="Y7" s="11">
        <f>IFERROR(VLOOKUP(A7,MASTER!A:R,18,0),0)</f>
        <v>0</v>
      </c>
      <c r="Z7" s="8">
        <f t="shared" ref="Z7:Z22" si="7">IFERROR(X7/Y7-1,0)</f>
        <v>0</v>
      </c>
    </row>
    <row r="8" spans="1:26" ht="64.5" customHeight="1">
      <c r="A8" s="9" t="s">
        <v>3</v>
      </c>
      <c r="B8" s="1" t="s">
        <v>16</v>
      </c>
      <c r="C8" s="4">
        <f>IFERROR(VLOOKUP(A:A,MASTER!A:C,3,0),0)</f>
        <v>252871469.67884552</v>
      </c>
      <c r="D8" s="4">
        <f>IFERROR(VLOOKUP(A:A,MASTER!A:D,4,0),0)</f>
        <v>247172842.46422726</v>
      </c>
      <c r="E8" s="8">
        <f t="shared" si="0"/>
        <v>2.3055231949452581E-2</v>
      </c>
      <c r="F8" s="4">
        <f>IFERROR(VLOOKUP(A8,MASTER!A:E,5,0),0)</f>
        <v>2685360.3603603621</v>
      </c>
      <c r="G8" s="4">
        <f>IFERROR(VLOOKUP(A8,MASTER!A:F,6,0),0)</f>
        <v>3317117.1171171209</v>
      </c>
      <c r="H8" s="8">
        <f t="shared" si="1"/>
        <v>-0.19045355784899554</v>
      </c>
      <c r="I8" s="4">
        <f>IFERROR(VLOOKUP(A8,MASTER!A:O,15,0),0)</f>
        <v>46987837.837837838</v>
      </c>
      <c r="J8" s="4">
        <f>IFERROR(VLOOKUP(A8,MASTER!A:P,16,0),0)</f>
        <v>54215315.315315314</v>
      </c>
      <c r="K8" s="8">
        <f t="shared" si="2"/>
        <v>-0.13331062330713372</v>
      </c>
      <c r="L8" s="4">
        <f>IFERROR(VLOOKUP(A8,MASTER!A:S,19,0),0)</f>
        <v>65262297.297297299</v>
      </c>
      <c r="M8" s="4">
        <f>IFERROR(VLOOKUP(A8,MASTER!A:T,20,0),0)</f>
        <v>69933135.135135129</v>
      </c>
      <c r="N8" s="8">
        <f t="shared" si="3"/>
        <v>-6.6790053510573322E-2</v>
      </c>
      <c r="O8" s="4">
        <f>IFERROR(VLOOKUP(A8,MASTER!A:U,21,0),0)</f>
        <v>46094414.414414413</v>
      </c>
      <c r="P8" s="4">
        <f>IFERROR(VLOOKUP(A8,MASTER!A:V,22,0),0)</f>
        <v>46678018.018018015</v>
      </c>
      <c r="Q8" s="8">
        <f t="shared" si="4"/>
        <v>-1.2502750296259912E-2</v>
      </c>
      <c r="R8" s="4">
        <f>IFERROR(VLOOKUP(A8,MASTER!A:W,23,0),0)</f>
        <v>3644</v>
      </c>
      <c r="S8" s="4">
        <f>IFERROR(VLOOKUP(A8,MASTER!A:X,24,0),0)</f>
        <v>3716</v>
      </c>
      <c r="T8" s="8">
        <f t="shared" si="5"/>
        <v>-1.9375672766415497E-2</v>
      </c>
      <c r="U8" s="11">
        <f>IFERROR(VLOOKUP(A8,MASTER!A:M,13,0),0)</f>
        <v>38</v>
      </c>
      <c r="V8" s="11">
        <f>IFERROR(VLOOKUP(A8,MASTER!A:N,14,0),0)</f>
        <v>43</v>
      </c>
      <c r="W8" s="8">
        <f t="shared" si="6"/>
        <v>-0.11627906976744184</v>
      </c>
      <c r="X8" s="11">
        <f>IFERROR(VLOOKUP(A8,MASTER!A:Q,17,0),0)</f>
        <v>102</v>
      </c>
      <c r="Y8" s="11">
        <f>IFERROR(VLOOKUP(A8,MASTER!A:R,18,0),0)</f>
        <v>67</v>
      </c>
      <c r="Z8" s="8">
        <f t="shared" si="7"/>
        <v>0.52238805970149249</v>
      </c>
    </row>
    <row r="9" spans="1:26" ht="64.5" customHeight="1">
      <c r="A9" s="9" t="s">
        <v>4</v>
      </c>
      <c r="B9" s="1" t="s">
        <v>16</v>
      </c>
      <c r="C9" s="4">
        <f>IFERROR(VLOOKUP(A:A,MASTER!A:C,3,0),0)</f>
        <v>150996056.9736509</v>
      </c>
      <c r="D9" s="4">
        <f>IFERROR(VLOOKUP(A:A,MASTER!A:D,4,0),0)</f>
        <v>148274616.58268934</v>
      </c>
      <c r="E9" s="8">
        <f t="shared" si="0"/>
        <v>1.8354054481360738E-2</v>
      </c>
      <c r="F9" s="4">
        <f>IFERROR(VLOOKUP(A9,MASTER!A:E,5,0),0)</f>
        <v>1214414.414414414</v>
      </c>
      <c r="G9" s="4">
        <f>IFERROR(VLOOKUP(A9,MASTER!A:F,6,0),0)</f>
        <v>1817117.117117119</v>
      </c>
      <c r="H9" s="8">
        <f t="shared" si="1"/>
        <v>-0.33168071393158249</v>
      </c>
      <c r="I9" s="4">
        <f>IFERROR(VLOOKUP(A9,MASTER!A:O,15,0),0)</f>
        <v>28040990.990990993</v>
      </c>
      <c r="J9" s="4">
        <f>IFERROR(VLOOKUP(A9,MASTER!A:P,16,0),0)</f>
        <v>26933333.333333336</v>
      </c>
      <c r="K9" s="8">
        <f t="shared" si="2"/>
        <v>4.1125903130853514E-2</v>
      </c>
      <c r="L9" s="4">
        <f>IFERROR(VLOOKUP(A9,MASTER!A:S,19,0),0)</f>
        <v>54581846.846846849</v>
      </c>
      <c r="M9" s="4">
        <f>IFERROR(VLOOKUP(A9,MASTER!A:T,20,0),0)</f>
        <v>52448954.954954952</v>
      </c>
      <c r="N9" s="8">
        <f t="shared" si="3"/>
        <v>4.0666051282121751E-2</v>
      </c>
      <c r="O9" s="4">
        <f>IFERROR(VLOOKUP(A9,MASTER!A:U,21,0),0)</f>
        <v>26430000</v>
      </c>
      <c r="P9" s="4">
        <f>IFERROR(VLOOKUP(A9,MASTER!A:V,22,0),0)</f>
        <v>32671801.801801801</v>
      </c>
      <c r="Q9" s="8">
        <f t="shared" si="4"/>
        <v>-0.19104553338278318</v>
      </c>
      <c r="R9" s="4">
        <f>IFERROR(VLOOKUP(A9,MASTER!A:W,23,0),0)</f>
        <v>3663</v>
      </c>
      <c r="S9" s="4">
        <f>IFERROR(VLOOKUP(A9,MASTER!A:X,24,0),0)</f>
        <v>3639</v>
      </c>
      <c r="T9" s="8">
        <f t="shared" si="5"/>
        <v>6.5952184666115965E-3</v>
      </c>
      <c r="U9" s="11">
        <f>IFERROR(VLOOKUP(A9,MASTER!A:M,13,0),0)</f>
        <v>14</v>
      </c>
      <c r="V9" s="11">
        <f>IFERROR(VLOOKUP(A9,MASTER!A:N,14,0),0)</f>
        <v>16</v>
      </c>
      <c r="W9" s="8">
        <f t="shared" si="6"/>
        <v>-0.125</v>
      </c>
      <c r="X9" s="11">
        <f>IFERROR(VLOOKUP(A9,MASTER!A:Q,17,0),0)</f>
        <v>95</v>
      </c>
      <c r="Y9" s="11">
        <f>IFERROR(VLOOKUP(A9,MASTER!A:R,18,0),0)</f>
        <v>49</v>
      </c>
      <c r="Z9" s="8">
        <f t="shared" si="7"/>
        <v>0.93877551020408156</v>
      </c>
    </row>
    <row r="10" spans="1:26" ht="64.5" customHeight="1">
      <c r="A10" s="9" t="s">
        <v>34</v>
      </c>
      <c r="B10" s="1" t="s">
        <v>17</v>
      </c>
      <c r="C10" s="4">
        <f>IFERROR(VLOOKUP(A:A,MASTER!A:C,3,0),0)</f>
        <v>0</v>
      </c>
      <c r="D10" s="4">
        <f>IFERROR(VLOOKUP(A:A,MASTER!A:D,4,0),0)</f>
        <v>0</v>
      </c>
      <c r="E10" s="8">
        <f t="shared" si="0"/>
        <v>0</v>
      </c>
      <c r="F10" s="4">
        <f>IFERROR(VLOOKUP(A10,MASTER!A:E,5,0),0)</f>
        <v>0</v>
      </c>
      <c r="G10" s="4">
        <f>IFERROR(VLOOKUP(A10,MASTER!A:F,6,0),0)</f>
        <v>0</v>
      </c>
      <c r="H10" s="8">
        <f t="shared" si="1"/>
        <v>0</v>
      </c>
      <c r="I10" s="4">
        <f>IFERROR(VLOOKUP(A10,MASTER!A:O,15,0),0)</f>
        <v>0</v>
      </c>
      <c r="J10" s="4">
        <f>IFERROR(VLOOKUP(A10,MASTER!A:P,16,0),0)</f>
        <v>0</v>
      </c>
      <c r="K10" s="8">
        <f t="shared" si="2"/>
        <v>0</v>
      </c>
      <c r="L10" s="4">
        <f>IFERROR(VLOOKUP(A10,MASTER!A:S,19,0),0)</f>
        <v>0</v>
      </c>
      <c r="M10" s="4">
        <f>IFERROR(VLOOKUP(A10,MASTER!A:T,20,0),0)</f>
        <v>0</v>
      </c>
      <c r="N10" s="8">
        <f t="shared" si="3"/>
        <v>0</v>
      </c>
      <c r="O10" s="4">
        <f>IFERROR(VLOOKUP(A10,MASTER!A:U,21,0),0)</f>
        <v>0</v>
      </c>
      <c r="P10" s="4">
        <f>IFERROR(VLOOKUP(A10,MASTER!A:V,22,0),0)</f>
        <v>0</v>
      </c>
      <c r="Q10" s="8">
        <f t="shared" si="4"/>
        <v>0</v>
      </c>
      <c r="R10" s="4">
        <f>IFERROR(VLOOKUP(A10,MASTER!A:W,23,0),0)</f>
        <v>0</v>
      </c>
      <c r="S10" s="4">
        <f>IFERROR(VLOOKUP(A10,MASTER!A:X,24,0),0)</f>
        <v>0</v>
      </c>
      <c r="T10" s="8">
        <f t="shared" si="5"/>
        <v>0</v>
      </c>
      <c r="U10" s="11">
        <f>IFERROR(VLOOKUP(A10,MASTER!A:M,13,0),0)</f>
        <v>0</v>
      </c>
      <c r="V10" s="11">
        <f>IFERROR(VLOOKUP(A10,MASTER!A:N,14,0),0)</f>
        <v>0</v>
      </c>
      <c r="W10" s="8">
        <f t="shared" si="6"/>
        <v>0</v>
      </c>
      <c r="X10" s="11">
        <f>IFERROR(VLOOKUP(A10,MASTER!A:Q,17,0),0)</f>
        <v>0</v>
      </c>
      <c r="Y10" s="11">
        <f>IFERROR(VLOOKUP(A10,MASTER!A:R,18,0),0)</f>
        <v>0</v>
      </c>
      <c r="Z10" s="8">
        <f t="shared" si="7"/>
        <v>0</v>
      </c>
    </row>
    <row r="11" spans="1:26" ht="64.5" customHeight="1">
      <c r="A11" s="9" t="s">
        <v>5</v>
      </c>
      <c r="B11" s="1" t="s">
        <v>16</v>
      </c>
      <c r="C11" s="4">
        <f>IFERROR(VLOOKUP(A:A,MASTER!A:C,3,0),0)</f>
        <v>152918487.49461046</v>
      </c>
      <c r="D11" s="4">
        <f>IFERROR(VLOOKUP(A:A,MASTER!A:D,4,0),0)</f>
        <v>155195644.62481979</v>
      </c>
      <c r="E11" s="8">
        <f t="shared" si="0"/>
        <v>-1.4672815952498364E-2</v>
      </c>
      <c r="F11" s="4">
        <f>IFERROR(VLOOKUP(A11,MASTER!A:E,5,0),0)</f>
        <v>5161711.7117117122</v>
      </c>
      <c r="G11" s="4">
        <f>IFERROR(VLOOKUP(A11,MASTER!A:F,6,0),0)</f>
        <v>92643243.243243247</v>
      </c>
      <c r="H11" s="8">
        <f t="shared" si="1"/>
        <v>-0.94428399167590482</v>
      </c>
      <c r="I11" s="4">
        <f>IFERROR(VLOOKUP(A11,MASTER!A:O,15,0),0)</f>
        <v>49310765.765765771</v>
      </c>
      <c r="J11" s="4">
        <f>IFERROR(VLOOKUP(A11,MASTER!A:P,16,0),0)</f>
        <v>31050450.45045045</v>
      </c>
      <c r="K11" s="8">
        <f t="shared" si="2"/>
        <v>0.58808535948470975</v>
      </c>
      <c r="L11" s="4">
        <f>IFERROR(VLOOKUP(A11,MASTER!A:S,19,0),0)</f>
        <v>66808243.24324324</v>
      </c>
      <c r="M11" s="4">
        <f>IFERROR(VLOOKUP(A11,MASTER!A:T,20,0),0)</f>
        <v>66253189.189189196</v>
      </c>
      <c r="N11" s="8">
        <f t="shared" si="3"/>
        <v>8.3777711057662074E-3</v>
      </c>
      <c r="O11" s="4">
        <f>IFERROR(VLOOKUP(A11,MASTER!A:U,21,0),0)</f>
        <v>11698828.828828828</v>
      </c>
      <c r="P11" s="4">
        <f>IFERROR(VLOOKUP(A11,MASTER!A:V,22,0),0)</f>
        <v>11592882.882882884</v>
      </c>
      <c r="Q11" s="8">
        <f t="shared" si="4"/>
        <v>9.1388783114834116E-3</v>
      </c>
      <c r="R11" s="4">
        <f>IFERROR(VLOOKUP(A11,MASTER!A:W,23,0),0)</f>
        <v>3084</v>
      </c>
      <c r="S11" s="4">
        <f>IFERROR(VLOOKUP(A11,MASTER!A:X,24,0),0)</f>
        <v>3014</v>
      </c>
      <c r="T11" s="8">
        <f t="shared" si="5"/>
        <v>2.3224950232249464E-2</v>
      </c>
      <c r="U11" s="11">
        <f>IFERROR(VLOOKUP(A11,MASTER!A:M,13,0),0)</f>
        <v>15</v>
      </c>
      <c r="V11" s="11">
        <f>IFERROR(VLOOKUP(A11,MASTER!A:N,14,0),0)</f>
        <v>23</v>
      </c>
      <c r="W11" s="8">
        <f t="shared" si="6"/>
        <v>-0.34782608695652173</v>
      </c>
      <c r="X11" s="11">
        <f>IFERROR(VLOOKUP(A11,MASTER!A:Q,17,0),0)</f>
        <v>86</v>
      </c>
      <c r="Y11" s="11">
        <f>IFERROR(VLOOKUP(A11,MASTER!A:R,18,0),0)</f>
        <v>27</v>
      </c>
      <c r="Z11" s="8">
        <f t="shared" si="7"/>
        <v>2.1851851851851851</v>
      </c>
    </row>
    <row r="12" spans="1:26" ht="64.5" customHeight="1">
      <c r="A12" s="9" t="s">
        <v>6</v>
      </c>
      <c r="B12" s="1" t="s">
        <v>17</v>
      </c>
      <c r="C12" s="4">
        <f>IFERROR(VLOOKUP(A:A,MASTER!A:C,3,0),0)</f>
        <v>583861193.41758513</v>
      </c>
      <c r="D12" s="4">
        <f>IFERROR(VLOOKUP(A:A,MASTER!A:D,4,0),0)</f>
        <v>565229301.24378276</v>
      </c>
      <c r="E12" s="8">
        <f t="shared" si="0"/>
        <v>3.2963422336391712E-2</v>
      </c>
      <c r="F12" s="4">
        <f>IFERROR(VLOOKUP(A12,MASTER!A:E,5,0),0)</f>
        <v>6510360.3603603533</v>
      </c>
      <c r="G12" s="4">
        <f>IFERROR(VLOOKUP(A12,MASTER!A:F,6,0),0)</f>
        <v>6307681.9819819899</v>
      </c>
      <c r="H12" s="8">
        <f t="shared" si="1"/>
        <v>3.213199063575467E-2</v>
      </c>
      <c r="I12" s="4">
        <f>IFERROR(VLOOKUP(A12,MASTER!A:O,15,0),0)</f>
        <v>223324774.77477479</v>
      </c>
      <c r="J12" s="4">
        <f>IFERROR(VLOOKUP(A12,MASTER!A:P,16,0),0)</f>
        <v>220271291.8918919</v>
      </c>
      <c r="K12" s="8">
        <f t="shared" si="2"/>
        <v>1.3862373333614064E-2</v>
      </c>
      <c r="L12" s="4">
        <f>IFERROR(VLOOKUP(A12,MASTER!A:S,19,0),0)</f>
        <v>388610630.63063067</v>
      </c>
      <c r="M12" s="4">
        <f>IFERROR(VLOOKUP(A12,MASTER!A:T,20,0),0)</f>
        <v>384471873.87387383</v>
      </c>
      <c r="N12" s="8">
        <f t="shared" si="3"/>
        <v>1.0764784209194467E-2</v>
      </c>
      <c r="O12" s="4">
        <f>IFERROR(VLOOKUP(A12,MASTER!A:U,21,0),0)</f>
        <v>197118828.82882884</v>
      </c>
      <c r="P12" s="4">
        <f>IFERROR(VLOOKUP(A12,MASTER!A:V,22,0),0)</f>
        <v>184526666.66666666</v>
      </c>
      <c r="Q12" s="8">
        <f t="shared" si="4"/>
        <v>6.8240338318737326E-2</v>
      </c>
      <c r="R12" s="4">
        <f>IFERROR(VLOOKUP(A12,MASTER!A:W,23,0),0)</f>
        <v>13497</v>
      </c>
      <c r="S12" s="4">
        <f>IFERROR(VLOOKUP(A12,MASTER!A:X,24,0),0)</f>
        <v>13275</v>
      </c>
      <c r="T12" s="8">
        <f t="shared" si="5"/>
        <v>1.6723163841807942E-2</v>
      </c>
      <c r="U12" s="11">
        <f>IFERROR(VLOOKUP(A12,MASTER!A:M,13,0),0)</f>
        <v>946</v>
      </c>
      <c r="V12" s="11">
        <f>IFERROR(VLOOKUP(A12,MASTER!A:N,14,0),0)</f>
        <v>777</v>
      </c>
      <c r="W12" s="8">
        <f t="shared" si="6"/>
        <v>0.21750321750321744</v>
      </c>
      <c r="X12" s="11">
        <f>IFERROR(VLOOKUP(A12,MASTER!A:Q,17,0),0)</f>
        <v>433</v>
      </c>
      <c r="Y12" s="11">
        <f>IFERROR(VLOOKUP(A12,MASTER!A:R,18,0),0)</f>
        <v>319</v>
      </c>
      <c r="Z12" s="8">
        <f t="shared" si="7"/>
        <v>0.3573667711598747</v>
      </c>
    </row>
    <row r="13" spans="1:26" ht="64.5" customHeight="1">
      <c r="A13" s="9" t="s">
        <v>7</v>
      </c>
      <c r="B13" s="1" t="s">
        <v>17</v>
      </c>
      <c r="C13" s="4">
        <f>IFERROR(VLOOKUP(A:A,MASTER!A:C,3,0),0)</f>
        <v>125793131.62733732</v>
      </c>
      <c r="D13" s="4">
        <f>IFERROR(VLOOKUP(A:A,MASTER!A:D,4,0),0)</f>
        <v>134944237.95170033</v>
      </c>
      <c r="E13" s="8">
        <f t="shared" si="0"/>
        <v>-6.7813983488782981E-2</v>
      </c>
      <c r="F13" s="4">
        <f>IFERROR(VLOOKUP(A13,MASTER!A:E,5,0),0)</f>
        <v>39189.189189188997</v>
      </c>
      <c r="G13" s="4">
        <f>IFERROR(VLOOKUP(A13,MASTER!A:F,6,0),0)</f>
        <v>277477.47747747903</v>
      </c>
      <c r="H13" s="8">
        <f t="shared" si="1"/>
        <v>-0.85876623376623529</v>
      </c>
      <c r="I13" s="4">
        <f>IFERROR(VLOOKUP(A13,MASTER!A:O,15,0),0)</f>
        <v>26419369.369369373</v>
      </c>
      <c r="J13" s="4">
        <f>IFERROR(VLOOKUP(A13,MASTER!A:P,16,0),0)</f>
        <v>24680630.630630631</v>
      </c>
      <c r="K13" s="8">
        <f t="shared" si="2"/>
        <v>7.0449526382070138E-2</v>
      </c>
      <c r="L13" s="4">
        <f>IFERROR(VLOOKUP(A13,MASTER!A:S,19,0),0)</f>
        <v>86202729.729729727</v>
      </c>
      <c r="M13" s="4">
        <f>IFERROR(VLOOKUP(A13,MASTER!A:T,20,0),0)</f>
        <v>94500639.639639631</v>
      </c>
      <c r="N13" s="8">
        <f t="shared" si="3"/>
        <v>-8.7807976131721643E-2</v>
      </c>
      <c r="O13" s="4">
        <f>IFERROR(VLOOKUP(A13,MASTER!A:U,21,0),0)</f>
        <v>27660990.990990993</v>
      </c>
      <c r="P13" s="4">
        <f>IFERROR(VLOOKUP(A13,MASTER!A:V,22,0),0)</f>
        <v>26770630.630630631</v>
      </c>
      <c r="Q13" s="8">
        <f t="shared" si="4"/>
        <v>3.32588489470107E-2</v>
      </c>
      <c r="R13" s="4">
        <f>IFERROR(VLOOKUP(A13,MASTER!A:W,23,0),0)</f>
        <v>4822</v>
      </c>
      <c r="S13" s="4">
        <f>IFERROR(VLOOKUP(A13,MASTER!A:X,24,0),0)</f>
        <v>5322</v>
      </c>
      <c r="T13" s="8">
        <f t="shared" si="5"/>
        <v>-9.3949642991356663E-2</v>
      </c>
      <c r="U13" s="11">
        <f>IFERROR(VLOOKUP(A13,MASTER!A:M,13,0),0)</f>
        <v>35</v>
      </c>
      <c r="V13" s="11">
        <f>IFERROR(VLOOKUP(A13,MASTER!A:N,14,0),0)</f>
        <v>50</v>
      </c>
      <c r="W13" s="8">
        <f t="shared" si="6"/>
        <v>-0.30000000000000004</v>
      </c>
      <c r="X13" s="11">
        <f>IFERROR(VLOOKUP(A13,MASTER!A:Q,17,0),0)</f>
        <v>132</v>
      </c>
      <c r="Y13" s="11">
        <f>IFERROR(VLOOKUP(A13,MASTER!A:R,18,0),0)</f>
        <v>154</v>
      </c>
      <c r="Z13" s="8">
        <f t="shared" si="7"/>
        <v>-0.1428571428571429</v>
      </c>
    </row>
    <row r="14" spans="1:26" ht="64.5" customHeight="1">
      <c r="A14" s="9" t="s">
        <v>8</v>
      </c>
      <c r="B14" s="1" t="s">
        <v>16</v>
      </c>
      <c r="C14" s="4">
        <f>IFERROR(VLOOKUP(A:A,MASTER!A:C,3,0),0)</f>
        <v>189033145.38525209</v>
      </c>
      <c r="D14" s="4">
        <f>IFERROR(VLOOKUP(A:A,MASTER!A:D,4,0),0)</f>
        <v>185775247.5207929</v>
      </c>
      <c r="E14" s="8">
        <f t="shared" si="0"/>
        <v>1.7536770414446901E-2</v>
      </c>
      <c r="F14" s="4">
        <f>IFERROR(VLOOKUP(A14,MASTER!A:E,5,0),0)</f>
        <v>689063954.05405402</v>
      </c>
      <c r="G14" s="4">
        <f>IFERROR(VLOOKUP(A14,MASTER!A:F,6,0),0)</f>
        <v>631444881.08108103</v>
      </c>
      <c r="H14" s="8">
        <f t="shared" si="1"/>
        <v>9.1249568567766115E-2</v>
      </c>
      <c r="I14" s="4">
        <f>IFERROR(VLOOKUP(A14,MASTER!A:O,15,0),0)</f>
        <v>67052166.666666664</v>
      </c>
      <c r="J14" s="4">
        <f>IFERROR(VLOOKUP(A14,MASTER!A:P,16,0),0)</f>
        <v>67437837.837837845</v>
      </c>
      <c r="K14" s="8">
        <f t="shared" si="2"/>
        <v>-5.7189136475367386E-3</v>
      </c>
      <c r="L14" s="4">
        <f>IFERROR(VLOOKUP(A14,MASTER!A:S,19,0),0)</f>
        <v>55044054.054054059</v>
      </c>
      <c r="M14" s="4">
        <f>IFERROR(VLOOKUP(A14,MASTER!A:T,20,0),0)</f>
        <v>54280513.513513513</v>
      </c>
      <c r="N14" s="8">
        <f t="shared" si="3"/>
        <v>1.4066568112891087E-2</v>
      </c>
      <c r="O14" s="4">
        <f>IFERROR(VLOOKUP(A14,MASTER!A:U,21,0),0)</f>
        <v>24929549.54954955</v>
      </c>
      <c r="P14" s="4">
        <f>IFERROR(VLOOKUP(A14,MASTER!A:V,22,0),0)</f>
        <v>21697567.567567568</v>
      </c>
      <c r="Q14" s="8">
        <f t="shared" si="4"/>
        <v>0.14895595886116686</v>
      </c>
      <c r="R14" s="4">
        <f>IFERROR(VLOOKUP(A14,MASTER!A:W,23,0),0)</f>
        <v>3628</v>
      </c>
      <c r="S14" s="4">
        <f>IFERROR(VLOOKUP(A14,MASTER!A:X,24,0),0)</f>
        <v>3838</v>
      </c>
      <c r="T14" s="8">
        <f t="shared" si="5"/>
        <v>-5.4715997915581016E-2</v>
      </c>
      <c r="U14" s="11">
        <f>IFERROR(VLOOKUP(A14,MASTER!A:M,13,0),0)</f>
        <v>20</v>
      </c>
      <c r="V14" s="11">
        <f>IFERROR(VLOOKUP(A14,MASTER!A:N,14,0),0)</f>
        <v>12</v>
      </c>
      <c r="W14" s="8">
        <f t="shared" si="6"/>
        <v>0.66666666666666674</v>
      </c>
      <c r="X14" s="11">
        <f>IFERROR(VLOOKUP(A14,MASTER!A:Q,17,0),0)</f>
        <v>96</v>
      </c>
      <c r="Y14" s="11">
        <f>IFERROR(VLOOKUP(A14,MASTER!A:R,18,0),0)</f>
        <v>51</v>
      </c>
      <c r="Z14" s="8">
        <f t="shared" si="7"/>
        <v>0.88235294117647056</v>
      </c>
    </row>
    <row r="15" spans="1:26" ht="64.5" customHeight="1">
      <c r="A15" s="9" t="s">
        <v>9</v>
      </c>
      <c r="B15" s="1" t="s">
        <v>16</v>
      </c>
      <c r="C15" s="4">
        <f>IFERROR(VLOOKUP(A:A,MASTER!A:C,3,0),0)</f>
        <v>382220972.73992723</v>
      </c>
      <c r="D15" s="4">
        <f>IFERROR(VLOOKUP(A:A,MASTER!A:D,4,0),0)</f>
        <v>362848182.77135968</v>
      </c>
      <c r="E15" s="8">
        <f t="shared" si="0"/>
        <v>5.339089704295108E-2</v>
      </c>
      <c r="F15" s="4">
        <f>IFERROR(VLOOKUP(A15,MASTER!A:E,5,0),0)</f>
        <v>7249236.9369369419</v>
      </c>
      <c r="G15" s="4">
        <f>IFERROR(VLOOKUP(A15,MASTER!A:F,6,0),0)</f>
        <v>10101445.045045052</v>
      </c>
      <c r="H15" s="8">
        <f t="shared" si="1"/>
        <v>-0.28235644458682385</v>
      </c>
      <c r="I15" s="4">
        <f>IFERROR(VLOOKUP(A15,MASTER!A:O,15,0),0)</f>
        <v>596720239.63963974</v>
      </c>
      <c r="J15" s="4">
        <f>IFERROR(VLOOKUP(A15,MASTER!A:P,16,0),0)</f>
        <v>491780491.8918919</v>
      </c>
      <c r="K15" s="8">
        <f t="shared" si="2"/>
        <v>0.21338737399696761</v>
      </c>
      <c r="L15" s="4">
        <f>IFERROR(VLOOKUP(A15,MASTER!A:S,19,0),0)</f>
        <v>137280036.03603604</v>
      </c>
      <c r="M15" s="4">
        <f>IFERROR(VLOOKUP(A15,MASTER!A:T,20,0),0)</f>
        <v>131256405.4054054</v>
      </c>
      <c r="N15" s="8">
        <f t="shared" si="3"/>
        <v>4.5892088938636943E-2</v>
      </c>
      <c r="O15" s="4">
        <f>IFERROR(VLOOKUP(A15,MASTER!A:U,21,0),0)</f>
        <v>495649819.81981987</v>
      </c>
      <c r="P15" s="4">
        <f>IFERROR(VLOOKUP(A15,MASTER!A:V,22,0),0)</f>
        <v>408636846.84684682</v>
      </c>
      <c r="Q15" s="8">
        <f t="shared" si="4"/>
        <v>0.21293472099833588</v>
      </c>
      <c r="R15" s="4">
        <f>IFERROR(VLOOKUP(A15,MASTER!A:W,23,0),0)</f>
        <v>7326</v>
      </c>
      <c r="S15" s="4">
        <f>IFERROR(VLOOKUP(A15,MASTER!A:X,24,0),0)</f>
        <v>7167</v>
      </c>
      <c r="T15" s="8">
        <f t="shared" si="5"/>
        <v>2.2185014650481394E-2</v>
      </c>
      <c r="U15" s="11">
        <f>IFERROR(VLOOKUP(A15,MASTER!A:M,13,0),0)</f>
        <v>81</v>
      </c>
      <c r="V15" s="11">
        <f>IFERROR(VLOOKUP(A15,MASTER!A:N,14,0),0)</f>
        <v>63</v>
      </c>
      <c r="W15" s="8">
        <f t="shared" si="6"/>
        <v>0.28571428571428581</v>
      </c>
      <c r="X15" s="11">
        <f>IFERROR(VLOOKUP(A15,MASTER!A:Q,17,0),0)</f>
        <v>230</v>
      </c>
      <c r="Y15" s="11">
        <f>IFERROR(VLOOKUP(A15,MASTER!A:R,18,0),0)</f>
        <v>140</v>
      </c>
      <c r="Z15" s="8">
        <f t="shared" si="7"/>
        <v>0.64285714285714279</v>
      </c>
    </row>
    <row r="16" spans="1:26" ht="64.5" customHeight="1">
      <c r="A16" s="9" t="s">
        <v>35</v>
      </c>
      <c r="B16" s="1" t="s">
        <v>16</v>
      </c>
      <c r="C16" s="4">
        <f>IFERROR(VLOOKUP(A:A,MASTER!A:C,3,0),0)</f>
        <v>0</v>
      </c>
      <c r="D16" s="4">
        <f>IFERROR(VLOOKUP(A:A,MASTER!A:D,4,0),0)</f>
        <v>0</v>
      </c>
      <c r="E16" s="8">
        <f t="shared" si="0"/>
        <v>0</v>
      </c>
      <c r="F16" s="4">
        <f>IFERROR(VLOOKUP(A16,MASTER!A:E,5,0),0)</f>
        <v>0</v>
      </c>
      <c r="G16" s="4">
        <f>IFERROR(VLOOKUP(A16,MASTER!A:F,6,0),0)</f>
        <v>0</v>
      </c>
      <c r="H16" s="8">
        <f t="shared" si="1"/>
        <v>0</v>
      </c>
      <c r="I16" s="4">
        <f>IFERROR(VLOOKUP(A16,MASTER!A:O,15,0),0)</f>
        <v>0</v>
      </c>
      <c r="J16" s="4">
        <f>IFERROR(VLOOKUP(A16,MASTER!A:P,16,0),0)</f>
        <v>0</v>
      </c>
      <c r="K16" s="8">
        <f t="shared" si="2"/>
        <v>0</v>
      </c>
      <c r="L16" s="4">
        <f>IFERROR(VLOOKUP(A16,MASTER!A:S,19,0),0)</f>
        <v>0</v>
      </c>
      <c r="M16" s="4">
        <f>IFERROR(VLOOKUP(A16,MASTER!A:T,20,0),0)</f>
        <v>0</v>
      </c>
      <c r="N16" s="8">
        <f t="shared" si="3"/>
        <v>0</v>
      </c>
      <c r="O16" s="4">
        <f>IFERROR(VLOOKUP(A16,MASTER!A:U,21,0),0)</f>
        <v>0</v>
      </c>
      <c r="P16" s="4">
        <f>IFERROR(VLOOKUP(A16,MASTER!A:V,22,0),0)</f>
        <v>0</v>
      </c>
      <c r="Q16" s="8">
        <f t="shared" si="4"/>
        <v>0</v>
      </c>
      <c r="R16" s="4">
        <f>IFERROR(VLOOKUP(A16,MASTER!A:W,23,0),0)</f>
        <v>0</v>
      </c>
      <c r="S16" s="4">
        <f>IFERROR(VLOOKUP(A16,MASTER!A:X,24,0),0)</f>
        <v>0</v>
      </c>
      <c r="T16" s="8">
        <f t="shared" si="5"/>
        <v>0</v>
      </c>
      <c r="U16" s="11">
        <f>IFERROR(VLOOKUP(A16,MASTER!A:M,13,0),0)</f>
        <v>0</v>
      </c>
      <c r="V16" s="11">
        <f>IFERROR(VLOOKUP(A16,MASTER!A:N,14,0),0)</f>
        <v>0</v>
      </c>
      <c r="W16" s="8">
        <f t="shared" si="6"/>
        <v>0</v>
      </c>
      <c r="X16" s="11">
        <f>IFERROR(VLOOKUP(A16,MASTER!A:Q,17,0),0)</f>
        <v>0</v>
      </c>
      <c r="Y16" s="11">
        <f>IFERROR(VLOOKUP(A16,MASTER!A:R,18,0),0)</f>
        <v>0</v>
      </c>
      <c r="Z16" s="8">
        <f t="shared" si="7"/>
        <v>0</v>
      </c>
    </row>
    <row r="17" spans="1:26" ht="64.5" customHeight="1">
      <c r="A17" s="9" t="s">
        <v>10</v>
      </c>
      <c r="B17" s="1" t="s">
        <v>17</v>
      </c>
      <c r="C17" s="4">
        <f>IFERROR(VLOOKUP(A:A,MASTER!A:C,3,0),0)</f>
        <v>160763937.29102331</v>
      </c>
      <c r="D17" s="4">
        <f>IFERROR(VLOOKUP(A:A,MASTER!A:D,4,0),0)</f>
        <v>152322700.52740496</v>
      </c>
      <c r="E17" s="8">
        <f t="shared" si="0"/>
        <v>5.5416800873351546E-2</v>
      </c>
      <c r="F17" s="4">
        <f>IFERROR(VLOOKUP(A17,MASTER!A:E,5,0),0)</f>
        <v>0</v>
      </c>
      <c r="G17" s="4">
        <f>IFERROR(VLOOKUP(A17,MASTER!A:F,6,0),0)</f>
        <v>0</v>
      </c>
      <c r="H17" s="8">
        <f t="shared" si="1"/>
        <v>0</v>
      </c>
      <c r="I17" s="4">
        <f>IFERROR(VLOOKUP(A17,MASTER!A:O,15,0),0)</f>
        <v>0</v>
      </c>
      <c r="J17" s="4">
        <f>IFERROR(VLOOKUP(A17,MASTER!A:P,16,0),0)</f>
        <v>0</v>
      </c>
      <c r="K17" s="8">
        <f t="shared" si="2"/>
        <v>0</v>
      </c>
      <c r="L17" s="4">
        <f>IFERROR(VLOOKUP(A17,MASTER!A:S,19,0),0)</f>
        <v>93047927.927927941</v>
      </c>
      <c r="M17" s="4">
        <f>IFERROR(VLOOKUP(A17,MASTER!A:T,20,0),0)</f>
        <v>91313214.414414421</v>
      </c>
      <c r="N17" s="8">
        <f t="shared" si="3"/>
        <v>1.899739840107606E-2</v>
      </c>
      <c r="O17" s="4">
        <f>IFERROR(VLOOKUP(A17,MASTER!A:U,21,0),0)</f>
        <v>0</v>
      </c>
      <c r="P17" s="4">
        <f>IFERROR(VLOOKUP(A17,MASTER!A:V,22,0),0)</f>
        <v>19639.639639640001</v>
      </c>
      <c r="Q17" s="8">
        <f t="shared" si="4"/>
        <v>-1</v>
      </c>
      <c r="R17" s="4">
        <f>IFERROR(VLOOKUP(A17,MASTER!A:W,23,0),0)</f>
        <v>3981</v>
      </c>
      <c r="S17" s="4">
        <f>IFERROR(VLOOKUP(A17,MASTER!A:X,24,0),0)</f>
        <v>3581</v>
      </c>
      <c r="T17" s="8">
        <f t="shared" si="5"/>
        <v>0.11170064227869303</v>
      </c>
      <c r="U17" s="11">
        <f>IFERROR(VLOOKUP(A17,MASTER!A:M,13,0),0)</f>
        <v>10</v>
      </c>
      <c r="V17" s="11">
        <f>IFERROR(VLOOKUP(A17,MASTER!A:N,14,0),0)</f>
        <v>24</v>
      </c>
      <c r="W17" s="8">
        <f t="shared" si="6"/>
        <v>-0.58333333333333326</v>
      </c>
      <c r="X17" s="11">
        <f>IFERROR(VLOOKUP(A17,MASTER!A:Q,17,0),0)</f>
        <v>0</v>
      </c>
      <c r="Y17" s="11">
        <f>IFERROR(VLOOKUP(A17,MASTER!A:R,18,0),0)</f>
        <v>0</v>
      </c>
      <c r="Z17" s="8">
        <f t="shared" si="7"/>
        <v>0</v>
      </c>
    </row>
    <row r="18" spans="1:26" ht="64.5" customHeight="1">
      <c r="A18" s="9" t="s">
        <v>11</v>
      </c>
      <c r="B18" s="1" t="s">
        <v>17</v>
      </c>
      <c r="C18" s="4">
        <f>IFERROR(VLOOKUP(A:A,MASTER!A:C,3,0),0)</f>
        <v>127108731.80445942</v>
      </c>
      <c r="D18" s="4">
        <f>IFERROR(VLOOKUP(A:A,MASTER!A:D,4,0),0)</f>
        <v>131679421.80175248</v>
      </c>
      <c r="E18" s="8">
        <f t="shared" si="0"/>
        <v>-3.4710738661765772E-2</v>
      </c>
      <c r="F18" s="4">
        <f>IFERROR(VLOOKUP(A18,MASTER!A:E,5,0),0)</f>
        <v>343243.24324324197</v>
      </c>
      <c r="G18" s="4">
        <f>IFERROR(VLOOKUP(A18,MASTER!A:F,6,0),0)</f>
        <v>130630.63063063299</v>
      </c>
      <c r="H18" s="8">
        <f t="shared" si="1"/>
        <v>1.6275862068964946</v>
      </c>
      <c r="I18" s="4">
        <f>IFERROR(VLOOKUP(A18,MASTER!A:O,15,0),0)</f>
        <v>3775675.6756756748</v>
      </c>
      <c r="J18" s="4">
        <f>IFERROR(VLOOKUP(A18,MASTER!A:P,16,0),0)</f>
        <v>2563063.0630630651</v>
      </c>
      <c r="K18" s="8">
        <f t="shared" si="2"/>
        <v>0.47311072056238856</v>
      </c>
      <c r="L18" s="4">
        <f>IFERROR(VLOOKUP(A18,MASTER!A:S,19,0),0)</f>
        <v>42062162.162162162</v>
      </c>
      <c r="M18" s="4">
        <f>IFERROR(VLOOKUP(A18,MASTER!A:T,20,0),0)</f>
        <v>44513695.945945941</v>
      </c>
      <c r="N18" s="8">
        <f t="shared" si="3"/>
        <v>-5.5073696571067421E-2</v>
      </c>
      <c r="O18" s="4">
        <f>IFERROR(VLOOKUP(A18,MASTER!A:U,21,0),0)</f>
        <v>4228288.288288286</v>
      </c>
      <c r="P18" s="4">
        <f>IFERROR(VLOOKUP(A18,MASTER!A:V,22,0),0)</f>
        <v>3080360.3603603612</v>
      </c>
      <c r="Q18" s="8">
        <f t="shared" si="4"/>
        <v>0.37266027140851543</v>
      </c>
      <c r="R18" s="4">
        <f>IFERROR(VLOOKUP(A18,MASTER!A:W,23,0),0)</f>
        <v>3772</v>
      </c>
      <c r="S18" s="4">
        <f>IFERROR(VLOOKUP(A18,MASTER!A:X,24,0),0)</f>
        <v>3936</v>
      </c>
      <c r="T18" s="8">
        <f t="shared" si="5"/>
        <v>-4.166666666666663E-2</v>
      </c>
      <c r="U18" s="11">
        <f>IFERROR(VLOOKUP(A18,MASTER!A:M,13,0),0)</f>
        <v>49</v>
      </c>
      <c r="V18" s="11">
        <f>IFERROR(VLOOKUP(A18,MASTER!A:N,14,0),0)</f>
        <v>37</v>
      </c>
      <c r="W18" s="8">
        <f t="shared" si="6"/>
        <v>0.32432432432432434</v>
      </c>
      <c r="X18" s="11">
        <f>IFERROR(VLOOKUP(A18,MASTER!A:Q,17,0),0)</f>
        <v>44</v>
      </c>
      <c r="Y18" s="11">
        <f>IFERROR(VLOOKUP(A18,MASTER!A:R,18,0),0)</f>
        <v>0</v>
      </c>
      <c r="Z18" s="8">
        <f t="shared" si="7"/>
        <v>0</v>
      </c>
    </row>
    <row r="19" spans="1:26" ht="64.5" customHeight="1">
      <c r="A19" s="9" t="s">
        <v>12</v>
      </c>
      <c r="B19" s="1" t="s">
        <v>17</v>
      </c>
      <c r="C19" s="4">
        <f>IFERROR(VLOOKUP(A:A,MASTER!A:C,3,0),0)</f>
        <v>88513945.157499924</v>
      </c>
      <c r="D19" s="4">
        <f>IFERROR(VLOOKUP(A:A,MASTER!A:D,4,0),0)</f>
        <v>85230493.916429445</v>
      </c>
      <c r="E19" s="8">
        <f t="shared" si="0"/>
        <v>3.8524371855570561E-2</v>
      </c>
      <c r="F19" s="4">
        <f>IFERROR(VLOOKUP(A19,MASTER!A:E,5,0),0)</f>
        <v>55515540.540540539</v>
      </c>
      <c r="G19" s="4">
        <f>IFERROR(VLOOKUP(A19,MASTER!A:F,6,0),0)</f>
        <v>26366666.666666668</v>
      </c>
      <c r="H19" s="8">
        <f t="shared" si="1"/>
        <v>1.1055198687942047</v>
      </c>
      <c r="I19" s="4">
        <f>IFERROR(VLOOKUP(A19,MASTER!A:O,15,0),0)</f>
        <v>11649999.999999998</v>
      </c>
      <c r="J19" s="4">
        <f>IFERROR(VLOOKUP(A19,MASTER!A:P,16,0),0)</f>
        <v>7941666.666666667</v>
      </c>
      <c r="K19" s="8">
        <f t="shared" si="2"/>
        <v>0.46694648478488943</v>
      </c>
      <c r="L19" s="4">
        <f>IFERROR(VLOOKUP(A19,MASTER!A:S,19,0),0)</f>
        <v>34683189.189189188</v>
      </c>
      <c r="M19" s="4">
        <f>IFERROR(VLOOKUP(A19,MASTER!A:T,20,0),0)</f>
        <v>33800288.288288288</v>
      </c>
      <c r="N19" s="8">
        <f t="shared" si="3"/>
        <v>2.612110563586012E-2</v>
      </c>
      <c r="O19" s="4">
        <f>IFERROR(VLOOKUP(A19,MASTER!A:U,21,0),0)</f>
        <v>5117567.5675675645</v>
      </c>
      <c r="P19" s="4">
        <f>IFERROR(VLOOKUP(A19,MASTER!A:V,22,0),0)</f>
        <v>9041171.1711711716</v>
      </c>
      <c r="Q19" s="8">
        <f t="shared" si="4"/>
        <v>-0.43397072451348717</v>
      </c>
      <c r="R19" s="4">
        <f>IFERROR(VLOOKUP(A19,MASTER!A:W,23,0),0)</f>
        <v>2857</v>
      </c>
      <c r="S19" s="4">
        <f>IFERROR(VLOOKUP(A19,MASTER!A:X,24,0),0)</f>
        <v>2974</v>
      </c>
      <c r="T19" s="8">
        <f t="shared" si="5"/>
        <v>-3.9340954942837958E-2</v>
      </c>
      <c r="U19" s="11">
        <f>IFERROR(VLOOKUP(A19,MASTER!A:M,13,0),0)</f>
        <v>30</v>
      </c>
      <c r="V19" s="11">
        <f>IFERROR(VLOOKUP(A19,MASTER!A:N,14,0),0)</f>
        <v>14</v>
      </c>
      <c r="W19" s="8">
        <f t="shared" si="6"/>
        <v>1.1428571428571428</v>
      </c>
      <c r="X19" s="11">
        <f>IFERROR(VLOOKUP(A19,MASTER!A:Q,17,0),0)</f>
        <v>70</v>
      </c>
      <c r="Y19" s="11">
        <f>IFERROR(VLOOKUP(A19,MASTER!A:R,18,0),0)</f>
        <v>0</v>
      </c>
      <c r="Z19" s="8">
        <f t="shared" si="7"/>
        <v>0</v>
      </c>
    </row>
    <row r="20" spans="1:26" ht="64.5" customHeight="1">
      <c r="A20" s="9" t="s">
        <v>36</v>
      </c>
      <c r="B20" s="1" t="s">
        <v>16</v>
      </c>
      <c r="C20" s="4">
        <f>IFERROR(VLOOKUP(A:A,MASTER!A:C,3,0),0)</f>
        <v>0</v>
      </c>
      <c r="D20" s="4">
        <f>IFERROR(VLOOKUP(A:A,MASTER!A:D,4,0),0)</f>
        <v>0</v>
      </c>
      <c r="E20" s="8">
        <f t="shared" si="0"/>
        <v>0</v>
      </c>
      <c r="F20" s="4">
        <f>IFERROR(VLOOKUP(A20,MASTER!A:E,5,0),0)</f>
        <v>0</v>
      </c>
      <c r="G20" s="4">
        <f>IFERROR(VLOOKUP(A20,MASTER!A:F,6,0),0)</f>
        <v>0</v>
      </c>
      <c r="H20" s="8">
        <f t="shared" si="1"/>
        <v>0</v>
      </c>
      <c r="I20" s="4">
        <f>IFERROR(VLOOKUP(A20,MASTER!A:O,15,0),0)</f>
        <v>0</v>
      </c>
      <c r="J20" s="4">
        <f>IFERROR(VLOOKUP(A20,MASTER!A:P,16,0),0)</f>
        <v>0</v>
      </c>
      <c r="K20" s="8">
        <f t="shared" si="2"/>
        <v>0</v>
      </c>
      <c r="L20" s="4">
        <f>IFERROR(VLOOKUP(A20,MASTER!A:S,19,0),0)</f>
        <v>0</v>
      </c>
      <c r="M20" s="4">
        <f>IFERROR(VLOOKUP(A20,MASTER!A:T,20,0),0)</f>
        <v>0</v>
      </c>
      <c r="N20" s="8">
        <f t="shared" si="3"/>
        <v>0</v>
      </c>
      <c r="O20" s="4">
        <f>IFERROR(VLOOKUP(A20,MASTER!A:U,21,0),0)</f>
        <v>0</v>
      </c>
      <c r="P20" s="4">
        <f>IFERROR(VLOOKUP(A20,MASTER!A:V,22,0),0)</f>
        <v>0</v>
      </c>
      <c r="Q20" s="8">
        <f t="shared" si="4"/>
        <v>0</v>
      </c>
      <c r="R20" s="4">
        <f>IFERROR(VLOOKUP(A20,MASTER!A:W,23,0),0)</f>
        <v>0</v>
      </c>
      <c r="S20" s="4">
        <f>IFERROR(VLOOKUP(A20,MASTER!A:X,24,0),0)</f>
        <v>0</v>
      </c>
      <c r="T20" s="8">
        <f t="shared" si="5"/>
        <v>0</v>
      </c>
      <c r="U20" s="11">
        <f>IFERROR(VLOOKUP(A20,MASTER!A:M,13,0),0)</f>
        <v>0</v>
      </c>
      <c r="V20" s="11">
        <f>IFERROR(VLOOKUP(A20,MASTER!A:N,14,0),0)</f>
        <v>0</v>
      </c>
      <c r="W20" s="8">
        <f t="shared" si="6"/>
        <v>0</v>
      </c>
      <c r="X20" s="11">
        <f>IFERROR(VLOOKUP(A20,MASTER!A:Q,17,0),0)</f>
        <v>0</v>
      </c>
      <c r="Y20" s="11">
        <f>IFERROR(VLOOKUP(A20,MASTER!A:R,18,0),0)</f>
        <v>0</v>
      </c>
      <c r="Z20" s="8">
        <f t="shared" si="7"/>
        <v>0</v>
      </c>
    </row>
    <row r="21" spans="1:26" ht="64.5" customHeight="1">
      <c r="A21" s="9" t="s">
        <v>13</v>
      </c>
      <c r="B21" s="1" t="s">
        <v>16</v>
      </c>
      <c r="C21" s="4">
        <f>IFERROR(VLOOKUP(A:A,MASTER!A:C,3,0),0)</f>
        <v>323736511.81321824</v>
      </c>
      <c r="D21" s="4">
        <f>IFERROR(VLOOKUP(A:A,MASTER!A:D,4,0),0)</f>
        <v>302259120.12899786</v>
      </c>
      <c r="E21" s="8">
        <f t="shared" si="0"/>
        <v>7.1056223795842088E-2</v>
      </c>
      <c r="F21" s="4">
        <f>IFERROR(VLOOKUP(A21,MASTER!A:E,5,0),0)</f>
        <v>993693.69369369897</v>
      </c>
      <c r="G21" s="4">
        <f>IFERROR(VLOOKUP(A21,MASTER!A:F,6,0),0)</f>
        <v>2815315.315315322</v>
      </c>
      <c r="H21" s="8">
        <f t="shared" si="1"/>
        <v>-0.64703999999999895</v>
      </c>
      <c r="I21" s="4">
        <f>IFERROR(VLOOKUP(A21,MASTER!A:O,15,0),0)</f>
        <v>50666666.666666664</v>
      </c>
      <c r="J21" s="4">
        <f>IFERROR(VLOOKUP(A21,MASTER!A:P,16,0),0)</f>
        <v>61073693.693693697</v>
      </c>
      <c r="K21" s="8">
        <f t="shared" si="2"/>
        <v>-0.17040113996088035</v>
      </c>
      <c r="L21" s="4">
        <f>IFERROR(VLOOKUP(A21,MASTER!A:S,19,0),0)</f>
        <v>187075770.27027026</v>
      </c>
      <c r="M21" s="4">
        <f>IFERROR(VLOOKUP(A21,MASTER!A:T,20,0),0)</f>
        <v>175518261.26126125</v>
      </c>
      <c r="N21" s="8">
        <f t="shared" si="3"/>
        <v>6.5847900531589065E-2</v>
      </c>
      <c r="O21" s="4">
        <f>IFERROR(VLOOKUP(A21,MASTER!A:U,21,0),0)</f>
        <v>59139459.459459461</v>
      </c>
      <c r="P21" s="4">
        <f>IFERROR(VLOOKUP(A21,MASTER!A:V,22,0),0)</f>
        <v>60958241.441441439</v>
      </c>
      <c r="Q21" s="8">
        <f t="shared" si="4"/>
        <v>-2.9836523150510552E-2</v>
      </c>
      <c r="R21" s="4">
        <f>IFERROR(VLOOKUP(A21,MASTER!A:W,23,0),0)</f>
        <v>7397</v>
      </c>
      <c r="S21" s="4">
        <f>IFERROR(VLOOKUP(A21,MASTER!A:X,24,0),0)</f>
        <v>7134</v>
      </c>
      <c r="T21" s="8">
        <f t="shared" si="5"/>
        <v>3.6865713484721008E-2</v>
      </c>
      <c r="U21" s="11">
        <f>IFERROR(VLOOKUP(A21,MASTER!A:M,13,0),0)</f>
        <v>350</v>
      </c>
      <c r="V21" s="11">
        <f>IFERROR(VLOOKUP(A21,MASTER!A:N,14,0),0)</f>
        <v>246</v>
      </c>
      <c r="W21" s="8">
        <f t="shared" si="6"/>
        <v>0.4227642276422765</v>
      </c>
      <c r="X21" s="11">
        <f>IFERROR(VLOOKUP(A21,MASTER!A:Q,17,0),0)</f>
        <v>269</v>
      </c>
      <c r="Y21" s="11">
        <f>IFERROR(VLOOKUP(A21,MASTER!A:R,18,0),0)</f>
        <v>226</v>
      </c>
      <c r="Z21" s="8">
        <f t="shared" si="7"/>
        <v>0.19026548672566368</v>
      </c>
    </row>
    <row r="22" spans="1:26" ht="64.5" customHeight="1">
      <c r="A22" s="9" t="s">
        <v>14</v>
      </c>
      <c r="B22" s="1" t="s">
        <v>16</v>
      </c>
      <c r="C22" s="4">
        <f>IFERROR(VLOOKUP(A:A,MASTER!A:C,3,0),0)</f>
        <v>166627158.17816061</v>
      </c>
      <c r="D22" s="4">
        <f>IFERROR(VLOOKUP(A:A,MASTER!A:D,4,0),0)</f>
        <v>154458184.32135817</v>
      </c>
      <c r="E22" s="8">
        <f t="shared" si="0"/>
        <v>7.8784908098390227E-2</v>
      </c>
      <c r="F22" s="4">
        <f>IFERROR(VLOOKUP(A22,MASTER!A:E,5,0),0)</f>
        <v>94594.594594598006</v>
      </c>
      <c r="G22" s="4">
        <f>IFERROR(VLOOKUP(A22,MASTER!A:F,6,0),0)</f>
        <v>868468.46846847096</v>
      </c>
      <c r="H22" s="8">
        <f t="shared" si="1"/>
        <v>-0.89107883817427025</v>
      </c>
      <c r="I22" s="4">
        <f>IFERROR(VLOOKUP(A22,MASTER!A:O,15,0),0)</f>
        <v>13676396.396396397</v>
      </c>
      <c r="J22" s="4">
        <f>IFERROR(VLOOKUP(A22,MASTER!A:P,16,0),0)</f>
        <v>30081981.981981985</v>
      </c>
      <c r="K22" s="8">
        <f t="shared" si="2"/>
        <v>-0.54536252283549458</v>
      </c>
      <c r="L22" s="4">
        <f>IFERROR(VLOOKUP(A22,MASTER!A:S,19,0),0)</f>
        <v>54731162.162162162</v>
      </c>
      <c r="M22" s="4">
        <f>IFERROR(VLOOKUP(A22,MASTER!A:T,20,0),0)</f>
        <v>51972927.927927926</v>
      </c>
      <c r="N22" s="8">
        <f t="shared" si="3"/>
        <v>5.3070595485002148E-2</v>
      </c>
      <c r="O22" s="4">
        <f>IFERROR(VLOOKUP(A22,MASTER!A:U,21,0),0)</f>
        <v>16851171.17117117</v>
      </c>
      <c r="P22" s="4">
        <f>IFERROR(VLOOKUP(A22,MASTER!A:V,22,0),0)</f>
        <v>33413423.423423424</v>
      </c>
      <c r="Q22" s="8">
        <f t="shared" si="4"/>
        <v>-0.49567660405134695</v>
      </c>
      <c r="R22" s="4">
        <f>IFERROR(VLOOKUP(A22,MASTER!A:W,23,0),0)</f>
        <v>3906</v>
      </c>
      <c r="S22" s="4">
        <f>IFERROR(VLOOKUP(A22,MASTER!A:X,24,0),0)</f>
        <v>3973</v>
      </c>
      <c r="T22" s="8">
        <f t="shared" si="5"/>
        <v>-1.686383085829346E-2</v>
      </c>
      <c r="U22" s="11">
        <f>IFERROR(VLOOKUP(A22,MASTER!A:M,13,0),0)</f>
        <v>18</v>
      </c>
      <c r="V22" s="11">
        <f>IFERROR(VLOOKUP(A22,MASTER!A:N,14,0),0)</f>
        <v>27</v>
      </c>
      <c r="W22" s="8">
        <f t="shared" si="6"/>
        <v>-0.33333333333333337</v>
      </c>
      <c r="X22" s="11">
        <f>IFERROR(VLOOKUP(A22,MASTER!A:Q,17,0),0)</f>
        <v>42</v>
      </c>
      <c r="Y22" s="11">
        <f>IFERROR(VLOOKUP(A22,MASTER!A:R,18,0),0)</f>
        <v>43</v>
      </c>
      <c r="Z22" s="8">
        <f t="shared" si="7"/>
        <v>-2.3255813953488413E-2</v>
      </c>
    </row>
  </sheetData>
  <autoFilter ref="A5:T22"/>
  <conditionalFormatting sqref="E6:E22">
    <cfRule type="cellIs" dxfId="8" priority="14" operator="lessThan">
      <formula>0</formula>
    </cfRule>
  </conditionalFormatting>
  <conditionalFormatting sqref="H6:H22">
    <cfRule type="cellIs" dxfId="7" priority="8" operator="lessThan">
      <formula>0</formula>
    </cfRule>
  </conditionalFormatting>
  <conditionalFormatting sqref="K6:K22">
    <cfRule type="cellIs" dxfId="6" priority="7" operator="lessThan">
      <formula>0</formula>
    </cfRule>
  </conditionalFormatting>
  <conditionalFormatting sqref="N6:N22">
    <cfRule type="cellIs" dxfId="5" priority="6" operator="lessThan">
      <formula>0</formula>
    </cfRule>
  </conditionalFormatting>
  <conditionalFormatting sqref="Q6:Q22">
    <cfRule type="cellIs" dxfId="4" priority="5" operator="lessThan">
      <formula>0</formula>
    </cfRule>
  </conditionalFormatting>
  <conditionalFormatting sqref="T6:T22">
    <cfRule type="cellIs" dxfId="3" priority="4" operator="lessThan">
      <formula>0</formula>
    </cfRule>
  </conditionalFormatting>
  <conditionalFormatting sqref="W6:W22">
    <cfRule type="cellIs" dxfId="2" priority="3" operator="lessThan">
      <formula>0</formula>
    </cfRule>
  </conditionalFormatting>
  <conditionalFormatting sqref="Z7:Z22">
    <cfRule type="cellIs" dxfId="1" priority="2" operator="lessThan">
      <formula>0</formula>
    </cfRule>
  </conditionalFormatting>
  <conditionalFormatting sqref="Z6">
    <cfRule type="cellIs" dxfId="0" priority="1" operator="lessThan">
      <formula>0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574"/>
  <sheetViews>
    <sheetView tabSelected="1" workbookViewId="0">
      <pane xSplit="1" ySplit="3" topLeftCell="B559" activePane="bottomRight" state="frozen"/>
      <selection pane="topRight" activeCell="B1" sqref="B1"/>
      <selection pane="bottomLeft" activeCell="A4" sqref="A4"/>
      <selection pane="bottomRight" activeCell="A3" sqref="A3:X571"/>
    </sheetView>
  </sheetViews>
  <sheetFormatPr defaultRowHeight="14.5"/>
  <cols>
    <col min="1" max="1" width="36.90625" bestFit="1" customWidth="1"/>
    <col min="2" max="2" width="19.36328125" bestFit="1" customWidth="1"/>
    <col min="3" max="3" width="25.81640625" bestFit="1" customWidth="1"/>
    <col min="4" max="4" width="17.6328125" bestFit="1" customWidth="1"/>
    <col min="5" max="5" width="18.6328125" bestFit="1" customWidth="1"/>
    <col min="6" max="6" width="11.81640625" bestFit="1" customWidth="1"/>
    <col min="7" max="8" width="10.453125" bestFit="1" customWidth="1"/>
    <col min="9" max="10" width="10.453125" customWidth="1"/>
    <col min="11" max="12" width="11.36328125" bestFit="1" customWidth="1"/>
    <col min="13" max="18" width="11.81640625" bestFit="1" customWidth="1"/>
  </cols>
  <sheetData>
    <row r="1" spans="1:24">
      <c r="L1" s="7"/>
      <c r="M1" s="7"/>
    </row>
    <row r="2" spans="1:24">
      <c r="A2" s="7" t="s">
        <v>37</v>
      </c>
      <c r="B2" s="10" t="s">
        <v>670</v>
      </c>
      <c r="C2" s="7" t="s">
        <v>38</v>
      </c>
      <c r="D2" s="7" t="s">
        <v>38</v>
      </c>
      <c r="E2" s="7" t="s">
        <v>39</v>
      </c>
      <c r="F2" s="7" t="s">
        <v>39</v>
      </c>
      <c r="G2" s="7" t="s">
        <v>40</v>
      </c>
      <c r="H2" s="7" t="s">
        <v>40</v>
      </c>
      <c r="I2" s="7" t="s">
        <v>671</v>
      </c>
      <c r="J2" s="7" t="s">
        <v>671</v>
      </c>
      <c r="K2" s="7" t="s">
        <v>664</v>
      </c>
      <c r="L2" s="7" t="s">
        <v>664</v>
      </c>
      <c r="M2" s="7" t="s">
        <v>41</v>
      </c>
      <c r="N2" s="7" t="s">
        <v>41</v>
      </c>
      <c r="O2" s="7" t="s">
        <v>42</v>
      </c>
      <c r="P2" s="7" t="s">
        <v>42</v>
      </c>
      <c r="Q2" s="7" t="s">
        <v>672</v>
      </c>
      <c r="R2" s="7" t="s">
        <v>672</v>
      </c>
      <c r="S2" s="7" t="s">
        <v>43</v>
      </c>
      <c r="T2" s="7" t="s">
        <v>43</v>
      </c>
      <c r="U2" s="7" t="s">
        <v>44</v>
      </c>
      <c r="V2" s="7" t="s">
        <v>44</v>
      </c>
      <c r="W2" s="7" t="s">
        <v>30</v>
      </c>
      <c r="X2" s="7" t="s">
        <v>30</v>
      </c>
    </row>
    <row r="3" spans="1:24">
      <c r="A3" s="15" t="s">
        <v>45</v>
      </c>
      <c r="B3" s="15" t="s">
        <v>46</v>
      </c>
      <c r="C3" s="15" t="s">
        <v>31</v>
      </c>
      <c r="D3" s="15" t="s">
        <v>32</v>
      </c>
      <c r="E3" s="15" t="s">
        <v>31</v>
      </c>
      <c r="F3" s="15" t="s">
        <v>32</v>
      </c>
      <c r="G3" s="15" t="s">
        <v>31</v>
      </c>
      <c r="H3" s="15" t="s">
        <v>32</v>
      </c>
      <c r="I3" s="15" t="s">
        <v>31</v>
      </c>
      <c r="J3" s="15" t="s">
        <v>32</v>
      </c>
      <c r="K3" s="15" t="s">
        <v>31</v>
      </c>
      <c r="L3" s="15" t="s">
        <v>32</v>
      </c>
      <c r="M3" s="15" t="s">
        <v>31</v>
      </c>
      <c r="N3" s="15" t="s">
        <v>32</v>
      </c>
      <c r="O3" s="15" t="s">
        <v>31</v>
      </c>
      <c r="P3" s="15" t="s">
        <v>32</v>
      </c>
      <c r="Q3" s="15" t="s">
        <v>31</v>
      </c>
      <c r="R3" s="15" t="s">
        <v>32</v>
      </c>
      <c r="S3" s="15" t="s">
        <v>31</v>
      </c>
      <c r="T3" s="15" t="s">
        <v>32</v>
      </c>
      <c r="U3" s="15" t="s">
        <v>31</v>
      </c>
      <c r="V3" s="15" t="s">
        <v>32</v>
      </c>
      <c r="W3" s="15" t="s">
        <v>31</v>
      </c>
      <c r="X3" s="15" t="s">
        <v>32</v>
      </c>
    </row>
    <row r="4" spans="1:24">
      <c r="A4" s="7" t="s">
        <v>47</v>
      </c>
      <c r="B4" s="16" t="s">
        <v>48</v>
      </c>
      <c r="C4">
        <v>438680585.37795287</v>
      </c>
      <c r="D4">
        <v>478911789.16037583</v>
      </c>
      <c r="E4">
        <v>1487162.1621621619</v>
      </c>
      <c r="F4">
        <v>1972747.7477477491</v>
      </c>
      <c r="G4">
        <v>19</v>
      </c>
      <c r="H4">
        <v>53</v>
      </c>
      <c r="I4">
        <v>7</v>
      </c>
      <c r="J4">
        <v>6</v>
      </c>
      <c r="M4">
        <v>26</v>
      </c>
      <c r="N4">
        <v>82</v>
      </c>
      <c r="O4">
        <v>10980360.360360356</v>
      </c>
      <c r="P4">
        <v>33122342.342342343</v>
      </c>
      <c r="S4">
        <v>53614009.009009011</v>
      </c>
      <c r="T4">
        <v>59363214.414414413</v>
      </c>
      <c r="U4">
        <v>7288918.918918916</v>
      </c>
      <c r="V4">
        <v>31524684.684684686</v>
      </c>
      <c r="W4">
        <v>8102</v>
      </c>
      <c r="X4">
        <v>9747</v>
      </c>
    </row>
    <row r="5" spans="1:24">
      <c r="A5" s="7" t="s">
        <v>49</v>
      </c>
      <c r="B5" s="16" t="s">
        <v>50</v>
      </c>
      <c r="C5">
        <v>761921827.34417284</v>
      </c>
      <c r="D5">
        <v>718158624.31736684</v>
      </c>
      <c r="E5">
        <v>5337567.5675675794</v>
      </c>
      <c r="F5">
        <v>9477477.4774774835</v>
      </c>
      <c r="G5">
        <v>428</v>
      </c>
      <c r="H5">
        <v>557</v>
      </c>
      <c r="I5">
        <v>38</v>
      </c>
      <c r="J5">
        <v>28</v>
      </c>
      <c r="K5">
        <v>10</v>
      </c>
      <c r="M5">
        <v>513</v>
      </c>
      <c r="N5">
        <v>1056</v>
      </c>
      <c r="O5">
        <v>173505405.4054054</v>
      </c>
      <c r="P5">
        <v>140852792.7927928</v>
      </c>
      <c r="Q5">
        <v>361</v>
      </c>
      <c r="R5">
        <v>737</v>
      </c>
      <c r="S5">
        <v>231189734.23423424</v>
      </c>
      <c r="T5">
        <v>232619648.64864865</v>
      </c>
      <c r="U5">
        <v>168373873.87387386</v>
      </c>
      <c r="V5">
        <v>134310270.27027026</v>
      </c>
      <c r="W5">
        <v>20501</v>
      </c>
      <c r="X5">
        <v>19706</v>
      </c>
    </row>
    <row r="6" spans="1:24">
      <c r="A6" s="7" t="s">
        <v>51</v>
      </c>
      <c r="B6" s="16" t="s">
        <v>52</v>
      </c>
      <c r="C6">
        <v>179088715.01430956</v>
      </c>
      <c r="D6">
        <v>182214913.6649982</v>
      </c>
      <c r="E6">
        <v>1953828.8288288291</v>
      </c>
      <c r="F6">
        <v>4265765.7657657648</v>
      </c>
      <c r="G6">
        <v>31</v>
      </c>
      <c r="H6">
        <v>93</v>
      </c>
      <c r="I6">
        <v>7</v>
      </c>
      <c r="J6">
        <v>10</v>
      </c>
      <c r="M6">
        <v>34</v>
      </c>
      <c r="N6">
        <v>104</v>
      </c>
      <c r="O6">
        <v>45073423.423423424</v>
      </c>
      <c r="P6">
        <v>64457207.20720721</v>
      </c>
      <c r="Q6">
        <v>174</v>
      </c>
      <c r="R6">
        <v>216</v>
      </c>
      <c r="S6">
        <v>63629126.126126125</v>
      </c>
      <c r="T6">
        <v>61034720.720720723</v>
      </c>
      <c r="U6">
        <v>14160630.630630627</v>
      </c>
      <c r="V6">
        <v>53174594.594594598</v>
      </c>
      <c r="W6">
        <v>4615</v>
      </c>
      <c r="X6">
        <v>4430</v>
      </c>
    </row>
    <row r="7" spans="1:24">
      <c r="A7" s="7" t="s">
        <v>53</v>
      </c>
      <c r="B7" s="16" t="s">
        <v>54</v>
      </c>
      <c r="C7">
        <v>100212873.63383415</v>
      </c>
      <c r="D7">
        <v>98360945.136320606</v>
      </c>
      <c r="E7">
        <v>864414.41441441595</v>
      </c>
      <c r="F7">
        <v>973873.87387387804</v>
      </c>
      <c r="G7">
        <v>29</v>
      </c>
      <c r="H7">
        <v>25</v>
      </c>
      <c r="I7">
        <v>4</v>
      </c>
      <c r="J7">
        <v>4</v>
      </c>
      <c r="M7">
        <v>34</v>
      </c>
      <c r="N7">
        <v>47</v>
      </c>
      <c r="O7">
        <v>10719819.819819817</v>
      </c>
      <c r="P7">
        <v>9567297.2972973008</v>
      </c>
      <c r="Q7">
        <v>92</v>
      </c>
      <c r="R7">
        <v>86</v>
      </c>
      <c r="S7">
        <v>33098657.657657657</v>
      </c>
      <c r="T7">
        <v>31168092.342342343</v>
      </c>
      <c r="U7">
        <v>11757747.747747747</v>
      </c>
      <c r="V7">
        <v>9602432.4324324355</v>
      </c>
      <c r="W7">
        <v>3769</v>
      </c>
      <c r="X7">
        <v>3693</v>
      </c>
    </row>
    <row r="8" spans="1:24">
      <c r="A8" s="7" t="s">
        <v>55</v>
      </c>
      <c r="B8" s="16" t="s">
        <v>54</v>
      </c>
      <c r="C8">
        <v>164519913.8044135</v>
      </c>
      <c r="D8">
        <v>161608366.31059974</v>
      </c>
      <c r="E8">
        <v>576126.12612612697</v>
      </c>
      <c r="F8">
        <v>3086486.4864864899</v>
      </c>
      <c r="G8">
        <v>54</v>
      </c>
      <c r="H8">
        <v>69</v>
      </c>
      <c r="I8">
        <v>8</v>
      </c>
      <c r="J8">
        <v>12</v>
      </c>
      <c r="M8">
        <v>76</v>
      </c>
      <c r="N8">
        <v>137</v>
      </c>
      <c r="O8">
        <v>43533783.783783779</v>
      </c>
      <c r="P8">
        <v>26889369.369369369</v>
      </c>
      <c r="Q8">
        <v>156</v>
      </c>
      <c r="R8">
        <v>131</v>
      </c>
      <c r="S8">
        <v>42681513.513513513</v>
      </c>
      <c r="T8">
        <v>46566090.090090089</v>
      </c>
      <c r="U8">
        <v>39160090.090090089</v>
      </c>
      <c r="V8">
        <v>50210540.540540546</v>
      </c>
      <c r="W8">
        <v>4209</v>
      </c>
      <c r="X8">
        <v>4372</v>
      </c>
    </row>
    <row r="9" spans="1:24">
      <c r="A9" s="7" t="s">
        <v>56</v>
      </c>
      <c r="B9" s="16" t="s">
        <v>54</v>
      </c>
      <c r="C9">
        <v>82843037.08177121</v>
      </c>
      <c r="D9">
        <v>79399702.692433968</v>
      </c>
      <c r="E9">
        <v>23187567.567567568</v>
      </c>
      <c r="F9">
        <v>52747297.297297299</v>
      </c>
      <c r="G9">
        <v>17</v>
      </c>
      <c r="H9">
        <v>20</v>
      </c>
      <c r="I9">
        <v>3</v>
      </c>
      <c r="J9">
        <v>3</v>
      </c>
      <c r="M9">
        <v>20</v>
      </c>
      <c r="N9">
        <v>22</v>
      </c>
      <c r="O9">
        <v>7899279.2792792758</v>
      </c>
      <c r="P9">
        <v>8729369.369369369</v>
      </c>
      <c r="Q9">
        <v>54</v>
      </c>
      <c r="R9">
        <v>49</v>
      </c>
      <c r="S9">
        <v>24888376.576576576</v>
      </c>
      <c r="T9">
        <v>24085792.792792793</v>
      </c>
      <c r="U9">
        <v>6098738.7387387371</v>
      </c>
      <c r="V9">
        <v>7622072.0720720729</v>
      </c>
      <c r="W9">
        <v>2009</v>
      </c>
      <c r="X9">
        <v>2022</v>
      </c>
    </row>
    <row r="10" spans="1:24">
      <c r="A10" s="7" t="s">
        <v>57</v>
      </c>
      <c r="B10" s="16" t="s">
        <v>58</v>
      </c>
      <c r="C10">
        <v>213458385.00190461</v>
      </c>
      <c r="D10">
        <v>214932593.74913904</v>
      </c>
      <c r="E10">
        <v>1809909.909909911</v>
      </c>
      <c r="F10">
        <v>1049549.549549551</v>
      </c>
      <c r="G10">
        <v>61</v>
      </c>
      <c r="H10">
        <v>72</v>
      </c>
      <c r="I10">
        <v>1</v>
      </c>
      <c r="J10">
        <v>2</v>
      </c>
      <c r="M10">
        <v>71</v>
      </c>
      <c r="N10">
        <v>78</v>
      </c>
      <c r="O10">
        <v>4710810.8108108109</v>
      </c>
      <c r="P10">
        <v>4472972.9729729732</v>
      </c>
      <c r="Q10">
        <v>1</v>
      </c>
      <c r="S10">
        <v>37989684.684684686</v>
      </c>
      <c r="T10">
        <v>39737198.198198199</v>
      </c>
      <c r="U10">
        <v>4614234.2342342352</v>
      </c>
      <c r="V10">
        <v>3654504.504504506</v>
      </c>
      <c r="W10">
        <v>5635</v>
      </c>
      <c r="X10">
        <v>5546</v>
      </c>
    </row>
    <row r="11" spans="1:24">
      <c r="A11" s="7" t="s">
        <v>59</v>
      </c>
      <c r="B11" s="16" t="s">
        <v>60</v>
      </c>
      <c r="C11">
        <v>91285461.634198382</v>
      </c>
      <c r="D11">
        <v>90760226.454851568</v>
      </c>
      <c r="E11">
        <v>203243.24324324401</v>
      </c>
      <c r="F11">
        <v>756756.75675675995</v>
      </c>
      <c r="G11">
        <v>17</v>
      </c>
      <c r="H11">
        <v>40</v>
      </c>
      <c r="I11">
        <v>3</v>
      </c>
      <c r="J11">
        <v>7</v>
      </c>
      <c r="M11">
        <v>19</v>
      </c>
      <c r="N11">
        <v>78</v>
      </c>
      <c r="O11">
        <v>11572612.612612611</v>
      </c>
      <c r="P11">
        <v>14819819.819819819</v>
      </c>
      <c r="Q11">
        <v>87</v>
      </c>
      <c r="R11">
        <v>62</v>
      </c>
      <c r="S11">
        <v>42547693.693693697</v>
      </c>
      <c r="T11">
        <v>42620009.009009011</v>
      </c>
      <c r="U11">
        <v>8602702.7027027011</v>
      </c>
      <c r="V11">
        <v>10339099.0990991</v>
      </c>
      <c r="W11">
        <v>2825</v>
      </c>
      <c r="X11">
        <v>2916</v>
      </c>
    </row>
    <row r="12" spans="1:24">
      <c r="A12" s="7" t="s">
        <v>61</v>
      </c>
      <c r="B12" s="16" t="s">
        <v>62</v>
      </c>
      <c r="C12">
        <v>432879795.21828794</v>
      </c>
      <c r="D12">
        <v>417905167.03847206</v>
      </c>
      <c r="E12">
        <v>81981.981981985999</v>
      </c>
      <c r="F12">
        <v>4545495.4954955038</v>
      </c>
      <c r="G12">
        <v>95</v>
      </c>
      <c r="H12">
        <v>49</v>
      </c>
      <c r="I12">
        <v>9</v>
      </c>
      <c r="J12">
        <v>22</v>
      </c>
      <c r="M12">
        <v>107</v>
      </c>
      <c r="N12">
        <v>53</v>
      </c>
      <c r="O12">
        <v>11296756.75675676</v>
      </c>
      <c r="P12">
        <v>66863063.06306307</v>
      </c>
      <c r="Q12">
        <v>64</v>
      </c>
      <c r="R12">
        <v>187</v>
      </c>
      <c r="S12">
        <v>46696036.036036037</v>
      </c>
      <c r="T12">
        <v>43466178.378378376</v>
      </c>
      <c r="U12">
        <v>10634684.684684686</v>
      </c>
      <c r="V12">
        <v>62081621.621621616</v>
      </c>
      <c r="W12">
        <v>8792</v>
      </c>
      <c r="X12">
        <v>8752</v>
      </c>
    </row>
    <row r="13" spans="1:24">
      <c r="A13" s="7" t="s">
        <v>63</v>
      </c>
      <c r="B13" s="16" t="s">
        <v>50</v>
      </c>
      <c r="C13">
        <v>221959197.81097311</v>
      </c>
      <c r="D13">
        <v>223808715.77048647</v>
      </c>
      <c r="E13">
        <v>679279.27927927999</v>
      </c>
      <c r="F13">
        <v>2393693.6936936961</v>
      </c>
      <c r="G13">
        <v>39</v>
      </c>
      <c r="H13">
        <v>75</v>
      </c>
      <c r="I13">
        <v>11</v>
      </c>
      <c r="J13">
        <v>23</v>
      </c>
      <c r="M13">
        <v>45</v>
      </c>
      <c r="N13">
        <v>114</v>
      </c>
      <c r="O13">
        <v>77230360.360360369</v>
      </c>
      <c r="P13">
        <v>54954054.054054059</v>
      </c>
      <c r="Q13">
        <v>84</v>
      </c>
      <c r="R13">
        <v>225</v>
      </c>
      <c r="S13">
        <v>84803756.756756753</v>
      </c>
      <c r="T13">
        <v>86416900.9009009</v>
      </c>
      <c r="U13">
        <v>78854774.77477479</v>
      </c>
      <c r="V13">
        <v>53277117.117117122</v>
      </c>
      <c r="W13">
        <v>5663</v>
      </c>
      <c r="X13">
        <v>5481</v>
      </c>
    </row>
    <row r="14" spans="1:24">
      <c r="A14" s="7" t="s">
        <v>64</v>
      </c>
      <c r="B14" s="16" t="s">
        <v>50</v>
      </c>
      <c r="C14">
        <v>232211334.99152571</v>
      </c>
      <c r="D14">
        <v>227305549.04330742</v>
      </c>
      <c r="E14">
        <v>1738288.2882882881</v>
      </c>
      <c r="F14">
        <v>3400900.9009009022</v>
      </c>
      <c r="G14">
        <v>35</v>
      </c>
      <c r="H14">
        <v>55</v>
      </c>
      <c r="I14">
        <v>3</v>
      </c>
      <c r="J14">
        <v>13</v>
      </c>
      <c r="M14">
        <v>40</v>
      </c>
      <c r="N14">
        <v>72</v>
      </c>
      <c r="O14">
        <v>55036846.846846849</v>
      </c>
      <c r="P14">
        <v>24970990.990990989</v>
      </c>
      <c r="Q14">
        <v>230</v>
      </c>
      <c r="R14">
        <v>92</v>
      </c>
      <c r="S14">
        <v>88105018.018018022</v>
      </c>
      <c r="T14">
        <v>87432459.459459454</v>
      </c>
      <c r="U14">
        <v>53798648.648648649</v>
      </c>
      <c r="V14">
        <v>23536126.126126125</v>
      </c>
      <c r="W14">
        <v>5498</v>
      </c>
      <c r="X14">
        <v>5696</v>
      </c>
    </row>
    <row r="15" spans="1:24">
      <c r="A15" s="7" t="s">
        <v>65</v>
      </c>
      <c r="B15" s="16" t="s">
        <v>66</v>
      </c>
      <c r="C15">
        <v>240280375.59687802</v>
      </c>
      <c r="D15">
        <v>231176161.77753013</v>
      </c>
      <c r="E15">
        <v>1613603.6036036061</v>
      </c>
      <c r="F15">
        <v>3690990.990990995</v>
      </c>
      <c r="G15">
        <v>106</v>
      </c>
      <c r="H15">
        <v>60</v>
      </c>
      <c r="I15">
        <v>13</v>
      </c>
      <c r="J15">
        <v>7</v>
      </c>
      <c r="M15">
        <v>115</v>
      </c>
      <c r="N15">
        <v>77</v>
      </c>
      <c r="O15">
        <v>48525225.225225225</v>
      </c>
      <c r="P15">
        <v>89245135.135135129</v>
      </c>
      <c r="Q15">
        <v>408</v>
      </c>
      <c r="R15">
        <v>12</v>
      </c>
      <c r="S15">
        <v>119771432.43243243</v>
      </c>
      <c r="T15">
        <v>117569189.18918918</v>
      </c>
      <c r="U15">
        <v>48633603.603603601</v>
      </c>
      <c r="V15">
        <v>72233423.423423424</v>
      </c>
      <c r="W15">
        <v>5676</v>
      </c>
      <c r="X15">
        <v>5397</v>
      </c>
    </row>
    <row r="16" spans="1:24">
      <c r="A16" s="7" t="s">
        <v>67</v>
      </c>
      <c r="B16" s="16" t="s">
        <v>68</v>
      </c>
      <c r="C16">
        <v>141351371.08334094</v>
      </c>
      <c r="D16">
        <v>134192591.27201782</v>
      </c>
      <c r="E16">
        <v>315765.76576576597</v>
      </c>
      <c r="F16">
        <v>1213513.5135135141</v>
      </c>
      <c r="G16">
        <v>61</v>
      </c>
      <c r="H16">
        <v>53</v>
      </c>
      <c r="I16">
        <v>4</v>
      </c>
      <c r="J16">
        <v>4</v>
      </c>
      <c r="M16">
        <v>66</v>
      </c>
      <c r="N16">
        <v>59</v>
      </c>
      <c r="O16">
        <v>18842387.387387387</v>
      </c>
      <c r="P16">
        <v>23862612.612612613</v>
      </c>
      <c r="Q16">
        <v>47</v>
      </c>
      <c r="R16">
        <v>76</v>
      </c>
      <c r="S16">
        <v>36963378.378378376</v>
      </c>
      <c r="T16">
        <v>37138729.729729727</v>
      </c>
      <c r="U16">
        <v>17167927.927927926</v>
      </c>
      <c r="V16">
        <v>16789549.54954955</v>
      </c>
      <c r="W16">
        <v>3470</v>
      </c>
      <c r="X16">
        <v>3231</v>
      </c>
    </row>
    <row r="17" spans="1:24">
      <c r="A17" s="7" t="s">
        <v>69</v>
      </c>
      <c r="B17" s="16" t="s">
        <v>70</v>
      </c>
      <c r="C17">
        <v>10404511.934766524</v>
      </c>
      <c r="D17">
        <v>10557421.013468103</v>
      </c>
      <c r="E17">
        <v>25675.675675676001</v>
      </c>
      <c r="F17">
        <v>116216.216216217</v>
      </c>
      <c r="G17">
        <v>2</v>
      </c>
      <c r="H17">
        <v>3</v>
      </c>
      <c r="I17">
        <v>0</v>
      </c>
      <c r="J17">
        <v>2</v>
      </c>
      <c r="M17">
        <v>2</v>
      </c>
      <c r="N17">
        <v>3</v>
      </c>
      <c r="O17">
        <v>302702.70270270301</v>
      </c>
      <c r="P17">
        <v>404504.50450450502</v>
      </c>
      <c r="Q17">
        <v>2</v>
      </c>
      <c r="R17">
        <v>4</v>
      </c>
      <c r="S17">
        <v>2215450.4504504502</v>
      </c>
      <c r="T17">
        <v>3138752.2522522518</v>
      </c>
      <c r="U17">
        <v>298828.828828828</v>
      </c>
      <c r="V17">
        <v>404054.05405405402</v>
      </c>
      <c r="W17">
        <v>470</v>
      </c>
      <c r="X17">
        <v>451</v>
      </c>
    </row>
    <row r="18" spans="1:24">
      <c r="A18" s="7" t="s">
        <v>71</v>
      </c>
      <c r="B18" s="16" t="s">
        <v>72</v>
      </c>
      <c r="C18">
        <v>1892771231.088661</v>
      </c>
      <c r="D18">
        <v>1824857876.7215405</v>
      </c>
      <c r="E18">
        <v>477842431.53153151</v>
      </c>
      <c r="F18">
        <v>493742858.55855858</v>
      </c>
      <c r="G18">
        <v>578</v>
      </c>
      <c r="H18">
        <v>541</v>
      </c>
      <c r="I18">
        <v>110</v>
      </c>
      <c r="J18">
        <v>116</v>
      </c>
      <c r="K18">
        <v>23</v>
      </c>
      <c r="M18">
        <v>839</v>
      </c>
      <c r="N18">
        <v>856</v>
      </c>
      <c r="O18">
        <v>204715863.06306309</v>
      </c>
      <c r="P18">
        <v>200171178.37837836</v>
      </c>
      <c r="Q18">
        <v>576</v>
      </c>
      <c r="R18">
        <v>1741</v>
      </c>
      <c r="S18">
        <v>362292906.3063063</v>
      </c>
      <c r="T18">
        <v>371257360.36036038</v>
      </c>
      <c r="U18">
        <v>184639189.1891892</v>
      </c>
      <c r="V18">
        <v>171851845.04504505</v>
      </c>
      <c r="W18">
        <v>45615</v>
      </c>
      <c r="X18">
        <v>45435</v>
      </c>
    </row>
    <row r="19" spans="1:24">
      <c r="A19" s="7" t="s">
        <v>73</v>
      </c>
      <c r="B19" s="16" t="s">
        <v>72</v>
      </c>
      <c r="C19">
        <v>192088417.63841787</v>
      </c>
      <c r="D19">
        <v>174316352.6125899</v>
      </c>
      <c r="E19">
        <v>3603.603603604</v>
      </c>
      <c r="F19">
        <v>133333.333333335</v>
      </c>
      <c r="G19">
        <v>45</v>
      </c>
      <c r="H19">
        <v>41</v>
      </c>
      <c r="I19">
        <v>3</v>
      </c>
      <c r="J19">
        <v>1</v>
      </c>
      <c r="M19">
        <v>48</v>
      </c>
      <c r="N19">
        <v>44</v>
      </c>
      <c r="O19">
        <v>3327927.9279279271</v>
      </c>
      <c r="P19">
        <v>4772972.9729729732</v>
      </c>
      <c r="Q19">
        <v>18</v>
      </c>
      <c r="R19">
        <v>20</v>
      </c>
      <c r="S19">
        <v>24670630.630630631</v>
      </c>
      <c r="T19">
        <v>25661279.27927928</v>
      </c>
      <c r="U19">
        <v>3214414.4144144142</v>
      </c>
      <c r="V19">
        <v>5022432.4324324327</v>
      </c>
      <c r="W19">
        <v>3799</v>
      </c>
      <c r="X19">
        <v>3620</v>
      </c>
    </row>
    <row r="20" spans="1:24">
      <c r="A20" s="7" t="s">
        <v>74</v>
      </c>
      <c r="B20" s="16" t="s">
        <v>70</v>
      </c>
      <c r="C20">
        <v>188659228.99594516</v>
      </c>
      <c r="D20">
        <v>184717274.61679229</v>
      </c>
      <c r="E20">
        <v>76889504.504504517</v>
      </c>
      <c r="F20">
        <v>81467567.567567572</v>
      </c>
      <c r="G20">
        <v>47</v>
      </c>
      <c r="H20">
        <v>57</v>
      </c>
      <c r="I20">
        <v>6</v>
      </c>
      <c r="J20">
        <v>22</v>
      </c>
      <c r="M20">
        <v>57</v>
      </c>
      <c r="N20">
        <v>76</v>
      </c>
      <c r="O20">
        <v>46332747.747747742</v>
      </c>
      <c r="P20">
        <v>66374774.774774775</v>
      </c>
      <c r="Q20">
        <v>17</v>
      </c>
      <c r="R20">
        <v>257</v>
      </c>
      <c r="S20">
        <v>64654846.846846849</v>
      </c>
      <c r="T20">
        <v>67187009.009009004</v>
      </c>
      <c r="U20">
        <v>45671171.171171173</v>
      </c>
      <c r="V20">
        <v>40549909.909909911</v>
      </c>
      <c r="W20">
        <v>4372</v>
      </c>
      <c r="X20">
        <v>4988</v>
      </c>
    </row>
    <row r="21" spans="1:24">
      <c r="A21" s="7" t="s">
        <v>75</v>
      </c>
      <c r="B21" s="16" t="s">
        <v>76</v>
      </c>
      <c r="C21">
        <v>53795866.875367902</v>
      </c>
      <c r="D21">
        <v>53790474.014576174</v>
      </c>
      <c r="E21">
        <v>79279.279279280003</v>
      </c>
      <c r="F21">
        <v>491891.891891893</v>
      </c>
      <c r="G21">
        <v>15</v>
      </c>
      <c r="H21">
        <v>15</v>
      </c>
      <c r="I21">
        <v>1</v>
      </c>
      <c r="J21">
        <v>2</v>
      </c>
      <c r="M21">
        <v>15</v>
      </c>
      <c r="N21">
        <v>16</v>
      </c>
      <c r="O21">
        <v>5402702.7027027039</v>
      </c>
      <c r="P21">
        <v>7379639.6396396393</v>
      </c>
      <c r="Q21">
        <v>15</v>
      </c>
      <c r="R21">
        <v>8</v>
      </c>
      <c r="S21">
        <v>13470585.585585587</v>
      </c>
      <c r="T21">
        <v>14001360.36036036</v>
      </c>
      <c r="U21">
        <v>5017477.4774774779</v>
      </c>
      <c r="V21">
        <v>4824144.1441441439</v>
      </c>
      <c r="W21">
        <v>1466</v>
      </c>
      <c r="X21">
        <v>1452</v>
      </c>
    </row>
    <row r="22" spans="1:24">
      <c r="A22" s="7" t="s">
        <v>77</v>
      </c>
      <c r="B22" s="16" t="s">
        <v>78</v>
      </c>
      <c r="C22">
        <v>123744243.90754788</v>
      </c>
      <c r="D22">
        <v>113859068.42640011</v>
      </c>
      <c r="E22">
        <v>30740630.630630627</v>
      </c>
      <c r="F22">
        <v>63711711.711711712</v>
      </c>
      <c r="G22">
        <v>27</v>
      </c>
      <c r="H22">
        <v>22</v>
      </c>
      <c r="I22">
        <v>4</v>
      </c>
      <c r="J22">
        <v>5</v>
      </c>
      <c r="M22">
        <v>32</v>
      </c>
      <c r="N22">
        <v>26</v>
      </c>
      <c r="O22">
        <v>14459549.549549548</v>
      </c>
      <c r="P22">
        <v>12112612.612612613</v>
      </c>
      <c r="Q22">
        <v>94</v>
      </c>
      <c r="R22">
        <v>4</v>
      </c>
      <c r="S22">
        <v>37765891.891891889</v>
      </c>
      <c r="T22">
        <v>37334963.963963963</v>
      </c>
      <c r="U22">
        <v>12963693.693693692</v>
      </c>
      <c r="V22">
        <v>13652162.162162164</v>
      </c>
      <c r="W22">
        <v>2448</v>
      </c>
      <c r="X22">
        <v>2466</v>
      </c>
    </row>
    <row r="23" spans="1:24">
      <c r="A23" s="7" t="s">
        <v>79</v>
      </c>
      <c r="B23" s="16" t="s">
        <v>80</v>
      </c>
      <c r="C23">
        <v>1116475719.0201361</v>
      </c>
      <c r="D23">
        <v>1072684866.5858855</v>
      </c>
      <c r="E23">
        <v>3208783.7837837902</v>
      </c>
      <c r="F23">
        <v>6132432.4324324438</v>
      </c>
      <c r="G23">
        <v>366</v>
      </c>
      <c r="H23">
        <v>741</v>
      </c>
      <c r="I23">
        <v>39</v>
      </c>
      <c r="J23">
        <v>33</v>
      </c>
      <c r="K23">
        <v>4</v>
      </c>
      <c r="M23">
        <v>446</v>
      </c>
      <c r="N23">
        <v>905</v>
      </c>
      <c r="O23">
        <v>418503873.87387383</v>
      </c>
      <c r="P23">
        <v>111723873.87387387</v>
      </c>
      <c r="Q23">
        <v>228</v>
      </c>
      <c r="R23">
        <v>407</v>
      </c>
      <c r="S23">
        <v>270424418.91891891</v>
      </c>
      <c r="T23">
        <v>279706092.34234232</v>
      </c>
      <c r="U23">
        <v>92478468.468468457</v>
      </c>
      <c r="V23">
        <v>98224054.054054052</v>
      </c>
      <c r="W23">
        <v>26382</v>
      </c>
      <c r="X23">
        <v>27662</v>
      </c>
    </row>
    <row r="24" spans="1:24">
      <c r="A24" s="7" t="s">
        <v>81</v>
      </c>
      <c r="B24" s="16" t="s">
        <v>54</v>
      </c>
      <c r="C24">
        <v>32979263.507822879</v>
      </c>
      <c r="D24">
        <v>33381250.654756784</v>
      </c>
      <c r="E24">
        <v>141441.441441442</v>
      </c>
      <c r="F24">
        <v>342342.342342344</v>
      </c>
      <c r="G24">
        <v>10</v>
      </c>
      <c r="H24">
        <v>10</v>
      </c>
      <c r="I24">
        <v>0</v>
      </c>
      <c r="J24">
        <v>2</v>
      </c>
      <c r="M24">
        <v>11</v>
      </c>
      <c r="N24">
        <v>17</v>
      </c>
      <c r="O24">
        <v>3087837.8378378358</v>
      </c>
      <c r="P24">
        <v>2966486.4864864871</v>
      </c>
      <c r="Q24">
        <v>40</v>
      </c>
      <c r="R24">
        <v>27</v>
      </c>
      <c r="S24">
        <v>7488918.9189189188</v>
      </c>
      <c r="T24">
        <v>7364459.4594594603</v>
      </c>
      <c r="U24">
        <v>3080900.900900899</v>
      </c>
      <c r="V24">
        <v>1978108.1081081091</v>
      </c>
      <c r="W24">
        <v>1382</v>
      </c>
      <c r="X24">
        <v>1290</v>
      </c>
    </row>
    <row r="25" spans="1:24">
      <c r="A25" s="7" t="s">
        <v>82</v>
      </c>
      <c r="B25" s="16" t="s">
        <v>83</v>
      </c>
      <c r="C25">
        <v>772870001.59565675</v>
      </c>
      <c r="D25">
        <v>767161467.80313432</v>
      </c>
      <c r="E25">
        <v>6672837.8378378404</v>
      </c>
      <c r="F25">
        <v>8774099.0990991015</v>
      </c>
      <c r="G25">
        <v>132</v>
      </c>
      <c r="H25">
        <v>145</v>
      </c>
      <c r="I25">
        <v>16</v>
      </c>
      <c r="J25">
        <v>24</v>
      </c>
      <c r="K25">
        <v>1</v>
      </c>
      <c r="M25">
        <v>149</v>
      </c>
      <c r="N25">
        <v>187</v>
      </c>
      <c r="O25">
        <v>126621711.7117117</v>
      </c>
      <c r="P25">
        <v>165268018.01801801</v>
      </c>
      <c r="Q25">
        <v>361</v>
      </c>
      <c r="R25">
        <v>506</v>
      </c>
      <c r="S25">
        <v>219709664.86486486</v>
      </c>
      <c r="T25">
        <v>224513277.02702704</v>
      </c>
      <c r="U25">
        <v>121489819.81981982</v>
      </c>
      <c r="V25">
        <v>115400090.0900901</v>
      </c>
      <c r="W25">
        <v>15254</v>
      </c>
      <c r="X25">
        <v>15407</v>
      </c>
    </row>
    <row r="26" spans="1:24">
      <c r="A26" s="7" t="s">
        <v>84</v>
      </c>
      <c r="B26" s="16" t="s">
        <v>85</v>
      </c>
      <c r="C26">
        <v>80533909.613735452</v>
      </c>
      <c r="D26">
        <v>71280817.958474174</v>
      </c>
      <c r="E26">
        <v>294144.14414414502</v>
      </c>
      <c r="F26">
        <v>1415990.9909909919</v>
      </c>
      <c r="G26">
        <v>34</v>
      </c>
      <c r="H26">
        <v>36</v>
      </c>
      <c r="I26">
        <v>12</v>
      </c>
      <c r="J26">
        <v>11</v>
      </c>
      <c r="M26">
        <v>44</v>
      </c>
      <c r="N26">
        <v>48</v>
      </c>
      <c r="O26">
        <v>70871621.621621609</v>
      </c>
      <c r="P26">
        <v>133030630.63063063</v>
      </c>
      <c r="Q26">
        <v>242</v>
      </c>
      <c r="R26">
        <v>256</v>
      </c>
      <c r="S26">
        <v>27254819.819819819</v>
      </c>
      <c r="T26">
        <v>25736153.153153151</v>
      </c>
      <c r="U26">
        <v>55522252.252252251</v>
      </c>
      <c r="V26">
        <v>109525315.31531531</v>
      </c>
      <c r="W26">
        <v>2392</v>
      </c>
      <c r="X26">
        <v>2219</v>
      </c>
    </row>
    <row r="27" spans="1:24">
      <c r="A27" s="7" t="s">
        <v>86</v>
      </c>
      <c r="B27" s="16" t="s">
        <v>87</v>
      </c>
      <c r="C27">
        <v>3201314.7193110832</v>
      </c>
      <c r="D27">
        <v>2729893.8572715819</v>
      </c>
      <c r="G27">
        <v>2</v>
      </c>
      <c r="H27">
        <v>1</v>
      </c>
      <c r="M27">
        <v>3</v>
      </c>
      <c r="N27">
        <v>1</v>
      </c>
      <c r="S27">
        <v>896081.08108108095</v>
      </c>
      <c r="T27">
        <v>1267666.666666667</v>
      </c>
      <c r="W27">
        <v>154</v>
      </c>
      <c r="X27">
        <v>163</v>
      </c>
    </row>
    <row r="28" spans="1:24">
      <c r="A28" s="7" t="s">
        <v>88</v>
      </c>
      <c r="B28" s="16" t="s">
        <v>89</v>
      </c>
      <c r="C28">
        <v>159137235.023763</v>
      </c>
      <c r="D28">
        <v>155440472.32259843</v>
      </c>
      <c r="E28">
        <v>552027.02702702896</v>
      </c>
      <c r="F28">
        <v>2556756.7567567602</v>
      </c>
      <c r="G28">
        <v>18</v>
      </c>
      <c r="H28">
        <v>24</v>
      </c>
      <c r="I28">
        <v>15</v>
      </c>
      <c r="J28">
        <v>22</v>
      </c>
      <c r="M28">
        <v>19</v>
      </c>
      <c r="N28">
        <v>27</v>
      </c>
      <c r="O28">
        <v>13800540.540540541</v>
      </c>
      <c r="P28">
        <v>23568468.468468469</v>
      </c>
      <c r="Q28">
        <v>112</v>
      </c>
      <c r="R28">
        <v>96</v>
      </c>
      <c r="S28">
        <v>55473675.675675683</v>
      </c>
      <c r="T28">
        <v>55138702.702702701</v>
      </c>
      <c r="U28">
        <v>11571351.351351352</v>
      </c>
      <c r="V28">
        <v>22717387.387387384</v>
      </c>
      <c r="W28">
        <v>3461</v>
      </c>
      <c r="X28">
        <v>3409</v>
      </c>
    </row>
    <row r="29" spans="1:24">
      <c r="A29" s="7" t="s">
        <v>90</v>
      </c>
      <c r="B29" s="16" t="s">
        <v>60</v>
      </c>
      <c r="C29">
        <v>50644697.214308374</v>
      </c>
      <c r="D29">
        <v>55957564.883493513</v>
      </c>
      <c r="E29">
        <v>61261.261261262</v>
      </c>
      <c r="F29">
        <v>109009.00900901</v>
      </c>
      <c r="G29">
        <v>23</v>
      </c>
      <c r="H29">
        <v>10</v>
      </c>
      <c r="I29">
        <v>2</v>
      </c>
      <c r="J29">
        <v>1</v>
      </c>
      <c r="M29">
        <v>87</v>
      </c>
      <c r="N29">
        <v>129</v>
      </c>
      <c r="O29">
        <v>5385585.5855855839</v>
      </c>
      <c r="P29">
        <v>4000900.9009009008</v>
      </c>
      <c r="Q29">
        <v>88</v>
      </c>
      <c r="R29">
        <v>36</v>
      </c>
      <c r="S29">
        <v>30258828.828828827</v>
      </c>
      <c r="T29">
        <v>33602567.567567565</v>
      </c>
      <c r="U29">
        <v>5418468.4684684677</v>
      </c>
      <c r="V29">
        <v>3840090.0900900899</v>
      </c>
      <c r="W29">
        <v>1609</v>
      </c>
      <c r="X29">
        <v>1581</v>
      </c>
    </row>
    <row r="30" spans="1:24">
      <c r="A30" s="7" t="s">
        <v>91</v>
      </c>
      <c r="B30" s="16" t="s">
        <v>92</v>
      </c>
      <c r="C30">
        <v>47612465.573264144</v>
      </c>
      <c r="D30">
        <v>46684543.486882865</v>
      </c>
      <c r="E30">
        <v>414189.18918919098</v>
      </c>
      <c r="F30">
        <v>2318018.018018018</v>
      </c>
      <c r="G30">
        <v>16</v>
      </c>
      <c r="H30">
        <v>12</v>
      </c>
      <c r="I30">
        <v>4</v>
      </c>
      <c r="J30">
        <v>2</v>
      </c>
      <c r="M30">
        <v>18</v>
      </c>
      <c r="N30">
        <v>15</v>
      </c>
      <c r="O30">
        <v>1000540.54054054</v>
      </c>
      <c r="P30">
        <v>16535675.675675675</v>
      </c>
      <c r="Q30">
        <v>52</v>
      </c>
      <c r="R30">
        <v>2</v>
      </c>
      <c r="S30">
        <v>15997477.477477476</v>
      </c>
      <c r="T30">
        <v>15064378.378378378</v>
      </c>
      <c r="U30">
        <v>1200540.5405405399</v>
      </c>
      <c r="V30">
        <v>16593783.783783784</v>
      </c>
      <c r="W30">
        <v>1069</v>
      </c>
      <c r="X30">
        <v>1019</v>
      </c>
    </row>
    <row r="31" spans="1:24">
      <c r="A31" s="7" t="s">
        <v>93</v>
      </c>
      <c r="B31" s="16" t="s">
        <v>94</v>
      </c>
      <c r="C31">
        <v>207301632.01392108</v>
      </c>
      <c r="D31">
        <v>203809942.49565649</v>
      </c>
      <c r="E31">
        <v>586486.48648648802</v>
      </c>
      <c r="F31">
        <v>425675.67567567702</v>
      </c>
      <c r="G31">
        <v>49</v>
      </c>
      <c r="H31">
        <v>37</v>
      </c>
      <c r="I31">
        <v>8</v>
      </c>
      <c r="J31">
        <v>5</v>
      </c>
      <c r="M31">
        <v>57</v>
      </c>
      <c r="N31">
        <v>43</v>
      </c>
      <c r="O31">
        <v>25327927.927927926</v>
      </c>
      <c r="P31">
        <v>23844594.594594598</v>
      </c>
      <c r="Q31">
        <v>63</v>
      </c>
      <c r="R31">
        <v>70</v>
      </c>
      <c r="S31">
        <v>30114585.585585583</v>
      </c>
      <c r="T31">
        <v>29203223.423423424</v>
      </c>
      <c r="U31">
        <v>23148108.108108107</v>
      </c>
      <c r="V31">
        <v>20470630.630630631</v>
      </c>
      <c r="W31">
        <v>4406</v>
      </c>
      <c r="X31">
        <v>4493</v>
      </c>
    </row>
    <row r="32" spans="1:24">
      <c r="A32" s="7" t="s">
        <v>95</v>
      </c>
      <c r="B32" s="16" t="s">
        <v>96</v>
      </c>
      <c r="C32">
        <v>216836110.19675848</v>
      </c>
      <c r="D32">
        <v>213136271.94175619</v>
      </c>
      <c r="E32">
        <v>100468912.61261261</v>
      </c>
      <c r="F32">
        <v>111821740.54054055</v>
      </c>
      <c r="G32">
        <v>54</v>
      </c>
      <c r="H32">
        <v>46</v>
      </c>
      <c r="I32">
        <v>5</v>
      </c>
      <c r="J32">
        <v>4</v>
      </c>
      <c r="M32">
        <v>60</v>
      </c>
      <c r="N32">
        <v>52</v>
      </c>
      <c r="O32">
        <v>27721891.891891893</v>
      </c>
      <c r="P32">
        <v>97307963.963963971</v>
      </c>
      <c r="Q32">
        <v>190</v>
      </c>
      <c r="R32">
        <v>34</v>
      </c>
      <c r="S32">
        <v>104338594.5945946</v>
      </c>
      <c r="T32">
        <v>107955675.67567568</v>
      </c>
      <c r="U32">
        <v>34807297.297297299</v>
      </c>
      <c r="V32">
        <v>36178828.828828834</v>
      </c>
      <c r="W32">
        <v>6181</v>
      </c>
      <c r="X32">
        <v>5892</v>
      </c>
    </row>
    <row r="33" spans="1:24">
      <c r="A33" s="7" t="s">
        <v>97</v>
      </c>
      <c r="B33" s="16" t="s">
        <v>98</v>
      </c>
      <c r="C33">
        <v>745033732.38145661</v>
      </c>
      <c r="D33">
        <v>739938325.58066356</v>
      </c>
      <c r="E33">
        <v>2424189.1891891938</v>
      </c>
      <c r="F33">
        <v>7333333.3333333386</v>
      </c>
      <c r="G33">
        <v>351</v>
      </c>
      <c r="H33">
        <v>294</v>
      </c>
      <c r="I33">
        <v>31</v>
      </c>
      <c r="J33">
        <v>35</v>
      </c>
      <c r="M33">
        <v>399</v>
      </c>
      <c r="N33">
        <v>404</v>
      </c>
      <c r="O33">
        <v>118413873.87387387</v>
      </c>
      <c r="P33">
        <v>145608558.55855855</v>
      </c>
      <c r="Q33">
        <v>743</v>
      </c>
      <c r="R33">
        <v>976</v>
      </c>
      <c r="S33">
        <v>194027241.44144145</v>
      </c>
      <c r="T33">
        <v>191808759.90990993</v>
      </c>
      <c r="U33">
        <v>117185315.31531531</v>
      </c>
      <c r="V33">
        <v>95340450.45045045</v>
      </c>
      <c r="W33">
        <v>22716</v>
      </c>
      <c r="X33">
        <v>23091</v>
      </c>
    </row>
    <row r="34" spans="1:24">
      <c r="A34" s="7" t="s">
        <v>99</v>
      </c>
      <c r="B34" s="16" t="s">
        <v>98</v>
      </c>
      <c r="C34">
        <v>1232201606.4408472</v>
      </c>
      <c r="D34">
        <v>1197545129.4179387</v>
      </c>
      <c r="E34">
        <v>961821.62162162899</v>
      </c>
      <c r="F34">
        <v>5062531.5315315342</v>
      </c>
      <c r="G34">
        <v>343</v>
      </c>
      <c r="H34">
        <v>356</v>
      </c>
      <c r="I34">
        <v>27</v>
      </c>
      <c r="J34">
        <v>38</v>
      </c>
      <c r="K34">
        <v>1</v>
      </c>
      <c r="M34">
        <v>433</v>
      </c>
      <c r="N34">
        <v>638</v>
      </c>
      <c r="O34">
        <v>72341576.576576576</v>
      </c>
      <c r="P34">
        <v>67641441.441441447</v>
      </c>
      <c r="Q34">
        <v>413</v>
      </c>
      <c r="R34">
        <v>418</v>
      </c>
      <c r="S34">
        <v>233867608.1081081</v>
      </c>
      <c r="T34">
        <v>232394040.99099097</v>
      </c>
      <c r="U34">
        <v>72244639.639639646</v>
      </c>
      <c r="V34">
        <v>64843513.513513513</v>
      </c>
      <c r="W34">
        <v>27034</v>
      </c>
      <c r="X34">
        <v>27459</v>
      </c>
    </row>
    <row r="35" spans="1:24">
      <c r="A35" s="7" t="s">
        <v>100</v>
      </c>
      <c r="B35" s="16" t="s">
        <v>98</v>
      </c>
      <c r="C35">
        <v>1541265453.8646069</v>
      </c>
      <c r="D35">
        <v>1466738169.5050483</v>
      </c>
      <c r="E35">
        <v>6985315.3153153192</v>
      </c>
      <c r="F35">
        <v>12927927.927927935</v>
      </c>
      <c r="G35">
        <v>287</v>
      </c>
      <c r="H35">
        <v>313</v>
      </c>
      <c r="I35">
        <v>34</v>
      </c>
      <c r="J35">
        <v>71</v>
      </c>
      <c r="K35">
        <v>20</v>
      </c>
      <c r="M35">
        <v>471</v>
      </c>
      <c r="N35">
        <v>820</v>
      </c>
      <c r="O35">
        <v>775898243.24324322</v>
      </c>
      <c r="P35">
        <v>516942117.11711711</v>
      </c>
      <c r="Q35">
        <v>831</v>
      </c>
      <c r="R35">
        <v>670</v>
      </c>
      <c r="S35">
        <v>593170412.61261261</v>
      </c>
      <c r="T35">
        <v>650439236.48648655</v>
      </c>
      <c r="U35">
        <v>593077475.67567563</v>
      </c>
      <c r="V35">
        <v>147329414.41441441</v>
      </c>
      <c r="W35">
        <v>33337</v>
      </c>
      <c r="X35">
        <v>33624</v>
      </c>
    </row>
    <row r="36" spans="1:24">
      <c r="A36" s="7" t="s">
        <v>101</v>
      </c>
      <c r="B36" s="16" t="s">
        <v>98</v>
      </c>
      <c r="C36">
        <v>708724652.99010074</v>
      </c>
      <c r="D36">
        <v>686409122.69864893</v>
      </c>
      <c r="E36">
        <v>127498198.19819821</v>
      </c>
      <c r="F36">
        <v>48388648.648648649</v>
      </c>
      <c r="G36">
        <v>232</v>
      </c>
      <c r="H36">
        <v>210</v>
      </c>
      <c r="I36">
        <v>19</v>
      </c>
      <c r="J36">
        <v>26</v>
      </c>
      <c r="K36">
        <v>1</v>
      </c>
      <c r="M36">
        <v>287</v>
      </c>
      <c r="N36">
        <v>254</v>
      </c>
      <c r="O36">
        <v>61023378.378378376</v>
      </c>
      <c r="P36">
        <v>72979954.954954937</v>
      </c>
      <c r="Q36">
        <v>70</v>
      </c>
      <c r="R36">
        <v>297</v>
      </c>
      <c r="S36">
        <v>152942556.75675678</v>
      </c>
      <c r="T36">
        <v>153129819.81981981</v>
      </c>
      <c r="U36">
        <v>44100270.270270273</v>
      </c>
      <c r="V36">
        <v>51022972.972972974</v>
      </c>
      <c r="W36">
        <v>22114</v>
      </c>
      <c r="X36">
        <v>21302</v>
      </c>
    </row>
    <row r="37" spans="1:24">
      <c r="A37" s="7" t="s">
        <v>102</v>
      </c>
      <c r="B37" s="16" t="s">
        <v>98</v>
      </c>
      <c r="C37">
        <v>780723057.12736738</v>
      </c>
      <c r="D37">
        <v>778419389.61663604</v>
      </c>
      <c r="E37">
        <v>5156351.3513513552</v>
      </c>
      <c r="F37">
        <v>7310810.8108108127</v>
      </c>
      <c r="G37">
        <v>157</v>
      </c>
      <c r="H37">
        <v>188</v>
      </c>
      <c r="I37">
        <v>25</v>
      </c>
      <c r="J37">
        <v>27</v>
      </c>
      <c r="K37">
        <v>2</v>
      </c>
      <c r="M37">
        <v>235</v>
      </c>
      <c r="N37">
        <v>248</v>
      </c>
      <c r="O37">
        <v>108111981.98198198</v>
      </c>
      <c r="P37">
        <v>124636036.03603603</v>
      </c>
      <c r="Q37">
        <v>467</v>
      </c>
      <c r="R37">
        <v>218</v>
      </c>
      <c r="S37">
        <v>222271827.02702704</v>
      </c>
      <c r="T37">
        <v>227470400.9009009</v>
      </c>
      <c r="U37">
        <v>98548378.378378361</v>
      </c>
      <c r="V37">
        <v>126040630.63063063</v>
      </c>
      <c r="W37">
        <v>24886</v>
      </c>
      <c r="X37">
        <v>24976</v>
      </c>
    </row>
    <row r="38" spans="1:24">
      <c r="A38" s="7" t="s">
        <v>103</v>
      </c>
      <c r="B38" s="16" t="s">
        <v>98</v>
      </c>
      <c r="C38">
        <v>2018426085.9543962</v>
      </c>
      <c r="D38">
        <v>2003256070.8752599</v>
      </c>
      <c r="E38">
        <v>845761531.53153157</v>
      </c>
      <c r="F38">
        <v>914345528.82882881</v>
      </c>
      <c r="G38">
        <v>620</v>
      </c>
      <c r="H38">
        <v>574</v>
      </c>
      <c r="I38">
        <v>55</v>
      </c>
      <c r="J38">
        <v>60</v>
      </c>
      <c r="K38">
        <v>23</v>
      </c>
      <c r="M38">
        <v>777</v>
      </c>
      <c r="N38">
        <v>923</v>
      </c>
      <c r="O38">
        <v>387320810.8108108</v>
      </c>
      <c r="P38">
        <v>219594442.34234235</v>
      </c>
      <c r="Q38">
        <v>1445</v>
      </c>
      <c r="R38">
        <v>710</v>
      </c>
      <c r="S38">
        <v>409090664.86486489</v>
      </c>
      <c r="T38">
        <v>429190088.2882883</v>
      </c>
      <c r="U38">
        <v>201382745.94594595</v>
      </c>
      <c r="V38">
        <v>190827297.29729727</v>
      </c>
      <c r="W38">
        <v>55053</v>
      </c>
      <c r="X38">
        <v>54645</v>
      </c>
    </row>
    <row r="39" spans="1:24">
      <c r="A39" s="7" t="s">
        <v>104</v>
      </c>
      <c r="B39" s="16" t="s">
        <v>105</v>
      </c>
      <c r="C39">
        <v>155355914.74147484</v>
      </c>
      <c r="D39">
        <v>142929191.57986552</v>
      </c>
      <c r="E39">
        <v>371171.17117117101</v>
      </c>
      <c r="F39">
        <v>1245945.9459459451</v>
      </c>
      <c r="G39">
        <v>43</v>
      </c>
      <c r="H39">
        <v>22</v>
      </c>
      <c r="I39">
        <v>1</v>
      </c>
      <c r="J39">
        <v>0</v>
      </c>
      <c r="M39">
        <v>45</v>
      </c>
      <c r="N39">
        <v>25</v>
      </c>
      <c r="O39">
        <v>1213513.5135135129</v>
      </c>
      <c r="P39">
        <v>1696396.396396396</v>
      </c>
      <c r="Q39">
        <v>1</v>
      </c>
      <c r="R39">
        <v>50</v>
      </c>
      <c r="S39">
        <v>30318243.243243244</v>
      </c>
      <c r="T39">
        <v>30358720.72072072</v>
      </c>
      <c r="U39">
        <v>1254414.414414414</v>
      </c>
      <c r="V39">
        <v>994594.59459459502</v>
      </c>
      <c r="W39">
        <v>2482</v>
      </c>
      <c r="X39">
        <v>2378</v>
      </c>
    </row>
    <row r="40" spans="1:24">
      <c r="A40" s="7" t="s">
        <v>106</v>
      </c>
      <c r="B40" s="16" t="s">
        <v>54</v>
      </c>
      <c r="C40">
        <v>49873916.317065969</v>
      </c>
      <c r="D40">
        <v>47054154.88142813</v>
      </c>
      <c r="E40">
        <v>142342.34234234301</v>
      </c>
      <c r="F40">
        <v>48648.648648649003</v>
      </c>
      <c r="G40">
        <v>44</v>
      </c>
      <c r="H40">
        <v>27</v>
      </c>
      <c r="I40">
        <v>0</v>
      </c>
      <c r="J40">
        <v>0</v>
      </c>
      <c r="M40">
        <v>59</v>
      </c>
      <c r="N40">
        <v>30</v>
      </c>
      <c r="O40">
        <v>2723873.8738738731</v>
      </c>
      <c r="P40">
        <v>1718198.198198199</v>
      </c>
      <c r="Q40">
        <v>27</v>
      </c>
      <c r="R40">
        <v>16</v>
      </c>
      <c r="S40">
        <v>13071936.936936935</v>
      </c>
      <c r="T40">
        <v>12060612.612612613</v>
      </c>
      <c r="U40">
        <v>2679009.0090090092</v>
      </c>
      <c r="V40">
        <v>1569909.9099099101</v>
      </c>
      <c r="W40">
        <v>1407</v>
      </c>
      <c r="X40">
        <v>1370</v>
      </c>
    </row>
    <row r="41" spans="1:24">
      <c r="A41" s="7" t="s">
        <v>107</v>
      </c>
      <c r="B41" s="16" t="s">
        <v>108</v>
      </c>
      <c r="C41">
        <v>410837173.02221012</v>
      </c>
      <c r="D41">
        <v>385450666.69873989</v>
      </c>
      <c r="E41">
        <v>1301981.9819819829</v>
      </c>
      <c r="F41">
        <v>4354954.9549549622</v>
      </c>
      <c r="G41">
        <v>112</v>
      </c>
      <c r="H41">
        <v>109</v>
      </c>
      <c r="I41">
        <v>11</v>
      </c>
      <c r="J41">
        <v>13</v>
      </c>
      <c r="M41">
        <v>135</v>
      </c>
      <c r="N41">
        <v>131</v>
      </c>
      <c r="O41">
        <v>72283513.513513505</v>
      </c>
      <c r="P41">
        <v>55647027.027027033</v>
      </c>
      <c r="Q41">
        <v>325</v>
      </c>
      <c r="R41">
        <v>674</v>
      </c>
      <c r="S41">
        <v>85304861.261261269</v>
      </c>
      <c r="T41">
        <v>86452126.126126125</v>
      </c>
      <c r="U41">
        <v>43027207.20720721</v>
      </c>
      <c r="V41">
        <v>48337567.567567565</v>
      </c>
      <c r="W41">
        <v>10521</v>
      </c>
      <c r="X41">
        <v>9814</v>
      </c>
    </row>
    <row r="42" spans="1:24">
      <c r="A42" s="7" t="s">
        <v>109</v>
      </c>
      <c r="B42" s="16" t="s">
        <v>108</v>
      </c>
      <c r="C42">
        <v>556208407.64424002</v>
      </c>
      <c r="D42">
        <v>547626343.68104088</v>
      </c>
      <c r="E42">
        <v>5280630.6306306338</v>
      </c>
      <c r="F42">
        <v>5472148.6486486513</v>
      </c>
      <c r="G42">
        <v>129</v>
      </c>
      <c r="H42">
        <v>182</v>
      </c>
      <c r="I42">
        <v>12</v>
      </c>
      <c r="J42">
        <v>22</v>
      </c>
      <c r="K42">
        <v>1</v>
      </c>
      <c r="M42">
        <v>243</v>
      </c>
      <c r="N42">
        <v>275</v>
      </c>
      <c r="O42">
        <v>269477027.02702701</v>
      </c>
      <c r="P42">
        <v>39682782.882882878</v>
      </c>
      <c r="Q42">
        <v>494</v>
      </c>
      <c r="R42">
        <v>295</v>
      </c>
      <c r="S42">
        <v>138942364.86486486</v>
      </c>
      <c r="T42">
        <v>160070099.0990991</v>
      </c>
      <c r="U42">
        <v>221790450.45045042</v>
      </c>
      <c r="V42">
        <v>134317927.92792791</v>
      </c>
      <c r="W42">
        <v>14289</v>
      </c>
      <c r="X42">
        <v>13492</v>
      </c>
    </row>
    <row r="43" spans="1:24">
      <c r="A43" s="7" t="s">
        <v>110</v>
      </c>
      <c r="B43" s="16" t="s">
        <v>111</v>
      </c>
      <c r="C43">
        <v>668240494.50490487</v>
      </c>
      <c r="D43">
        <v>623461713.91173553</v>
      </c>
      <c r="E43">
        <v>4789729.7297297297</v>
      </c>
      <c r="F43">
        <v>8066666.6666666698</v>
      </c>
      <c r="G43">
        <v>120</v>
      </c>
      <c r="H43">
        <v>197</v>
      </c>
      <c r="I43">
        <v>11</v>
      </c>
      <c r="J43">
        <v>36</v>
      </c>
      <c r="K43">
        <v>1</v>
      </c>
      <c r="M43">
        <v>141</v>
      </c>
      <c r="N43">
        <v>474</v>
      </c>
      <c r="O43">
        <v>53590630.630630635</v>
      </c>
      <c r="P43">
        <v>58893357.657657653</v>
      </c>
      <c r="Q43">
        <v>424</v>
      </c>
      <c r="R43">
        <v>1281</v>
      </c>
      <c r="S43">
        <v>212546054.05405405</v>
      </c>
      <c r="T43">
        <v>220619639.63963965</v>
      </c>
      <c r="U43">
        <v>52827837.83783783</v>
      </c>
      <c r="V43">
        <v>54727387.387387387</v>
      </c>
      <c r="W43">
        <v>19623</v>
      </c>
      <c r="X43">
        <v>19644</v>
      </c>
    </row>
    <row r="44" spans="1:24">
      <c r="A44" s="7" t="s">
        <v>112</v>
      </c>
      <c r="B44" s="16" t="s">
        <v>111</v>
      </c>
      <c r="C44">
        <v>829066712.83197784</v>
      </c>
      <c r="D44">
        <v>813252292.10739458</v>
      </c>
      <c r="E44">
        <v>12959819.819819819</v>
      </c>
      <c r="F44">
        <v>11212612.612612616</v>
      </c>
      <c r="G44">
        <v>162</v>
      </c>
      <c r="H44">
        <v>331</v>
      </c>
      <c r="I44">
        <v>11</v>
      </c>
      <c r="J44">
        <v>50</v>
      </c>
      <c r="K44">
        <v>3</v>
      </c>
      <c r="M44">
        <v>189</v>
      </c>
      <c r="N44">
        <v>597</v>
      </c>
      <c r="O44">
        <v>67690180.180180177</v>
      </c>
      <c r="P44">
        <v>65771814.414414406</v>
      </c>
      <c r="Q44">
        <v>1044</v>
      </c>
      <c r="R44">
        <v>1959</v>
      </c>
      <c r="S44">
        <v>285354054.05405402</v>
      </c>
      <c r="T44">
        <v>303010166.66666669</v>
      </c>
      <c r="U44">
        <v>62887837.837837838</v>
      </c>
      <c r="V44">
        <v>66440630.630630627</v>
      </c>
      <c r="W44">
        <v>27371</v>
      </c>
      <c r="X44">
        <v>27796</v>
      </c>
    </row>
    <row r="45" spans="1:24">
      <c r="A45" s="7" t="s">
        <v>113</v>
      </c>
      <c r="B45" s="16" t="s">
        <v>111</v>
      </c>
      <c r="C45">
        <v>559154298.40106261</v>
      </c>
      <c r="D45">
        <v>985182169.08999312</v>
      </c>
      <c r="E45">
        <v>12877387.387387397</v>
      </c>
      <c r="F45">
        <v>6633108.1081081154</v>
      </c>
      <c r="G45">
        <v>169</v>
      </c>
      <c r="H45">
        <v>276</v>
      </c>
      <c r="I45">
        <v>14</v>
      </c>
      <c r="J45">
        <v>44</v>
      </c>
      <c r="K45">
        <v>6</v>
      </c>
      <c r="M45">
        <v>200</v>
      </c>
      <c r="N45">
        <v>550</v>
      </c>
      <c r="O45">
        <v>496892612.61261261</v>
      </c>
      <c r="P45">
        <v>487710645.94594592</v>
      </c>
      <c r="Q45">
        <v>360</v>
      </c>
      <c r="R45">
        <v>1403</v>
      </c>
      <c r="S45">
        <v>171550756.75675678</v>
      </c>
      <c r="T45">
        <v>610779646.84684682</v>
      </c>
      <c r="U45">
        <v>47770810.810810804</v>
      </c>
      <c r="V45">
        <v>33851801.801801801</v>
      </c>
      <c r="W45">
        <v>13854</v>
      </c>
      <c r="X45">
        <v>13418</v>
      </c>
    </row>
    <row r="46" spans="1:24">
      <c r="A46" s="7" t="s">
        <v>114</v>
      </c>
      <c r="B46" s="16" t="s">
        <v>111</v>
      </c>
      <c r="C46">
        <v>646742016.41520011</v>
      </c>
      <c r="D46">
        <v>651445819.25858688</v>
      </c>
      <c r="E46">
        <v>29254054.054054055</v>
      </c>
      <c r="F46">
        <v>89053738.738738745</v>
      </c>
      <c r="G46">
        <v>717</v>
      </c>
      <c r="H46">
        <v>327</v>
      </c>
      <c r="I46">
        <v>20</v>
      </c>
      <c r="J46">
        <v>58</v>
      </c>
      <c r="K46">
        <v>25</v>
      </c>
      <c r="M46">
        <v>2217</v>
      </c>
      <c r="N46">
        <v>687</v>
      </c>
      <c r="O46">
        <v>60807657.657657653</v>
      </c>
      <c r="P46">
        <v>65601441.441441447</v>
      </c>
      <c r="Q46">
        <v>438</v>
      </c>
      <c r="R46">
        <v>581</v>
      </c>
      <c r="S46">
        <v>201972288.2882883</v>
      </c>
      <c r="T46">
        <v>192358360.36036035</v>
      </c>
      <c r="U46">
        <v>58870450.450450458</v>
      </c>
      <c r="V46">
        <v>58540360.360360362</v>
      </c>
      <c r="W46">
        <v>20528</v>
      </c>
      <c r="X46">
        <v>20610</v>
      </c>
    </row>
    <row r="47" spans="1:24">
      <c r="A47" s="7" t="s">
        <v>115</v>
      </c>
      <c r="B47" s="16" t="s">
        <v>111</v>
      </c>
      <c r="C47">
        <v>861848736.37223244</v>
      </c>
      <c r="D47">
        <v>797472970.50638151</v>
      </c>
      <c r="E47">
        <v>919186726.12612605</v>
      </c>
      <c r="F47">
        <v>1233372270.2702701</v>
      </c>
      <c r="G47">
        <v>291</v>
      </c>
      <c r="H47">
        <v>346</v>
      </c>
      <c r="I47">
        <v>27</v>
      </c>
      <c r="J47">
        <v>65</v>
      </c>
      <c r="K47">
        <v>1</v>
      </c>
      <c r="M47">
        <v>384</v>
      </c>
      <c r="N47">
        <v>572</v>
      </c>
      <c r="O47">
        <v>637326472.97297287</v>
      </c>
      <c r="P47">
        <v>723275684.68468463</v>
      </c>
      <c r="Q47">
        <v>609</v>
      </c>
      <c r="R47">
        <v>8106</v>
      </c>
      <c r="S47">
        <v>213986297.29729727</v>
      </c>
      <c r="T47">
        <v>242263512.16216218</v>
      </c>
      <c r="U47">
        <v>140223153.15315315</v>
      </c>
      <c r="V47">
        <v>137176122.52252254</v>
      </c>
      <c r="W47">
        <v>24606</v>
      </c>
      <c r="X47">
        <v>23089</v>
      </c>
    </row>
    <row r="48" spans="1:24">
      <c r="A48" s="7" t="s">
        <v>116</v>
      </c>
      <c r="B48" s="16" t="s">
        <v>54</v>
      </c>
      <c r="C48">
        <v>45138384.035091937</v>
      </c>
      <c r="D48">
        <v>43611051.27542457</v>
      </c>
      <c r="E48">
        <v>802027.02702702605</v>
      </c>
      <c r="F48">
        <v>1095270.2702702701</v>
      </c>
      <c r="G48">
        <v>5</v>
      </c>
      <c r="H48">
        <v>12</v>
      </c>
      <c r="I48">
        <v>2</v>
      </c>
      <c r="J48">
        <v>3</v>
      </c>
      <c r="M48">
        <v>5</v>
      </c>
      <c r="N48">
        <v>12</v>
      </c>
      <c r="O48">
        <v>4835135.1351351338</v>
      </c>
      <c r="P48">
        <v>3802702.702702702</v>
      </c>
      <c r="Q48">
        <v>31</v>
      </c>
      <c r="R48">
        <v>12</v>
      </c>
      <c r="S48">
        <v>10597243.243243244</v>
      </c>
      <c r="T48">
        <v>11046549.549549548</v>
      </c>
      <c r="U48">
        <v>4502162.1621621624</v>
      </c>
      <c r="V48">
        <v>3618468.4684684668</v>
      </c>
      <c r="W48">
        <v>1055</v>
      </c>
      <c r="X48">
        <v>1060</v>
      </c>
    </row>
    <row r="49" spans="1:24">
      <c r="A49" s="7" t="s">
        <v>118</v>
      </c>
      <c r="B49" s="16" t="s">
        <v>78</v>
      </c>
      <c r="C49">
        <v>394238003.62806088</v>
      </c>
      <c r="D49">
        <v>371681729.67154431</v>
      </c>
      <c r="E49">
        <v>266610151.35135135</v>
      </c>
      <c r="F49">
        <v>270029511.7117117</v>
      </c>
      <c r="G49">
        <v>139</v>
      </c>
      <c r="H49">
        <v>137</v>
      </c>
      <c r="I49">
        <v>15</v>
      </c>
      <c r="J49">
        <v>24</v>
      </c>
      <c r="K49">
        <v>1</v>
      </c>
      <c r="M49">
        <v>174</v>
      </c>
      <c r="N49">
        <v>178</v>
      </c>
      <c r="O49">
        <v>62065495.495495498</v>
      </c>
      <c r="P49">
        <v>82677927.927927941</v>
      </c>
      <c r="Q49">
        <v>363</v>
      </c>
      <c r="R49">
        <v>2331</v>
      </c>
      <c r="S49">
        <v>148437142.34234235</v>
      </c>
      <c r="T49">
        <v>148620362.61261261</v>
      </c>
      <c r="U49">
        <v>64707340.540540546</v>
      </c>
      <c r="V49">
        <v>81118468.468468457</v>
      </c>
      <c r="W49">
        <v>11473</v>
      </c>
      <c r="X49">
        <v>11369</v>
      </c>
    </row>
    <row r="50" spans="1:24">
      <c r="A50" s="7" t="s">
        <v>119</v>
      </c>
      <c r="B50" s="16" t="s">
        <v>50</v>
      </c>
      <c r="C50">
        <v>123939994.43057132</v>
      </c>
      <c r="D50">
        <v>118039134.58027798</v>
      </c>
      <c r="E50">
        <v>82246396.396396399</v>
      </c>
      <c r="F50">
        <v>293569099.0990991</v>
      </c>
      <c r="G50">
        <v>58</v>
      </c>
      <c r="H50">
        <v>39</v>
      </c>
      <c r="I50">
        <v>10</v>
      </c>
      <c r="J50">
        <v>10</v>
      </c>
      <c r="M50">
        <v>59</v>
      </c>
      <c r="N50">
        <v>41</v>
      </c>
      <c r="O50">
        <v>95538108.108108118</v>
      </c>
      <c r="P50">
        <v>51963243.24324324</v>
      </c>
      <c r="Q50">
        <v>247</v>
      </c>
      <c r="R50">
        <v>322</v>
      </c>
      <c r="S50">
        <v>43593873.873873875</v>
      </c>
      <c r="T50">
        <v>42861234.234234229</v>
      </c>
      <c r="U50">
        <v>71527567.567567572</v>
      </c>
      <c r="V50">
        <v>47270990.990990989</v>
      </c>
      <c r="W50">
        <v>2491</v>
      </c>
      <c r="X50">
        <v>2395</v>
      </c>
    </row>
    <row r="51" spans="1:24">
      <c r="A51" s="7" t="s">
        <v>120</v>
      </c>
      <c r="B51" s="16" t="s">
        <v>121</v>
      </c>
      <c r="C51">
        <v>439768560.65367919</v>
      </c>
      <c r="D51">
        <v>398843107.91658491</v>
      </c>
      <c r="E51">
        <v>1108333.333333333</v>
      </c>
      <c r="F51">
        <v>3038063.0630630669</v>
      </c>
      <c r="G51">
        <v>170</v>
      </c>
      <c r="H51">
        <v>153</v>
      </c>
      <c r="I51">
        <v>11</v>
      </c>
      <c r="J51">
        <v>13</v>
      </c>
      <c r="M51">
        <v>192</v>
      </c>
      <c r="N51">
        <v>176</v>
      </c>
      <c r="O51">
        <v>18190990.990990989</v>
      </c>
      <c r="P51">
        <v>16590990.990990993</v>
      </c>
      <c r="Q51">
        <v>204</v>
      </c>
      <c r="R51">
        <v>33</v>
      </c>
      <c r="S51">
        <v>30080018.018018015</v>
      </c>
      <c r="T51">
        <v>34170288.288288288</v>
      </c>
      <c r="U51">
        <v>17060810.810810808</v>
      </c>
      <c r="V51">
        <v>13946666.666666666</v>
      </c>
      <c r="W51">
        <v>8110</v>
      </c>
      <c r="X51">
        <v>9826</v>
      </c>
    </row>
    <row r="52" spans="1:24">
      <c r="A52" s="7" t="s">
        <v>122</v>
      </c>
      <c r="B52" s="16" t="s">
        <v>123</v>
      </c>
      <c r="C52">
        <v>199321807.03373158</v>
      </c>
      <c r="D52">
        <v>209726736.36320171</v>
      </c>
      <c r="E52">
        <v>348198.19819819799</v>
      </c>
      <c r="F52">
        <v>1025900.900900902</v>
      </c>
      <c r="G52">
        <v>22</v>
      </c>
      <c r="H52">
        <v>29</v>
      </c>
      <c r="I52">
        <v>3</v>
      </c>
      <c r="J52">
        <v>3</v>
      </c>
      <c r="M52">
        <v>27</v>
      </c>
      <c r="N52">
        <v>40</v>
      </c>
      <c r="O52">
        <v>42341171.171171166</v>
      </c>
      <c r="P52">
        <v>38672612.612612605</v>
      </c>
      <c r="Q52">
        <v>54</v>
      </c>
      <c r="R52">
        <v>52</v>
      </c>
      <c r="S52">
        <v>89698239.639639646</v>
      </c>
      <c r="T52">
        <v>94519509.009009004</v>
      </c>
      <c r="U52">
        <v>39808198.198198199</v>
      </c>
      <c r="V52">
        <v>39369819.819819823</v>
      </c>
      <c r="W52">
        <v>4481</v>
      </c>
      <c r="X52">
        <v>4798</v>
      </c>
    </row>
    <row r="53" spans="1:24">
      <c r="A53" s="7" t="s">
        <v>124</v>
      </c>
      <c r="B53" s="16" t="s">
        <v>125</v>
      </c>
      <c r="C53">
        <v>294803381.2656374</v>
      </c>
      <c r="D53">
        <v>277141329.80751085</v>
      </c>
      <c r="E53">
        <v>907972.97297297197</v>
      </c>
      <c r="F53">
        <v>2901351.3513513561</v>
      </c>
      <c r="G53">
        <v>48</v>
      </c>
      <c r="H53">
        <v>57</v>
      </c>
      <c r="I53">
        <v>8</v>
      </c>
      <c r="J53">
        <v>7</v>
      </c>
      <c r="M53">
        <v>53</v>
      </c>
      <c r="N53">
        <v>79</v>
      </c>
      <c r="O53">
        <v>69333333.333333343</v>
      </c>
      <c r="P53">
        <v>90855135.135135129</v>
      </c>
      <c r="Q53">
        <v>107</v>
      </c>
      <c r="R53">
        <v>195</v>
      </c>
      <c r="S53">
        <v>86668502.702702701</v>
      </c>
      <c r="T53">
        <v>86842377.477477476</v>
      </c>
      <c r="U53">
        <v>72586306.306306303</v>
      </c>
      <c r="V53">
        <v>101265718.91891891</v>
      </c>
      <c r="W53">
        <v>6464</v>
      </c>
      <c r="X53">
        <v>6317</v>
      </c>
    </row>
    <row r="54" spans="1:24">
      <c r="A54" s="7" t="s">
        <v>126</v>
      </c>
      <c r="B54" s="16" t="s">
        <v>78</v>
      </c>
      <c r="C54">
        <v>188024154.76045895</v>
      </c>
      <c r="D54">
        <v>179212700.29332903</v>
      </c>
      <c r="E54">
        <v>2289819.819819821</v>
      </c>
      <c r="F54">
        <v>4161261.2612612662</v>
      </c>
      <c r="G54">
        <v>40</v>
      </c>
      <c r="H54">
        <v>56</v>
      </c>
      <c r="I54">
        <v>4</v>
      </c>
      <c r="J54">
        <v>6</v>
      </c>
      <c r="M54">
        <v>43</v>
      </c>
      <c r="N54">
        <v>71</v>
      </c>
      <c r="O54">
        <v>34253783.783783786</v>
      </c>
      <c r="P54">
        <v>35075675.675675675</v>
      </c>
      <c r="Q54">
        <v>134</v>
      </c>
      <c r="R54">
        <v>75</v>
      </c>
      <c r="S54">
        <v>74387216.216216221</v>
      </c>
      <c r="T54">
        <v>73347144.144144148</v>
      </c>
      <c r="U54">
        <v>37509459.459459454</v>
      </c>
      <c r="V54">
        <v>30818288.288288288</v>
      </c>
      <c r="W54">
        <v>4937</v>
      </c>
      <c r="X54">
        <v>5095</v>
      </c>
    </row>
    <row r="55" spans="1:24">
      <c r="A55" s="7" t="s">
        <v>127</v>
      </c>
      <c r="B55" s="16" t="s">
        <v>78</v>
      </c>
      <c r="C55">
        <v>33717599.595683932</v>
      </c>
      <c r="D55">
        <v>30050503.243719339</v>
      </c>
      <c r="E55">
        <v>13063.063063064001</v>
      </c>
      <c r="F55">
        <v>646846.84684684698</v>
      </c>
      <c r="G55">
        <v>13</v>
      </c>
      <c r="H55">
        <v>11</v>
      </c>
      <c r="I55">
        <v>2</v>
      </c>
      <c r="J55">
        <v>7</v>
      </c>
      <c r="K55">
        <v>1</v>
      </c>
      <c r="M55">
        <v>13</v>
      </c>
      <c r="N55">
        <v>14</v>
      </c>
      <c r="O55">
        <v>7193243.2432432426</v>
      </c>
      <c r="P55">
        <v>11007207.207207208</v>
      </c>
      <c r="Q55">
        <v>18</v>
      </c>
      <c r="R55">
        <v>17</v>
      </c>
      <c r="S55">
        <v>18169549.54954955</v>
      </c>
      <c r="T55">
        <v>17262972.97297297</v>
      </c>
      <c r="U55">
        <v>8313963.9639639631</v>
      </c>
      <c r="V55">
        <v>11530090.090090089</v>
      </c>
      <c r="W55">
        <v>1253</v>
      </c>
      <c r="X55">
        <v>1144</v>
      </c>
    </row>
    <row r="56" spans="1:24">
      <c r="A56" s="7" t="s">
        <v>128</v>
      </c>
      <c r="B56" s="16" t="s">
        <v>78</v>
      </c>
      <c r="C56">
        <v>181759447.70970142</v>
      </c>
      <c r="D56">
        <v>172320939.12107781</v>
      </c>
      <c r="E56">
        <v>1216441.4414414419</v>
      </c>
      <c r="F56">
        <v>1873873.873873878</v>
      </c>
      <c r="G56">
        <v>77</v>
      </c>
      <c r="H56">
        <v>125</v>
      </c>
      <c r="I56">
        <v>6</v>
      </c>
      <c r="J56">
        <v>11</v>
      </c>
      <c r="K56">
        <v>1</v>
      </c>
      <c r="M56">
        <v>86</v>
      </c>
      <c r="N56">
        <v>165</v>
      </c>
      <c r="O56">
        <v>20633333.333333332</v>
      </c>
      <c r="P56">
        <v>22261261.261261266</v>
      </c>
      <c r="Q56">
        <v>88</v>
      </c>
      <c r="R56">
        <v>97</v>
      </c>
      <c r="S56">
        <v>68719198.198198199</v>
      </c>
      <c r="T56">
        <v>67738189.189189196</v>
      </c>
      <c r="U56">
        <v>20404864.864864863</v>
      </c>
      <c r="V56">
        <v>20042342.342342343</v>
      </c>
      <c r="W56">
        <v>5909</v>
      </c>
      <c r="X56">
        <v>5721</v>
      </c>
    </row>
    <row r="57" spans="1:24">
      <c r="A57" s="7" t="s">
        <v>673</v>
      </c>
      <c r="B57" s="16" t="s">
        <v>94</v>
      </c>
      <c r="E57">
        <v>58851351.351351351</v>
      </c>
      <c r="F57">
        <v>50155405.40540541</v>
      </c>
      <c r="O57">
        <v>5704504.5045045046</v>
      </c>
      <c r="P57">
        <v>6471621.6216216218</v>
      </c>
    </row>
    <row r="58" spans="1:24">
      <c r="A58" s="7" t="s">
        <v>129</v>
      </c>
      <c r="B58" s="16" t="s">
        <v>85</v>
      </c>
      <c r="C58">
        <v>57987374.85668873</v>
      </c>
      <c r="D58">
        <v>50965349.953917913</v>
      </c>
      <c r="E58">
        <v>272898877.47747749</v>
      </c>
      <c r="F58">
        <v>166386842.34234235</v>
      </c>
      <c r="G58">
        <v>18</v>
      </c>
      <c r="H58">
        <v>12</v>
      </c>
      <c r="I58">
        <v>4</v>
      </c>
      <c r="J58">
        <v>2</v>
      </c>
      <c r="M58">
        <v>19</v>
      </c>
      <c r="N58">
        <v>14</v>
      </c>
      <c r="O58">
        <v>33918018.018018015</v>
      </c>
      <c r="P58">
        <v>75124504.504504517</v>
      </c>
      <c r="Q58">
        <v>70</v>
      </c>
      <c r="R58">
        <v>36</v>
      </c>
      <c r="S58">
        <v>24942567.567567568</v>
      </c>
      <c r="T58">
        <v>24550567.567567568</v>
      </c>
      <c r="U58">
        <v>23186936.936936937</v>
      </c>
      <c r="V58">
        <v>34026216.216216214</v>
      </c>
      <c r="W58">
        <v>1398</v>
      </c>
      <c r="X58">
        <v>1282</v>
      </c>
    </row>
    <row r="59" spans="1:24">
      <c r="A59" s="7" t="s">
        <v>130</v>
      </c>
      <c r="B59" s="16" t="s">
        <v>89</v>
      </c>
      <c r="C59">
        <v>482115073.96785146</v>
      </c>
      <c r="D59">
        <v>470647876.74345332</v>
      </c>
      <c r="E59">
        <v>2157882.8828828852</v>
      </c>
      <c r="F59">
        <v>3437387.387387393</v>
      </c>
      <c r="G59">
        <v>62</v>
      </c>
      <c r="H59">
        <v>62</v>
      </c>
      <c r="I59">
        <v>10</v>
      </c>
      <c r="J59">
        <v>33</v>
      </c>
      <c r="M59">
        <v>70</v>
      </c>
      <c r="N59">
        <v>90</v>
      </c>
      <c r="O59">
        <v>29108108.108108107</v>
      </c>
      <c r="P59">
        <v>31160450.45045045</v>
      </c>
      <c r="Q59">
        <v>250</v>
      </c>
      <c r="R59">
        <v>366</v>
      </c>
      <c r="S59">
        <v>142593277.47747746</v>
      </c>
      <c r="T59">
        <v>148190900.9009009</v>
      </c>
      <c r="U59">
        <v>29362025.225225225</v>
      </c>
      <c r="V59">
        <v>29731711.711711708</v>
      </c>
      <c r="W59">
        <v>10529</v>
      </c>
      <c r="X59">
        <v>10689</v>
      </c>
    </row>
    <row r="60" spans="1:24">
      <c r="A60" s="7" t="s">
        <v>131</v>
      </c>
      <c r="B60" s="16" t="s">
        <v>132</v>
      </c>
      <c r="C60">
        <v>287724474.71549183</v>
      </c>
      <c r="D60">
        <v>255195940.0723362</v>
      </c>
      <c r="E60">
        <v>6942342.3423423441</v>
      </c>
      <c r="F60">
        <v>21086486.486486487</v>
      </c>
      <c r="G60">
        <v>115</v>
      </c>
      <c r="H60">
        <v>142</v>
      </c>
      <c r="I60">
        <v>5</v>
      </c>
      <c r="J60">
        <v>7</v>
      </c>
      <c r="K60">
        <v>1</v>
      </c>
      <c r="M60">
        <v>124</v>
      </c>
      <c r="N60">
        <v>159</v>
      </c>
      <c r="O60">
        <v>21270270.270270273</v>
      </c>
      <c r="P60">
        <v>31861036.036036037</v>
      </c>
      <c r="Q60">
        <v>27</v>
      </c>
      <c r="R60">
        <v>54</v>
      </c>
      <c r="S60">
        <v>88484396.396396399</v>
      </c>
      <c r="T60">
        <v>81367421.171171173</v>
      </c>
      <c r="U60">
        <v>17000450.450450454</v>
      </c>
      <c r="V60">
        <v>27266666.666666672</v>
      </c>
      <c r="W60">
        <v>7365</v>
      </c>
      <c r="X60">
        <v>7186</v>
      </c>
    </row>
    <row r="61" spans="1:24">
      <c r="A61" s="7" t="s">
        <v>133</v>
      </c>
      <c r="B61" s="16" t="s">
        <v>134</v>
      </c>
      <c r="C61">
        <v>44570344.574375942</v>
      </c>
      <c r="D61">
        <v>25928165.596017361</v>
      </c>
      <c r="G61">
        <v>11</v>
      </c>
      <c r="H61">
        <v>1</v>
      </c>
      <c r="M61">
        <v>12</v>
      </c>
      <c r="N61">
        <v>1</v>
      </c>
      <c r="S61">
        <v>5537423.4234234244</v>
      </c>
      <c r="T61">
        <v>4933772.9729729732</v>
      </c>
      <c r="W61">
        <v>2216</v>
      </c>
      <c r="X61">
        <v>2147</v>
      </c>
    </row>
    <row r="62" spans="1:24">
      <c r="A62" s="7" t="s">
        <v>135</v>
      </c>
      <c r="B62" s="16" t="s">
        <v>136</v>
      </c>
      <c r="C62">
        <v>235209843.41996795</v>
      </c>
      <c r="D62">
        <v>216884267.15097994</v>
      </c>
      <c r="E62">
        <v>460360.360360361</v>
      </c>
      <c r="F62">
        <v>885585.58558558801</v>
      </c>
      <c r="G62">
        <v>81</v>
      </c>
      <c r="H62">
        <v>61</v>
      </c>
      <c r="I62">
        <v>5</v>
      </c>
      <c r="J62">
        <v>4</v>
      </c>
      <c r="M62">
        <v>87</v>
      </c>
      <c r="N62">
        <v>67</v>
      </c>
      <c r="O62">
        <v>20649549.549549554</v>
      </c>
      <c r="P62">
        <v>17732432.432432432</v>
      </c>
      <c r="Q62">
        <v>6</v>
      </c>
      <c r="S62">
        <v>40084045.045045041</v>
      </c>
      <c r="T62">
        <v>33787864.864864863</v>
      </c>
      <c r="U62">
        <v>21801621.62162162</v>
      </c>
      <c r="V62">
        <v>15933333.333333332</v>
      </c>
      <c r="W62">
        <v>3461</v>
      </c>
      <c r="X62">
        <v>3502</v>
      </c>
    </row>
    <row r="63" spans="1:24">
      <c r="A63" s="7" t="s">
        <v>137</v>
      </c>
      <c r="B63" s="16" t="s">
        <v>89</v>
      </c>
      <c r="C63">
        <v>245207446.80168143</v>
      </c>
      <c r="D63">
        <v>229641173.48696709</v>
      </c>
      <c r="E63">
        <v>323648.648648653</v>
      </c>
      <c r="F63">
        <v>2376351.351351358</v>
      </c>
      <c r="G63">
        <v>27</v>
      </c>
      <c r="H63">
        <v>46</v>
      </c>
      <c r="I63">
        <v>17</v>
      </c>
      <c r="J63">
        <v>21</v>
      </c>
      <c r="K63">
        <v>4</v>
      </c>
      <c r="M63">
        <v>86</v>
      </c>
      <c r="N63">
        <v>178</v>
      </c>
      <c r="O63">
        <v>31516306.306306303</v>
      </c>
      <c r="P63">
        <v>32248558.558558557</v>
      </c>
      <c r="Q63">
        <v>283</v>
      </c>
      <c r="R63">
        <v>304</v>
      </c>
      <c r="S63">
        <v>85097657.657657668</v>
      </c>
      <c r="T63">
        <v>82597845.045045033</v>
      </c>
      <c r="U63">
        <v>32910900.9009009</v>
      </c>
      <c r="V63">
        <v>28586036.036036041</v>
      </c>
      <c r="W63">
        <v>4909</v>
      </c>
      <c r="X63">
        <v>4820</v>
      </c>
    </row>
    <row r="64" spans="1:24">
      <c r="A64" s="7" t="s">
        <v>138</v>
      </c>
      <c r="B64" s="16" t="s">
        <v>78</v>
      </c>
      <c r="C64">
        <v>176640089.55857369</v>
      </c>
      <c r="D64">
        <v>168129372.1814726</v>
      </c>
      <c r="E64">
        <v>2675405.405405405</v>
      </c>
      <c r="F64">
        <v>4470270.2702702731</v>
      </c>
      <c r="G64">
        <v>69</v>
      </c>
      <c r="H64">
        <v>72</v>
      </c>
      <c r="I64">
        <v>6</v>
      </c>
      <c r="J64">
        <v>16</v>
      </c>
      <c r="K64">
        <v>3</v>
      </c>
      <c r="M64">
        <v>78</v>
      </c>
      <c r="N64">
        <v>89</v>
      </c>
      <c r="O64">
        <v>21860090.090090085</v>
      </c>
      <c r="P64">
        <v>24163963.963963963</v>
      </c>
      <c r="Q64">
        <v>48</v>
      </c>
      <c r="R64">
        <v>92</v>
      </c>
      <c r="S64">
        <v>73129369.369369373</v>
      </c>
      <c r="T64">
        <v>73563722.972972974</v>
      </c>
      <c r="U64">
        <v>20386396.396396395</v>
      </c>
      <c r="V64">
        <v>21426936.936936941</v>
      </c>
      <c r="W64">
        <v>5294</v>
      </c>
      <c r="X64">
        <v>5250</v>
      </c>
    </row>
    <row r="65" spans="1:24">
      <c r="A65" s="7" t="s">
        <v>139</v>
      </c>
      <c r="B65" s="16" t="s">
        <v>140</v>
      </c>
      <c r="C65">
        <v>226381227.71643656</v>
      </c>
      <c r="D65">
        <v>234189980.80416638</v>
      </c>
      <c r="E65">
        <v>2174774.7747747758</v>
      </c>
      <c r="F65">
        <v>2454954.9549549548</v>
      </c>
      <c r="G65">
        <v>25</v>
      </c>
      <c r="H65">
        <v>21</v>
      </c>
      <c r="I65">
        <v>1</v>
      </c>
      <c r="J65">
        <v>3</v>
      </c>
      <c r="M65">
        <v>26</v>
      </c>
      <c r="N65">
        <v>22</v>
      </c>
      <c r="O65">
        <v>21641891.891891893</v>
      </c>
      <c r="P65">
        <v>23325045.045045048</v>
      </c>
      <c r="Q65">
        <v>12</v>
      </c>
      <c r="R65">
        <v>45</v>
      </c>
      <c r="S65">
        <v>38832882.882882878</v>
      </c>
      <c r="T65">
        <v>42977738.738738738</v>
      </c>
      <c r="U65">
        <v>19335045.045045044</v>
      </c>
      <c r="V65">
        <v>18530090.090090089</v>
      </c>
      <c r="W65">
        <v>4439</v>
      </c>
      <c r="X65">
        <v>5449</v>
      </c>
    </row>
    <row r="66" spans="1:24">
      <c r="A66" s="7" t="s">
        <v>141</v>
      </c>
      <c r="B66" s="16" t="s">
        <v>62</v>
      </c>
      <c r="C66">
        <v>158775318.80784893</v>
      </c>
      <c r="D66">
        <v>155693321.49284106</v>
      </c>
      <c r="E66">
        <v>1409009.009009012</v>
      </c>
      <c r="F66">
        <v>3063853.1531531559</v>
      </c>
      <c r="G66">
        <v>53</v>
      </c>
      <c r="H66">
        <v>70</v>
      </c>
      <c r="I66">
        <v>9</v>
      </c>
      <c r="J66">
        <v>7</v>
      </c>
      <c r="M66">
        <v>63</v>
      </c>
      <c r="N66">
        <v>104</v>
      </c>
      <c r="O66">
        <v>87200090.090090096</v>
      </c>
      <c r="P66">
        <v>89746749.54954955</v>
      </c>
      <c r="Q66">
        <v>17</v>
      </c>
      <c r="R66">
        <v>62</v>
      </c>
      <c r="S66">
        <v>34224090.090090089</v>
      </c>
      <c r="T66">
        <v>34070477.477477476</v>
      </c>
      <c r="U66">
        <v>86474774.774774775</v>
      </c>
      <c r="V66">
        <v>90184684.684684694</v>
      </c>
      <c r="W66">
        <v>3872</v>
      </c>
      <c r="X66">
        <v>3875</v>
      </c>
    </row>
    <row r="67" spans="1:24">
      <c r="A67" s="7" t="s">
        <v>142</v>
      </c>
      <c r="B67" s="16" t="s">
        <v>143</v>
      </c>
      <c r="C67">
        <v>1819638.5902918719</v>
      </c>
      <c r="D67">
        <v>1505085.7365683219</v>
      </c>
      <c r="E67">
        <v>18018.018018018</v>
      </c>
      <c r="G67">
        <v>1</v>
      </c>
      <c r="H67">
        <v>1</v>
      </c>
      <c r="M67">
        <v>1</v>
      </c>
      <c r="N67">
        <v>1</v>
      </c>
      <c r="O67">
        <v>18018.018018018</v>
      </c>
      <c r="S67">
        <v>154954.954954955</v>
      </c>
      <c r="T67">
        <v>150090.09009009</v>
      </c>
      <c r="W67">
        <v>141</v>
      </c>
      <c r="X67">
        <v>104</v>
      </c>
    </row>
    <row r="68" spans="1:24">
      <c r="A68" s="7" t="s">
        <v>144</v>
      </c>
      <c r="B68" s="16" t="s">
        <v>140</v>
      </c>
      <c r="C68">
        <v>335159705.49278229</v>
      </c>
      <c r="D68">
        <v>334021723.90980721</v>
      </c>
      <c r="E68">
        <v>385405.40540540701</v>
      </c>
      <c r="F68">
        <v>1786936.9369369389</v>
      </c>
      <c r="G68">
        <v>62</v>
      </c>
      <c r="H68">
        <v>71</v>
      </c>
      <c r="I68">
        <v>9</v>
      </c>
      <c r="J68">
        <v>8</v>
      </c>
      <c r="K68">
        <v>2</v>
      </c>
      <c r="M68">
        <v>73</v>
      </c>
      <c r="N68">
        <v>92</v>
      </c>
      <c r="O68">
        <v>40568288.288288288</v>
      </c>
      <c r="P68">
        <v>36748108.108108103</v>
      </c>
      <c r="Q68">
        <v>193</v>
      </c>
      <c r="R68">
        <v>148</v>
      </c>
      <c r="S68">
        <v>62552027.027027026</v>
      </c>
      <c r="T68">
        <v>62215252.252252258</v>
      </c>
      <c r="U68">
        <v>36651711.711711712</v>
      </c>
      <c r="V68">
        <v>35359549.54954955</v>
      </c>
      <c r="W68">
        <v>7471</v>
      </c>
      <c r="X68">
        <v>7558</v>
      </c>
    </row>
    <row r="69" spans="1:24">
      <c r="A69" s="7" t="s">
        <v>145</v>
      </c>
      <c r="B69" s="16" t="s">
        <v>78</v>
      </c>
      <c r="C69">
        <v>236461472.46457013</v>
      </c>
      <c r="D69">
        <v>235813484.07241169</v>
      </c>
      <c r="E69">
        <v>1570090.0900900911</v>
      </c>
      <c r="F69">
        <v>2732432.4324324322</v>
      </c>
      <c r="G69">
        <v>47</v>
      </c>
      <c r="H69">
        <v>78</v>
      </c>
      <c r="I69">
        <v>7</v>
      </c>
      <c r="J69">
        <v>5</v>
      </c>
      <c r="M69">
        <v>55</v>
      </c>
      <c r="N69">
        <v>91</v>
      </c>
      <c r="O69">
        <v>25768288.288288288</v>
      </c>
      <c r="P69">
        <v>21322522.522522524</v>
      </c>
      <c r="Q69">
        <v>82</v>
      </c>
      <c r="R69">
        <v>8</v>
      </c>
      <c r="S69">
        <v>62770225.225225225</v>
      </c>
      <c r="T69">
        <v>67435963.963963956</v>
      </c>
      <c r="U69">
        <v>25814774.774774775</v>
      </c>
      <c r="V69">
        <v>25087657.657657657</v>
      </c>
      <c r="W69">
        <v>6575</v>
      </c>
      <c r="X69">
        <v>6432</v>
      </c>
    </row>
    <row r="70" spans="1:24">
      <c r="A70" s="7" t="s">
        <v>146</v>
      </c>
      <c r="B70" s="16" t="s">
        <v>147</v>
      </c>
      <c r="C70">
        <v>169074695.55118605</v>
      </c>
      <c r="D70">
        <v>153958117.21056512</v>
      </c>
      <c r="E70">
        <v>90090.090090090001</v>
      </c>
      <c r="F70">
        <v>3131531.5315315342</v>
      </c>
      <c r="G70">
        <v>36</v>
      </c>
      <c r="H70">
        <v>31</v>
      </c>
      <c r="I70">
        <v>4</v>
      </c>
      <c r="J70">
        <v>2</v>
      </c>
      <c r="M70">
        <v>40</v>
      </c>
      <c r="N70">
        <v>39</v>
      </c>
      <c r="O70">
        <v>14295855.855855852</v>
      </c>
      <c r="P70">
        <v>45217651.351351351</v>
      </c>
      <c r="Q70">
        <v>63</v>
      </c>
      <c r="R70">
        <v>34</v>
      </c>
      <c r="S70">
        <v>45364225.225225225</v>
      </c>
      <c r="T70">
        <v>50906360.360360362</v>
      </c>
      <c r="U70">
        <v>16539369.369369367</v>
      </c>
      <c r="V70">
        <v>44484684.684684686</v>
      </c>
      <c r="W70">
        <v>3838</v>
      </c>
      <c r="X70">
        <v>3781</v>
      </c>
    </row>
    <row r="71" spans="1:24">
      <c r="A71" s="7" t="s">
        <v>148</v>
      </c>
      <c r="B71" s="16" t="s">
        <v>94</v>
      </c>
      <c r="D71">
        <v>17.531949365999999</v>
      </c>
    </row>
    <row r="72" spans="1:24">
      <c r="A72" s="7" t="s">
        <v>149</v>
      </c>
      <c r="B72" s="16" t="s">
        <v>50</v>
      </c>
      <c r="C72">
        <v>132611778.89672126</v>
      </c>
      <c r="D72">
        <v>136838045.74945071</v>
      </c>
      <c r="E72">
        <v>232432.43243243301</v>
      </c>
      <c r="F72">
        <v>289189.189189189</v>
      </c>
      <c r="G72">
        <v>30</v>
      </c>
      <c r="H72">
        <v>31</v>
      </c>
      <c r="I72">
        <v>6</v>
      </c>
      <c r="J72">
        <v>2</v>
      </c>
      <c r="M72">
        <v>35</v>
      </c>
      <c r="N72">
        <v>36</v>
      </c>
      <c r="O72">
        <v>14720180.180180181</v>
      </c>
      <c r="P72">
        <v>8010720.7207207214</v>
      </c>
      <c r="Q72">
        <v>16</v>
      </c>
      <c r="R72">
        <v>13</v>
      </c>
      <c r="S72">
        <v>60511036.036036037</v>
      </c>
      <c r="T72">
        <v>61401711.711711712</v>
      </c>
      <c r="U72">
        <v>15726666.666666664</v>
      </c>
      <c r="V72">
        <v>7731531.5315315314</v>
      </c>
      <c r="W72">
        <v>3414</v>
      </c>
      <c r="X72">
        <v>3468</v>
      </c>
    </row>
    <row r="73" spans="1:24">
      <c r="A73" s="7" t="s">
        <v>150</v>
      </c>
      <c r="B73" s="16" t="s">
        <v>151</v>
      </c>
      <c r="C73">
        <v>41398779.24040892</v>
      </c>
      <c r="D73">
        <v>42912852.015424237</v>
      </c>
      <c r="E73">
        <v>90090.090090090001</v>
      </c>
      <c r="F73">
        <v>711711.71171171195</v>
      </c>
      <c r="G73">
        <v>12</v>
      </c>
      <c r="H73">
        <v>9</v>
      </c>
      <c r="I73">
        <v>9</v>
      </c>
      <c r="J73">
        <v>1</v>
      </c>
      <c r="M73">
        <v>13</v>
      </c>
      <c r="N73">
        <v>10</v>
      </c>
      <c r="O73">
        <v>57691351.351351351</v>
      </c>
      <c r="P73">
        <v>27918918.918918919</v>
      </c>
      <c r="Q73">
        <v>27</v>
      </c>
      <c r="R73">
        <v>17</v>
      </c>
      <c r="S73">
        <v>9868243.2432432435</v>
      </c>
      <c r="T73">
        <v>11575711.711711712</v>
      </c>
      <c r="U73">
        <v>42494234.234234229</v>
      </c>
      <c r="V73">
        <v>16354774.774774777</v>
      </c>
      <c r="W73">
        <v>660</v>
      </c>
      <c r="X73">
        <v>693</v>
      </c>
    </row>
    <row r="74" spans="1:24">
      <c r="A74" s="7" t="s">
        <v>152</v>
      </c>
      <c r="B74" s="16" t="s">
        <v>151</v>
      </c>
      <c r="C74">
        <v>412712659.72851217</v>
      </c>
      <c r="D74">
        <v>411562936.58034027</v>
      </c>
      <c r="E74">
        <v>191024009.90990993</v>
      </c>
      <c r="F74">
        <v>577476393.69369364</v>
      </c>
      <c r="G74">
        <v>154</v>
      </c>
      <c r="H74">
        <v>247</v>
      </c>
      <c r="I74">
        <v>28</v>
      </c>
      <c r="J74">
        <v>22</v>
      </c>
      <c r="M74">
        <v>169</v>
      </c>
      <c r="N74">
        <v>275</v>
      </c>
      <c r="O74">
        <v>482652162.16216218</v>
      </c>
      <c r="P74">
        <v>313346918.91891891</v>
      </c>
      <c r="Q74">
        <v>173</v>
      </c>
      <c r="R74">
        <v>123</v>
      </c>
      <c r="S74">
        <v>141531790.990991</v>
      </c>
      <c r="T74">
        <v>145618639.63963965</v>
      </c>
      <c r="U74">
        <v>400053372.97297299</v>
      </c>
      <c r="V74">
        <v>219631520.72072071</v>
      </c>
      <c r="W74">
        <v>8041</v>
      </c>
      <c r="X74">
        <v>7955</v>
      </c>
    </row>
    <row r="75" spans="1:24">
      <c r="A75" s="7" t="s">
        <v>153</v>
      </c>
      <c r="B75" s="16" t="s">
        <v>154</v>
      </c>
      <c r="C75">
        <v>375786506.32301354</v>
      </c>
      <c r="D75">
        <v>353413655.96424609</v>
      </c>
      <c r="E75">
        <v>2747747.7477477482</v>
      </c>
      <c r="F75">
        <v>381756.75675675803</v>
      </c>
      <c r="G75">
        <v>25</v>
      </c>
      <c r="H75">
        <v>49</v>
      </c>
      <c r="I75">
        <v>1</v>
      </c>
      <c r="J75">
        <v>1</v>
      </c>
      <c r="M75">
        <v>28</v>
      </c>
      <c r="N75">
        <v>57</v>
      </c>
      <c r="O75">
        <v>42721081.081081077</v>
      </c>
      <c r="P75">
        <v>47018918.918918923</v>
      </c>
      <c r="Q75">
        <v>55</v>
      </c>
      <c r="R75">
        <v>88</v>
      </c>
      <c r="S75">
        <v>162029727.92792794</v>
      </c>
      <c r="T75">
        <v>146603891.8918919</v>
      </c>
      <c r="U75">
        <v>45155585.585585587</v>
      </c>
      <c r="V75">
        <v>41656486.486486487</v>
      </c>
      <c r="W75">
        <v>7089</v>
      </c>
      <c r="X75">
        <v>5913</v>
      </c>
    </row>
    <row r="76" spans="1:24">
      <c r="A76" s="7" t="s">
        <v>155</v>
      </c>
      <c r="B76" s="16" t="s">
        <v>154</v>
      </c>
      <c r="C76">
        <v>55407548.54819604</v>
      </c>
      <c r="D76">
        <v>42417220.712303363</v>
      </c>
      <c r="E76">
        <v>18023423.423423424</v>
      </c>
      <c r="F76">
        <v>127928828.82882883</v>
      </c>
      <c r="G76">
        <v>15</v>
      </c>
      <c r="H76">
        <v>9</v>
      </c>
      <c r="I76">
        <v>3</v>
      </c>
      <c r="J76">
        <v>2</v>
      </c>
      <c r="M76">
        <v>19</v>
      </c>
      <c r="N76">
        <v>12</v>
      </c>
      <c r="O76">
        <v>9499324.3243243247</v>
      </c>
      <c r="P76">
        <v>4611711.711711714</v>
      </c>
      <c r="Q76">
        <v>1</v>
      </c>
      <c r="R76">
        <v>33</v>
      </c>
      <c r="S76">
        <v>15027162.162162162</v>
      </c>
      <c r="T76">
        <v>10685891.891891891</v>
      </c>
      <c r="U76">
        <v>647747.74774774804</v>
      </c>
      <c r="V76">
        <v>3950360.3603603598</v>
      </c>
      <c r="W76">
        <v>2017</v>
      </c>
      <c r="X76">
        <v>1901</v>
      </c>
    </row>
    <row r="77" spans="1:24">
      <c r="A77" s="7" t="s">
        <v>156</v>
      </c>
      <c r="B77" s="16" t="s">
        <v>154</v>
      </c>
      <c r="C77">
        <v>490492839.5605588</v>
      </c>
      <c r="D77">
        <v>396903901.96179938</v>
      </c>
      <c r="E77">
        <v>112797185.58558558</v>
      </c>
      <c r="F77">
        <v>93897143.243243247</v>
      </c>
      <c r="G77">
        <v>88</v>
      </c>
      <c r="H77">
        <v>25</v>
      </c>
      <c r="I77">
        <v>8</v>
      </c>
      <c r="J77">
        <v>5</v>
      </c>
      <c r="M77">
        <v>138</v>
      </c>
      <c r="N77">
        <v>31</v>
      </c>
      <c r="O77">
        <v>106757054.05405405</v>
      </c>
      <c r="P77">
        <v>95790540.540540546</v>
      </c>
      <c r="Q77">
        <v>37</v>
      </c>
      <c r="R77">
        <v>183</v>
      </c>
      <c r="S77">
        <v>186360801.8018018</v>
      </c>
      <c r="T77">
        <v>154229477.47747746</v>
      </c>
      <c r="U77">
        <v>88851801.801801786</v>
      </c>
      <c r="V77">
        <v>85719099.0990991</v>
      </c>
      <c r="W77">
        <v>8104</v>
      </c>
      <c r="X77">
        <v>8922</v>
      </c>
    </row>
    <row r="78" spans="1:24">
      <c r="A78" s="7" t="s">
        <v>157</v>
      </c>
      <c r="B78" s="16" t="s">
        <v>134</v>
      </c>
      <c r="C78">
        <v>187205619.26575822</v>
      </c>
      <c r="D78">
        <v>186315402.50720665</v>
      </c>
      <c r="E78">
        <v>460360.360360361</v>
      </c>
      <c r="F78">
        <v>791891.89189189498</v>
      </c>
      <c r="G78">
        <v>42</v>
      </c>
      <c r="H78">
        <v>34</v>
      </c>
      <c r="I78">
        <v>12</v>
      </c>
      <c r="J78">
        <v>6</v>
      </c>
      <c r="K78">
        <v>1</v>
      </c>
      <c r="M78">
        <v>48</v>
      </c>
      <c r="N78">
        <v>40</v>
      </c>
      <c r="O78">
        <v>21072972.972972974</v>
      </c>
      <c r="P78">
        <v>18332440.540540539</v>
      </c>
      <c r="Q78">
        <v>154</v>
      </c>
      <c r="R78">
        <v>127</v>
      </c>
      <c r="S78">
        <v>16222432.432432432</v>
      </c>
      <c r="T78">
        <v>19355279.27927928</v>
      </c>
      <c r="U78">
        <v>8249369.3693693681</v>
      </c>
      <c r="V78">
        <v>8287387.3873873875</v>
      </c>
      <c r="W78">
        <v>4460</v>
      </c>
      <c r="X78">
        <v>4453</v>
      </c>
    </row>
    <row r="79" spans="1:24">
      <c r="A79" s="7" t="s">
        <v>1</v>
      </c>
      <c r="B79" s="16" t="s">
        <v>158</v>
      </c>
      <c r="C79">
        <v>331522592.94381511</v>
      </c>
      <c r="D79">
        <v>333032195.60686231</v>
      </c>
      <c r="E79">
        <v>563513.51351351605</v>
      </c>
      <c r="F79">
        <v>2395495.4954954982</v>
      </c>
      <c r="G79">
        <v>238</v>
      </c>
      <c r="H79">
        <v>80</v>
      </c>
      <c r="I79">
        <v>12</v>
      </c>
      <c r="J79">
        <v>12</v>
      </c>
      <c r="K79">
        <v>2</v>
      </c>
      <c r="M79">
        <v>446</v>
      </c>
      <c r="N79">
        <v>347</v>
      </c>
      <c r="O79">
        <v>33316846.846846849</v>
      </c>
      <c r="P79">
        <v>40213603.603603601</v>
      </c>
      <c r="Q79">
        <v>161</v>
      </c>
      <c r="R79">
        <v>87</v>
      </c>
      <c r="S79">
        <v>152732430.63063061</v>
      </c>
      <c r="T79">
        <v>158816441.44144145</v>
      </c>
      <c r="U79">
        <v>34620720.720720723</v>
      </c>
      <c r="V79">
        <v>37817477.477477483</v>
      </c>
      <c r="W79">
        <v>7965</v>
      </c>
      <c r="X79">
        <v>8372</v>
      </c>
    </row>
    <row r="80" spans="1:24">
      <c r="A80" s="7" t="s">
        <v>159</v>
      </c>
      <c r="B80" s="16" t="s">
        <v>121</v>
      </c>
      <c r="C80">
        <v>14215014.178965775</v>
      </c>
      <c r="D80">
        <v>12518802.76783918</v>
      </c>
      <c r="G80">
        <v>15</v>
      </c>
      <c r="H80">
        <v>5</v>
      </c>
      <c r="M80">
        <v>16</v>
      </c>
      <c r="N80">
        <v>6</v>
      </c>
      <c r="O80">
        <v>972972.97297297302</v>
      </c>
      <c r="Q80">
        <v>8</v>
      </c>
      <c r="S80">
        <v>1597162.1621621619</v>
      </c>
      <c r="T80">
        <v>1184729.7297297299</v>
      </c>
      <c r="U80">
        <v>348468.468468468</v>
      </c>
      <c r="V80">
        <v>29729.729729729999</v>
      </c>
      <c r="W80">
        <v>612</v>
      </c>
      <c r="X80">
        <v>478</v>
      </c>
    </row>
    <row r="81" spans="1:24">
      <c r="A81" s="7" t="s">
        <v>160</v>
      </c>
      <c r="B81" s="16" t="s">
        <v>161</v>
      </c>
      <c r="C81">
        <v>171169381.44757202</v>
      </c>
      <c r="D81">
        <v>175805900.08104438</v>
      </c>
      <c r="E81">
        <v>99418804.504504517</v>
      </c>
      <c r="F81">
        <v>114755406.30630632</v>
      </c>
      <c r="G81">
        <v>88</v>
      </c>
      <c r="H81">
        <v>138</v>
      </c>
      <c r="I81">
        <v>34</v>
      </c>
      <c r="J81">
        <v>37</v>
      </c>
      <c r="M81">
        <v>109</v>
      </c>
      <c r="N81">
        <v>216</v>
      </c>
      <c r="O81">
        <v>54052176.576576568</v>
      </c>
      <c r="P81">
        <v>60857314.414414421</v>
      </c>
      <c r="Q81">
        <v>177</v>
      </c>
      <c r="R81">
        <v>109</v>
      </c>
      <c r="S81">
        <v>72590450.45045045</v>
      </c>
      <c r="T81">
        <v>76864684.684684694</v>
      </c>
      <c r="U81">
        <v>50145855.855855852</v>
      </c>
      <c r="V81">
        <v>46623513.51351352</v>
      </c>
      <c r="W81">
        <v>5991</v>
      </c>
      <c r="X81">
        <v>6009</v>
      </c>
    </row>
    <row r="82" spans="1:24">
      <c r="A82" s="7" t="s">
        <v>162</v>
      </c>
      <c r="B82" s="16" t="s">
        <v>76</v>
      </c>
      <c r="C82">
        <v>80519686.600637481</v>
      </c>
      <c r="D82">
        <v>78732611.012511387</v>
      </c>
      <c r="E82">
        <v>191891.89189189201</v>
      </c>
      <c r="F82">
        <v>353153.15315315401</v>
      </c>
      <c r="G82">
        <v>18</v>
      </c>
      <c r="H82">
        <v>37</v>
      </c>
      <c r="I82">
        <v>1</v>
      </c>
      <c r="J82">
        <v>1</v>
      </c>
      <c r="M82">
        <v>20</v>
      </c>
      <c r="N82">
        <v>41</v>
      </c>
      <c r="O82">
        <v>1286486.4864864859</v>
      </c>
      <c r="P82">
        <v>1497297.297297297</v>
      </c>
      <c r="Q82">
        <v>10</v>
      </c>
      <c r="R82">
        <v>9</v>
      </c>
      <c r="S82">
        <v>4785360.3603603607</v>
      </c>
      <c r="T82">
        <v>4441846.8468468469</v>
      </c>
      <c r="U82">
        <v>1282162.1621621619</v>
      </c>
      <c r="V82">
        <v>1219459.4594594589</v>
      </c>
      <c r="W82">
        <v>1028</v>
      </c>
      <c r="X82">
        <v>984</v>
      </c>
    </row>
    <row r="83" spans="1:24">
      <c r="A83" s="7" t="s">
        <v>163</v>
      </c>
      <c r="B83" s="16" t="s">
        <v>52</v>
      </c>
      <c r="C83">
        <v>61126564.343949176</v>
      </c>
      <c r="D83">
        <v>61377205.249144338</v>
      </c>
      <c r="E83">
        <v>808783.78378378402</v>
      </c>
      <c r="F83">
        <v>908108.10810810805</v>
      </c>
      <c r="G83">
        <v>9</v>
      </c>
      <c r="H83">
        <v>26</v>
      </c>
      <c r="I83">
        <v>1</v>
      </c>
      <c r="J83">
        <v>2</v>
      </c>
      <c r="M83">
        <v>11</v>
      </c>
      <c r="N83">
        <v>28</v>
      </c>
      <c r="O83">
        <v>1731531.5315315321</v>
      </c>
      <c r="P83">
        <v>1124324.324324324</v>
      </c>
      <c r="Q83">
        <v>1</v>
      </c>
      <c r="R83">
        <v>13</v>
      </c>
      <c r="S83">
        <v>29990945.945945945</v>
      </c>
      <c r="T83">
        <v>30105765.765765768</v>
      </c>
      <c r="U83">
        <v>1465675.675675676</v>
      </c>
      <c r="V83">
        <v>1298108.1081081091</v>
      </c>
      <c r="W83">
        <v>1533</v>
      </c>
      <c r="X83">
        <v>1597</v>
      </c>
    </row>
    <row r="84" spans="1:24">
      <c r="A84" s="7" t="s">
        <v>164</v>
      </c>
      <c r="B84" s="16" t="s">
        <v>87</v>
      </c>
      <c r="C84">
        <v>52598478.846988879</v>
      </c>
      <c r="D84">
        <v>31556582.393688377</v>
      </c>
      <c r="E84">
        <v>47747.747747747999</v>
      </c>
      <c r="F84">
        <v>54054.054054054002</v>
      </c>
      <c r="G84">
        <v>82</v>
      </c>
      <c r="H84">
        <v>9</v>
      </c>
      <c r="I84">
        <v>1</v>
      </c>
      <c r="J84">
        <v>1</v>
      </c>
      <c r="M84">
        <v>86</v>
      </c>
      <c r="N84">
        <v>11</v>
      </c>
      <c r="O84">
        <v>1912612.6126126121</v>
      </c>
      <c r="P84">
        <v>264864.86486486398</v>
      </c>
      <c r="Q84">
        <v>32</v>
      </c>
      <c r="R84">
        <v>9</v>
      </c>
      <c r="S84">
        <v>5393918.9189189188</v>
      </c>
      <c r="T84">
        <v>2965450.4504504502</v>
      </c>
      <c r="U84">
        <v>2334594.594594595</v>
      </c>
      <c r="V84">
        <v>258918.918918918</v>
      </c>
      <c r="W84">
        <v>1248</v>
      </c>
      <c r="X84">
        <v>1143</v>
      </c>
    </row>
    <row r="85" spans="1:24">
      <c r="A85" s="7" t="s">
        <v>165</v>
      </c>
      <c r="B85" s="16" t="s">
        <v>143</v>
      </c>
      <c r="C85">
        <v>9592797.1516370773</v>
      </c>
      <c r="D85">
        <v>10800513.687054737</v>
      </c>
      <c r="E85">
        <v>286486.48648648598</v>
      </c>
      <c r="F85">
        <v>108108.108108108</v>
      </c>
      <c r="G85">
        <v>6</v>
      </c>
      <c r="H85">
        <v>9</v>
      </c>
      <c r="I85">
        <v>3</v>
      </c>
      <c r="J85">
        <v>2</v>
      </c>
      <c r="M85">
        <v>8</v>
      </c>
      <c r="N85">
        <v>9</v>
      </c>
      <c r="O85">
        <v>3097297.297297297</v>
      </c>
      <c r="P85">
        <v>1009009.009009009</v>
      </c>
      <c r="Q85">
        <v>25</v>
      </c>
      <c r="R85">
        <v>2</v>
      </c>
      <c r="S85">
        <v>1366936.936936937</v>
      </c>
      <c r="T85">
        <v>1323621.621621622</v>
      </c>
      <c r="U85">
        <v>1941441.441441441</v>
      </c>
      <c r="V85">
        <v>430090.09009009</v>
      </c>
      <c r="W85">
        <v>326</v>
      </c>
      <c r="X85">
        <v>328</v>
      </c>
    </row>
    <row r="86" spans="1:24">
      <c r="A86" s="7" t="s">
        <v>166</v>
      </c>
      <c r="B86" s="16" t="s">
        <v>167</v>
      </c>
      <c r="C86">
        <v>40303553.822024383</v>
      </c>
      <c r="D86">
        <v>43770552.4742461</v>
      </c>
      <c r="E86">
        <v>13513.513513514001</v>
      </c>
      <c r="F86">
        <v>640540.54054054106</v>
      </c>
      <c r="G86">
        <v>23</v>
      </c>
      <c r="H86">
        <v>10</v>
      </c>
      <c r="I86">
        <v>3</v>
      </c>
      <c r="J86">
        <v>2</v>
      </c>
      <c r="M86">
        <v>26</v>
      </c>
      <c r="N86">
        <v>10</v>
      </c>
      <c r="O86">
        <v>4309189.189189191</v>
      </c>
      <c r="P86">
        <v>4476126.1261261264</v>
      </c>
      <c r="R86">
        <v>32</v>
      </c>
      <c r="S86">
        <v>19094729.729729727</v>
      </c>
      <c r="T86">
        <v>21343430.630630631</v>
      </c>
      <c r="U86">
        <v>4233423.4234234262</v>
      </c>
      <c r="V86">
        <v>4064774.774774774</v>
      </c>
      <c r="W86">
        <v>1390</v>
      </c>
      <c r="X86">
        <v>1398</v>
      </c>
    </row>
    <row r="87" spans="1:24">
      <c r="A87" s="7" t="s">
        <v>168</v>
      </c>
      <c r="B87" s="16" t="s">
        <v>169</v>
      </c>
      <c r="C87">
        <v>194214904.70005974</v>
      </c>
      <c r="D87">
        <v>200626809.89607078</v>
      </c>
      <c r="E87">
        <v>518468.46846846899</v>
      </c>
      <c r="F87">
        <v>1428828.828828831</v>
      </c>
      <c r="G87">
        <v>41</v>
      </c>
      <c r="H87">
        <v>43</v>
      </c>
      <c r="I87">
        <v>4</v>
      </c>
      <c r="J87">
        <v>3</v>
      </c>
      <c r="K87">
        <v>1</v>
      </c>
      <c r="M87">
        <v>52</v>
      </c>
      <c r="N87">
        <v>48</v>
      </c>
      <c r="O87">
        <v>25896846.846846849</v>
      </c>
      <c r="P87">
        <v>32095745.045045044</v>
      </c>
      <c r="Q87">
        <v>125</v>
      </c>
      <c r="R87">
        <v>28</v>
      </c>
      <c r="S87">
        <v>54074171.171171166</v>
      </c>
      <c r="T87">
        <v>62578912.162162162</v>
      </c>
      <c r="U87">
        <v>24178648.648648649</v>
      </c>
      <c r="V87">
        <v>32864234.234234232</v>
      </c>
      <c r="W87">
        <v>6211</v>
      </c>
      <c r="X87">
        <v>6375</v>
      </c>
    </row>
    <row r="88" spans="1:24">
      <c r="A88" s="7" t="s">
        <v>170</v>
      </c>
      <c r="B88" s="16" t="s">
        <v>54</v>
      </c>
      <c r="C88">
        <v>29731084.776971195</v>
      </c>
      <c r="D88">
        <v>29612336.004522331</v>
      </c>
      <c r="E88">
        <v>43243.243243243996</v>
      </c>
      <c r="F88">
        <v>381081.08108108101</v>
      </c>
      <c r="G88">
        <v>3</v>
      </c>
      <c r="H88">
        <v>2</v>
      </c>
      <c r="I88">
        <v>1</v>
      </c>
      <c r="J88">
        <v>1</v>
      </c>
      <c r="M88">
        <v>5</v>
      </c>
      <c r="N88">
        <v>3</v>
      </c>
      <c r="O88">
        <v>4795495.4954954963</v>
      </c>
      <c r="P88">
        <v>2680630.630630631</v>
      </c>
      <c r="Q88">
        <v>15</v>
      </c>
      <c r="R88">
        <v>6</v>
      </c>
      <c r="S88">
        <v>4815405.405405405</v>
      </c>
      <c r="T88">
        <v>4769459.4594594594</v>
      </c>
      <c r="U88">
        <v>3574774.774774774</v>
      </c>
      <c r="V88">
        <v>3079909.9099099091</v>
      </c>
      <c r="W88">
        <v>688</v>
      </c>
      <c r="X88">
        <v>687</v>
      </c>
    </row>
    <row r="89" spans="1:24">
      <c r="A89" s="7" t="s">
        <v>171</v>
      </c>
      <c r="B89" s="16" t="s">
        <v>60</v>
      </c>
      <c r="C89">
        <v>640038352.46293366</v>
      </c>
      <c r="D89">
        <v>621494952.68379784</v>
      </c>
      <c r="E89">
        <v>4059684.6846846859</v>
      </c>
      <c r="F89">
        <v>7465765.7657657666</v>
      </c>
      <c r="G89">
        <v>139</v>
      </c>
      <c r="H89">
        <v>162</v>
      </c>
      <c r="I89">
        <v>24</v>
      </c>
      <c r="J89">
        <v>33</v>
      </c>
      <c r="M89">
        <v>149</v>
      </c>
      <c r="N89">
        <v>188</v>
      </c>
      <c r="O89">
        <v>37073873.873873875</v>
      </c>
      <c r="P89">
        <v>30597297.297297295</v>
      </c>
      <c r="Q89">
        <v>272</v>
      </c>
      <c r="R89">
        <v>141</v>
      </c>
      <c r="S89">
        <v>220185292.7927928</v>
      </c>
      <c r="T89">
        <v>228465873.87387389</v>
      </c>
      <c r="U89">
        <v>37795585.585585587</v>
      </c>
      <c r="V89">
        <v>30447117.117117114</v>
      </c>
      <c r="W89">
        <v>11841</v>
      </c>
      <c r="X89">
        <v>12190</v>
      </c>
    </row>
    <row r="90" spans="1:24">
      <c r="A90" s="7" t="s">
        <v>172</v>
      </c>
      <c r="B90" s="16" t="s">
        <v>121</v>
      </c>
      <c r="C90">
        <v>263866397.91815829</v>
      </c>
      <c r="D90">
        <v>254380967.57171658</v>
      </c>
      <c r="E90">
        <v>1156756.756756759</v>
      </c>
      <c r="F90">
        <v>1552252.2522522539</v>
      </c>
      <c r="G90">
        <v>165</v>
      </c>
      <c r="H90">
        <v>103</v>
      </c>
      <c r="I90">
        <v>16</v>
      </c>
      <c r="J90">
        <v>13</v>
      </c>
      <c r="M90">
        <v>180</v>
      </c>
      <c r="N90">
        <v>114</v>
      </c>
      <c r="O90">
        <v>18509009.009009007</v>
      </c>
      <c r="P90">
        <v>20736507.207207203</v>
      </c>
      <c r="Q90">
        <v>83</v>
      </c>
      <c r="R90">
        <v>29</v>
      </c>
      <c r="S90">
        <v>36896756.756756753</v>
      </c>
      <c r="T90">
        <v>35570799.54954955</v>
      </c>
      <c r="U90">
        <v>13482702.702702701</v>
      </c>
      <c r="V90">
        <v>10996396.396396395</v>
      </c>
      <c r="W90">
        <v>5989</v>
      </c>
      <c r="X90">
        <v>6172</v>
      </c>
    </row>
    <row r="91" spans="1:24">
      <c r="A91" s="7" t="s">
        <v>173</v>
      </c>
      <c r="B91" s="16" t="s">
        <v>174</v>
      </c>
      <c r="C91">
        <v>192789274.79391912</v>
      </c>
      <c r="D91">
        <v>184866228.40279871</v>
      </c>
      <c r="E91">
        <v>120032671.17117117</v>
      </c>
      <c r="F91">
        <v>83514761.261261269</v>
      </c>
      <c r="G91">
        <v>60</v>
      </c>
      <c r="H91">
        <v>90</v>
      </c>
      <c r="I91">
        <v>16</v>
      </c>
      <c r="J91">
        <v>13</v>
      </c>
      <c r="K91">
        <v>5</v>
      </c>
      <c r="M91">
        <v>73</v>
      </c>
      <c r="N91">
        <v>150</v>
      </c>
      <c r="O91">
        <v>34731981.981981985</v>
      </c>
      <c r="P91">
        <v>39838288.288288288</v>
      </c>
      <c r="Q91">
        <v>389</v>
      </c>
      <c r="R91">
        <v>227</v>
      </c>
      <c r="S91">
        <v>22678756.756756756</v>
      </c>
      <c r="T91">
        <v>22467297.297297295</v>
      </c>
      <c r="U91">
        <v>20654954.954954952</v>
      </c>
      <c r="V91">
        <v>24783243.24324324</v>
      </c>
      <c r="W91">
        <v>4524</v>
      </c>
      <c r="X91">
        <v>4503</v>
      </c>
    </row>
    <row r="92" spans="1:24">
      <c r="A92" s="7" t="s">
        <v>175</v>
      </c>
      <c r="B92" s="16" t="s">
        <v>174</v>
      </c>
      <c r="C92">
        <v>290937667.50475323</v>
      </c>
      <c r="D92">
        <v>290111764.67796862</v>
      </c>
      <c r="E92">
        <v>11672072.072072078</v>
      </c>
      <c r="F92">
        <v>19381756.75675676</v>
      </c>
      <c r="G92">
        <v>116</v>
      </c>
      <c r="H92">
        <v>134</v>
      </c>
      <c r="I92">
        <v>28</v>
      </c>
      <c r="J92">
        <v>13</v>
      </c>
      <c r="K92">
        <v>1</v>
      </c>
      <c r="M92">
        <v>144</v>
      </c>
      <c r="N92">
        <v>169</v>
      </c>
      <c r="O92">
        <v>48667567.567567565</v>
      </c>
      <c r="P92">
        <v>36445945.945945941</v>
      </c>
      <c r="Q92">
        <v>386</v>
      </c>
      <c r="R92">
        <v>186</v>
      </c>
      <c r="S92">
        <v>51977861.261261262</v>
      </c>
      <c r="T92">
        <v>49141000</v>
      </c>
      <c r="U92">
        <v>42466482.882882886</v>
      </c>
      <c r="V92">
        <v>29951441.441441439</v>
      </c>
      <c r="W92">
        <v>8511</v>
      </c>
      <c r="X92">
        <v>8441</v>
      </c>
    </row>
    <row r="93" spans="1:24">
      <c r="A93" s="7" t="s">
        <v>176</v>
      </c>
      <c r="B93" s="16" t="s">
        <v>174</v>
      </c>
      <c r="C93">
        <v>394350000.39582044</v>
      </c>
      <c r="D93">
        <v>393344857.96146423</v>
      </c>
      <c r="E93">
        <v>427027.02702702902</v>
      </c>
      <c r="F93">
        <v>1649774.774774781</v>
      </c>
      <c r="G93">
        <v>187</v>
      </c>
      <c r="H93">
        <v>193</v>
      </c>
      <c r="I93">
        <v>19</v>
      </c>
      <c r="J93">
        <v>17</v>
      </c>
      <c r="K93">
        <v>4</v>
      </c>
      <c r="M93">
        <v>248</v>
      </c>
      <c r="N93">
        <v>246</v>
      </c>
      <c r="O93">
        <v>55159917.117117122</v>
      </c>
      <c r="P93">
        <v>38084684.684684686</v>
      </c>
      <c r="Q93">
        <v>371</v>
      </c>
      <c r="R93">
        <v>86</v>
      </c>
      <c r="S93">
        <v>66713346.846846849</v>
      </c>
      <c r="T93">
        <v>59761887.387387395</v>
      </c>
      <c r="U93">
        <v>38093783.783783786</v>
      </c>
      <c r="V93">
        <v>32238288.288288288</v>
      </c>
      <c r="W93">
        <v>11528</v>
      </c>
      <c r="X93">
        <v>11928</v>
      </c>
    </row>
    <row r="94" spans="1:24">
      <c r="A94" s="7" t="s">
        <v>177</v>
      </c>
      <c r="B94" s="16" t="s">
        <v>178</v>
      </c>
      <c r="C94">
        <v>142123205.92066368</v>
      </c>
      <c r="D94">
        <v>132047217.63384579</v>
      </c>
      <c r="E94">
        <v>541441.441441442</v>
      </c>
      <c r="F94">
        <v>282882.88288288302</v>
      </c>
      <c r="G94">
        <v>45</v>
      </c>
      <c r="H94">
        <v>19</v>
      </c>
      <c r="I94">
        <v>0</v>
      </c>
      <c r="J94">
        <v>4</v>
      </c>
      <c r="M94">
        <v>56</v>
      </c>
      <c r="N94">
        <v>26</v>
      </c>
      <c r="O94">
        <v>6184770.2702702694</v>
      </c>
      <c r="P94">
        <v>9399324.3243243247</v>
      </c>
      <c r="Q94">
        <v>6</v>
      </c>
      <c r="R94">
        <v>12</v>
      </c>
      <c r="S94">
        <v>48188963.963963963</v>
      </c>
      <c r="T94">
        <v>53883772.972972974</v>
      </c>
      <c r="U94">
        <v>4618378.3783783792</v>
      </c>
      <c r="V94">
        <v>9009054.0540540535</v>
      </c>
      <c r="W94">
        <v>3602</v>
      </c>
      <c r="X94">
        <v>3543</v>
      </c>
    </row>
    <row r="95" spans="1:24">
      <c r="A95" s="7" t="s">
        <v>179</v>
      </c>
      <c r="B95" s="16" t="s">
        <v>167</v>
      </c>
      <c r="C95">
        <v>178918225.00546917</v>
      </c>
      <c r="D95">
        <v>154371159.88251984</v>
      </c>
      <c r="E95">
        <v>617117.11711711797</v>
      </c>
      <c r="F95">
        <v>1774549.5495495501</v>
      </c>
      <c r="G95">
        <v>65</v>
      </c>
      <c r="H95">
        <v>25</v>
      </c>
      <c r="I95">
        <v>1</v>
      </c>
      <c r="J95">
        <v>3</v>
      </c>
      <c r="M95">
        <v>79</v>
      </c>
      <c r="N95">
        <v>39</v>
      </c>
      <c r="O95">
        <v>6325585.5855855858</v>
      </c>
      <c r="P95">
        <v>3490990.9909909931</v>
      </c>
      <c r="Q95">
        <v>43</v>
      </c>
      <c r="S95">
        <v>44076207.20720721</v>
      </c>
      <c r="T95">
        <v>38737351.351351351</v>
      </c>
      <c r="U95">
        <v>7652612.6126126153</v>
      </c>
      <c r="V95">
        <v>1704324.324324325</v>
      </c>
      <c r="W95">
        <v>4744</v>
      </c>
      <c r="X95">
        <v>4696</v>
      </c>
    </row>
    <row r="96" spans="1:24">
      <c r="A96" s="7" t="s">
        <v>180</v>
      </c>
      <c r="B96" s="16" t="s">
        <v>181</v>
      </c>
      <c r="C96">
        <v>134351454.24637452</v>
      </c>
      <c r="D96">
        <v>126320739.44502896</v>
      </c>
      <c r="E96">
        <v>5405.4054054059998</v>
      </c>
      <c r="F96">
        <v>310810.81081081199</v>
      </c>
      <c r="G96">
        <v>18</v>
      </c>
      <c r="H96">
        <v>22</v>
      </c>
      <c r="I96">
        <v>1</v>
      </c>
      <c r="J96">
        <v>1</v>
      </c>
      <c r="M96">
        <v>19</v>
      </c>
      <c r="N96">
        <v>25</v>
      </c>
      <c r="O96">
        <v>8533783.7837837841</v>
      </c>
      <c r="P96">
        <v>7270090.0900900867</v>
      </c>
      <c r="Q96">
        <v>43</v>
      </c>
      <c r="R96">
        <v>54</v>
      </c>
      <c r="S96">
        <v>28304819.819819819</v>
      </c>
      <c r="T96">
        <v>31846263.513513513</v>
      </c>
      <c r="U96">
        <v>10546396.396396397</v>
      </c>
      <c r="V96">
        <v>8390360.360360356</v>
      </c>
      <c r="W96">
        <v>2937</v>
      </c>
      <c r="X96">
        <v>2990</v>
      </c>
    </row>
    <row r="97" spans="1:24">
      <c r="A97" s="7" t="s">
        <v>182</v>
      </c>
      <c r="B97" s="16" t="s">
        <v>94</v>
      </c>
      <c r="C97">
        <v>114127105.88480245</v>
      </c>
      <c r="D97">
        <v>125228671.68181051</v>
      </c>
      <c r="E97">
        <v>141441.44144144101</v>
      </c>
      <c r="F97">
        <v>40540.540540540998</v>
      </c>
      <c r="G97">
        <v>43</v>
      </c>
      <c r="H97">
        <v>37</v>
      </c>
      <c r="I97">
        <v>0</v>
      </c>
      <c r="J97">
        <v>0</v>
      </c>
      <c r="K97">
        <v>1</v>
      </c>
      <c r="M97">
        <v>51</v>
      </c>
      <c r="N97">
        <v>48</v>
      </c>
      <c r="O97">
        <v>141441.44144144101</v>
      </c>
      <c r="P97">
        <v>4463963.9639639631</v>
      </c>
      <c r="R97">
        <v>17</v>
      </c>
      <c r="S97">
        <v>10281216.216216216</v>
      </c>
      <c r="T97">
        <v>13412918.918918921</v>
      </c>
      <c r="U97">
        <v>881171.17117117101</v>
      </c>
      <c r="V97">
        <v>1462522.5225225231</v>
      </c>
      <c r="W97">
        <v>3717</v>
      </c>
      <c r="X97">
        <v>3892</v>
      </c>
    </row>
    <row r="98" spans="1:24">
      <c r="A98" s="7" t="s">
        <v>183</v>
      </c>
      <c r="B98" s="16" t="s">
        <v>94</v>
      </c>
      <c r="C98">
        <v>799978241.90845931</v>
      </c>
      <c r="D98">
        <v>761833261.60816836</v>
      </c>
      <c r="E98">
        <v>544412588.28828835</v>
      </c>
      <c r="F98">
        <v>962197239.63963974</v>
      </c>
      <c r="G98">
        <v>184</v>
      </c>
      <c r="H98">
        <v>152</v>
      </c>
      <c r="I98">
        <v>28</v>
      </c>
      <c r="J98">
        <v>22</v>
      </c>
      <c r="K98">
        <v>2</v>
      </c>
      <c r="M98">
        <v>212</v>
      </c>
      <c r="N98">
        <v>193</v>
      </c>
      <c r="O98">
        <v>42863513.513513513</v>
      </c>
      <c r="P98">
        <v>51277927.927927926</v>
      </c>
      <c r="Q98">
        <v>110</v>
      </c>
      <c r="R98">
        <v>523</v>
      </c>
      <c r="S98">
        <v>90935878.378378391</v>
      </c>
      <c r="T98">
        <v>94134781.531531543</v>
      </c>
      <c r="U98">
        <v>37295225.225225225</v>
      </c>
      <c r="V98">
        <v>42005225.225225225</v>
      </c>
      <c r="W98">
        <v>16205</v>
      </c>
      <c r="X98">
        <v>16223</v>
      </c>
    </row>
    <row r="99" spans="1:24">
      <c r="A99" s="7" t="s">
        <v>184</v>
      </c>
      <c r="B99" s="16" t="s">
        <v>89</v>
      </c>
      <c r="C99">
        <v>71248138.29604122</v>
      </c>
      <c r="D99">
        <v>68086994.529823765</v>
      </c>
      <c r="E99">
        <v>1047297.297297298</v>
      </c>
      <c r="F99">
        <v>695270.27027027099</v>
      </c>
      <c r="G99">
        <v>13</v>
      </c>
      <c r="H99">
        <v>17</v>
      </c>
      <c r="I99">
        <v>2</v>
      </c>
      <c r="J99">
        <v>5</v>
      </c>
      <c r="M99">
        <v>14</v>
      </c>
      <c r="N99">
        <v>18</v>
      </c>
      <c r="O99">
        <v>2835585.5855855849</v>
      </c>
      <c r="P99">
        <v>3356216.2162162159</v>
      </c>
      <c r="Q99">
        <v>25</v>
      </c>
      <c r="R99">
        <v>45</v>
      </c>
      <c r="S99">
        <v>22515810.810810808</v>
      </c>
      <c r="T99">
        <v>23047864.864864863</v>
      </c>
      <c r="U99">
        <v>2694774.7747747749</v>
      </c>
      <c r="V99">
        <v>3310270.2702702712</v>
      </c>
      <c r="W99">
        <v>1854</v>
      </c>
      <c r="X99">
        <v>1588</v>
      </c>
    </row>
    <row r="100" spans="1:24">
      <c r="A100" s="7" t="s">
        <v>185</v>
      </c>
      <c r="B100" s="16" t="s">
        <v>60</v>
      </c>
      <c r="C100">
        <v>38858286.470302209</v>
      </c>
      <c r="D100">
        <v>40857293.675816707</v>
      </c>
      <c r="E100">
        <v>360360.36036036001</v>
      </c>
      <c r="F100">
        <v>259459.45945946101</v>
      </c>
      <c r="G100">
        <v>5</v>
      </c>
      <c r="H100">
        <v>11</v>
      </c>
      <c r="I100">
        <v>1</v>
      </c>
      <c r="J100">
        <v>3</v>
      </c>
      <c r="M100">
        <v>5</v>
      </c>
      <c r="N100">
        <v>11</v>
      </c>
      <c r="O100">
        <v>2305855.8558558561</v>
      </c>
      <c r="P100">
        <v>1250450.450450452</v>
      </c>
      <c r="Q100">
        <v>13</v>
      </c>
      <c r="S100">
        <v>14163558.558558557</v>
      </c>
      <c r="T100">
        <v>14178713.963963963</v>
      </c>
      <c r="U100">
        <v>1778828.8288288279</v>
      </c>
      <c r="V100">
        <v>892342.34234234295</v>
      </c>
      <c r="W100">
        <v>835</v>
      </c>
      <c r="X100">
        <v>797</v>
      </c>
    </row>
    <row r="101" spans="1:24">
      <c r="A101" s="7" t="s">
        <v>186</v>
      </c>
      <c r="B101" s="16" t="s">
        <v>167</v>
      </c>
      <c r="C101">
        <v>95217268.123354778</v>
      </c>
      <c r="D101">
        <v>102521865.15257473</v>
      </c>
      <c r="E101">
        <v>2034234.234234235</v>
      </c>
      <c r="F101">
        <v>7261036.0360360369</v>
      </c>
      <c r="G101">
        <v>18</v>
      </c>
      <c r="H101">
        <v>4</v>
      </c>
      <c r="I101">
        <v>2</v>
      </c>
      <c r="J101">
        <v>5</v>
      </c>
      <c r="M101">
        <v>27</v>
      </c>
      <c r="N101">
        <v>5</v>
      </c>
      <c r="O101">
        <v>377702.70270270202</v>
      </c>
      <c r="P101">
        <v>1725225.225225226</v>
      </c>
      <c r="S101">
        <v>23776846.846846849</v>
      </c>
      <c r="T101">
        <v>27443945.945945945</v>
      </c>
      <c r="U101">
        <v>396396.39639639598</v>
      </c>
      <c r="V101">
        <v>268828.82882882899</v>
      </c>
      <c r="W101">
        <v>2819</v>
      </c>
      <c r="X101">
        <v>2687</v>
      </c>
    </row>
    <row r="102" spans="1:24">
      <c r="A102" s="7" t="s">
        <v>187</v>
      </c>
      <c r="B102" s="16" t="s">
        <v>167</v>
      </c>
      <c r="C102">
        <v>287673188.70529765</v>
      </c>
      <c r="D102">
        <v>268664161.66947913</v>
      </c>
      <c r="E102">
        <v>20720.720720722002</v>
      </c>
      <c r="F102">
        <v>474774.77477477799</v>
      </c>
      <c r="G102">
        <v>83</v>
      </c>
      <c r="H102">
        <v>29</v>
      </c>
      <c r="I102">
        <v>3</v>
      </c>
      <c r="J102">
        <v>6</v>
      </c>
      <c r="M102">
        <v>96</v>
      </c>
      <c r="N102">
        <v>31</v>
      </c>
      <c r="O102">
        <v>8011711.711711714</v>
      </c>
      <c r="P102">
        <v>10594175.675675681</v>
      </c>
      <c r="Q102">
        <v>30</v>
      </c>
      <c r="R102">
        <v>15</v>
      </c>
      <c r="S102">
        <v>57922936.936936937</v>
      </c>
      <c r="T102">
        <v>53867981.981981985</v>
      </c>
      <c r="U102">
        <v>7939189.1891891873</v>
      </c>
      <c r="V102">
        <v>7953153.1531531587</v>
      </c>
      <c r="W102">
        <v>5860</v>
      </c>
      <c r="X102">
        <v>5302</v>
      </c>
    </row>
    <row r="103" spans="1:24">
      <c r="A103" s="7" t="s">
        <v>188</v>
      </c>
      <c r="B103" s="16" t="s">
        <v>189</v>
      </c>
      <c r="C103">
        <v>126309042.80475868</v>
      </c>
      <c r="D103">
        <v>119929829.45826189</v>
      </c>
      <c r="E103">
        <v>631531.53153153195</v>
      </c>
      <c r="F103">
        <v>270270.27027027</v>
      </c>
      <c r="G103">
        <v>18</v>
      </c>
      <c r="H103">
        <v>21</v>
      </c>
      <c r="I103">
        <v>0</v>
      </c>
      <c r="M103">
        <v>19</v>
      </c>
      <c r="N103">
        <v>21</v>
      </c>
      <c r="O103">
        <v>2613513.5135135138</v>
      </c>
      <c r="P103">
        <v>1621621.621621622</v>
      </c>
      <c r="S103">
        <v>9867747.7477477472</v>
      </c>
      <c r="T103">
        <v>8222873.8738738736</v>
      </c>
      <c r="U103">
        <v>2338738.7387387389</v>
      </c>
      <c r="V103">
        <v>1380180.1801801799</v>
      </c>
      <c r="W103">
        <v>1707</v>
      </c>
      <c r="X103">
        <v>1726</v>
      </c>
    </row>
    <row r="104" spans="1:24">
      <c r="A104" s="7" t="s">
        <v>190</v>
      </c>
      <c r="B104" s="16" t="s">
        <v>134</v>
      </c>
      <c r="C104">
        <v>28352035.22599417</v>
      </c>
      <c r="D104">
        <v>28721779.768601906</v>
      </c>
      <c r="F104">
        <v>13513.513513514001</v>
      </c>
      <c r="G104">
        <v>14</v>
      </c>
      <c r="H104">
        <v>17</v>
      </c>
      <c r="J104">
        <v>0</v>
      </c>
      <c r="M104">
        <v>14</v>
      </c>
      <c r="N104">
        <v>19</v>
      </c>
      <c r="O104">
        <v>45045.045045045001</v>
      </c>
      <c r="P104">
        <v>13513.513513514001</v>
      </c>
      <c r="Q104">
        <v>5</v>
      </c>
      <c r="R104">
        <v>1</v>
      </c>
      <c r="S104">
        <v>3123333.333333333</v>
      </c>
      <c r="T104">
        <v>2164324.3243243238</v>
      </c>
      <c r="U104">
        <v>45045.045045045001</v>
      </c>
      <c r="V104">
        <v>121621.62162162201</v>
      </c>
      <c r="W104">
        <v>1346</v>
      </c>
      <c r="X104">
        <v>936</v>
      </c>
    </row>
    <row r="105" spans="1:24">
      <c r="A105" s="7" t="s">
        <v>191</v>
      </c>
      <c r="B105" s="16" t="s">
        <v>60</v>
      </c>
      <c r="C105">
        <v>182467912.05857259</v>
      </c>
      <c r="D105">
        <v>170884933.06626683</v>
      </c>
      <c r="E105">
        <v>1330630.630630631</v>
      </c>
      <c r="F105">
        <v>1783558.55855856</v>
      </c>
      <c r="G105">
        <v>43</v>
      </c>
      <c r="H105">
        <v>24</v>
      </c>
      <c r="I105">
        <v>3</v>
      </c>
      <c r="J105">
        <v>10</v>
      </c>
      <c r="M105">
        <v>63</v>
      </c>
      <c r="N105">
        <v>54</v>
      </c>
      <c r="O105">
        <v>12663963.963963963</v>
      </c>
      <c r="P105">
        <v>15153153.153153153</v>
      </c>
      <c r="Q105">
        <v>71</v>
      </c>
      <c r="R105">
        <v>96</v>
      </c>
      <c r="S105">
        <v>59933540.540540546</v>
      </c>
      <c r="T105">
        <v>55766414.414414413</v>
      </c>
      <c r="U105">
        <v>13919099.099099098</v>
      </c>
      <c r="V105">
        <v>13869009.009009007</v>
      </c>
      <c r="W105">
        <v>4060</v>
      </c>
      <c r="X105">
        <v>3900</v>
      </c>
    </row>
    <row r="106" spans="1:24">
      <c r="A106" s="7" t="s">
        <v>192</v>
      </c>
      <c r="B106" s="16" t="s">
        <v>60</v>
      </c>
      <c r="C106">
        <v>309472300.02036977</v>
      </c>
      <c r="D106">
        <v>293238705.72082549</v>
      </c>
      <c r="E106">
        <v>2351351.3513513519</v>
      </c>
      <c r="F106">
        <v>2238738.738738738</v>
      </c>
      <c r="G106">
        <v>53</v>
      </c>
      <c r="H106">
        <v>27</v>
      </c>
      <c r="I106">
        <v>3</v>
      </c>
      <c r="J106">
        <v>9</v>
      </c>
      <c r="M106">
        <v>59</v>
      </c>
      <c r="N106">
        <v>34</v>
      </c>
      <c r="O106">
        <v>11968468.468468469</v>
      </c>
      <c r="P106">
        <v>16806306.306306303</v>
      </c>
      <c r="Q106">
        <v>56</v>
      </c>
      <c r="R106">
        <v>37</v>
      </c>
      <c r="S106">
        <v>70737477.477477476</v>
      </c>
      <c r="T106">
        <v>71182774.774774775</v>
      </c>
      <c r="U106">
        <v>11712072.072072072</v>
      </c>
      <c r="V106">
        <v>14858828.828828832</v>
      </c>
      <c r="W106">
        <v>6388</v>
      </c>
      <c r="X106">
        <v>6792</v>
      </c>
    </row>
    <row r="107" spans="1:24">
      <c r="A107" s="7" t="s">
        <v>2</v>
      </c>
      <c r="B107" s="16" t="s">
        <v>193</v>
      </c>
      <c r="C107">
        <v>40907852.382749476</v>
      </c>
      <c r="D107">
        <v>30954510.153037127</v>
      </c>
      <c r="E107">
        <v>147982854.95495495</v>
      </c>
      <c r="F107">
        <v>305118480.18018013</v>
      </c>
      <c r="G107">
        <v>8</v>
      </c>
      <c r="H107">
        <v>4</v>
      </c>
      <c r="I107">
        <v>3</v>
      </c>
      <c r="J107">
        <v>0</v>
      </c>
      <c r="M107">
        <v>9</v>
      </c>
      <c r="N107">
        <v>5</v>
      </c>
      <c r="O107">
        <v>324324.32432432403</v>
      </c>
      <c r="P107">
        <v>40540.540540542002</v>
      </c>
      <c r="Q107">
        <v>6</v>
      </c>
      <c r="S107">
        <v>21352612.612612613</v>
      </c>
      <c r="T107">
        <v>17535126.126126125</v>
      </c>
      <c r="U107">
        <v>266666.66666666698</v>
      </c>
      <c r="V107">
        <v>157657.65765765801</v>
      </c>
      <c r="W107">
        <v>976</v>
      </c>
      <c r="X107">
        <v>1068</v>
      </c>
    </row>
    <row r="108" spans="1:24">
      <c r="A108" s="7" t="s">
        <v>194</v>
      </c>
      <c r="B108" s="16" t="s">
        <v>195</v>
      </c>
      <c r="C108">
        <v>1031786881.3993018</v>
      </c>
      <c r="D108">
        <v>1046495414.1717144</v>
      </c>
      <c r="E108">
        <v>31246621.621621624</v>
      </c>
      <c r="F108">
        <v>32662837.837837841</v>
      </c>
      <c r="G108">
        <v>267</v>
      </c>
      <c r="H108">
        <v>273</v>
      </c>
      <c r="I108">
        <v>4</v>
      </c>
      <c r="J108">
        <v>10</v>
      </c>
      <c r="M108">
        <v>302</v>
      </c>
      <c r="N108">
        <v>347</v>
      </c>
      <c r="O108">
        <v>45438738.738738738</v>
      </c>
      <c r="P108">
        <v>48834234.234234229</v>
      </c>
      <c r="Q108">
        <v>105</v>
      </c>
      <c r="R108">
        <v>129</v>
      </c>
      <c r="S108">
        <v>185120621.62162164</v>
      </c>
      <c r="T108">
        <v>202223936.93693691</v>
      </c>
      <c r="U108">
        <v>42918108.108108103</v>
      </c>
      <c r="V108">
        <v>42269279.279279277</v>
      </c>
      <c r="W108">
        <v>18911</v>
      </c>
      <c r="X108">
        <v>17406</v>
      </c>
    </row>
    <row r="109" spans="1:24">
      <c r="A109" s="7" t="s">
        <v>196</v>
      </c>
      <c r="B109" s="16" t="s">
        <v>80</v>
      </c>
      <c r="C109">
        <v>319491887.8101179</v>
      </c>
      <c r="D109">
        <v>318757884.39976197</v>
      </c>
      <c r="E109">
        <v>233333.333333335</v>
      </c>
      <c r="F109">
        <v>1590990.990990991</v>
      </c>
      <c r="G109">
        <v>80</v>
      </c>
      <c r="H109">
        <v>69</v>
      </c>
      <c r="I109">
        <v>15</v>
      </c>
      <c r="J109">
        <v>11</v>
      </c>
      <c r="M109">
        <v>87</v>
      </c>
      <c r="N109">
        <v>78</v>
      </c>
      <c r="O109">
        <v>41074774.774774775</v>
      </c>
      <c r="P109">
        <v>41699099.0990991</v>
      </c>
      <c r="Q109">
        <v>122</v>
      </c>
      <c r="R109">
        <v>300</v>
      </c>
      <c r="S109">
        <v>83199358.558558553</v>
      </c>
      <c r="T109">
        <v>86129801.801801801</v>
      </c>
      <c r="U109">
        <v>40527340.540540546</v>
      </c>
      <c r="V109">
        <v>41366576.576576576</v>
      </c>
      <c r="W109">
        <v>6018</v>
      </c>
      <c r="X109">
        <v>6573</v>
      </c>
    </row>
    <row r="110" spans="1:24">
      <c r="A110" s="7" t="s">
        <v>197</v>
      </c>
      <c r="B110" s="16" t="s">
        <v>108</v>
      </c>
      <c r="C110">
        <v>245632045.52314964</v>
      </c>
      <c r="D110">
        <v>254887130.55287278</v>
      </c>
      <c r="E110">
        <v>1105675.6756756781</v>
      </c>
      <c r="F110">
        <v>2288288.2882882869</v>
      </c>
      <c r="G110">
        <v>69</v>
      </c>
      <c r="H110">
        <v>89</v>
      </c>
      <c r="I110">
        <v>3</v>
      </c>
      <c r="J110">
        <v>6</v>
      </c>
      <c r="M110">
        <v>84</v>
      </c>
      <c r="N110">
        <v>102</v>
      </c>
      <c r="O110">
        <v>16693513.513513513</v>
      </c>
      <c r="P110">
        <v>13802702.702702699</v>
      </c>
      <c r="Q110">
        <v>169</v>
      </c>
      <c r="R110">
        <v>73</v>
      </c>
      <c r="S110">
        <v>71442477.477477476</v>
      </c>
      <c r="T110">
        <v>78781270.270270273</v>
      </c>
      <c r="U110">
        <v>16389279.279279279</v>
      </c>
      <c r="V110">
        <v>12340540.540540541</v>
      </c>
      <c r="W110">
        <v>7243</v>
      </c>
      <c r="X110">
        <v>6958</v>
      </c>
    </row>
    <row r="111" spans="1:24">
      <c r="A111" s="7" t="s">
        <v>198</v>
      </c>
      <c r="B111" s="16" t="s">
        <v>92</v>
      </c>
      <c r="C111">
        <v>140139238.30841789</v>
      </c>
      <c r="D111">
        <v>136018184.91798559</v>
      </c>
      <c r="E111">
        <v>3079459.4594594608</v>
      </c>
      <c r="F111">
        <v>4718018.0180180166</v>
      </c>
      <c r="G111">
        <v>29</v>
      </c>
      <c r="H111">
        <v>161</v>
      </c>
      <c r="I111">
        <v>6</v>
      </c>
      <c r="J111">
        <v>4</v>
      </c>
      <c r="M111">
        <v>29</v>
      </c>
      <c r="N111">
        <v>240</v>
      </c>
      <c r="O111">
        <v>17934954.954954956</v>
      </c>
      <c r="P111">
        <v>38959009.009009011</v>
      </c>
      <c r="Q111">
        <v>56</v>
      </c>
      <c r="R111">
        <v>145</v>
      </c>
      <c r="S111">
        <v>35784909.909909911</v>
      </c>
      <c r="T111">
        <v>37581891.891891889</v>
      </c>
      <c r="U111">
        <v>18335315.315315314</v>
      </c>
      <c r="V111">
        <v>37957657.657657653</v>
      </c>
      <c r="W111">
        <v>2890</v>
      </c>
      <c r="X111">
        <v>2695</v>
      </c>
    </row>
    <row r="112" spans="1:24">
      <c r="A112" s="7" t="s">
        <v>199</v>
      </c>
      <c r="B112" s="16" t="s">
        <v>123</v>
      </c>
      <c r="C112">
        <v>137754761.3457402</v>
      </c>
      <c r="D112">
        <v>127272642.93792322</v>
      </c>
      <c r="E112">
        <v>490990.99099099101</v>
      </c>
      <c r="F112">
        <v>254054.054054054</v>
      </c>
      <c r="G112">
        <v>57</v>
      </c>
      <c r="H112">
        <v>40</v>
      </c>
      <c r="I112">
        <v>2</v>
      </c>
      <c r="J112">
        <v>2</v>
      </c>
      <c r="M112">
        <v>61</v>
      </c>
      <c r="N112">
        <v>43</v>
      </c>
      <c r="O112">
        <v>6865765.7657657657</v>
      </c>
      <c r="P112">
        <v>3127567.5675675669</v>
      </c>
      <c r="Q112">
        <v>10</v>
      </c>
      <c r="R112">
        <v>6</v>
      </c>
      <c r="S112">
        <v>28533783.783783782</v>
      </c>
      <c r="T112">
        <v>23762657.657657657</v>
      </c>
      <c r="U112">
        <v>5628378.3783783792</v>
      </c>
      <c r="V112">
        <v>5189459.4594594603</v>
      </c>
      <c r="W112">
        <v>2590</v>
      </c>
      <c r="X112">
        <v>2553</v>
      </c>
    </row>
    <row r="113" spans="1:24">
      <c r="A113" s="7" t="s">
        <v>200</v>
      </c>
      <c r="B113" s="16" t="s">
        <v>60</v>
      </c>
      <c r="C113">
        <v>92782390.250582188</v>
      </c>
      <c r="D113">
        <v>90520921.281164646</v>
      </c>
      <c r="E113">
        <v>53153.153153154002</v>
      </c>
      <c r="F113">
        <v>1575675.6756756769</v>
      </c>
      <c r="G113">
        <v>21</v>
      </c>
      <c r="H113">
        <v>16</v>
      </c>
      <c r="I113">
        <v>2</v>
      </c>
      <c r="J113">
        <v>5</v>
      </c>
      <c r="M113">
        <v>29</v>
      </c>
      <c r="N113">
        <v>17</v>
      </c>
      <c r="O113">
        <v>10827927.927927926</v>
      </c>
      <c r="P113">
        <v>11674774.774774777</v>
      </c>
      <c r="Q113">
        <v>105</v>
      </c>
      <c r="R113">
        <v>95</v>
      </c>
      <c r="S113">
        <v>15441207.207207208</v>
      </c>
      <c r="T113">
        <v>17073076.576576576</v>
      </c>
      <c r="U113">
        <v>8099189.1891891873</v>
      </c>
      <c r="V113">
        <v>6701081.0810810812</v>
      </c>
      <c r="W113">
        <v>3460</v>
      </c>
      <c r="X113">
        <v>3557</v>
      </c>
    </row>
    <row r="114" spans="1:24">
      <c r="A114" s="7" t="s">
        <v>201</v>
      </c>
      <c r="B114" s="16" t="s">
        <v>60</v>
      </c>
      <c r="C114">
        <v>31507050.801423825</v>
      </c>
      <c r="D114">
        <v>30403768.399473049</v>
      </c>
      <c r="E114">
        <v>222702.70270270301</v>
      </c>
      <c r="F114">
        <v>32432.432432433001</v>
      </c>
      <c r="G114">
        <v>9</v>
      </c>
      <c r="H114">
        <v>11</v>
      </c>
      <c r="I114">
        <v>2</v>
      </c>
      <c r="J114">
        <v>0</v>
      </c>
      <c r="M114">
        <v>9</v>
      </c>
      <c r="N114">
        <v>12</v>
      </c>
      <c r="O114">
        <v>2060540.5405405411</v>
      </c>
      <c r="P114">
        <v>1960360.36036036</v>
      </c>
      <c r="Q114">
        <v>23</v>
      </c>
      <c r="R114">
        <v>19</v>
      </c>
      <c r="S114">
        <v>6121756.7567567565</v>
      </c>
      <c r="T114">
        <v>5614936.9369369373</v>
      </c>
      <c r="U114">
        <v>1463963.963963964</v>
      </c>
      <c r="V114">
        <v>443243.24324324302</v>
      </c>
      <c r="W114">
        <v>1148</v>
      </c>
      <c r="X114">
        <v>1096</v>
      </c>
    </row>
    <row r="115" spans="1:24">
      <c r="A115" s="7" t="s">
        <v>202</v>
      </c>
      <c r="B115" s="16" t="s">
        <v>121</v>
      </c>
      <c r="C115">
        <v>62986053.34241572</v>
      </c>
      <c r="D115">
        <v>58328392.077442773</v>
      </c>
      <c r="E115">
        <v>122522.52252252201</v>
      </c>
      <c r="F115">
        <v>450450.450450451</v>
      </c>
      <c r="G115">
        <v>38</v>
      </c>
      <c r="H115">
        <v>34</v>
      </c>
      <c r="I115">
        <v>5</v>
      </c>
      <c r="J115">
        <v>5</v>
      </c>
      <c r="M115">
        <v>45</v>
      </c>
      <c r="N115">
        <v>39</v>
      </c>
      <c r="O115">
        <v>320720.72072072001</v>
      </c>
      <c r="P115">
        <v>1468468.4684684679</v>
      </c>
      <c r="Q115">
        <v>3</v>
      </c>
      <c r="R115">
        <v>75</v>
      </c>
      <c r="S115">
        <v>5870270.2702702694</v>
      </c>
      <c r="T115">
        <v>5855342.3423423432</v>
      </c>
      <c r="U115">
        <v>317747.74774774798</v>
      </c>
      <c r="V115">
        <v>1047747.747747748</v>
      </c>
      <c r="W115">
        <v>1495</v>
      </c>
      <c r="X115">
        <v>1330</v>
      </c>
    </row>
    <row r="116" spans="1:24">
      <c r="A116" s="7" t="s">
        <v>203</v>
      </c>
      <c r="B116" s="16" t="s">
        <v>54</v>
      </c>
      <c r="C116">
        <v>98308369.298695996</v>
      </c>
      <c r="D116">
        <v>93603463.029883906</v>
      </c>
      <c r="E116">
        <v>592792.79279279301</v>
      </c>
      <c r="F116">
        <v>353153.15315315401</v>
      </c>
      <c r="G116">
        <v>23</v>
      </c>
      <c r="H116">
        <v>22</v>
      </c>
      <c r="I116">
        <v>2</v>
      </c>
      <c r="J116">
        <v>4</v>
      </c>
      <c r="M116">
        <v>24</v>
      </c>
      <c r="N116">
        <v>22</v>
      </c>
      <c r="O116">
        <v>5529729.7297297288</v>
      </c>
      <c r="P116">
        <v>5177477.4774774769</v>
      </c>
      <c r="Q116">
        <v>43</v>
      </c>
      <c r="R116">
        <v>40</v>
      </c>
      <c r="S116">
        <v>25385180.180180181</v>
      </c>
      <c r="T116">
        <v>23928009.009009007</v>
      </c>
      <c r="U116">
        <v>5369639.6396396393</v>
      </c>
      <c r="V116">
        <v>4732342.3423423441</v>
      </c>
      <c r="W116">
        <v>3784</v>
      </c>
      <c r="X116">
        <v>3936</v>
      </c>
    </row>
    <row r="117" spans="1:24">
      <c r="A117" s="7" t="s">
        <v>204</v>
      </c>
      <c r="B117" s="16" t="s">
        <v>136</v>
      </c>
      <c r="C117">
        <v>381216155.85291964</v>
      </c>
      <c r="D117">
        <v>339595047.43601066</v>
      </c>
      <c r="E117">
        <v>267117.11711711698</v>
      </c>
      <c r="F117">
        <v>583783.78378378495</v>
      </c>
      <c r="G117">
        <v>88</v>
      </c>
      <c r="H117">
        <v>46</v>
      </c>
      <c r="I117">
        <v>8</v>
      </c>
      <c r="J117">
        <v>9</v>
      </c>
      <c r="M117">
        <v>95</v>
      </c>
      <c r="N117">
        <v>53</v>
      </c>
      <c r="O117">
        <v>39506396.396396399</v>
      </c>
      <c r="P117">
        <v>30547747.747747749</v>
      </c>
      <c r="Q117">
        <v>77</v>
      </c>
      <c r="R117">
        <v>95</v>
      </c>
      <c r="S117">
        <v>62457747.747747742</v>
      </c>
      <c r="T117">
        <v>60072072.072072074</v>
      </c>
      <c r="U117">
        <v>33459279.279279284</v>
      </c>
      <c r="V117">
        <v>24885585.585585583</v>
      </c>
      <c r="W117">
        <v>5812</v>
      </c>
      <c r="X117">
        <v>6693</v>
      </c>
    </row>
    <row r="118" spans="1:24">
      <c r="A118" s="7" t="s">
        <v>205</v>
      </c>
      <c r="B118" s="16" t="s">
        <v>136</v>
      </c>
      <c r="C118">
        <v>180214782.22773236</v>
      </c>
      <c r="D118">
        <v>172347417.8126722</v>
      </c>
      <c r="E118">
        <v>277477.47747747699</v>
      </c>
      <c r="F118">
        <v>647747.74774774897</v>
      </c>
      <c r="G118">
        <v>47</v>
      </c>
      <c r="H118">
        <v>31</v>
      </c>
      <c r="I118">
        <v>5</v>
      </c>
      <c r="J118">
        <v>1</v>
      </c>
      <c r="M118">
        <v>55</v>
      </c>
      <c r="N118">
        <v>36</v>
      </c>
      <c r="O118">
        <v>9009009.0090090092</v>
      </c>
      <c r="P118">
        <v>6215315.3153153146</v>
      </c>
      <c r="Q118">
        <v>50</v>
      </c>
      <c r="R118">
        <v>18</v>
      </c>
      <c r="S118">
        <v>31882612.612612613</v>
      </c>
      <c r="T118">
        <v>32676511.711711712</v>
      </c>
      <c r="U118">
        <v>6370180.1801801827</v>
      </c>
      <c r="V118">
        <v>3156486.4864864871</v>
      </c>
      <c r="W118">
        <v>3104</v>
      </c>
      <c r="X118">
        <v>3081</v>
      </c>
    </row>
    <row r="119" spans="1:24">
      <c r="A119" s="7" t="s">
        <v>206</v>
      </c>
      <c r="B119" s="16" t="s">
        <v>169</v>
      </c>
      <c r="C119">
        <v>393077452.31491387</v>
      </c>
      <c r="D119">
        <v>397323077.50044471</v>
      </c>
      <c r="E119">
        <v>340540.540540541</v>
      </c>
      <c r="F119">
        <v>1467567.567567568</v>
      </c>
      <c r="G119">
        <v>48</v>
      </c>
      <c r="H119">
        <v>18</v>
      </c>
      <c r="I119">
        <v>0</v>
      </c>
      <c r="J119">
        <v>1</v>
      </c>
      <c r="M119">
        <v>49</v>
      </c>
      <c r="N119">
        <v>19</v>
      </c>
      <c r="O119">
        <v>2821737657.6576576</v>
      </c>
      <c r="P119">
        <v>2463268310.810811</v>
      </c>
      <c r="Q119">
        <v>1506</v>
      </c>
      <c r="R119">
        <v>45</v>
      </c>
      <c r="S119">
        <v>185598909.90990993</v>
      </c>
      <c r="T119">
        <v>187154099.0990991</v>
      </c>
      <c r="U119">
        <v>1115424749.5495496</v>
      </c>
      <c r="V119">
        <v>627361574.77477479</v>
      </c>
      <c r="W119">
        <v>7169</v>
      </c>
      <c r="X119">
        <v>12261</v>
      </c>
    </row>
    <row r="120" spans="1:24">
      <c r="A120" s="7" t="s">
        <v>207</v>
      </c>
      <c r="B120" s="16" t="s">
        <v>161</v>
      </c>
      <c r="C120">
        <v>439265557.19570619</v>
      </c>
      <c r="D120">
        <v>440225040.03370035</v>
      </c>
      <c r="E120">
        <v>1053468.468468477</v>
      </c>
      <c r="F120">
        <v>3158558.5585585618</v>
      </c>
      <c r="G120">
        <v>220</v>
      </c>
      <c r="H120">
        <v>321</v>
      </c>
      <c r="I120">
        <v>35</v>
      </c>
      <c r="J120">
        <v>32</v>
      </c>
      <c r="M120">
        <v>286</v>
      </c>
      <c r="N120">
        <v>513</v>
      </c>
      <c r="O120">
        <v>53701351.351351351</v>
      </c>
      <c r="P120">
        <v>49692252.252252258</v>
      </c>
      <c r="Q120">
        <v>186</v>
      </c>
      <c r="R120">
        <v>61</v>
      </c>
      <c r="S120">
        <v>125676513.51351352</v>
      </c>
      <c r="T120">
        <v>127952770.27027027</v>
      </c>
      <c r="U120">
        <v>51891344.144144148</v>
      </c>
      <c r="V120">
        <v>48749859.459459461</v>
      </c>
      <c r="W120">
        <v>12045</v>
      </c>
      <c r="X120">
        <v>12095</v>
      </c>
    </row>
    <row r="121" spans="1:24">
      <c r="A121" s="7" t="s">
        <v>208</v>
      </c>
      <c r="B121" s="16" t="s">
        <v>76</v>
      </c>
      <c r="C121">
        <v>18454329.799866587</v>
      </c>
      <c r="D121">
        <v>13157355.712292628</v>
      </c>
      <c r="G121">
        <v>4</v>
      </c>
      <c r="I121">
        <v>0</v>
      </c>
      <c r="J121">
        <v>0</v>
      </c>
      <c r="M121">
        <v>4</v>
      </c>
      <c r="S121">
        <v>836711.71171171195</v>
      </c>
      <c r="T121">
        <v>958423.42342342401</v>
      </c>
      <c r="W121">
        <v>505</v>
      </c>
      <c r="X121">
        <v>463</v>
      </c>
    </row>
    <row r="122" spans="1:24">
      <c r="A122" s="7" t="s">
        <v>209</v>
      </c>
      <c r="B122" s="16" t="s">
        <v>76</v>
      </c>
      <c r="C122">
        <v>210570826.45520619</v>
      </c>
      <c r="D122">
        <v>193596331.9853138</v>
      </c>
      <c r="E122">
        <v>132539391.89189188</v>
      </c>
      <c r="F122">
        <v>88231381.981981978</v>
      </c>
      <c r="G122">
        <v>68</v>
      </c>
      <c r="H122">
        <v>84</v>
      </c>
      <c r="I122">
        <v>5</v>
      </c>
      <c r="J122">
        <v>10</v>
      </c>
      <c r="K122">
        <v>5</v>
      </c>
      <c r="M122">
        <v>83</v>
      </c>
      <c r="N122">
        <v>131</v>
      </c>
      <c r="O122">
        <v>20930000</v>
      </c>
      <c r="P122">
        <v>21798918.918918915</v>
      </c>
      <c r="Q122">
        <v>199</v>
      </c>
      <c r="R122">
        <v>205</v>
      </c>
      <c r="S122">
        <v>27835666.666666668</v>
      </c>
      <c r="T122">
        <v>30257558.558558561</v>
      </c>
      <c r="U122">
        <v>22558558.558558565</v>
      </c>
      <c r="V122">
        <v>21455495.495495494</v>
      </c>
      <c r="W122">
        <v>4847</v>
      </c>
      <c r="X122">
        <v>4638</v>
      </c>
    </row>
    <row r="123" spans="1:24">
      <c r="A123" s="7" t="s">
        <v>210</v>
      </c>
      <c r="B123" s="16" t="s">
        <v>76</v>
      </c>
      <c r="C123">
        <v>253723353.0438005</v>
      </c>
      <c r="D123">
        <v>246530039.48290658</v>
      </c>
      <c r="E123">
        <v>1309234.2342342371</v>
      </c>
      <c r="F123">
        <v>3163963.9639639701</v>
      </c>
      <c r="G123">
        <v>122</v>
      </c>
      <c r="H123">
        <v>149</v>
      </c>
      <c r="I123">
        <v>19</v>
      </c>
      <c r="J123">
        <v>14</v>
      </c>
      <c r="K123">
        <v>7</v>
      </c>
      <c r="M123">
        <v>150</v>
      </c>
      <c r="N123">
        <v>180</v>
      </c>
      <c r="O123">
        <v>91965765.765765756</v>
      </c>
      <c r="P123">
        <v>78752072.072072059</v>
      </c>
      <c r="Q123">
        <v>153</v>
      </c>
      <c r="R123">
        <v>541</v>
      </c>
      <c r="S123">
        <v>76276230.630630627</v>
      </c>
      <c r="T123">
        <v>75357873.873873875</v>
      </c>
      <c r="U123">
        <v>64623419.819819815</v>
      </c>
      <c r="V123">
        <v>62184774.774774775</v>
      </c>
      <c r="W123">
        <v>6822</v>
      </c>
      <c r="X123">
        <v>7529</v>
      </c>
    </row>
    <row r="124" spans="1:24">
      <c r="A124" s="7" t="s">
        <v>211</v>
      </c>
      <c r="B124" s="16" t="s">
        <v>76</v>
      </c>
      <c r="C124">
        <v>172276186.79777673</v>
      </c>
      <c r="D124">
        <v>181468264.24938932</v>
      </c>
      <c r="E124">
        <v>1725000.0000000021</v>
      </c>
      <c r="F124">
        <v>2406981.9819819881</v>
      </c>
      <c r="G124">
        <v>71</v>
      </c>
      <c r="H124">
        <v>82</v>
      </c>
      <c r="I124">
        <v>8</v>
      </c>
      <c r="J124">
        <v>16</v>
      </c>
      <c r="M124">
        <v>80</v>
      </c>
      <c r="N124">
        <v>94</v>
      </c>
      <c r="O124">
        <v>13482432.432432432</v>
      </c>
      <c r="P124">
        <v>15323783.783783788</v>
      </c>
      <c r="Q124">
        <v>57</v>
      </c>
      <c r="R124">
        <v>21</v>
      </c>
      <c r="S124">
        <v>24091918.918918919</v>
      </c>
      <c r="T124">
        <v>27936317.567567568</v>
      </c>
      <c r="U124">
        <v>14000270.270270268</v>
      </c>
      <c r="V124">
        <v>13852792.792792792</v>
      </c>
      <c r="W124">
        <v>3964</v>
      </c>
      <c r="X124">
        <v>3976</v>
      </c>
    </row>
    <row r="125" spans="1:24">
      <c r="A125" s="7" t="s">
        <v>212</v>
      </c>
      <c r="B125" s="16" t="s">
        <v>76</v>
      </c>
      <c r="C125">
        <v>70484761.013000637</v>
      </c>
      <c r="D125">
        <v>65833779.928689085</v>
      </c>
      <c r="E125">
        <v>22072.072072071998</v>
      </c>
      <c r="F125">
        <v>34234.234234233998</v>
      </c>
      <c r="G125">
        <v>19</v>
      </c>
      <c r="H125">
        <v>11</v>
      </c>
      <c r="I125">
        <v>1</v>
      </c>
      <c r="J125">
        <v>0</v>
      </c>
      <c r="M125">
        <v>20</v>
      </c>
      <c r="N125">
        <v>13</v>
      </c>
      <c r="O125">
        <v>1013063.063063063</v>
      </c>
      <c r="P125">
        <v>1509189.189189187</v>
      </c>
      <c r="Q125">
        <v>5</v>
      </c>
      <c r="R125">
        <v>5</v>
      </c>
      <c r="S125">
        <v>9931261.2612612601</v>
      </c>
      <c r="T125">
        <v>10210819.819819819</v>
      </c>
      <c r="U125">
        <v>819549.54954955005</v>
      </c>
      <c r="V125">
        <v>1750270.2702702701</v>
      </c>
      <c r="W125">
        <v>1786</v>
      </c>
      <c r="X125">
        <v>2079</v>
      </c>
    </row>
    <row r="126" spans="1:24">
      <c r="A126" s="7" t="s">
        <v>213</v>
      </c>
      <c r="B126" s="16" t="s">
        <v>214</v>
      </c>
      <c r="C126">
        <v>82560762.871143013</v>
      </c>
      <c r="D126">
        <v>93813588.966849148</v>
      </c>
      <c r="E126">
        <v>213963.96396396399</v>
      </c>
      <c r="F126">
        <v>745945.94594594603</v>
      </c>
      <c r="G126">
        <v>18</v>
      </c>
      <c r="H126">
        <v>33</v>
      </c>
      <c r="I126">
        <v>4</v>
      </c>
      <c r="J126">
        <v>3</v>
      </c>
      <c r="M126">
        <v>19</v>
      </c>
      <c r="N126">
        <v>34</v>
      </c>
      <c r="O126">
        <v>12638468.468468472</v>
      </c>
      <c r="P126">
        <v>13439207.207207208</v>
      </c>
      <c r="Q126">
        <v>23</v>
      </c>
      <c r="R126">
        <v>46</v>
      </c>
      <c r="S126">
        <v>39405720.720720723</v>
      </c>
      <c r="T126">
        <v>42534810.810810804</v>
      </c>
      <c r="U126">
        <v>11076036.036036039</v>
      </c>
      <c r="V126">
        <v>10697657.657657659</v>
      </c>
      <c r="W126">
        <v>2269</v>
      </c>
      <c r="X126">
        <v>2316</v>
      </c>
    </row>
    <row r="127" spans="1:24">
      <c r="A127" s="7" t="s">
        <v>215</v>
      </c>
      <c r="B127" s="16" t="s">
        <v>167</v>
      </c>
      <c r="C127">
        <v>74554496.75223957</v>
      </c>
      <c r="D127">
        <v>103987188.2946036</v>
      </c>
      <c r="E127">
        <v>8108.1081081089997</v>
      </c>
      <c r="F127">
        <v>986486.48648648697</v>
      </c>
      <c r="G127">
        <v>8</v>
      </c>
      <c r="H127">
        <v>7</v>
      </c>
      <c r="I127">
        <v>1</v>
      </c>
      <c r="J127">
        <v>3</v>
      </c>
      <c r="M127">
        <v>9</v>
      </c>
      <c r="N127">
        <v>7</v>
      </c>
      <c r="O127">
        <v>8809909.9099099096</v>
      </c>
      <c r="P127">
        <v>1436936.936936937</v>
      </c>
      <c r="Q127">
        <v>309</v>
      </c>
      <c r="S127">
        <v>13525225.225225223</v>
      </c>
      <c r="T127">
        <v>17993108.108108107</v>
      </c>
      <c r="U127">
        <v>9098648.6486486476</v>
      </c>
      <c r="V127">
        <v>61711.711711712</v>
      </c>
      <c r="W127">
        <v>1859</v>
      </c>
      <c r="X127">
        <v>1874</v>
      </c>
    </row>
    <row r="128" spans="1:24">
      <c r="A128" s="7" t="s">
        <v>216</v>
      </c>
      <c r="B128" s="16" t="s">
        <v>85</v>
      </c>
      <c r="C128">
        <v>18431338.159800425</v>
      </c>
      <c r="D128">
        <v>24010682.324315693</v>
      </c>
      <c r="E128">
        <v>9909.9099099110008</v>
      </c>
      <c r="F128">
        <v>297297.29729729798</v>
      </c>
      <c r="G128">
        <v>3</v>
      </c>
      <c r="H128">
        <v>8</v>
      </c>
      <c r="I128">
        <v>3</v>
      </c>
      <c r="J128">
        <v>2</v>
      </c>
      <c r="M128">
        <v>3</v>
      </c>
      <c r="N128">
        <v>10</v>
      </c>
      <c r="O128">
        <v>48000900.900900893</v>
      </c>
      <c r="P128">
        <v>27654954.954954956</v>
      </c>
      <c r="Q128">
        <v>49</v>
      </c>
      <c r="R128">
        <v>117</v>
      </c>
      <c r="S128">
        <v>5687648.6486486495</v>
      </c>
      <c r="T128">
        <v>7318090.0900900904</v>
      </c>
      <c r="U128">
        <v>33373693.693693697</v>
      </c>
      <c r="V128">
        <v>20121621.62162162</v>
      </c>
      <c r="W128">
        <v>631</v>
      </c>
      <c r="X128">
        <v>662</v>
      </c>
    </row>
    <row r="129" spans="1:24">
      <c r="A129" s="7" t="s">
        <v>217</v>
      </c>
      <c r="B129" s="16" t="s">
        <v>85</v>
      </c>
      <c r="C129">
        <v>94620740.854490548</v>
      </c>
      <c r="D129">
        <v>90930894.846703589</v>
      </c>
      <c r="E129">
        <v>49549.54954955</v>
      </c>
      <c r="F129">
        <v>281981.98198198201</v>
      </c>
      <c r="G129">
        <v>48</v>
      </c>
      <c r="H129">
        <v>33</v>
      </c>
      <c r="I129">
        <v>5</v>
      </c>
      <c r="J129">
        <v>4</v>
      </c>
      <c r="M129">
        <v>58</v>
      </c>
      <c r="N129">
        <v>37</v>
      </c>
      <c r="O129">
        <v>22175675.675675675</v>
      </c>
      <c r="P129">
        <v>24897927.927927926</v>
      </c>
      <c r="Q129">
        <v>52</v>
      </c>
      <c r="R129">
        <v>1</v>
      </c>
      <c r="S129">
        <v>17069909.909909911</v>
      </c>
      <c r="T129">
        <v>17668324.324324325</v>
      </c>
      <c r="U129">
        <v>17816126.126126125</v>
      </c>
      <c r="V129">
        <v>23921891.891891893</v>
      </c>
      <c r="W129">
        <v>2396</v>
      </c>
      <c r="X129">
        <v>2378</v>
      </c>
    </row>
    <row r="130" spans="1:24">
      <c r="A130" s="7" t="s">
        <v>218</v>
      </c>
      <c r="B130" s="16" t="s">
        <v>147</v>
      </c>
      <c r="C130">
        <v>92003055.222834945</v>
      </c>
      <c r="D130">
        <v>87957040.942734778</v>
      </c>
      <c r="E130">
        <v>571171.17117117206</v>
      </c>
      <c r="F130">
        <v>5779279.2792792777</v>
      </c>
      <c r="G130">
        <v>29</v>
      </c>
      <c r="H130">
        <v>67</v>
      </c>
      <c r="I130">
        <v>0</v>
      </c>
      <c r="J130">
        <v>9</v>
      </c>
      <c r="M130">
        <v>31</v>
      </c>
      <c r="N130">
        <v>84</v>
      </c>
      <c r="O130">
        <v>3783423.4234234202</v>
      </c>
      <c r="P130">
        <v>49006963.063063063</v>
      </c>
      <c r="Q130">
        <v>42</v>
      </c>
      <c r="R130">
        <v>292</v>
      </c>
      <c r="S130">
        <v>24099891.891891893</v>
      </c>
      <c r="T130">
        <v>29751954.954954956</v>
      </c>
      <c r="U130">
        <v>5265945.9459459428</v>
      </c>
      <c r="V130">
        <v>50746486.486486487</v>
      </c>
      <c r="W130">
        <v>2515</v>
      </c>
      <c r="X130">
        <v>3911</v>
      </c>
    </row>
    <row r="131" spans="1:24">
      <c r="A131" s="7" t="s">
        <v>219</v>
      </c>
      <c r="B131" s="16" t="s">
        <v>220</v>
      </c>
      <c r="C131">
        <v>179812630.28199315</v>
      </c>
      <c r="D131">
        <v>174626097.25212756</v>
      </c>
      <c r="E131">
        <v>3695181.0810810812</v>
      </c>
      <c r="F131">
        <v>5230694.594594596</v>
      </c>
      <c r="G131">
        <v>71</v>
      </c>
      <c r="H131">
        <v>55</v>
      </c>
      <c r="I131">
        <v>6</v>
      </c>
      <c r="J131">
        <v>9</v>
      </c>
      <c r="M131">
        <v>87</v>
      </c>
      <c r="N131">
        <v>67</v>
      </c>
      <c r="O131">
        <v>201411267.56756756</v>
      </c>
      <c r="P131">
        <v>155316762.16216218</v>
      </c>
      <c r="Q131">
        <v>293</v>
      </c>
      <c r="R131">
        <v>70</v>
      </c>
      <c r="S131">
        <v>48338189.189189196</v>
      </c>
      <c r="T131">
        <v>44916146.396396399</v>
      </c>
      <c r="U131">
        <v>323077747.74774778</v>
      </c>
      <c r="V131">
        <v>243211081.08108109</v>
      </c>
      <c r="W131">
        <v>6182</v>
      </c>
      <c r="X131">
        <v>6230</v>
      </c>
    </row>
    <row r="132" spans="1:24">
      <c r="A132" s="7" t="s">
        <v>221</v>
      </c>
      <c r="B132" s="16" t="s">
        <v>52</v>
      </c>
      <c r="C132">
        <v>429304427.84373701</v>
      </c>
      <c r="D132">
        <v>406062925.3114742</v>
      </c>
      <c r="E132">
        <v>2345720.7207207228</v>
      </c>
      <c r="F132">
        <v>4110810.8108108132</v>
      </c>
      <c r="G132">
        <v>86</v>
      </c>
      <c r="H132">
        <v>95</v>
      </c>
      <c r="I132">
        <v>9</v>
      </c>
      <c r="J132">
        <v>24</v>
      </c>
      <c r="M132">
        <v>119</v>
      </c>
      <c r="N132">
        <v>124</v>
      </c>
      <c r="O132">
        <v>46134054.054054059</v>
      </c>
      <c r="P132">
        <v>34074774.774774775</v>
      </c>
      <c r="Q132">
        <v>238</v>
      </c>
      <c r="R132">
        <v>1111</v>
      </c>
      <c r="S132">
        <v>136834486.48648649</v>
      </c>
      <c r="T132">
        <v>132909522.52252252</v>
      </c>
      <c r="U132">
        <v>25019729.729729731</v>
      </c>
      <c r="V132">
        <v>44960720.720720723</v>
      </c>
      <c r="W132">
        <v>10632</v>
      </c>
      <c r="X132">
        <v>10587</v>
      </c>
    </row>
    <row r="133" spans="1:24">
      <c r="A133" s="7" t="s">
        <v>222</v>
      </c>
      <c r="B133" s="16" t="s">
        <v>76</v>
      </c>
      <c r="C133">
        <v>331154977.90068382</v>
      </c>
      <c r="D133">
        <v>316608349.88596588</v>
      </c>
      <c r="E133">
        <v>136801.801801803</v>
      </c>
      <c r="F133">
        <v>923423.42342342704</v>
      </c>
      <c r="G133">
        <v>89</v>
      </c>
      <c r="H133">
        <v>87</v>
      </c>
      <c r="I133">
        <v>8</v>
      </c>
      <c r="J133">
        <v>10</v>
      </c>
      <c r="K133">
        <v>5</v>
      </c>
      <c r="M133">
        <v>101</v>
      </c>
      <c r="N133">
        <v>95</v>
      </c>
      <c r="O133">
        <v>20290630.630630631</v>
      </c>
      <c r="P133">
        <v>24277297.297297299</v>
      </c>
      <c r="Q133">
        <v>42</v>
      </c>
      <c r="R133">
        <v>38</v>
      </c>
      <c r="S133">
        <v>61455385.585585587</v>
      </c>
      <c r="T133">
        <v>60357984.684684686</v>
      </c>
      <c r="U133">
        <v>19027297.297297295</v>
      </c>
      <c r="V133">
        <v>18045225.225225225</v>
      </c>
      <c r="W133">
        <v>7098</v>
      </c>
      <c r="X133">
        <v>6909</v>
      </c>
    </row>
    <row r="134" spans="1:24">
      <c r="A134" s="7" t="s">
        <v>223</v>
      </c>
      <c r="B134" s="16" t="s">
        <v>224</v>
      </c>
      <c r="C134">
        <v>33925770.381730638</v>
      </c>
      <c r="D134">
        <v>28825106.215853576</v>
      </c>
      <c r="G134">
        <v>28</v>
      </c>
      <c r="H134">
        <v>2</v>
      </c>
      <c r="M134">
        <v>28</v>
      </c>
      <c r="N134">
        <v>2</v>
      </c>
      <c r="O134">
        <v>400000</v>
      </c>
      <c r="Q134">
        <v>6</v>
      </c>
      <c r="S134">
        <v>8139279.2792792786</v>
      </c>
      <c r="T134">
        <v>7020702.702702703</v>
      </c>
      <c r="U134">
        <v>1331891.8918918921</v>
      </c>
      <c r="V134">
        <v>504504.50450450502</v>
      </c>
      <c r="W134">
        <v>860</v>
      </c>
      <c r="X134">
        <v>823</v>
      </c>
    </row>
    <row r="135" spans="1:24">
      <c r="A135" s="7" t="s">
        <v>225</v>
      </c>
      <c r="B135" s="16" t="s">
        <v>143</v>
      </c>
      <c r="C135">
        <v>268980472.35105759</v>
      </c>
      <c r="D135">
        <v>259812294.04703635</v>
      </c>
      <c r="E135">
        <v>453153.15315315599</v>
      </c>
      <c r="F135">
        <v>3528828.8288288312</v>
      </c>
      <c r="G135">
        <v>64</v>
      </c>
      <c r="H135">
        <v>118</v>
      </c>
      <c r="I135">
        <v>14</v>
      </c>
      <c r="J135">
        <v>6</v>
      </c>
      <c r="M135">
        <v>76</v>
      </c>
      <c r="N135">
        <v>130</v>
      </c>
      <c r="O135">
        <v>13903603.6036036</v>
      </c>
      <c r="P135">
        <v>15127027.027027026</v>
      </c>
      <c r="Q135">
        <v>140</v>
      </c>
      <c r="R135">
        <v>68</v>
      </c>
      <c r="S135">
        <v>28531405.40540541</v>
      </c>
      <c r="T135">
        <v>33653195.045045041</v>
      </c>
      <c r="U135">
        <v>10126396.396396397</v>
      </c>
      <c r="V135">
        <v>10279369.369369367</v>
      </c>
      <c r="W135">
        <v>5586</v>
      </c>
      <c r="X135">
        <v>5772</v>
      </c>
    </row>
    <row r="136" spans="1:24">
      <c r="A136" s="7" t="s">
        <v>226</v>
      </c>
      <c r="B136" s="16" t="s">
        <v>224</v>
      </c>
      <c r="C136">
        <v>32639822.317923643</v>
      </c>
      <c r="D136">
        <v>29832071.933215193</v>
      </c>
      <c r="E136">
        <v>4504.5045045050001</v>
      </c>
      <c r="F136">
        <v>121621.62162162201</v>
      </c>
      <c r="G136">
        <v>7</v>
      </c>
      <c r="H136">
        <v>10</v>
      </c>
      <c r="I136">
        <v>2</v>
      </c>
      <c r="J136">
        <v>2</v>
      </c>
      <c r="M136">
        <v>8</v>
      </c>
      <c r="N136">
        <v>13</v>
      </c>
      <c r="O136">
        <v>3726306.3063063058</v>
      </c>
      <c r="P136">
        <v>4954054.0540540544</v>
      </c>
      <c r="Q136">
        <v>32</v>
      </c>
      <c r="R136">
        <v>25</v>
      </c>
      <c r="S136">
        <v>7104819.8198198201</v>
      </c>
      <c r="T136">
        <v>8468950.4504504502</v>
      </c>
      <c r="U136">
        <v>3112882.8828828819</v>
      </c>
      <c r="V136">
        <v>4082252.2522522518</v>
      </c>
      <c r="W136">
        <v>840</v>
      </c>
      <c r="X136">
        <v>815</v>
      </c>
    </row>
    <row r="137" spans="1:24">
      <c r="A137" s="7" t="s">
        <v>227</v>
      </c>
      <c r="B137" s="16" t="s">
        <v>78</v>
      </c>
      <c r="C137">
        <v>254549450.14068881</v>
      </c>
      <c r="D137">
        <v>242401219.9535197</v>
      </c>
      <c r="E137">
        <v>1024324.3243243271</v>
      </c>
      <c r="F137">
        <v>3036936.9369369401</v>
      </c>
      <c r="G137">
        <v>34</v>
      </c>
      <c r="H137">
        <v>45</v>
      </c>
      <c r="I137">
        <v>4</v>
      </c>
      <c r="J137">
        <v>12</v>
      </c>
      <c r="M137">
        <v>37</v>
      </c>
      <c r="N137">
        <v>50</v>
      </c>
      <c r="O137">
        <v>21688198.198198199</v>
      </c>
      <c r="P137">
        <v>26895765.765765768</v>
      </c>
      <c r="Q137">
        <v>149</v>
      </c>
      <c r="R137">
        <v>68</v>
      </c>
      <c r="S137">
        <v>95930619.819819823</v>
      </c>
      <c r="T137">
        <v>97202756.756756753</v>
      </c>
      <c r="U137">
        <v>20309682.882882886</v>
      </c>
      <c r="V137">
        <v>24189459.459459461</v>
      </c>
      <c r="W137">
        <v>5013</v>
      </c>
      <c r="X137">
        <v>4821</v>
      </c>
    </row>
    <row r="138" spans="1:24">
      <c r="A138" s="7" t="s">
        <v>228</v>
      </c>
      <c r="B138" s="16" t="s">
        <v>136</v>
      </c>
      <c r="C138">
        <v>350228643.37045425</v>
      </c>
      <c r="D138">
        <v>326186147.14202458</v>
      </c>
      <c r="E138">
        <v>713738.73873873998</v>
      </c>
      <c r="F138">
        <v>2360810.8108108141</v>
      </c>
      <c r="G138">
        <v>88</v>
      </c>
      <c r="H138">
        <v>81</v>
      </c>
      <c r="I138">
        <v>9</v>
      </c>
      <c r="J138">
        <v>10</v>
      </c>
      <c r="M138">
        <v>99</v>
      </c>
      <c r="N138">
        <v>98</v>
      </c>
      <c r="O138">
        <v>48620810.810810804</v>
      </c>
      <c r="P138">
        <v>36456756.756756753</v>
      </c>
      <c r="Q138">
        <v>112</v>
      </c>
      <c r="R138">
        <v>151</v>
      </c>
      <c r="S138">
        <v>74133679.279279277</v>
      </c>
      <c r="T138">
        <v>76656815.315315306</v>
      </c>
      <c r="U138">
        <v>41278648.648648649</v>
      </c>
      <c r="V138">
        <v>30524144.144144144</v>
      </c>
      <c r="W138">
        <v>7721</v>
      </c>
      <c r="X138">
        <v>7531</v>
      </c>
    </row>
    <row r="139" spans="1:24">
      <c r="A139" s="7" t="s">
        <v>229</v>
      </c>
      <c r="B139" s="16" t="s">
        <v>78</v>
      </c>
      <c r="C139">
        <v>90437592.274040565</v>
      </c>
      <c r="D139">
        <v>92134430.914988071</v>
      </c>
      <c r="E139">
        <v>2801351.351351351</v>
      </c>
      <c r="F139">
        <v>2986036.036036036</v>
      </c>
      <c r="G139">
        <v>24</v>
      </c>
      <c r="H139">
        <v>34</v>
      </c>
      <c r="I139">
        <v>1</v>
      </c>
      <c r="J139">
        <v>3</v>
      </c>
      <c r="M139">
        <v>24</v>
      </c>
      <c r="N139">
        <v>42</v>
      </c>
      <c r="O139">
        <v>15134684.684684685</v>
      </c>
      <c r="P139">
        <v>21818018.018018015</v>
      </c>
      <c r="Q139">
        <v>21</v>
      </c>
      <c r="R139">
        <v>13</v>
      </c>
      <c r="S139">
        <v>40190675.675675675</v>
      </c>
      <c r="T139">
        <v>45170540.540540546</v>
      </c>
      <c r="U139">
        <v>15109819.819819819</v>
      </c>
      <c r="V139">
        <v>19607747.747747749</v>
      </c>
      <c r="W139">
        <v>2484</v>
      </c>
      <c r="X139">
        <v>2434</v>
      </c>
    </row>
    <row r="140" spans="1:24">
      <c r="A140" s="7" t="s">
        <v>230</v>
      </c>
      <c r="B140" s="16" t="s">
        <v>54</v>
      </c>
      <c r="C140">
        <v>278338156.97213513</v>
      </c>
      <c r="D140">
        <v>263908378.76098853</v>
      </c>
      <c r="E140">
        <v>622747.74774774897</v>
      </c>
      <c r="F140">
        <v>960360.36036036105</v>
      </c>
      <c r="G140">
        <v>41</v>
      </c>
      <c r="H140">
        <v>29</v>
      </c>
      <c r="I140">
        <v>5</v>
      </c>
      <c r="J140">
        <v>7</v>
      </c>
      <c r="M140">
        <v>48</v>
      </c>
      <c r="N140">
        <v>43</v>
      </c>
      <c r="O140">
        <v>8022522.5225225221</v>
      </c>
      <c r="P140">
        <v>21660360.360360362</v>
      </c>
      <c r="Q140">
        <v>84</v>
      </c>
      <c r="R140">
        <v>2548</v>
      </c>
      <c r="S140">
        <v>63353468.468468472</v>
      </c>
      <c r="T140">
        <v>65478268.468468465</v>
      </c>
      <c r="U140">
        <v>9071801.8018018007</v>
      </c>
      <c r="V140">
        <v>24641171.171171173</v>
      </c>
      <c r="W140">
        <v>6800</v>
      </c>
      <c r="X140">
        <v>6776</v>
      </c>
    </row>
    <row r="141" spans="1:24">
      <c r="A141" s="7" t="s">
        <v>231</v>
      </c>
      <c r="B141" s="16" t="s">
        <v>78</v>
      </c>
      <c r="C141">
        <v>106030027.75492354</v>
      </c>
      <c r="D141">
        <v>100934889.27540828</v>
      </c>
      <c r="E141">
        <v>457657.65765765897</v>
      </c>
      <c r="F141">
        <v>2515315.3153153178</v>
      </c>
      <c r="G141">
        <v>49</v>
      </c>
      <c r="H141">
        <v>51</v>
      </c>
      <c r="I141">
        <v>7</v>
      </c>
      <c r="J141">
        <v>11</v>
      </c>
      <c r="M141">
        <v>54</v>
      </c>
      <c r="N141">
        <v>69</v>
      </c>
      <c r="O141">
        <v>25382882.882882878</v>
      </c>
      <c r="P141">
        <v>25725225.225225225</v>
      </c>
      <c r="Q141">
        <v>35</v>
      </c>
      <c r="R141">
        <v>78</v>
      </c>
      <c r="S141">
        <v>49528018.018018015</v>
      </c>
      <c r="T141">
        <v>48059117.117117122</v>
      </c>
      <c r="U141">
        <v>27387657.657657661</v>
      </c>
      <c r="V141">
        <v>25274144.144144144</v>
      </c>
      <c r="W141">
        <v>4056</v>
      </c>
      <c r="X141">
        <v>3935</v>
      </c>
    </row>
    <row r="142" spans="1:24">
      <c r="A142" s="7" t="s">
        <v>232</v>
      </c>
      <c r="B142" s="16" t="s">
        <v>60</v>
      </c>
      <c r="C142">
        <v>89620978.971920013</v>
      </c>
      <c r="D142">
        <v>92320935.329302549</v>
      </c>
      <c r="G142">
        <v>33</v>
      </c>
      <c r="H142">
        <v>26</v>
      </c>
      <c r="I142">
        <v>0</v>
      </c>
      <c r="M142">
        <v>34</v>
      </c>
      <c r="N142">
        <v>28</v>
      </c>
      <c r="O142">
        <v>81081.081081081007</v>
      </c>
      <c r="Q142">
        <v>3</v>
      </c>
      <c r="S142">
        <v>35526846.846846849</v>
      </c>
      <c r="T142">
        <v>38969009.009009011</v>
      </c>
      <c r="U142">
        <v>81081.081081081007</v>
      </c>
      <c r="W142">
        <v>1848</v>
      </c>
      <c r="X142">
        <v>2021</v>
      </c>
    </row>
    <row r="143" spans="1:24">
      <c r="A143" s="7" t="s">
        <v>233</v>
      </c>
      <c r="B143" s="16" t="s">
        <v>54</v>
      </c>
      <c r="C143">
        <v>44491201.970613182</v>
      </c>
      <c r="D143">
        <v>44248476.034963593</v>
      </c>
      <c r="E143">
        <v>573873.87387387396</v>
      </c>
      <c r="F143">
        <v>96396.396396397002</v>
      </c>
      <c r="G143">
        <v>22</v>
      </c>
      <c r="H143">
        <v>29</v>
      </c>
      <c r="I143">
        <v>1</v>
      </c>
      <c r="J143">
        <v>0</v>
      </c>
      <c r="M143">
        <v>45</v>
      </c>
      <c r="N143">
        <v>61</v>
      </c>
      <c r="O143">
        <v>2145945.9459459451</v>
      </c>
      <c r="P143">
        <v>1925585.5855855851</v>
      </c>
      <c r="Q143">
        <v>27</v>
      </c>
      <c r="R143">
        <v>19</v>
      </c>
      <c r="S143">
        <v>9477747.7477477472</v>
      </c>
      <c r="T143">
        <v>9359774.7747747749</v>
      </c>
      <c r="U143">
        <v>2802972.9729729728</v>
      </c>
      <c r="V143">
        <v>1909549.5495495501</v>
      </c>
      <c r="W143">
        <v>1049</v>
      </c>
      <c r="X143">
        <v>1077</v>
      </c>
    </row>
    <row r="144" spans="1:24">
      <c r="A144" s="7" t="s">
        <v>234</v>
      </c>
      <c r="B144" s="16" t="s">
        <v>167</v>
      </c>
      <c r="C144">
        <v>218676511.5865522</v>
      </c>
      <c r="D144">
        <v>207205899.10465389</v>
      </c>
      <c r="E144">
        <v>28828.828828828999</v>
      </c>
      <c r="F144">
        <v>373873.87387387402</v>
      </c>
      <c r="G144">
        <v>54</v>
      </c>
      <c r="H144">
        <v>15</v>
      </c>
      <c r="I144">
        <v>1</v>
      </c>
      <c r="J144">
        <v>1</v>
      </c>
      <c r="M144">
        <v>62</v>
      </c>
      <c r="N144">
        <v>17</v>
      </c>
      <c r="O144">
        <v>17648648.648648649</v>
      </c>
      <c r="P144">
        <v>17109357.657657661</v>
      </c>
      <c r="Q144">
        <v>11</v>
      </c>
      <c r="R144">
        <v>2</v>
      </c>
      <c r="S144">
        <v>58463495.495495498</v>
      </c>
      <c r="T144">
        <v>58032319.819819815</v>
      </c>
      <c r="U144">
        <v>12345448.648648648</v>
      </c>
      <c r="V144">
        <v>10429549.549549552</v>
      </c>
      <c r="W144">
        <v>4777</v>
      </c>
      <c r="X144">
        <v>5107</v>
      </c>
    </row>
    <row r="145" spans="1:24">
      <c r="A145" s="7" t="s">
        <v>235</v>
      </c>
      <c r="B145" s="16" t="s">
        <v>236</v>
      </c>
      <c r="C145">
        <v>6196.4937303839997</v>
      </c>
      <c r="D145">
        <v>155.92310595199999</v>
      </c>
      <c r="T145">
        <v>9009.0090090089998</v>
      </c>
      <c r="W145">
        <v>33</v>
      </c>
      <c r="X145">
        <v>58</v>
      </c>
    </row>
    <row r="146" spans="1:24">
      <c r="A146" s="7" t="s">
        <v>237</v>
      </c>
      <c r="B146" s="16" t="s">
        <v>105</v>
      </c>
      <c r="C146">
        <v>128409098.94116855</v>
      </c>
      <c r="D146">
        <v>121556375.94828132</v>
      </c>
      <c r="E146">
        <v>266126.12612612598</v>
      </c>
      <c r="F146">
        <v>478378.378378377</v>
      </c>
      <c r="G146">
        <v>26</v>
      </c>
      <c r="H146">
        <v>16</v>
      </c>
      <c r="I146">
        <v>1</v>
      </c>
      <c r="J146">
        <v>0</v>
      </c>
      <c r="M146">
        <v>30</v>
      </c>
      <c r="N146">
        <v>17</v>
      </c>
      <c r="O146">
        <v>16180810.810810812</v>
      </c>
      <c r="P146">
        <v>19946306.306306306</v>
      </c>
      <c r="Q146">
        <v>6</v>
      </c>
      <c r="R146">
        <v>50</v>
      </c>
      <c r="S146">
        <v>35752873.873873875</v>
      </c>
      <c r="T146">
        <v>35927324.324324325</v>
      </c>
      <c r="U146">
        <v>13995315.315315315</v>
      </c>
      <c r="V146">
        <v>18017837.837837841</v>
      </c>
      <c r="W146">
        <v>2058</v>
      </c>
      <c r="X146">
        <v>1979</v>
      </c>
    </row>
    <row r="147" spans="1:24">
      <c r="A147" s="7" t="s">
        <v>3</v>
      </c>
      <c r="B147" s="16" t="s">
        <v>158</v>
      </c>
      <c r="C147">
        <v>252871469.67884552</v>
      </c>
      <c r="D147">
        <v>247172842.46422726</v>
      </c>
      <c r="E147">
        <v>2685360.3603603621</v>
      </c>
      <c r="F147">
        <v>3317117.1171171209</v>
      </c>
      <c r="G147">
        <v>34</v>
      </c>
      <c r="H147">
        <v>39</v>
      </c>
      <c r="I147">
        <v>13</v>
      </c>
      <c r="J147">
        <v>11</v>
      </c>
      <c r="M147">
        <v>38</v>
      </c>
      <c r="N147">
        <v>43</v>
      </c>
      <c r="O147">
        <v>46987837.837837838</v>
      </c>
      <c r="P147">
        <v>54215315.315315314</v>
      </c>
      <c r="Q147">
        <v>102</v>
      </c>
      <c r="R147">
        <v>67</v>
      </c>
      <c r="S147">
        <v>65262297.297297299</v>
      </c>
      <c r="T147">
        <v>69933135.135135129</v>
      </c>
      <c r="U147">
        <v>46094414.414414413</v>
      </c>
      <c r="V147">
        <v>46678018.018018015</v>
      </c>
      <c r="W147">
        <v>3644</v>
      </c>
      <c r="X147">
        <v>3716</v>
      </c>
    </row>
    <row r="148" spans="1:24">
      <c r="A148" s="7" t="s">
        <v>238</v>
      </c>
      <c r="B148" s="16" t="s">
        <v>178</v>
      </c>
      <c r="C148">
        <v>223245828.02645332</v>
      </c>
      <c r="D148">
        <v>194096023.90146583</v>
      </c>
      <c r="E148">
        <v>3651351.3513513519</v>
      </c>
      <c r="F148">
        <v>500000.00000000099</v>
      </c>
      <c r="G148">
        <v>40</v>
      </c>
      <c r="H148">
        <v>40</v>
      </c>
      <c r="I148">
        <v>3</v>
      </c>
      <c r="J148">
        <v>4</v>
      </c>
      <c r="M148">
        <v>49</v>
      </c>
      <c r="N148">
        <v>74</v>
      </c>
      <c r="O148">
        <v>22256457.657657661</v>
      </c>
      <c r="P148">
        <v>31175675.675675675</v>
      </c>
      <c r="S148">
        <v>66753441.441441439</v>
      </c>
      <c r="T148">
        <v>62177549.54954955</v>
      </c>
      <c r="U148">
        <v>18342072.072072074</v>
      </c>
      <c r="V148">
        <v>24419459.459459461</v>
      </c>
      <c r="W148">
        <v>5502</v>
      </c>
      <c r="X148">
        <v>8324</v>
      </c>
    </row>
    <row r="149" spans="1:24">
      <c r="A149" s="7" t="s">
        <v>239</v>
      </c>
      <c r="B149" s="16" t="s">
        <v>54</v>
      </c>
      <c r="C149">
        <v>150951231.06547886</v>
      </c>
      <c r="D149">
        <v>137031112.77618328</v>
      </c>
      <c r="E149">
        <v>1770585.5855855851</v>
      </c>
      <c r="F149">
        <v>3550450.4504504511</v>
      </c>
      <c r="G149">
        <v>14</v>
      </c>
      <c r="H149">
        <v>25</v>
      </c>
      <c r="I149">
        <v>2</v>
      </c>
      <c r="J149">
        <v>4</v>
      </c>
      <c r="M149">
        <v>17</v>
      </c>
      <c r="N149">
        <v>26</v>
      </c>
      <c r="O149">
        <v>19961801.801801801</v>
      </c>
      <c r="P149">
        <v>17929189.189189188</v>
      </c>
      <c r="Q149">
        <v>63</v>
      </c>
      <c r="R149">
        <v>27</v>
      </c>
      <c r="S149">
        <v>41381383.783783786</v>
      </c>
      <c r="T149">
        <v>37998311.711711712</v>
      </c>
      <c r="U149">
        <v>16660763.963963963</v>
      </c>
      <c r="V149">
        <v>17234771.17117117</v>
      </c>
      <c r="W149">
        <v>3551</v>
      </c>
      <c r="X149">
        <v>3469</v>
      </c>
    </row>
    <row r="150" spans="1:24">
      <c r="A150" s="7" t="s">
        <v>240</v>
      </c>
      <c r="B150" s="16" t="s">
        <v>241</v>
      </c>
      <c r="C150">
        <v>128456440.7178026</v>
      </c>
      <c r="D150">
        <v>118322542.23025829</v>
      </c>
      <c r="E150">
        <v>164864.86486486599</v>
      </c>
      <c r="F150">
        <v>763963.96396396495</v>
      </c>
      <c r="G150">
        <v>62</v>
      </c>
      <c r="H150">
        <v>51</v>
      </c>
      <c r="I150">
        <v>6</v>
      </c>
      <c r="J150">
        <v>5</v>
      </c>
      <c r="M150">
        <v>73</v>
      </c>
      <c r="N150">
        <v>56</v>
      </c>
      <c r="O150">
        <v>86545585.585585579</v>
      </c>
      <c r="P150">
        <v>27348828.82882883</v>
      </c>
      <c r="Q150">
        <v>20</v>
      </c>
      <c r="R150">
        <v>11</v>
      </c>
      <c r="S150">
        <v>30727927.927927926</v>
      </c>
      <c r="T150">
        <v>27999052.252252251</v>
      </c>
      <c r="U150">
        <v>81492162.162162155</v>
      </c>
      <c r="V150">
        <v>8076036.0360360397</v>
      </c>
      <c r="W150">
        <v>3046</v>
      </c>
      <c r="X150">
        <v>2827</v>
      </c>
    </row>
    <row r="151" spans="1:24">
      <c r="A151" s="7" t="s">
        <v>242</v>
      </c>
      <c r="B151" s="16" t="s">
        <v>241</v>
      </c>
      <c r="C151">
        <v>327455885.78157473</v>
      </c>
      <c r="D151">
        <v>309609621.86183232</v>
      </c>
      <c r="E151">
        <v>170596592.7927928</v>
      </c>
      <c r="F151">
        <v>203214739.63963965</v>
      </c>
      <c r="G151">
        <v>165</v>
      </c>
      <c r="H151">
        <v>120</v>
      </c>
      <c r="I151">
        <v>21</v>
      </c>
      <c r="J151">
        <v>16</v>
      </c>
      <c r="K151">
        <v>1</v>
      </c>
      <c r="M151">
        <v>180</v>
      </c>
      <c r="N151">
        <v>133</v>
      </c>
      <c r="O151">
        <v>122090412.61261261</v>
      </c>
      <c r="P151">
        <v>85052342.342342332</v>
      </c>
      <c r="Q151">
        <v>373</v>
      </c>
      <c r="R151">
        <v>99</v>
      </c>
      <c r="S151">
        <v>99252792.792792797</v>
      </c>
      <c r="T151">
        <v>91463162.162162155</v>
      </c>
      <c r="U151">
        <v>93060090.090090096</v>
      </c>
      <c r="V151">
        <v>67481891.891891897</v>
      </c>
      <c r="W151">
        <v>6708</v>
      </c>
      <c r="X151">
        <v>6771</v>
      </c>
    </row>
    <row r="152" spans="1:24">
      <c r="A152" s="7" t="s">
        <v>243</v>
      </c>
      <c r="B152" s="16" t="s">
        <v>50</v>
      </c>
      <c r="C152">
        <v>56195421.352963053</v>
      </c>
      <c r="D152">
        <v>53039559.191504464</v>
      </c>
      <c r="E152">
        <v>3503378.3783783792</v>
      </c>
      <c r="F152">
        <v>1285585.585585586</v>
      </c>
      <c r="G152">
        <v>13</v>
      </c>
      <c r="H152">
        <v>10</v>
      </c>
      <c r="I152">
        <v>6</v>
      </c>
      <c r="J152">
        <v>3</v>
      </c>
      <c r="M152">
        <v>13</v>
      </c>
      <c r="N152">
        <v>10</v>
      </c>
      <c r="O152">
        <v>9089189.1891891882</v>
      </c>
      <c r="P152">
        <v>7080540.5405405406</v>
      </c>
      <c r="Q152">
        <v>9</v>
      </c>
      <c r="R152">
        <v>24</v>
      </c>
      <c r="S152">
        <v>20226981.981981985</v>
      </c>
      <c r="T152">
        <v>17211270.270270269</v>
      </c>
      <c r="U152">
        <v>8349189.1891891891</v>
      </c>
      <c r="V152">
        <v>6494504.5045045037</v>
      </c>
      <c r="W152">
        <v>48</v>
      </c>
      <c r="X152">
        <v>1204</v>
      </c>
    </row>
    <row r="153" spans="1:24">
      <c r="A153" s="7" t="s">
        <v>244</v>
      </c>
      <c r="B153" s="16" t="s">
        <v>181</v>
      </c>
      <c r="C153">
        <v>1809919318.1989396</v>
      </c>
      <c r="D153">
        <v>1689721047.0887599</v>
      </c>
      <c r="E153">
        <v>295006158.55855858</v>
      </c>
      <c r="F153">
        <v>166550330.63063061</v>
      </c>
      <c r="G153">
        <v>828</v>
      </c>
      <c r="H153">
        <v>739</v>
      </c>
      <c r="I153">
        <v>90</v>
      </c>
      <c r="J153">
        <v>82</v>
      </c>
      <c r="K153">
        <v>16</v>
      </c>
      <c r="M153">
        <v>989</v>
      </c>
      <c r="N153">
        <v>1279</v>
      </c>
      <c r="O153">
        <v>188119639.63963962</v>
      </c>
      <c r="P153">
        <v>203167207.2072072</v>
      </c>
      <c r="Q153">
        <v>1399</v>
      </c>
      <c r="R153">
        <v>955</v>
      </c>
      <c r="S153">
        <v>359282762.16216218</v>
      </c>
      <c r="T153">
        <v>379378723.42342341</v>
      </c>
      <c r="U153">
        <v>181221711.7117117</v>
      </c>
      <c r="V153">
        <v>197574504.5045045</v>
      </c>
      <c r="W153">
        <v>44082</v>
      </c>
      <c r="X153">
        <v>47086</v>
      </c>
    </row>
    <row r="154" spans="1:24">
      <c r="A154" s="7" t="s">
        <v>245</v>
      </c>
      <c r="B154" s="16" t="s">
        <v>48</v>
      </c>
      <c r="C154">
        <v>78777474.349415973</v>
      </c>
      <c r="D154">
        <v>72624136.891228765</v>
      </c>
      <c r="E154">
        <v>271171.17117117101</v>
      </c>
      <c r="F154">
        <v>1726351.3513513519</v>
      </c>
      <c r="G154">
        <v>6</v>
      </c>
      <c r="H154">
        <v>5</v>
      </c>
      <c r="I154">
        <v>2</v>
      </c>
      <c r="J154">
        <v>7</v>
      </c>
      <c r="M154">
        <v>6</v>
      </c>
      <c r="N154">
        <v>9</v>
      </c>
      <c r="O154">
        <v>9962162.1621621642</v>
      </c>
      <c r="P154">
        <v>19948828.828828827</v>
      </c>
      <c r="S154">
        <v>18626072.072072074</v>
      </c>
      <c r="T154">
        <v>16913441.441441443</v>
      </c>
      <c r="U154">
        <v>10101171.171171172</v>
      </c>
      <c r="V154">
        <v>21229819.819819819</v>
      </c>
      <c r="W154">
        <v>1839</v>
      </c>
      <c r="X154">
        <v>1749</v>
      </c>
    </row>
    <row r="155" spans="1:24">
      <c r="A155" s="7" t="s">
        <v>246</v>
      </c>
      <c r="B155" s="16" t="s">
        <v>94</v>
      </c>
      <c r="C155">
        <v>32821782.766424153</v>
      </c>
      <c r="D155">
        <v>20770771.0606286</v>
      </c>
      <c r="G155">
        <v>5</v>
      </c>
      <c r="H155">
        <v>1</v>
      </c>
      <c r="J155">
        <v>0</v>
      </c>
      <c r="M155">
        <v>6</v>
      </c>
      <c r="N155">
        <v>1</v>
      </c>
      <c r="S155">
        <v>5741441.441441441</v>
      </c>
      <c r="T155">
        <v>3872108.1081081079</v>
      </c>
      <c r="W155">
        <v>711</v>
      </c>
      <c r="X155">
        <v>672</v>
      </c>
    </row>
    <row r="156" spans="1:24">
      <c r="A156" s="7" t="s">
        <v>247</v>
      </c>
      <c r="B156" s="16" t="s">
        <v>117</v>
      </c>
      <c r="C156">
        <v>68059963.224148124</v>
      </c>
      <c r="D156">
        <v>69181307.436065063</v>
      </c>
      <c r="E156">
        <v>714182.88288288505</v>
      </c>
      <c r="F156">
        <v>1075829.7297297299</v>
      </c>
      <c r="G156">
        <v>26</v>
      </c>
      <c r="H156">
        <v>8</v>
      </c>
      <c r="I156">
        <v>7</v>
      </c>
      <c r="J156">
        <v>3</v>
      </c>
      <c r="M156">
        <v>28</v>
      </c>
      <c r="N156">
        <v>11</v>
      </c>
      <c r="O156">
        <v>12840827.027027028</v>
      </c>
      <c r="P156">
        <v>10354616.216216218</v>
      </c>
      <c r="Q156">
        <v>32</v>
      </c>
      <c r="R156">
        <v>43</v>
      </c>
      <c r="S156">
        <v>32218333.333333332</v>
      </c>
      <c r="T156">
        <v>33068090.090090089</v>
      </c>
      <c r="U156">
        <v>14447657.657657657</v>
      </c>
      <c r="V156">
        <v>11568918.918918921</v>
      </c>
      <c r="W156">
        <v>1711</v>
      </c>
      <c r="X156">
        <v>1716</v>
      </c>
    </row>
    <row r="157" spans="1:24">
      <c r="A157" s="7" t="s">
        <v>248</v>
      </c>
      <c r="B157" s="16" t="s">
        <v>121</v>
      </c>
      <c r="C157">
        <v>113273611.1427471</v>
      </c>
      <c r="D157">
        <v>113324456.10386935</v>
      </c>
      <c r="E157">
        <v>102252.25225225301</v>
      </c>
      <c r="F157">
        <v>827927.92792792805</v>
      </c>
      <c r="G157">
        <v>92</v>
      </c>
      <c r="H157">
        <v>75</v>
      </c>
      <c r="I157">
        <v>3</v>
      </c>
      <c r="J157">
        <v>5</v>
      </c>
      <c r="M157">
        <v>102</v>
      </c>
      <c r="N157">
        <v>83</v>
      </c>
      <c r="O157">
        <v>6059459.4594594603</v>
      </c>
      <c r="P157">
        <v>4486486.4864864871</v>
      </c>
      <c r="Q157">
        <v>72</v>
      </c>
      <c r="R157">
        <v>14</v>
      </c>
      <c r="S157">
        <v>12843657.657657659</v>
      </c>
      <c r="T157">
        <v>13532981.98198198</v>
      </c>
      <c r="U157">
        <v>5330630.6306306301</v>
      </c>
      <c r="V157">
        <v>3895855.8558558561</v>
      </c>
      <c r="W157">
        <v>2340</v>
      </c>
      <c r="X157">
        <v>2242</v>
      </c>
    </row>
    <row r="158" spans="1:24">
      <c r="A158" s="7" t="s">
        <v>249</v>
      </c>
      <c r="B158" s="16" t="s">
        <v>76</v>
      </c>
      <c r="C158">
        <v>54663661.231323473</v>
      </c>
      <c r="D158">
        <v>48419819.252265021</v>
      </c>
      <c r="G158">
        <v>9</v>
      </c>
      <c r="H158">
        <v>5</v>
      </c>
      <c r="I158">
        <v>0</v>
      </c>
      <c r="J158">
        <v>0</v>
      </c>
      <c r="M158">
        <v>11</v>
      </c>
      <c r="N158">
        <v>5</v>
      </c>
      <c r="S158">
        <v>5857639.6396396402</v>
      </c>
      <c r="T158">
        <v>4745450.4504504511</v>
      </c>
      <c r="W158">
        <v>1619</v>
      </c>
      <c r="X158">
        <v>1675</v>
      </c>
    </row>
    <row r="159" spans="1:24">
      <c r="A159" s="7" t="s">
        <v>250</v>
      </c>
      <c r="B159" s="16" t="s">
        <v>167</v>
      </c>
      <c r="C159">
        <v>169216990.51660678</v>
      </c>
      <c r="D159">
        <v>158150364.71589059</v>
      </c>
      <c r="G159">
        <v>22</v>
      </c>
      <c r="H159">
        <v>36</v>
      </c>
      <c r="M159">
        <v>27</v>
      </c>
      <c r="N159">
        <v>42</v>
      </c>
      <c r="O159">
        <v>5194594.594594595</v>
      </c>
      <c r="P159">
        <v>1828828.8288288291</v>
      </c>
      <c r="Q159">
        <v>9</v>
      </c>
      <c r="S159">
        <v>30506846.846846849</v>
      </c>
      <c r="T159">
        <v>30467747.747747749</v>
      </c>
      <c r="U159">
        <v>2251171.1711711721</v>
      </c>
      <c r="V159">
        <v>1665585.585585586</v>
      </c>
      <c r="W159">
        <v>3883</v>
      </c>
      <c r="X159">
        <v>3621</v>
      </c>
    </row>
    <row r="160" spans="1:24">
      <c r="A160" s="7" t="s">
        <v>251</v>
      </c>
      <c r="B160" s="16" t="s">
        <v>89</v>
      </c>
      <c r="C160">
        <v>474631769.95143729</v>
      </c>
      <c r="D160">
        <v>467555192.66402018</v>
      </c>
      <c r="E160">
        <v>5642702.7027027113</v>
      </c>
      <c r="F160">
        <v>2118018.0180180222</v>
      </c>
      <c r="G160">
        <v>51</v>
      </c>
      <c r="H160">
        <v>84</v>
      </c>
      <c r="I160">
        <v>21</v>
      </c>
      <c r="J160">
        <v>6</v>
      </c>
      <c r="M160">
        <v>59</v>
      </c>
      <c r="N160">
        <v>98</v>
      </c>
      <c r="O160">
        <v>36082702.702702701</v>
      </c>
      <c r="P160">
        <v>34975675.675675675</v>
      </c>
      <c r="Q160">
        <v>337</v>
      </c>
      <c r="R160">
        <v>258</v>
      </c>
      <c r="S160">
        <v>112977866.66666667</v>
      </c>
      <c r="T160">
        <v>114685720.72072072</v>
      </c>
      <c r="U160">
        <v>40570000</v>
      </c>
      <c r="V160">
        <v>34620450.45045045</v>
      </c>
      <c r="W160">
        <v>10437</v>
      </c>
      <c r="X160">
        <v>11059</v>
      </c>
    </row>
    <row r="161" spans="1:24">
      <c r="A161" s="7" t="s">
        <v>252</v>
      </c>
      <c r="B161" s="16" t="s">
        <v>78</v>
      </c>
      <c r="C161">
        <v>141328193.38245562</v>
      </c>
      <c r="D161">
        <v>135815687.44323441</v>
      </c>
      <c r="E161">
        <v>422522.52252252202</v>
      </c>
      <c r="F161">
        <v>2066666.6666666679</v>
      </c>
      <c r="G161">
        <v>31</v>
      </c>
      <c r="H161">
        <v>25</v>
      </c>
      <c r="I161">
        <v>4</v>
      </c>
      <c r="J161">
        <v>7</v>
      </c>
      <c r="M161">
        <v>34</v>
      </c>
      <c r="N161">
        <v>26</v>
      </c>
      <c r="O161">
        <v>15729639.63963964</v>
      </c>
      <c r="P161">
        <v>28548198.198198196</v>
      </c>
      <c r="Q161">
        <v>27</v>
      </c>
      <c r="R161">
        <v>29</v>
      </c>
      <c r="S161">
        <v>38677513.513513513</v>
      </c>
      <c r="T161">
        <v>39223387.387387387</v>
      </c>
      <c r="U161">
        <v>16122162.162162164</v>
      </c>
      <c r="V161">
        <v>26805495.495495494</v>
      </c>
      <c r="W161">
        <v>2856</v>
      </c>
      <c r="X161">
        <v>2823</v>
      </c>
    </row>
    <row r="162" spans="1:24">
      <c r="A162" s="7" t="s">
        <v>253</v>
      </c>
      <c r="B162" s="16" t="s">
        <v>105</v>
      </c>
      <c r="C162">
        <v>275384653.61042988</v>
      </c>
      <c r="D162">
        <v>271354411.64021659</v>
      </c>
      <c r="E162">
        <v>29604389.189189192</v>
      </c>
      <c r="F162">
        <v>90051872.972972974</v>
      </c>
      <c r="G162">
        <v>62</v>
      </c>
      <c r="H162">
        <v>88</v>
      </c>
      <c r="I162">
        <v>9</v>
      </c>
      <c r="J162">
        <v>13</v>
      </c>
      <c r="K162">
        <v>1</v>
      </c>
      <c r="M162">
        <v>68</v>
      </c>
      <c r="N162">
        <v>174</v>
      </c>
      <c r="O162">
        <v>40560180.180180177</v>
      </c>
      <c r="P162">
        <v>41653333.333333336</v>
      </c>
      <c r="Q162">
        <v>117</v>
      </c>
      <c r="R162">
        <v>373</v>
      </c>
      <c r="S162">
        <v>79555342.342342332</v>
      </c>
      <c r="T162">
        <v>77789531.531531543</v>
      </c>
      <c r="U162">
        <v>38288468.468468472</v>
      </c>
      <c r="V162">
        <v>42094684.684684686</v>
      </c>
      <c r="W162">
        <v>5419</v>
      </c>
      <c r="X162">
        <v>5347</v>
      </c>
    </row>
    <row r="163" spans="1:24">
      <c r="A163" s="7" t="s">
        <v>254</v>
      </c>
      <c r="B163" s="16" t="s">
        <v>105</v>
      </c>
      <c r="C163">
        <v>178671401.14276442</v>
      </c>
      <c r="D163">
        <v>174369689.33707267</v>
      </c>
      <c r="E163">
        <v>49519819.819819815</v>
      </c>
      <c r="F163">
        <v>3569369.3693693718</v>
      </c>
      <c r="G163">
        <v>22</v>
      </c>
      <c r="H163">
        <v>17</v>
      </c>
      <c r="I163">
        <v>0</v>
      </c>
      <c r="J163">
        <v>1</v>
      </c>
      <c r="M163">
        <v>25</v>
      </c>
      <c r="N163">
        <v>21</v>
      </c>
      <c r="O163">
        <v>12664549.549549548</v>
      </c>
      <c r="P163">
        <v>15732792.792792793</v>
      </c>
      <c r="Q163">
        <v>12</v>
      </c>
      <c r="R163">
        <v>45</v>
      </c>
      <c r="S163">
        <v>53301349.54954955</v>
      </c>
      <c r="T163">
        <v>53924981.981981985</v>
      </c>
      <c r="U163">
        <v>11106036.036036037</v>
      </c>
      <c r="V163">
        <v>12823423.423423423</v>
      </c>
      <c r="W163">
        <v>3814</v>
      </c>
      <c r="X163">
        <v>3857</v>
      </c>
    </row>
    <row r="164" spans="1:24">
      <c r="A164" s="7" t="s">
        <v>255</v>
      </c>
      <c r="B164" s="16" t="s">
        <v>105</v>
      </c>
      <c r="C164">
        <v>147719147.16654366</v>
      </c>
      <c r="D164">
        <v>149837031.76357937</v>
      </c>
      <c r="E164">
        <v>1120720.7207207209</v>
      </c>
      <c r="F164">
        <v>121621.62162162201</v>
      </c>
      <c r="G164">
        <v>20</v>
      </c>
      <c r="H164">
        <v>23</v>
      </c>
      <c r="I164">
        <v>0</v>
      </c>
      <c r="J164">
        <v>0</v>
      </c>
      <c r="M164">
        <v>20</v>
      </c>
      <c r="N164">
        <v>28</v>
      </c>
      <c r="O164">
        <v>2156756.7567567569</v>
      </c>
      <c r="P164">
        <v>2373873.8738738741</v>
      </c>
      <c r="Q164">
        <v>1</v>
      </c>
      <c r="S164">
        <v>30443513.513513513</v>
      </c>
      <c r="T164">
        <v>32330466.666666668</v>
      </c>
      <c r="U164">
        <v>1584954.954954955</v>
      </c>
      <c r="V164">
        <v>2117297.297297297</v>
      </c>
      <c r="W164">
        <v>2137</v>
      </c>
      <c r="X164">
        <v>2064</v>
      </c>
    </row>
    <row r="165" spans="1:24">
      <c r="A165" s="7" t="s">
        <v>256</v>
      </c>
      <c r="B165" s="16" t="s">
        <v>134</v>
      </c>
      <c r="C165">
        <v>234847506.31995502</v>
      </c>
      <c r="D165">
        <v>227965875.80324021</v>
      </c>
      <c r="E165">
        <v>272972.97297297302</v>
      </c>
      <c r="F165">
        <v>756756.75675675704</v>
      </c>
      <c r="G165">
        <v>25</v>
      </c>
      <c r="H165">
        <v>22</v>
      </c>
      <c r="I165">
        <v>1</v>
      </c>
      <c r="J165">
        <v>2</v>
      </c>
      <c r="M165">
        <v>25</v>
      </c>
      <c r="N165">
        <v>22</v>
      </c>
      <c r="O165">
        <v>6714414.4144144142</v>
      </c>
      <c r="P165">
        <v>3378378.3783783782</v>
      </c>
      <c r="Q165">
        <v>185</v>
      </c>
      <c r="S165">
        <v>15811477.477477476</v>
      </c>
      <c r="T165">
        <v>15875162.162162161</v>
      </c>
      <c r="U165">
        <v>6154414.4144144133</v>
      </c>
      <c r="V165">
        <v>4125495.4954954959</v>
      </c>
      <c r="W165">
        <v>4125</v>
      </c>
      <c r="X165">
        <v>4139</v>
      </c>
    </row>
    <row r="166" spans="1:24">
      <c r="A166" s="7" t="s">
        <v>257</v>
      </c>
      <c r="B166" s="16" t="s">
        <v>167</v>
      </c>
      <c r="C166">
        <v>89367747.747305468</v>
      </c>
      <c r="D166">
        <v>78581782.386582389</v>
      </c>
      <c r="E166">
        <v>2702.7027027029999</v>
      </c>
      <c r="F166">
        <v>1171171.1711711709</v>
      </c>
      <c r="G166">
        <v>47</v>
      </c>
      <c r="H166">
        <v>19</v>
      </c>
      <c r="I166">
        <v>0</v>
      </c>
      <c r="J166">
        <v>0</v>
      </c>
      <c r="M166">
        <v>53</v>
      </c>
      <c r="N166">
        <v>23</v>
      </c>
      <c r="O166">
        <v>5072522.5225225231</v>
      </c>
      <c r="P166">
        <v>4375467.5675675673</v>
      </c>
      <c r="Q166">
        <v>12</v>
      </c>
      <c r="S166">
        <v>31388738.738738742</v>
      </c>
      <c r="T166">
        <v>26772038.738738734</v>
      </c>
      <c r="U166">
        <v>5502792.7927927952</v>
      </c>
      <c r="V166">
        <v>4195585.5855855849</v>
      </c>
      <c r="W166">
        <v>2536</v>
      </c>
      <c r="X166">
        <v>2418</v>
      </c>
    </row>
    <row r="167" spans="1:24">
      <c r="A167" s="7" t="s">
        <v>258</v>
      </c>
      <c r="B167" s="16" t="s">
        <v>60</v>
      </c>
      <c r="C167">
        <v>35381850.876719691</v>
      </c>
      <c r="D167">
        <v>31258646.427843444</v>
      </c>
      <c r="E167">
        <v>15765.765765766</v>
      </c>
      <c r="F167">
        <v>265765.76576576702</v>
      </c>
      <c r="G167">
        <v>15</v>
      </c>
      <c r="H167">
        <v>16</v>
      </c>
      <c r="I167">
        <v>1</v>
      </c>
      <c r="J167">
        <v>5</v>
      </c>
      <c r="K167">
        <v>2</v>
      </c>
      <c r="M167">
        <v>34</v>
      </c>
      <c r="N167">
        <v>22</v>
      </c>
      <c r="O167">
        <v>7547297.297297297</v>
      </c>
      <c r="P167">
        <v>7103603.6036036042</v>
      </c>
      <c r="Q167">
        <v>7</v>
      </c>
      <c r="R167">
        <v>19</v>
      </c>
      <c r="S167">
        <v>13228648.648648648</v>
      </c>
      <c r="T167">
        <v>10885531.531531531</v>
      </c>
      <c r="U167">
        <v>6765045.0450450443</v>
      </c>
      <c r="V167">
        <v>7070270.2702702703</v>
      </c>
      <c r="W167">
        <v>684</v>
      </c>
      <c r="X167">
        <v>624</v>
      </c>
    </row>
    <row r="168" spans="1:24">
      <c r="A168" s="7" t="s">
        <v>259</v>
      </c>
      <c r="B168" s="16" t="s">
        <v>260</v>
      </c>
      <c r="C168">
        <v>17568317.944484066</v>
      </c>
      <c r="D168">
        <v>19485080.397046603</v>
      </c>
      <c r="E168">
        <v>1801801.8018018019</v>
      </c>
      <c r="F168">
        <v>10810.810810810999</v>
      </c>
      <c r="G168">
        <v>10</v>
      </c>
      <c r="H168">
        <v>5</v>
      </c>
      <c r="M168">
        <v>10</v>
      </c>
      <c r="N168">
        <v>6</v>
      </c>
      <c r="O168">
        <v>2702702.702702703</v>
      </c>
      <c r="P168">
        <v>4098648.648648649</v>
      </c>
      <c r="S168">
        <v>3575945.945945946</v>
      </c>
      <c r="T168">
        <v>3375387.387387387</v>
      </c>
      <c r="U168">
        <v>4305945.9459459456</v>
      </c>
      <c r="V168">
        <v>1760180.1801801799</v>
      </c>
      <c r="W168">
        <v>555</v>
      </c>
      <c r="X168">
        <v>530</v>
      </c>
    </row>
    <row r="169" spans="1:24">
      <c r="A169" s="7" t="s">
        <v>261</v>
      </c>
      <c r="B169" s="16" t="s">
        <v>60</v>
      </c>
      <c r="C169">
        <v>298161079.31284136</v>
      </c>
      <c r="D169">
        <v>297916753.55142933</v>
      </c>
      <c r="E169">
        <v>148698184.68468469</v>
      </c>
      <c r="F169">
        <v>235040985.58558559</v>
      </c>
      <c r="G169">
        <v>141</v>
      </c>
      <c r="H169">
        <v>228</v>
      </c>
      <c r="I169">
        <v>25</v>
      </c>
      <c r="J169">
        <v>46</v>
      </c>
      <c r="K169">
        <v>12</v>
      </c>
      <c r="M169">
        <v>188</v>
      </c>
      <c r="N169">
        <v>312</v>
      </c>
      <c r="O169">
        <v>54457747.747747742</v>
      </c>
      <c r="P169">
        <v>64089189.189189196</v>
      </c>
      <c r="Q169">
        <v>535</v>
      </c>
      <c r="R169">
        <v>2062</v>
      </c>
      <c r="S169">
        <v>104246918.91891891</v>
      </c>
      <c r="T169">
        <v>109223358.10810812</v>
      </c>
      <c r="U169">
        <v>55573243.243243247</v>
      </c>
      <c r="V169">
        <v>69410540.540540546</v>
      </c>
      <c r="W169">
        <v>6085</v>
      </c>
      <c r="X169">
        <v>6178</v>
      </c>
    </row>
    <row r="170" spans="1:24">
      <c r="A170" s="7" t="s">
        <v>262</v>
      </c>
      <c r="B170" s="16" t="s">
        <v>123</v>
      </c>
      <c r="C170">
        <v>240713482.52195224</v>
      </c>
      <c r="D170">
        <v>230405396.50322297</v>
      </c>
      <c r="E170">
        <v>305855.85585585702</v>
      </c>
      <c r="F170">
        <v>408108.10810810898</v>
      </c>
      <c r="G170">
        <v>38</v>
      </c>
      <c r="H170">
        <v>50</v>
      </c>
      <c r="I170">
        <v>0</v>
      </c>
      <c r="J170">
        <v>2</v>
      </c>
      <c r="K170">
        <v>1</v>
      </c>
      <c r="M170">
        <v>43</v>
      </c>
      <c r="N170">
        <v>73</v>
      </c>
      <c r="O170">
        <v>10876666.666666664</v>
      </c>
      <c r="P170">
        <v>14254774.774774777</v>
      </c>
      <c r="Q170">
        <v>15</v>
      </c>
      <c r="R170">
        <v>31</v>
      </c>
      <c r="S170">
        <v>90933459.459459454</v>
      </c>
      <c r="T170">
        <v>90080468.468468457</v>
      </c>
      <c r="U170">
        <v>10683783.783783784</v>
      </c>
      <c r="V170">
        <v>13487927.927927928</v>
      </c>
      <c r="W170">
        <v>5554</v>
      </c>
      <c r="X170">
        <v>5599</v>
      </c>
    </row>
    <row r="171" spans="1:24">
      <c r="A171" s="7" t="s">
        <v>263</v>
      </c>
      <c r="B171" s="16" t="s">
        <v>123</v>
      </c>
      <c r="C171">
        <v>104196019.13840404</v>
      </c>
      <c r="D171">
        <v>97362636.934856087</v>
      </c>
      <c r="E171">
        <v>402702.70270270301</v>
      </c>
      <c r="F171">
        <v>2162387.3873873879</v>
      </c>
      <c r="G171">
        <v>40</v>
      </c>
      <c r="H171">
        <v>46</v>
      </c>
      <c r="I171">
        <v>5</v>
      </c>
      <c r="J171">
        <v>7</v>
      </c>
      <c r="K171">
        <v>2</v>
      </c>
      <c r="M171">
        <v>47</v>
      </c>
      <c r="N171">
        <v>176</v>
      </c>
      <c r="O171">
        <v>20268738.738738734</v>
      </c>
      <c r="P171">
        <v>24317387.387387384</v>
      </c>
      <c r="Q171">
        <v>22</v>
      </c>
      <c r="R171">
        <v>436</v>
      </c>
      <c r="S171">
        <v>43436162.162162162</v>
      </c>
      <c r="T171">
        <v>40489180.180180185</v>
      </c>
      <c r="U171">
        <v>23295585.585585583</v>
      </c>
      <c r="V171">
        <v>22110270.270270269</v>
      </c>
      <c r="W171">
        <v>2511</v>
      </c>
      <c r="X171">
        <v>2303</v>
      </c>
    </row>
    <row r="172" spans="1:24">
      <c r="A172" s="7" t="s">
        <v>264</v>
      </c>
      <c r="B172" s="16" t="s">
        <v>125</v>
      </c>
      <c r="C172">
        <v>243515173.36634108</v>
      </c>
      <c r="D172">
        <v>246681241.14010867</v>
      </c>
      <c r="E172">
        <v>552702.702702704</v>
      </c>
      <c r="F172">
        <v>2137837.8378378381</v>
      </c>
      <c r="G172">
        <v>33</v>
      </c>
      <c r="H172">
        <v>71</v>
      </c>
      <c r="I172">
        <v>4</v>
      </c>
      <c r="J172">
        <v>5</v>
      </c>
      <c r="M172">
        <v>37</v>
      </c>
      <c r="N172">
        <v>72</v>
      </c>
      <c r="O172">
        <v>29394144.144144144</v>
      </c>
      <c r="P172">
        <v>18408108.108108107</v>
      </c>
      <c r="Q172">
        <v>30</v>
      </c>
      <c r="R172">
        <v>7</v>
      </c>
      <c r="S172">
        <v>84496036.036036029</v>
      </c>
      <c r="T172">
        <v>89304059.459459454</v>
      </c>
      <c r="U172">
        <v>22728288.288288288</v>
      </c>
      <c r="V172">
        <v>18081351.351351351</v>
      </c>
      <c r="W172">
        <v>4404</v>
      </c>
      <c r="X172">
        <v>4413</v>
      </c>
    </row>
    <row r="173" spans="1:24">
      <c r="A173" s="7" t="s">
        <v>265</v>
      </c>
      <c r="B173" s="16" t="s">
        <v>123</v>
      </c>
      <c r="C173">
        <v>247201731.23248225</v>
      </c>
      <c r="D173">
        <v>235264224.53299278</v>
      </c>
      <c r="E173">
        <v>334234.23423423403</v>
      </c>
      <c r="F173">
        <v>1663963.9639639659</v>
      </c>
      <c r="G173">
        <v>69</v>
      </c>
      <c r="H173">
        <v>32</v>
      </c>
      <c r="I173">
        <v>9</v>
      </c>
      <c r="J173">
        <v>5</v>
      </c>
      <c r="M173">
        <v>74</v>
      </c>
      <c r="N173">
        <v>37</v>
      </c>
      <c r="O173">
        <v>17801981.981981982</v>
      </c>
      <c r="P173">
        <v>22513513.513513517</v>
      </c>
      <c r="Q173">
        <v>41</v>
      </c>
      <c r="R173">
        <v>42</v>
      </c>
      <c r="S173">
        <v>85820180.180180177</v>
      </c>
      <c r="T173">
        <v>82732365.765765756</v>
      </c>
      <c r="U173">
        <v>19776486.486486483</v>
      </c>
      <c r="V173">
        <v>21801531.531531531</v>
      </c>
      <c r="W173">
        <v>4807</v>
      </c>
      <c r="X173">
        <v>4785</v>
      </c>
    </row>
    <row r="174" spans="1:24">
      <c r="A174" s="7" t="s">
        <v>676</v>
      </c>
      <c r="B174" s="16" t="s">
        <v>123</v>
      </c>
      <c r="E174">
        <v>158963963.96396396</v>
      </c>
      <c r="F174">
        <v>143719639.63963965</v>
      </c>
      <c r="O174">
        <v>6330495.4954954954</v>
      </c>
      <c r="P174">
        <v>391216.21621621598</v>
      </c>
    </row>
    <row r="175" spans="1:24">
      <c r="A175" s="7" t="s">
        <v>266</v>
      </c>
      <c r="B175" s="16" t="s">
        <v>123</v>
      </c>
      <c r="C175">
        <v>243372666.54469311</v>
      </c>
      <c r="D175">
        <v>247037327.27829066</v>
      </c>
      <c r="E175">
        <v>1716216.216216218</v>
      </c>
      <c r="F175">
        <v>2545495.4954954959</v>
      </c>
      <c r="G175">
        <v>32</v>
      </c>
      <c r="H175">
        <v>49</v>
      </c>
      <c r="I175">
        <v>2</v>
      </c>
      <c r="J175">
        <v>4</v>
      </c>
      <c r="M175">
        <v>35</v>
      </c>
      <c r="N175">
        <v>52</v>
      </c>
      <c r="O175">
        <v>26414234.234234236</v>
      </c>
      <c r="P175">
        <v>30616396.396396399</v>
      </c>
      <c r="Q175">
        <v>89</v>
      </c>
      <c r="R175">
        <v>107</v>
      </c>
      <c r="S175">
        <v>94836117.117117122</v>
      </c>
      <c r="T175">
        <v>100261727.92792794</v>
      </c>
      <c r="U175">
        <v>26236846.846846849</v>
      </c>
      <c r="V175">
        <v>27774504.504504506</v>
      </c>
      <c r="W175">
        <v>5490</v>
      </c>
      <c r="X175">
        <v>5442</v>
      </c>
    </row>
    <row r="176" spans="1:24">
      <c r="A176" s="7" t="s">
        <v>267</v>
      </c>
      <c r="B176" s="16" t="s">
        <v>178</v>
      </c>
      <c r="C176">
        <v>1311405696.9379179</v>
      </c>
      <c r="D176">
        <v>1244892959.1936336</v>
      </c>
      <c r="E176">
        <v>892278818.01801801</v>
      </c>
      <c r="F176">
        <v>985730846.84684682</v>
      </c>
      <c r="G176">
        <v>647</v>
      </c>
      <c r="H176">
        <v>628</v>
      </c>
      <c r="I176">
        <v>45</v>
      </c>
      <c r="J176">
        <v>88</v>
      </c>
      <c r="K176">
        <v>5</v>
      </c>
      <c r="M176">
        <v>895</v>
      </c>
      <c r="N176">
        <v>1194</v>
      </c>
      <c r="O176">
        <v>193854952.25225225</v>
      </c>
      <c r="P176">
        <v>175069572.97297299</v>
      </c>
      <c r="Q176">
        <v>407</v>
      </c>
      <c r="R176">
        <v>987</v>
      </c>
      <c r="S176">
        <v>370208864.86486483</v>
      </c>
      <c r="T176">
        <v>378479345.04504508</v>
      </c>
      <c r="U176">
        <v>180032072.07207209</v>
      </c>
      <c r="V176">
        <v>161263603.6036036</v>
      </c>
      <c r="W176">
        <v>32873</v>
      </c>
      <c r="X176">
        <v>32237</v>
      </c>
    </row>
    <row r="177" spans="1:24">
      <c r="A177" s="7" t="s">
        <v>268</v>
      </c>
      <c r="B177" s="16" t="s">
        <v>62</v>
      </c>
      <c r="C177">
        <v>194863053.77421331</v>
      </c>
      <c r="D177">
        <v>203375557.36840919</v>
      </c>
      <c r="E177">
        <v>1662252.2522522551</v>
      </c>
      <c r="F177">
        <v>4672972.972972977</v>
      </c>
      <c r="G177">
        <v>40</v>
      </c>
      <c r="H177">
        <v>64</v>
      </c>
      <c r="I177">
        <v>10</v>
      </c>
      <c r="J177">
        <v>21</v>
      </c>
      <c r="M177">
        <v>44</v>
      </c>
      <c r="N177">
        <v>72</v>
      </c>
      <c r="O177">
        <v>16926036.036036033</v>
      </c>
      <c r="P177">
        <v>70794324.324324325</v>
      </c>
      <c r="Q177">
        <v>33</v>
      </c>
      <c r="R177">
        <v>116</v>
      </c>
      <c r="S177">
        <v>64333243.24324324</v>
      </c>
      <c r="T177">
        <v>65660090.090090089</v>
      </c>
      <c r="U177">
        <v>16587657.657657657</v>
      </c>
      <c r="V177">
        <v>58091801.801801801</v>
      </c>
      <c r="W177">
        <v>4683</v>
      </c>
      <c r="X177">
        <v>4680</v>
      </c>
    </row>
    <row r="178" spans="1:24">
      <c r="A178" s="7" t="s">
        <v>269</v>
      </c>
      <c r="B178" s="16" t="s">
        <v>70</v>
      </c>
      <c r="C178">
        <v>260384847.70978892</v>
      </c>
      <c r="D178">
        <v>263631916.78810316</v>
      </c>
      <c r="E178">
        <v>4138288.2882882869</v>
      </c>
      <c r="F178">
        <v>3414324.324324328</v>
      </c>
      <c r="G178">
        <v>60</v>
      </c>
      <c r="H178">
        <v>92</v>
      </c>
      <c r="I178">
        <v>4</v>
      </c>
      <c r="J178">
        <v>31</v>
      </c>
      <c r="K178">
        <v>1</v>
      </c>
      <c r="M178">
        <v>63</v>
      </c>
      <c r="N178">
        <v>179</v>
      </c>
      <c r="O178">
        <v>38433108.108108103</v>
      </c>
      <c r="P178">
        <v>23474774.774774775</v>
      </c>
      <c r="Q178">
        <v>103</v>
      </c>
      <c r="R178">
        <v>173</v>
      </c>
      <c r="S178">
        <v>117490477.47747748</v>
      </c>
      <c r="T178">
        <v>120056828.82882883</v>
      </c>
      <c r="U178">
        <v>35106711.711711712</v>
      </c>
      <c r="V178">
        <v>21058738.738738745</v>
      </c>
      <c r="W178">
        <v>6879</v>
      </c>
      <c r="X178">
        <v>6905</v>
      </c>
    </row>
    <row r="179" spans="1:24">
      <c r="A179" s="7" t="s">
        <v>270</v>
      </c>
      <c r="B179" s="16" t="s">
        <v>134</v>
      </c>
      <c r="C179">
        <v>3527470.5553518659</v>
      </c>
      <c r="D179">
        <v>4035716.7941710991</v>
      </c>
      <c r="G179">
        <v>2</v>
      </c>
      <c r="M179">
        <v>3</v>
      </c>
      <c r="S179">
        <v>211711.71171171099</v>
      </c>
      <c r="T179">
        <v>242882.88288288299</v>
      </c>
      <c r="W179">
        <v>271</v>
      </c>
      <c r="X179">
        <v>229</v>
      </c>
    </row>
    <row r="180" spans="1:24">
      <c r="A180" s="7" t="s">
        <v>271</v>
      </c>
      <c r="B180" s="16" t="s">
        <v>76</v>
      </c>
      <c r="C180">
        <v>126630885.87248333</v>
      </c>
      <c r="D180">
        <v>124783264.57764946</v>
      </c>
      <c r="E180">
        <v>9909.9099099100004</v>
      </c>
      <c r="F180">
        <v>67567.567567567996</v>
      </c>
      <c r="G180">
        <v>32</v>
      </c>
      <c r="H180">
        <v>17</v>
      </c>
      <c r="I180">
        <v>0</v>
      </c>
      <c r="J180">
        <v>0</v>
      </c>
      <c r="M180">
        <v>35</v>
      </c>
      <c r="N180">
        <v>19</v>
      </c>
      <c r="O180">
        <v>100000</v>
      </c>
      <c r="P180">
        <v>157657.65765765801</v>
      </c>
      <c r="S180">
        <v>7407927.927927928</v>
      </c>
      <c r="T180">
        <v>7510761.2612612611</v>
      </c>
      <c r="U180">
        <v>342342.34234234202</v>
      </c>
      <c r="V180">
        <v>271171.17117117101</v>
      </c>
      <c r="W180">
        <v>2337</v>
      </c>
      <c r="X180">
        <v>2461</v>
      </c>
    </row>
    <row r="181" spans="1:24">
      <c r="A181" s="7" t="s">
        <v>272</v>
      </c>
      <c r="B181" s="16" t="s">
        <v>76</v>
      </c>
      <c r="C181">
        <v>45500625.128355339</v>
      </c>
      <c r="D181">
        <v>42360995.717443906</v>
      </c>
      <c r="E181">
        <v>57207.207207207</v>
      </c>
      <c r="F181">
        <v>150450.450450451</v>
      </c>
      <c r="G181">
        <v>15</v>
      </c>
      <c r="H181">
        <v>3</v>
      </c>
      <c r="I181">
        <v>1</v>
      </c>
      <c r="J181">
        <v>1</v>
      </c>
      <c r="M181">
        <v>17</v>
      </c>
      <c r="N181">
        <v>4</v>
      </c>
      <c r="O181">
        <v>11859009.009009007</v>
      </c>
      <c r="P181">
        <v>10073153.153153151</v>
      </c>
      <c r="Q181">
        <v>24</v>
      </c>
      <c r="R181">
        <v>23</v>
      </c>
      <c r="S181">
        <v>13758873.873873875</v>
      </c>
      <c r="T181">
        <v>10944918.918918921</v>
      </c>
      <c r="U181">
        <v>9256036.0360360369</v>
      </c>
      <c r="V181">
        <v>8491531.5315315295</v>
      </c>
      <c r="W181">
        <v>793</v>
      </c>
      <c r="X181">
        <v>769</v>
      </c>
    </row>
    <row r="182" spans="1:24">
      <c r="A182" s="7" t="s">
        <v>273</v>
      </c>
      <c r="B182" s="16" t="s">
        <v>260</v>
      </c>
      <c r="C182">
        <v>939476292.50004482</v>
      </c>
      <c r="D182">
        <v>883499001.82037628</v>
      </c>
      <c r="E182">
        <v>8615765.7657657694</v>
      </c>
      <c r="F182">
        <v>9557657.6576576605</v>
      </c>
      <c r="G182">
        <v>213</v>
      </c>
      <c r="H182">
        <v>254</v>
      </c>
      <c r="I182">
        <v>22</v>
      </c>
      <c r="J182">
        <v>31</v>
      </c>
      <c r="K182">
        <v>1</v>
      </c>
      <c r="M182">
        <v>250</v>
      </c>
      <c r="N182">
        <v>348</v>
      </c>
      <c r="O182">
        <v>148813963.96396396</v>
      </c>
      <c r="P182">
        <v>179790090.09009007</v>
      </c>
      <c r="Q182">
        <v>115</v>
      </c>
      <c r="R182">
        <v>138</v>
      </c>
      <c r="S182">
        <v>264358801.8018018</v>
      </c>
      <c r="T182">
        <v>271516157.65765768</v>
      </c>
      <c r="U182">
        <v>156000810.8108108</v>
      </c>
      <c r="V182">
        <v>155265585.58558556</v>
      </c>
      <c r="W182">
        <v>19745</v>
      </c>
      <c r="X182">
        <v>18521</v>
      </c>
    </row>
    <row r="183" spans="1:24">
      <c r="A183" s="7" t="s">
        <v>674</v>
      </c>
      <c r="B183" s="16" t="s">
        <v>260</v>
      </c>
      <c r="E183">
        <v>319455930.63063067</v>
      </c>
      <c r="F183">
        <v>326651058.55855852</v>
      </c>
      <c r="P183">
        <v>44936936.936936937</v>
      </c>
    </row>
    <row r="184" spans="1:24">
      <c r="A184" s="7" t="s">
        <v>274</v>
      </c>
      <c r="B184" s="16" t="s">
        <v>260</v>
      </c>
      <c r="C184">
        <v>218028148.00234181</v>
      </c>
      <c r="D184">
        <v>194627612.42929044</v>
      </c>
      <c r="E184">
        <v>1810810.8108108121</v>
      </c>
      <c r="F184">
        <v>1249099.099099101</v>
      </c>
      <c r="G184">
        <v>20</v>
      </c>
      <c r="H184">
        <v>9</v>
      </c>
      <c r="I184">
        <v>3</v>
      </c>
      <c r="J184">
        <v>2</v>
      </c>
      <c r="M184">
        <v>22</v>
      </c>
      <c r="N184">
        <v>13</v>
      </c>
      <c r="O184">
        <v>9972072.072072072</v>
      </c>
      <c r="P184">
        <v>14606756.756756756</v>
      </c>
      <c r="Q184">
        <v>4</v>
      </c>
      <c r="R184">
        <v>8</v>
      </c>
      <c r="S184">
        <v>39385216.216216214</v>
      </c>
      <c r="T184">
        <v>39100603.603603601</v>
      </c>
      <c r="U184">
        <v>8937567.5675675683</v>
      </c>
      <c r="V184">
        <v>11997477.477477476</v>
      </c>
      <c r="W184">
        <v>3819</v>
      </c>
      <c r="X184">
        <v>3850</v>
      </c>
    </row>
    <row r="185" spans="1:24">
      <c r="A185" s="7" t="s">
        <v>275</v>
      </c>
      <c r="B185" s="16" t="s">
        <v>260</v>
      </c>
      <c r="C185">
        <v>227917315.27396509</v>
      </c>
      <c r="D185">
        <v>217302582.37339091</v>
      </c>
      <c r="E185">
        <v>6320630.6306306301</v>
      </c>
      <c r="F185">
        <v>5388828.8288288303</v>
      </c>
      <c r="G185">
        <v>32</v>
      </c>
      <c r="H185">
        <v>25</v>
      </c>
      <c r="I185">
        <v>5</v>
      </c>
      <c r="J185">
        <v>6</v>
      </c>
      <c r="K185">
        <v>1</v>
      </c>
      <c r="M185">
        <v>34</v>
      </c>
      <c r="N185">
        <v>30</v>
      </c>
      <c r="O185">
        <v>39344594.59459459</v>
      </c>
      <c r="P185">
        <v>46113513.51351352</v>
      </c>
      <c r="Q185">
        <v>300</v>
      </c>
      <c r="R185">
        <v>21</v>
      </c>
      <c r="S185">
        <v>51305180.180180177</v>
      </c>
      <c r="T185">
        <v>48816693.693693697</v>
      </c>
      <c r="U185">
        <v>37784594.59459459</v>
      </c>
      <c r="V185">
        <v>43281351.351351351</v>
      </c>
      <c r="W185">
        <v>6044</v>
      </c>
      <c r="X185">
        <v>5849</v>
      </c>
    </row>
    <row r="186" spans="1:24">
      <c r="A186" s="7" t="s">
        <v>276</v>
      </c>
      <c r="B186" s="16" t="s">
        <v>134</v>
      </c>
      <c r="C186">
        <v>270663706.45557308</v>
      </c>
      <c r="D186">
        <v>273779561.20795596</v>
      </c>
      <c r="E186">
        <v>28828.828828828999</v>
      </c>
      <c r="F186">
        <v>342342.342342344</v>
      </c>
      <c r="G186">
        <v>44</v>
      </c>
      <c r="H186">
        <v>58</v>
      </c>
      <c r="I186">
        <v>4</v>
      </c>
      <c r="J186">
        <v>5</v>
      </c>
      <c r="M186">
        <v>49</v>
      </c>
      <c r="N186">
        <v>67</v>
      </c>
      <c r="O186">
        <v>9668468.4684684686</v>
      </c>
      <c r="P186">
        <v>14306306.306306308</v>
      </c>
      <c r="Q186">
        <v>20</v>
      </c>
      <c r="S186">
        <v>23570612.612612613</v>
      </c>
      <c r="T186">
        <v>23496355.855855856</v>
      </c>
      <c r="U186">
        <v>7432252.2522522518</v>
      </c>
      <c r="V186">
        <v>6381891.8918918921</v>
      </c>
      <c r="W186">
        <v>5330</v>
      </c>
      <c r="X186">
        <v>5367</v>
      </c>
    </row>
    <row r="187" spans="1:24">
      <c r="A187" s="7" t="s">
        <v>277</v>
      </c>
      <c r="B187" s="16" t="s">
        <v>169</v>
      </c>
      <c r="C187">
        <v>210283727.94765905</v>
      </c>
      <c r="D187">
        <v>162456165.00092778</v>
      </c>
      <c r="E187">
        <v>583783.78378378297</v>
      </c>
      <c r="F187">
        <v>557657.65765765798</v>
      </c>
      <c r="G187">
        <v>35</v>
      </c>
      <c r="H187">
        <v>31</v>
      </c>
      <c r="I187">
        <v>1</v>
      </c>
      <c r="J187">
        <v>1</v>
      </c>
      <c r="M187">
        <v>35</v>
      </c>
      <c r="N187">
        <v>46</v>
      </c>
      <c r="O187">
        <v>16800000</v>
      </c>
      <c r="P187">
        <v>12307657.657657659</v>
      </c>
      <c r="Q187">
        <v>11</v>
      </c>
      <c r="R187">
        <v>12</v>
      </c>
      <c r="S187">
        <v>85659036.036036029</v>
      </c>
      <c r="T187">
        <v>74084358.108108118</v>
      </c>
      <c r="U187">
        <v>13613963.963963963</v>
      </c>
      <c r="V187">
        <v>10096756.756756756</v>
      </c>
      <c r="W187">
        <v>3285</v>
      </c>
      <c r="X187">
        <v>3155</v>
      </c>
    </row>
    <row r="188" spans="1:24">
      <c r="A188" s="7" t="s">
        <v>278</v>
      </c>
      <c r="B188" s="16" t="s">
        <v>169</v>
      </c>
      <c r="C188">
        <v>91208641.34967491</v>
      </c>
      <c r="D188">
        <v>93091323.268409953</v>
      </c>
      <c r="E188">
        <v>900.900900901</v>
      </c>
      <c r="F188">
        <v>3603.603603604</v>
      </c>
      <c r="G188">
        <v>6</v>
      </c>
      <c r="H188">
        <v>14</v>
      </c>
      <c r="M188">
        <v>6</v>
      </c>
      <c r="N188">
        <v>16</v>
      </c>
      <c r="O188">
        <v>2253153.1531531531</v>
      </c>
      <c r="P188">
        <v>6072635.1351351347</v>
      </c>
      <c r="S188">
        <v>34648126.126126125</v>
      </c>
      <c r="T188">
        <v>40953490.990990989</v>
      </c>
      <c r="U188">
        <v>3958648.648648649</v>
      </c>
      <c r="V188">
        <v>4848648.6486486495</v>
      </c>
      <c r="W188">
        <v>2055</v>
      </c>
      <c r="X188">
        <v>2058</v>
      </c>
    </row>
    <row r="189" spans="1:24">
      <c r="A189" s="7" t="s">
        <v>279</v>
      </c>
      <c r="B189" s="16" t="s">
        <v>87</v>
      </c>
      <c r="C189">
        <v>2416103.2364923139</v>
      </c>
      <c r="D189">
        <v>2223007.3021883769</v>
      </c>
      <c r="G189">
        <v>4</v>
      </c>
      <c r="H189">
        <v>4</v>
      </c>
      <c r="M189">
        <v>5</v>
      </c>
      <c r="N189">
        <v>4</v>
      </c>
      <c r="S189">
        <v>1247295.4954954949</v>
      </c>
      <c r="T189">
        <v>832486.48648648604</v>
      </c>
      <c r="W189">
        <v>196</v>
      </c>
      <c r="X189">
        <v>191</v>
      </c>
    </row>
    <row r="190" spans="1:24">
      <c r="A190" s="7" t="s">
        <v>280</v>
      </c>
      <c r="B190" s="16" t="s">
        <v>169</v>
      </c>
      <c r="C190">
        <v>160972205.46569586</v>
      </c>
      <c r="D190">
        <v>158936568.761026</v>
      </c>
      <c r="E190">
        <v>902027.02702702605</v>
      </c>
      <c r="F190">
        <v>834234.23423423502</v>
      </c>
      <c r="G190">
        <v>30</v>
      </c>
      <c r="H190">
        <v>39</v>
      </c>
      <c r="I190">
        <v>4</v>
      </c>
      <c r="J190">
        <v>4</v>
      </c>
      <c r="M190">
        <v>34</v>
      </c>
      <c r="N190">
        <v>41</v>
      </c>
      <c r="O190">
        <v>15969819.819819819</v>
      </c>
      <c r="P190">
        <v>23692612.612612613</v>
      </c>
      <c r="Q190">
        <v>43</v>
      </c>
      <c r="R190">
        <v>95</v>
      </c>
      <c r="S190">
        <v>61456576.576576576</v>
      </c>
      <c r="T190">
        <v>64732063.063063063</v>
      </c>
      <c r="U190">
        <v>16282522.522522522</v>
      </c>
      <c r="V190">
        <v>20739099.0990991</v>
      </c>
      <c r="W190">
        <v>4154</v>
      </c>
      <c r="X190">
        <v>4178</v>
      </c>
    </row>
    <row r="191" spans="1:24">
      <c r="A191" s="7" t="s">
        <v>281</v>
      </c>
      <c r="B191" s="16" t="s">
        <v>54</v>
      </c>
      <c r="C191">
        <v>123751602.0169712</v>
      </c>
      <c r="D191">
        <v>118796124.19613315</v>
      </c>
      <c r="E191">
        <v>590315.31531531701</v>
      </c>
      <c r="F191">
        <v>1548648.6486486499</v>
      </c>
      <c r="G191">
        <v>45</v>
      </c>
      <c r="H191">
        <v>45</v>
      </c>
      <c r="I191">
        <v>6</v>
      </c>
      <c r="J191">
        <v>12</v>
      </c>
      <c r="K191">
        <v>3</v>
      </c>
      <c r="M191">
        <v>54</v>
      </c>
      <c r="N191">
        <v>55</v>
      </c>
      <c r="O191">
        <v>12146396.396396395</v>
      </c>
      <c r="P191">
        <v>13880630.630630627</v>
      </c>
      <c r="Q191">
        <v>103</v>
      </c>
      <c r="R191">
        <v>47</v>
      </c>
      <c r="S191">
        <v>25326693.693693697</v>
      </c>
      <c r="T191">
        <v>25789621.621621624</v>
      </c>
      <c r="U191">
        <v>12854504.504504504</v>
      </c>
      <c r="V191">
        <v>12823873.873873873</v>
      </c>
      <c r="W191">
        <v>3731</v>
      </c>
      <c r="X191">
        <v>3686</v>
      </c>
    </row>
    <row r="192" spans="1:24">
      <c r="A192" s="7" t="s">
        <v>282</v>
      </c>
      <c r="B192" s="16" t="s">
        <v>283</v>
      </c>
      <c r="C192">
        <v>201035240.50167954</v>
      </c>
      <c r="D192">
        <v>161085051.01634696</v>
      </c>
      <c r="E192">
        <v>952702.70270270295</v>
      </c>
      <c r="F192">
        <v>315315.31531531602</v>
      </c>
      <c r="G192">
        <v>91</v>
      </c>
      <c r="H192">
        <v>45</v>
      </c>
      <c r="I192">
        <v>2</v>
      </c>
      <c r="J192">
        <v>2</v>
      </c>
      <c r="M192">
        <v>94</v>
      </c>
      <c r="N192">
        <v>81</v>
      </c>
      <c r="O192">
        <v>6033783.7837837841</v>
      </c>
      <c r="P192">
        <v>7576576.5765765784</v>
      </c>
      <c r="Q192">
        <v>1</v>
      </c>
      <c r="S192">
        <v>24446126.126126129</v>
      </c>
      <c r="T192">
        <v>25830036.036036037</v>
      </c>
      <c r="U192">
        <v>6919279.2792792814</v>
      </c>
      <c r="V192">
        <v>8241981.9819819834</v>
      </c>
      <c r="W192">
        <v>3399</v>
      </c>
      <c r="X192">
        <v>3813</v>
      </c>
    </row>
    <row r="193" spans="1:24">
      <c r="A193" s="7" t="s">
        <v>284</v>
      </c>
      <c r="B193" s="16" t="s">
        <v>283</v>
      </c>
      <c r="C193">
        <v>327637964.35270476</v>
      </c>
      <c r="D193">
        <v>339609140.67957753</v>
      </c>
      <c r="E193">
        <v>1455630.6306306319</v>
      </c>
      <c r="F193">
        <v>2506756.756756762</v>
      </c>
      <c r="G193">
        <v>77</v>
      </c>
      <c r="H193">
        <v>62</v>
      </c>
      <c r="I193">
        <v>8</v>
      </c>
      <c r="J193">
        <v>5</v>
      </c>
      <c r="M193">
        <v>88</v>
      </c>
      <c r="N193">
        <v>108</v>
      </c>
      <c r="O193">
        <v>39208108.108108111</v>
      </c>
      <c r="P193">
        <v>39410630.630630635</v>
      </c>
      <c r="Q193">
        <v>36</v>
      </c>
      <c r="R193">
        <v>72</v>
      </c>
      <c r="S193">
        <v>64221288.288288288</v>
      </c>
      <c r="T193">
        <v>71164027.027027026</v>
      </c>
      <c r="U193">
        <v>32045045.045045044</v>
      </c>
      <c r="V193">
        <v>35841441.441441439</v>
      </c>
      <c r="W193">
        <v>8016</v>
      </c>
      <c r="X193">
        <v>8081</v>
      </c>
    </row>
    <row r="194" spans="1:24">
      <c r="A194" s="7" t="s">
        <v>285</v>
      </c>
      <c r="B194" s="16" t="s">
        <v>283</v>
      </c>
      <c r="C194">
        <v>174305905.83610025</v>
      </c>
      <c r="D194">
        <v>178510436.66680473</v>
      </c>
      <c r="E194">
        <v>1380180.180180182</v>
      </c>
      <c r="F194">
        <v>1393603.6036036049</v>
      </c>
      <c r="G194">
        <v>59</v>
      </c>
      <c r="H194">
        <v>34</v>
      </c>
      <c r="I194">
        <v>9</v>
      </c>
      <c r="J194">
        <v>5</v>
      </c>
      <c r="M194">
        <v>62</v>
      </c>
      <c r="N194">
        <v>59</v>
      </c>
      <c r="O194">
        <v>43743243.24324324</v>
      </c>
      <c r="P194">
        <v>46253693.693693697</v>
      </c>
      <c r="Q194">
        <v>33</v>
      </c>
      <c r="R194">
        <v>56</v>
      </c>
      <c r="S194">
        <v>55844396.396396399</v>
      </c>
      <c r="T194">
        <v>55256567.567567565</v>
      </c>
      <c r="U194">
        <v>39575405.40540541</v>
      </c>
      <c r="V194">
        <v>41509369.369369365</v>
      </c>
      <c r="W194">
        <v>4598</v>
      </c>
      <c r="X194">
        <v>4636</v>
      </c>
    </row>
    <row r="195" spans="1:24">
      <c r="A195" s="7" t="s">
        <v>286</v>
      </c>
      <c r="B195" s="16" t="s">
        <v>283</v>
      </c>
      <c r="C195">
        <v>125939423.80427836</v>
      </c>
      <c r="D195">
        <v>133646016.69678479</v>
      </c>
      <c r="E195">
        <v>72747.747747747999</v>
      </c>
      <c r="F195">
        <v>609009.00900901202</v>
      </c>
      <c r="G195">
        <v>19</v>
      </c>
      <c r="H195">
        <v>10</v>
      </c>
      <c r="I195">
        <v>4</v>
      </c>
      <c r="J195">
        <v>2</v>
      </c>
      <c r="M195">
        <v>21</v>
      </c>
      <c r="N195">
        <v>12</v>
      </c>
      <c r="O195">
        <v>4618018.0180180185</v>
      </c>
      <c r="P195">
        <v>31762162.162162162</v>
      </c>
      <c r="Q195">
        <v>54</v>
      </c>
      <c r="R195">
        <v>135</v>
      </c>
      <c r="S195">
        <v>20546972.97297297</v>
      </c>
      <c r="T195">
        <v>25674918.918918919</v>
      </c>
      <c r="U195">
        <v>4433783.7837837823</v>
      </c>
      <c r="V195">
        <v>30559909.909909908</v>
      </c>
      <c r="W195">
        <v>2481</v>
      </c>
      <c r="X195">
        <v>2527</v>
      </c>
    </row>
    <row r="196" spans="1:24">
      <c r="A196" s="7" t="s">
        <v>287</v>
      </c>
      <c r="B196" s="16" t="s">
        <v>283</v>
      </c>
      <c r="C196">
        <v>63660396.860998161</v>
      </c>
      <c r="D196">
        <v>67695610.906569228</v>
      </c>
      <c r="E196">
        <v>79279.279279280003</v>
      </c>
      <c r="F196">
        <v>454054.05405405699</v>
      </c>
      <c r="G196">
        <v>6</v>
      </c>
      <c r="H196">
        <v>1</v>
      </c>
      <c r="I196">
        <v>1</v>
      </c>
      <c r="J196">
        <v>1</v>
      </c>
      <c r="M196">
        <v>6</v>
      </c>
      <c r="N196">
        <v>2</v>
      </c>
      <c r="O196">
        <v>79279.279279280003</v>
      </c>
      <c r="P196">
        <v>12400000</v>
      </c>
      <c r="R196">
        <v>2</v>
      </c>
      <c r="S196">
        <v>11354234.234234236</v>
      </c>
      <c r="T196">
        <v>12173036.036036037</v>
      </c>
      <c r="V196">
        <v>12209189.189189188</v>
      </c>
      <c r="W196">
        <v>1347</v>
      </c>
      <c r="X196">
        <v>1394</v>
      </c>
    </row>
    <row r="197" spans="1:24">
      <c r="A197" s="7" t="s">
        <v>288</v>
      </c>
      <c r="B197" s="16" t="s">
        <v>283</v>
      </c>
      <c r="C197">
        <v>10878434.759745557</v>
      </c>
      <c r="D197">
        <v>10860949.600485239</v>
      </c>
      <c r="E197">
        <v>5180.1801801800002</v>
      </c>
      <c r="F197">
        <v>370270.27027027</v>
      </c>
      <c r="G197">
        <v>5</v>
      </c>
      <c r="M197">
        <v>5</v>
      </c>
      <c r="O197">
        <v>793693.69369369396</v>
      </c>
      <c r="P197">
        <v>19847747.747747749</v>
      </c>
      <c r="Q197">
        <v>38</v>
      </c>
      <c r="R197">
        <v>11</v>
      </c>
      <c r="S197">
        <v>1705090.0900900899</v>
      </c>
      <c r="T197">
        <v>1697126.1261261259</v>
      </c>
      <c r="U197">
        <v>788288.28828828805</v>
      </c>
      <c r="V197">
        <v>19450450.45045045</v>
      </c>
      <c r="W197">
        <v>335</v>
      </c>
      <c r="X197">
        <v>280</v>
      </c>
    </row>
    <row r="198" spans="1:24">
      <c r="A198" s="7" t="s">
        <v>289</v>
      </c>
      <c r="B198" s="16" t="s">
        <v>290</v>
      </c>
      <c r="C198">
        <v>139183076.1377067</v>
      </c>
      <c r="D198">
        <v>138195587.18537346</v>
      </c>
      <c r="E198">
        <v>124864685.58558558</v>
      </c>
      <c r="F198">
        <v>151930714.41441441</v>
      </c>
      <c r="G198">
        <v>53</v>
      </c>
      <c r="H198">
        <v>38</v>
      </c>
      <c r="I198">
        <v>2</v>
      </c>
      <c r="J198">
        <v>1</v>
      </c>
      <c r="M198">
        <v>62</v>
      </c>
      <c r="N198">
        <v>42</v>
      </c>
      <c r="O198">
        <v>17964428.82882883</v>
      </c>
      <c r="P198">
        <v>20792847.747747749</v>
      </c>
      <c r="Q198">
        <v>10</v>
      </c>
      <c r="R198">
        <v>8</v>
      </c>
      <c r="S198">
        <v>12562472.072072072</v>
      </c>
      <c r="T198">
        <v>12731794.594594596</v>
      </c>
      <c r="U198">
        <v>1366756.7567567581</v>
      </c>
      <c r="V198">
        <v>810900.90090090095</v>
      </c>
      <c r="W198">
        <v>4067</v>
      </c>
      <c r="X198">
        <v>4195</v>
      </c>
    </row>
    <row r="199" spans="1:24">
      <c r="A199" s="7" t="s">
        <v>291</v>
      </c>
      <c r="B199" s="16" t="s">
        <v>147</v>
      </c>
      <c r="C199">
        <v>325031160.62004948</v>
      </c>
      <c r="D199">
        <v>322712343.52017015</v>
      </c>
      <c r="E199">
        <v>137121608.1081081</v>
      </c>
      <c r="F199">
        <v>351526690.0900901</v>
      </c>
      <c r="G199">
        <v>52</v>
      </c>
      <c r="H199">
        <v>82</v>
      </c>
      <c r="I199">
        <v>8</v>
      </c>
      <c r="J199">
        <v>7</v>
      </c>
      <c r="K199">
        <v>1</v>
      </c>
      <c r="M199">
        <v>63</v>
      </c>
      <c r="N199">
        <v>100</v>
      </c>
      <c r="O199">
        <v>53953153.153153151</v>
      </c>
      <c r="P199">
        <v>138758524.32432431</v>
      </c>
      <c r="Q199">
        <v>86</v>
      </c>
      <c r="R199">
        <v>201</v>
      </c>
      <c r="S199">
        <v>109336801.8018018</v>
      </c>
      <c r="T199">
        <v>128729378.37837839</v>
      </c>
      <c r="U199">
        <v>39557837.83783783</v>
      </c>
      <c r="V199">
        <v>123697207.2072072</v>
      </c>
      <c r="W199">
        <v>7455</v>
      </c>
      <c r="X199">
        <v>7726</v>
      </c>
    </row>
    <row r="200" spans="1:24">
      <c r="A200" s="7" t="s">
        <v>292</v>
      </c>
      <c r="B200" s="16" t="s">
        <v>293</v>
      </c>
      <c r="C200">
        <v>165642081.08715197</v>
      </c>
      <c r="D200">
        <v>153179228.97260651</v>
      </c>
      <c r="E200">
        <v>61245093.693693697</v>
      </c>
      <c r="F200">
        <v>36928490.090090089</v>
      </c>
      <c r="G200">
        <v>18</v>
      </c>
      <c r="H200">
        <v>15</v>
      </c>
      <c r="I200">
        <v>15</v>
      </c>
      <c r="J200">
        <v>8</v>
      </c>
      <c r="M200">
        <v>28</v>
      </c>
      <c r="N200">
        <v>19</v>
      </c>
      <c r="O200">
        <v>25062882.882882878</v>
      </c>
      <c r="P200">
        <v>43118018.018018015</v>
      </c>
      <c r="R200">
        <v>50</v>
      </c>
      <c r="S200">
        <v>20016387.387387387</v>
      </c>
      <c r="T200">
        <v>21044594.59459459</v>
      </c>
      <c r="U200">
        <v>21314504.504504502</v>
      </c>
      <c r="V200">
        <v>37637297.297297299</v>
      </c>
      <c r="W200">
        <v>3576</v>
      </c>
      <c r="X200">
        <v>3460</v>
      </c>
    </row>
    <row r="201" spans="1:24">
      <c r="A201" s="7" t="s">
        <v>294</v>
      </c>
      <c r="B201" s="16" t="s">
        <v>290</v>
      </c>
      <c r="C201">
        <v>46367022.449927397</v>
      </c>
      <c r="D201">
        <v>33438589.662573718</v>
      </c>
      <c r="E201">
        <v>568468.46846846899</v>
      </c>
      <c r="F201">
        <v>824324.32432432403</v>
      </c>
      <c r="G201">
        <v>20</v>
      </c>
      <c r="H201">
        <v>8</v>
      </c>
      <c r="I201">
        <v>1</v>
      </c>
      <c r="J201">
        <v>2</v>
      </c>
      <c r="M201">
        <v>21</v>
      </c>
      <c r="N201">
        <v>8</v>
      </c>
      <c r="O201">
        <v>1469369.3693693699</v>
      </c>
      <c r="P201">
        <v>2672072.072072072</v>
      </c>
      <c r="Q201">
        <v>1</v>
      </c>
      <c r="R201">
        <v>8</v>
      </c>
      <c r="S201">
        <v>4839954.9549549548</v>
      </c>
      <c r="T201">
        <v>4920718.9189189179</v>
      </c>
      <c r="U201">
        <v>1686486.4864864871</v>
      </c>
      <c r="V201">
        <v>2044234.234234235</v>
      </c>
      <c r="W201">
        <v>1179</v>
      </c>
      <c r="X201">
        <v>1216</v>
      </c>
    </row>
    <row r="202" spans="1:24">
      <c r="A202" s="7" t="s">
        <v>295</v>
      </c>
      <c r="B202" s="16" t="s">
        <v>52</v>
      </c>
      <c r="C202">
        <v>448431921.60623014</v>
      </c>
      <c r="D202">
        <v>443178654.69875735</v>
      </c>
      <c r="E202">
        <v>4661885.5855855858</v>
      </c>
      <c r="F202">
        <v>4981081.0810810868</v>
      </c>
      <c r="G202">
        <v>80</v>
      </c>
      <c r="H202">
        <v>125</v>
      </c>
      <c r="I202">
        <v>11</v>
      </c>
      <c r="J202">
        <v>15</v>
      </c>
      <c r="M202">
        <v>106</v>
      </c>
      <c r="N202">
        <v>182</v>
      </c>
      <c r="O202">
        <v>300520053.15315318</v>
      </c>
      <c r="P202">
        <v>248918738.73873875</v>
      </c>
      <c r="Q202">
        <v>216</v>
      </c>
      <c r="R202">
        <v>524</v>
      </c>
      <c r="S202">
        <v>118571036.03603603</v>
      </c>
      <c r="T202">
        <v>120651198.1981982</v>
      </c>
      <c r="U202">
        <v>292558828.82882881</v>
      </c>
      <c r="V202">
        <v>262305045.04504505</v>
      </c>
      <c r="W202">
        <v>11926</v>
      </c>
      <c r="X202">
        <v>11492</v>
      </c>
    </row>
    <row r="203" spans="1:24">
      <c r="A203" s="7" t="s">
        <v>296</v>
      </c>
      <c r="B203" s="16" t="s">
        <v>169</v>
      </c>
      <c r="C203">
        <v>144685412.38247263</v>
      </c>
      <c r="D203">
        <v>129245725.67961788</v>
      </c>
      <c r="E203">
        <v>68582882.882882878</v>
      </c>
      <c r="F203">
        <v>74914414.414414421</v>
      </c>
      <c r="G203">
        <v>19</v>
      </c>
      <c r="H203">
        <v>19</v>
      </c>
      <c r="I203">
        <v>0</v>
      </c>
      <c r="J203">
        <v>0</v>
      </c>
      <c r="K203">
        <v>1</v>
      </c>
      <c r="M203">
        <v>22</v>
      </c>
      <c r="N203">
        <v>25</v>
      </c>
      <c r="O203">
        <v>11583333.333333334</v>
      </c>
      <c r="P203">
        <v>15155225.225225223</v>
      </c>
      <c r="R203">
        <v>1</v>
      </c>
      <c r="S203">
        <v>30038441.441441439</v>
      </c>
      <c r="T203">
        <v>30022693.693693694</v>
      </c>
      <c r="U203">
        <v>4892162.1621621624</v>
      </c>
      <c r="V203">
        <v>7091711.7117117122</v>
      </c>
      <c r="W203">
        <v>4280</v>
      </c>
      <c r="X203">
        <v>4577</v>
      </c>
    </row>
    <row r="204" spans="1:24">
      <c r="A204" s="7" t="s">
        <v>297</v>
      </c>
      <c r="B204" s="16" t="s">
        <v>169</v>
      </c>
      <c r="C204">
        <v>135557944.18049231</v>
      </c>
      <c r="D204">
        <v>174211290.03676584</v>
      </c>
      <c r="E204">
        <v>900.900900901</v>
      </c>
      <c r="F204">
        <v>694261.261261262</v>
      </c>
      <c r="G204">
        <v>15</v>
      </c>
      <c r="H204">
        <v>29</v>
      </c>
      <c r="J204">
        <v>0</v>
      </c>
      <c r="M204">
        <v>15</v>
      </c>
      <c r="N204">
        <v>44</v>
      </c>
      <c r="O204">
        <v>984694594.5945946</v>
      </c>
      <c r="P204">
        <v>1835042747.7477479</v>
      </c>
      <c r="S204">
        <v>51348774.774774775</v>
      </c>
      <c r="T204">
        <v>62302711.711711712</v>
      </c>
      <c r="U204">
        <v>987599758.55855858</v>
      </c>
      <c r="V204">
        <v>1825934857.6576576</v>
      </c>
      <c r="W204">
        <v>3205</v>
      </c>
      <c r="X204">
        <v>2877</v>
      </c>
    </row>
    <row r="205" spans="1:24">
      <c r="A205" s="7" t="s">
        <v>298</v>
      </c>
      <c r="B205" s="16" t="s">
        <v>89</v>
      </c>
      <c r="C205">
        <v>523644358.90381163</v>
      </c>
      <c r="D205">
        <v>506063208.88740778</v>
      </c>
      <c r="E205">
        <v>1747162.1621621691</v>
      </c>
      <c r="F205">
        <v>7472838.7387387455</v>
      </c>
      <c r="G205">
        <v>84</v>
      </c>
      <c r="H205">
        <v>100</v>
      </c>
      <c r="I205">
        <v>24</v>
      </c>
      <c r="J205">
        <v>25</v>
      </c>
      <c r="K205">
        <v>2</v>
      </c>
      <c r="M205">
        <v>93</v>
      </c>
      <c r="N205">
        <v>165</v>
      </c>
      <c r="O205">
        <v>34249009.009009011</v>
      </c>
      <c r="P205">
        <v>32615078.378378376</v>
      </c>
      <c r="Q205">
        <v>380</v>
      </c>
      <c r="R205">
        <v>240</v>
      </c>
      <c r="S205">
        <v>96353063.06306307</v>
      </c>
      <c r="T205">
        <v>99790324.324324325</v>
      </c>
      <c r="U205">
        <v>35056846.846846841</v>
      </c>
      <c r="V205">
        <v>30431081.081081081</v>
      </c>
      <c r="W205">
        <v>10705</v>
      </c>
      <c r="X205">
        <v>10769</v>
      </c>
    </row>
    <row r="206" spans="1:24">
      <c r="A206" s="7" t="s">
        <v>299</v>
      </c>
      <c r="B206" s="16" t="s">
        <v>134</v>
      </c>
      <c r="C206">
        <v>262616312.12615493</v>
      </c>
      <c r="D206">
        <v>282525621.40138149</v>
      </c>
      <c r="E206">
        <v>1716441.4414414491</v>
      </c>
      <c r="F206">
        <v>2029729.729729732</v>
      </c>
      <c r="G206">
        <v>117</v>
      </c>
      <c r="H206">
        <v>68</v>
      </c>
      <c r="I206">
        <v>32</v>
      </c>
      <c r="J206">
        <v>10</v>
      </c>
      <c r="M206">
        <v>179</v>
      </c>
      <c r="N206">
        <v>86</v>
      </c>
      <c r="O206">
        <v>28670270.270270269</v>
      </c>
      <c r="P206">
        <v>21592792.792792793</v>
      </c>
      <c r="Q206">
        <v>319</v>
      </c>
      <c r="R206">
        <v>3</v>
      </c>
      <c r="S206">
        <v>37736781.981981985</v>
      </c>
      <c r="T206">
        <v>34445432.432432435</v>
      </c>
      <c r="U206">
        <v>24447070.270270273</v>
      </c>
      <c r="V206">
        <v>17374594.594594598</v>
      </c>
      <c r="W206">
        <v>7148</v>
      </c>
      <c r="X206">
        <v>6847</v>
      </c>
    </row>
    <row r="207" spans="1:24">
      <c r="A207" s="7" t="s">
        <v>300</v>
      </c>
      <c r="B207" s="16" t="s">
        <v>290</v>
      </c>
      <c r="C207">
        <v>209242637.34092593</v>
      </c>
      <c r="D207">
        <v>191775261.83861107</v>
      </c>
      <c r="E207">
        <v>1093243.243243244</v>
      </c>
      <c r="F207">
        <v>2709009.0090090102</v>
      </c>
      <c r="G207">
        <v>95</v>
      </c>
      <c r="H207">
        <v>63</v>
      </c>
      <c r="I207">
        <v>18</v>
      </c>
      <c r="J207">
        <v>17</v>
      </c>
      <c r="M207">
        <v>98</v>
      </c>
      <c r="N207">
        <v>74</v>
      </c>
      <c r="O207">
        <v>20878828.828828827</v>
      </c>
      <c r="P207">
        <v>14530630.630630633</v>
      </c>
      <c r="Q207">
        <v>92</v>
      </c>
      <c r="R207">
        <v>51</v>
      </c>
      <c r="S207">
        <v>28292522.522522524</v>
      </c>
      <c r="T207">
        <v>26462200.9009009</v>
      </c>
      <c r="U207">
        <v>19185945.945945948</v>
      </c>
      <c r="V207">
        <v>14098108.108108109</v>
      </c>
      <c r="W207">
        <v>4383</v>
      </c>
      <c r="X207">
        <v>4362</v>
      </c>
    </row>
    <row r="208" spans="1:24">
      <c r="A208" s="7" t="s">
        <v>301</v>
      </c>
      <c r="B208" s="16" t="s">
        <v>80</v>
      </c>
      <c r="C208">
        <v>305972340.60125631</v>
      </c>
      <c r="D208">
        <v>282436855.71031982</v>
      </c>
      <c r="E208">
        <v>1218468.4684684691</v>
      </c>
      <c r="F208">
        <v>4146621.6216216232</v>
      </c>
      <c r="G208">
        <v>90</v>
      </c>
      <c r="H208">
        <v>50</v>
      </c>
      <c r="I208">
        <v>8</v>
      </c>
      <c r="J208">
        <v>10</v>
      </c>
      <c r="M208">
        <v>99</v>
      </c>
      <c r="N208">
        <v>56</v>
      </c>
      <c r="O208">
        <v>26907837.837837841</v>
      </c>
      <c r="P208">
        <v>30064864.86486486</v>
      </c>
      <c r="Q208">
        <v>110</v>
      </c>
      <c r="R208">
        <v>154</v>
      </c>
      <c r="S208">
        <v>66410364.864864863</v>
      </c>
      <c r="T208">
        <v>59533439.639639638</v>
      </c>
      <c r="U208">
        <v>25466666.666666668</v>
      </c>
      <c r="V208">
        <v>25132972.972972974</v>
      </c>
      <c r="W208">
        <v>5802</v>
      </c>
      <c r="X208">
        <v>5661</v>
      </c>
    </row>
    <row r="209" spans="1:24">
      <c r="A209" s="7" t="s">
        <v>302</v>
      </c>
      <c r="B209" s="16" t="s">
        <v>72</v>
      </c>
      <c r="C209">
        <v>436387927.28697461</v>
      </c>
      <c r="D209">
        <v>432661673.08938199</v>
      </c>
      <c r="E209">
        <v>57154054.054054059</v>
      </c>
      <c r="F209">
        <v>42310270.270270273</v>
      </c>
      <c r="G209">
        <v>83</v>
      </c>
      <c r="H209">
        <v>108</v>
      </c>
      <c r="I209">
        <v>13</v>
      </c>
      <c r="J209">
        <v>15</v>
      </c>
      <c r="K209">
        <v>3</v>
      </c>
      <c r="M209">
        <v>86</v>
      </c>
      <c r="N209">
        <v>117</v>
      </c>
      <c r="O209">
        <v>34595630.630630635</v>
      </c>
      <c r="P209">
        <v>29170720.720720723</v>
      </c>
      <c r="Q209">
        <v>68</v>
      </c>
      <c r="R209">
        <v>59</v>
      </c>
      <c r="S209">
        <v>59898819.819819823</v>
      </c>
      <c r="T209">
        <v>64702729.729729727</v>
      </c>
      <c r="U209">
        <v>23621531.531531531</v>
      </c>
      <c r="V209">
        <v>22893153.153153151</v>
      </c>
      <c r="W209">
        <v>9000</v>
      </c>
      <c r="X209">
        <v>8983</v>
      </c>
    </row>
    <row r="210" spans="1:24">
      <c r="A210" s="7" t="s">
        <v>303</v>
      </c>
      <c r="B210" s="16" t="s">
        <v>304</v>
      </c>
      <c r="C210">
        <v>1485673.9288044439</v>
      </c>
      <c r="D210">
        <v>1514904.2659860931</v>
      </c>
      <c r="S210">
        <v>704279.27927927906</v>
      </c>
      <c r="T210">
        <v>651441.44144144095</v>
      </c>
      <c r="W210">
        <v>71</v>
      </c>
      <c r="X210">
        <v>69</v>
      </c>
    </row>
    <row r="211" spans="1:24">
      <c r="A211" s="7" t="s">
        <v>305</v>
      </c>
      <c r="B211" s="16" t="s">
        <v>117</v>
      </c>
      <c r="C211">
        <v>65695222.919944048</v>
      </c>
      <c r="D211">
        <v>56132358.852100253</v>
      </c>
      <c r="E211">
        <v>16216.216216217999</v>
      </c>
      <c r="F211">
        <v>308108.10810810601</v>
      </c>
      <c r="G211">
        <v>12</v>
      </c>
      <c r="H211">
        <v>16</v>
      </c>
      <c r="I211">
        <v>6</v>
      </c>
      <c r="J211">
        <v>7</v>
      </c>
      <c r="M211">
        <v>14</v>
      </c>
      <c r="N211">
        <v>38</v>
      </c>
      <c r="O211">
        <v>3035225.2252252242</v>
      </c>
      <c r="P211">
        <v>3283243.243243244</v>
      </c>
      <c r="Q211">
        <v>33</v>
      </c>
      <c r="R211">
        <v>21</v>
      </c>
      <c r="S211">
        <v>25793783.783783782</v>
      </c>
      <c r="T211">
        <v>24497747.747747749</v>
      </c>
      <c r="U211">
        <v>2843333.3333333302</v>
      </c>
      <c r="V211">
        <v>3097657.6576576568</v>
      </c>
      <c r="W211">
        <v>1788</v>
      </c>
      <c r="X211">
        <v>1738</v>
      </c>
    </row>
    <row r="212" spans="1:24">
      <c r="A212" s="7" t="s">
        <v>306</v>
      </c>
      <c r="B212" s="16" t="s">
        <v>307</v>
      </c>
      <c r="C212">
        <v>72574872.486603498</v>
      </c>
      <c r="D212">
        <v>71940112.441655353</v>
      </c>
      <c r="E212">
        <v>43243.243243243996</v>
      </c>
      <c r="F212">
        <v>271171.17117117101</v>
      </c>
      <c r="G212">
        <v>37</v>
      </c>
      <c r="H212">
        <v>38</v>
      </c>
      <c r="M212">
        <v>41</v>
      </c>
      <c r="N212">
        <v>49</v>
      </c>
      <c r="O212">
        <v>1454414.414414414</v>
      </c>
      <c r="P212">
        <v>1239639.6396396391</v>
      </c>
      <c r="Q212">
        <v>35</v>
      </c>
      <c r="R212">
        <v>24</v>
      </c>
      <c r="S212">
        <v>36171477.477477483</v>
      </c>
      <c r="T212">
        <v>38064693.693693697</v>
      </c>
      <c r="U212">
        <v>1176576.5765765761</v>
      </c>
      <c r="V212">
        <v>1092432.432432432</v>
      </c>
      <c r="W212">
        <v>4616</v>
      </c>
      <c r="X212">
        <v>4251</v>
      </c>
    </row>
    <row r="213" spans="1:24">
      <c r="A213" s="7" t="s">
        <v>308</v>
      </c>
      <c r="B213" s="16" t="s">
        <v>140</v>
      </c>
      <c r="C213">
        <v>443150541.41611987</v>
      </c>
      <c r="D213">
        <v>453941791.25735039</v>
      </c>
      <c r="E213">
        <v>824684.68468468601</v>
      </c>
      <c r="F213">
        <v>2152702.7027027109</v>
      </c>
      <c r="G213">
        <v>37</v>
      </c>
      <c r="H213">
        <v>74</v>
      </c>
      <c r="I213">
        <v>9</v>
      </c>
      <c r="J213">
        <v>14</v>
      </c>
      <c r="M213">
        <v>51</v>
      </c>
      <c r="N213">
        <v>89</v>
      </c>
      <c r="O213">
        <v>69140090.090090081</v>
      </c>
      <c r="P213">
        <v>86770720.720720723</v>
      </c>
      <c r="Q213">
        <v>13</v>
      </c>
      <c r="R213">
        <v>170</v>
      </c>
      <c r="S213">
        <v>93778872.072072059</v>
      </c>
      <c r="T213">
        <v>100890328.82882883</v>
      </c>
      <c r="U213">
        <v>43744504.504504502</v>
      </c>
      <c r="V213">
        <v>46965405.40540541</v>
      </c>
      <c r="W213">
        <v>7943</v>
      </c>
      <c r="X213">
        <v>8170</v>
      </c>
    </row>
    <row r="214" spans="1:24">
      <c r="A214" s="7" t="s">
        <v>309</v>
      </c>
      <c r="B214" s="16" t="s">
        <v>132</v>
      </c>
      <c r="C214">
        <v>532795624.92410302</v>
      </c>
      <c r="D214">
        <v>445958027.21086615</v>
      </c>
      <c r="E214">
        <v>2779279.2792792809</v>
      </c>
      <c r="F214">
        <v>2920720.7207207228</v>
      </c>
      <c r="G214">
        <v>161</v>
      </c>
      <c r="H214">
        <v>132</v>
      </c>
      <c r="I214">
        <v>3</v>
      </c>
      <c r="J214">
        <v>3</v>
      </c>
      <c r="M214">
        <v>184</v>
      </c>
      <c r="N214">
        <v>155</v>
      </c>
      <c r="O214">
        <v>29723423.423423424</v>
      </c>
      <c r="P214">
        <v>18443243.243243244</v>
      </c>
      <c r="Q214">
        <v>112</v>
      </c>
      <c r="R214">
        <v>26</v>
      </c>
      <c r="S214">
        <v>141725072.07207206</v>
      </c>
      <c r="T214">
        <v>119215558.55855855</v>
      </c>
      <c r="U214">
        <v>26278378.37837838</v>
      </c>
      <c r="V214">
        <v>14917207.207207208</v>
      </c>
      <c r="W214">
        <v>12106</v>
      </c>
      <c r="X214">
        <v>12393</v>
      </c>
    </row>
    <row r="215" spans="1:24">
      <c r="A215" s="7" t="s">
        <v>310</v>
      </c>
      <c r="B215" s="16" t="s">
        <v>72</v>
      </c>
      <c r="C215">
        <v>775683297.06890309</v>
      </c>
      <c r="D215">
        <v>734965518.61326742</v>
      </c>
      <c r="E215">
        <v>1980495.495495504</v>
      </c>
      <c r="F215">
        <v>5828153.1531531634</v>
      </c>
      <c r="G215">
        <v>185</v>
      </c>
      <c r="H215">
        <v>171</v>
      </c>
      <c r="I215">
        <v>41</v>
      </c>
      <c r="J215">
        <v>54</v>
      </c>
      <c r="M215">
        <v>213</v>
      </c>
      <c r="N215">
        <v>210</v>
      </c>
      <c r="O215">
        <v>107597927.92792793</v>
      </c>
      <c r="P215">
        <v>101434234.23423423</v>
      </c>
      <c r="Q215">
        <v>187</v>
      </c>
      <c r="R215">
        <v>148</v>
      </c>
      <c r="S215">
        <v>182892421.62162164</v>
      </c>
      <c r="T215">
        <v>184745694.5945946</v>
      </c>
      <c r="U215">
        <v>94808828.828828827</v>
      </c>
      <c r="V215">
        <v>93372926.126126125</v>
      </c>
      <c r="W215">
        <v>17086</v>
      </c>
      <c r="X215">
        <v>16764</v>
      </c>
    </row>
    <row r="216" spans="1:24">
      <c r="A216" s="7" t="s">
        <v>311</v>
      </c>
      <c r="B216" s="16" t="s">
        <v>62</v>
      </c>
      <c r="C216">
        <v>133031412.97973798</v>
      </c>
      <c r="D216">
        <v>127625979.10921161</v>
      </c>
      <c r="E216">
        <v>210810.81081081199</v>
      </c>
      <c r="F216">
        <v>1637837.83783784</v>
      </c>
      <c r="G216">
        <v>22</v>
      </c>
      <c r="H216">
        <v>15</v>
      </c>
      <c r="I216">
        <v>6</v>
      </c>
      <c r="J216">
        <v>5</v>
      </c>
      <c r="M216">
        <v>25</v>
      </c>
      <c r="N216">
        <v>16</v>
      </c>
      <c r="O216">
        <v>22279819.819819815</v>
      </c>
      <c r="P216">
        <v>24905765.765765768</v>
      </c>
      <c r="Q216">
        <v>57</v>
      </c>
      <c r="R216">
        <v>27</v>
      </c>
      <c r="S216">
        <v>35060756.756756753</v>
      </c>
      <c r="T216">
        <v>35565207.20720721</v>
      </c>
      <c r="U216">
        <v>22114324.324324325</v>
      </c>
      <c r="V216">
        <v>23170990.990990993</v>
      </c>
      <c r="W216">
        <v>2289</v>
      </c>
      <c r="X216">
        <v>2283</v>
      </c>
    </row>
    <row r="217" spans="1:24">
      <c r="A217" s="7" t="s">
        <v>312</v>
      </c>
      <c r="B217" s="16" t="s">
        <v>89</v>
      </c>
      <c r="C217">
        <v>43442024.562920079</v>
      </c>
      <c r="D217">
        <v>43529749.998578273</v>
      </c>
      <c r="E217">
        <v>36936.936936938</v>
      </c>
      <c r="F217">
        <v>597297.29729729798</v>
      </c>
      <c r="G217">
        <v>9</v>
      </c>
      <c r="H217">
        <v>11</v>
      </c>
      <c r="I217">
        <v>6</v>
      </c>
      <c r="J217">
        <v>10</v>
      </c>
      <c r="M217">
        <v>11</v>
      </c>
      <c r="N217">
        <v>15</v>
      </c>
      <c r="O217">
        <v>3037387.387387387</v>
      </c>
      <c r="P217">
        <v>5905945.9459459456</v>
      </c>
      <c r="Q217">
        <v>52</v>
      </c>
      <c r="R217">
        <v>112</v>
      </c>
      <c r="S217">
        <v>13018783.783783784</v>
      </c>
      <c r="T217">
        <v>15145882.882882882</v>
      </c>
      <c r="U217">
        <v>2409009.0090090069</v>
      </c>
      <c r="V217">
        <v>5896126.1261261273</v>
      </c>
      <c r="W217">
        <v>1177</v>
      </c>
      <c r="X217">
        <v>1317</v>
      </c>
    </row>
    <row r="218" spans="1:24">
      <c r="A218" s="7" t="s">
        <v>313</v>
      </c>
      <c r="B218" s="16" t="s">
        <v>92</v>
      </c>
      <c r="C218">
        <v>20488288.497360967</v>
      </c>
      <c r="D218">
        <v>19529640.338422175</v>
      </c>
      <c r="E218">
        <v>42373563.063063063</v>
      </c>
      <c r="F218">
        <v>97409523.423423424</v>
      </c>
      <c r="G218">
        <v>4</v>
      </c>
      <c r="H218">
        <v>3</v>
      </c>
      <c r="I218">
        <v>0</v>
      </c>
      <c r="M218">
        <v>4</v>
      </c>
      <c r="N218">
        <v>3</v>
      </c>
      <c r="O218">
        <v>5613513.5135135138</v>
      </c>
      <c r="P218">
        <v>10369369.369369367</v>
      </c>
      <c r="Q218">
        <v>1</v>
      </c>
      <c r="S218">
        <v>1506171.1711711709</v>
      </c>
      <c r="T218">
        <v>1333648.648648649</v>
      </c>
      <c r="U218">
        <v>27027.027027027001</v>
      </c>
      <c r="V218">
        <v>1361261.2612612611</v>
      </c>
      <c r="W218">
        <v>482</v>
      </c>
      <c r="X218">
        <v>905</v>
      </c>
    </row>
    <row r="219" spans="1:24">
      <c r="A219" s="7" t="s">
        <v>314</v>
      </c>
      <c r="B219" s="16" t="s">
        <v>315</v>
      </c>
      <c r="C219">
        <v>160856994.41194969</v>
      </c>
      <c r="D219">
        <v>149358560.12214506</v>
      </c>
      <c r="E219">
        <v>642342.34234234202</v>
      </c>
      <c r="F219">
        <v>755405.40540540405</v>
      </c>
      <c r="G219">
        <v>46</v>
      </c>
      <c r="H219">
        <v>31</v>
      </c>
      <c r="I219">
        <v>1</v>
      </c>
      <c r="J219">
        <v>3</v>
      </c>
      <c r="M219">
        <v>51</v>
      </c>
      <c r="N219">
        <v>33</v>
      </c>
      <c r="O219">
        <v>10279729.729729731</v>
      </c>
      <c r="P219">
        <v>20165765.765765768</v>
      </c>
      <c r="S219">
        <v>25612765.765765768</v>
      </c>
      <c r="T219">
        <v>22818648.648648649</v>
      </c>
      <c r="U219">
        <v>9640450.4504504483</v>
      </c>
      <c r="V219">
        <v>19648828.828828827</v>
      </c>
      <c r="W219">
        <v>3447</v>
      </c>
      <c r="X219">
        <v>3419</v>
      </c>
    </row>
    <row r="220" spans="1:24">
      <c r="A220" s="7" t="s">
        <v>316</v>
      </c>
      <c r="B220" s="16" t="s">
        <v>62</v>
      </c>
      <c r="C220">
        <v>247446220.20157865</v>
      </c>
      <c r="D220">
        <v>251789284.11793134</v>
      </c>
      <c r="E220">
        <v>1059909.9099099149</v>
      </c>
      <c r="F220">
        <v>5366666.6666666744</v>
      </c>
      <c r="G220">
        <v>82</v>
      </c>
      <c r="H220">
        <v>99</v>
      </c>
      <c r="I220">
        <v>13</v>
      </c>
      <c r="J220">
        <v>15</v>
      </c>
      <c r="M220">
        <v>130</v>
      </c>
      <c r="N220">
        <v>166</v>
      </c>
      <c r="O220">
        <v>16462702.702702699</v>
      </c>
      <c r="P220">
        <v>48434414.414414413</v>
      </c>
      <c r="Q220">
        <v>64</v>
      </c>
      <c r="R220">
        <v>158</v>
      </c>
      <c r="S220">
        <v>88519270.270270273</v>
      </c>
      <c r="T220">
        <v>87718765.765765756</v>
      </c>
      <c r="U220">
        <v>16658018.018018017</v>
      </c>
      <c r="V220">
        <v>44510450.45045045</v>
      </c>
      <c r="W220">
        <v>8820</v>
      </c>
      <c r="X220">
        <v>8633</v>
      </c>
    </row>
    <row r="221" spans="1:24">
      <c r="A221" s="7" t="s">
        <v>317</v>
      </c>
      <c r="B221" s="16" t="s">
        <v>62</v>
      </c>
      <c r="C221">
        <v>249668233.52672824</v>
      </c>
      <c r="D221">
        <v>233725686.9704763</v>
      </c>
      <c r="E221">
        <v>875225.22522522905</v>
      </c>
      <c r="F221">
        <v>1879279.2792792809</v>
      </c>
      <c r="G221">
        <v>102</v>
      </c>
      <c r="H221">
        <v>42</v>
      </c>
      <c r="I221">
        <v>14</v>
      </c>
      <c r="J221">
        <v>10</v>
      </c>
      <c r="M221">
        <v>126</v>
      </c>
      <c r="N221">
        <v>47</v>
      </c>
      <c r="O221">
        <v>21775585.585585587</v>
      </c>
      <c r="P221">
        <v>34730630.630630635</v>
      </c>
      <c r="Q221">
        <v>15</v>
      </c>
      <c r="R221">
        <v>158</v>
      </c>
      <c r="S221">
        <v>83252342.342342332</v>
      </c>
      <c r="T221">
        <v>82341774.774774775</v>
      </c>
      <c r="U221">
        <v>23375495.495495491</v>
      </c>
      <c r="V221">
        <v>33478288.288288288</v>
      </c>
      <c r="W221">
        <v>5586</v>
      </c>
      <c r="X221">
        <v>5415</v>
      </c>
    </row>
    <row r="222" spans="1:24">
      <c r="A222" s="7" t="s">
        <v>318</v>
      </c>
      <c r="B222" s="16" t="s">
        <v>78</v>
      </c>
      <c r="C222">
        <v>257951101.0282647</v>
      </c>
      <c r="D222">
        <v>244055580.26479992</v>
      </c>
      <c r="E222">
        <v>3086351.3513513538</v>
      </c>
      <c r="F222">
        <v>5124324.3243243266</v>
      </c>
      <c r="G222">
        <v>81</v>
      </c>
      <c r="H222">
        <v>91</v>
      </c>
      <c r="I222">
        <v>15</v>
      </c>
      <c r="J222">
        <v>24</v>
      </c>
      <c r="M222">
        <v>102</v>
      </c>
      <c r="N222">
        <v>143</v>
      </c>
      <c r="O222">
        <v>52435675.675675683</v>
      </c>
      <c r="P222">
        <v>62535135.135135137</v>
      </c>
      <c r="Q222">
        <v>173</v>
      </c>
      <c r="R222">
        <v>157</v>
      </c>
      <c r="S222">
        <v>108436801.8018018</v>
      </c>
      <c r="T222">
        <v>107080013.51351352</v>
      </c>
      <c r="U222">
        <v>54204234.234234244</v>
      </c>
      <c r="V222">
        <v>61465585.585585587</v>
      </c>
      <c r="W222">
        <v>8760</v>
      </c>
      <c r="X222">
        <v>9390</v>
      </c>
    </row>
    <row r="223" spans="1:24">
      <c r="A223" s="7" t="s">
        <v>319</v>
      </c>
      <c r="B223" s="16" t="s">
        <v>78</v>
      </c>
      <c r="C223">
        <v>153557067.25073907</v>
      </c>
      <c r="D223">
        <v>146532910.04639539</v>
      </c>
      <c r="E223">
        <v>2450630.6306306319</v>
      </c>
      <c r="F223">
        <v>2716216.2162162182</v>
      </c>
      <c r="G223">
        <v>22</v>
      </c>
      <c r="H223">
        <v>71</v>
      </c>
      <c r="I223">
        <v>0</v>
      </c>
      <c r="J223">
        <v>5</v>
      </c>
      <c r="K223">
        <v>1</v>
      </c>
      <c r="M223">
        <v>31</v>
      </c>
      <c r="N223">
        <v>119</v>
      </c>
      <c r="O223">
        <v>18193873.873873871</v>
      </c>
      <c r="P223">
        <v>13445945.945945946</v>
      </c>
      <c r="Q223">
        <v>149</v>
      </c>
      <c r="R223">
        <v>94</v>
      </c>
      <c r="S223">
        <v>53999612.612612605</v>
      </c>
      <c r="T223">
        <v>56243306.306306303</v>
      </c>
      <c r="U223">
        <v>16349549.549549548</v>
      </c>
      <c r="V223">
        <v>12067027.027027028</v>
      </c>
      <c r="W223">
        <v>5831</v>
      </c>
      <c r="X223">
        <v>5594</v>
      </c>
    </row>
    <row r="224" spans="1:24">
      <c r="A224" s="7" t="s">
        <v>320</v>
      </c>
      <c r="B224" s="16" t="s">
        <v>121</v>
      </c>
      <c r="C224">
        <v>1094939.1225852589</v>
      </c>
      <c r="D224">
        <v>1091388.3112392169</v>
      </c>
      <c r="G224">
        <v>1</v>
      </c>
      <c r="M224">
        <v>3</v>
      </c>
      <c r="S224">
        <v>323873.87387387402</v>
      </c>
      <c r="T224">
        <v>114144.144144144</v>
      </c>
      <c r="W224">
        <v>66</v>
      </c>
      <c r="X224">
        <v>58</v>
      </c>
    </row>
    <row r="225" spans="1:24">
      <c r="A225" s="7" t="s">
        <v>321</v>
      </c>
      <c r="B225" s="16" t="s">
        <v>224</v>
      </c>
      <c r="C225">
        <v>194709692.83656433</v>
      </c>
      <c r="D225">
        <v>167466961.41907629</v>
      </c>
      <c r="E225">
        <v>1801.801801802</v>
      </c>
      <c r="F225">
        <v>42342.342342342999</v>
      </c>
      <c r="G225">
        <v>48</v>
      </c>
      <c r="H225">
        <v>45</v>
      </c>
      <c r="I225">
        <v>0</v>
      </c>
      <c r="J225">
        <v>0</v>
      </c>
      <c r="M225">
        <v>50</v>
      </c>
      <c r="N225">
        <v>54</v>
      </c>
      <c r="O225">
        <v>5096936.9369369363</v>
      </c>
      <c r="P225">
        <v>9081261.2612612639</v>
      </c>
      <c r="Q225">
        <v>33</v>
      </c>
      <c r="R225">
        <v>51</v>
      </c>
      <c r="S225">
        <v>71110810.810810804</v>
      </c>
      <c r="T225">
        <v>67857187.38738738</v>
      </c>
      <c r="U225">
        <v>4826306.3063063063</v>
      </c>
      <c r="V225">
        <v>8697117.1171171181</v>
      </c>
      <c r="W225">
        <v>3933</v>
      </c>
      <c r="X225">
        <v>4010</v>
      </c>
    </row>
    <row r="226" spans="1:24">
      <c r="A226" s="7" t="s">
        <v>322</v>
      </c>
      <c r="B226" s="16" t="s">
        <v>224</v>
      </c>
      <c r="C226">
        <v>139024412.76086035</v>
      </c>
      <c r="D226">
        <v>118523903.26868531</v>
      </c>
      <c r="E226">
        <v>302702.702702704</v>
      </c>
      <c r="F226">
        <v>54954.954954956003</v>
      </c>
      <c r="G226">
        <v>20</v>
      </c>
      <c r="H226">
        <v>8</v>
      </c>
      <c r="I226">
        <v>4</v>
      </c>
      <c r="J226">
        <v>0</v>
      </c>
      <c r="M226">
        <v>21</v>
      </c>
      <c r="N226">
        <v>10</v>
      </c>
      <c r="O226">
        <v>13674594.594594596</v>
      </c>
      <c r="P226">
        <v>12778558.558558561</v>
      </c>
      <c r="Q226">
        <v>55</v>
      </c>
      <c r="R226">
        <v>105</v>
      </c>
      <c r="S226">
        <v>39184684.684684686</v>
      </c>
      <c r="T226">
        <v>36444157.657657653</v>
      </c>
      <c r="U226">
        <v>11536936.936936935</v>
      </c>
      <c r="V226">
        <v>9076576.5765765756</v>
      </c>
      <c r="W226">
        <v>2276</v>
      </c>
      <c r="X226">
        <v>2218</v>
      </c>
    </row>
    <row r="227" spans="1:24">
      <c r="A227" s="7" t="s">
        <v>677</v>
      </c>
      <c r="B227" s="16" t="s">
        <v>94</v>
      </c>
      <c r="X227">
        <v>39</v>
      </c>
    </row>
    <row r="228" spans="1:24">
      <c r="A228" s="7" t="s">
        <v>323</v>
      </c>
      <c r="B228" s="16" t="s">
        <v>78</v>
      </c>
      <c r="C228">
        <v>186930870.49050364</v>
      </c>
      <c r="D228">
        <v>183457734.34880626</v>
      </c>
      <c r="E228">
        <v>775225.22522522695</v>
      </c>
      <c r="F228">
        <v>932432.43243243604</v>
      </c>
      <c r="G228">
        <v>72</v>
      </c>
      <c r="H228">
        <v>115</v>
      </c>
      <c r="I228">
        <v>9</v>
      </c>
      <c r="J228">
        <v>7</v>
      </c>
      <c r="M228">
        <v>86</v>
      </c>
      <c r="N228">
        <v>150</v>
      </c>
      <c r="O228">
        <v>23013963.963963959</v>
      </c>
      <c r="P228">
        <v>19869369.369369373</v>
      </c>
      <c r="Q228">
        <v>183</v>
      </c>
      <c r="R228">
        <v>84</v>
      </c>
      <c r="S228">
        <v>53378761.261261262</v>
      </c>
      <c r="T228">
        <v>54755027.027027026</v>
      </c>
      <c r="U228">
        <v>20381711.711711712</v>
      </c>
      <c r="V228">
        <v>18937567.567567568</v>
      </c>
      <c r="W228">
        <v>4623</v>
      </c>
      <c r="X228">
        <v>4584</v>
      </c>
    </row>
    <row r="229" spans="1:24">
      <c r="A229" s="7" t="s">
        <v>324</v>
      </c>
      <c r="B229" s="16" t="s">
        <v>108</v>
      </c>
      <c r="C229">
        <v>870141834.02962363</v>
      </c>
      <c r="D229">
        <v>1286601210.4482131</v>
      </c>
      <c r="E229">
        <v>1562982454.9549551</v>
      </c>
      <c r="F229">
        <v>1348270135.1351352</v>
      </c>
      <c r="G229">
        <v>202</v>
      </c>
      <c r="H229">
        <v>247</v>
      </c>
      <c r="I229">
        <v>24</v>
      </c>
      <c r="J229">
        <v>37</v>
      </c>
      <c r="K229">
        <v>1</v>
      </c>
      <c r="M229">
        <v>314</v>
      </c>
      <c r="N229">
        <v>415</v>
      </c>
      <c r="O229">
        <v>567520810.8108108</v>
      </c>
      <c r="P229">
        <v>549366216.21621621</v>
      </c>
      <c r="Q229">
        <v>552</v>
      </c>
      <c r="R229">
        <v>2497</v>
      </c>
      <c r="S229">
        <v>209847481.98198199</v>
      </c>
      <c r="T229">
        <v>668797648.64864874</v>
      </c>
      <c r="U229">
        <v>79782162.162162155</v>
      </c>
      <c r="V229">
        <v>102060180.18018018</v>
      </c>
      <c r="W229">
        <v>21977</v>
      </c>
      <c r="X229">
        <v>22809</v>
      </c>
    </row>
    <row r="230" spans="1:24">
      <c r="A230" s="7" t="s">
        <v>325</v>
      </c>
      <c r="B230" s="16" t="s">
        <v>224</v>
      </c>
      <c r="C230">
        <v>197580732.19839382</v>
      </c>
      <c r="D230">
        <v>172482853.5945265</v>
      </c>
      <c r="E230">
        <v>541981.98198198096</v>
      </c>
      <c r="F230">
        <v>561261.261261262</v>
      </c>
      <c r="G230">
        <v>50</v>
      </c>
      <c r="H230">
        <v>25</v>
      </c>
      <c r="I230">
        <v>4</v>
      </c>
      <c r="J230">
        <v>1</v>
      </c>
      <c r="M230">
        <v>53</v>
      </c>
      <c r="N230">
        <v>27</v>
      </c>
      <c r="O230">
        <v>16909549.54954955</v>
      </c>
      <c r="P230">
        <v>15969909.909909908</v>
      </c>
      <c r="Q230">
        <v>19</v>
      </c>
      <c r="S230">
        <v>38840648.648648649</v>
      </c>
      <c r="T230">
        <v>35737909.909909911</v>
      </c>
      <c r="U230">
        <v>14573873.873873875</v>
      </c>
      <c r="V230">
        <v>14906756.756756756</v>
      </c>
      <c r="W230">
        <v>4254</v>
      </c>
      <c r="X230">
        <v>4334</v>
      </c>
    </row>
    <row r="231" spans="1:24">
      <c r="A231" s="7" t="s">
        <v>4</v>
      </c>
      <c r="B231" s="16" t="s">
        <v>158</v>
      </c>
      <c r="C231">
        <v>150996056.9736509</v>
      </c>
      <c r="D231">
        <v>148274616.58268934</v>
      </c>
      <c r="E231">
        <v>1214414.414414414</v>
      </c>
      <c r="F231">
        <v>1817117.117117119</v>
      </c>
      <c r="G231">
        <v>14</v>
      </c>
      <c r="H231">
        <v>12</v>
      </c>
      <c r="I231">
        <v>6</v>
      </c>
      <c r="J231">
        <v>7</v>
      </c>
      <c r="M231">
        <v>14</v>
      </c>
      <c r="N231">
        <v>16</v>
      </c>
      <c r="O231">
        <v>28040990.990990993</v>
      </c>
      <c r="P231">
        <v>26933333.333333336</v>
      </c>
      <c r="Q231">
        <v>95</v>
      </c>
      <c r="R231">
        <v>49</v>
      </c>
      <c r="S231">
        <v>54581846.846846849</v>
      </c>
      <c r="T231">
        <v>52448954.954954952</v>
      </c>
      <c r="U231">
        <v>26430000</v>
      </c>
      <c r="V231">
        <v>32671801.801801801</v>
      </c>
      <c r="W231">
        <v>3663</v>
      </c>
      <c r="X231">
        <v>3639</v>
      </c>
    </row>
    <row r="232" spans="1:24">
      <c r="A232" s="7" t="s">
        <v>326</v>
      </c>
      <c r="B232" s="16" t="s">
        <v>108</v>
      </c>
      <c r="C232">
        <v>688581787.80757463</v>
      </c>
      <c r="D232">
        <v>690700319.97743011</v>
      </c>
      <c r="E232">
        <v>60781577.477477483</v>
      </c>
      <c r="F232">
        <v>93900831.531531543</v>
      </c>
      <c r="G232">
        <v>262</v>
      </c>
      <c r="H232">
        <v>211</v>
      </c>
      <c r="I232">
        <v>33</v>
      </c>
      <c r="J232">
        <v>31</v>
      </c>
      <c r="M232">
        <v>452</v>
      </c>
      <c r="N232">
        <v>476</v>
      </c>
      <c r="O232">
        <v>581087828.82882881</v>
      </c>
      <c r="P232">
        <v>551090472.07207203</v>
      </c>
      <c r="Q232">
        <v>653</v>
      </c>
      <c r="R232">
        <v>1593</v>
      </c>
      <c r="S232">
        <v>201357387.38738739</v>
      </c>
      <c r="T232">
        <v>213665704.95495495</v>
      </c>
      <c r="U232">
        <v>93997207.207207218</v>
      </c>
      <c r="V232">
        <v>87998828.828828827</v>
      </c>
      <c r="W232">
        <v>19940</v>
      </c>
      <c r="X232">
        <v>19461</v>
      </c>
    </row>
    <row r="233" spans="1:24">
      <c r="A233" s="7" t="s">
        <v>327</v>
      </c>
      <c r="B233" s="16" t="s">
        <v>78</v>
      </c>
      <c r="C233">
        <v>71630754.12348561</v>
      </c>
      <c r="D233">
        <v>72436554.149932116</v>
      </c>
      <c r="E233">
        <v>155855.85585585699</v>
      </c>
      <c r="F233">
        <v>509909.90990991099</v>
      </c>
      <c r="G233">
        <v>38</v>
      </c>
      <c r="H233">
        <v>25</v>
      </c>
      <c r="I233">
        <v>3</v>
      </c>
      <c r="J233">
        <v>5</v>
      </c>
      <c r="M233">
        <v>38</v>
      </c>
      <c r="N233">
        <v>31</v>
      </c>
      <c r="O233">
        <v>4777477.477477476</v>
      </c>
      <c r="P233">
        <v>5374774.7747747749</v>
      </c>
      <c r="Q233">
        <v>43</v>
      </c>
      <c r="R233">
        <v>9</v>
      </c>
      <c r="S233">
        <v>21793603.603603605</v>
      </c>
      <c r="T233">
        <v>23995270.270270273</v>
      </c>
      <c r="U233">
        <v>5852432.4324324308</v>
      </c>
      <c r="V233">
        <v>5276756.7567567574</v>
      </c>
      <c r="W233">
        <v>2000</v>
      </c>
      <c r="X233">
        <v>1984</v>
      </c>
    </row>
    <row r="234" spans="1:24">
      <c r="A234" s="7" t="s">
        <v>328</v>
      </c>
      <c r="B234" s="16" t="s">
        <v>121</v>
      </c>
      <c r="C234">
        <v>202569810.10639882</v>
      </c>
      <c r="D234">
        <v>185637245.38904461</v>
      </c>
      <c r="E234">
        <v>455855.85585585498</v>
      </c>
      <c r="F234">
        <v>894369.369369369</v>
      </c>
      <c r="G234">
        <v>75</v>
      </c>
      <c r="H234">
        <v>56</v>
      </c>
      <c r="I234">
        <v>8</v>
      </c>
      <c r="J234">
        <v>5</v>
      </c>
      <c r="M234">
        <v>85</v>
      </c>
      <c r="N234">
        <v>64</v>
      </c>
      <c r="O234">
        <v>9737837.8378378376</v>
      </c>
      <c r="P234">
        <v>16108108.108108109</v>
      </c>
      <c r="Q234">
        <v>53</v>
      </c>
      <c r="R234">
        <v>107</v>
      </c>
      <c r="S234">
        <v>28034241.441441439</v>
      </c>
      <c r="T234">
        <v>28842774.774774775</v>
      </c>
      <c r="U234">
        <v>9229369.3693693727</v>
      </c>
      <c r="V234">
        <v>12532342.342342339</v>
      </c>
      <c r="W234">
        <v>4060</v>
      </c>
      <c r="X234">
        <v>3696</v>
      </c>
    </row>
    <row r="235" spans="1:24">
      <c r="A235" s="7" t="s">
        <v>329</v>
      </c>
      <c r="B235" s="16" t="s">
        <v>330</v>
      </c>
      <c r="C235">
        <v>468283233.35308301</v>
      </c>
      <c r="D235">
        <v>447152243.54931104</v>
      </c>
      <c r="E235">
        <v>2977252.2522522528</v>
      </c>
      <c r="F235">
        <v>6304729.7297297334</v>
      </c>
      <c r="G235">
        <v>176</v>
      </c>
      <c r="H235">
        <v>175</v>
      </c>
      <c r="I235">
        <v>19</v>
      </c>
      <c r="J235">
        <v>22</v>
      </c>
      <c r="K235">
        <v>7</v>
      </c>
      <c r="M235">
        <v>226</v>
      </c>
      <c r="N235">
        <v>222</v>
      </c>
      <c r="O235">
        <v>35579729.729729727</v>
      </c>
      <c r="P235">
        <v>65099099.0990991</v>
      </c>
      <c r="Q235">
        <v>443</v>
      </c>
      <c r="R235">
        <v>95</v>
      </c>
      <c r="S235">
        <v>97896432.432432428</v>
      </c>
      <c r="T235">
        <v>94532299.54954955</v>
      </c>
      <c r="U235">
        <v>36126259.459459454</v>
      </c>
      <c r="V235">
        <v>60467837.837837838</v>
      </c>
      <c r="W235">
        <v>14262</v>
      </c>
      <c r="X235">
        <v>13830</v>
      </c>
    </row>
    <row r="236" spans="1:24">
      <c r="A236" s="7" t="s">
        <v>331</v>
      </c>
      <c r="B236" s="16" t="s">
        <v>290</v>
      </c>
      <c r="C236">
        <v>683561325.51993585</v>
      </c>
      <c r="D236">
        <v>666218585.29429591</v>
      </c>
      <c r="E236">
        <v>1180180.1801801829</v>
      </c>
      <c r="F236">
        <v>3864414.4144144161</v>
      </c>
      <c r="G236">
        <v>213</v>
      </c>
      <c r="H236">
        <v>244</v>
      </c>
      <c r="I236">
        <v>32</v>
      </c>
      <c r="J236">
        <v>27</v>
      </c>
      <c r="K236">
        <v>6</v>
      </c>
      <c r="M236">
        <v>246</v>
      </c>
      <c r="N236">
        <v>281</v>
      </c>
      <c r="O236">
        <v>57236036.036036037</v>
      </c>
      <c r="P236">
        <v>75055855.855855852</v>
      </c>
      <c r="Q236">
        <v>221</v>
      </c>
      <c r="R236">
        <v>141</v>
      </c>
      <c r="S236">
        <v>125250450.45045045</v>
      </c>
      <c r="T236">
        <v>119974935.13513513</v>
      </c>
      <c r="U236">
        <v>66314637.837837838</v>
      </c>
      <c r="V236">
        <v>62405495.495495498</v>
      </c>
      <c r="W236">
        <v>17220</v>
      </c>
      <c r="X236">
        <v>17695</v>
      </c>
    </row>
    <row r="237" spans="1:24">
      <c r="A237" s="7" t="s">
        <v>332</v>
      </c>
      <c r="B237" s="16" t="s">
        <v>290</v>
      </c>
      <c r="C237">
        <v>503488217.26210523</v>
      </c>
      <c r="D237">
        <v>506098562.78924185</v>
      </c>
      <c r="E237">
        <v>2760810.810810816</v>
      </c>
      <c r="F237">
        <v>5377477.4774774862</v>
      </c>
      <c r="G237">
        <v>152</v>
      </c>
      <c r="H237">
        <v>143</v>
      </c>
      <c r="I237">
        <v>20</v>
      </c>
      <c r="J237">
        <v>28</v>
      </c>
      <c r="K237">
        <v>2</v>
      </c>
      <c r="M237">
        <v>179</v>
      </c>
      <c r="N237">
        <v>209</v>
      </c>
      <c r="O237">
        <v>59850000</v>
      </c>
      <c r="P237">
        <v>73247747.747747749</v>
      </c>
      <c r="Q237">
        <v>226</v>
      </c>
      <c r="R237">
        <v>125</v>
      </c>
      <c r="S237">
        <v>125676927.92792794</v>
      </c>
      <c r="T237">
        <v>134552783.78378376</v>
      </c>
      <c r="U237">
        <v>63555495.495495498</v>
      </c>
      <c r="V237">
        <v>70271801.801801801</v>
      </c>
      <c r="W237">
        <v>14698</v>
      </c>
      <c r="X237">
        <v>14966</v>
      </c>
    </row>
    <row r="238" spans="1:24">
      <c r="A238" s="7" t="s">
        <v>333</v>
      </c>
      <c r="B238" s="16" t="s">
        <v>60</v>
      </c>
      <c r="C238">
        <v>69842971.354056209</v>
      </c>
      <c r="D238">
        <v>69179056.312049046</v>
      </c>
      <c r="E238">
        <v>1114189.18918919</v>
      </c>
      <c r="F238">
        <v>2027027.0270270291</v>
      </c>
      <c r="G238">
        <v>31</v>
      </c>
      <c r="H238">
        <v>77</v>
      </c>
      <c r="I238">
        <v>3</v>
      </c>
      <c r="J238">
        <v>5</v>
      </c>
      <c r="M238">
        <v>55</v>
      </c>
      <c r="N238">
        <v>115</v>
      </c>
      <c r="O238">
        <v>19994594.59459459</v>
      </c>
      <c r="P238">
        <v>27464864.864864863</v>
      </c>
      <c r="Q238">
        <v>55</v>
      </c>
      <c r="R238">
        <v>144</v>
      </c>
      <c r="S238">
        <v>24254684.684684683</v>
      </c>
      <c r="T238">
        <v>24197144.144144144</v>
      </c>
      <c r="U238">
        <v>18240090.090090089</v>
      </c>
      <c r="V238">
        <v>25303693.693693694</v>
      </c>
      <c r="W238">
        <v>1947</v>
      </c>
      <c r="X238">
        <v>1929</v>
      </c>
    </row>
    <row r="239" spans="1:24">
      <c r="A239" s="7" t="s">
        <v>334</v>
      </c>
      <c r="B239" s="16" t="s">
        <v>60</v>
      </c>
      <c r="C239">
        <v>9845531.0358932335</v>
      </c>
      <c r="D239">
        <v>13742535.824507687</v>
      </c>
      <c r="E239">
        <v>127927.927927928</v>
      </c>
      <c r="F239">
        <v>243243.24324324299</v>
      </c>
      <c r="G239">
        <v>5</v>
      </c>
      <c r="H239">
        <v>6</v>
      </c>
      <c r="I239">
        <v>1</v>
      </c>
      <c r="J239">
        <v>4</v>
      </c>
      <c r="M239">
        <v>5</v>
      </c>
      <c r="N239">
        <v>7</v>
      </c>
      <c r="O239">
        <v>841441.44144144095</v>
      </c>
      <c r="P239">
        <v>631981.98198198201</v>
      </c>
      <c r="Q239">
        <v>13</v>
      </c>
      <c r="R239">
        <v>12</v>
      </c>
      <c r="S239">
        <v>6131261.2612612611</v>
      </c>
      <c r="T239">
        <v>7538738.7387387389</v>
      </c>
      <c r="U239">
        <v>671171.17117117101</v>
      </c>
      <c r="V239">
        <v>850720.72072072094</v>
      </c>
      <c r="W239">
        <v>908</v>
      </c>
      <c r="X239">
        <v>839</v>
      </c>
    </row>
    <row r="240" spans="1:24">
      <c r="A240" s="7" t="s">
        <v>335</v>
      </c>
      <c r="B240" s="16" t="s">
        <v>121</v>
      </c>
      <c r="C240">
        <v>60275.803351101</v>
      </c>
      <c r="D240">
        <v>1548114.3051706189</v>
      </c>
      <c r="E240">
        <v>37853290.990990989</v>
      </c>
      <c r="F240">
        <v>55490417.117117122</v>
      </c>
      <c r="H240">
        <v>1</v>
      </c>
      <c r="N240">
        <v>1</v>
      </c>
      <c r="O240">
        <v>3180440.5405405411</v>
      </c>
      <c r="P240">
        <v>13364937.837837838</v>
      </c>
      <c r="S240">
        <v>34234.234234233998</v>
      </c>
      <c r="T240">
        <v>97747.747747747999</v>
      </c>
      <c r="X240">
        <v>151</v>
      </c>
    </row>
    <row r="241" spans="1:24">
      <c r="A241" s="7" t="s">
        <v>336</v>
      </c>
      <c r="B241" s="16" t="s">
        <v>121</v>
      </c>
      <c r="C241">
        <v>2578501.9607513319</v>
      </c>
      <c r="D241">
        <v>2480021.3612730638</v>
      </c>
      <c r="G241">
        <v>2</v>
      </c>
      <c r="H241">
        <v>2</v>
      </c>
      <c r="M241">
        <v>3</v>
      </c>
      <c r="N241">
        <v>2</v>
      </c>
      <c r="S241">
        <v>615135.13513513503</v>
      </c>
      <c r="T241">
        <v>531801.80180180201</v>
      </c>
      <c r="W241">
        <v>114</v>
      </c>
      <c r="X241">
        <v>90</v>
      </c>
    </row>
    <row r="242" spans="1:24">
      <c r="A242" s="7" t="s">
        <v>337</v>
      </c>
      <c r="B242" s="16" t="s">
        <v>121</v>
      </c>
      <c r="C242">
        <v>2163715.784810652</v>
      </c>
      <c r="D242">
        <v>1988512.7066736631</v>
      </c>
      <c r="G242">
        <v>2</v>
      </c>
      <c r="H242">
        <v>1</v>
      </c>
      <c r="M242">
        <v>2</v>
      </c>
      <c r="N242">
        <v>1</v>
      </c>
      <c r="S242">
        <v>99774.774774774996</v>
      </c>
      <c r="T242">
        <v>18918.918918919</v>
      </c>
      <c r="W242">
        <v>159</v>
      </c>
      <c r="X242">
        <v>141</v>
      </c>
    </row>
    <row r="243" spans="1:24">
      <c r="A243" s="7" t="s">
        <v>338</v>
      </c>
      <c r="B243" s="16" t="s">
        <v>140</v>
      </c>
      <c r="C243">
        <v>773974509.41224909</v>
      </c>
      <c r="D243">
        <v>756625397.78381467</v>
      </c>
      <c r="E243">
        <v>75587747.747747764</v>
      </c>
      <c r="F243">
        <v>58248648.648648657</v>
      </c>
      <c r="G243">
        <v>169</v>
      </c>
      <c r="H243">
        <v>279</v>
      </c>
      <c r="I243">
        <v>31</v>
      </c>
      <c r="J243">
        <v>28</v>
      </c>
      <c r="K243">
        <v>1</v>
      </c>
      <c r="M243">
        <v>194</v>
      </c>
      <c r="N243">
        <v>315</v>
      </c>
      <c r="O243">
        <v>82615909.009009004</v>
      </c>
      <c r="P243">
        <v>71681126.126126125</v>
      </c>
      <c r="Q243">
        <v>328</v>
      </c>
      <c r="R243">
        <v>165</v>
      </c>
      <c r="S243">
        <v>150909538.73873875</v>
      </c>
      <c r="T243">
        <v>152541142.34234235</v>
      </c>
      <c r="U243">
        <v>68346126.126126125</v>
      </c>
      <c r="V243">
        <v>66007747.747747742</v>
      </c>
      <c r="W243">
        <v>16162</v>
      </c>
      <c r="X243">
        <v>16075</v>
      </c>
    </row>
    <row r="244" spans="1:24">
      <c r="A244" s="7" t="s">
        <v>339</v>
      </c>
      <c r="B244" s="16" t="s">
        <v>121</v>
      </c>
      <c r="C244">
        <v>126590921.556311</v>
      </c>
      <c r="D244">
        <v>117697727.42631631</v>
      </c>
      <c r="E244">
        <v>3603.603603604</v>
      </c>
      <c r="G244">
        <v>79</v>
      </c>
      <c r="H244">
        <v>37</v>
      </c>
      <c r="I244">
        <v>0</v>
      </c>
      <c r="J244">
        <v>1</v>
      </c>
      <c r="M244">
        <v>83</v>
      </c>
      <c r="N244">
        <v>40</v>
      </c>
      <c r="O244">
        <v>165765.765765766</v>
      </c>
      <c r="Q244">
        <v>18</v>
      </c>
      <c r="S244">
        <v>9046342.3423423413</v>
      </c>
      <c r="T244">
        <v>8157711.7117117113</v>
      </c>
      <c r="U244">
        <v>162162.16216216201</v>
      </c>
      <c r="W244">
        <v>2392</v>
      </c>
      <c r="X244">
        <v>2347</v>
      </c>
    </row>
    <row r="245" spans="1:24">
      <c r="A245" s="7" t="s">
        <v>340</v>
      </c>
      <c r="B245" s="16" t="s">
        <v>140</v>
      </c>
      <c r="C245">
        <v>388230046.79453713</v>
      </c>
      <c r="D245">
        <v>402682116.72585785</v>
      </c>
      <c r="E245">
        <v>630405.40540540498</v>
      </c>
      <c r="F245">
        <v>2117567.5675675711</v>
      </c>
      <c r="G245">
        <v>51</v>
      </c>
      <c r="H245">
        <v>78</v>
      </c>
      <c r="I245">
        <v>9</v>
      </c>
      <c r="J245">
        <v>10</v>
      </c>
      <c r="K245">
        <v>5</v>
      </c>
      <c r="M245">
        <v>82</v>
      </c>
      <c r="N245">
        <v>108</v>
      </c>
      <c r="O245">
        <v>62516666.666666672</v>
      </c>
      <c r="P245">
        <v>74120720.720720723</v>
      </c>
      <c r="Q245">
        <v>62</v>
      </c>
      <c r="R245">
        <v>141</v>
      </c>
      <c r="S245">
        <v>107741954.95495497</v>
      </c>
      <c r="T245">
        <v>119381234.68468469</v>
      </c>
      <c r="U245">
        <v>61998198.198198199</v>
      </c>
      <c r="V245">
        <v>65811711.711711712</v>
      </c>
      <c r="W245">
        <v>8434</v>
      </c>
      <c r="X245">
        <v>8771</v>
      </c>
    </row>
    <row r="246" spans="1:24">
      <c r="A246" s="7" t="s">
        <v>341</v>
      </c>
      <c r="B246" s="16" t="s">
        <v>134</v>
      </c>
      <c r="C246">
        <v>50913207.172769271</v>
      </c>
      <c r="D246">
        <v>44634204.067046911</v>
      </c>
      <c r="E246">
        <v>199675154.95495495</v>
      </c>
      <c r="F246">
        <v>219074445.04504505</v>
      </c>
      <c r="G246">
        <v>20</v>
      </c>
      <c r="H246">
        <v>11</v>
      </c>
      <c r="I246">
        <v>1</v>
      </c>
      <c r="J246">
        <v>1</v>
      </c>
      <c r="M246">
        <v>22</v>
      </c>
      <c r="N246">
        <v>11</v>
      </c>
      <c r="O246">
        <v>23473873.873873871</v>
      </c>
      <c r="P246">
        <v>37171171.171171166</v>
      </c>
      <c r="Q246">
        <v>15</v>
      </c>
      <c r="S246">
        <v>4503153.1531531531</v>
      </c>
      <c r="T246">
        <v>4190414.4144144142</v>
      </c>
      <c r="U246">
        <v>1513423.4234234239</v>
      </c>
      <c r="V246">
        <v>1146576.576576577</v>
      </c>
      <c r="W246">
        <v>1288</v>
      </c>
      <c r="X246">
        <v>1323</v>
      </c>
    </row>
    <row r="247" spans="1:24">
      <c r="A247" s="7" t="s">
        <v>342</v>
      </c>
      <c r="B247" s="16" t="s">
        <v>121</v>
      </c>
      <c r="C247">
        <v>2351702.2749208701</v>
      </c>
      <c r="D247">
        <v>1729007.0280823789</v>
      </c>
      <c r="G247">
        <v>5</v>
      </c>
      <c r="H247">
        <v>9</v>
      </c>
      <c r="M247">
        <v>7</v>
      </c>
      <c r="N247">
        <v>13</v>
      </c>
      <c r="S247">
        <v>1092837.8378378381</v>
      </c>
      <c r="T247">
        <v>832522.52252252295</v>
      </c>
      <c r="W247">
        <v>391</v>
      </c>
      <c r="X247">
        <v>398</v>
      </c>
    </row>
    <row r="248" spans="1:24">
      <c r="A248" s="7" t="s">
        <v>5</v>
      </c>
      <c r="B248" s="16" t="s">
        <v>158</v>
      </c>
      <c r="C248">
        <v>152918487.49461046</v>
      </c>
      <c r="D248">
        <v>155195644.62481979</v>
      </c>
      <c r="E248">
        <v>5161711.7117117122</v>
      </c>
      <c r="F248">
        <v>92643243.243243247</v>
      </c>
      <c r="G248">
        <v>14</v>
      </c>
      <c r="H248">
        <v>23</v>
      </c>
      <c r="I248">
        <v>2</v>
      </c>
      <c r="J248">
        <v>2</v>
      </c>
      <c r="K248">
        <v>2</v>
      </c>
      <c r="M248">
        <v>15</v>
      </c>
      <c r="N248">
        <v>23</v>
      </c>
      <c r="O248">
        <v>49310765.765765771</v>
      </c>
      <c r="P248">
        <v>31050450.45045045</v>
      </c>
      <c r="Q248">
        <v>86</v>
      </c>
      <c r="R248">
        <v>27</v>
      </c>
      <c r="S248">
        <v>66808243.24324324</v>
      </c>
      <c r="T248">
        <v>66253189.189189196</v>
      </c>
      <c r="U248">
        <v>11698828.828828828</v>
      </c>
      <c r="V248">
        <v>11592882.882882884</v>
      </c>
      <c r="W248">
        <v>3084</v>
      </c>
      <c r="X248">
        <v>3014</v>
      </c>
    </row>
    <row r="249" spans="1:24">
      <c r="A249" s="7" t="s">
        <v>343</v>
      </c>
      <c r="B249" s="16" t="s">
        <v>304</v>
      </c>
      <c r="C249">
        <v>14717685.160262652</v>
      </c>
      <c r="D249">
        <v>16241049.613468308</v>
      </c>
      <c r="E249">
        <v>1801.801801802</v>
      </c>
      <c r="F249">
        <v>900900.90090090095</v>
      </c>
      <c r="G249">
        <v>25</v>
      </c>
      <c r="H249">
        <v>9</v>
      </c>
      <c r="I249">
        <v>0</v>
      </c>
      <c r="M249">
        <v>31</v>
      </c>
      <c r="N249">
        <v>12</v>
      </c>
      <c r="O249">
        <v>452252.25225225202</v>
      </c>
      <c r="P249">
        <v>1351351.351351351</v>
      </c>
      <c r="S249">
        <v>3464099.0990990992</v>
      </c>
      <c r="T249">
        <v>2587936.9369369368</v>
      </c>
      <c r="U249">
        <v>348828.82882882899</v>
      </c>
      <c r="V249">
        <v>234234.234234234</v>
      </c>
      <c r="W249">
        <v>564</v>
      </c>
      <c r="X249">
        <v>537</v>
      </c>
    </row>
    <row r="250" spans="1:24">
      <c r="A250" s="7" t="s">
        <v>344</v>
      </c>
      <c r="B250" s="16" t="s">
        <v>105</v>
      </c>
      <c r="C250">
        <v>321732832.5276528</v>
      </c>
      <c r="D250">
        <v>316064244.62782061</v>
      </c>
      <c r="E250">
        <v>244819.81981982099</v>
      </c>
      <c r="F250">
        <v>1569819.8198198241</v>
      </c>
      <c r="G250">
        <v>81</v>
      </c>
      <c r="H250">
        <v>54</v>
      </c>
      <c r="I250">
        <v>9</v>
      </c>
      <c r="J250">
        <v>5</v>
      </c>
      <c r="K250">
        <v>1</v>
      </c>
      <c r="M250">
        <v>88</v>
      </c>
      <c r="N250">
        <v>71</v>
      </c>
      <c r="O250">
        <v>47477117.117117122</v>
      </c>
      <c r="P250">
        <v>42120900.9009009</v>
      </c>
      <c r="Q250">
        <v>98</v>
      </c>
      <c r="R250">
        <v>320</v>
      </c>
      <c r="S250">
        <v>79129585.585585579</v>
      </c>
      <c r="T250">
        <v>77416027.027027026</v>
      </c>
      <c r="U250">
        <v>48530180.180180177</v>
      </c>
      <c r="V250">
        <v>39298738.738738738</v>
      </c>
      <c r="W250">
        <v>5708</v>
      </c>
      <c r="X250">
        <v>5885</v>
      </c>
    </row>
    <row r="251" spans="1:24">
      <c r="A251" s="7" t="s">
        <v>345</v>
      </c>
      <c r="B251" s="16" t="s">
        <v>87</v>
      </c>
      <c r="C251">
        <v>96281971.304928347</v>
      </c>
      <c r="D251">
        <v>94085872.473171175</v>
      </c>
      <c r="E251">
        <v>340540.540540541</v>
      </c>
      <c r="F251">
        <v>737837.83783783799</v>
      </c>
      <c r="G251">
        <v>54</v>
      </c>
      <c r="H251">
        <v>36</v>
      </c>
      <c r="I251">
        <v>7</v>
      </c>
      <c r="J251">
        <v>5</v>
      </c>
      <c r="K251">
        <v>1</v>
      </c>
      <c r="M251">
        <v>59</v>
      </c>
      <c r="N251">
        <v>42</v>
      </c>
      <c r="O251">
        <v>21354054.054054052</v>
      </c>
      <c r="P251">
        <v>24784684.684684683</v>
      </c>
      <c r="Q251">
        <v>37</v>
      </c>
      <c r="R251">
        <v>90</v>
      </c>
      <c r="S251">
        <v>22897094.59459459</v>
      </c>
      <c r="T251">
        <v>24175696.396396395</v>
      </c>
      <c r="U251">
        <v>15232162.162162161</v>
      </c>
      <c r="V251">
        <v>18693016.216216218</v>
      </c>
      <c r="W251">
        <v>2277</v>
      </c>
      <c r="X251">
        <v>2140</v>
      </c>
    </row>
    <row r="252" spans="1:24">
      <c r="A252" s="7" t="s">
        <v>346</v>
      </c>
      <c r="B252" s="16" t="s">
        <v>87</v>
      </c>
      <c r="C252">
        <v>299329778.3571043</v>
      </c>
      <c r="D252">
        <v>262217076.85498258</v>
      </c>
      <c r="E252">
        <v>945270.27027026995</v>
      </c>
      <c r="F252">
        <v>3135135.135135137</v>
      </c>
      <c r="G252">
        <v>245</v>
      </c>
      <c r="H252">
        <v>168</v>
      </c>
      <c r="I252">
        <v>15</v>
      </c>
      <c r="J252">
        <v>19</v>
      </c>
      <c r="K252">
        <v>1</v>
      </c>
      <c r="M252">
        <v>274</v>
      </c>
      <c r="N252">
        <v>196</v>
      </c>
      <c r="O252">
        <v>24085585.585585583</v>
      </c>
      <c r="P252">
        <v>26448648.648648649</v>
      </c>
      <c r="Q252">
        <v>139</v>
      </c>
      <c r="R252">
        <v>189</v>
      </c>
      <c r="S252">
        <v>47652328.828828827</v>
      </c>
      <c r="T252">
        <v>45255412.612612613</v>
      </c>
      <c r="U252">
        <v>19919279.279279284</v>
      </c>
      <c r="V252">
        <v>19942522.522522524</v>
      </c>
      <c r="W252">
        <v>6772</v>
      </c>
      <c r="X252">
        <v>6337</v>
      </c>
    </row>
    <row r="253" spans="1:24">
      <c r="A253" s="7" t="s">
        <v>347</v>
      </c>
      <c r="B253" s="16" t="s">
        <v>87</v>
      </c>
      <c r="C253">
        <v>6968336.6295117792</v>
      </c>
      <c r="D253">
        <v>8078653.4323634021</v>
      </c>
      <c r="F253">
        <v>3603603.6036036038</v>
      </c>
      <c r="G253">
        <v>3</v>
      </c>
      <c r="H253">
        <v>19</v>
      </c>
      <c r="M253">
        <v>7</v>
      </c>
      <c r="N253">
        <v>21</v>
      </c>
      <c r="O253">
        <v>163513.51351351399</v>
      </c>
      <c r="S253">
        <v>3469864.8648648649</v>
      </c>
      <c r="T253">
        <v>3159900.9009009008</v>
      </c>
      <c r="W253">
        <v>720</v>
      </c>
      <c r="X253">
        <v>805</v>
      </c>
    </row>
    <row r="254" spans="1:24">
      <c r="A254" s="7" t="s">
        <v>348</v>
      </c>
      <c r="B254" s="16" t="s">
        <v>87</v>
      </c>
      <c r="C254">
        <v>3458952.9192041801</v>
      </c>
      <c r="D254">
        <v>3651007.647456693</v>
      </c>
      <c r="E254">
        <v>59293238.738738738</v>
      </c>
      <c r="F254">
        <v>47377725.225225225</v>
      </c>
      <c r="G254">
        <v>1</v>
      </c>
      <c r="H254">
        <v>2</v>
      </c>
      <c r="M254">
        <v>1</v>
      </c>
      <c r="N254">
        <v>2</v>
      </c>
      <c r="S254">
        <v>735675.67567567597</v>
      </c>
      <c r="T254">
        <v>1261666.666666667</v>
      </c>
      <c r="W254">
        <v>385</v>
      </c>
      <c r="X254">
        <v>197</v>
      </c>
    </row>
    <row r="255" spans="1:24">
      <c r="A255" s="7" t="s">
        <v>349</v>
      </c>
      <c r="B255" s="16" t="s">
        <v>87</v>
      </c>
      <c r="C255">
        <v>3083904.4958004341</v>
      </c>
      <c r="D255">
        <v>3039694.1611106768</v>
      </c>
      <c r="G255">
        <v>1</v>
      </c>
      <c r="H255">
        <v>5</v>
      </c>
      <c r="M255">
        <v>2</v>
      </c>
      <c r="N255">
        <v>10</v>
      </c>
      <c r="S255">
        <v>1190405.405405405</v>
      </c>
      <c r="T255">
        <v>1815414.414414414</v>
      </c>
      <c r="W255">
        <v>632</v>
      </c>
      <c r="X255">
        <v>689</v>
      </c>
    </row>
    <row r="256" spans="1:24">
      <c r="A256" s="7" t="s">
        <v>350</v>
      </c>
      <c r="B256" s="16" t="s">
        <v>87</v>
      </c>
      <c r="C256">
        <v>78945821.159914806</v>
      </c>
      <c r="D256">
        <v>86743814.157167539</v>
      </c>
      <c r="E256">
        <v>9009.0090090100002</v>
      </c>
      <c r="F256">
        <v>158558.55855856001</v>
      </c>
      <c r="G256">
        <v>64</v>
      </c>
      <c r="H256">
        <v>68</v>
      </c>
      <c r="I256">
        <v>3</v>
      </c>
      <c r="J256">
        <v>3</v>
      </c>
      <c r="M256">
        <v>72</v>
      </c>
      <c r="N256">
        <v>75</v>
      </c>
      <c r="O256">
        <v>6775675.6756756771</v>
      </c>
      <c r="P256">
        <v>6959459.4594594594</v>
      </c>
      <c r="Q256">
        <v>24</v>
      </c>
      <c r="R256">
        <v>22</v>
      </c>
      <c r="S256">
        <v>15308243.243243244</v>
      </c>
      <c r="T256">
        <v>17190698.198198196</v>
      </c>
      <c r="U256">
        <v>5218468.4684684677</v>
      </c>
      <c r="V256">
        <v>5583423.4234234234</v>
      </c>
      <c r="W256">
        <v>2251</v>
      </c>
      <c r="X256">
        <v>2061</v>
      </c>
    </row>
    <row r="257" spans="1:24">
      <c r="A257" s="7" t="s">
        <v>351</v>
      </c>
      <c r="B257" s="16" t="s">
        <v>50</v>
      </c>
      <c r="C257">
        <v>219765260.60673785</v>
      </c>
      <c r="D257">
        <v>230035196.07268283</v>
      </c>
      <c r="E257">
        <v>400450.45045045501</v>
      </c>
      <c r="F257">
        <v>2906306.3063063091</v>
      </c>
      <c r="G257">
        <v>30</v>
      </c>
      <c r="H257">
        <v>57</v>
      </c>
      <c r="I257">
        <v>13</v>
      </c>
      <c r="J257">
        <v>12</v>
      </c>
      <c r="M257">
        <v>35</v>
      </c>
      <c r="N257">
        <v>65</v>
      </c>
      <c r="O257">
        <v>36174324.324324325</v>
      </c>
      <c r="P257">
        <v>33233153.153153151</v>
      </c>
      <c r="Q257">
        <v>78</v>
      </c>
      <c r="R257">
        <v>322</v>
      </c>
      <c r="S257">
        <v>87660405.405405402</v>
      </c>
      <c r="T257">
        <v>90452842.342342332</v>
      </c>
      <c r="U257">
        <v>35378468.468468465</v>
      </c>
      <c r="V257">
        <v>29560900.9009009</v>
      </c>
      <c r="W257">
        <v>5744</v>
      </c>
      <c r="X257">
        <v>5339</v>
      </c>
    </row>
    <row r="258" spans="1:24">
      <c r="A258" s="7" t="s">
        <v>352</v>
      </c>
      <c r="B258" s="16" t="s">
        <v>123</v>
      </c>
      <c r="C258">
        <v>1138655.7712305591</v>
      </c>
      <c r="D258">
        <v>1403820.420461985</v>
      </c>
      <c r="H258">
        <v>1</v>
      </c>
      <c r="M258">
        <v>1</v>
      </c>
      <c r="N258">
        <v>1</v>
      </c>
      <c r="S258">
        <v>438783.78378378402</v>
      </c>
      <c r="T258">
        <v>543333.33333333302</v>
      </c>
      <c r="W258">
        <v>1</v>
      </c>
      <c r="X258">
        <v>100</v>
      </c>
    </row>
    <row r="259" spans="1:24">
      <c r="A259" s="7" t="s">
        <v>353</v>
      </c>
      <c r="B259" s="16" t="s">
        <v>354</v>
      </c>
      <c r="C259">
        <v>428055373.78261799</v>
      </c>
      <c r="D259">
        <v>403708342.56940687</v>
      </c>
      <c r="E259">
        <v>277438616.21621621</v>
      </c>
      <c r="F259">
        <v>324295142.34234232</v>
      </c>
      <c r="G259">
        <v>181</v>
      </c>
      <c r="H259">
        <v>354</v>
      </c>
      <c r="I259">
        <v>37</v>
      </c>
      <c r="J259">
        <v>15</v>
      </c>
      <c r="M259">
        <v>246</v>
      </c>
      <c r="N259">
        <v>546</v>
      </c>
      <c r="O259">
        <v>184678468.46846849</v>
      </c>
      <c r="P259">
        <v>273975675.67567569</v>
      </c>
      <c r="Q259">
        <v>375</v>
      </c>
      <c r="R259">
        <v>401</v>
      </c>
      <c r="S259">
        <v>246756034.23423424</v>
      </c>
      <c r="T259">
        <v>240929360.36036035</v>
      </c>
      <c r="U259">
        <v>162309639.63963965</v>
      </c>
      <c r="V259">
        <v>270215945.94594598</v>
      </c>
      <c r="W259">
        <v>10110</v>
      </c>
      <c r="X259">
        <v>10203</v>
      </c>
    </row>
    <row r="260" spans="1:24">
      <c r="A260" s="7" t="s">
        <v>355</v>
      </c>
      <c r="B260" s="16" t="s">
        <v>48</v>
      </c>
      <c r="C260">
        <v>273555893.42216623</v>
      </c>
      <c r="D260">
        <v>274498601.43701273</v>
      </c>
      <c r="E260">
        <v>9226126.1261261273</v>
      </c>
      <c r="F260">
        <v>64030630.630630635</v>
      </c>
      <c r="G260">
        <v>57</v>
      </c>
      <c r="H260">
        <v>20</v>
      </c>
      <c r="I260">
        <v>5</v>
      </c>
      <c r="J260">
        <v>6</v>
      </c>
      <c r="M260">
        <v>61</v>
      </c>
      <c r="N260">
        <v>24</v>
      </c>
      <c r="O260">
        <v>7453333.3333333321</v>
      </c>
      <c r="P260">
        <v>2427027.0270270258</v>
      </c>
      <c r="S260">
        <v>20606828.82882883</v>
      </c>
      <c r="T260">
        <v>20869963.963963963</v>
      </c>
      <c r="U260">
        <v>1013603.603603601</v>
      </c>
      <c r="V260">
        <v>1751621.6216216199</v>
      </c>
      <c r="W260">
        <v>5874</v>
      </c>
      <c r="X260">
        <v>5725</v>
      </c>
    </row>
    <row r="261" spans="1:24">
      <c r="A261" s="7" t="s">
        <v>356</v>
      </c>
      <c r="B261" s="16" t="s">
        <v>123</v>
      </c>
      <c r="C261">
        <v>314553445.25621647</v>
      </c>
      <c r="D261">
        <v>294084390.2324394</v>
      </c>
      <c r="E261">
        <v>69369.369369370004</v>
      </c>
      <c r="F261">
        <v>169369.36936936999</v>
      </c>
      <c r="G261">
        <v>75</v>
      </c>
      <c r="H261">
        <v>73</v>
      </c>
      <c r="I261">
        <v>3</v>
      </c>
      <c r="J261">
        <v>4</v>
      </c>
      <c r="M261">
        <v>77</v>
      </c>
      <c r="N261">
        <v>76</v>
      </c>
      <c r="O261">
        <v>10096036.036036037</v>
      </c>
      <c r="P261">
        <v>13622252.252252253</v>
      </c>
      <c r="Q261">
        <v>23</v>
      </c>
      <c r="R261">
        <v>168</v>
      </c>
      <c r="S261">
        <v>67408592.792792797</v>
      </c>
      <c r="T261">
        <v>65906954.954954952</v>
      </c>
      <c r="U261">
        <v>9229459.4594594594</v>
      </c>
      <c r="V261">
        <v>11748198.198198199</v>
      </c>
      <c r="W261">
        <v>5767</v>
      </c>
      <c r="X261">
        <v>5917</v>
      </c>
    </row>
    <row r="262" spans="1:24">
      <c r="A262" s="7" t="s">
        <v>357</v>
      </c>
      <c r="B262" s="16" t="s">
        <v>62</v>
      </c>
      <c r="C262">
        <v>169901481.46735322</v>
      </c>
      <c r="D262">
        <v>164141900.89184639</v>
      </c>
      <c r="E262">
        <v>682882.88288288203</v>
      </c>
      <c r="F262">
        <v>2142342.3423423441</v>
      </c>
      <c r="G262">
        <v>32</v>
      </c>
      <c r="H262">
        <v>27</v>
      </c>
      <c r="I262">
        <v>2</v>
      </c>
      <c r="J262">
        <v>10</v>
      </c>
      <c r="M262">
        <v>38</v>
      </c>
      <c r="N262">
        <v>31</v>
      </c>
      <c r="O262">
        <v>12680720.720720721</v>
      </c>
      <c r="P262">
        <v>30246666.666666668</v>
      </c>
      <c r="Q262">
        <v>20</v>
      </c>
      <c r="R262">
        <v>106</v>
      </c>
      <c r="S262">
        <v>45408153.153153151</v>
      </c>
      <c r="T262">
        <v>46258621.621621624</v>
      </c>
      <c r="U262">
        <v>14640090.09009009</v>
      </c>
      <c r="V262">
        <v>29794324.324324321</v>
      </c>
      <c r="W262">
        <v>3971</v>
      </c>
      <c r="X262">
        <v>3690</v>
      </c>
    </row>
    <row r="263" spans="1:24">
      <c r="A263" s="7" t="s">
        <v>358</v>
      </c>
      <c r="B263" s="16" t="s">
        <v>315</v>
      </c>
      <c r="C263">
        <v>9582068.1822790261</v>
      </c>
      <c r="D263">
        <v>5684792.9171776529</v>
      </c>
      <c r="E263">
        <v>81187889.189189181</v>
      </c>
      <c r="F263">
        <v>100376114.41441442</v>
      </c>
      <c r="G263">
        <v>15</v>
      </c>
      <c r="H263">
        <v>10</v>
      </c>
      <c r="M263">
        <v>15</v>
      </c>
      <c r="N263">
        <v>11</v>
      </c>
      <c r="O263">
        <v>37837837.837837838</v>
      </c>
      <c r="P263">
        <v>691441.44144144095</v>
      </c>
      <c r="S263">
        <v>5477297.297297297</v>
      </c>
      <c r="T263">
        <v>2291846.8468468469</v>
      </c>
      <c r="W263">
        <v>693</v>
      </c>
      <c r="X263">
        <v>14</v>
      </c>
    </row>
    <row r="264" spans="1:24">
      <c r="A264" s="7" t="s">
        <v>359</v>
      </c>
      <c r="B264" s="16" t="s">
        <v>315</v>
      </c>
      <c r="C264">
        <v>195171164.5178808</v>
      </c>
      <c r="D264">
        <v>164772782.56086186</v>
      </c>
      <c r="E264">
        <v>40782207.20720721</v>
      </c>
      <c r="F264">
        <v>65935135.135135137</v>
      </c>
      <c r="G264">
        <v>47</v>
      </c>
      <c r="H264">
        <v>40</v>
      </c>
      <c r="I264">
        <v>4</v>
      </c>
      <c r="J264">
        <v>8</v>
      </c>
      <c r="M264">
        <v>49</v>
      </c>
      <c r="N264">
        <v>46</v>
      </c>
      <c r="O264">
        <v>35856576.576576576</v>
      </c>
      <c r="P264">
        <v>33962522.522522517</v>
      </c>
      <c r="S264">
        <v>70064819.819819823</v>
      </c>
      <c r="T264">
        <v>60712963.963963971</v>
      </c>
      <c r="U264">
        <v>38860720.720720723</v>
      </c>
      <c r="V264">
        <v>33670990.990990989</v>
      </c>
      <c r="W264">
        <v>3019</v>
      </c>
      <c r="X264">
        <v>3230</v>
      </c>
    </row>
    <row r="265" spans="1:24">
      <c r="A265" s="7" t="s">
        <v>360</v>
      </c>
      <c r="B265" s="16" t="s">
        <v>92</v>
      </c>
      <c r="C265">
        <v>309363087.00243324</v>
      </c>
      <c r="D265">
        <v>302426113.30619293</v>
      </c>
      <c r="E265">
        <v>29755000</v>
      </c>
      <c r="F265">
        <v>67757657.657657653</v>
      </c>
      <c r="G265">
        <v>104</v>
      </c>
      <c r="H265">
        <v>173</v>
      </c>
      <c r="I265">
        <v>6</v>
      </c>
      <c r="J265">
        <v>9</v>
      </c>
      <c r="M265">
        <v>136</v>
      </c>
      <c r="N265">
        <v>211</v>
      </c>
      <c r="O265">
        <v>45729639.639639638</v>
      </c>
      <c r="P265">
        <v>59413873.873873875</v>
      </c>
      <c r="Q265">
        <v>79</v>
      </c>
      <c r="R265">
        <v>251</v>
      </c>
      <c r="S265">
        <v>90748504.504504517</v>
      </c>
      <c r="T265">
        <v>91899502.702702701</v>
      </c>
      <c r="U265">
        <v>32464144.144144144</v>
      </c>
      <c r="V265">
        <v>57064637.837837838</v>
      </c>
      <c r="W265">
        <v>6789</v>
      </c>
      <c r="X265">
        <v>6801</v>
      </c>
    </row>
    <row r="266" spans="1:24">
      <c r="A266" s="7" t="s">
        <v>361</v>
      </c>
      <c r="B266" s="16" t="s">
        <v>58</v>
      </c>
      <c r="C266">
        <v>631244896.1890353</v>
      </c>
      <c r="D266">
        <v>597727882.45785522</v>
      </c>
      <c r="E266">
        <v>23452252.252252255</v>
      </c>
      <c r="F266">
        <v>1439639.6396396409</v>
      </c>
      <c r="G266">
        <v>92</v>
      </c>
      <c r="H266">
        <v>104</v>
      </c>
      <c r="I266">
        <v>8</v>
      </c>
      <c r="J266">
        <v>19</v>
      </c>
      <c r="M266">
        <v>103</v>
      </c>
      <c r="N266">
        <v>116</v>
      </c>
      <c r="O266">
        <v>36710810.810810819</v>
      </c>
      <c r="P266">
        <v>26174774.774774775</v>
      </c>
      <c r="Q266">
        <v>482</v>
      </c>
      <c r="R266">
        <v>17</v>
      </c>
      <c r="S266">
        <v>94435081.081081092</v>
      </c>
      <c r="T266">
        <v>95625770.270270273</v>
      </c>
      <c r="U266">
        <v>27618378.378378384</v>
      </c>
      <c r="V266">
        <v>23712702.702702705</v>
      </c>
      <c r="W266">
        <v>12987</v>
      </c>
      <c r="X266">
        <v>12634</v>
      </c>
    </row>
    <row r="267" spans="1:24">
      <c r="A267" s="7" t="s">
        <v>362</v>
      </c>
      <c r="B267" s="16" t="s">
        <v>48</v>
      </c>
      <c r="C267">
        <v>216177554.78583959</v>
      </c>
      <c r="D267">
        <v>210936352.87460145</v>
      </c>
      <c r="E267">
        <v>220720.720720721</v>
      </c>
      <c r="F267">
        <v>331531.53153153101</v>
      </c>
      <c r="G267">
        <v>13</v>
      </c>
      <c r="H267">
        <v>11</v>
      </c>
      <c r="I267">
        <v>9</v>
      </c>
      <c r="J267">
        <v>4</v>
      </c>
      <c r="M267">
        <v>17</v>
      </c>
      <c r="N267">
        <v>26</v>
      </c>
      <c r="O267">
        <v>12694234.234234236</v>
      </c>
      <c r="P267">
        <v>30725405.405405402</v>
      </c>
      <c r="S267">
        <v>37018414.414414413</v>
      </c>
      <c r="T267">
        <v>34595306.30630631</v>
      </c>
      <c r="U267">
        <v>15499819.819819819</v>
      </c>
      <c r="V267">
        <v>27343693.693693694</v>
      </c>
      <c r="W267">
        <v>3284</v>
      </c>
      <c r="X267">
        <v>3779</v>
      </c>
    </row>
    <row r="268" spans="1:24">
      <c r="A268" s="7" t="s">
        <v>363</v>
      </c>
      <c r="B268" s="16" t="s">
        <v>52</v>
      </c>
      <c r="C268">
        <v>86266154.000040174</v>
      </c>
      <c r="D268">
        <v>89480934.537319243</v>
      </c>
      <c r="E268">
        <v>362702.70270270301</v>
      </c>
      <c r="F268">
        <v>254954.95495495599</v>
      </c>
      <c r="G268">
        <v>10</v>
      </c>
      <c r="H268">
        <v>62</v>
      </c>
      <c r="I268">
        <v>3</v>
      </c>
      <c r="J268">
        <v>4</v>
      </c>
      <c r="M268">
        <v>12</v>
      </c>
      <c r="N268">
        <v>67</v>
      </c>
      <c r="O268">
        <v>6878018.0180180157</v>
      </c>
      <c r="P268">
        <v>1894594.5945945941</v>
      </c>
      <c r="Q268">
        <v>76</v>
      </c>
      <c r="R268">
        <v>60</v>
      </c>
      <c r="S268">
        <v>42067792.79279279</v>
      </c>
      <c r="T268">
        <v>43641351.351351351</v>
      </c>
      <c r="U268">
        <v>6401891.8918918911</v>
      </c>
      <c r="V268">
        <v>2315945.9459459451</v>
      </c>
      <c r="W268">
        <v>2409</v>
      </c>
      <c r="X268">
        <v>2346</v>
      </c>
    </row>
    <row r="269" spans="1:24">
      <c r="A269" s="7" t="s">
        <v>364</v>
      </c>
      <c r="B269" s="16" t="s">
        <v>52</v>
      </c>
      <c r="C269">
        <v>69951043.036607191</v>
      </c>
      <c r="D269">
        <v>68884937.084418491</v>
      </c>
      <c r="E269">
        <v>2413288.2882882892</v>
      </c>
      <c r="F269">
        <v>2566666.6666666688</v>
      </c>
      <c r="G269">
        <v>48</v>
      </c>
      <c r="H269">
        <v>82</v>
      </c>
      <c r="I269">
        <v>3</v>
      </c>
      <c r="J269">
        <v>9</v>
      </c>
      <c r="M269">
        <v>89</v>
      </c>
      <c r="N269">
        <v>194</v>
      </c>
      <c r="O269">
        <v>14380630.630630629</v>
      </c>
      <c r="P269">
        <v>7413513.5135135129</v>
      </c>
      <c r="Q269">
        <v>195</v>
      </c>
      <c r="R269">
        <v>424</v>
      </c>
      <c r="S269">
        <v>38834981.981981985</v>
      </c>
      <c r="T269">
        <v>38497828.828828834</v>
      </c>
      <c r="U269">
        <v>14260900.900900902</v>
      </c>
      <c r="V269">
        <v>11994954.954954954</v>
      </c>
      <c r="W269">
        <v>2422</v>
      </c>
      <c r="X269">
        <v>2416</v>
      </c>
    </row>
    <row r="270" spans="1:24">
      <c r="A270" s="7" t="s">
        <v>365</v>
      </c>
      <c r="B270" s="16" t="s">
        <v>52</v>
      </c>
      <c r="C270">
        <v>748056643.39938772</v>
      </c>
      <c r="D270">
        <v>781283296.05415547</v>
      </c>
      <c r="E270">
        <v>172539076.57657659</v>
      </c>
      <c r="F270">
        <v>164354777.47747749</v>
      </c>
      <c r="G270">
        <v>177</v>
      </c>
      <c r="H270">
        <v>296</v>
      </c>
      <c r="I270">
        <v>22</v>
      </c>
      <c r="J270">
        <v>57</v>
      </c>
      <c r="M270">
        <v>220</v>
      </c>
      <c r="N270">
        <v>471</v>
      </c>
      <c r="O270">
        <v>74456936.93693693</v>
      </c>
      <c r="P270">
        <v>43348648.648648657</v>
      </c>
      <c r="Q270">
        <v>1103</v>
      </c>
      <c r="R270">
        <v>4459</v>
      </c>
      <c r="S270">
        <v>266859076.57657659</v>
      </c>
      <c r="T270">
        <v>286608440.54054052</v>
      </c>
      <c r="U270">
        <v>71793063.063063055</v>
      </c>
      <c r="V270">
        <v>65663243.243243247</v>
      </c>
      <c r="W270">
        <v>21328</v>
      </c>
      <c r="X270">
        <v>20518</v>
      </c>
    </row>
    <row r="271" spans="1:24">
      <c r="A271" s="7" t="s">
        <v>366</v>
      </c>
      <c r="B271" s="16" t="s">
        <v>293</v>
      </c>
      <c r="C271">
        <v>492820645.34483171</v>
      </c>
      <c r="D271">
        <v>448730963.87689561</v>
      </c>
      <c r="E271">
        <v>42370641.441441447</v>
      </c>
      <c r="F271">
        <v>63823603.603603601</v>
      </c>
      <c r="G271">
        <v>131</v>
      </c>
      <c r="H271">
        <v>270</v>
      </c>
      <c r="I271">
        <v>20</v>
      </c>
      <c r="J271">
        <v>23</v>
      </c>
      <c r="K271">
        <v>2</v>
      </c>
      <c r="M271">
        <v>159</v>
      </c>
      <c r="N271">
        <v>359</v>
      </c>
      <c r="O271">
        <v>50627657.657657653</v>
      </c>
      <c r="P271">
        <v>47960900.9009009</v>
      </c>
      <c r="Q271">
        <v>27</v>
      </c>
      <c r="R271">
        <v>53</v>
      </c>
      <c r="S271">
        <v>153307790.99099097</v>
      </c>
      <c r="T271">
        <v>147463346.84684685</v>
      </c>
      <c r="U271">
        <v>45560000</v>
      </c>
      <c r="V271">
        <v>52345135.135135137</v>
      </c>
      <c r="W271">
        <v>11331</v>
      </c>
      <c r="X271">
        <v>11131</v>
      </c>
    </row>
    <row r="272" spans="1:24">
      <c r="A272" s="7" t="s">
        <v>367</v>
      </c>
      <c r="B272" s="16" t="s">
        <v>368</v>
      </c>
      <c r="C272">
        <v>208320901.28270486</v>
      </c>
      <c r="D272">
        <v>188747340.71419296</v>
      </c>
      <c r="E272">
        <v>53585315.315315314</v>
      </c>
      <c r="F272">
        <v>55000000</v>
      </c>
      <c r="G272">
        <v>34</v>
      </c>
      <c r="H272">
        <v>38</v>
      </c>
      <c r="I272">
        <v>8</v>
      </c>
      <c r="J272">
        <v>9</v>
      </c>
      <c r="K272">
        <v>1</v>
      </c>
      <c r="M272">
        <v>38</v>
      </c>
      <c r="N272">
        <v>43</v>
      </c>
      <c r="O272">
        <v>26916396.396396391</v>
      </c>
      <c r="P272">
        <v>52905945.945945941</v>
      </c>
      <c r="Q272">
        <v>211</v>
      </c>
      <c r="R272">
        <v>70</v>
      </c>
      <c r="S272">
        <v>85687322.522522524</v>
      </c>
      <c r="T272">
        <v>80285036.036036029</v>
      </c>
      <c r="U272">
        <v>26544234.234234229</v>
      </c>
      <c r="V272">
        <v>55471441.441441439</v>
      </c>
      <c r="W272">
        <v>4041</v>
      </c>
      <c r="X272">
        <v>3796</v>
      </c>
    </row>
    <row r="273" spans="1:24">
      <c r="A273" s="7" t="s">
        <v>369</v>
      </c>
      <c r="B273" s="16" t="s">
        <v>70</v>
      </c>
      <c r="C273">
        <v>54433820.356566191</v>
      </c>
      <c r="D273">
        <v>55234242.198386759</v>
      </c>
      <c r="E273">
        <v>1216891.8918918921</v>
      </c>
      <c r="F273">
        <v>2053153.1531531559</v>
      </c>
      <c r="G273">
        <v>17</v>
      </c>
      <c r="H273">
        <v>40</v>
      </c>
      <c r="I273">
        <v>2</v>
      </c>
      <c r="J273">
        <v>6</v>
      </c>
      <c r="M273">
        <v>18</v>
      </c>
      <c r="N273">
        <v>49</v>
      </c>
      <c r="O273">
        <v>10517567.567567568</v>
      </c>
      <c r="P273">
        <v>12777477.477477476</v>
      </c>
      <c r="R273">
        <v>37</v>
      </c>
      <c r="S273">
        <v>17820765.765765764</v>
      </c>
      <c r="T273">
        <v>19072216.216216218</v>
      </c>
      <c r="U273">
        <v>9013153.1531531531</v>
      </c>
      <c r="V273">
        <v>12064324.324324325</v>
      </c>
      <c r="W273">
        <v>1186</v>
      </c>
      <c r="X273">
        <v>1214</v>
      </c>
    </row>
    <row r="274" spans="1:24">
      <c r="A274" s="7" t="s">
        <v>370</v>
      </c>
      <c r="B274" s="16" t="s">
        <v>50</v>
      </c>
      <c r="C274">
        <v>110558927.70087405</v>
      </c>
      <c r="D274">
        <v>115649607.23266658</v>
      </c>
      <c r="E274">
        <v>487387.38738738798</v>
      </c>
      <c r="F274">
        <v>1101801.8018018031</v>
      </c>
      <c r="G274">
        <v>18</v>
      </c>
      <c r="H274">
        <v>24</v>
      </c>
      <c r="I274">
        <v>1</v>
      </c>
      <c r="J274">
        <v>7</v>
      </c>
      <c r="M274">
        <v>21</v>
      </c>
      <c r="N274">
        <v>27</v>
      </c>
      <c r="O274">
        <v>8794774.7747747749</v>
      </c>
      <c r="P274">
        <v>10023693.693693692</v>
      </c>
      <c r="Q274">
        <v>11</v>
      </c>
      <c r="R274">
        <v>9</v>
      </c>
      <c r="S274">
        <v>51687783.783783786</v>
      </c>
      <c r="T274">
        <v>52138612.612612613</v>
      </c>
      <c r="U274">
        <v>9120990.9909909926</v>
      </c>
      <c r="V274">
        <v>8217207.2072072066</v>
      </c>
      <c r="W274">
        <v>2664</v>
      </c>
      <c r="X274">
        <v>2705</v>
      </c>
    </row>
    <row r="275" spans="1:24">
      <c r="A275" s="7" t="s">
        <v>371</v>
      </c>
      <c r="B275" s="16" t="s">
        <v>121</v>
      </c>
      <c r="C275">
        <v>120464353.80871589</v>
      </c>
      <c r="D275">
        <v>113723239.66293259</v>
      </c>
      <c r="E275">
        <v>134234.23423423499</v>
      </c>
      <c r="F275">
        <v>796396.39639639703</v>
      </c>
      <c r="G275">
        <v>43</v>
      </c>
      <c r="H275">
        <v>51</v>
      </c>
      <c r="I275">
        <v>7</v>
      </c>
      <c r="J275">
        <v>5</v>
      </c>
      <c r="M275">
        <v>50</v>
      </c>
      <c r="N275">
        <v>62</v>
      </c>
      <c r="O275">
        <v>3080180.1801801799</v>
      </c>
      <c r="P275">
        <v>5774774.7747747749</v>
      </c>
      <c r="Q275">
        <v>40</v>
      </c>
      <c r="R275">
        <v>18</v>
      </c>
      <c r="S275">
        <v>11095855.855855856</v>
      </c>
      <c r="T275">
        <v>12262081.081081079</v>
      </c>
      <c r="U275">
        <v>1651351.3513513519</v>
      </c>
      <c r="V275">
        <v>4120270.2702702698</v>
      </c>
      <c r="W275">
        <v>2817</v>
      </c>
      <c r="X275">
        <v>2610</v>
      </c>
    </row>
    <row r="276" spans="1:24">
      <c r="A276" s="7" t="s">
        <v>372</v>
      </c>
      <c r="B276" s="16" t="s">
        <v>373</v>
      </c>
      <c r="C276">
        <v>301207474.07984817</v>
      </c>
      <c r="D276">
        <v>257844452.28804159</v>
      </c>
      <c r="E276">
        <v>47858292.79279279</v>
      </c>
      <c r="F276">
        <v>31661379.27927928</v>
      </c>
      <c r="G276">
        <v>422</v>
      </c>
      <c r="H276">
        <v>37</v>
      </c>
      <c r="I276">
        <v>21</v>
      </c>
      <c r="J276">
        <v>6</v>
      </c>
      <c r="K276">
        <v>1</v>
      </c>
      <c r="M276">
        <v>448</v>
      </c>
      <c r="N276">
        <v>44</v>
      </c>
      <c r="O276">
        <v>45358288.288288288</v>
      </c>
      <c r="P276">
        <v>43774324.324324317</v>
      </c>
      <c r="Q276">
        <v>34</v>
      </c>
      <c r="R276">
        <v>41</v>
      </c>
      <c r="S276">
        <v>121259038.73873873</v>
      </c>
      <c r="T276">
        <v>97218216.216216221</v>
      </c>
      <c r="U276">
        <v>56008962.162162162</v>
      </c>
      <c r="V276">
        <v>46971801.801801801</v>
      </c>
      <c r="W276">
        <v>9742</v>
      </c>
      <c r="X276">
        <v>9785</v>
      </c>
    </row>
    <row r="277" spans="1:24">
      <c r="A277" s="7" t="s">
        <v>374</v>
      </c>
      <c r="B277" s="16" t="s">
        <v>66</v>
      </c>
      <c r="C277">
        <v>191373643.0344069</v>
      </c>
      <c r="D277">
        <v>192547546.82687926</v>
      </c>
      <c r="E277">
        <v>1338288.288288289</v>
      </c>
      <c r="F277">
        <v>8255855.8558558607</v>
      </c>
      <c r="G277">
        <v>81</v>
      </c>
      <c r="H277">
        <v>69</v>
      </c>
      <c r="I277">
        <v>10</v>
      </c>
      <c r="J277">
        <v>12</v>
      </c>
      <c r="M277">
        <v>100</v>
      </c>
      <c r="N277">
        <v>91</v>
      </c>
      <c r="O277">
        <v>34302882.882882886</v>
      </c>
      <c r="P277">
        <v>180035135.13513514</v>
      </c>
      <c r="Q277">
        <v>477</v>
      </c>
      <c r="R277">
        <v>1120</v>
      </c>
      <c r="S277">
        <v>68961108.108108118</v>
      </c>
      <c r="T277">
        <v>70276576.576576576</v>
      </c>
      <c r="U277">
        <v>31630360.360360362</v>
      </c>
      <c r="V277">
        <v>125866396.3963964</v>
      </c>
      <c r="W277">
        <v>6996</v>
      </c>
      <c r="X277">
        <v>7589</v>
      </c>
    </row>
    <row r="278" spans="1:24">
      <c r="A278" s="7" t="s">
        <v>375</v>
      </c>
      <c r="B278" s="16" t="s">
        <v>354</v>
      </c>
      <c r="C278">
        <v>303180881.53094262</v>
      </c>
      <c r="D278">
        <v>289594422.39861262</v>
      </c>
      <c r="E278">
        <v>1444819.8198198201</v>
      </c>
      <c r="F278">
        <v>2580180.1801801831</v>
      </c>
      <c r="G278">
        <v>494</v>
      </c>
      <c r="H278">
        <v>418</v>
      </c>
      <c r="I278">
        <v>7</v>
      </c>
      <c r="J278">
        <v>7</v>
      </c>
      <c r="M278">
        <v>509</v>
      </c>
      <c r="N278">
        <v>428</v>
      </c>
      <c r="O278">
        <v>51107747.747747742</v>
      </c>
      <c r="P278">
        <v>61393603.603603601</v>
      </c>
      <c r="Q278">
        <v>179</v>
      </c>
      <c r="R278">
        <v>259</v>
      </c>
      <c r="S278">
        <v>180007918.91891891</v>
      </c>
      <c r="T278">
        <v>178790198.1981982</v>
      </c>
      <c r="U278">
        <v>55211171.171171166</v>
      </c>
      <c r="V278">
        <v>64039279.279279277</v>
      </c>
      <c r="W278">
        <v>7146</v>
      </c>
      <c r="X278">
        <v>6778</v>
      </c>
    </row>
    <row r="279" spans="1:24">
      <c r="A279" s="7" t="s">
        <v>376</v>
      </c>
      <c r="B279" s="16" t="s">
        <v>66</v>
      </c>
      <c r="C279">
        <v>103882988.41040538</v>
      </c>
      <c r="D279">
        <v>111310853.63861202</v>
      </c>
      <c r="E279">
        <v>40540.540540542002</v>
      </c>
      <c r="F279">
        <v>1124324.3243243259</v>
      </c>
      <c r="G279">
        <v>38</v>
      </c>
      <c r="H279">
        <v>49</v>
      </c>
      <c r="I279">
        <v>4</v>
      </c>
      <c r="J279">
        <v>5</v>
      </c>
      <c r="M279">
        <v>53</v>
      </c>
      <c r="N279">
        <v>58</v>
      </c>
      <c r="O279">
        <v>8225315.3153153136</v>
      </c>
      <c r="P279">
        <v>9297297.2972972952</v>
      </c>
      <c r="Q279">
        <v>135</v>
      </c>
      <c r="R279">
        <v>98</v>
      </c>
      <c r="S279">
        <v>45957133.333333336</v>
      </c>
      <c r="T279">
        <v>52411590.090090089</v>
      </c>
      <c r="U279">
        <v>13448018.018018017</v>
      </c>
      <c r="V279">
        <v>12517837.837837836</v>
      </c>
      <c r="W279">
        <v>4841</v>
      </c>
      <c r="X279">
        <v>5058</v>
      </c>
    </row>
    <row r="280" spans="1:24">
      <c r="A280" s="7" t="s">
        <v>377</v>
      </c>
      <c r="B280" s="16" t="s">
        <v>260</v>
      </c>
      <c r="C280">
        <v>100355936.29505205</v>
      </c>
      <c r="D280">
        <v>93424730.015939623</v>
      </c>
      <c r="E280">
        <v>182882.88288288299</v>
      </c>
      <c r="F280">
        <v>13513.513513514001</v>
      </c>
      <c r="G280">
        <v>6</v>
      </c>
      <c r="H280">
        <v>8</v>
      </c>
      <c r="I280">
        <v>1</v>
      </c>
      <c r="J280">
        <v>0</v>
      </c>
      <c r="M280">
        <v>6</v>
      </c>
      <c r="N280">
        <v>8</v>
      </c>
      <c r="O280">
        <v>3606306.3063063072</v>
      </c>
      <c r="P280">
        <v>6454954.9549549539</v>
      </c>
      <c r="Q280">
        <v>3</v>
      </c>
      <c r="R280">
        <v>1</v>
      </c>
      <c r="S280">
        <v>16012252.252252253</v>
      </c>
      <c r="T280">
        <v>15566954.954954956</v>
      </c>
      <c r="U280">
        <v>7086666.666666666</v>
      </c>
      <c r="V280">
        <v>2836756.7567567569</v>
      </c>
      <c r="W280">
        <v>1723</v>
      </c>
      <c r="X280">
        <v>1648</v>
      </c>
    </row>
    <row r="281" spans="1:24">
      <c r="A281" s="7" t="s">
        <v>378</v>
      </c>
      <c r="B281" s="16" t="s">
        <v>354</v>
      </c>
      <c r="C281">
        <v>253034462.7751382</v>
      </c>
      <c r="D281">
        <v>241366695.55059651</v>
      </c>
      <c r="E281">
        <v>2166216.2162162182</v>
      </c>
      <c r="F281">
        <v>3390990.9909909931</v>
      </c>
      <c r="G281">
        <v>49</v>
      </c>
      <c r="H281">
        <v>55</v>
      </c>
      <c r="I281">
        <v>3</v>
      </c>
      <c r="J281">
        <v>7</v>
      </c>
      <c r="M281">
        <v>51</v>
      </c>
      <c r="N281">
        <v>57</v>
      </c>
      <c r="O281">
        <v>58861081.081081077</v>
      </c>
      <c r="P281">
        <v>42539549.54954955</v>
      </c>
      <c r="Q281">
        <v>145</v>
      </c>
      <c r="R281">
        <v>33</v>
      </c>
      <c r="S281">
        <v>129281936.93693694</v>
      </c>
      <c r="T281">
        <v>135075554.95495495</v>
      </c>
      <c r="U281">
        <v>55406126.126126125</v>
      </c>
      <c r="V281">
        <v>43495315.315315314</v>
      </c>
      <c r="W281">
        <v>4753</v>
      </c>
      <c r="X281">
        <v>4827</v>
      </c>
    </row>
    <row r="282" spans="1:24">
      <c r="A282" s="7" t="s">
        <v>379</v>
      </c>
      <c r="B282" s="16" t="s">
        <v>87</v>
      </c>
      <c r="C282">
        <v>5054669.7029377967</v>
      </c>
      <c r="D282">
        <v>6663914.9380085748</v>
      </c>
      <c r="H282">
        <v>2</v>
      </c>
      <c r="N282">
        <v>3</v>
      </c>
      <c r="S282">
        <v>163738.73873873899</v>
      </c>
      <c r="T282">
        <v>340675.67567567597</v>
      </c>
      <c r="W282">
        <v>166</v>
      </c>
      <c r="X282">
        <v>150</v>
      </c>
    </row>
    <row r="283" spans="1:24">
      <c r="A283" s="7" t="s">
        <v>380</v>
      </c>
      <c r="B283" s="16" t="s">
        <v>87</v>
      </c>
      <c r="C283">
        <v>21261516.436404355</v>
      </c>
      <c r="D283">
        <v>9450754.7721424848</v>
      </c>
      <c r="E283">
        <v>18018.018018018</v>
      </c>
      <c r="G283">
        <v>176</v>
      </c>
      <c r="H283">
        <v>18</v>
      </c>
      <c r="I283">
        <v>1</v>
      </c>
      <c r="M283">
        <v>178</v>
      </c>
      <c r="N283">
        <v>21</v>
      </c>
      <c r="O283">
        <v>85585.585585585999</v>
      </c>
      <c r="Q283">
        <v>3</v>
      </c>
      <c r="S283">
        <v>4069819.8198198201</v>
      </c>
      <c r="T283">
        <v>1140369.369369369</v>
      </c>
      <c r="U283">
        <v>79279.279279278999</v>
      </c>
      <c r="W283">
        <v>533</v>
      </c>
      <c r="X283">
        <v>350</v>
      </c>
    </row>
    <row r="284" spans="1:24">
      <c r="A284" s="7" t="s">
        <v>381</v>
      </c>
      <c r="B284" s="16" t="s">
        <v>80</v>
      </c>
      <c r="C284">
        <v>1669453747.7663062</v>
      </c>
      <c r="D284">
        <v>1638929390.274153</v>
      </c>
      <c r="E284">
        <v>1245816628.8288288</v>
      </c>
      <c r="F284">
        <v>806713913.51351345</v>
      </c>
      <c r="G284">
        <v>490</v>
      </c>
      <c r="H284">
        <v>616</v>
      </c>
      <c r="I284">
        <v>60</v>
      </c>
      <c r="J284">
        <v>58</v>
      </c>
      <c r="K284">
        <v>1</v>
      </c>
      <c r="M284">
        <v>584</v>
      </c>
      <c r="N284">
        <v>771</v>
      </c>
      <c r="O284">
        <v>200226126.12612611</v>
      </c>
      <c r="P284">
        <v>205400900.9009009</v>
      </c>
      <c r="Q284">
        <v>427</v>
      </c>
      <c r="R284">
        <v>639</v>
      </c>
      <c r="S284">
        <v>405915771.17117119</v>
      </c>
      <c r="T284">
        <v>425149486.93693697</v>
      </c>
      <c r="U284">
        <v>174771891.89189187</v>
      </c>
      <c r="V284">
        <v>171680900.9009009</v>
      </c>
      <c r="W284">
        <v>36796</v>
      </c>
      <c r="X284">
        <v>36285</v>
      </c>
    </row>
    <row r="285" spans="1:24">
      <c r="A285" s="7" t="s">
        <v>382</v>
      </c>
      <c r="B285" s="16" t="s">
        <v>80</v>
      </c>
      <c r="C285">
        <v>444588493.47434062</v>
      </c>
      <c r="D285">
        <v>449576894.54479456</v>
      </c>
      <c r="E285">
        <v>3483783.7837837832</v>
      </c>
      <c r="F285">
        <v>5399324.3243243294</v>
      </c>
      <c r="G285">
        <v>119</v>
      </c>
      <c r="H285">
        <v>138</v>
      </c>
      <c r="I285">
        <v>14</v>
      </c>
      <c r="J285">
        <v>15</v>
      </c>
      <c r="K285">
        <v>1</v>
      </c>
      <c r="M285">
        <v>141</v>
      </c>
      <c r="N285">
        <v>203</v>
      </c>
      <c r="O285">
        <v>88508378.378378361</v>
      </c>
      <c r="P285">
        <v>86816216.216216207</v>
      </c>
      <c r="Q285">
        <v>200</v>
      </c>
      <c r="R285">
        <v>174</v>
      </c>
      <c r="S285">
        <v>184754120.72072071</v>
      </c>
      <c r="T285">
        <v>185209645.4954955</v>
      </c>
      <c r="U285">
        <v>82896576.576576576</v>
      </c>
      <c r="V285">
        <v>76138147.747747749</v>
      </c>
      <c r="W285">
        <v>10198</v>
      </c>
      <c r="X285">
        <v>9736</v>
      </c>
    </row>
    <row r="286" spans="1:24">
      <c r="A286" s="7" t="s">
        <v>383</v>
      </c>
      <c r="B286" s="16" t="s">
        <v>80</v>
      </c>
      <c r="C286">
        <v>622175466.58844364</v>
      </c>
      <c r="D286">
        <v>568126999.80605185</v>
      </c>
      <c r="E286">
        <v>67792.792792794004</v>
      </c>
      <c r="F286">
        <v>595114.41441441595</v>
      </c>
      <c r="G286">
        <v>131</v>
      </c>
      <c r="H286">
        <v>79</v>
      </c>
      <c r="I286">
        <v>2</v>
      </c>
      <c r="J286">
        <v>3</v>
      </c>
      <c r="M286">
        <v>147</v>
      </c>
      <c r="N286">
        <v>90</v>
      </c>
      <c r="O286">
        <v>26223603.603603605</v>
      </c>
      <c r="P286">
        <v>25467617.117117114</v>
      </c>
      <c r="Q286">
        <v>30</v>
      </c>
      <c r="R286">
        <v>7</v>
      </c>
      <c r="S286">
        <v>114428057.65765767</v>
      </c>
      <c r="T286">
        <v>114582189.18918918</v>
      </c>
      <c r="U286">
        <v>25614684.684684686</v>
      </c>
      <c r="V286">
        <v>30784594.594594598</v>
      </c>
      <c r="W286">
        <v>9957</v>
      </c>
      <c r="X286">
        <v>8885</v>
      </c>
    </row>
    <row r="287" spans="1:24">
      <c r="A287" s="7" t="s">
        <v>384</v>
      </c>
      <c r="B287" s="16" t="s">
        <v>68</v>
      </c>
      <c r="C287">
        <v>246835687.21414918</v>
      </c>
      <c r="D287">
        <v>249517421.78086558</v>
      </c>
      <c r="E287">
        <v>86832313.51351352</v>
      </c>
      <c r="F287">
        <v>73371467.567567572</v>
      </c>
      <c r="G287">
        <v>74</v>
      </c>
      <c r="H287">
        <v>55</v>
      </c>
      <c r="I287">
        <v>4</v>
      </c>
      <c r="J287">
        <v>1</v>
      </c>
      <c r="M287">
        <v>83</v>
      </c>
      <c r="N287">
        <v>60</v>
      </c>
      <c r="O287">
        <v>13055855.855855852</v>
      </c>
      <c r="P287">
        <v>10130180.180180181</v>
      </c>
      <c r="Q287">
        <v>75</v>
      </c>
      <c r="R287">
        <v>41</v>
      </c>
      <c r="S287">
        <v>33400702.702702705</v>
      </c>
      <c r="T287">
        <v>35810891.891891889</v>
      </c>
      <c r="U287">
        <v>12032252.252252256</v>
      </c>
      <c r="V287">
        <v>8825405.405405404</v>
      </c>
      <c r="W287">
        <v>4953</v>
      </c>
      <c r="X287">
        <v>4908</v>
      </c>
    </row>
    <row r="288" spans="1:24">
      <c r="A288" s="7" t="s">
        <v>385</v>
      </c>
      <c r="B288" s="16" t="s">
        <v>167</v>
      </c>
      <c r="C288">
        <v>89560094.417395636</v>
      </c>
      <c r="D288">
        <v>88676621.895744562</v>
      </c>
      <c r="E288">
        <v>25225.225225227001</v>
      </c>
      <c r="F288">
        <v>1697297.2972972989</v>
      </c>
      <c r="G288">
        <v>39</v>
      </c>
      <c r="H288">
        <v>33</v>
      </c>
      <c r="I288">
        <v>5</v>
      </c>
      <c r="J288">
        <v>7</v>
      </c>
      <c r="M288">
        <v>45</v>
      </c>
      <c r="N288">
        <v>40</v>
      </c>
      <c r="O288">
        <v>8675675.6756756753</v>
      </c>
      <c r="P288">
        <v>21730696.396396395</v>
      </c>
      <c r="Q288">
        <v>45</v>
      </c>
      <c r="R288">
        <v>17</v>
      </c>
      <c r="S288">
        <v>36743106.306306303</v>
      </c>
      <c r="T288">
        <v>37115153.153153151</v>
      </c>
      <c r="U288">
        <v>13492702.702702705</v>
      </c>
      <c r="V288">
        <v>20017477.47747748</v>
      </c>
      <c r="W288">
        <v>2449</v>
      </c>
      <c r="X288">
        <v>2292</v>
      </c>
    </row>
    <row r="289" spans="1:24">
      <c r="A289" s="7" t="s">
        <v>386</v>
      </c>
      <c r="B289" s="16" t="s">
        <v>94</v>
      </c>
      <c r="C289">
        <v>494837109.76757902</v>
      </c>
      <c r="D289">
        <v>500628982.96808892</v>
      </c>
      <c r="E289">
        <v>1264864.8648648651</v>
      </c>
      <c r="F289">
        <v>657657.65765765903</v>
      </c>
      <c r="G289">
        <v>108</v>
      </c>
      <c r="H289">
        <v>112</v>
      </c>
      <c r="I289">
        <v>5</v>
      </c>
      <c r="J289">
        <v>8</v>
      </c>
      <c r="K289">
        <v>2</v>
      </c>
      <c r="M289">
        <v>119</v>
      </c>
      <c r="N289">
        <v>123</v>
      </c>
      <c r="O289">
        <v>16114414.414414411</v>
      </c>
      <c r="P289">
        <v>19288288.288288288</v>
      </c>
      <c r="Q289">
        <v>33</v>
      </c>
      <c r="R289">
        <v>144</v>
      </c>
      <c r="S289">
        <v>52087248.648648649</v>
      </c>
      <c r="T289">
        <v>60785045.045045048</v>
      </c>
      <c r="U289">
        <v>12124684.684684685</v>
      </c>
      <c r="V289">
        <v>15511351.351351352</v>
      </c>
      <c r="W289">
        <v>8266</v>
      </c>
      <c r="X289">
        <v>8350</v>
      </c>
    </row>
    <row r="290" spans="1:24">
      <c r="A290" s="7" t="s">
        <v>387</v>
      </c>
      <c r="B290" s="16" t="s">
        <v>214</v>
      </c>
      <c r="C290">
        <v>86646514.748276219</v>
      </c>
      <c r="D290">
        <v>89702296.924331367</v>
      </c>
      <c r="E290">
        <v>17117.117117116999</v>
      </c>
      <c r="F290">
        <v>1049549.5495495501</v>
      </c>
      <c r="G290">
        <v>30</v>
      </c>
      <c r="H290">
        <v>38</v>
      </c>
      <c r="I290">
        <v>0</v>
      </c>
      <c r="J290">
        <v>1</v>
      </c>
      <c r="M290">
        <v>32</v>
      </c>
      <c r="N290">
        <v>41</v>
      </c>
      <c r="O290">
        <v>107207.207207207</v>
      </c>
      <c r="P290">
        <v>2851351.351351351</v>
      </c>
      <c r="S290">
        <v>39993873.873873875</v>
      </c>
      <c r="T290">
        <v>42957108.108108111</v>
      </c>
      <c r="U290">
        <v>22072.072072071998</v>
      </c>
      <c r="V290">
        <v>1981531.5315315309</v>
      </c>
      <c r="W290">
        <v>2299</v>
      </c>
      <c r="X290">
        <v>2245</v>
      </c>
    </row>
    <row r="291" spans="1:24">
      <c r="A291" s="7" t="s">
        <v>388</v>
      </c>
      <c r="B291" s="16" t="s">
        <v>117</v>
      </c>
      <c r="C291">
        <v>37630856.031384945</v>
      </c>
      <c r="D291">
        <v>35891211.725050427</v>
      </c>
      <c r="E291">
        <v>51351.351351352998</v>
      </c>
      <c r="F291">
        <v>534234.23423423304</v>
      </c>
      <c r="G291">
        <v>25</v>
      </c>
      <c r="H291">
        <v>20</v>
      </c>
      <c r="I291">
        <v>6</v>
      </c>
      <c r="J291">
        <v>8</v>
      </c>
      <c r="M291">
        <v>29</v>
      </c>
      <c r="N291">
        <v>27</v>
      </c>
      <c r="O291">
        <v>2274182.8828828819</v>
      </c>
      <c r="P291">
        <v>9137953.1531531531</v>
      </c>
      <c r="S291">
        <v>17510630.630630631</v>
      </c>
      <c r="T291">
        <v>16550504.504504504</v>
      </c>
      <c r="U291">
        <v>1831081.0810810779</v>
      </c>
      <c r="V291">
        <v>6896306.3063063063</v>
      </c>
      <c r="W291">
        <v>1886</v>
      </c>
      <c r="X291">
        <v>1599</v>
      </c>
    </row>
    <row r="292" spans="1:24">
      <c r="A292" s="7" t="s">
        <v>389</v>
      </c>
      <c r="B292" s="16" t="s">
        <v>315</v>
      </c>
      <c r="C292">
        <v>162898130.42271051</v>
      </c>
      <c r="D292">
        <v>156386968.38274351</v>
      </c>
      <c r="E292">
        <v>2891441.4414414419</v>
      </c>
      <c r="F292">
        <v>381081.08108108101</v>
      </c>
      <c r="G292">
        <v>23</v>
      </c>
      <c r="H292">
        <v>16</v>
      </c>
      <c r="I292">
        <v>0</v>
      </c>
      <c r="J292">
        <v>1</v>
      </c>
      <c r="M292">
        <v>24</v>
      </c>
      <c r="N292">
        <v>17</v>
      </c>
      <c r="O292">
        <v>9332882.8828828819</v>
      </c>
      <c r="P292">
        <v>7408108.1081081079</v>
      </c>
      <c r="S292">
        <v>32390000</v>
      </c>
      <c r="T292">
        <v>32279153.153153151</v>
      </c>
      <c r="U292">
        <v>7347837.8378378376</v>
      </c>
      <c r="V292">
        <v>6764684.6846846854</v>
      </c>
      <c r="W292">
        <v>2785</v>
      </c>
      <c r="X292">
        <v>2573</v>
      </c>
    </row>
    <row r="293" spans="1:24">
      <c r="A293" s="7" t="s">
        <v>390</v>
      </c>
      <c r="B293" s="16" t="s">
        <v>224</v>
      </c>
      <c r="C293">
        <v>85063621.962648958</v>
      </c>
      <c r="D293">
        <v>67556687.228693292</v>
      </c>
      <c r="G293">
        <v>55</v>
      </c>
      <c r="H293">
        <v>6</v>
      </c>
      <c r="M293">
        <v>56</v>
      </c>
      <c r="N293">
        <v>6</v>
      </c>
      <c r="S293">
        <v>15905756.756756756</v>
      </c>
      <c r="T293">
        <v>12493603.603603603</v>
      </c>
      <c r="W293">
        <v>1560</v>
      </c>
      <c r="X293">
        <v>1407</v>
      </c>
    </row>
    <row r="294" spans="1:24">
      <c r="A294" s="7" t="s">
        <v>6</v>
      </c>
      <c r="B294" s="16" t="s">
        <v>193</v>
      </c>
      <c r="C294">
        <v>583861193.41758513</v>
      </c>
      <c r="D294">
        <v>565229301.24378276</v>
      </c>
      <c r="E294">
        <v>6510360.3603603533</v>
      </c>
      <c r="F294">
        <v>6307681.9819819899</v>
      </c>
      <c r="G294">
        <v>394</v>
      </c>
      <c r="H294">
        <v>307</v>
      </c>
      <c r="I294">
        <v>24</v>
      </c>
      <c r="J294">
        <v>16</v>
      </c>
      <c r="K294">
        <v>2</v>
      </c>
      <c r="M294">
        <v>946</v>
      </c>
      <c r="N294">
        <v>777</v>
      </c>
      <c r="O294">
        <v>223324774.77477479</v>
      </c>
      <c r="P294">
        <v>220271291.8918919</v>
      </c>
      <c r="Q294">
        <v>433</v>
      </c>
      <c r="R294">
        <v>319</v>
      </c>
      <c r="S294">
        <v>388610630.63063067</v>
      </c>
      <c r="T294">
        <v>384471873.87387383</v>
      </c>
      <c r="U294">
        <v>197118828.82882884</v>
      </c>
      <c r="V294">
        <v>184526666.66666666</v>
      </c>
      <c r="W294">
        <v>13497</v>
      </c>
      <c r="X294">
        <v>13275</v>
      </c>
    </row>
    <row r="295" spans="1:24">
      <c r="A295" s="7" t="s">
        <v>391</v>
      </c>
      <c r="B295" s="16" t="s">
        <v>121</v>
      </c>
      <c r="C295">
        <v>20714717.416426759</v>
      </c>
      <c r="D295">
        <v>25551790.578944083</v>
      </c>
      <c r="E295">
        <v>9009.0090090089998</v>
      </c>
      <c r="G295">
        <v>16</v>
      </c>
      <c r="H295">
        <v>9</v>
      </c>
      <c r="M295">
        <v>16</v>
      </c>
      <c r="N295">
        <v>9</v>
      </c>
      <c r="O295">
        <v>90090.090090090001</v>
      </c>
      <c r="Q295">
        <v>9</v>
      </c>
      <c r="S295">
        <v>1277927.927927928</v>
      </c>
      <c r="T295">
        <v>1343018.018018018</v>
      </c>
      <c r="U295">
        <v>81081.081081081007</v>
      </c>
      <c r="W295">
        <v>530</v>
      </c>
      <c r="X295">
        <v>514</v>
      </c>
    </row>
    <row r="296" spans="1:24">
      <c r="A296" s="7" t="s">
        <v>392</v>
      </c>
      <c r="B296" s="16" t="s">
        <v>134</v>
      </c>
      <c r="C296">
        <v>78208036.146565124</v>
      </c>
      <c r="D296">
        <v>74801350.037332758</v>
      </c>
      <c r="E296">
        <v>3603.603603604</v>
      </c>
      <c r="F296">
        <v>67567.567567567996</v>
      </c>
      <c r="G296">
        <v>25</v>
      </c>
      <c r="H296">
        <v>22</v>
      </c>
      <c r="I296">
        <v>1</v>
      </c>
      <c r="J296">
        <v>1</v>
      </c>
      <c r="M296">
        <v>30</v>
      </c>
      <c r="N296">
        <v>26</v>
      </c>
      <c r="O296">
        <v>7814414.4144144142</v>
      </c>
      <c r="P296">
        <v>5310810.81081081</v>
      </c>
      <c r="Q296">
        <v>84</v>
      </c>
      <c r="S296">
        <v>15734394.594594596</v>
      </c>
      <c r="T296">
        <v>14827781.981981983</v>
      </c>
      <c r="U296">
        <v>2832342.3423423432</v>
      </c>
      <c r="V296">
        <v>1631441.4414414419</v>
      </c>
      <c r="W296">
        <v>3415</v>
      </c>
      <c r="X296">
        <v>3419</v>
      </c>
    </row>
    <row r="297" spans="1:24">
      <c r="A297" s="7" t="s">
        <v>393</v>
      </c>
      <c r="B297" s="16" t="s">
        <v>58</v>
      </c>
      <c r="C297">
        <v>385237612.92235458</v>
      </c>
      <c r="D297">
        <v>369665144.33628732</v>
      </c>
      <c r="E297">
        <v>9992567.5675675701</v>
      </c>
      <c r="F297">
        <v>10959234.234234238</v>
      </c>
      <c r="G297">
        <v>164</v>
      </c>
      <c r="H297">
        <v>124</v>
      </c>
      <c r="I297">
        <v>18</v>
      </c>
      <c r="J297">
        <v>20</v>
      </c>
      <c r="K297">
        <v>1</v>
      </c>
      <c r="M297">
        <v>185</v>
      </c>
      <c r="N297">
        <v>161</v>
      </c>
      <c r="O297">
        <v>49977027.027027026</v>
      </c>
      <c r="P297">
        <v>34476576.576576583</v>
      </c>
      <c r="Q297">
        <v>253</v>
      </c>
      <c r="R297">
        <v>44</v>
      </c>
      <c r="S297">
        <v>59144432.432432435</v>
      </c>
      <c r="T297">
        <v>60040900.9009009</v>
      </c>
      <c r="U297">
        <v>41959459.459459461</v>
      </c>
      <c r="V297">
        <v>35424414.414414413</v>
      </c>
      <c r="W297">
        <v>8838</v>
      </c>
      <c r="X297">
        <v>9058</v>
      </c>
    </row>
    <row r="298" spans="1:24">
      <c r="A298" s="7" t="s">
        <v>394</v>
      </c>
      <c r="B298" s="16" t="s">
        <v>134</v>
      </c>
      <c r="C298">
        <v>136709839.32125428</v>
      </c>
      <c r="D298">
        <v>126954483.65568435</v>
      </c>
      <c r="E298">
        <v>46171.171171173002</v>
      </c>
      <c r="F298">
        <v>658558.55855855905</v>
      </c>
      <c r="G298">
        <v>26</v>
      </c>
      <c r="H298">
        <v>25</v>
      </c>
      <c r="I298">
        <v>6</v>
      </c>
      <c r="J298">
        <v>6</v>
      </c>
      <c r="M298">
        <v>28</v>
      </c>
      <c r="N298">
        <v>29</v>
      </c>
      <c r="O298">
        <v>13136936.936936935</v>
      </c>
      <c r="P298">
        <v>18554954.954954952</v>
      </c>
      <c r="Q298">
        <v>180</v>
      </c>
      <c r="R298">
        <v>101</v>
      </c>
      <c r="S298">
        <v>24607745.945945945</v>
      </c>
      <c r="T298">
        <v>23835801.801801801</v>
      </c>
      <c r="U298">
        <v>10059819.819819819</v>
      </c>
      <c r="V298">
        <v>11673423.423423424</v>
      </c>
      <c r="W298">
        <v>3863</v>
      </c>
      <c r="X298">
        <v>3974</v>
      </c>
    </row>
    <row r="299" spans="1:24">
      <c r="A299" s="7" t="s">
        <v>395</v>
      </c>
      <c r="B299" s="16" t="s">
        <v>54</v>
      </c>
      <c r="C299">
        <v>56496669.378096752</v>
      </c>
      <c r="D299">
        <v>53390659.13276539</v>
      </c>
      <c r="E299">
        <v>274774.77477477503</v>
      </c>
      <c r="F299">
        <v>55855.855855856003</v>
      </c>
      <c r="G299">
        <v>9</v>
      </c>
      <c r="H299">
        <v>16</v>
      </c>
      <c r="I299">
        <v>1</v>
      </c>
      <c r="J299">
        <v>2</v>
      </c>
      <c r="M299">
        <v>11</v>
      </c>
      <c r="N299">
        <v>18</v>
      </c>
      <c r="O299">
        <v>3635135.1351351351</v>
      </c>
      <c r="P299">
        <v>2776576.576576577</v>
      </c>
      <c r="Q299">
        <v>24</v>
      </c>
      <c r="R299">
        <v>7</v>
      </c>
      <c r="S299">
        <v>9363603.6036036033</v>
      </c>
      <c r="T299">
        <v>8801873.8738738745</v>
      </c>
      <c r="U299">
        <v>3423513.5135135129</v>
      </c>
      <c r="V299">
        <v>3033063.0630630632</v>
      </c>
      <c r="W299">
        <v>1600</v>
      </c>
      <c r="X299">
        <v>1565</v>
      </c>
    </row>
    <row r="300" spans="1:24">
      <c r="A300" s="7" t="s">
        <v>396</v>
      </c>
      <c r="B300" s="16" t="s">
        <v>397</v>
      </c>
      <c r="C300">
        <v>388511572.95156914</v>
      </c>
      <c r="D300">
        <v>378723842.93989402</v>
      </c>
      <c r="E300">
        <v>2359864.8648648649</v>
      </c>
      <c r="F300">
        <v>2890990.9909909908</v>
      </c>
      <c r="G300">
        <v>185</v>
      </c>
      <c r="H300">
        <v>159</v>
      </c>
      <c r="I300">
        <v>10</v>
      </c>
      <c r="J300">
        <v>19</v>
      </c>
      <c r="M300">
        <v>224</v>
      </c>
      <c r="N300">
        <v>307</v>
      </c>
      <c r="O300">
        <v>38293468.468468465</v>
      </c>
      <c r="P300">
        <v>43253153.153153151</v>
      </c>
      <c r="Q300">
        <v>178</v>
      </c>
      <c r="R300">
        <v>426</v>
      </c>
      <c r="S300">
        <v>73513709.909909904</v>
      </c>
      <c r="T300">
        <v>74900856.756756753</v>
      </c>
      <c r="U300">
        <v>38888423.423423424</v>
      </c>
      <c r="V300">
        <v>40051981.981981985</v>
      </c>
      <c r="W300">
        <v>9286</v>
      </c>
      <c r="X300">
        <v>9357</v>
      </c>
    </row>
    <row r="301" spans="1:24">
      <c r="A301" s="7" t="s">
        <v>398</v>
      </c>
      <c r="B301" s="16" t="s">
        <v>399</v>
      </c>
      <c r="C301">
        <v>448267296.60295242</v>
      </c>
      <c r="D301">
        <v>410777128.78337747</v>
      </c>
      <c r="E301">
        <v>817567.56756756897</v>
      </c>
      <c r="F301">
        <v>5897972.9729729751</v>
      </c>
      <c r="G301">
        <v>123</v>
      </c>
      <c r="H301">
        <v>89</v>
      </c>
      <c r="I301">
        <v>17</v>
      </c>
      <c r="J301">
        <v>18</v>
      </c>
      <c r="K301">
        <v>1</v>
      </c>
      <c r="M301">
        <v>142</v>
      </c>
      <c r="N301">
        <v>100</v>
      </c>
      <c r="O301">
        <v>116113963.96396397</v>
      </c>
      <c r="P301">
        <v>46507207.20720721</v>
      </c>
      <c r="Q301">
        <v>301</v>
      </c>
      <c r="R301">
        <v>335</v>
      </c>
      <c r="S301">
        <v>80674115.315315306</v>
      </c>
      <c r="T301">
        <v>75826702.702702701</v>
      </c>
      <c r="U301">
        <v>111297837.83783785</v>
      </c>
      <c r="V301">
        <v>43815675.675675675</v>
      </c>
      <c r="W301">
        <v>11345</v>
      </c>
      <c r="X301">
        <v>11354</v>
      </c>
    </row>
    <row r="302" spans="1:24">
      <c r="A302" s="7" t="s">
        <v>400</v>
      </c>
      <c r="B302" s="16" t="s">
        <v>140</v>
      </c>
      <c r="C302">
        <v>140712886.8742826</v>
      </c>
      <c r="D302">
        <v>132417044.82801142</v>
      </c>
      <c r="E302">
        <v>703603.60360360402</v>
      </c>
      <c r="F302">
        <v>1879279.2792792809</v>
      </c>
      <c r="G302">
        <v>41</v>
      </c>
      <c r="H302">
        <v>42</v>
      </c>
      <c r="I302">
        <v>4</v>
      </c>
      <c r="J302">
        <v>8</v>
      </c>
      <c r="M302">
        <v>47</v>
      </c>
      <c r="N302">
        <v>43</v>
      </c>
      <c r="O302">
        <v>27662162.162162159</v>
      </c>
      <c r="P302">
        <v>27495675.675675675</v>
      </c>
      <c r="Q302">
        <v>21</v>
      </c>
      <c r="R302">
        <v>13</v>
      </c>
      <c r="S302">
        <v>41785360.360360362</v>
      </c>
      <c r="T302">
        <v>42424747.747747742</v>
      </c>
      <c r="U302">
        <v>22996486.486486487</v>
      </c>
      <c r="V302">
        <v>26472612.612612613</v>
      </c>
      <c r="W302">
        <v>3270</v>
      </c>
      <c r="X302">
        <v>4146</v>
      </c>
    </row>
    <row r="303" spans="1:24">
      <c r="A303" s="7" t="s">
        <v>401</v>
      </c>
      <c r="B303" s="16" t="s">
        <v>121</v>
      </c>
      <c r="C303">
        <v>40936487.419098601</v>
      </c>
      <c r="D303">
        <v>35376368.834948502</v>
      </c>
      <c r="E303">
        <v>14417117.117117116</v>
      </c>
      <c r="F303">
        <v>5792792.7927927924</v>
      </c>
      <c r="G303">
        <v>25</v>
      </c>
      <c r="H303">
        <v>15</v>
      </c>
      <c r="I303">
        <v>0</v>
      </c>
      <c r="J303">
        <v>1</v>
      </c>
      <c r="M303">
        <v>29</v>
      </c>
      <c r="N303">
        <v>21</v>
      </c>
      <c r="O303">
        <v>56756.756756757</v>
      </c>
      <c r="P303">
        <v>2189189.1891891891</v>
      </c>
      <c r="Q303">
        <v>7</v>
      </c>
      <c r="R303">
        <v>2</v>
      </c>
      <c r="S303">
        <v>2981351.351351351</v>
      </c>
      <c r="T303">
        <v>3559650.9009009008</v>
      </c>
      <c r="U303">
        <v>1225315.315315315</v>
      </c>
      <c r="V303">
        <v>909819.81981982</v>
      </c>
      <c r="W303">
        <v>1088</v>
      </c>
      <c r="X303">
        <v>974</v>
      </c>
    </row>
    <row r="304" spans="1:24">
      <c r="A304" s="7" t="s">
        <v>402</v>
      </c>
      <c r="B304" s="16" t="s">
        <v>290</v>
      </c>
      <c r="C304">
        <v>77476661.466275468</v>
      </c>
      <c r="D304">
        <v>56569474.367148943</v>
      </c>
      <c r="E304">
        <v>72972.972972974007</v>
      </c>
      <c r="F304">
        <v>398648.64864864998</v>
      </c>
      <c r="G304">
        <v>54</v>
      </c>
      <c r="H304">
        <v>9</v>
      </c>
      <c r="I304">
        <v>5</v>
      </c>
      <c r="J304">
        <v>2</v>
      </c>
      <c r="M304">
        <v>57</v>
      </c>
      <c r="N304">
        <v>12</v>
      </c>
      <c r="O304">
        <v>4757657.6576576577</v>
      </c>
      <c r="P304">
        <v>2124324.3243243238</v>
      </c>
      <c r="Q304">
        <v>120</v>
      </c>
      <c r="R304">
        <v>20</v>
      </c>
      <c r="S304">
        <v>9770315.3153153155</v>
      </c>
      <c r="T304">
        <v>7453414.4144144142</v>
      </c>
      <c r="U304">
        <v>4580090.0900900904</v>
      </c>
      <c r="V304">
        <v>2933333.3333333321</v>
      </c>
      <c r="W304">
        <v>1739</v>
      </c>
      <c r="X304">
        <v>1619</v>
      </c>
    </row>
    <row r="305" spans="1:24">
      <c r="A305" s="7" t="s">
        <v>403</v>
      </c>
      <c r="B305" s="16" t="s">
        <v>121</v>
      </c>
      <c r="C305">
        <v>67806174.896026522</v>
      </c>
      <c r="D305">
        <v>64934016.389223136</v>
      </c>
      <c r="F305">
        <v>55630.630630631</v>
      </c>
      <c r="G305">
        <v>11</v>
      </c>
      <c r="H305">
        <v>12</v>
      </c>
      <c r="I305">
        <v>0</v>
      </c>
      <c r="J305">
        <v>0</v>
      </c>
      <c r="M305">
        <v>11</v>
      </c>
      <c r="N305">
        <v>13</v>
      </c>
      <c r="O305">
        <v>162162.16216216201</v>
      </c>
      <c r="P305">
        <v>58558.558558559002</v>
      </c>
      <c r="Q305">
        <v>20</v>
      </c>
      <c r="S305">
        <v>5396441.441441441</v>
      </c>
      <c r="T305">
        <v>5184675.6756756762</v>
      </c>
      <c r="U305">
        <v>198198.19819819799</v>
      </c>
      <c r="W305">
        <v>1030</v>
      </c>
      <c r="X305">
        <v>980</v>
      </c>
    </row>
    <row r="306" spans="1:24">
      <c r="A306" s="7" t="s">
        <v>404</v>
      </c>
      <c r="B306" s="16" t="s">
        <v>368</v>
      </c>
      <c r="C306">
        <v>164686631.34934974</v>
      </c>
      <c r="D306">
        <v>140684451.44509199</v>
      </c>
      <c r="E306">
        <v>51089206.306306303</v>
      </c>
      <c r="F306">
        <v>34868916.216216214</v>
      </c>
      <c r="G306">
        <v>40</v>
      </c>
      <c r="H306">
        <v>104</v>
      </c>
      <c r="I306">
        <v>7</v>
      </c>
      <c r="J306">
        <v>12</v>
      </c>
      <c r="K306">
        <v>1</v>
      </c>
      <c r="M306">
        <v>47</v>
      </c>
      <c r="N306">
        <v>163</v>
      </c>
      <c r="O306">
        <v>7172972.9729729732</v>
      </c>
      <c r="P306">
        <v>29578828.82882883</v>
      </c>
      <c r="Q306">
        <v>69</v>
      </c>
      <c r="R306">
        <v>140</v>
      </c>
      <c r="S306">
        <v>49634662.162162162</v>
      </c>
      <c r="T306">
        <v>51123162.162162162</v>
      </c>
      <c r="U306">
        <v>5279189.1891891891</v>
      </c>
      <c r="V306">
        <v>26544054.054054055</v>
      </c>
      <c r="W306">
        <v>4261</v>
      </c>
      <c r="X306">
        <v>4303</v>
      </c>
    </row>
    <row r="307" spans="1:24">
      <c r="A307" s="7" t="s">
        <v>405</v>
      </c>
      <c r="B307" s="16" t="s">
        <v>140</v>
      </c>
      <c r="C307">
        <v>66300346.055484816</v>
      </c>
      <c r="D307">
        <v>68729106.516052708</v>
      </c>
      <c r="E307">
        <v>13963.963963964001</v>
      </c>
      <c r="F307">
        <v>233108.108108107</v>
      </c>
      <c r="G307">
        <v>3</v>
      </c>
      <c r="H307">
        <v>15</v>
      </c>
      <c r="I307">
        <v>0</v>
      </c>
      <c r="J307">
        <v>1</v>
      </c>
      <c r="M307">
        <v>4</v>
      </c>
      <c r="N307">
        <v>19</v>
      </c>
      <c r="O307">
        <v>7617567.5675675673</v>
      </c>
      <c r="P307">
        <v>8973333.333333334</v>
      </c>
      <c r="Q307">
        <v>15</v>
      </c>
      <c r="R307">
        <v>16</v>
      </c>
      <c r="S307">
        <v>17560945.945945945</v>
      </c>
      <c r="T307">
        <v>18830664.864864863</v>
      </c>
      <c r="U307">
        <v>10072702.702702705</v>
      </c>
      <c r="V307">
        <v>9886666.6666666679</v>
      </c>
      <c r="W307">
        <v>1461</v>
      </c>
      <c r="X307">
        <v>1389</v>
      </c>
    </row>
    <row r="308" spans="1:24">
      <c r="A308" s="7" t="s">
        <v>406</v>
      </c>
      <c r="B308" s="16" t="s">
        <v>54</v>
      </c>
      <c r="C308">
        <v>100046355.8212665</v>
      </c>
      <c r="D308">
        <v>95343034.12634477</v>
      </c>
      <c r="E308">
        <v>666801.80180180201</v>
      </c>
      <c r="F308">
        <v>2005405.4054054071</v>
      </c>
      <c r="G308">
        <v>4</v>
      </c>
      <c r="H308">
        <v>108</v>
      </c>
      <c r="I308">
        <v>1</v>
      </c>
      <c r="J308">
        <v>8</v>
      </c>
      <c r="M308">
        <v>4</v>
      </c>
      <c r="N308">
        <v>191</v>
      </c>
      <c r="O308">
        <v>6242522.5225225203</v>
      </c>
      <c r="P308">
        <v>9595855.8558558561</v>
      </c>
      <c r="Q308">
        <v>83</v>
      </c>
      <c r="R308">
        <v>32</v>
      </c>
      <c r="S308">
        <v>20654594.594594598</v>
      </c>
      <c r="T308">
        <v>21628369.369369369</v>
      </c>
      <c r="U308">
        <v>6669099.0990990996</v>
      </c>
      <c r="V308">
        <v>10207027.027027024</v>
      </c>
      <c r="W308">
        <v>2225</v>
      </c>
      <c r="X308">
        <v>2165</v>
      </c>
    </row>
    <row r="309" spans="1:24">
      <c r="A309" s="7" t="s">
        <v>407</v>
      </c>
      <c r="B309" s="16" t="s">
        <v>134</v>
      </c>
      <c r="C309">
        <v>40577383.190882832</v>
      </c>
      <c r="D309">
        <v>43232410.903120503</v>
      </c>
      <c r="E309">
        <v>17117.117117117999</v>
      </c>
      <c r="F309">
        <v>27027.027027027001</v>
      </c>
      <c r="G309">
        <v>11</v>
      </c>
      <c r="H309">
        <v>6</v>
      </c>
      <c r="I309">
        <v>2</v>
      </c>
      <c r="J309">
        <v>1</v>
      </c>
      <c r="M309">
        <v>12</v>
      </c>
      <c r="N309">
        <v>6</v>
      </c>
      <c r="O309">
        <v>1827927.927927928</v>
      </c>
      <c r="P309">
        <v>1594594.5945945941</v>
      </c>
      <c r="Q309">
        <v>4</v>
      </c>
      <c r="S309">
        <v>4913693.6936936928</v>
      </c>
      <c r="T309">
        <v>3968846.8468468469</v>
      </c>
      <c r="U309">
        <v>1737477.4774774781</v>
      </c>
      <c r="V309">
        <v>1082972.9729729721</v>
      </c>
      <c r="W309">
        <v>1038</v>
      </c>
      <c r="X309">
        <v>915</v>
      </c>
    </row>
    <row r="310" spans="1:24">
      <c r="A310" s="7" t="s">
        <v>408</v>
      </c>
      <c r="B310" s="16" t="s">
        <v>290</v>
      </c>
      <c r="C310">
        <v>27601246.312218275</v>
      </c>
      <c r="D310">
        <v>23754772.109695528</v>
      </c>
      <c r="E310">
        <v>18805405.40540541</v>
      </c>
      <c r="F310">
        <v>10045945.945945948</v>
      </c>
      <c r="G310">
        <v>19</v>
      </c>
      <c r="H310">
        <v>8</v>
      </c>
      <c r="I310">
        <v>3</v>
      </c>
      <c r="J310">
        <v>3</v>
      </c>
      <c r="M310">
        <v>21</v>
      </c>
      <c r="N310">
        <v>9</v>
      </c>
      <c r="O310">
        <v>4372972.9729729732</v>
      </c>
      <c r="P310">
        <v>5129729.7297297297</v>
      </c>
      <c r="Q310">
        <v>10</v>
      </c>
      <c r="R310">
        <v>31</v>
      </c>
      <c r="S310">
        <v>5957378.3783783782</v>
      </c>
      <c r="T310">
        <v>4684729.7297297297</v>
      </c>
      <c r="U310">
        <v>2175135.1351351351</v>
      </c>
      <c r="V310">
        <v>2874414.4144144142</v>
      </c>
      <c r="W310">
        <v>867</v>
      </c>
      <c r="X310">
        <v>911</v>
      </c>
    </row>
    <row r="311" spans="1:24">
      <c r="A311" s="7" t="s">
        <v>409</v>
      </c>
      <c r="B311" s="16" t="s">
        <v>178</v>
      </c>
      <c r="C311">
        <v>467861586.48832595</v>
      </c>
      <c r="D311">
        <v>429965323.62404847</v>
      </c>
      <c r="E311">
        <v>2734459.4594594608</v>
      </c>
      <c r="F311">
        <v>1845045.045045048</v>
      </c>
      <c r="G311">
        <v>138</v>
      </c>
      <c r="H311">
        <v>127</v>
      </c>
      <c r="I311">
        <v>5</v>
      </c>
      <c r="J311">
        <v>7</v>
      </c>
      <c r="M311">
        <v>163</v>
      </c>
      <c r="N311">
        <v>271</v>
      </c>
      <c r="O311">
        <v>38746396.396396399</v>
      </c>
      <c r="P311">
        <v>48619900.9009009</v>
      </c>
      <c r="Q311">
        <v>11</v>
      </c>
      <c r="R311">
        <v>54</v>
      </c>
      <c r="S311">
        <v>149035754.95495495</v>
      </c>
      <c r="T311">
        <v>149173144.14414412</v>
      </c>
      <c r="U311">
        <v>36286036.036036037</v>
      </c>
      <c r="V311">
        <v>42748648.648648649</v>
      </c>
      <c r="W311">
        <v>9650</v>
      </c>
      <c r="X311">
        <v>9576</v>
      </c>
    </row>
    <row r="312" spans="1:24">
      <c r="A312" s="7" t="s">
        <v>666</v>
      </c>
      <c r="B312" s="16" t="s">
        <v>87</v>
      </c>
      <c r="W312">
        <v>4</v>
      </c>
    </row>
    <row r="313" spans="1:24">
      <c r="A313" s="7" t="s">
        <v>410</v>
      </c>
      <c r="B313" s="16" t="s">
        <v>54</v>
      </c>
      <c r="C313">
        <v>787395063.25891864</v>
      </c>
      <c r="D313">
        <v>783265863.45489109</v>
      </c>
      <c r="E313">
        <v>62862137.837837838</v>
      </c>
      <c r="F313">
        <v>115201045.94594595</v>
      </c>
      <c r="G313">
        <v>158</v>
      </c>
      <c r="H313">
        <v>285</v>
      </c>
      <c r="I313">
        <v>22</v>
      </c>
      <c r="J313">
        <v>32</v>
      </c>
      <c r="K313">
        <v>4</v>
      </c>
      <c r="M313">
        <v>190</v>
      </c>
      <c r="N313">
        <v>365</v>
      </c>
      <c r="O313">
        <v>56250270.270270273</v>
      </c>
      <c r="P313">
        <v>59977927.927927926</v>
      </c>
      <c r="Q313">
        <v>463</v>
      </c>
      <c r="R313">
        <v>245</v>
      </c>
      <c r="S313">
        <v>149943448.64864865</v>
      </c>
      <c r="T313">
        <v>162766972.97297296</v>
      </c>
      <c r="U313">
        <v>52069412.612612605</v>
      </c>
      <c r="V313">
        <v>53120990.990990989</v>
      </c>
      <c r="W313">
        <v>18619</v>
      </c>
      <c r="X313">
        <v>19345</v>
      </c>
    </row>
    <row r="314" spans="1:24">
      <c r="A314" s="7" t="s">
        <v>411</v>
      </c>
      <c r="B314" s="16" t="s">
        <v>224</v>
      </c>
      <c r="C314">
        <v>476967547.21713638</v>
      </c>
      <c r="D314">
        <v>402096582.22730571</v>
      </c>
      <c r="E314">
        <v>772432.43243243406</v>
      </c>
      <c r="F314">
        <v>1723423.4234234269</v>
      </c>
      <c r="G314">
        <v>145</v>
      </c>
      <c r="H314">
        <v>148</v>
      </c>
      <c r="I314">
        <v>9</v>
      </c>
      <c r="J314">
        <v>6</v>
      </c>
      <c r="M314">
        <v>170</v>
      </c>
      <c r="N314">
        <v>168</v>
      </c>
      <c r="O314">
        <v>52102522.522522517</v>
      </c>
      <c r="P314">
        <v>38699279.279279277</v>
      </c>
      <c r="Q314">
        <v>115</v>
      </c>
      <c r="R314">
        <v>182</v>
      </c>
      <c r="S314">
        <v>125452669.36936937</v>
      </c>
      <c r="T314">
        <v>115855681.08108109</v>
      </c>
      <c r="U314">
        <v>48676846.846846849</v>
      </c>
      <c r="V314">
        <v>46806709.909909911</v>
      </c>
      <c r="W314">
        <v>13618</v>
      </c>
      <c r="X314">
        <v>15012</v>
      </c>
    </row>
    <row r="315" spans="1:24">
      <c r="A315" s="7" t="s">
        <v>412</v>
      </c>
      <c r="B315" s="16" t="s">
        <v>413</v>
      </c>
      <c r="C315">
        <v>154242593.64060172</v>
      </c>
      <c r="D315">
        <v>158096321.71349636</v>
      </c>
      <c r="E315">
        <v>128828.82882882901</v>
      </c>
      <c r="F315">
        <v>301351.35135135503</v>
      </c>
      <c r="G315">
        <v>50</v>
      </c>
      <c r="H315">
        <v>12</v>
      </c>
      <c r="I315">
        <v>1</v>
      </c>
      <c r="J315">
        <v>4</v>
      </c>
      <c r="M315">
        <v>59</v>
      </c>
      <c r="N315">
        <v>12</v>
      </c>
      <c r="O315">
        <v>3948648.6486486471</v>
      </c>
      <c r="P315">
        <v>3319819.8198198238</v>
      </c>
      <c r="Q315">
        <v>14</v>
      </c>
      <c r="R315">
        <v>39</v>
      </c>
      <c r="S315">
        <v>66510405.40540541</v>
      </c>
      <c r="T315">
        <v>64629333.333333336</v>
      </c>
      <c r="U315">
        <v>3237567.5675675659</v>
      </c>
      <c r="V315">
        <v>3246936.9369369349</v>
      </c>
      <c r="W315">
        <v>3959</v>
      </c>
      <c r="X315">
        <v>4123</v>
      </c>
    </row>
    <row r="316" spans="1:24">
      <c r="A316" s="7" t="s">
        <v>414</v>
      </c>
      <c r="B316" s="16" t="s">
        <v>214</v>
      </c>
      <c r="C316">
        <v>944250142.85398877</v>
      </c>
      <c r="D316">
        <v>1020497674.6929171</v>
      </c>
      <c r="E316">
        <v>546102768.46846843</v>
      </c>
      <c r="F316">
        <v>611864001.8018018</v>
      </c>
      <c r="G316">
        <v>431</v>
      </c>
      <c r="H316">
        <v>1101</v>
      </c>
      <c r="I316">
        <v>22</v>
      </c>
      <c r="J316">
        <v>26</v>
      </c>
      <c r="M316">
        <v>505</v>
      </c>
      <c r="N316">
        <v>1219</v>
      </c>
      <c r="O316">
        <v>120263783.78378379</v>
      </c>
      <c r="P316">
        <v>146549864.86486486</v>
      </c>
      <c r="Q316">
        <v>316</v>
      </c>
      <c r="R316">
        <v>336</v>
      </c>
      <c r="S316">
        <v>403013050.45045042</v>
      </c>
      <c r="T316">
        <v>459763390.0900901</v>
      </c>
      <c r="U316">
        <v>118145135.13513513</v>
      </c>
      <c r="V316">
        <v>132138558.55855855</v>
      </c>
      <c r="W316">
        <v>24022</v>
      </c>
      <c r="X316">
        <v>24168</v>
      </c>
    </row>
    <row r="317" spans="1:24">
      <c r="A317" s="7" t="s">
        <v>415</v>
      </c>
      <c r="B317" s="16" t="s">
        <v>413</v>
      </c>
      <c r="C317">
        <v>90083084.082070798</v>
      </c>
      <c r="D317">
        <v>87507135.160396874</v>
      </c>
      <c r="E317">
        <v>18658558.558558561</v>
      </c>
      <c r="F317">
        <v>3746396.396396399</v>
      </c>
      <c r="G317">
        <v>25</v>
      </c>
      <c r="H317">
        <v>26</v>
      </c>
      <c r="I317">
        <v>1</v>
      </c>
      <c r="J317">
        <v>3</v>
      </c>
      <c r="M317">
        <v>27</v>
      </c>
      <c r="N317">
        <v>32</v>
      </c>
      <c r="O317">
        <v>18534774.774774775</v>
      </c>
      <c r="P317">
        <v>17509677.47747748</v>
      </c>
      <c r="Q317">
        <v>3</v>
      </c>
      <c r="R317">
        <v>32</v>
      </c>
      <c r="S317">
        <v>29217072.072072074</v>
      </c>
      <c r="T317">
        <v>33270290.540540539</v>
      </c>
      <c r="U317">
        <v>12120540.540540541</v>
      </c>
      <c r="V317">
        <v>12325675.675675675</v>
      </c>
      <c r="W317">
        <v>3052</v>
      </c>
      <c r="X317">
        <v>2886</v>
      </c>
    </row>
    <row r="318" spans="1:24">
      <c r="A318" s="7" t="s">
        <v>416</v>
      </c>
      <c r="B318" s="16" t="s">
        <v>236</v>
      </c>
      <c r="C318">
        <v>672002487.70120823</v>
      </c>
      <c r="D318">
        <v>630014019.29790246</v>
      </c>
      <c r="E318">
        <v>601351.35135135299</v>
      </c>
      <c r="F318">
        <v>2572972.9729729751</v>
      </c>
      <c r="G318">
        <v>253</v>
      </c>
      <c r="H318">
        <v>241</v>
      </c>
      <c r="I318">
        <v>15</v>
      </c>
      <c r="J318">
        <v>19</v>
      </c>
      <c r="K318">
        <v>3</v>
      </c>
      <c r="M318">
        <v>297</v>
      </c>
      <c r="N318">
        <v>357</v>
      </c>
      <c r="O318">
        <v>89155945.945945948</v>
      </c>
      <c r="P318">
        <v>74362342.342342332</v>
      </c>
      <c r="Q318">
        <v>72</v>
      </c>
      <c r="R318">
        <v>59</v>
      </c>
      <c r="S318">
        <v>154527144.14414415</v>
      </c>
      <c r="T318">
        <v>148049747.74774775</v>
      </c>
      <c r="U318">
        <v>72602072.072072059</v>
      </c>
      <c r="V318">
        <v>74937027.027027026</v>
      </c>
      <c r="W318">
        <v>10745</v>
      </c>
      <c r="X318">
        <v>10745</v>
      </c>
    </row>
    <row r="319" spans="1:24">
      <c r="A319" s="7" t="s">
        <v>417</v>
      </c>
      <c r="B319" s="16" t="s">
        <v>117</v>
      </c>
      <c r="C319">
        <v>642958286.9061079</v>
      </c>
      <c r="D319">
        <v>614777242.69381905</v>
      </c>
      <c r="E319">
        <v>824342065.76576579</v>
      </c>
      <c r="F319">
        <v>644311097.29729724</v>
      </c>
      <c r="G319">
        <v>479</v>
      </c>
      <c r="H319">
        <v>446</v>
      </c>
      <c r="I319">
        <v>58</v>
      </c>
      <c r="J319">
        <v>54</v>
      </c>
      <c r="K319">
        <v>7</v>
      </c>
      <c r="M319">
        <v>725</v>
      </c>
      <c r="N319">
        <v>784</v>
      </c>
      <c r="O319">
        <v>123279347.74774775</v>
      </c>
      <c r="P319">
        <v>140452762.16216215</v>
      </c>
      <c r="Q319">
        <v>427</v>
      </c>
      <c r="R319">
        <v>317</v>
      </c>
      <c r="S319">
        <v>278218144.14414412</v>
      </c>
      <c r="T319">
        <v>278677993.6936937</v>
      </c>
      <c r="U319">
        <v>126230090.0900901</v>
      </c>
      <c r="V319">
        <v>140491351.35135135</v>
      </c>
      <c r="W319">
        <v>17622</v>
      </c>
      <c r="X319">
        <v>17418</v>
      </c>
    </row>
    <row r="320" spans="1:24">
      <c r="A320" s="7" t="s">
        <v>418</v>
      </c>
      <c r="B320" s="16" t="s">
        <v>147</v>
      </c>
      <c r="C320">
        <v>17208236.857060038</v>
      </c>
      <c r="D320">
        <v>14528082.973986859</v>
      </c>
      <c r="G320">
        <v>4</v>
      </c>
      <c r="H320">
        <v>3</v>
      </c>
      <c r="M320">
        <v>4</v>
      </c>
      <c r="N320">
        <v>3</v>
      </c>
      <c r="S320">
        <v>5858288.2882882878</v>
      </c>
      <c r="T320">
        <v>5373099.0990990987</v>
      </c>
      <c r="W320">
        <v>465</v>
      </c>
      <c r="X320">
        <v>472</v>
      </c>
    </row>
    <row r="321" spans="1:24">
      <c r="A321" s="7" t="s">
        <v>419</v>
      </c>
      <c r="B321" s="16" t="s">
        <v>304</v>
      </c>
      <c r="C321">
        <v>133228100.13870877</v>
      </c>
      <c r="D321">
        <v>132984914.63996437</v>
      </c>
      <c r="E321">
        <v>953603.603603606</v>
      </c>
      <c r="F321">
        <v>4089414.4144144128</v>
      </c>
      <c r="G321">
        <v>59</v>
      </c>
      <c r="H321">
        <v>93</v>
      </c>
      <c r="I321">
        <v>14</v>
      </c>
      <c r="J321">
        <v>32</v>
      </c>
      <c r="M321">
        <v>68</v>
      </c>
      <c r="N321">
        <v>107</v>
      </c>
      <c r="O321">
        <v>22899099.099099096</v>
      </c>
      <c r="P321">
        <v>24759459.459459461</v>
      </c>
      <c r="Q321">
        <v>193</v>
      </c>
      <c r="R321">
        <v>141</v>
      </c>
      <c r="S321">
        <v>26730405.405405402</v>
      </c>
      <c r="T321">
        <v>28965097.297297295</v>
      </c>
      <c r="U321">
        <v>28592252.252252251</v>
      </c>
      <c r="V321">
        <v>21278738.738738742</v>
      </c>
      <c r="W321">
        <v>2431</v>
      </c>
      <c r="X321">
        <v>2358</v>
      </c>
    </row>
    <row r="322" spans="1:24">
      <c r="A322" s="7" t="s">
        <v>420</v>
      </c>
      <c r="B322" s="16" t="s">
        <v>304</v>
      </c>
      <c r="C322">
        <v>157416247.19293046</v>
      </c>
      <c r="D322">
        <v>152386233.07546601</v>
      </c>
      <c r="E322">
        <v>1379954.954954956</v>
      </c>
      <c r="F322">
        <v>5855630.6306306291</v>
      </c>
      <c r="G322">
        <v>169</v>
      </c>
      <c r="H322">
        <v>561</v>
      </c>
      <c r="I322">
        <v>11</v>
      </c>
      <c r="J322">
        <v>51</v>
      </c>
      <c r="K322">
        <v>10</v>
      </c>
      <c r="M322">
        <v>208</v>
      </c>
      <c r="N322">
        <v>903</v>
      </c>
      <c r="O322">
        <v>21793693.693693686</v>
      </c>
      <c r="P322">
        <v>30845945.945945945</v>
      </c>
      <c r="Q322">
        <v>544</v>
      </c>
      <c r="R322">
        <v>293</v>
      </c>
      <c r="S322">
        <v>35258709.909909911</v>
      </c>
      <c r="T322">
        <v>51990837.837837838</v>
      </c>
      <c r="U322">
        <v>26818018.018018015</v>
      </c>
      <c r="V322">
        <v>22851981.981981982</v>
      </c>
      <c r="W322">
        <v>3080</v>
      </c>
      <c r="X322">
        <v>4582</v>
      </c>
    </row>
    <row r="323" spans="1:24">
      <c r="A323" s="7" t="s">
        <v>421</v>
      </c>
      <c r="B323" s="16" t="s">
        <v>121</v>
      </c>
      <c r="C323">
        <v>11399641.547467068</v>
      </c>
      <c r="D323">
        <v>5750704.1637776764</v>
      </c>
      <c r="E323">
        <v>12612.612612613</v>
      </c>
      <c r="F323">
        <v>42342.342342342999</v>
      </c>
      <c r="G323">
        <v>2</v>
      </c>
      <c r="H323">
        <v>3</v>
      </c>
      <c r="I323">
        <v>0</v>
      </c>
      <c r="J323">
        <v>0</v>
      </c>
      <c r="M323">
        <v>2</v>
      </c>
      <c r="N323">
        <v>3</v>
      </c>
      <c r="O323">
        <v>1418018.018018018</v>
      </c>
      <c r="P323">
        <v>42342.342342342999</v>
      </c>
      <c r="Q323">
        <v>21</v>
      </c>
      <c r="S323">
        <v>1269414.414414414</v>
      </c>
      <c r="T323">
        <v>594720.72072072094</v>
      </c>
      <c r="U323">
        <v>1405405.405405405</v>
      </c>
      <c r="V323">
        <v>169369.369369369</v>
      </c>
      <c r="W323">
        <v>330</v>
      </c>
      <c r="X323">
        <v>324</v>
      </c>
    </row>
    <row r="324" spans="1:24">
      <c r="A324" s="7" t="s">
        <v>422</v>
      </c>
      <c r="B324" s="16" t="s">
        <v>60</v>
      </c>
      <c r="C324">
        <v>77829550.089206532</v>
      </c>
      <c r="D324">
        <v>78225857.971977904</v>
      </c>
      <c r="E324">
        <v>288288.28828828898</v>
      </c>
      <c r="F324">
        <v>911711.711711713</v>
      </c>
      <c r="G324">
        <v>35</v>
      </c>
      <c r="H324">
        <v>42</v>
      </c>
      <c r="I324">
        <v>4</v>
      </c>
      <c r="J324">
        <v>8</v>
      </c>
      <c r="M324">
        <v>38</v>
      </c>
      <c r="N324">
        <v>46</v>
      </c>
      <c r="O324">
        <v>11592792.792792792</v>
      </c>
      <c r="P324">
        <v>15066666.666666668</v>
      </c>
      <c r="Q324">
        <v>59</v>
      </c>
      <c r="R324">
        <v>38</v>
      </c>
      <c r="S324">
        <v>25953333.333333332</v>
      </c>
      <c r="T324">
        <v>27325324.324324325</v>
      </c>
      <c r="U324">
        <v>12994414.414414413</v>
      </c>
      <c r="V324">
        <v>14659369.369369367</v>
      </c>
      <c r="W324">
        <v>2151</v>
      </c>
      <c r="X324">
        <v>2076</v>
      </c>
    </row>
    <row r="325" spans="1:24">
      <c r="A325" s="7" t="s">
        <v>423</v>
      </c>
      <c r="B325" s="16" t="s">
        <v>181</v>
      </c>
      <c r="C325">
        <v>805256280.50189698</v>
      </c>
      <c r="D325">
        <v>775007308.71564996</v>
      </c>
      <c r="E325">
        <v>2583783.7837837902</v>
      </c>
      <c r="F325">
        <v>8091891.8918919004</v>
      </c>
      <c r="G325">
        <v>527</v>
      </c>
      <c r="H325">
        <v>297</v>
      </c>
      <c r="I325">
        <v>55</v>
      </c>
      <c r="J325">
        <v>45</v>
      </c>
      <c r="K325">
        <v>14</v>
      </c>
      <c r="M325">
        <v>631</v>
      </c>
      <c r="N325">
        <v>389</v>
      </c>
      <c r="O325">
        <v>81997207.207207203</v>
      </c>
      <c r="P325">
        <v>111599549.54954953</v>
      </c>
      <c r="Q325">
        <v>772</v>
      </c>
      <c r="R325">
        <v>1358</v>
      </c>
      <c r="S325">
        <v>220451774.77477479</v>
      </c>
      <c r="T325">
        <v>226815852.25225225</v>
      </c>
      <c r="U325">
        <v>87196036.036036029</v>
      </c>
      <c r="V325">
        <v>109402702.7027027</v>
      </c>
      <c r="W325">
        <v>22283</v>
      </c>
      <c r="X325">
        <v>22771</v>
      </c>
    </row>
    <row r="326" spans="1:24">
      <c r="A326" s="7" t="s">
        <v>424</v>
      </c>
      <c r="B326" s="16" t="s">
        <v>76</v>
      </c>
      <c r="C326">
        <v>34602615.121267907</v>
      </c>
      <c r="D326">
        <v>24261259.977233645</v>
      </c>
      <c r="E326">
        <v>3603.603603604</v>
      </c>
      <c r="F326">
        <v>54054.054054054999</v>
      </c>
      <c r="G326">
        <v>8</v>
      </c>
      <c r="H326">
        <v>4</v>
      </c>
      <c r="I326">
        <v>2</v>
      </c>
      <c r="J326">
        <v>1</v>
      </c>
      <c r="M326">
        <v>8</v>
      </c>
      <c r="N326">
        <v>5</v>
      </c>
      <c r="O326">
        <v>3066666.666666667</v>
      </c>
      <c r="P326">
        <v>1972972.972972973</v>
      </c>
      <c r="R326">
        <v>4</v>
      </c>
      <c r="S326">
        <v>2937873.8738738741</v>
      </c>
      <c r="T326">
        <v>2435378.3783783782</v>
      </c>
      <c r="U326">
        <v>2730540.5405405401</v>
      </c>
      <c r="V326">
        <v>2050090.090090089</v>
      </c>
      <c r="W326">
        <v>960</v>
      </c>
      <c r="X326">
        <v>930</v>
      </c>
    </row>
    <row r="327" spans="1:24">
      <c r="A327" s="7" t="s">
        <v>425</v>
      </c>
      <c r="B327" s="16" t="s">
        <v>76</v>
      </c>
      <c r="C327">
        <v>93874277.901407361</v>
      </c>
      <c r="D327">
        <v>90128922.660022452</v>
      </c>
      <c r="E327">
        <v>120143918.91891891</v>
      </c>
      <c r="F327">
        <v>68438738.738738731</v>
      </c>
      <c r="G327">
        <v>28</v>
      </c>
      <c r="H327">
        <v>21</v>
      </c>
      <c r="I327">
        <v>1</v>
      </c>
      <c r="J327">
        <v>2</v>
      </c>
      <c r="M327">
        <v>32</v>
      </c>
      <c r="N327">
        <v>22</v>
      </c>
      <c r="O327">
        <v>10273198.198198199</v>
      </c>
      <c r="P327">
        <v>10618108.108108109</v>
      </c>
      <c r="Q327">
        <v>20</v>
      </c>
      <c r="R327">
        <v>30</v>
      </c>
      <c r="S327">
        <v>21033558.558558561</v>
      </c>
      <c r="T327">
        <v>20147810.810810812</v>
      </c>
      <c r="U327">
        <v>7573153.1531531522</v>
      </c>
      <c r="V327">
        <v>8818918.918918917</v>
      </c>
      <c r="W327">
        <v>1474</v>
      </c>
      <c r="X327">
        <v>1430</v>
      </c>
    </row>
    <row r="328" spans="1:24">
      <c r="A328" s="7" t="s">
        <v>426</v>
      </c>
      <c r="B328" s="16" t="s">
        <v>330</v>
      </c>
      <c r="C328">
        <v>444616048.42208165</v>
      </c>
      <c r="D328">
        <v>455952995.86818588</v>
      </c>
      <c r="E328">
        <v>1460765.7657657701</v>
      </c>
      <c r="F328">
        <v>3164639.639639643</v>
      </c>
      <c r="G328">
        <v>151</v>
      </c>
      <c r="H328">
        <v>170</v>
      </c>
      <c r="I328">
        <v>20</v>
      </c>
      <c r="J328">
        <v>21</v>
      </c>
      <c r="M328">
        <v>180</v>
      </c>
      <c r="N328">
        <v>201</v>
      </c>
      <c r="O328">
        <v>13264594.594594596</v>
      </c>
      <c r="P328">
        <v>25010135.135135137</v>
      </c>
      <c r="Q328">
        <v>64</v>
      </c>
      <c r="R328">
        <v>146</v>
      </c>
      <c r="S328">
        <v>75597574.774774775</v>
      </c>
      <c r="T328">
        <v>79272308.558558553</v>
      </c>
      <c r="U328">
        <v>14902342.342342343</v>
      </c>
      <c r="V328">
        <v>21273963.963963959</v>
      </c>
      <c r="W328">
        <v>11763</v>
      </c>
      <c r="X328">
        <v>11762</v>
      </c>
    </row>
    <row r="329" spans="1:24">
      <c r="A329" s="7" t="s">
        <v>427</v>
      </c>
      <c r="B329" s="16" t="s">
        <v>241</v>
      </c>
      <c r="C329">
        <v>118388997.11281352</v>
      </c>
      <c r="D329">
        <v>119066685.89010517</v>
      </c>
      <c r="E329">
        <v>27675675.675675675</v>
      </c>
      <c r="F329">
        <v>39181081.081081077</v>
      </c>
      <c r="G329">
        <v>53</v>
      </c>
      <c r="H329">
        <v>41</v>
      </c>
      <c r="I329">
        <v>3</v>
      </c>
      <c r="J329">
        <v>4</v>
      </c>
      <c r="K329">
        <v>1</v>
      </c>
      <c r="M329">
        <v>63</v>
      </c>
      <c r="N329">
        <v>45</v>
      </c>
      <c r="O329">
        <v>19618108.108108111</v>
      </c>
      <c r="P329">
        <v>13050090.090090087</v>
      </c>
      <c r="R329">
        <v>40</v>
      </c>
      <c r="S329">
        <v>46076360.360360362</v>
      </c>
      <c r="T329">
        <v>45483369.369369365</v>
      </c>
      <c r="U329">
        <v>19148468.468468472</v>
      </c>
      <c r="V329">
        <v>12971171.171171164</v>
      </c>
      <c r="W329">
        <v>5247</v>
      </c>
      <c r="X329">
        <v>5350</v>
      </c>
    </row>
    <row r="330" spans="1:24">
      <c r="A330" s="7" t="s">
        <v>428</v>
      </c>
      <c r="B330" s="16" t="s">
        <v>283</v>
      </c>
      <c r="C330">
        <v>50864699.325143568</v>
      </c>
      <c r="D330">
        <v>50313049.253102481</v>
      </c>
      <c r="E330">
        <v>52477.477477478002</v>
      </c>
      <c r="F330">
        <v>542342.342342344</v>
      </c>
      <c r="G330">
        <v>18</v>
      </c>
      <c r="H330">
        <v>5</v>
      </c>
      <c r="I330">
        <v>2</v>
      </c>
      <c r="J330">
        <v>2</v>
      </c>
      <c r="M330">
        <v>19</v>
      </c>
      <c r="N330">
        <v>34</v>
      </c>
      <c r="O330">
        <v>2224324.3243243252</v>
      </c>
      <c r="P330">
        <v>25167207.207207207</v>
      </c>
      <c r="R330">
        <v>47</v>
      </c>
      <c r="S330">
        <v>8680675.6756756753</v>
      </c>
      <c r="T330">
        <v>9675072.072072072</v>
      </c>
      <c r="U330">
        <v>2960720.72072072</v>
      </c>
      <c r="V330">
        <v>26639819.819819823</v>
      </c>
      <c r="W330">
        <v>1300</v>
      </c>
      <c r="X330">
        <v>1228</v>
      </c>
    </row>
    <row r="331" spans="1:24">
      <c r="A331" s="7" t="s">
        <v>429</v>
      </c>
      <c r="B331" s="16" t="s">
        <v>283</v>
      </c>
      <c r="C331">
        <v>16089803.62406222</v>
      </c>
      <c r="D331">
        <v>16127552.149316519</v>
      </c>
      <c r="E331">
        <v>119360763.96396397</v>
      </c>
      <c r="F331">
        <v>213441919.81981981</v>
      </c>
      <c r="G331">
        <v>1</v>
      </c>
      <c r="M331">
        <v>2</v>
      </c>
      <c r="O331">
        <v>8443963.9639639631</v>
      </c>
      <c r="P331">
        <v>21776910.810810808</v>
      </c>
      <c r="S331">
        <v>1620225.225225226</v>
      </c>
      <c r="T331">
        <v>1135396.3963963969</v>
      </c>
      <c r="U331">
        <v>163513.51351351399</v>
      </c>
      <c r="V331">
        <v>2885855.8558558552</v>
      </c>
      <c r="W331">
        <v>499</v>
      </c>
      <c r="X331">
        <v>533</v>
      </c>
    </row>
    <row r="332" spans="1:24">
      <c r="A332" s="7" t="s">
        <v>430</v>
      </c>
      <c r="B332" s="16" t="s">
        <v>283</v>
      </c>
      <c r="C332">
        <v>29876885.720145803</v>
      </c>
      <c r="D332">
        <v>34488375.252670087</v>
      </c>
      <c r="E332">
        <v>9009.0090090089998</v>
      </c>
      <c r="F332">
        <v>198198.19819819799</v>
      </c>
      <c r="G332">
        <v>5</v>
      </c>
      <c r="H332">
        <v>5</v>
      </c>
      <c r="I332">
        <v>0</v>
      </c>
      <c r="J332">
        <v>1</v>
      </c>
      <c r="M332">
        <v>5</v>
      </c>
      <c r="N332">
        <v>5</v>
      </c>
      <c r="O332">
        <v>9009.0090090089998</v>
      </c>
      <c r="P332">
        <v>288288.28828828799</v>
      </c>
      <c r="R332">
        <v>4</v>
      </c>
      <c r="S332">
        <v>2328288.2882882878</v>
      </c>
      <c r="T332">
        <v>2902162.1621621619</v>
      </c>
      <c r="V332">
        <v>173423.423423423</v>
      </c>
      <c r="W332">
        <v>816</v>
      </c>
      <c r="X332">
        <v>705</v>
      </c>
    </row>
    <row r="333" spans="1:24">
      <c r="A333" s="7" t="s">
        <v>431</v>
      </c>
      <c r="B333" s="16" t="s">
        <v>78</v>
      </c>
      <c r="C333">
        <v>201236402.63213736</v>
      </c>
      <c r="D333">
        <v>199648809.32472125</v>
      </c>
      <c r="E333">
        <v>1356756.7567567581</v>
      </c>
      <c r="F333">
        <v>2481081.0810810849</v>
      </c>
      <c r="G333">
        <v>44</v>
      </c>
      <c r="H333">
        <v>169</v>
      </c>
      <c r="I333">
        <v>3</v>
      </c>
      <c r="J333">
        <v>10</v>
      </c>
      <c r="M333">
        <v>48</v>
      </c>
      <c r="N333">
        <v>281</v>
      </c>
      <c r="O333">
        <v>16631531.53153153</v>
      </c>
      <c r="P333">
        <v>19620720.72072072</v>
      </c>
      <c r="Q333">
        <v>96</v>
      </c>
      <c r="R333">
        <v>421</v>
      </c>
      <c r="S333">
        <v>85359666.666666672</v>
      </c>
      <c r="T333">
        <v>88531378.378378391</v>
      </c>
      <c r="U333">
        <v>19039639.639639638</v>
      </c>
      <c r="V333">
        <v>20578018.018018018</v>
      </c>
      <c r="W333">
        <v>6321</v>
      </c>
      <c r="X333">
        <v>6417</v>
      </c>
    </row>
    <row r="334" spans="1:24">
      <c r="A334" s="7" t="s">
        <v>432</v>
      </c>
      <c r="B334" s="16" t="s">
        <v>105</v>
      </c>
      <c r="C334">
        <v>180056717.5169794</v>
      </c>
      <c r="D334">
        <v>181212365.89191794</v>
      </c>
      <c r="E334">
        <v>82882.882882884005</v>
      </c>
      <c r="F334">
        <v>510810.81081081199</v>
      </c>
      <c r="G334">
        <v>33</v>
      </c>
      <c r="H334">
        <v>21</v>
      </c>
      <c r="I334">
        <v>4</v>
      </c>
      <c r="J334">
        <v>2</v>
      </c>
      <c r="M334">
        <v>38</v>
      </c>
      <c r="N334">
        <v>24</v>
      </c>
      <c r="O334">
        <v>19623963.963963963</v>
      </c>
      <c r="P334">
        <v>23268243.243243244</v>
      </c>
      <c r="Q334">
        <v>32</v>
      </c>
      <c r="R334">
        <v>106</v>
      </c>
      <c r="S334">
        <v>41650843.24324324</v>
      </c>
      <c r="T334">
        <v>42678036.036036029</v>
      </c>
      <c r="U334">
        <v>18579549.549549554</v>
      </c>
      <c r="V334">
        <v>23726531.531531531</v>
      </c>
      <c r="W334">
        <v>3631</v>
      </c>
      <c r="X334">
        <v>3740</v>
      </c>
    </row>
    <row r="335" spans="1:24">
      <c r="A335" s="7" t="s">
        <v>433</v>
      </c>
      <c r="B335" s="16" t="s">
        <v>72</v>
      </c>
      <c r="C335">
        <v>1007616683.3370949</v>
      </c>
      <c r="D335">
        <v>978273437.15606642</v>
      </c>
      <c r="E335">
        <v>2875225.2252252349</v>
      </c>
      <c r="F335">
        <v>5765315.3153153313</v>
      </c>
      <c r="G335">
        <v>262</v>
      </c>
      <c r="H335">
        <v>245</v>
      </c>
      <c r="I335">
        <v>64</v>
      </c>
      <c r="J335">
        <v>65</v>
      </c>
      <c r="K335">
        <v>1</v>
      </c>
      <c r="M335">
        <v>366</v>
      </c>
      <c r="N335">
        <v>358</v>
      </c>
      <c r="O335">
        <v>138285135.13513514</v>
      </c>
      <c r="P335">
        <v>141733783.78378379</v>
      </c>
      <c r="Q335">
        <v>224</v>
      </c>
      <c r="R335">
        <v>729</v>
      </c>
      <c r="S335">
        <v>206993273.87387389</v>
      </c>
      <c r="T335">
        <v>206303727.47747746</v>
      </c>
      <c r="U335">
        <v>109605311.7117117</v>
      </c>
      <c r="V335">
        <v>108106756.75675675</v>
      </c>
      <c r="W335">
        <v>18173</v>
      </c>
      <c r="X335">
        <v>18395</v>
      </c>
    </row>
    <row r="336" spans="1:24">
      <c r="A336" s="7" t="s">
        <v>434</v>
      </c>
      <c r="B336" s="16" t="s">
        <v>72</v>
      </c>
      <c r="C336">
        <v>701062877.13495195</v>
      </c>
      <c r="D336">
        <v>672922534.97612703</v>
      </c>
      <c r="E336">
        <v>1943243.2432432449</v>
      </c>
      <c r="F336">
        <v>4294819.8198198257</v>
      </c>
      <c r="G336">
        <v>143</v>
      </c>
      <c r="H336">
        <v>154</v>
      </c>
      <c r="I336">
        <v>16</v>
      </c>
      <c r="J336">
        <v>19</v>
      </c>
      <c r="K336">
        <v>1</v>
      </c>
      <c r="M336">
        <v>159</v>
      </c>
      <c r="N336">
        <v>192</v>
      </c>
      <c r="O336">
        <v>79550990.990990996</v>
      </c>
      <c r="P336">
        <v>82913513.513513505</v>
      </c>
      <c r="Q336">
        <v>204</v>
      </c>
      <c r="R336">
        <v>113</v>
      </c>
      <c r="S336">
        <v>122666265.76576576</v>
      </c>
      <c r="T336">
        <v>126940207.20720722</v>
      </c>
      <c r="U336">
        <v>59931441.441441439</v>
      </c>
      <c r="V336">
        <v>55627567.567567565</v>
      </c>
      <c r="W336">
        <v>13559</v>
      </c>
      <c r="X336">
        <v>14515</v>
      </c>
    </row>
    <row r="337" spans="1:24">
      <c r="A337" s="7" t="s">
        <v>435</v>
      </c>
      <c r="B337" s="16" t="s">
        <v>94</v>
      </c>
      <c r="C337">
        <v>52939610.973316014</v>
      </c>
      <c r="D337">
        <v>47513319.458868973</v>
      </c>
      <c r="E337">
        <v>900.900900901</v>
      </c>
      <c r="F337">
        <v>13513.513513514001</v>
      </c>
      <c r="G337">
        <v>9</v>
      </c>
      <c r="H337">
        <v>3</v>
      </c>
      <c r="I337">
        <v>0</v>
      </c>
      <c r="J337">
        <v>0</v>
      </c>
      <c r="M337">
        <v>9</v>
      </c>
      <c r="N337">
        <v>3</v>
      </c>
      <c r="O337">
        <v>991891.89189189195</v>
      </c>
      <c r="P337">
        <v>554054.05405405397</v>
      </c>
      <c r="S337">
        <v>12132702.702702705</v>
      </c>
      <c r="T337">
        <v>11606504.504504504</v>
      </c>
      <c r="U337">
        <v>330540.54054054001</v>
      </c>
      <c r="V337">
        <v>381801.80180180201</v>
      </c>
      <c r="W337">
        <v>918</v>
      </c>
      <c r="X337">
        <v>897</v>
      </c>
    </row>
    <row r="338" spans="1:24">
      <c r="A338" s="7" t="s">
        <v>436</v>
      </c>
      <c r="B338" s="16" t="s">
        <v>89</v>
      </c>
      <c r="C338">
        <v>241880725.39450619</v>
      </c>
      <c r="D338">
        <v>245050191.82044557</v>
      </c>
      <c r="E338">
        <v>2913468.468468471</v>
      </c>
      <c r="F338">
        <v>3331531.531531537</v>
      </c>
      <c r="G338">
        <v>59</v>
      </c>
      <c r="H338">
        <v>69</v>
      </c>
      <c r="I338">
        <v>14</v>
      </c>
      <c r="J338">
        <v>16</v>
      </c>
      <c r="K338">
        <v>1</v>
      </c>
      <c r="M338">
        <v>63</v>
      </c>
      <c r="N338">
        <v>76</v>
      </c>
      <c r="O338">
        <v>34110990.990990989</v>
      </c>
      <c r="P338">
        <v>35810810.810810812</v>
      </c>
      <c r="Q338">
        <v>219</v>
      </c>
      <c r="R338">
        <v>135</v>
      </c>
      <c r="S338">
        <v>103692477.47747748</v>
      </c>
      <c r="T338">
        <v>110339229.72972973</v>
      </c>
      <c r="U338">
        <v>30940720.72072072</v>
      </c>
      <c r="V338">
        <v>34416216.216216221</v>
      </c>
      <c r="W338">
        <v>5476</v>
      </c>
      <c r="X338">
        <v>5325</v>
      </c>
    </row>
    <row r="339" spans="1:24">
      <c r="A339" s="7" t="s">
        <v>437</v>
      </c>
      <c r="B339" s="16" t="s">
        <v>70</v>
      </c>
      <c r="C339">
        <v>8176950.1968419766</v>
      </c>
      <c r="D339">
        <v>7546496.1608725851</v>
      </c>
      <c r="G339">
        <v>16</v>
      </c>
      <c r="H339">
        <v>5</v>
      </c>
      <c r="M339">
        <v>17</v>
      </c>
      <c r="N339">
        <v>5</v>
      </c>
      <c r="S339">
        <v>4873918.9189189188</v>
      </c>
      <c r="T339">
        <v>4922153.1531531531</v>
      </c>
      <c r="W339">
        <v>1319</v>
      </c>
      <c r="X339">
        <v>2270</v>
      </c>
    </row>
    <row r="340" spans="1:24">
      <c r="A340" s="7" t="s">
        <v>438</v>
      </c>
      <c r="B340" s="16" t="s">
        <v>195</v>
      </c>
      <c r="C340">
        <v>1186076017.0522695</v>
      </c>
      <c r="D340">
        <v>1158990642.6975312</v>
      </c>
      <c r="E340">
        <v>116559113.51351352</v>
      </c>
      <c r="F340">
        <v>162900659.45945945</v>
      </c>
      <c r="G340">
        <v>320</v>
      </c>
      <c r="H340">
        <v>315</v>
      </c>
      <c r="I340">
        <v>24</v>
      </c>
      <c r="J340">
        <v>19</v>
      </c>
      <c r="M340">
        <v>368</v>
      </c>
      <c r="N340">
        <v>387</v>
      </c>
      <c r="O340">
        <v>104697297.2972973</v>
      </c>
      <c r="P340">
        <v>109658558.55855855</v>
      </c>
      <c r="Q340">
        <v>275</v>
      </c>
      <c r="R340">
        <v>223</v>
      </c>
      <c r="S340">
        <v>185286180.18018019</v>
      </c>
      <c r="T340">
        <v>201356612.61261261</v>
      </c>
      <c r="U340">
        <v>91646936.936936945</v>
      </c>
      <c r="V340">
        <v>95563243.243243247</v>
      </c>
      <c r="W340">
        <v>20616</v>
      </c>
      <c r="X340">
        <v>21923</v>
      </c>
    </row>
    <row r="341" spans="1:24">
      <c r="A341" s="7" t="s">
        <v>439</v>
      </c>
      <c r="B341" s="16" t="s">
        <v>178</v>
      </c>
      <c r="C341">
        <v>582524786.49021816</v>
      </c>
      <c r="D341">
        <v>582120692.10869062</v>
      </c>
      <c r="E341">
        <v>1356126.126126128</v>
      </c>
      <c r="F341">
        <v>9442342.3423423432</v>
      </c>
      <c r="G341">
        <v>146</v>
      </c>
      <c r="H341">
        <v>136</v>
      </c>
      <c r="I341">
        <v>7</v>
      </c>
      <c r="J341">
        <v>45</v>
      </c>
      <c r="K341">
        <v>1</v>
      </c>
      <c r="M341">
        <v>164</v>
      </c>
      <c r="N341">
        <v>219</v>
      </c>
      <c r="O341">
        <v>104124375.67567568</v>
      </c>
      <c r="P341">
        <v>110333818.91891892</v>
      </c>
      <c r="Q341">
        <v>79</v>
      </c>
      <c r="R341">
        <v>239</v>
      </c>
      <c r="S341">
        <v>223543549.54954955</v>
      </c>
      <c r="T341">
        <v>233838923.42342341</v>
      </c>
      <c r="U341">
        <v>88744954.954954967</v>
      </c>
      <c r="V341">
        <v>90446261.261261269</v>
      </c>
      <c r="W341">
        <v>14609</v>
      </c>
      <c r="X341">
        <v>14493</v>
      </c>
    </row>
    <row r="342" spans="1:24">
      <c r="A342" s="7" t="s">
        <v>440</v>
      </c>
      <c r="B342" s="16" t="s">
        <v>78</v>
      </c>
      <c r="C342">
        <v>243378179.85426003</v>
      </c>
      <c r="D342">
        <v>247432133.86206535</v>
      </c>
      <c r="E342">
        <v>2008738.7387387389</v>
      </c>
      <c r="F342">
        <v>3424324.3243243261</v>
      </c>
      <c r="G342">
        <v>44</v>
      </c>
      <c r="H342">
        <v>49</v>
      </c>
      <c r="I342">
        <v>6</v>
      </c>
      <c r="J342">
        <v>8</v>
      </c>
      <c r="K342">
        <v>1</v>
      </c>
      <c r="M342">
        <v>54</v>
      </c>
      <c r="N342">
        <v>101</v>
      </c>
      <c r="O342">
        <v>19597027.027027026</v>
      </c>
      <c r="P342">
        <v>23739639.639639638</v>
      </c>
      <c r="Q342">
        <v>104</v>
      </c>
      <c r="R342">
        <v>95</v>
      </c>
      <c r="S342">
        <v>48657108.108108103</v>
      </c>
      <c r="T342">
        <v>50290585.585585587</v>
      </c>
      <c r="U342">
        <v>22282522.52252252</v>
      </c>
      <c r="V342">
        <v>24011441.441441439</v>
      </c>
      <c r="W342">
        <v>4867</v>
      </c>
      <c r="X342">
        <v>5749</v>
      </c>
    </row>
    <row r="343" spans="1:24">
      <c r="A343" s="7" t="s">
        <v>441</v>
      </c>
      <c r="B343" s="16" t="s">
        <v>78</v>
      </c>
      <c r="C343">
        <v>110908583.89528257</v>
      </c>
      <c r="D343">
        <v>103501764.11900301</v>
      </c>
      <c r="E343">
        <v>336036.03603603801</v>
      </c>
      <c r="F343">
        <v>1610810.8108108121</v>
      </c>
      <c r="G343">
        <v>23</v>
      </c>
      <c r="H343">
        <v>28</v>
      </c>
      <c r="I343">
        <v>2</v>
      </c>
      <c r="J343">
        <v>4</v>
      </c>
      <c r="M343">
        <v>25</v>
      </c>
      <c r="N343">
        <v>37</v>
      </c>
      <c r="O343">
        <v>14823333.333333332</v>
      </c>
      <c r="P343">
        <v>18270090.090090089</v>
      </c>
      <c r="Q343">
        <v>65</v>
      </c>
      <c r="R343">
        <v>31</v>
      </c>
      <c r="S343">
        <v>21851801.801801801</v>
      </c>
      <c r="T343">
        <v>22534108.108108107</v>
      </c>
      <c r="U343">
        <v>19134774.774774775</v>
      </c>
      <c r="V343">
        <v>19804504.504504506</v>
      </c>
      <c r="W343">
        <v>2298</v>
      </c>
      <c r="X343">
        <v>2285</v>
      </c>
    </row>
    <row r="344" spans="1:24">
      <c r="A344" s="7" t="s">
        <v>442</v>
      </c>
      <c r="B344" s="16" t="s">
        <v>123</v>
      </c>
      <c r="C344">
        <v>1684337.571411113</v>
      </c>
      <c r="D344">
        <v>1846763.211648348</v>
      </c>
      <c r="G344">
        <v>1</v>
      </c>
      <c r="M344">
        <v>3</v>
      </c>
      <c r="S344">
        <v>720990.99099099101</v>
      </c>
      <c r="T344">
        <v>715450.45045044995</v>
      </c>
      <c r="W344">
        <v>401</v>
      </c>
      <c r="X344">
        <v>204</v>
      </c>
    </row>
    <row r="345" spans="1:24">
      <c r="A345" s="7" t="s">
        <v>443</v>
      </c>
      <c r="B345" s="16" t="s">
        <v>140</v>
      </c>
      <c r="C345">
        <v>244351596.1382097</v>
      </c>
      <c r="D345">
        <v>251909889.76237929</v>
      </c>
      <c r="E345">
        <v>1779054.054054053</v>
      </c>
      <c r="F345">
        <v>1464414.414414414</v>
      </c>
      <c r="G345">
        <v>19</v>
      </c>
      <c r="H345">
        <v>43</v>
      </c>
      <c r="I345">
        <v>2</v>
      </c>
      <c r="J345">
        <v>7</v>
      </c>
      <c r="K345">
        <v>1</v>
      </c>
      <c r="M345">
        <v>26</v>
      </c>
      <c r="N345">
        <v>49</v>
      </c>
      <c r="O345">
        <v>24480630.630630627</v>
      </c>
      <c r="P345">
        <v>25998108.108108107</v>
      </c>
      <c r="Q345">
        <v>18</v>
      </c>
      <c r="R345">
        <v>75</v>
      </c>
      <c r="S345">
        <v>60602612.612612605</v>
      </c>
      <c r="T345">
        <v>69075990.990990996</v>
      </c>
      <c r="U345">
        <v>21802972.97297297</v>
      </c>
      <c r="V345">
        <v>23087027.02702703</v>
      </c>
      <c r="W345">
        <v>5829</v>
      </c>
      <c r="X345">
        <v>5740</v>
      </c>
    </row>
    <row r="346" spans="1:24">
      <c r="A346" s="7" t="s">
        <v>444</v>
      </c>
      <c r="B346" s="16" t="s">
        <v>76</v>
      </c>
      <c r="C346">
        <v>27294936.718121305</v>
      </c>
      <c r="D346">
        <v>27852766.404210281</v>
      </c>
      <c r="E346">
        <v>175675.675675676</v>
      </c>
      <c r="F346">
        <v>240540.540540541</v>
      </c>
      <c r="G346">
        <v>8</v>
      </c>
      <c r="H346">
        <v>3</v>
      </c>
      <c r="I346">
        <v>1</v>
      </c>
      <c r="J346">
        <v>0</v>
      </c>
      <c r="M346">
        <v>9</v>
      </c>
      <c r="N346">
        <v>4</v>
      </c>
      <c r="O346">
        <v>8184684.6846846864</v>
      </c>
      <c r="P346">
        <v>5245045.0450450452</v>
      </c>
      <c r="Q346">
        <v>12</v>
      </c>
      <c r="R346">
        <v>72</v>
      </c>
      <c r="S346">
        <v>5986981.9819819815</v>
      </c>
      <c r="T346">
        <v>6330873.8738738736</v>
      </c>
      <c r="U346">
        <v>6060990.9909909908</v>
      </c>
      <c r="V346">
        <v>4644864.8648648644</v>
      </c>
      <c r="W346">
        <v>628</v>
      </c>
      <c r="X346">
        <v>581</v>
      </c>
    </row>
    <row r="347" spans="1:24">
      <c r="A347" s="7" t="s">
        <v>445</v>
      </c>
      <c r="B347" s="16" t="s">
        <v>89</v>
      </c>
      <c r="C347">
        <v>767936618.47273326</v>
      </c>
      <c r="D347">
        <v>771932544.31404054</v>
      </c>
      <c r="E347">
        <v>100461411.7117117</v>
      </c>
      <c r="F347">
        <v>411447652.25225228</v>
      </c>
      <c r="G347">
        <v>511</v>
      </c>
      <c r="H347">
        <v>298</v>
      </c>
      <c r="I347">
        <v>38</v>
      </c>
      <c r="J347">
        <v>74</v>
      </c>
      <c r="K347">
        <v>4</v>
      </c>
      <c r="M347">
        <v>581</v>
      </c>
      <c r="N347">
        <v>986</v>
      </c>
      <c r="O347">
        <v>84713243.243243232</v>
      </c>
      <c r="P347">
        <v>263802072.07207209</v>
      </c>
      <c r="Q347">
        <v>646</v>
      </c>
      <c r="R347">
        <v>770</v>
      </c>
      <c r="S347">
        <v>235407738.73873875</v>
      </c>
      <c r="T347">
        <v>254737980.18018019</v>
      </c>
      <c r="U347">
        <v>87333963.963963971</v>
      </c>
      <c r="V347">
        <v>155636756.75675678</v>
      </c>
      <c r="W347">
        <v>16283</v>
      </c>
      <c r="X347">
        <v>16213</v>
      </c>
    </row>
    <row r="348" spans="1:24">
      <c r="A348" s="7" t="s">
        <v>446</v>
      </c>
      <c r="B348" s="16" t="s">
        <v>48</v>
      </c>
      <c r="C348">
        <v>80683784.130114853</v>
      </c>
      <c r="D348">
        <v>76254761.054418266</v>
      </c>
      <c r="E348">
        <v>97242071.171171173</v>
      </c>
      <c r="F348">
        <v>170463059.45945945</v>
      </c>
      <c r="G348">
        <v>10</v>
      </c>
      <c r="H348">
        <v>9</v>
      </c>
      <c r="I348">
        <v>1</v>
      </c>
      <c r="J348">
        <v>2</v>
      </c>
      <c r="M348">
        <v>10</v>
      </c>
      <c r="N348">
        <v>13</v>
      </c>
      <c r="O348">
        <v>11210630.630630629</v>
      </c>
      <c r="P348">
        <v>33813204.504504502</v>
      </c>
      <c r="S348">
        <v>27353963.963963963</v>
      </c>
      <c r="T348">
        <v>25961918.918918919</v>
      </c>
      <c r="U348">
        <v>8671081.0810810812</v>
      </c>
      <c r="V348">
        <v>19913603.603603605</v>
      </c>
      <c r="W348">
        <v>1117</v>
      </c>
      <c r="X348">
        <v>1087</v>
      </c>
    </row>
    <row r="349" spans="1:24">
      <c r="A349" s="7" t="s">
        <v>447</v>
      </c>
      <c r="B349" s="16" t="s">
        <v>448</v>
      </c>
      <c r="C349">
        <v>155744623.50435063</v>
      </c>
      <c r="D349">
        <v>152878889.31832233</v>
      </c>
      <c r="E349">
        <v>998873.87387387501</v>
      </c>
      <c r="F349">
        <v>3513513.5135135138</v>
      </c>
      <c r="G349">
        <v>553</v>
      </c>
      <c r="H349">
        <v>141</v>
      </c>
      <c r="I349">
        <v>9</v>
      </c>
      <c r="J349">
        <v>10</v>
      </c>
      <c r="M349">
        <v>573</v>
      </c>
      <c r="N349">
        <v>185</v>
      </c>
      <c r="O349">
        <v>20636486.486486487</v>
      </c>
      <c r="P349">
        <v>11526846.846846849</v>
      </c>
      <c r="Q349">
        <v>182</v>
      </c>
      <c r="R349">
        <v>19</v>
      </c>
      <c r="S349">
        <v>61664009.009009011</v>
      </c>
      <c r="T349">
        <v>62278252.252252251</v>
      </c>
      <c r="U349">
        <v>15761711.711711712</v>
      </c>
      <c r="V349">
        <v>12931621.621621624</v>
      </c>
      <c r="W349">
        <v>5394</v>
      </c>
      <c r="X349">
        <v>5447</v>
      </c>
    </row>
    <row r="350" spans="1:24">
      <c r="A350" s="7" t="s">
        <v>449</v>
      </c>
      <c r="B350" s="16" t="s">
        <v>76</v>
      </c>
      <c r="C350">
        <v>39811444.4576056</v>
      </c>
      <c r="D350">
        <v>36355022.860296905</v>
      </c>
      <c r="E350">
        <v>21621.621621622999</v>
      </c>
      <c r="F350">
        <v>541441.44144144305</v>
      </c>
      <c r="G350">
        <v>14</v>
      </c>
      <c r="H350">
        <v>22</v>
      </c>
      <c r="I350">
        <v>1</v>
      </c>
      <c r="J350">
        <v>6</v>
      </c>
      <c r="M350">
        <v>17</v>
      </c>
      <c r="N350">
        <v>24</v>
      </c>
      <c r="O350">
        <v>8583783.7837837841</v>
      </c>
      <c r="P350">
        <v>10512882.882882884</v>
      </c>
      <c r="Q350">
        <v>24</v>
      </c>
      <c r="R350">
        <v>13</v>
      </c>
      <c r="S350">
        <v>14408423.423423424</v>
      </c>
      <c r="T350">
        <v>13137205.405405404</v>
      </c>
      <c r="U350">
        <v>7283333.333333334</v>
      </c>
      <c r="V350">
        <v>8276036.0360360369</v>
      </c>
      <c r="W350">
        <v>1876</v>
      </c>
      <c r="X350">
        <v>1860</v>
      </c>
    </row>
    <row r="351" spans="1:24">
      <c r="A351" s="7" t="s">
        <v>450</v>
      </c>
      <c r="B351" s="16" t="s">
        <v>83</v>
      </c>
      <c r="C351">
        <v>1386881649.0563896</v>
      </c>
      <c r="D351">
        <v>1376399607.7533002</v>
      </c>
      <c r="E351">
        <v>702781959.45945942</v>
      </c>
      <c r="F351">
        <v>302544196.3963964</v>
      </c>
      <c r="G351">
        <v>316</v>
      </c>
      <c r="H351">
        <v>428</v>
      </c>
      <c r="I351">
        <v>30</v>
      </c>
      <c r="J351">
        <v>38</v>
      </c>
      <c r="K351">
        <v>7</v>
      </c>
      <c r="M351">
        <v>422</v>
      </c>
      <c r="N351">
        <v>575</v>
      </c>
      <c r="O351">
        <v>161399054.05405405</v>
      </c>
      <c r="P351">
        <v>179293693.6936937</v>
      </c>
      <c r="Q351">
        <v>316</v>
      </c>
      <c r="R351">
        <v>649</v>
      </c>
      <c r="S351">
        <v>294326144.14414412</v>
      </c>
      <c r="T351">
        <v>300504128.37837839</v>
      </c>
      <c r="U351">
        <v>143456126.12612614</v>
      </c>
      <c r="V351">
        <v>161246351.35135135</v>
      </c>
      <c r="W351">
        <v>31381</v>
      </c>
      <c r="X351">
        <v>31372</v>
      </c>
    </row>
    <row r="352" spans="1:24">
      <c r="A352" s="7" t="s">
        <v>451</v>
      </c>
      <c r="B352" s="16" t="s">
        <v>70</v>
      </c>
      <c r="C352">
        <v>97041792.47658655</v>
      </c>
      <c r="D352">
        <v>90053679.499537095</v>
      </c>
      <c r="E352">
        <v>68188974.774774775</v>
      </c>
      <c r="F352">
        <v>55531994.59459459</v>
      </c>
      <c r="G352">
        <v>21</v>
      </c>
      <c r="H352">
        <v>21</v>
      </c>
      <c r="I352">
        <v>1</v>
      </c>
      <c r="J352">
        <v>1</v>
      </c>
      <c r="M352">
        <v>21</v>
      </c>
      <c r="N352">
        <v>21</v>
      </c>
      <c r="O352">
        <v>39298463.963963971</v>
      </c>
      <c r="P352">
        <v>38411721.621621624</v>
      </c>
      <c r="R352">
        <v>12</v>
      </c>
      <c r="S352">
        <v>58526756.75675676</v>
      </c>
      <c r="T352">
        <v>55476072.072072074</v>
      </c>
      <c r="U352">
        <v>2887567.5675675678</v>
      </c>
      <c r="V352">
        <v>2121171.1711711711</v>
      </c>
      <c r="W352">
        <v>2960</v>
      </c>
      <c r="X352">
        <v>2814</v>
      </c>
    </row>
    <row r="353" spans="1:24">
      <c r="A353" s="7" t="s">
        <v>452</v>
      </c>
      <c r="B353" s="16" t="s">
        <v>167</v>
      </c>
      <c r="C353">
        <v>113318554.49895933</v>
      </c>
      <c r="D353">
        <v>109561766.08737898</v>
      </c>
      <c r="E353">
        <v>39639.639639640001</v>
      </c>
      <c r="F353">
        <v>1396396.396396396</v>
      </c>
      <c r="G353">
        <v>10</v>
      </c>
      <c r="H353">
        <v>4</v>
      </c>
      <c r="I353">
        <v>1</v>
      </c>
      <c r="J353">
        <v>0</v>
      </c>
      <c r="K353">
        <v>1</v>
      </c>
      <c r="M353">
        <v>13</v>
      </c>
      <c r="N353">
        <v>4</v>
      </c>
      <c r="O353">
        <v>14394684.684684685</v>
      </c>
      <c r="P353">
        <v>4148198.1981981979</v>
      </c>
      <c r="Q353">
        <v>314</v>
      </c>
      <c r="S353">
        <v>20072702.702702705</v>
      </c>
      <c r="T353">
        <v>21013342.342342343</v>
      </c>
      <c r="U353">
        <v>15674684.684684685</v>
      </c>
      <c r="V353">
        <v>5024864.8648648644</v>
      </c>
      <c r="W353">
        <v>2777</v>
      </c>
      <c r="X353">
        <v>2913</v>
      </c>
    </row>
    <row r="354" spans="1:24">
      <c r="A354" s="7" t="s">
        <v>453</v>
      </c>
      <c r="B354" s="16" t="s">
        <v>121</v>
      </c>
      <c r="C354">
        <v>6894976.7345827613</v>
      </c>
      <c r="D354">
        <v>4490203.8990934864</v>
      </c>
      <c r="E354">
        <v>14414.414414413999</v>
      </c>
      <c r="F354">
        <v>34234.234234233998</v>
      </c>
      <c r="G354">
        <v>4</v>
      </c>
      <c r="H354">
        <v>2</v>
      </c>
      <c r="I354">
        <v>1</v>
      </c>
      <c r="J354">
        <v>0</v>
      </c>
      <c r="M354">
        <v>4</v>
      </c>
      <c r="N354">
        <v>2</v>
      </c>
      <c r="O354">
        <v>158558.558558558</v>
      </c>
      <c r="P354">
        <v>36036.036036035999</v>
      </c>
      <c r="Q354">
        <v>16</v>
      </c>
      <c r="S354">
        <v>565801.80180180201</v>
      </c>
      <c r="T354">
        <v>420360.36036036001</v>
      </c>
      <c r="U354">
        <v>144144.144144144</v>
      </c>
      <c r="W354">
        <v>151</v>
      </c>
      <c r="X354">
        <v>118</v>
      </c>
    </row>
    <row r="355" spans="1:24">
      <c r="A355" s="7" t="s">
        <v>454</v>
      </c>
      <c r="B355" s="16" t="s">
        <v>224</v>
      </c>
      <c r="C355">
        <v>42114072.173420534</v>
      </c>
      <c r="D355">
        <v>37292481.308496714</v>
      </c>
      <c r="G355">
        <v>1</v>
      </c>
      <c r="M355">
        <v>1</v>
      </c>
      <c r="N355">
        <v>1</v>
      </c>
      <c r="R355">
        <v>10</v>
      </c>
      <c r="S355">
        <v>7149729.7297297297</v>
      </c>
      <c r="T355">
        <v>7106612.6126126125</v>
      </c>
      <c r="U355">
        <v>191441.44144144101</v>
      </c>
      <c r="V355">
        <v>168648.64864864899</v>
      </c>
      <c r="W355">
        <v>1328</v>
      </c>
      <c r="X355">
        <v>1244</v>
      </c>
    </row>
    <row r="356" spans="1:24">
      <c r="A356" s="7" t="s">
        <v>455</v>
      </c>
      <c r="B356" s="16" t="s">
        <v>94</v>
      </c>
      <c r="C356">
        <v>45635687.076632127</v>
      </c>
      <c r="D356">
        <v>60075689.223462477</v>
      </c>
      <c r="E356">
        <v>209909.90990991</v>
      </c>
      <c r="F356">
        <v>522522.52252252301</v>
      </c>
      <c r="G356">
        <v>16</v>
      </c>
      <c r="H356">
        <v>17</v>
      </c>
      <c r="I356">
        <v>3</v>
      </c>
      <c r="J356">
        <v>2</v>
      </c>
      <c r="M356">
        <v>19</v>
      </c>
      <c r="N356">
        <v>20</v>
      </c>
      <c r="O356">
        <v>8044144.144144143</v>
      </c>
      <c r="P356">
        <v>19945945.945945945</v>
      </c>
      <c r="Q356">
        <v>57</v>
      </c>
      <c r="R356">
        <v>199</v>
      </c>
      <c r="S356">
        <v>9568738.738738738</v>
      </c>
      <c r="T356">
        <v>13556644.144144144</v>
      </c>
      <c r="U356">
        <v>7845675.6756756753</v>
      </c>
      <c r="V356">
        <v>19104414.414414417</v>
      </c>
      <c r="W356">
        <v>1895</v>
      </c>
      <c r="X356">
        <v>1867</v>
      </c>
    </row>
    <row r="357" spans="1:24">
      <c r="A357" s="7" t="s">
        <v>678</v>
      </c>
      <c r="B357" s="16" t="s">
        <v>189</v>
      </c>
      <c r="E357">
        <v>31674481.981981985</v>
      </c>
      <c r="F357">
        <v>28852110.810810812</v>
      </c>
      <c r="P357">
        <v>14729049.54954955</v>
      </c>
    </row>
    <row r="358" spans="1:24">
      <c r="A358" s="7" t="s">
        <v>456</v>
      </c>
      <c r="B358" s="16" t="s">
        <v>60</v>
      </c>
      <c r="C358">
        <v>11070585.07423852</v>
      </c>
      <c r="D358">
        <v>8191329.6801319364</v>
      </c>
      <c r="E358">
        <v>298198.19819819799</v>
      </c>
      <c r="F358">
        <v>170270.27027027</v>
      </c>
      <c r="G358">
        <v>6</v>
      </c>
      <c r="H358">
        <v>5</v>
      </c>
      <c r="I358">
        <v>2</v>
      </c>
      <c r="J358">
        <v>1</v>
      </c>
      <c r="M358">
        <v>7</v>
      </c>
      <c r="N358">
        <v>6</v>
      </c>
      <c r="O358">
        <v>2550450.4504504511</v>
      </c>
      <c r="P358">
        <v>1206306.306306307</v>
      </c>
      <c r="R358">
        <v>15</v>
      </c>
      <c r="S358">
        <v>6328153.1531531531</v>
      </c>
      <c r="T358">
        <v>3647288.2882882878</v>
      </c>
      <c r="U358">
        <v>1558018.0180180171</v>
      </c>
      <c r="V358">
        <v>620270.27027026995</v>
      </c>
      <c r="W358">
        <v>664</v>
      </c>
      <c r="X358">
        <v>561</v>
      </c>
    </row>
    <row r="359" spans="1:24">
      <c r="A359" s="7" t="s">
        <v>457</v>
      </c>
      <c r="B359" s="16" t="s">
        <v>214</v>
      </c>
      <c r="C359">
        <v>140651122.12306398</v>
      </c>
      <c r="D359">
        <v>152794999.26659831</v>
      </c>
      <c r="F359">
        <v>396396.39639639598</v>
      </c>
      <c r="G359">
        <v>28</v>
      </c>
      <c r="H359">
        <v>35</v>
      </c>
      <c r="J359">
        <v>1</v>
      </c>
      <c r="M359">
        <v>30</v>
      </c>
      <c r="N359">
        <v>40</v>
      </c>
      <c r="O359">
        <v>450450.45045045001</v>
      </c>
      <c r="P359">
        <v>936936.93693693704</v>
      </c>
      <c r="R359">
        <v>7</v>
      </c>
      <c r="S359">
        <v>72586711.711711705</v>
      </c>
      <c r="T359">
        <v>77982531.531531543</v>
      </c>
      <c r="U359">
        <v>432432.43243243202</v>
      </c>
      <c r="V359">
        <v>1759909.9099099101</v>
      </c>
      <c r="W359">
        <v>2856</v>
      </c>
      <c r="X359">
        <v>2948</v>
      </c>
    </row>
    <row r="360" spans="1:24">
      <c r="A360" s="7" t="s">
        <v>458</v>
      </c>
      <c r="B360" s="16" t="s">
        <v>459</v>
      </c>
      <c r="C360">
        <v>623570050.93634343</v>
      </c>
      <c r="D360">
        <v>590125728.27411604</v>
      </c>
      <c r="E360">
        <v>1997792.7927927959</v>
      </c>
      <c r="F360">
        <v>12009009.009009015</v>
      </c>
      <c r="G360">
        <v>305</v>
      </c>
      <c r="H360">
        <v>380</v>
      </c>
      <c r="I360">
        <v>34</v>
      </c>
      <c r="J360">
        <v>40</v>
      </c>
      <c r="K360">
        <v>2</v>
      </c>
      <c r="M360">
        <v>393</v>
      </c>
      <c r="N360">
        <v>525</v>
      </c>
      <c r="O360">
        <v>71266936.936936945</v>
      </c>
      <c r="P360">
        <v>230069594.5945946</v>
      </c>
      <c r="Q360">
        <v>852</v>
      </c>
      <c r="R360">
        <v>602</v>
      </c>
      <c r="S360">
        <v>201991099.0990991</v>
      </c>
      <c r="T360">
        <v>211599407.65765765</v>
      </c>
      <c r="U360">
        <v>66008558.558558561</v>
      </c>
      <c r="V360">
        <v>137486981.98198199</v>
      </c>
      <c r="W360">
        <v>25307</v>
      </c>
      <c r="X360">
        <v>24236</v>
      </c>
    </row>
    <row r="361" spans="1:24">
      <c r="A361" s="7" t="s">
        <v>460</v>
      </c>
      <c r="B361" s="16" t="s">
        <v>459</v>
      </c>
      <c r="C361">
        <v>1765844836.0752497</v>
      </c>
      <c r="D361">
        <v>1957101701.2539642</v>
      </c>
      <c r="E361">
        <v>219372477.47747746</v>
      </c>
      <c r="F361">
        <v>323336216.21621621</v>
      </c>
      <c r="G361">
        <v>575</v>
      </c>
      <c r="H361">
        <v>490</v>
      </c>
      <c r="I361">
        <v>20</v>
      </c>
      <c r="J361">
        <v>31</v>
      </c>
      <c r="K361">
        <v>2</v>
      </c>
      <c r="M361">
        <v>701</v>
      </c>
      <c r="N361">
        <v>630</v>
      </c>
      <c r="O361">
        <v>82399954.954954967</v>
      </c>
      <c r="P361">
        <v>114366351.35135135</v>
      </c>
      <c r="Q361">
        <v>531</v>
      </c>
      <c r="R361">
        <v>462</v>
      </c>
      <c r="S361">
        <v>999827845.04504502</v>
      </c>
      <c r="T361">
        <v>1248028626.5765765</v>
      </c>
      <c r="U361">
        <v>72725360.360360369</v>
      </c>
      <c r="V361">
        <v>96000405.405405387</v>
      </c>
      <c r="W361">
        <v>31338</v>
      </c>
      <c r="X361">
        <v>30341</v>
      </c>
    </row>
    <row r="362" spans="1:24">
      <c r="A362" s="7" t="s">
        <v>461</v>
      </c>
      <c r="B362" s="16" t="s">
        <v>459</v>
      </c>
      <c r="C362">
        <v>917893207.0100075</v>
      </c>
      <c r="D362">
        <v>938145205.94086075</v>
      </c>
      <c r="E362">
        <v>22406098.198198203</v>
      </c>
      <c r="F362">
        <v>24166154.054054059</v>
      </c>
      <c r="G362">
        <v>423</v>
      </c>
      <c r="H362">
        <v>427</v>
      </c>
      <c r="I362">
        <v>20</v>
      </c>
      <c r="J362">
        <v>26</v>
      </c>
      <c r="K362">
        <v>6</v>
      </c>
      <c r="M362">
        <v>515</v>
      </c>
      <c r="N362">
        <v>535</v>
      </c>
      <c r="O362">
        <v>929630857.65765762</v>
      </c>
      <c r="P362">
        <v>614334767.56756759</v>
      </c>
      <c r="Q362">
        <v>637</v>
      </c>
      <c r="R362">
        <v>1334</v>
      </c>
      <c r="S362">
        <v>237210409.90990993</v>
      </c>
      <c r="T362">
        <v>262931436.93693691</v>
      </c>
      <c r="U362">
        <v>844527657.65765762</v>
      </c>
      <c r="V362">
        <v>435423288.2882883</v>
      </c>
      <c r="W362">
        <v>23419</v>
      </c>
      <c r="X362">
        <v>22729</v>
      </c>
    </row>
    <row r="363" spans="1:24">
      <c r="A363" s="7" t="s">
        <v>462</v>
      </c>
      <c r="B363" s="16" t="s">
        <v>459</v>
      </c>
      <c r="C363">
        <v>699794909.953771</v>
      </c>
      <c r="D363">
        <v>682298682.06279969</v>
      </c>
      <c r="E363">
        <v>528738.73873874196</v>
      </c>
      <c r="F363">
        <v>4000000.0000000042</v>
      </c>
      <c r="G363">
        <v>240</v>
      </c>
      <c r="H363">
        <v>277</v>
      </c>
      <c r="I363">
        <v>22</v>
      </c>
      <c r="J363">
        <v>20</v>
      </c>
      <c r="K363">
        <v>1</v>
      </c>
      <c r="M363">
        <v>301</v>
      </c>
      <c r="N363">
        <v>330</v>
      </c>
      <c r="O363">
        <v>42465405.40540541</v>
      </c>
      <c r="P363">
        <v>129704189.18918918</v>
      </c>
      <c r="Q363">
        <v>427</v>
      </c>
      <c r="R363">
        <v>346</v>
      </c>
      <c r="S363">
        <v>154198581.98198199</v>
      </c>
      <c r="T363">
        <v>155863963.96396396</v>
      </c>
      <c r="U363">
        <v>46197837.837837838</v>
      </c>
      <c r="V363">
        <v>66017972.972972974</v>
      </c>
      <c r="W363">
        <v>19012</v>
      </c>
      <c r="X363">
        <v>18919</v>
      </c>
    </row>
    <row r="364" spans="1:24">
      <c r="A364" s="7" t="s">
        <v>463</v>
      </c>
      <c r="B364" s="16" t="s">
        <v>459</v>
      </c>
      <c r="C364">
        <v>658699404.56375694</v>
      </c>
      <c r="D364">
        <v>659950788.87090027</v>
      </c>
      <c r="E364">
        <v>1626126.1261261301</v>
      </c>
      <c r="F364">
        <v>12179504.504504507</v>
      </c>
      <c r="G364">
        <v>302</v>
      </c>
      <c r="H364">
        <v>612</v>
      </c>
      <c r="I364">
        <v>29</v>
      </c>
      <c r="J364">
        <v>45</v>
      </c>
      <c r="M364">
        <v>369</v>
      </c>
      <c r="N364">
        <v>828</v>
      </c>
      <c r="O364">
        <v>48555585.585585587</v>
      </c>
      <c r="P364">
        <v>160316126.12612614</v>
      </c>
      <c r="Q364">
        <v>456</v>
      </c>
      <c r="R364">
        <v>723</v>
      </c>
      <c r="S364">
        <v>246628162.16216218</v>
      </c>
      <c r="T364">
        <v>264969222.97297296</v>
      </c>
      <c r="U364">
        <v>48458918.918918923</v>
      </c>
      <c r="V364">
        <v>118489189.18918918</v>
      </c>
      <c r="W364">
        <v>26542</v>
      </c>
      <c r="X364">
        <v>26045</v>
      </c>
    </row>
    <row r="365" spans="1:24">
      <c r="A365" s="7" t="s">
        <v>464</v>
      </c>
      <c r="B365" s="16" t="s">
        <v>459</v>
      </c>
      <c r="C365">
        <v>735465872.92941523</v>
      </c>
      <c r="D365">
        <v>763545903.88165414</v>
      </c>
      <c r="E365">
        <v>1198717630.6306307</v>
      </c>
      <c r="F365">
        <v>1501257781.981982</v>
      </c>
      <c r="G365">
        <v>367</v>
      </c>
      <c r="H365">
        <v>317</v>
      </c>
      <c r="I365">
        <v>36</v>
      </c>
      <c r="J365">
        <v>39</v>
      </c>
      <c r="M365">
        <v>429</v>
      </c>
      <c r="N365">
        <v>380</v>
      </c>
      <c r="O365">
        <v>112781936.93693693</v>
      </c>
      <c r="P365">
        <v>104349228.82882883</v>
      </c>
      <c r="Q365">
        <v>1379</v>
      </c>
      <c r="R365">
        <v>657</v>
      </c>
      <c r="S365">
        <v>323286016.21621621</v>
      </c>
      <c r="T365">
        <v>328228311.26126122</v>
      </c>
      <c r="U365">
        <v>105493063.06306306</v>
      </c>
      <c r="V365">
        <v>101070990.990991</v>
      </c>
      <c r="W365">
        <v>28256</v>
      </c>
      <c r="X365">
        <v>30110</v>
      </c>
    </row>
    <row r="366" spans="1:24">
      <c r="A366" s="7" t="s">
        <v>465</v>
      </c>
      <c r="B366" s="16" t="s">
        <v>54</v>
      </c>
      <c r="C366">
        <v>52054423.298400514</v>
      </c>
      <c r="D366">
        <v>49450324.95097664</v>
      </c>
      <c r="E366">
        <v>213738.73873873899</v>
      </c>
      <c r="F366">
        <v>344144.144144146</v>
      </c>
      <c r="G366">
        <v>7</v>
      </c>
      <c r="H366">
        <v>14</v>
      </c>
      <c r="I366">
        <v>1</v>
      </c>
      <c r="J366">
        <v>3</v>
      </c>
      <c r="M366">
        <v>7</v>
      </c>
      <c r="N366">
        <v>20</v>
      </c>
      <c r="O366">
        <v>4488288.2882882869</v>
      </c>
      <c r="P366">
        <v>4571891.8918918921</v>
      </c>
      <c r="Q366">
        <v>33</v>
      </c>
      <c r="R366">
        <v>23</v>
      </c>
      <c r="S366">
        <v>10825945.945945946</v>
      </c>
      <c r="T366">
        <v>10743864.864864863</v>
      </c>
      <c r="U366">
        <v>4783873.8738738736</v>
      </c>
      <c r="V366">
        <v>5013423.4234234206</v>
      </c>
      <c r="W366">
        <v>1312</v>
      </c>
      <c r="X366">
        <v>1271</v>
      </c>
    </row>
    <row r="367" spans="1:24">
      <c r="A367" s="7" t="s">
        <v>466</v>
      </c>
      <c r="B367" s="16" t="s">
        <v>87</v>
      </c>
      <c r="C367">
        <v>2181039.0842584232</v>
      </c>
      <c r="D367">
        <v>1887970.0197005579</v>
      </c>
      <c r="S367">
        <v>373873.87387387402</v>
      </c>
      <c r="T367">
        <v>295945.94594594598</v>
      </c>
      <c r="W367">
        <v>78</v>
      </c>
      <c r="X367">
        <v>97</v>
      </c>
    </row>
    <row r="368" spans="1:24">
      <c r="A368" s="7" t="s">
        <v>467</v>
      </c>
      <c r="B368" s="16" t="s">
        <v>143</v>
      </c>
      <c r="C368">
        <v>243344285.6826089</v>
      </c>
      <c r="D368">
        <v>233796917.84248832</v>
      </c>
      <c r="E368">
        <v>70270.270270270004</v>
      </c>
      <c r="F368">
        <v>248648.64864865001</v>
      </c>
      <c r="G368">
        <v>73</v>
      </c>
      <c r="H368">
        <v>63</v>
      </c>
      <c r="I368">
        <v>2</v>
      </c>
      <c r="J368">
        <v>3</v>
      </c>
      <c r="M368">
        <v>78</v>
      </c>
      <c r="N368">
        <v>71</v>
      </c>
      <c r="O368">
        <v>14836036.036036033</v>
      </c>
      <c r="P368">
        <v>10248648.648648648</v>
      </c>
      <c r="Q368">
        <v>43</v>
      </c>
      <c r="R368">
        <v>11</v>
      </c>
      <c r="S368">
        <v>37749657.657657653</v>
      </c>
      <c r="T368">
        <v>35630915.315315314</v>
      </c>
      <c r="U368">
        <v>13398918.918918919</v>
      </c>
      <c r="V368">
        <v>9588108.1081081089</v>
      </c>
      <c r="W368">
        <v>4970</v>
      </c>
      <c r="X368">
        <v>4941</v>
      </c>
    </row>
    <row r="369" spans="1:24">
      <c r="A369" s="7" t="s">
        <v>468</v>
      </c>
      <c r="B369" s="16" t="s">
        <v>80</v>
      </c>
      <c r="C369">
        <v>210732175.57233721</v>
      </c>
      <c r="D369">
        <v>207995355.92488432</v>
      </c>
      <c r="E369">
        <v>240315.31531531599</v>
      </c>
      <c r="F369">
        <v>85135.135135138</v>
      </c>
      <c r="G369">
        <v>38</v>
      </c>
      <c r="H369">
        <v>36</v>
      </c>
      <c r="I369">
        <v>2</v>
      </c>
      <c r="J369">
        <v>0</v>
      </c>
      <c r="M369">
        <v>42</v>
      </c>
      <c r="N369">
        <v>40</v>
      </c>
      <c r="O369">
        <v>7026036.036036036</v>
      </c>
      <c r="P369">
        <v>6056306.3063063063</v>
      </c>
      <c r="Q369">
        <v>23</v>
      </c>
      <c r="R369">
        <v>33</v>
      </c>
      <c r="S369">
        <v>79565646.846846849</v>
      </c>
      <c r="T369">
        <v>77933306.306306303</v>
      </c>
      <c r="U369">
        <v>7139999.9999999991</v>
      </c>
      <c r="V369">
        <v>5151351.3513513505</v>
      </c>
      <c r="W369">
        <v>4758</v>
      </c>
      <c r="X369">
        <v>5146</v>
      </c>
    </row>
    <row r="370" spans="1:24">
      <c r="A370" s="7" t="s">
        <v>469</v>
      </c>
      <c r="B370" s="16" t="s">
        <v>470</v>
      </c>
      <c r="C370">
        <v>238974937.55262911</v>
      </c>
      <c r="D370">
        <v>244600660.8421936</v>
      </c>
      <c r="E370">
        <v>1190720.7207207209</v>
      </c>
      <c r="F370">
        <v>1918918.9189189191</v>
      </c>
      <c r="G370">
        <v>45</v>
      </c>
      <c r="H370">
        <v>26</v>
      </c>
      <c r="I370">
        <v>1</v>
      </c>
      <c r="J370">
        <v>1</v>
      </c>
      <c r="M370">
        <v>49</v>
      </c>
      <c r="N370">
        <v>27</v>
      </c>
      <c r="O370">
        <v>9227477.4774774797</v>
      </c>
      <c r="P370">
        <v>21459459.459459461</v>
      </c>
      <c r="R370">
        <v>2</v>
      </c>
      <c r="S370">
        <v>72474162.162162155</v>
      </c>
      <c r="T370">
        <v>75825234.234234244</v>
      </c>
      <c r="U370">
        <v>9998738.7387387417</v>
      </c>
      <c r="V370">
        <v>20848288.288288288</v>
      </c>
      <c r="W370">
        <v>5244</v>
      </c>
      <c r="X370">
        <v>5490</v>
      </c>
    </row>
    <row r="371" spans="1:24">
      <c r="A371" s="7" t="s">
        <v>471</v>
      </c>
      <c r="B371" s="16" t="s">
        <v>470</v>
      </c>
      <c r="C371">
        <v>22645201.963505697</v>
      </c>
      <c r="D371">
        <v>19760684.88135216</v>
      </c>
      <c r="E371">
        <v>32301126.126126129</v>
      </c>
      <c r="F371">
        <v>83344144.144144148</v>
      </c>
      <c r="G371">
        <v>5</v>
      </c>
      <c r="I371">
        <v>0</v>
      </c>
      <c r="J371">
        <v>1</v>
      </c>
      <c r="M371">
        <v>5</v>
      </c>
      <c r="N371">
        <v>1</v>
      </c>
      <c r="O371">
        <v>12011081.081081079</v>
      </c>
      <c r="P371">
        <v>3477927.927927928</v>
      </c>
      <c r="R371">
        <v>1</v>
      </c>
      <c r="S371">
        <v>1936351.351351351</v>
      </c>
      <c r="T371">
        <v>1886711.7117117119</v>
      </c>
      <c r="U371">
        <v>47567.567567568003</v>
      </c>
      <c r="V371">
        <v>2697117.1171171172</v>
      </c>
      <c r="W371">
        <v>620</v>
      </c>
      <c r="X371">
        <v>617</v>
      </c>
    </row>
    <row r="372" spans="1:24">
      <c r="A372" s="7" t="s">
        <v>472</v>
      </c>
      <c r="B372" s="16" t="s">
        <v>470</v>
      </c>
      <c r="C372">
        <v>2945016.2768149911</v>
      </c>
      <c r="D372">
        <v>2544228.9648480169</v>
      </c>
      <c r="E372">
        <v>1801.801801802</v>
      </c>
      <c r="F372">
        <v>359459.45945945999</v>
      </c>
      <c r="H372">
        <v>1</v>
      </c>
      <c r="J372">
        <v>1</v>
      </c>
      <c r="N372">
        <v>1</v>
      </c>
      <c r="O372">
        <v>96936.936936936996</v>
      </c>
      <c r="P372">
        <v>2909009.0090090092</v>
      </c>
      <c r="S372">
        <v>405630.630630631</v>
      </c>
      <c r="T372">
        <v>523693.69369369402</v>
      </c>
      <c r="U372">
        <v>232072.072072073</v>
      </c>
      <c r="V372">
        <v>2549549.5495495498</v>
      </c>
      <c r="W372">
        <v>457</v>
      </c>
      <c r="X372">
        <v>338</v>
      </c>
    </row>
    <row r="373" spans="1:24">
      <c r="A373" s="7" t="s">
        <v>473</v>
      </c>
      <c r="B373" s="16" t="s">
        <v>470</v>
      </c>
      <c r="C373">
        <v>81855480.633330643</v>
      </c>
      <c r="D373">
        <v>86358532.701892331</v>
      </c>
      <c r="E373">
        <v>370270.27027027</v>
      </c>
      <c r="F373">
        <v>436036.03603603598</v>
      </c>
      <c r="G373">
        <v>16</v>
      </c>
      <c r="H373">
        <v>11</v>
      </c>
      <c r="I373">
        <v>2</v>
      </c>
      <c r="J373">
        <v>1</v>
      </c>
      <c r="M373">
        <v>18</v>
      </c>
      <c r="N373">
        <v>12</v>
      </c>
      <c r="O373">
        <v>744684.68468468497</v>
      </c>
      <c r="P373">
        <v>25688288.288288288</v>
      </c>
      <c r="R373">
        <v>1</v>
      </c>
      <c r="S373">
        <v>11296700.9009009</v>
      </c>
      <c r="T373">
        <v>11956432.432432432</v>
      </c>
      <c r="U373">
        <v>5712342.3423423432</v>
      </c>
      <c r="V373">
        <v>16262522.522522524</v>
      </c>
      <c r="W373">
        <v>2217</v>
      </c>
      <c r="X373">
        <v>2151</v>
      </c>
    </row>
    <row r="374" spans="1:24">
      <c r="A374" s="7" t="s">
        <v>474</v>
      </c>
      <c r="B374" s="16" t="s">
        <v>470</v>
      </c>
      <c r="C374">
        <v>116374165.97223666</v>
      </c>
      <c r="D374">
        <v>121915069.17618203</v>
      </c>
      <c r="E374">
        <v>350990.99099099101</v>
      </c>
      <c r="F374">
        <v>1035135.135135136</v>
      </c>
      <c r="G374">
        <v>21</v>
      </c>
      <c r="H374">
        <v>30</v>
      </c>
      <c r="I374">
        <v>0</v>
      </c>
      <c r="J374">
        <v>3</v>
      </c>
      <c r="M374">
        <v>23</v>
      </c>
      <c r="N374">
        <v>31</v>
      </c>
      <c r="O374">
        <v>3801081.081081083</v>
      </c>
      <c r="P374">
        <v>10216306.306306306</v>
      </c>
      <c r="R374">
        <v>3</v>
      </c>
      <c r="S374">
        <v>26960540.540540539</v>
      </c>
      <c r="T374">
        <v>26517504.504504506</v>
      </c>
      <c r="U374">
        <v>3726576.576576578</v>
      </c>
      <c r="V374">
        <v>9631981.9819819834</v>
      </c>
      <c r="W374">
        <v>2405</v>
      </c>
      <c r="X374">
        <v>2443</v>
      </c>
    </row>
    <row r="375" spans="1:24">
      <c r="A375" s="7" t="s">
        <v>475</v>
      </c>
      <c r="B375" s="16" t="s">
        <v>470</v>
      </c>
      <c r="C375">
        <v>45538465.238181822</v>
      </c>
      <c r="D375">
        <v>44638135.274567194</v>
      </c>
      <c r="E375">
        <v>62653927.027027026</v>
      </c>
      <c r="F375">
        <v>164713787.38738739</v>
      </c>
      <c r="G375">
        <v>8</v>
      </c>
      <c r="H375">
        <v>4</v>
      </c>
      <c r="I375">
        <v>1</v>
      </c>
      <c r="J375">
        <v>5</v>
      </c>
      <c r="M375">
        <v>8</v>
      </c>
      <c r="N375">
        <v>4</v>
      </c>
      <c r="O375">
        <v>18638532.432432432</v>
      </c>
      <c r="P375">
        <v>30612308.108108107</v>
      </c>
      <c r="S375">
        <v>10339459.459459459</v>
      </c>
      <c r="T375">
        <v>9204836.0360360369</v>
      </c>
      <c r="U375">
        <v>3495135.1351351361</v>
      </c>
      <c r="V375">
        <v>6168648.6486486476</v>
      </c>
      <c r="W375">
        <v>1372</v>
      </c>
      <c r="X375">
        <v>1381</v>
      </c>
    </row>
    <row r="376" spans="1:24">
      <c r="A376" s="7" t="s">
        <v>476</v>
      </c>
      <c r="B376" s="16" t="s">
        <v>470</v>
      </c>
      <c r="C376">
        <v>451013964.78513736</v>
      </c>
      <c r="D376">
        <v>460417145.4783929</v>
      </c>
      <c r="E376">
        <v>2265900.900900905</v>
      </c>
      <c r="F376">
        <v>9372972.9729729798</v>
      </c>
      <c r="G376">
        <v>173</v>
      </c>
      <c r="H376">
        <v>191</v>
      </c>
      <c r="I376">
        <v>18</v>
      </c>
      <c r="J376">
        <v>48</v>
      </c>
      <c r="M376">
        <v>202</v>
      </c>
      <c r="N376">
        <v>336</v>
      </c>
      <c r="O376">
        <v>75927927.927927941</v>
      </c>
      <c r="P376">
        <v>127429189.18918918</v>
      </c>
      <c r="Q376">
        <v>107</v>
      </c>
      <c r="R376">
        <v>356</v>
      </c>
      <c r="S376">
        <v>110128037.83783785</v>
      </c>
      <c r="T376">
        <v>121227016.21621622</v>
      </c>
      <c r="U376">
        <v>76683783.783783779</v>
      </c>
      <c r="V376">
        <v>122816756.75675675</v>
      </c>
      <c r="W376">
        <v>15873</v>
      </c>
      <c r="X376">
        <v>16024</v>
      </c>
    </row>
    <row r="377" spans="1:24">
      <c r="A377" s="7" t="s">
        <v>477</v>
      </c>
      <c r="B377" s="16" t="s">
        <v>260</v>
      </c>
      <c r="C377">
        <v>562522623.38051593</v>
      </c>
      <c r="D377">
        <v>565379255.62908125</v>
      </c>
      <c r="E377">
        <v>836126.12612612697</v>
      </c>
      <c r="F377">
        <v>2329054.0540540549</v>
      </c>
      <c r="G377">
        <v>106</v>
      </c>
      <c r="H377">
        <v>112</v>
      </c>
      <c r="I377">
        <v>1</v>
      </c>
      <c r="J377">
        <v>5</v>
      </c>
      <c r="M377">
        <v>110</v>
      </c>
      <c r="N377">
        <v>129</v>
      </c>
      <c r="O377">
        <v>65646036.036036029</v>
      </c>
      <c r="P377">
        <v>72708108.108108118</v>
      </c>
      <c r="Q377">
        <v>140</v>
      </c>
      <c r="R377">
        <v>50</v>
      </c>
      <c r="S377">
        <v>139214180.18018016</v>
      </c>
      <c r="T377">
        <v>150037743.24324322</v>
      </c>
      <c r="U377">
        <v>69415765.765765771</v>
      </c>
      <c r="V377">
        <v>70347297.297297299</v>
      </c>
      <c r="W377">
        <v>11597</v>
      </c>
      <c r="X377">
        <v>11008</v>
      </c>
    </row>
    <row r="378" spans="1:24">
      <c r="A378" s="7" t="s">
        <v>478</v>
      </c>
      <c r="B378" s="16" t="s">
        <v>479</v>
      </c>
      <c r="C378">
        <v>45611440.334458649</v>
      </c>
      <c r="D378">
        <v>38387529.599509701</v>
      </c>
      <c r="E378">
        <v>534234.23423423397</v>
      </c>
      <c r="F378">
        <v>419819.81981982</v>
      </c>
      <c r="G378">
        <v>15</v>
      </c>
      <c r="H378">
        <v>12</v>
      </c>
      <c r="I378">
        <v>1</v>
      </c>
      <c r="J378">
        <v>1</v>
      </c>
      <c r="M378">
        <v>15</v>
      </c>
      <c r="N378">
        <v>13</v>
      </c>
      <c r="O378">
        <v>20141441.441441439</v>
      </c>
      <c r="P378">
        <v>11539189.18918919</v>
      </c>
      <c r="S378">
        <v>10907162.162162162</v>
      </c>
      <c r="T378">
        <v>9279864.8648648635</v>
      </c>
      <c r="U378">
        <v>20327477.47747748</v>
      </c>
      <c r="V378">
        <v>11554684.684684685</v>
      </c>
      <c r="W378">
        <v>910</v>
      </c>
      <c r="X378">
        <v>844</v>
      </c>
    </row>
    <row r="379" spans="1:24">
      <c r="A379" s="7" t="s">
        <v>480</v>
      </c>
      <c r="B379" s="16" t="s">
        <v>123</v>
      </c>
      <c r="C379">
        <v>300429813.27288318</v>
      </c>
      <c r="D379">
        <v>292271287.85238737</v>
      </c>
      <c r="E379">
        <v>1744594.594594595</v>
      </c>
      <c r="F379">
        <v>2049549.5495495519</v>
      </c>
      <c r="G379">
        <v>55</v>
      </c>
      <c r="H379">
        <v>60</v>
      </c>
      <c r="I379">
        <v>5</v>
      </c>
      <c r="J379">
        <v>6</v>
      </c>
      <c r="M379">
        <v>65</v>
      </c>
      <c r="N379">
        <v>64</v>
      </c>
      <c r="O379">
        <v>19668018.018018015</v>
      </c>
      <c r="P379">
        <v>18865675.675675675</v>
      </c>
      <c r="Q379">
        <v>37</v>
      </c>
      <c r="R379">
        <v>42</v>
      </c>
      <c r="S379">
        <v>112588279.27927928</v>
      </c>
      <c r="T379">
        <v>109122725.22522523</v>
      </c>
      <c r="U379">
        <v>20388378.37837838</v>
      </c>
      <c r="V379">
        <v>17293873.873873871</v>
      </c>
      <c r="W379">
        <v>5574</v>
      </c>
      <c r="X379">
        <v>5576</v>
      </c>
    </row>
    <row r="380" spans="1:24">
      <c r="A380" s="7" t="s">
        <v>481</v>
      </c>
      <c r="B380" s="16" t="s">
        <v>470</v>
      </c>
      <c r="C380">
        <v>24501972.569986664</v>
      </c>
      <c r="D380">
        <v>23158981.11128993</v>
      </c>
      <c r="E380">
        <v>24774.774774775</v>
      </c>
      <c r="F380">
        <v>92792.792792793</v>
      </c>
      <c r="G380">
        <v>5</v>
      </c>
      <c r="H380">
        <v>3</v>
      </c>
      <c r="I380">
        <v>1</v>
      </c>
      <c r="J380">
        <v>2</v>
      </c>
      <c r="M380">
        <v>6</v>
      </c>
      <c r="N380">
        <v>4</v>
      </c>
      <c r="O380">
        <v>483333.33333333401</v>
      </c>
      <c r="P380">
        <v>1444144.1441441439</v>
      </c>
      <c r="S380">
        <v>3479180.1801801799</v>
      </c>
      <c r="T380">
        <v>3522648.648648649</v>
      </c>
      <c r="U380">
        <v>748198.19819819799</v>
      </c>
      <c r="V380">
        <v>847387.38738738699</v>
      </c>
      <c r="W380">
        <v>598</v>
      </c>
      <c r="X380">
        <v>565</v>
      </c>
    </row>
    <row r="381" spans="1:24">
      <c r="A381" s="7" t="s">
        <v>667</v>
      </c>
      <c r="B381" s="16" t="s">
        <v>85</v>
      </c>
      <c r="E381">
        <v>37972297.297297299</v>
      </c>
      <c r="F381">
        <v>136013513.51351351</v>
      </c>
      <c r="O381">
        <v>4567567.5675675683</v>
      </c>
      <c r="P381">
        <v>1540540.5405405411</v>
      </c>
    </row>
    <row r="382" spans="1:24">
      <c r="A382" s="7" t="s">
        <v>482</v>
      </c>
      <c r="B382" s="16" t="s">
        <v>167</v>
      </c>
      <c r="C382">
        <v>250741735.61112058</v>
      </c>
      <c r="D382">
        <v>240378512.22434074</v>
      </c>
      <c r="E382">
        <v>369369.369369369</v>
      </c>
      <c r="F382">
        <v>2590990.9909909931</v>
      </c>
      <c r="G382">
        <v>151</v>
      </c>
      <c r="H382">
        <v>211</v>
      </c>
      <c r="I382">
        <v>14</v>
      </c>
      <c r="J382">
        <v>8</v>
      </c>
      <c r="M382">
        <v>186</v>
      </c>
      <c r="N382">
        <v>297</v>
      </c>
      <c r="O382">
        <v>16351351.351351352</v>
      </c>
      <c r="P382">
        <v>20628865.765765768</v>
      </c>
      <c r="Q382">
        <v>46</v>
      </c>
      <c r="R382">
        <v>59</v>
      </c>
      <c r="S382">
        <v>98115581.981981978</v>
      </c>
      <c r="T382">
        <v>100869990.990991</v>
      </c>
      <c r="U382">
        <v>17369459.459459461</v>
      </c>
      <c r="V382">
        <v>19555315.315315317</v>
      </c>
      <c r="W382">
        <v>9179</v>
      </c>
      <c r="X382">
        <v>8422</v>
      </c>
    </row>
    <row r="383" spans="1:24">
      <c r="A383" s="7" t="s">
        <v>483</v>
      </c>
      <c r="B383" s="16" t="s">
        <v>167</v>
      </c>
      <c r="C383">
        <v>245687830.95539284</v>
      </c>
      <c r="D383">
        <v>274367363.03794372</v>
      </c>
      <c r="E383">
        <v>503791825.22522521</v>
      </c>
      <c r="F383">
        <v>475966176.57657659</v>
      </c>
      <c r="G383">
        <v>305</v>
      </c>
      <c r="H383">
        <v>469</v>
      </c>
      <c r="I383">
        <v>13</v>
      </c>
      <c r="J383">
        <v>13</v>
      </c>
      <c r="M383">
        <v>431</v>
      </c>
      <c r="N383">
        <v>918</v>
      </c>
      <c r="O383">
        <v>56674324.324324317</v>
      </c>
      <c r="P383">
        <v>47082208.108108111</v>
      </c>
      <c r="Q383">
        <v>410</v>
      </c>
      <c r="R383">
        <v>34</v>
      </c>
      <c r="S383">
        <v>95313196.396396399</v>
      </c>
      <c r="T383">
        <v>103485795.49549548</v>
      </c>
      <c r="U383">
        <v>53737520.720720723</v>
      </c>
      <c r="V383">
        <v>43109322.522522517</v>
      </c>
      <c r="W383">
        <v>8843</v>
      </c>
      <c r="X383">
        <v>9751</v>
      </c>
    </row>
    <row r="384" spans="1:24">
      <c r="A384" s="7" t="s">
        <v>484</v>
      </c>
      <c r="B384" s="16" t="s">
        <v>50</v>
      </c>
      <c r="C384">
        <v>169068336.42927769</v>
      </c>
      <c r="D384">
        <v>162981276.31895232</v>
      </c>
      <c r="E384">
        <v>1053693.6936936961</v>
      </c>
      <c r="F384">
        <v>2144144.1441441458</v>
      </c>
      <c r="G384">
        <v>65</v>
      </c>
      <c r="H384">
        <v>47</v>
      </c>
      <c r="I384">
        <v>9</v>
      </c>
      <c r="J384">
        <v>9</v>
      </c>
      <c r="M384">
        <v>67</v>
      </c>
      <c r="N384">
        <v>50</v>
      </c>
      <c r="O384">
        <v>38553693.693693697</v>
      </c>
      <c r="P384">
        <v>26754774.774774775</v>
      </c>
      <c r="Q384">
        <v>161</v>
      </c>
      <c r="R384">
        <v>35</v>
      </c>
      <c r="S384">
        <v>75116486.48648648</v>
      </c>
      <c r="T384">
        <v>72834511.711711705</v>
      </c>
      <c r="U384">
        <v>39255135.135135137</v>
      </c>
      <c r="V384">
        <v>25257387.387387384</v>
      </c>
      <c r="W384">
        <v>4455</v>
      </c>
      <c r="X384">
        <v>3628</v>
      </c>
    </row>
    <row r="385" spans="1:24">
      <c r="A385" s="7" t="s">
        <v>485</v>
      </c>
      <c r="B385" s="16" t="s">
        <v>134</v>
      </c>
      <c r="C385">
        <v>233737491.02318966</v>
      </c>
      <c r="D385">
        <v>218648036.54974073</v>
      </c>
      <c r="E385">
        <v>618918.91891891998</v>
      </c>
      <c r="F385">
        <v>1499099.0990990989</v>
      </c>
      <c r="G385">
        <v>57</v>
      </c>
      <c r="H385">
        <v>57</v>
      </c>
      <c r="I385">
        <v>10</v>
      </c>
      <c r="J385">
        <v>5</v>
      </c>
      <c r="M385">
        <v>64</v>
      </c>
      <c r="N385">
        <v>59</v>
      </c>
      <c r="O385">
        <v>36614414.414414413</v>
      </c>
      <c r="P385">
        <v>32435135.135135137</v>
      </c>
      <c r="Q385">
        <v>129</v>
      </c>
      <c r="R385">
        <v>123</v>
      </c>
      <c r="S385">
        <v>42511351.351351351</v>
      </c>
      <c r="T385">
        <v>42068890.090090089</v>
      </c>
      <c r="U385">
        <v>23805045.045045044</v>
      </c>
      <c r="V385">
        <v>20195495.495495494</v>
      </c>
      <c r="W385">
        <v>4570</v>
      </c>
      <c r="X385">
        <v>6012</v>
      </c>
    </row>
    <row r="386" spans="1:24">
      <c r="A386" s="7" t="s">
        <v>486</v>
      </c>
      <c r="B386" s="16" t="s">
        <v>76</v>
      </c>
      <c r="C386">
        <v>58087945.355866075</v>
      </c>
      <c r="D386">
        <v>46059347.515670091</v>
      </c>
      <c r="E386">
        <v>1827027.0270270279</v>
      </c>
      <c r="F386">
        <v>927927.92792792898</v>
      </c>
      <c r="G386">
        <v>13</v>
      </c>
      <c r="H386">
        <v>13</v>
      </c>
      <c r="I386">
        <v>2</v>
      </c>
      <c r="J386">
        <v>2</v>
      </c>
      <c r="M386">
        <v>14</v>
      </c>
      <c r="N386">
        <v>14</v>
      </c>
      <c r="O386">
        <v>21903603.603603605</v>
      </c>
      <c r="P386">
        <v>10380270.270270271</v>
      </c>
      <c r="Q386">
        <v>8</v>
      </c>
      <c r="R386">
        <v>38</v>
      </c>
      <c r="S386">
        <v>22220599.0990991</v>
      </c>
      <c r="T386">
        <v>18737149.549549554</v>
      </c>
      <c r="U386">
        <v>21912522.52252252</v>
      </c>
      <c r="V386">
        <v>9743690.0900900923</v>
      </c>
      <c r="W386">
        <v>1469</v>
      </c>
      <c r="X386">
        <v>1465</v>
      </c>
    </row>
    <row r="387" spans="1:24">
      <c r="A387" s="7" t="s">
        <v>487</v>
      </c>
      <c r="B387" s="16" t="s">
        <v>307</v>
      </c>
      <c r="C387">
        <v>357014786.57177454</v>
      </c>
      <c r="D387">
        <v>377803984.73878527</v>
      </c>
      <c r="E387">
        <v>808108.10810810805</v>
      </c>
      <c r="F387">
        <v>4014414.4144144189</v>
      </c>
      <c r="G387">
        <v>146</v>
      </c>
      <c r="H387">
        <v>145</v>
      </c>
      <c r="I387">
        <v>4</v>
      </c>
      <c r="J387">
        <v>7</v>
      </c>
      <c r="M387">
        <v>165</v>
      </c>
      <c r="N387">
        <v>185</v>
      </c>
      <c r="O387">
        <v>51013198.198198192</v>
      </c>
      <c r="P387">
        <v>100402792.7927928</v>
      </c>
      <c r="Q387">
        <v>199</v>
      </c>
      <c r="R387">
        <v>318</v>
      </c>
      <c r="S387">
        <v>147162187.38738739</v>
      </c>
      <c r="T387">
        <v>161051378.37837836</v>
      </c>
      <c r="U387">
        <v>51037477.477477469</v>
      </c>
      <c r="V387">
        <v>80600990.990990996</v>
      </c>
      <c r="W387">
        <v>11392</v>
      </c>
      <c r="X387">
        <v>11677</v>
      </c>
    </row>
    <row r="388" spans="1:24">
      <c r="A388" s="7" t="s">
        <v>675</v>
      </c>
      <c r="B388" s="16" t="s">
        <v>181</v>
      </c>
      <c r="E388">
        <v>106058558.55855855</v>
      </c>
      <c r="F388">
        <v>47454954.954954952</v>
      </c>
      <c r="O388">
        <v>13376666.666666668</v>
      </c>
      <c r="P388">
        <v>1495495.4954954949</v>
      </c>
    </row>
    <row r="389" spans="1:24">
      <c r="A389" s="7" t="s">
        <v>488</v>
      </c>
      <c r="B389" s="16" t="s">
        <v>315</v>
      </c>
      <c r="C389">
        <v>101343013.91388147</v>
      </c>
      <c r="D389">
        <v>84114180.29929018</v>
      </c>
      <c r="E389">
        <v>598198.19819819799</v>
      </c>
      <c r="F389">
        <v>1063963.963963965</v>
      </c>
      <c r="G389">
        <v>23</v>
      </c>
      <c r="H389">
        <v>5</v>
      </c>
      <c r="I389">
        <v>2</v>
      </c>
      <c r="J389">
        <v>2</v>
      </c>
      <c r="M389">
        <v>23</v>
      </c>
      <c r="N389">
        <v>6</v>
      </c>
      <c r="O389">
        <v>56943423.423423424</v>
      </c>
      <c r="P389">
        <v>42409819.819819815</v>
      </c>
      <c r="S389">
        <v>42782054.054054059</v>
      </c>
      <c r="T389">
        <v>35760360.360360362</v>
      </c>
      <c r="U389">
        <v>51529279.279279277</v>
      </c>
      <c r="V389">
        <v>38217477.477477469</v>
      </c>
      <c r="W389">
        <v>1689</v>
      </c>
      <c r="X389">
        <v>1607</v>
      </c>
    </row>
    <row r="390" spans="1:24">
      <c r="A390" s="7" t="s">
        <v>489</v>
      </c>
      <c r="B390" s="16" t="s">
        <v>181</v>
      </c>
      <c r="C390">
        <v>208437840.58608407</v>
      </c>
      <c r="D390">
        <v>196912836.63061026</v>
      </c>
      <c r="E390">
        <v>72972.972972974996</v>
      </c>
      <c r="F390">
        <v>1267117.1171171169</v>
      </c>
      <c r="G390">
        <v>104</v>
      </c>
      <c r="H390">
        <v>93</v>
      </c>
      <c r="I390">
        <v>10</v>
      </c>
      <c r="J390">
        <v>9</v>
      </c>
      <c r="M390">
        <v>113</v>
      </c>
      <c r="N390">
        <v>147</v>
      </c>
      <c r="O390">
        <v>16477747.747747747</v>
      </c>
      <c r="P390">
        <v>12962702.702702701</v>
      </c>
      <c r="Q390">
        <v>145</v>
      </c>
      <c r="R390">
        <v>232</v>
      </c>
      <c r="S390">
        <v>55473990.990990989</v>
      </c>
      <c r="T390">
        <v>58113720.720720723</v>
      </c>
      <c r="U390">
        <v>16000900.9009009</v>
      </c>
      <c r="V390">
        <v>13643423.423423423</v>
      </c>
      <c r="W390">
        <v>6777</v>
      </c>
      <c r="X390">
        <v>6409</v>
      </c>
    </row>
    <row r="391" spans="1:24">
      <c r="A391" s="7" t="s">
        <v>679</v>
      </c>
      <c r="B391" s="16" t="s">
        <v>66</v>
      </c>
      <c r="O391">
        <v>702702.70270270295</v>
      </c>
      <c r="P391">
        <v>837837.83783783799</v>
      </c>
    </row>
    <row r="392" spans="1:24">
      <c r="A392" s="7" t="s">
        <v>490</v>
      </c>
      <c r="B392" s="16" t="s">
        <v>220</v>
      </c>
      <c r="C392">
        <v>121563649.30805393</v>
      </c>
      <c r="D392">
        <v>113645311.02300116</v>
      </c>
      <c r="E392">
        <v>8108.1081081080001</v>
      </c>
      <c r="F392">
        <v>60360.360360359999</v>
      </c>
      <c r="G392">
        <v>39</v>
      </c>
      <c r="H392">
        <v>40</v>
      </c>
      <c r="I392">
        <v>1</v>
      </c>
      <c r="J392">
        <v>2</v>
      </c>
      <c r="M392">
        <v>48</v>
      </c>
      <c r="N392">
        <v>49</v>
      </c>
      <c r="O392">
        <v>4825405.4054054068</v>
      </c>
      <c r="P392">
        <v>2269369.3693693699</v>
      </c>
      <c r="Q392">
        <v>40</v>
      </c>
      <c r="S392">
        <v>30565378.378378376</v>
      </c>
      <c r="T392">
        <v>28305583.783783782</v>
      </c>
      <c r="U392">
        <v>3529459.4594594608</v>
      </c>
      <c r="V392">
        <v>1531981.9819819829</v>
      </c>
      <c r="W392">
        <v>3716</v>
      </c>
      <c r="X392">
        <v>4010</v>
      </c>
    </row>
    <row r="393" spans="1:24">
      <c r="A393" s="7" t="s">
        <v>491</v>
      </c>
      <c r="B393" s="16" t="s">
        <v>220</v>
      </c>
      <c r="C393">
        <v>31993178.229748033</v>
      </c>
      <c r="D393">
        <v>38624518.497076921</v>
      </c>
      <c r="E393">
        <v>18018.018018019</v>
      </c>
      <c r="F393">
        <v>452252.25225225301</v>
      </c>
      <c r="G393">
        <v>29</v>
      </c>
      <c r="H393">
        <v>21</v>
      </c>
      <c r="I393">
        <v>2</v>
      </c>
      <c r="J393">
        <v>1</v>
      </c>
      <c r="M393">
        <v>33</v>
      </c>
      <c r="N393">
        <v>23</v>
      </c>
      <c r="O393">
        <v>8227027.0270270268</v>
      </c>
      <c r="P393">
        <v>15666216.216216216</v>
      </c>
      <c r="Q393">
        <v>20</v>
      </c>
      <c r="R393">
        <v>15</v>
      </c>
      <c r="S393">
        <v>10730855.855855856</v>
      </c>
      <c r="T393">
        <v>11318369.369369367</v>
      </c>
      <c r="U393">
        <v>8396036.0360360369</v>
      </c>
      <c r="V393">
        <v>15262342.342342343</v>
      </c>
      <c r="W393">
        <v>1194</v>
      </c>
      <c r="X393">
        <v>1205</v>
      </c>
    </row>
    <row r="394" spans="1:24">
      <c r="A394" s="7" t="s">
        <v>492</v>
      </c>
      <c r="B394" s="16" t="s">
        <v>60</v>
      </c>
      <c r="C394">
        <v>145290942.60096774</v>
      </c>
      <c r="D394">
        <v>130053380.24454787</v>
      </c>
      <c r="E394">
        <v>1168468.468468471</v>
      </c>
      <c r="F394">
        <v>2830630.6306306371</v>
      </c>
      <c r="G394">
        <v>34</v>
      </c>
      <c r="H394">
        <v>28</v>
      </c>
      <c r="I394">
        <v>7</v>
      </c>
      <c r="J394">
        <v>20</v>
      </c>
      <c r="M394">
        <v>38</v>
      </c>
      <c r="N394">
        <v>78</v>
      </c>
      <c r="O394">
        <v>33399099.0990991</v>
      </c>
      <c r="P394">
        <v>29780810.810810812</v>
      </c>
      <c r="Q394">
        <v>134</v>
      </c>
      <c r="R394">
        <v>77</v>
      </c>
      <c r="S394">
        <v>62705720.720720723</v>
      </c>
      <c r="T394">
        <v>58903306.306306303</v>
      </c>
      <c r="U394">
        <v>29554864.864864863</v>
      </c>
      <c r="V394">
        <v>26390540.540540539</v>
      </c>
      <c r="W394">
        <v>3714</v>
      </c>
      <c r="X394">
        <v>3661</v>
      </c>
    </row>
    <row r="395" spans="1:24">
      <c r="A395" s="7" t="s">
        <v>493</v>
      </c>
      <c r="B395" s="16" t="s">
        <v>448</v>
      </c>
      <c r="C395">
        <v>174674720.64370528</v>
      </c>
      <c r="D395">
        <v>159134198.57995605</v>
      </c>
      <c r="E395">
        <v>111711.711711713</v>
      </c>
      <c r="F395">
        <v>228828.82882882899</v>
      </c>
      <c r="G395">
        <v>100</v>
      </c>
      <c r="H395">
        <v>101</v>
      </c>
      <c r="I395">
        <v>9</v>
      </c>
      <c r="J395">
        <v>2</v>
      </c>
      <c r="M395">
        <v>105</v>
      </c>
      <c r="N395">
        <v>120</v>
      </c>
      <c r="O395">
        <v>18275000</v>
      </c>
      <c r="P395">
        <v>11820720.720720721</v>
      </c>
      <c r="Q395">
        <v>84</v>
      </c>
      <c r="S395">
        <v>62399855.855855852</v>
      </c>
      <c r="T395">
        <v>56875117.117117122</v>
      </c>
      <c r="U395">
        <v>18206081.081081081</v>
      </c>
      <c r="V395">
        <v>12676666.666666668</v>
      </c>
      <c r="W395">
        <v>4937</v>
      </c>
      <c r="X395">
        <v>5419</v>
      </c>
    </row>
    <row r="396" spans="1:24">
      <c r="A396" s="7" t="s">
        <v>7</v>
      </c>
      <c r="B396" s="16" t="s">
        <v>193</v>
      </c>
      <c r="C396">
        <v>125793131.62733732</v>
      </c>
      <c r="D396">
        <v>134944237.95170033</v>
      </c>
      <c r="E396">
        <v>39189.189189188997</v>
      </c>
      <c r="F396">
        <v>277477.47747747903</v>
      </c>
      <c r="G396">
        <v>32</v>
      </c>
      <c r="H396">
        <v>40</v>
      </c>
      <c r="I396">
        <v>14</v>
      </c>
      <c r="J396">
        <v>3</v>
      </c>
      <c r="M396">
        <v>35</v>
      </c>
      <c r="N396">
        <v>50</v>
      </c>
      <c r="O396">
        <v>26419369.369369373</v>
      </c>
      <c r="P396">
        <v>24680630.630630631</v>
      </c>
      <c r="Q396">
        <v>132</v>
      </c>
      <c r="R396">
        <v>154</v>
      </c>
      <c r="S396">
        <v>86202729.729729727</v>
      </c>
      <c r="T396">
        <v>94500639.639639631</v>
      </c>
      <c r="U396">
        <v>27660990.990990993</v>
      </c>
      <c r="V396">
        <v>26770630.630630631</v>
      </c>
      <c r="W396">
        <v>4822</v>
      </c>
      <c r="X396">
        <v>5322</v>
      </c>
    </row>
    <row r="397" spans="1:24">
      <c r="A397" s="7" t="s">
        <v>494</v>
      </c>
      <c r="B397" s="16" t="s">
        <v>330</v>
      </c>
      <c r="C397">
        <v>158558964.28471488</v>
      </c>
      <c r="D397">
        <v>154290504.194823</v>
      </c>
      <c r="E397">
        <v>15315.315315315</v>
      </c>
      <c r="F397">
        <v>290090.09009009</v>
      </c>
      <c r="G397">
        <v>80</v>
      </c>
      <c r="H397">
        <v>78</v>
      </c>
      <c r="I397">
        <v>3</v>
      </c>
      <c r="J397">
        <v>3</v>
      </c>
      <c r="M397">
        <v>92</v>
      </c>
      <c r="N397">
        <v>137</v>
      </c>
      <c r="O397">
        <v>7925225.2252252232</v>
      </c>
      <c r="P397">
        <v>7209009.0090090092</v>
      </c>
      <c r="Q397">
        <v>122</v>
      </c>
      <c r="R397">
        <v>36</v>
      </c>
      <c r="S397">
        <v>41305360.360360362</v>
      </c>
      <c r="T397">
        <v>38173099.099099107</v>
      </c>
      <c r="U397">
        <v>7649549.5495495489</v>
      </c>
      <c r="V397">
        <v>6418918.9189189179</v>
      </c>
      <c r="W397">
        <v>5911</v>
      </c>
      <c r="X397">
        <v>6334</v>
      </c>
    </row>
    <row r="398" spans="1:24">
      <c r="A398" s="7" t="s">
        <v>495</v>
      </c>
      <c r="B398" s="16" t="s">
        <v>330</v>
      </c>
      <c r="C398">
        <v>271962143.70191747</v>
      </c>
      <c r="D398">
        <v>262926700.39578399</v>
      </c>
      <c r="E398">
        <v>56756.756756757</v>
      </c>
      <c r="F398">
        <v>1218693.693693697</v>
      </c>
      <c r="G398">
        <v>95</v>
      </c>
      <c r="H398">
        <v>127</v>
      </c>
      <c r="I398">
        <v>4</v>
      </c>
      <c r="J398">
        <v>10</v>
      </c>
      <c r="M398">
        <v>112</v>
      </c>
      <c r="N398">
        <v>145</v>
      </c>
      <c r="O398">
        <v>7773063.0630630618</v>
      </c>
      <c r="P398">
        <v>8647747.7477477491</v>
      </c>
      <c r="Q398">
        <v>163</v>
      </c>
      <c r="R398">
        <v>54</v>
      </c>
      <c r="S398">
        <v>56144801.801801801</v>
      </c>
      <c r="T398">
        <v>61552436.936936937</v>
      </c>
      <c r="U398">
        <v>7949099.0990990987</v>
      </c>
      <c r="V398">
        <v>9320990.9909909926</v>
      </c>
      <c r="W398">
        <v>7390</v>
      </c>
      <c r="X398">
        <v>6998</v>
      </c>
    </row>
    <row r="399" spans="1:24">
      <c r="A399" s="7" t="s">
        <v>496</v>
      </c>
      <c r="B399" s="16" t="s">
        <v>330</v>
      </c>
      <c r="C399">
        <v>275217829.62479609</v>
      </c>
      <c r="D399">
        <v>264166055.25085241</v>
      </c>
      <c r="E399">
        <v>1184459.4594594629</v>
      </c>
      <c r="F399">
        <v>3685360.3603603621</v>
      </c>
      <c r="G399">
        <v>134</v>
      </c>
      <c r="H399">
        <v>123</v>
      </c>
      <c r="I399">
        <v>16</v>
      </c>
      <c r="J399">
        <v>14</v>
      </c>
      <c r="M399">
        <v>159</v>
      </c>
      <c r="N399">
        <v>172</v>
      </c>
      <c r="O399">
        <v>24919459.459459458</v>
      </c>
      <c r="P399">
        <v>34727027.027027026</v>
      </c>
      <c r="Q399">
        <v>229</v>
      </c>
      <c r="R399">
        <v>86</v>
      </c>
      <c r="S399">
        <v>58583153.153153151</v>
      </c>
      <c r="T399">
        <v>59644666.666666664</v>
      </c>
      <c r="U399">
        <v>24606396.396396399</v>
      </c>
      <c r="V399">
        <v>35188198.198198199</v>
      </c>
      <c r="W399">
        <v>8508</v>
      </c>
      <c r="X399">
        <v>8331</v>
      </c>
    </row>
    <row r="400" spans="1:24">
      <c r="A400" s="7" t="s">
        <v>497</v>
      </c>
      <c r="B400" s="16" t="s">
        <v>330</v>
      </c>
      <c r="C400">
        <v>1190697385.046366</v>
      </c>
      <c r="D400">
        <v>1022681433.5182843</v>
      </c>
      <c r="E400">
        <v>910146615.31531537</v>
      </c>
      <c r="F400">
        <v>1006498211.7117118</v>
      </c>
      <c r="G400">
        <v>517</v>
      </c>
      <c r="H400">
        <v>746</v>
      </c>
      <c r="I400">
        <v>31</v>
      </c>
      <c r="J400">
        <v>41</v>
      </c>
      <c r="K400">
        <v>41</v>
      </c>
      <c r="M400">
        <v>660</v>
      </c>
      <c r="N400">
        <v>1255</v>
      </c>
      <c r="O400">
        <v>245408738.73873875</v>
      </c>
      <c r="P400">
        <v>221357267.56756756</v>
      </c>
      <c r="Q400">
        <v>662</v>
      </c>
      <c r="R400">
        <v>214</v>
      </c>
      <c r="S400">
        <v>273544016.21621621</v>
      </c>
      <c r="T400">
        <v>212448045.04504505</v>
      </c>
      <c r="U400">
        <v>159812792.7927928</v>
      </c>
      <c r="V400">
        <v>158414324.32432431</v>
      </c>
      <c r="W400">
        <v>29412</v>
      </c>
      <c r="X400">
        <v>29394</v>
      </c>
    </row>
    <row r="401" spans="1:24">
      <c r="A401" s="7" t="s">
        <v>498</v>
      </c>
      <c r="B401" s="16" t="s">
        <v>330</v>
      </c>
      <c r="C401">
        <v>869328776.76820862</v>
      </c>
      <c r="D401">
        <v>800609241.00137031</v>
      </c>
      <c r="E401">
        <v>1751081.0810810849</v>
      </c>
      <c r="F401">
        <v>6501351.3513513561</v>
      </c>
      <c r="G401">
        <v>283</v>
      </c>
      <c r="H401">
        <v>329</v>
      </c>
      <c r="I401">
        <v>29</v>
      </c>
      <c r="J401">
        <v>28</v>
      </c>
      <c r="K401">
        <v>1</v>
      </c>
      <c r="M401">
        <v>338</v>
      </c>
      <c r="N401">
        <v>384</v>
      </c>
      <c r="O401">
        <v>174151981.98198199</v>
      </c>
      <c r="P401">
        <v>176924774.77477479</v>
      </c>
      <c r="Q401">
        <v>760</v>
      </c>
      <c r="R401">
        <v>168</v>
      </c>
      <c r="S401">
        <v>209093783.78378376</v>
      </c>
      <c r="T401">
        <v>201184975.22522521</v>
      </c>
      <c r="U401">
        <v>171009369.36936939</v>
      </c>
      <c r="V401">
        <v>171008738.73873872</v>
      </c>
      <c r="W401">
        <v>27300</v>
      </c>
      <c r="X401">
        <v>26418</v>
      </c>
    </row>
    <row r="402" spans="1:24">
      <c r="A402" s="7" t="s">
        <v>499</v>
      </c>
      <c r="B402" s="16" t="s">
        <v>143</v>
      </c>
      <c r="C402">
        <v>363063281.45637459</v>
      </c>
      <c r="D402">
        <v>340158571.17000777</v>
      </c>
      <c r="E402">
        <v>119031280.18018018</v>
      </c>
      <c r="F402">
        <v>104561145.04504503</v>
      </c>
      <c r="G402">
        <v>250</v>
      </c>
      <c r="H402">
        <v>170</v>
      </c>
      <c r="I402">
        <v>19</v>
      </c>
      <c r="J402">
        <v>14</v>
      </c>
      <c r="M402">
        <v>269</v>
      </c>
      <c r="N402">
        <v>229</v>
      </c>
      <c r="O402">
        <v>37525585.585585587</v>
      </c>
      <c r="P402">
        <v>41618018.018018015</v>
      </c>
      <c r="Q402">
        <v>163</v>
      </c>
      <c r="R402">
        <v>117</v>
      </c>
      <c r="S402">
        <v>52113104.504504502</v>
      </c>
      <c r="T402">
        <v>54484872.072072074</v>
      </c>
      <c r="U402">
        <v>19509729.729729731</v>
      </c>
      <c r="V402">
        <v>21960180.180180181</v>
      </c>
      <c r="W402">
        <v>8901</v>
      </c>
      <c r="X402">
        <v>8866</v>
      </c>
    </row>
    <row r="403" spans="1:24">
      <c r="A403" s="7" t="s">
        <v>500</v>
      </c>
      <c r="B403" s="16" t="s">
        <v>220</v>
      </c>
      <c r="C403">
        <v>411524985.61145878</v>
      </c>
      <c r="D403">
        <v>404292496.49313587</v>
      </c>
      <c r="E403">
        <v>85884459.459459469</v>
      </c>
      <c r="F403">
        <v>93419144.144144148</v>
      </c>
      <c r="G403">
        <v>169</v>
      </c>
      <c r="H403">
        <v>178</v>
      </c>
      <c r="I403">
        <v>22</v>
      </c>
      <c r="J403">
        <v>15</v>
      </c>
      <c r="K403">
        <v>1</v>
      </c>
      <c r="M403">
        <v>215</v>
      </c>
      <c r="N403">
        <v>230</v>
      </c>
      <c r="O403">
        <v>148413378.37837836</v>
      </c>
      <c r="P403">
        <v>168577117.11711711</v>
      </c>
      <c r="Q403">
        <v>433</v>
      </c>
      <c r="R403">
        <v>149</v>
      </c>
      <c r="S403">
        <v>121431225.22522521</v>
      </c>
      <c r="T403">
        <v>122535256.75675675</v>
      </c>
      <c r="U403">
        <v>79305495.495495498</v>
      </c>
      <c r="V403">
        <v>163093963.96396396</v>
      </c>
      <c r="W403">
        <v>11877</v>
      </c>
      <c r="X403">
        <v>11662</v>
      </c>
    </row>
    <row r="404" spans="1:24">
      <c r="A404" s="7" t="s">
        <v>501</v>
      </c>
      <c r="B404" s="16" t="s">
        <v>397</v>
      </c>
      <c r="C404">
        <v>1114958458.3649132</v>
      </c>
      <c r="D404">
        <v>1144622997.881181</v>
      </c>
      <c r="E404">
        <v>404217196.3963964</v>
      </c>
      <c r="F404">
        <v>61203877.477477491</v>
      </c>
      <c r="G404">
        <v>378</v>
      </c>
      <c r="H404">
        <v>360</v>
      </c>
      <c r="I404">
        <v>27</v>
      </c>
      <c r="J404">
        <v>58</v>
      </c>
      <c r="M404">
        <v>429</v>
      </c>
      <c r="N404">
        <v>474</v>
      </c>
      <c r="O404">
        <v>147654504.5045045</v>
      </c>
      <c r="P404">
        <v>126929054.05405405</v>
      </c>
      <c r="Q404">
        <v>851</v>
      </c>
      <c r="R404">
        <v>423</v>
      </c>
      <c r="S404">
        <v>233869194.5945946</v>
      </c>
      <c r="T404">
        <v>244024534.23423424</v>
      </c>
      <c r="U404">
        <v>132869054.05405407</v>
      </c>
      <c r="V404">
        <v>117174909.9099099</v>
      </c>
      <c r="W404">
        <v>26815</v>
      </c>
      <c r="X404">
        <v>27187</v>
      </c>
    </row>
    <row r="405" spans="1:24">
      <c r="A405" s="7" t="s">
        <v>502</v>
      </c>
      <c r="B405" s="16" t="s">
        <v>70</v>
      </c>
      <c r="C405">
        <v>17222424.477692001</v>
      </c>
      <c r="D405">
        <v>17553027.198090445</v>
      </c>
      <c r="E405">
        <v>77027.027027026998</v>
      </c>
      <c r="F405">
        <v>211711.71171171201</v>
      </c>
      <c r="G405">
        <v>7</v>
      </c>
      <c r="H405">
        <v>6</v>
      </c>
      <c r="J405">
        <v>1</v>
      </c>
      <c r="M405">
        <v>8</v>
      </c>
      <c r="N405">
        <v>9</v>
      </c>
      <c r="O405">
        <v>576576.57657657703</v>
      </c>
      <c r="P405">
        <v>941441.441441442</v>
      </c>
      <c r="Q405">
        <v>1</v>
      </c>
      <c r="R405">
        <v>51</v>
      </c>
      <c r="S405">
        <v>12745270.270270269</v>
      </c>
      <c r="T405">
        <v>12438819.819819819</v>
      </c>
      <c r="U405">
        <v>2044594.5945945941</v>
      </c>
      <c r="V405">
        <v>765135.13513513503</v>
      </c>
      <c r="W405">
        <v>696</v>
      </c>
      <c r="X405">
        <v>700</v>
      </c>
    </row>
    <row r="406" spans="1:24">
      <c r="A406" s="7" t="s">
        <v>503</v>
      </c>
      <c r="B406" s="16" t="s">
        <v>330</v>
      </c>
      <c r="C406">
        <v>480064372.46807778</v>
      </c>
      <c r="D406">
        <v>478958193.05669791</v>
      </c>
      <c r="E406">
        <v>74263063.06306307</v>
      </c>
      <c r="F406">
        <v>270126801.8018018</v>
      </c>
      <c r="G406">
        <v>165</v>
      </c>
      <c r="H406">
        <v>196</v>
      </c>
      <c r="I406">
        <v>10</v>
      </c>
      <c r="J406">
        <v>19</v>
      </c>
      <c r="M406">
        <v>192</v>
      </c>
      <c r="N406">
        <v>244</v>
      </c>
      <c r="O406">
        <v>48273873.873873875</v>
      </c>
      <c r="P406">
        <v>52100900.900900893</v>
      </c>
      <c r="Q406">
        <v>343</v>
      </c>
      <c r="R406">
        <v>140</v>
      </c>
      <c r="S406">
        <v>130065529.72972973</v>
      </c>
      <c r="T406">
        <v>125074119.36936937</v>
      </c>
      <c r="U406">
        <v>42374504.504504502</v>
      </c>
      <c r="V406">
        <v>51058468.468468472</v>
      </c>
      <c r="W406">
        <v>16135</v>
      </c>
      <c r="X406">
        <v>15920</v>
      </c>
    </row>
    <row r="407" spans="1:24">
      <c r="A407" s="7" t="s">
        <v>504</v>
      </c>
      <c r="B407" s="16" t="s">
        <v>283</v>
      </c>
      <c r="C407">
        <v>151263244.04629499</v>
      </c>
      <c r="D407">
        <v>147747922.55983439</v>
      </c>
      <c r="E407">
        <v>34038963.963963963</v>
      </c>
      <c r="F407">
        <v>73224324.324324325</v>
      </c>
      <c r="G407">
        <v>56</v>
      </c>
      <c r="H407">
        <v>28</v>
      </c>
      <c r="I407">
        <v>1</v>
      </c>
      <c r="J407">
        <v>2</v>
      </c>
      <c r="M407">
        <v>60</v>
      </c>
      <c r="N407">
        <v>29</v>
      </c>
      <c r="O407">
        <v>29307657.657657657</v>
      </c>
      <c r="P407">
        <v>14018918.918918921</v>
      </c>
      <c r="Q407">
        <v>50</v>
      </c>
      <c r="S407">
        <v>27534369.369369369</v>
      </c>
      <c r="T407">
        <v>26141153.153153151</v>
      </c>
      <c r="U407">
        <v>10536936.936936935</v>
      </c>
      <c r="V407">
        <v>11890180.180180181</v>
      </c>
      <c r="W407">
        <v>3167</v>
      </c>
      <c r="X407">
        <v>2252</v>
      </c>
    </row>
    <row r="408" spans="1:24">
      <c r="A408" s="7" t="s">
        <v>505</v>
      </c>
      <c r="B408" s="16" t="s">
        <v>260</v>
      </c>
      <c r="C408">
        <v>88805199.625248596</v>
      </c>
      <c r="D408">
        <v>90320643.546771556</v>
      </c>
      <c r="E408">
        <v>9009.0090090089998</v>
      </c>
      <c r="F408">
        <v>54954.954954954999</v>
      </c>
      <c r="G408">
        <v>3</v>
      </c>
      <c r="H408">
        <v>3</v>
      </c>
      <c r="I408">
        <v>1</v>
      </c>
      <c r="J408">
        <v>1</v>
      </c>
      <c r="K408">
        <v>1</v>
      </c>
      <c r="M408">
        <v>4</v>
      </c>
      <c r="N408">
        <v>5</v>
      </c>
      <c r="O408">
        <v>1360360.36036036</v>
      </c>
      <c r="P408">
        <v>1856756.7567567569</v>
      </c>
      <c r="R408">
        <v>3</v>
      </c>
      <c r="S408">
        <v>20461036.036036037</v>
      </c>
      <c r="T408">
        <v>20099045.045045044</v>
      </c>
      <c r="U408">
        <v>1118918.9189189191</v>
      </c>
      <c r="V408">
        <v>1362162.1621621619</v>
      </c>
      <c r="W408">
        <v>2063</v>
      </c>
      <c r="X408">
        <v>2125</v>
      </c>
    </row>
    <row r="409" spans="1:24">
      <c r="A409" s="7" t="s">
        <v>506</v>
      </c>
      <c r="B409" s="16" t="s">
        <v>236</v>
      </c>
      <c r="C409">
        <v>235608565.85773984</v>
      </c>
      <c r="D409">
        <v>222576279.53308901</v>
      </c>
      <c r="E409">
        <v>95509627.027027026</v>
      </c>
      <c r="F409">
        <v>137059105.4054054</v>
      </c>
      <c r="G409">
        <v>75</v>
      </c>
      <c r="H409">
        <v>40</v>
      </c>
      <c r="I409">
        <v>9</v>
      </c>
      <c r="J409">
        <v>14</v>
      </c>
      <c r="M409">
        <v>109</v>
      </c>
      <c r="N409">
        <v>183</v>
      </c>
      <c r="O409">
        <v>64160000</v>
      </c>
      <c r="P409">
        <v>71457297.297297299</v>
      </c>
      <c r="Q409">
        <v>28</v>
      </c>
      <c r="R409">
        <v>19</v>
      </c>
      <c r="S409">
        <v>53564202.702702701</v>
      </c>
      <c r="T409">
        <v>50037486.486486487</v>
      </c>
      <c r="U409">
        <v>39524954.954954952</v>
      </c>
      <c r="V409">
        <v>46882162.162162162</v>
      </c>
      <c r="W409">
        <v>4773</v>
      </c>
      <c r="X409">
        <v>4482</v>
      </c>
    </row>
    <row r="410" spans="1:24">
      <c r="A410" s="7" t="s">
        <v>507</v>
      </c>
      <c r="B410" s="16" t="s">
        <v>134</v>
      </c>
      <c r="C410">
        <v>36506462.371147215</v>
      </c>
      <c r="D410">
        <v>24258363.253987227</v>
      </c>
      <c r="E410">
        <v>19819819.819819819</v>
      </c>
      <c r="F410">
        <v>26576576.576576576</v>
      </c>
      <c r="G410">
        <v>1</v>
      </c>
      <c r="I410">
        <v>0</v>
      </c>
      <c r="M410">
        <v>1</v>
      </c>
      <c r="O410">
        <v>45045.045045045001</v>
      </c>
      <c r="Q410">
        <v>5</v>
      </c>
      <c r="S410">
        <v>5811666.666666667</v>
      </c>
      <c r="T410">
        <v>3948954.9549549548</v>
      </c>
      <c r="U410">
        <v>45045.045045045001</v>
      </c>
      <c r="W410">
        <v>1309</v>
      </c>
      <c r="X410">
        <v>1221</v>
      </c>
    </row>
    <row r="411" spans="1:24">
      <c r="A411" s="7" t="s">
        <v>508</v>
      </c>
      <c r="B411" s="16" t="s">
        <v>397</v>
      </c>
      <c r="C411">
        <v>237394953.12045404</v>
      </c>
      <c r="D411">
        <v>232722049.58488858</v>
      </c>
      <c r="E411">
        <v>213963.96396396399</v>
      </c>
      <c r="F411">
        <v>1097297.297297298</v>
      </c>
      <c r="G411">
        <v>50</v>
      </c>
      <c r="H411">
        <v>41</v>
      </c>
      <c r="I411">
        <v>2</v>
      </c>
      <c r="J411">
        <v>9</v>
      </c>
      <c r="M411">
        <v>58</v>
      </c>
      <c r="N411">
        <v>70</v>
      </c>
      <c r="O411">
        <v>22142567.567567568</v>
      </c>
      <c r="P411">
        <v>25386936.936936937</v>
      </c>
      <c r="Q411">
        <v>51</v>
      </c>
      <c r="R411">
        <v>219</v>
      </c>
      <c r="S411">
        <v>33172432.432432432</v>
      </c>
      <c r="T411">
        <v>36631009.009009011</v>
      </c>
      <c r="U411">
        <v>18405810.810810812</v>
      </c>
      <c r="V411">
        <v>24874234.234234232</v>
      </c>
      <c r="W411">
        <v>4544</v>
      </c>
      <c r="X411">
        <v>4468</v>
      </c>
    </row>
    <row r="412" spans="1:24">
      <c r="A412" s="7" t="s">
        <v>509</v>
      </c>
      <c r="B412" s="16" t="s">
        <v>134</v>
      </c>
      <c r="C412">
        <v>259856508.32267815</v>
      </c>
      <c r="D412">
        <v>258828565.35038134</v>
      </c>
      <c r="E412">
        <v>1346621.6216216229</v>
      </c>
      <c r="F412">
        <v>1469369.3693693739</v>
      </c>
      <c r="G412">
        <v>78</v>
      </c>
      <c r="H412">
        <v>63</v>
      </c>
      <c r="I412">
        <v>16</v>
      </c>
      <c r="J412">
        <v>11</v>
      </c>
      <c r="K412">
        <v>2</v>
      </c>
      <c r="M412">
        <v>81</v>
      </c>
      <c r="N412">
        <v>75</v>
      </c>
      <c r="O412">
        <v>32390090.090090089</v>
      </c>
      <c r="P412">
        <v>25581981.981981985</v>
      </c>
      <c r="Q412">
        <v>260</v>
      </c>
      <c r="R412">
        <v>13</v>
      </c>
      <c r="S412">
        <v>44467894.59459459</v>
      </c>
      <c r="T412">
        <v>42243700.45045045</v>
      </c>
      <c r="U412">
        <v>23803243.243243244</v>
      </c>
      <c r="V412">
        <v>20552882.882882878</v>
      </c>
      <c r="W412">
        <v>5609</v>
      </c>
      <c r="X412">
        <v>5513</v>
      </c>
    </row>
    <row r="413" spans="1:24">
      <c r="A413" s="7" t="s">
        <v>510</v>
      </c>
      <c r="B413" s="16" t="s">
        <v>134</v>
      </c>
      <c r="C413">
        <v>711765049.96649277</v>
      </c>
      <c r="D413">
        <v>709702168.14537013</v>
      </c>
      <c r="E413">
        <v>2073828.8288288361</v>
      </c>
      <c r="F413">
        <v>4170270.2702702768</v>
      </c>
      <c r="G413">
        <v>290</v>
      </c>
      <c r="H413">
        <v>150</v>
      </c>
      <c r="I413">
        <v>33</v>
      </c>
      <c r="J413">
        <v>25</v>
      </c>
      <c r="K413">
        <v>10</v>
      </c>
      <c r="M413">
        <v>336</v>
      </c>
      <c r="N413">
        <v>213</v>
      </c>
      <c r="O413">
        <v>57596666.666666672</v>
      </c>
      <c r="P413">
        <v>52041441.441441439</v>
      </c>
      <c r="Q413">
        <v>438</v>
      </c>
      <c r="R413">
        <v>298</v>
      </c>
      <c r="S413">
        <v>76879234.234234244</v>
      </c>
      <c r="T413">
        <v>74199612.612612605</v>
      </c>
      <c r="U413">
        <v>52456126.126126118</v>
      </c>
      <c r="V413">
        <v>49781621.621621624</v>
      </c>
      <c r="W413">
        <v>16385</v>
      </c>
      <c r="X413">
        <v>16438</v>
      </c>
    </row>
    <row r="414" spans="1:24">
      <c r="A414" s="7" t="s">
        <v>8</v>
      </c>
      <c r="B414" s="16" t="s">
        <v>158</v>
      </c>
      <c r="C414">
        <v>189033145.38525209</v>
      </c>
      <c r="D414">
        <v>185775247.5207929</v>
      </c>
      <c r="E414">
        <v>689063954.05405402</v>
      </c>
      <c r="F414">
        <v>631444881.08108103</v>
      </c>
      <c r="G414">
        <v>19</v>
      </c>
      <c r="H414">
        <v>11</v>
      </c>
      <c r="I414">
        <v>9</v>
      </c>
      <c r="J414">
        <v>8</v>
      </c>
      <c r="M414">
        <v>20</v>
      </c>
      <c r="N414">
        <v>12</v>
      </c>
      <c r="O414">
        <v>67052166.666666664</v>
      </c>
      <c r="P414">
        <v>67437837.837837845</v>
      </c>
      <c r="Q414">
        <v>96</v>
      </c>
      <c r="R414">
        <v>51</v>
      </c>
      <c r="S414">
        <v>55044054.054054059</v>
      </c>
      <c r="T414">
        <v>54280513.513513513</v>
      </c>
      <c r="U414">
        <v>24929549.54954955</v>
      </c>
      <c r="V414">
        <v>21697567.567567568</v>
      </c>
      <c r="W414">
        <v>3628</v>
      </c>
      <c r="X414">
        <v>3838</v>
      </c>
    </row>
    <row r="415" spans="1:24">
      <c r="A415" s="7" t="s">
        <v>511</v>
      </c>
      <c r="B415" s="16" t="s">
        <v>134</v>
      </c>
      <c r="C415">
        <v>118699243.81706578</v>
      </c>
      <c r="D415">
        <v>135574071.4113771</v>
      </c>
      <c r="E415">
        <v>274774.77477477503</v>
      </c>
      <c r="F415">
        <v>549549.54954955005</v>
      </c>
      <c r="G415">
        <v>36</v>
      </c>
      <c r="H415">
        <v>12</v>
      </c>
      <c r="I415">
        <v>3</v>
      </c>
      <c r="J415">
        <v>3</v>
      </c>
      <c r="M415">
        <v>91</v>
      </c>
      <c r="N415">
        <v>13</v>
      </c>
      <c r="O415">
        <v>3247747.7477477482</v>
      </c>
      <c r="P415">
        <v>5954954.9549549557</v>
      </c>
      <c r="Q415">
        <v>30</v>
      </c>
      <c r="R415">
        <v>10</v>
      </c>
      <c r="S415">
        <v>16490306.306306308</v>
      </c>
      <c r="T415">
        <v>19561189.189189188</v>
      </c>
      <c r="U415">
        <v>3575675.6756756739</v>
      </c>
      <c r="V415">
        <v>4032252.2522522518</v>
      </c>
      <c r="W415">
        <v>3710</v>
      </c>
      <c r="X415">
        <v>3960</v>
      </c>
    </row>
    <row r="416" spans="1:24">
      <c r="A416" s="7" t="s">
        <v>512</v>
      </c>
      <c r="B416" s="16" t="s">
        <v>62</v>
      </c>
      <c r="C416">
        <v>610175340.6463238</v>
      </c>
      <c r="D416">
        <v>589067842.83002889</v>
      </c>
      <c r="E416">
        <v>3184684.6846846859</v>
      </c>
      <c r="F416">
        <v>3276576.5765765812</v>
      </c>
      <c r="G416">
        <v>139</v>
      </c>
      <c r="H416">
        <v>166</v>
      </c>
      <c r="I416">
        <v>4</v>
      </c>
      <c r="J416">
        <v>21</v>
      </c>
      <c r="M416">
        <v>157</v>
      </c>
      <c r="N416">
        <v>233</v>
      </c>
      <c r="O416">
        <v>23807207.207207203</v>
      </c>
      <c r="P416">
        <v>101117027.02702703</v>
      </c>
      <c r="Q416">
        <v>66</v>
      </c>
      <c r="R416">
        <v>178</v>
      </c>
      <c r="S416">
        <v>115602594.5945946</v>
      </c>
      <c r="T416">
        <v>122996948.64864863</v>
      </c>
      <c r="U416">
        <v>24551891.891891893</v>
      </c>
      <c r="V416">
        <v>97949279.279279277</v>
      </c>
      <c r="W416">
        <v>14458</v>
      </c>
      <c r="X416">
        <v>14358</v>
      </c>
    </row>
    <row r="417" spans="1:24">
      <c r="A417" s="7" t="s">
        <v>513</v>
      </c>
      <c r="B417" s="16" t="s">
        <v>117</v>
      </c>
      <c r="C417">
        <v>70511119.683182016</v>
      </c>
      <c r="D417">
        <v>61238937.026321426</v>
      </c>
      <c r="E417">
        <v>16343243.243243244</v>
      </c>
      <c r="F417">
        <v>4902702.702702703</v>
      </c>
      <c r="G417">
        <v>81</v>
      </c>
      <c r="H417">
        <v>27</v>
      </c>
      <c r="I417">
        <v>4</v>
      </c>
      <c r="J417">
        <v>3</v>
      </c>
      <c r="M417">
        <v>84</v>
      </c>
      <c r="N417">
        <v>27</v>
      </c>
      <c r="O417">
        <v>8551981.9819819815</v>
      </c>
      <c r="P417">
        <v>4719639.6396396402</v>
      </c>
      <c r="Q417">
        <v>38</v>
      </c>
      <c r="R417">
        <v>1</v>
      </c>
      <c r="S417">
        <v>33488063.063063063</v>
      </c>
      <c r="T417">
        <v>25947045.045045044</v>
      </c>
      <c r="U417">
        <v>3041171.1711711702</v>
      </c>
      <c r="V417">
        <v>2080360.3603603621</v>
      </c>
      <c r="W417">
        <v>2053</v>
      </c>
      <c r="X417">
        <v>2020</v>
      </c>
    </row>
    <row r="418" spans="1:24">
      <c r="A418" s="7" t="s">
        <v>514</v>
      </c>
      <c r="B418" s="16" t="s">
        <v>304</v>
      </c>
      <c r="C418">
        <v>118825007.74211904</v>
      </c>
      <c r="D418">
        <v>110820182.27574718</v>
      </c>
      <c r="E418">
        <v>293693.69369369402</v>
      </c>
      <c r="F418">
        <v>1490990.9909909919</v>
      </c>
      <c r="G418">
        <v>44</v>
      </c>
      <c r="H418">
        <v>61</v>
      </c>
      <c r="I418">
        <v>6</v>
      </c>
      <c r="J418">
        <v>12</v>
      </c>
      <c r="M418">
        <v>48</v>
      </c>
      <c r="N418">
        <v>64</v>
      </c>
      <c r="O418">
        <v>2681081.0810810812</v>
      </c>
      <c r="P418">
        <v>9846396.3963963967</v>
      </c>
      <c r="Q418">
        <v>79</v>
      </c>
      <c r="R418">
        <v>18</v>
      </c>
      <c r="S418">
        <v>10583288.288288288</v>
      </c>
      <c r="T418">
        <v>11173018.018018018</v>
      </c>
      <c r="U418">
        <v>3695405.4054054059</v>
      </c>
      <c r="V418">
        <v>10015405.405405406</v>
      </c>
      <c r="W418">
        <v>1552</v>
      </c>
      <c r="X418">
        <v>1536</v>
      </c>
    </row>
    <row r="419" spans="1:24">
      <c r="A419" s="7" t="s">
        <v>515</v>
      </c>
      <c r="B419" s="16" t="s">
        <v>304</v>
      </c>
      <c r="C419">
        <v>34295456.756435879</v>
      </c>
      <c r="D419">
        <v>29824100.914615467</v>
      </c>
      <c r="E419">
        <v>194054.054054054</v>
      </c>
      <c r="F419">
        <v>235135.135135135</v>
      </c>
      <c r="G419">
        <v>10</v>
      </c>
      <c r="H419">
        <v>8</v>
      </c>
      <c r="I419">
        <v>3</v>
      </c>
      <c r="J419">
        <v>7</v>
      </c>
      <c r="M419">
        <v>10</v>
      </c>
      <c r="N419">
        <v>9</v>
      </c>
      <c r="O419">
        <v>3977837.8378378372</v>
      </c>
      <c r="P419">
        <v>3700900.900900899</v>
      </c>
      <c r="Q419">
        <v>27</v>
      </c>
      <c r="R419">
        <v>28</v>
      </c>
      <c r="S419">
        <v>4929144.1441441448</v>
      </c>
      <c r="T419">
        <v>4657531.5315315314</v>
      </c>
      <c r="U419">
        <v>4280630.6306306301</v>
      </c>
      <c r="V419">
        <v>2603873.8738738722</v>
      </c>
      <c r="W419">
        <v>610</v>
      </c>
      <c r="X419">
        <v>611</v>
      </c>
    </row>
    <row r="420" spans="1:24">
      <c r="A420" s="7" t="s">
        <v>516</v>
      </c>
      <c r="B420" s="16" t="s">
        <v>304</v>
      </c>
      <c r="C420">
        <v>63754614.122872673</v>
      </c>
      <c r="D420">
        <v>66464179.017734982</v>
      </c>
      <c r="E420">
        <v>22162.162162163</v>
      </c>
      <c r="F420">
        <v>701801.80180180096</v>
      </c>
      <c r="G420">
        <v>29</v>
      </c>
      <c r="H420">
        <v>33</v>
      </c>
      <c r="I420">
        <v>2</v>
      </c>
      <c r="J420">
        <v>12</v>
      </c>
      <c r="M420">
        <v>32</v>
      </c>
      <c r="N420">
        <v>37</v>
      </c>
      <c r="O420">
        <v>4932072.072072071</v>
      </c>
      <c r="P420">
        <v>3384684.684684684</v>
      </c>
      <c r="Q420">
        <v>47</v>
      </c>
      <c r="R420">
        <v>18</v>
      </c>
      <c r="S420">
        <v>8943648.6486486495</v>
      </c>
      <c r="T420">
        <v>9891000</v>
      </c>
      <c r="U420">
        <v>4386126.1261261264</v>
      </c>
      <c r="V420">
        <v>3007207.207207208</v>
      </c>
      <c r="W420">
        <v>1116</v>
      </c>
      <c r="X420">
        <v>1089</v>
      </c>
    </row>
    <row r="421" spans="1:24">
      <c r="A421" s="7" t="s">
        <v>517</v>
      </c>
      <c r="B421" s="16" t="s">
        <v>304</v>
      </c>
      <c r="C421">
        <v>53529500.102244645</v>
      </c>
      <c r="D421">
        <v>52118555.152501047</v>
      </c>
      <c r="E421">
        <v>19819.819819820001</v>
      </c>
      <c r="F421">
        <v>94594.594594594993</v>
      </c>
      <c r="G421">
        <v>14</v>
      </c>
      <c r="H421">
        <v>20</v>
      </c>
      <c r="I421">
        <v>3</v>
      </c>
      <c r="J421">
        <v>3</v>
      </c>
      <c r="M421">
        <v>14</v>
      </c>
      <c r="N421">
        <v>21</v>
      </c>
      <c r="O421">
        <v>2109909.9099099101</v>
      </c>
      <c r="P421">
        <v>1175675.675675676</v>
      </c>
      <c r="Q421">
        <v>8</v>
      </c>
      <c r="R421">
        <v>5</v>
      </c>
      <c r="S421">
        <v>7087567.5675675673</v>
      </c>
      <c r="T421">
        <v>6848279.2792792786</v>
      </c>
      <c r="U421">
        <v>1544954.9549549541</v>
      </c>
      <c r="V421">
        <v>1076486.4864864859</v>
      </c>
      <c r="W421">
        <v>747</v>
      </c>
      <c r="X421">
        <v>782</v>
      </c>
    </row>
    <row r="422" spans="1:24">
      <c r="A422" s="7" t="s">
        <v>518</v>
      </c>
      <c r="B422" s="16" t="s">
        <v>448</v>
      </c>
      <c r="C422">
        <v>55300696.203859501</v>
      </c>
      <c r="D422">
        <v>52573757.531990424</v>
      </c>
      <c r="E422">
        <v>78378.378378378999</v>
      </c>
      <c r="F422">
        <v>319819.81981982</v>
      </c>
      <c r="G422">
        <v>28</v>
      </c>
      <c r="H422">
        <v>11</v>
      </c>
      <c r="I422">
        <v>3</v>
      </c>
      <c r="M422">
        <v>35</v>
      </c>
      <c r="N422">
        <v>13</v>
      </c>
      <c r="O422">
        <v>4130180.180180179</v>
      </c>
      <c r="P422">
        <v>4133783.7837837841</v>
      </c>
      <c r="Q422">
        <v>20</v>
      </c>
      <c r="S422">
        <v>19479306.306306303</v>
      </c>
      <c r="T422">
        <v>17676164.414414413</v>
      </c>
      <c r="U422">
        <v>3755855.8558558552</v>
      </c>
      <c r="V422">
        <v>3965135.1351351342</v>
      </c>
      <c r="W422">
        <v>1800</v>
      </c>
      <c r="X422">
        <v>1836</v>
      </c>
    </row>
    <row r="423" spans="1:24">
      <c r="A423" s="7" t="s">
        <v>519</v>
      </c>
      <c r="B423" s="16" t="s">
        <v>85</v>
      </c>
      <c r="C423">
        <v>163011636.56555951</v>
      </c>
      <c r="D423">
        <v>163345890.89417455</v>
      </c>
      <c r="E423">
        <v>224324.32432432499</v>
      </c>
      <c r="F423">
        <v>1117117.1171171181</v>
      </c>
      <c r="G423">
        <v>42</v>
      </c>
      <c r="H423">
        <v>26</v>
      </c>
      <c r="I423">
        <v>5</v>
      </c>
      <c r="J423">
        <v>7</v>
      </c>
      <c r="M423">
        <v>50</v>
      </c>
      <c r="N423">
        <v>32</v>
      </c>
      <c r="O423">
        <v>25521621.62162162</v>
      </c>
      <c r="P423">
        <v>26439189.189189188</v>
      </c>
      <c r="Q423">
        <v>49</v>
      </c>
      <c r="S423">
        <v>39010135.135135137</v>
      </c>
      <c r="T423">
        <v>40836504.504504502</v>
      </c>
      <c r="U423">
        <v>18031351.351351351</v>
      </c>
      <c r="V423">
        <v>23600313.513513513</v>
      </c>
      <c r="W423">
        <v>3946</v>
      </c>
      <c r="X423">
        <v>4058</v>
      </c>
    </row>
    <row r="424" spans="1:24">
      <c r="A424" s="7" t="s">
        <v>520</v>
      </c>
      <c r="B424" s="16" t="s">
        <v>304</v>
      </c>
      <c r="C424">
        <v>83218182.900139093</v>
      </c>
      <c r="D424">
        <v>84601494.751495898</v>
      </c>
      <c r="E424">
        <v>191891.89189189201</v>
      </c>
      <c r="F424">
        <v>44144.144144143997</v>
      </c>
      <c r="G424">
        <v>41</v>
      </c>
      <c r="H424">
        <v>12</v>
      </c>
      <c r="I424">
        <v>2</v>
      </c>
      <c r="J424">
        <v>4</v>
      </c>
      <c r="M424">
        <v>44</v>
      </c>
      <c r="N424">
        <v>13</v>
      </c>
      <c r="O424">
        <v>6074774.7747747758</v>
      </c>
      <c r="P424">
        <v>5756756.7567567565</v>
      </c>
      <c r="Q424">
        <v>12</v>
      </c>
      <c r="R424">
        <v>8</v>
      </c>
      <c r="S424">
        <v>14923603.603603603</v>
      </c>
      <c r="T424">
        <v>14749540.540540541</v>
      </c>
      <c r="U424">
        <v>3263243.2432432431</v>
      </c>
      <c r="V424">
        <v>2560900.9009008999</v>
      </c>
      <c r="W424">
        <v>1702</v>
      </c>
      <c r="X424">
        <v>1343</v>
      </c>
    </row>
    <row r="425" spans="1:24">
      <c r="A425" s="7" t="s">
        <v>521</v>
      </c>
      <c r="B425" s="16" t="s">
        <v>399</v>
      </c>
      <c r="C425">
        <v>591725783.94293642</v>
      </c>
      <c r="D425">
        <v>576483260.07369292</v>
      </c>
      <c r="E425">
        <v>218844127.02702704</v>
      </c>
      <c r="F425">
        <v>160995855.85585588</v>
      </c>
      <c r="G425">
        <v>306</v>
      </c>
      <c r="H425">
        <v>261</v>
      </c>
      <c r="I425">
        <v>41</v>
      </c>
      <c r="J425">
        <v>42</v>
      </c>
      <c r="K425">
        <v>6</v>
      </c>
      <c r="M425">
        <v>365</v>
      </c>
      <c r="N425">
        <v>626</v>
      </c>
      <c r="O425">
        <v>132219054.05405405</v>
      </c>
      <c r="P425">
        <v>109541666.66666667</v>
      </c>
      <c r="Q425">
        <v>588</v>
      </c>
      <c r="R425">
        <v>885</v>
      </c>
      <c r="S425">
        <v>145769324.32432431</v>
      </c>
      <c r="T425">
        <v>147977513.51351351</v>
      </c>
      <c r="U425">
        <v>108578558.55855855</v>
      </c>
      <c r="V425">
        <v>89950720.720720723</v>
      </c>
      <c r="W425">
        <v>13828</v>
      </c>
      <c r="X425">
        <v>13798</v>
      </c>
    </row>
    <row r="426" spans="1:24">
      <c r="A426" s="7" t="s">
        <v>522</v>
      </c>
      <c r="B426" s="16" t="s">
        <v>143</v>
      </c>
      <c r="C426">
        <v>169626672.9305827</v>
      </c>
      <c r="D426">
        <v>162150991.68533966</v>
      </c>
      <c r="E426">
        <v>21621.621621622999</v>
      </c>
      <c r="F426">
        <v>281081.081081082</v>
      </c>
      <c r="G426">
        <v>35</v>
      </c>
      <c r="H426">
        <v>49</v>
      </c>
      <c r="I426">
        <v>5</v>
      </c>
      <c r="J426">
        <v>2</v>
      </c>
      <c r="M426">
        <v>40</v>
      </c>
      <c r="N426">
        <v>53</v>
      </c>
      <c r="O426">
        <v>9246846.8468468487</v>
      </c>
      <c r="P426">
        <v>9290090.0900900904</v>
      </c>
      <c r="Q426">
        <v>18</v>
      </c>
      <c r="S426">
        <v>19884180.180180181</v>
      </c>
      <c r="T426">
        <v>21545720.72072072</v>
      </c>
      <c r="U426">
        <v>9489189.1891891882</v>
      </c>
      <c r="V426">
        <v>9433873.8738738764</v>
      </c>
      <c r="W426">
        <v>2966</v>
      </c>
      <c r="X426">
        <v>2976</v>
      </c>
    </row>
    <row r="427" spans="1:24">
      <c r="A427" s="7" t="s">
        <v>523</v>
      </c>
      <c r="B427" s="16" t="s">
        <v>66</v>
      </c>
      <c r="C427">
        <v>110672468.53419994</v>
      </c>
      <c r="D427">
        <v>113841519.34485114</v>
      </c>
      <c r="E427">
        <v>63603.603603604002</v>
      </c>
      <c r="F427">
        <v>2609909.9099099119</v>
      </c>
      <c r="G427">
        <v>26</v>
      </c>
      <c r="H427">
        <v>26</v>
      </c>
      <c r="I427">
        <v>3</v>
      </c>
      <c r="J427">
        <v>4</v>
      </c>
      <c r="K427">
        <v>1</v>
      </c>
      <c r="M427">
        <v>36</v>
      </c>
      <c r="N427">
        <v>30</v>
      </c>
      <c r="O427">
        <v>12532162.162162161</v>
      </c>
      <c r="P427">
        <v>59435135.135135137</v>
      </c>
      <c r="Q427">
        <v>158</v>
      </c>
      <c r="R427">
        <v>10</v>
      </c>
      <c r="S427">
        <v>52137288.288288288</v>
      </c>
      <c r="T427">
        <v>54088315.315315314</v>
      </c>
      <c r="U427">
        <v>12464774.774774771</v>
      </c>
      <c r="V427">
        <v>40863423.423423424</v>
      </c>
      <c r="W427">
        <v>3668</v>
      </c>
      <c r="X427">
        <v>3697</v>
      </c>
    </row>
    <row r="428" spans="1:24">
      <c r="A428" s="7" t="s">
        <v>524</v>
      </c>
      <c r="B428" s="16" t="s">
        <v>220</v>
      </c>
      <c r="C428">
        <v>157557789.11409864</v>
      </c>
      <c r="D428">
        <v>145989858.96929124</v>
      </c>
      <c r="E428">
        <v>459771334.23423421</v>
      </c>
      <c r="F428">
        <v>421620766.66666669</v>
      </c>
      <c r="G428">
        <v>60</v>
      </c>
      <c r="H428">
        <v>49</v>
      </c>
      <c r="I428">
        <v>3</v>
      </c>
      <c r="J428">
        <v>2</v>
      </c>
      <c r="M428">
        <v>66</v>
      </c>
      <c r="N428">
        <v>56</v>
      </c>
      <c r="O428">
        <v>25468468.468468469</v>
      </c>
      <c r="P428">
        <v>22436936.936936937</v>
      </c>
      <c r="Q428">
        <v>20</v>
      </c>
      <c r="R428">
        <v>7</v>
      </c>
      <c r="S428">
        <v>38801702.702702701</v>
      </c>
      <c r="T428">
        <v>36001990.990990989</v>
      </c>
      <c r="U428">
        <v>8538738.7387387361</v>
      </c>
      <c r="V428">
        <v>7865855.8558558552</v>
      </c>
      <c r="W428">
        <v>4454</v>
      </c>
      <c r="X428">
        <v>4336</v>
      </c>
    </row>
    <row r="429" spans="1:24">
      <c r="A429" s="7" t="s">
        <v>525</v>
      </c>
      <c r="B429" s="16" t="s">
        <v>413</v>
      </c>
      <c r="C429">
        <v>1681063086.286479</v>
      </c>
      <c r="D429">
        <v>1611622180.171931</v>
      </c>
      <c r="E429">
        <v>895758527.02702713</v>
      </c>
      <c r="F429">
        <v>555526334.23423421</v>
      </c>
      <c r="G429">
        <v>329</v>
      </c>
      <c r="H429">
        <v>391</v>
      </c>
      <c r="I429">
        <v>23</v>
      </c>
      <c r="J429">
        <v>60</v>
      </c>
      <c r="M429">
        <v>609</v>
      </c>
      <c r="N429">
        <v>1217</v>
      </c>
      <c r="O429">
        <v>127271081.08108108</v>
      </c>
      <c r="P429">
        <v>124728234.23423424</v>
      </c>
      <c r="Q429">
        <v>765</v>
      </c>
      <c r="R429">
        <v>622</v>
      </c>
      <c r="S429">
        <v>472763036.03603601</v>
      </c>
      <c r="T429">
        <v>473290292.7927928</v>
      </c>
      <c r="U429">
        <v>119247070.27027027</v>
      </c>
      <c r="V429">
        <v>131225405.4054054</v>
      </c>
      <c r="W429">
        <v>32494</v>
      </c>
      <c r="X429">
        <v>32428</v>
      </c>
    </row>
    <row r="430" spans="1:24">
      <c r="A430" s="7" t="s">
        <v>526</v>
      </c>
      <c r="B430" s="16" t="s">
        <v>413</v>
      </c>
      <c r="C430">
        <v>198121160.2360048</v>
      </c>
      <c r="D430">
        <v>178510892.4756715</v>
      </c>
      <c r="E430">
        <v>15315.315315316</v>
      </c>
      <c r="F430">
        <v>769594.59459459502</v>
      </c>
      <c r="G430">
        <v>27</v>
      </c>
      <c r="H430">
        <v>32</v>
      </c>
      <c r="I430">
        <v>1</v>
      </c>
      <c r="J430">
        <v>3</v>
      </c>
      <c r="M430">
        <v>31</v>
      </c>
      <c r="N430">
        <v>41</v>
      </c>
      <c r="O430">
        <v>10133153.153153151</v>
      </c>
      <c r="P430">
        <v>11669236.936936937</v>
      </c>
      <c r="Q430">
        <v>21</v>
      </c>
      <c r="R430">
        <v>18</v>
      </c>
      <c r="S430">
        <v>55863459.459459454</v>
      </c>
      <c r="T430">
        <v>56144801.801801801</v>
      </c>
      <c r="U430">
        <v>8154054.0540540526</v>
      </c>
      <c r="V430">
        <v>9252342.3423423432</v>
      </c>
      <c r="W430">
        <v>4586</v>
      </c>
      <c r="X430">
        <v>4486</v>
      </c>
    </row>
    <row r="431" spans="1:24">
      <c r="A431" s="7" t="s">
        <v>661</v>
      </c>
      <c r="B431" s="16" t="s">
        <v>189</v>
      </c>
      <c r="C431">
        <v>3248780.8964950461</v>
      </c>
      <c r="D431">
        <v>337884.11411268398</v>
      </c>
      <c r="F431">
        <v>3603603.6036036038</v>
      </c>
      <c r="G431">
        <v>4</v>
      </c>
      <c r="H431">
        <v>1</v>
      </c>
      <c r="M431">
        <v>4</v>
      </c>
      <c r="N431">
        <v>1</v>
      </c>
      <c r="S431">
        <v>1008558.558558559</v>
      </c>
      <c r="T431">
        <v>255630.630630631</v>
      </c>
      <c r="W431">
        <v>128</v>
      </c>
      <c r="X431">
        <v>97</v>
      </c>
    </row>
    <row r="432" spans="1:24">
      <c r="A432" s="7" t="s">
        <v>527</v>
      </c>
      <c r="B432" s="16" t="s">
        <v>147</v>
      </c>
      <c r="C432">
        <v>393984639.14044672</v>
      </c>
      <c r="D432">
        <v>372314804.76802939</v>
      </c>
      <c r="E432">
        <v>1165765.765765768</v>
      </c>
      <c r="F432">
        <v>7052477.4774774797</v>
      </c>
      <c r="G432">
        <v>60</v>
      </c>
      <c r="H432">
        <v>172</v>
      </c>
      <c r="I432">
        <v>5</v>
      </c>
      <c r="J432">
        <v>10</v>
      </c>
      <c r="M432">
        <v>74</v>
      </c>
      <c r="N432">
        <v>420</v>
      </c>
      <c r="O432">
        <v>22273873.873873871</v>
      </c>
      <c r="P432">
        <v>90643465.765765771</v>
      </c>
      <c r="Q432">
        <v>80</v>
      </c>
      <c r="R432">
        <v>373</v>
      </c>
      <c r="S432">
        <v>121378144.14414415</v>
      </c>
      <c r="T432">
        <v>136914313.51351351</v>
      </c>
      <c r="U432">
        <v>26228918.918918915</v>
      </c>
      <c r="V432">
        <v>88440720.720720723</v>
      </c>
      <c r="W432">
        <v>10030</v>
      </c>
      <c r="X432">
        <v>9843</v>
      </c>
    </row>
    <row r="433" spans="1:24">
      <c r="A433" s="7" t="s">
        <v>528</v>
      </c>
      <c r="B433" s="16" t="s">
        <v>121</v>
      </c>
      <c r="C433">
        <v>42242120.313439861</v>
      </c>
      <c r="D433">
        <v>41193057.369455151</v>
      </c>
      <c r="E433">
        <v>148423.42342342401</v>
      </c>
      <c r="F433">
        <v>433333.33333333401</v>
      </c>
      <c r="G433">
        <v>24</v>
      </c>
      <c r="H433">
        <v>22</v>
      </c>
      <c r="I433">
        <v>4</v>
      </c>
      <c r="J433">
        <v>2</v>
      </c>
      <c r="M433">
        <v>25</v>
      </c>
      <c r="N433">
        <v>25</v>
      </c>
      <c r="O433">
        <v>2792792.7927927938</v>
      </c>
      <c r="P433">
        <v>4203603.6036036033</v>
      </c>
      <c r="Q433">
        <v>13</v>
      </c>
      <c r="R433">
        <v>5</v>
      </c>
      <c r="S433">
        <v>4602657.6576576577</v>
      </c>
      <c r="T433">
        <v>5421004.5045045037</v>
      </c>
      <c r="U433">
        <v>2111531.5315315318</v>
      </c>
      <c r="V433">
        <v>3950090.0900900899</v>
      </c>
      <c r="W433">
        <v>978</v>
      </c>
      <c r="X433">
        <v>966</v>
      </c>
    </row>
    <row r="434" spans="1:24">
      <c r="A434" s="7" t="s">
        <v>529</v>
      </c>
      <c r="B434" s="16" t="s">
        <v>448</v>
      </c>
      <c r="C434">
        <v>98743180.236569002</v>
      </c>
      <c r="D434">
        <v>73720077.614415854</v>
      </c>
      <c r="E434">
        <v>104835765.76576576</v>
      </c>
      <c r="F434">
        <v>250328828.82882884</v>
      </c>
      <c r="G434">
        <v>44</v>
      </c>
      <c r="H434">
        <v>58</v>
      </c>
      <c r="I434">
        <v>1</v>
      </c>
      <c r="J434">
        <v>0</v>
      </c>
      <c r="M434">
        <v>44</v>
      </c>
      <c r="N434">
        <v>145</v>
      </c>
      <c r="O434">
        <v>10274324.324324327</v>
      </c>
      <c r="P434">
        <v>6160585.5855855839</v>
      </c>
      <c r="Q434">
        <v>59</v>
      </c>
      <c r="S434">
        <v>45754981.981981985</v>
      </c>
      <c r="T434">
        <v>36465966.216216214</v>
      </c>
      <c r="U434">
        <v>7743693.6936936947</v>
      </c>
      <c r="V434">
        <v>4031531.531531529</v>
      </c>
      <c r="W434">
        <v>2137</v>
      </c>
      <c r="X434">
        <v>2095</v>
      </c>
    </row>
    <row r="435" spans="1:24">
      <c r="A435" s="7" t="s">
        <v>530</v>
      </c>
      <c r="B435" s="16" t="s">
        <v>448</v>
      </c>
      <c r="C435">
        <v>177506107.60050237</v>
      </c>
      <c r="D435">
        <v>172922771.16397402</v>
      </c>
      <c r="E435">
        <v>95495.495495494994</v>
      </c>
      <c r="F435">
        <v>1165765.7657657659</v>
      </c>
      <c r="G435">
        <v>170</v>
      </c>
      <c r="H435">
        <v>71</v>
      </c>
      <c r="I435">
        <v>9</v>
      </c>
      <c r="J435">
        <v>8</v>
      </c>
      <c r="M435">
        <v>203</v>
      </c>
      <c r="N435">
        <v>77</v>
      </c>
      <c r="O435">
        <v>12379909.909909911</v>
      </c>
      <c r="P435">
        <v>7514864.8648648662</v>
      </c>
      <c r="Q435">
        <v>131</v>
      </c>
      <c r="R435">
        <v>33</v>
      </c>
      <c r="S435">
        <v>83201081.081081092</v>
      </c>
      <c r="T435">
        <v>81453513.51351352</v>
      </c>
      <c r="U435">
        <v>12459279.27927928</v>
      </c>
      <c r="V435">
        <v>8110630.630630631</v>
      </c>
      <c r="W435">
        <v>5202</v>
      </c>
      <c r="X435">
        <v>5138</v>
      </c>
    </row>
    <row r="436" spans="1:24">
      <c r="A436" s="7" t="s">
        <v>531</v>
      </c>
      <c r="B436" s="16" t="s">
        <v>123</v>
      </c>
      <c r="C436">
        <v>456959044.81723714</v>
      </c>
      <c r="D436">
        <v>465532723.87643206</v>
      </c>
      <c r="E436">
        <v>97032623.423423424</v>
      </c>
      <c r="F436">
        <v>242089112.61261261</v>
      </c>
      <c r="G436">
        <v>130</v>
      </c>
      <c r="H436">
        <v>261</v>
      </c>
      <c r="I436">
        <v>34</v>
      </c>
      <c r="J436">
        <v>36</v>
      </c>
      <c r="K436">
        <v>6</v>
      </c>
      <c r="M436">
        <v>209</v>
      </c>
      <c r="N436">
        <v>543</v>
      </c>
      <c r="O436">
        <v>88894774.77477479</v>
      </c>
      <c r="P436">
        <v>126298648.64864863</v>
      </c>
      <c r="Q436">
        <v>180</v>
      </c>
      <c r="R436">
        <v>2769</v>
      </c>
      <c r="S436">
        <v>156245829.72972974</v>
      </c>
      <c r="T436">
        <v>164438579.27927926</v>
      </c>
      <c r="U436">
        <v>94411351.351351351</v>
      </c>
      <c r="V436">
        <v>127919639.63963963</v>
      </c>
      <c r="W436">
        <v>11197</v>
      </c>
      <c r="X436">
        <v>11198</v>
      </c>
    </row>
    <row r="437" spans="1:24">
      <c r="A437" s="7" t="s">
        <v>532</v>
      </c>
      <c r="B437" s="16" t="s">
        <v>85</v>
      </c>
      <c r="C437">
        <v>145839139.65961546</v>
      </c>
      <c r="D437">
        <v>135640637.05444926</v>
      </c>
      <c r="E437">
        <v>3364864.8648648658</v>
      </c>
      <c r="F437">
        <v>297297.29729729902</v>
      </c>
      <c r="G437">
        <v>14</v>
      </c>
      <c r="H437">
        <v>34</v>
      </c>
      <c r="I437">
        <v>5</v>
      </c>
      <c r="J437">
        <v>2</v>
      </c>
      <c r="M437">
        <v>14</v>
      </c>
      <c r="N437">
        <v>47</v>
      </c>
      <c r="O437">
        <v>29184684.684684683</v>
      </c>
      <c r="P437">
        <v>14569009.009009007</v>
      </c>
      <c r="Q437">
        <v>27</v>
      </c>
      <c r="R437">
        <v>24</v>
      </c>
      <c r="S437">
        <v>33266711.711711712</v>
      </c>
      <c r="T437">
        <v>29052972.97297297</v>
      </c>
      <c r="U437">
        <v>23830000</v>
      </c>
      <c r="V437">
        <v>9174684.6846846845</v>
      </c>
      <c r="W437">
        <v>3403</v>
      </c>
      <c r="X437">
        <v>3625</v>
      </c>
    </row>
    <row r="438" spans="1:24">
      <c r="A438" s="7" t="s">
        <v>9</v>
      </c>
      <c r="B438" s="16" t="s">
        <v>158</v>
      </c>
      <c r="C438">
        <v>382220972.73992723</v>
      </c>
      <c r="D438">
        <v>362848182.77135968</v>
      </c>
      <c r="E438">
        <v>7249236.9369369419</v>
      </c>
      <c r="F438">
        <v>10101445.045045052</v>
      </c>
      <c r="G438">
        <v>70</v>
      </c>
      <c r="H438">
        <v>55</v>
      </c>
      <c r="I438">
        <v>19</v>
      </c>
      <c r="J438">
        <v>17</v>
      </c>
      <c r="K438">
        <v>4</v>
      </c>
      <c r="M438">
        <v>81</v>
      </c>
      <c r="N438">
        <v>63</v>
      </c>
      <c r="O438">
        <v>596720239.63963974</v>
      </c>
      <c r="P438">
        <v>491780491.8918919</v>
      </c>
      <c r="Q438">
        <v>230</v>
      </c>
      <c r="R438">
        <v>140</v>
      </c>
      <c r="S438">
        <v>137280036.03603604</v>
      </c>
      <c r="T438">
        <v>131256405.4054054</v>
      </c>
      <c r="U438">
        <v>495649819.81981987</v>
      </c>
      <c r="V438">
        <v>408636846.84684682</v>
      </c>
      <c r="W438">
        <v>7326</v>
      </c>
      <c r="X438">
        <v>7167</v>
      </c>
    </row>
    <row r="439" spans="1:24">
      <c r="A439" s="7" t="s">
        <v>533</v>
      </c>
      <c r="B439" s="16" t="s">
        <v>94</v>
      </c>
      <c r="C439">
        <v>364610490.38113946</v>
      </c>
      <c r="D439">
        <v>351172153.34718603</v>
      </c>
      <c r="E439">
        <v>275675.67567567702</v>
      </c>
      <c r="F439">
        <v>1252252.252252257</v>
      </c>
      <c r="G439">
        <v>65</v>
      </c>
      <c r="H439">
        <v>74</v>
      </c>
      <c r="I439">
        <v>12</v>
      </c>
      <c r="J439">
        <v>10</v>
      </c>
      <c r="K439">
        <v>1</v>
      </c>
      <c r="M439">
        <v>71</v>
      </c>
      <c r="N439">
        <v>82</v>
      </c>
      <c r="O439">
        <v>30307207.207207207</v>
      </c>
      <c r="P439">
        <v>29270270.270270273</v>
      </c>
      <c r="Q439">
        <v>77</v>
      </c>
      <c r="R439">
        <v>319</v>
      </c>
      <c r="S439">
        <v>41656618.018018015</v>
      </c>
      <c r="T439">
        <v>48064810.810810804</v>
      </c>
      <c r="U439">
        <v>21611171.171171173</v>
      </c>
      <c r="V439">
        <v>19733693.693693697</v>
      </c>
      <c r="W439">
        <v>6418</v>
      </c>
      <c r="X439">
        <v>6376</v>
      </c>
    </row>
    <row r="440" spans="1:24">
      <c r="A440" s="7" t="s">
        <v>534</v>
      </c>
      <c r="B440" s="16" t="s">
        <v>304</v>
      </c>
      <c r="C440">
        <v>9284466.0379732233</v>
      </c>
      <c r="D440">
        <v>9420987.7565291002</v>
      </c>
      <c r="E440">
        <v>9009009.0090090074</v>
      </c>
      <c r="F440">
        <v>7207207.2072072066</v>
      </c>
      <c r="G440">
        <v>7</v>
      </c>
      <c r="H440">
        <v>4</v>
      </c>
      <c r="M440">
        <v>7</v>
      </c>
      <c r="N440">
        <v>4</v>
      </c>
      <c r="P440">
        <v>44594.594594595001</v>
      </c>
      <c r="S440">
        <v>847882.88288288296</v>
      </c>
      <c r="T440">
        <v>1641756.7567567569</v>
      </c>
      <c r="W440">
        <v>230</v>
      </c>
      <c r="X440">
        <v>403</v>
      </c>
    </row>
    <row r="441" spans="1:24">
      <c r="A441" s="7" t="s">
        <v>535</v>
      </c>
      <c r="B441" s="16" t="s">
        <v>304</v>
      </c>
      <c r="C441">
        <v>151035784.32185876</v>
      </c>
      <c r="D441">
        <v>143824472.1304588</v>
      </c>
      <c r="E441">
        <v>64949202.702702701</v>
      </c>
      <c r="F441">
        <v>90531298.198198199</v>
      </c>
      <c r="G441">
        <v>45</v>
      </c>
      <c r="H441">
        <v>15</v>
      </c>
      <c r="I441">
        <v>6</v>
      </c>
      <c r="J441">
        <v>7</v>
      </c>
      <c r="M441">
        <v>49</v>
      </c>
      <c r="N441">
        <v>20</v>
      </c>
      <c r="O441">
        <v>42081981.981981985</v>
      </c>
      <c r="P441">
        <v>11851351.351351352</v>
      </c>
      <c r="Q441">
        <v>70</v>
      </c>
      <c r="R441">
        <v>4</v>
      </c>
      <c r="S441">
        <v>13219234.234234234</v>
      </c>
      <c r="T441">
        <v>12735810.810810812</v>
      </c>
      <c r="U441">
        <v>5767387.3873873856</v>
      </c>
      <c r="V441">
        <v>4300990.9909909917</v>
      </c>
      <c r="W441">
        <v>2816</v>
      </c>
      <c r="X441">
        <v>2661</v>
      </c>
    </row>
    <row r="442" spans="1:24">
      <c r="A442" s="7" t="s">
        <v>536</v>
      </c>
      <c r="B442" s="16" t="s">
        <v>85</v>
      </c>
      <c r="C442">
        <v>126825072.15402706</v>
      </c>
      <c r="D442">
        <v>125504731.54239376</v>
      </c>
      <c r="E442">
        <v>300900.900900901</v>
      </c>
      <c r="F442">
        <v>710810.81081081298</v>
      </c>
      <c r="G442">
        <v>171</v>
      </c>
      <c r="H442">
        <v>50</v>
      </c>
      <c r="I442">
        <v>6</v>
      </c>
      <c r="J442">
        <v>6</v>
      </c>
      <c r="M442">
        <v>188</v>
      </c>
      <c r="N442">
        <v>60</v>
      </c>
      <c r="O442">
        <v>41913513.513513513</v>
      </c>
      <c r="P442">
        <v>39532342.342342347</v>
      </c>
      <c r="Q442">
        <v>39</v>
      </c>
      <c r="R442">
        <v>40</v>
      </c>
      <c r="S442">
        <v>58761486.486486487</v>
      </c>
      <c r="T442">
        <v>58156027.027027026</v>
      </c>
      <c r="U442">
        <v>37523783.783783786</v>
      </c>
      <c r="V442">
        <v>35063153.153153151</v>
      </c>
      <c r="W442">
        <v>3242</v>
      </c>
      <c r="X442">
        <v>2937</v>
      </c>
    </row>
    <row r="443" spans="1:24">
      <c r="A443" s="7" t="s">
        <v>537</v>
      </c>
      <c r="B443" s="16" t="s">
        <v>448</v>
      </c>
      <c r="C443">
        <v>178461377.60460609</v>
      </c>
      <c r="D443">
        <v>173716833.16352475</v>
      </c>
      <c r="E443">
        <v>163063.063063065</v>
      </c>
      <c r="F443">
        <v>1527027.0270270291</v>
      </c>
      <c r="G443">
        <v>236</v>
      </c>
      <c r="H443">
        <v>171</v>
      </c>
      <c r="I443">
        <v>3</v>
      </c>
      <c r="J443">
        <v>5</v>
      </c>
      <c r="M443">
        <v>242</v>
      </c>
      <c r="N443">
        <v>248</v>
      </c>
      <c r="O443">
        <v>7902702.702702702</v>
      </c>
      <c r="P443">
        <v>13483513.513513513</v>
      </c>
      <c r="Q443">
        <v>85</v>
      </c>
      <c r="R443">
        <v>7</v>
      </c>
      <c r="S443">
        <v>51105963.963963971</v>
      </c>
      <c r="T443">
        <v>48786250.45045045</v>
      </c>
      <c r="U443">
        <v>8071621.6216216227</v>
      </c>
      <c r="V443">
        <v>15215765.765765764</v>
      </c>
      <c r="W443">
        <v>5153</v>
      </c>
      <c r="X443">
        <v>7126</v>
      </c>
    </row>
    <row r="444" spans="1:24">
      <c r="A444" s="7" t="s">
        <v>538</v>
      </c>
      <c r="B444" s="16" t="s">
        <v>117</v>
      </c>
      <c r="C444">
        <v>404830228.18792838</v>
      </c>
      <c r="D444">
        <v>400365056.32708329</v>
      </c>
      <c r="E444">
        <v>1841486.4864864929</v>
      </c>
      <c r="F444">
        <v>8098198.1981982021</v>
      </c>
      <c r="G444">
        <v>180</v>
      </c>
      <c r="H444">
        <v>106</v>
      </c>
      <c r="I444">
        <v>37</v>
      </c>
      <c r="J444">
        <v>37</v>
      </c>
      <c r="M444">
        <v>235</v>
      </c>
      <c r="N444">
        <v>171</v>
      </c>
      <c r="O444">
        <v>74163101.801801786</v>
      </c>
      <c r="P444">
        <v>83627836.936936945</v>
      </c>
      <c r="Q444">
        <v>244</v>
      </c>
      <c r="R444">
        <v>96</v>
      </c>
      <c r="S444">
        <v>211897567.56756756</v>
      </c>
      <c r="T444">
        <v>228480819.81981981</v>
      </c>
      <c r="U444">
        <v>71685405.405405402</v>
      </c>
      <c r="V444">
        <v>77336306.306306303</v>
      </c>
      <c r="W444">
        <v>10996</v>
      </c>
      <c r="X444">
        <v>11362</v>
      </c>
    </row>
    <row r="445" spans="1:24">
      <c r="A445" s="7" t="s">
        <v>539</v>
      </c>
      <c r="B445" s="16" t="s">
        <v>83</v>
      </c>
      <c r="C445">
        <v>1247606645.7084572</v>
      </c>
      <c r="D445">
        <v>1233557639.4933112</v>
      </c>
      <c r="E445">
        <v>2074549.5495495531</v>
      </c>
      <c r="F445">
        <v>5370347.7477477482</v>
      </c>
      <c r="G445">
        <v>197</v>
      </c>
      <c r="H445">
        <v>265</v>
      </c>
      <c r="I445">
        <v>18</v>
      </c>
      <c r="J445">
        <v>21</v>
      </c>
      <c r="K445">
        <v>1</v>
      </c>
      <c r="M445">
        <v>219</v>
      </c>
      <c r="N445">
        <v>305</v>
      </c>
      <c r="O445">
        <v>67343693.693693683</v>
      </c>
      <c r="P445">
        <v>81107738.738738731</v>
      </c>
      <c r="Q445">
        <v>254</v>
      </c>
      <c r="R445">
        <v>409</v>
      </c>
      <c r="S445">
        <v>124887926.12612613</v>
      </c>
      <c r="T445">
        <v>135873183.33333334</v>
      </c>
      <c r="U445">
        <v>61894998.198198199</v>
      </c>
      <c r="V445">
        <v>70751754.954954967</v>
      </c>
      <c r="W445">
        <v>21885</v>
      </c>
      <c r="X445">
        <v>21673</v>
      </c>
    </row>
    <row r="446" spans="1:24">
      <c r="A446" s="7" t="s">
        <v>540</v>
      </c>
      <c r="B446" s="16" t="s">
        <v>315</v>
      </c>
      <c r="C446">
        <v>147455759.99168396</v>
      </c>
      <c r="D446">
        <v>152226764.47701889</v>
      </c>
      <c r="E446">
        <v>3292882.8828828828</v>
      </c>
      <c r="F446">
        <v>2258783.7837837841</v>
      </c>
      <c r="G446">
        <v>19</v>
      </c>
      <c r="H446">
        <v>31</v>
      </c>
      <c r="I446">
        <v>1</v>
      </c>
      <c r="J446">
        <v>1</v>
      </c>
      <c r="M446">
        <v>19</v>
      </c>
      <c r="N446">
        <v>36</v>
      </c>
      <c r="O446">
        <v>13899099.099099098</v>
      </c>
      <c r="P446">
        <v>12847297.297297295</v>
      </c>
      <c r="R446">
        <v>51</v>
      </c>
      <c r="S446">
        <v>26429592.792792793</v>
      </c>
      <c r="T446">
        <v>29498108.108108107</v>
      </c>
      <c r="U446">
        <v>10901935.135135137</v>
      </c>
      <c r="V446">
        <v>9821081.0810810793</v>
      </c>
      <c r="W446">
        <v>2610</v>
      </c>
      <c r="X446">
        <v>2454</v>
      </c>
    </row>
    <row r="447" spans="1:24">
      <c r="A447" s="7" t="s">
        <v>541</v>
      </c>
      <c r="B447" s="16" t="s">
        <v>169</v>
      </c>
      <c r="C447">
        <v>1096735095.1620793</v>
      </c>
      <c r="D447">
        <v>1050746760.0107756</v>
      </c>
      <c r="E447">
        <v>1758108.1081081079</v>
      </c>
      <c r="F447">
        <v>2739639.639639643</v>
      </c>
      <c r="G447">
        <v>130</v>
      </c>
      <c r="H447">
        <v>137</v>
      </c>
      <c r="I447">
        <v>7</v>
      </c>
      <c r="J447">
        <v>7</v>
      </c>
      <c r="K447">
        <v>2</v>
      </c>
      <c r="M447">
        <v>162</v>
      </c>
      <c r="N447">
        <v>214</v>
      </c>
      <c r="O447">
        <v>48213963.963963971</v>
      </c>
      <c r="P447">
        <v>56281238.738738738</v>
      </c>
      <c r="Q447">
        <v>231</v>
      </c>
      <c r="R447">
        <v>109</v>
      </c>
      <c r="S447">
        <v>384370774.77477479</v>
      </c>
      <c r="T447">
        <v>389929790.54054052</v>
      </c>
      <c r="U447">
        <v>45492342.342342347</v>
      </c>
      <c r="V447">
        <v>60507117.117117122</v>
      </c>
      <c r="W447">
        <v>21384</v>
      </c>
      <c r="X447">
        <v>21656</v>
      </c>
    </row>
    <row r="448" spans="1:24">
      <c r="A448" s="7" t="s">
        <v>542</v>
      </c>
      <c r="B448" s="16" t="s">
        <v>479</v>
      </c>
      <c r="C448">
        <v>345261584.39859653</v>
      </c>
      <c r="D448">
        <v>325624325.99385637</v>
      </c>
      <c r="E448">
        <v>41959684.684684686</v>
      </c>
      <c r="F448">
        <v>40468468.468468472</v>
      </c>
      <c r="G448">
        <v>26</v>
      </c>
      <c r="H448">
        <v>31</v>
      </c>
      <c r="I448">
        <v>0</v>
      </c>
      <c r="J448">
        <v>0</v>
      </c>
      <c r="M448">
        <v>29</v>
      </c>
      <c r="N448">
        <v>35</v>
      </c>
      <c r="O448">
        <v>4733783.7837837841</v>
      </c>
      <c r="P448">
        <v>3784234.2342342362</v>
      </c>
      <c r="S448">
        <v>43283909.909909911</v>
      </c>
      <c r="T448">
        <v>42639702.702702701</v>
      </c>
      <c r="U448">
        <v>1665315.315315316</v>
      </c>
      <c r="V448">
        <v>464144.14414414403</v>
      </c>
      <c r="W448">
        <v>5526</v>
      </c>
      <c r="X448">
        <v>5390</v>
      </c>
    </row>
    <row r="449" spans="1:24">
      <c r="A449" s="7" t="s">
        <v>543</v>
      </c>
      <c r="B449" s="16" t="s">
        <v>80</v>
      </c>
      <c r="C449">
        <v>93266439.03265214</v>
      </c>
      <c r="D449">
        <v>78016245.285546914</v>
      </c>
      <c r="E449">
        <v>99737837.837837845</v>
      </c>
      <c r="F449">
        <v>50150180.180180185</v>
      </c>
      <c r="G449">
        <v>28</v>
      </c>
      <c r="H449">
        <v>28</v>
      </c>
      <c r="I449">
        <v>3</v>
      </c>
      <c r="J449">
        <v>4</v>
      </c>
      <c r="M449">
        <v>30</v>
      </c>
      <c r="N449">
        <v>32</v>
      </c>
      <c r="O449">
        <v>10837387.387387387</v>
      </c>
      <c r="P449">
        <v>10531531.53153153</v>
      </c>
      <c r="Q449">
        <v>9</v>
      </c>
      <c r="R449">
        <v>62</v>
      </c>
      <c r="S449">
        <v>32440981.981981985</v>
      </c>
      <c r="T449">
        <v>29139972.97297297</v>
      </c>
      <c r="U449">
        <v>8273963.963963965</v>
      </c>
      <c r="V449">
        <v>7713873.8738738727</v>
      </c>
      <c r="W449">
        <v>2334</v>
      </c>
      <c r="X449">
        <v>2389</v>
      </c>
    </row>
    <row r="450" spans="1:24">
      <c r="A450" s="7" t="s">
        <v>544</v>
      </c>
      <c r="B450" s="16" t="s">
        <v>169</v>
      </c>
      <c r="C450">
        <v>107397472.6575585</v>
      </c>
      <c r="D450">
        <v>84071221.627077565</v>
      </c>
      <c r="E450">
        <v>135135.135135135</v>
      </c>
      <c r="F450">
        <v>277477.47747747699</v>
      </c>
      <c r="G450">
        <v>29</v>
      </c>
      <c r="H450">
        <v>14</v>
      </c>
      <c r="J450">
        <v>0</v>
      </c>
      <c r="M450">
        <v>29</v>
      </c>
      <c r="N450">
        <v>15</v>
      </c>
      <c r="O450">
        <v>2837837.8378378372</v>
      </c>
      <c r="P450">
        <v>1178378.378378378</v>
      </c>
      <c r="S450">
        <v>43115890.090090089</v>
      </c>
      <c r="T450">
        <v>35785845.045045041</v>
      </c>
      <c r="U450">
        <v>2432162.1621621619</v>
      </c>
      <c r="V450">
        <v>509639.639639639</v>
      </c>
      <c r="W450">
        <v>2520</v>
      </c>
      <c r="X450">
        <v>2453</v>
      </c>
    </row>
    <row r="451" spans="1:24">
      <c r="A451" s="7" t="s">
        <v>545</v>
      </c>
      <c r="B451" s="16" t="s">
        <v>224</v>
      </c>
      <c r="C451">
        <v>22907.305738734001</v>
      </c>
      <c r="D451">
        <v>8192.2221528959999</v>
      </c>
      <c r="S451">
        <v>10585.585585586001</v>
      </c>
    </row>
    <row r="452" spans="1:24">
      <c r="A452" s="7" t="s">
        <v>546</v>
      </c>
      <c r="B452" s="16" t="s">
        <v>136</v>
      </c>
      <c r="C452">
        <v>214019503.99373096</v>
      </c>
      <c r="D452">
        <v>207375526.48227873</v>
      </c>
      <c r="E452">
        <v>468918.91891891899</v>
      </c>
      <c r="F452">
        <v>836036.036036039</v>
      </c>
      <c r="G452">
        <v>80</v>
      </c>
      <c r="H452">
        <v>68</v>
      </c>
      <c r="I452">
        <v>7</v>
      </c>
      <c r="J452">
        <v>7</v>
      </c>
      <c r="M452">
        <v>85</v>
      </c>
      <c r="N452">
        <v>75</v>
      </c>
      <c r="O452">
        <v>44855675.675675675</v>
      </c>
      <c r="P452">
        <v>46928828.828828834</v>
      </c>
      <c r="Q452">
        <v>56</v>
      </c>
      <c r="R452">
        <v>62</v>
      </c>
      <c r="S452">
        <v>69246117.117117122</v>
      </c>
      <c r="T452">
        <v>67838439.639639646</v>
      </c>
      <c r="U452">
        <v>39289639.639639638</v>
      </c>
      <c r="V452">
        <v>37123513.513513513</v>
      </c>
      <c r="W452">
        <v>4363</v>
      </c>
      <c r="X452">
        <v>4334</v>
      </c>
    </row>
    <row r="453" spans="1:24">
      <c r="A453" s="7" t="s">
        <v>547</v>
      </c>
      <c r="B453" s="16" t="s">
        <v>136</v>
      </c>
      <c r="C453">
        <v>392527070.05505037</v>
      </c>
      <c r="D453">
        <v>396448309.82718551</v>
      </c>
      <c r="E453">
        <v>230322912.61261261</v>
      </c>
      <c r="F453">
        <v>225992997.2972973</v>
      </c>
      <c r="G453">
        <v>220</v>
      </c>
      <c r="H453">
        <v>191</v>
      </c>
      <c r="I453">
        <v>17</v>
      </c>
      <c r="J453">
        <v>19</v>
      </c>
      <c r="M453">
        <v>242</v>
      </c>
      <c r="N453">
        <v>226</v>
      </c>
      <c r="O453">
        <v>94539909.909909904</v>
      </c>
      <c r="P453">
        <v>97899099.0990991</v>
      </c>
      <c r="Q453">
        <v>229</v>
      </c>
      <c r="R453">
        <v>139</v>
      </c>
      <c r="S453">
        <v>124546569.36936937</v>
      </c>
      <c r="T453">
        <v>131059581.08108109</v>
      </c>
      <c r="U453">
        <v>84877340.540540531</v>
      </c>
      <c r="V453">
        <v>82922918.918918908</v>
      </c>
      <c r="W453">
        <v>12571</v>
      </c>
      <c r="X453">
        <v>12819</v>
      </c>
    </row>
    <row r="454" spans="1:24">
      <c r="A454" s="7" t="s">
        <v>548</v>
      </c>
      <c r="B454" s="16" t="s">
        <v>136</v>
      </c>
      <c r="C454">
        <v>447731607.53437358</v>
      </c>
      <c r="D454">
        <v>440381959.42154622</v>
      </c>
      <c r="E454">
        <v>1456756.7567567569</v>
      </c>
      <c r="F454">
        <v>3596396.3963963971</v>
      </c>
      <c r="G454">
        <v>132</v>
      </c>
      <c r="H454">
        <v>65</v>
      </c>
      <c r="I454">
        <v>6</v>
      </c>
      <c r="J454">
        <v>3</v>
      </c>
      <c r="M454">
        <v>143</v>
      </c>
      <c r="N454">
        <v>73</v>
      </c>
      <c r="O454">
        <v>20015765.765765768</v>
      </c>
      <c r="P454">
        <v>17650450.450450446</v>
      </c>
      <c r="Q454">
        <v>73</v>
      </c>
      <c r="R454">
        <v>28</v>
      </c>
      <c r="S454">
        <v>69191972.972972974</v>
      </c>
      <c r="T454">
        <v>72249890.090090096</v>
      </c>
      <c r="U454">
        <v>17798378.378378376</v>
      </c>
      <c r="V454">
        <v>16463153.153153157</v>
      </c>
      <c r="W454">
        <v>8328</v>
      </c>
      <c r="X454">
        <v>8525</v>
      </c>
    </row>
    <row r="455" spans="1:24">
      <c r="A455" s="7" t="s">
        <v>549</v>
      </c>
      <c r="B455" s="16" t="s">
        <v>136</v>
      </c>
      <c r="C455">
        <v>212176704.72326514</v>
      </c>
      <c r="D455">
        <v>182518412.71232483</v>
      </c>
      <c r="E455">
        <v>348648.64864864899</v>
      </c>
      <c r="F455">
        <v>536936.93693693704</v>
      </c>
      <c r="G455">
        <v>52</v>
      </c>
      <c r="H455">
        <v>32</v>
      </c>
      <c r="I455">
        <v>6</v>
      </c>
      <c r="J455">
        <v>2</v>
      </c>
      <c r="M455">
        <v>57</v>
      </c>
      <c r="N455">
        <v>36</v>
      </c>
      <c r="O455">
        <v>17601441.441441439</v>
      </c>
      <c r="P455">
        <v>15302702.702702699</v>
      </c>
      <c r="Q455">
        <v>3</v>
      </c>
      <c r="R455">
        <v>16</v>
      </c>
      <c r="S455">
        <v>36949547.747747742</v>
      </c>
      <c r="T455">
        <v>30800693.693693697</v>
      </c>
      <c r="U455">
        <v>15099502.702702705</v>
      </c>
      <c r="V455">
        <v>11903063.063063063</v>
      </c>
      <c r="W455">
        <v>3812</v>
      </c>
      <c r="X455">
        <v>3701</v>
      </c>
    </row>
    <row r="456" spans="1:24">
      <c r="A456" s="7" t="s">
        <v>550</v>
      </c>
      <c r="B456" s="16" t="s">
        <v>87</v>
      </c>
      <c r="C456">
        <v>86250409.157725707</v>
      </c>
      <c r="D456">
        <v>74244017.597696066</v>
      </c>
      <c r="E456">
        <v>910810.810810811</v>
      </c>
      <c r="F456">
        <v>133333.33333333299</v>
      </c>
      <c r="G456">
        <v>59</v>
      </c>
      <c r="H456">
        <v>28</v>
      </c>
      <c r="I456">
        <v>2</v>
      </c>
      <c r="J456">
        <v>2</v>
      </c>
      <c r="M456">
        <v>62</v>
      </c>
      <c r="N456">
        <v>36</v>
      </c>
      <c r="O456">
        <v>4919819.8198198201</v>
      </c>
      <c r="P456">
        <v>4616216.2162162159</v>
      </c>
      <c r="Q456">
        <v>6</v>
      </c>
      <c r="R456">
        <v>21</v>
      </c>
      <c r="S456">
        <v>15209349.54954955</v>
      </c>
      <c r="T456">
        <v>11656000</v>
      </c>
      <c r="U456">
        <v>4879639.6396396393</v>
      </c>
      <c r="V456">
        <v>4625585.5855855858</v>
      </c>
      <c r="W456">
        <v>1448</v>
      </c>
      <c r="X456">
        <v>1416</v>
      </c>
    </row>
    <row r="457" spans="1:24">
      <c r="A457" s="7" t="s">
        <v>551</v>
      </c>
      <c r="B457" s="16" t="s">
        <v>87</v>
      </c>
      <c r="C457">
        <v>125173339.60266028</v>
      </c>
      <c r="D457">
        <v>114683514.38284822</v>
      </c>
      <c r="E457">
        <v>50450.450450450997</v>
      </c>
      <c r="F457">
        <v>441441.441441442</v>
      </c>
      <c r="G457">
        <v>121</v>
      </c>
      <c r="H457">
        <v>72</v>
      </c>
      <c r="I457">
        <v>4</v>
      </c>
      <c r="J457">
        <v>3</v>
      </c>
      <c r="K457">
        <v>1</v>
      </c>
      <c r="M457">
        <v>135</v>
      </c>
      <c r="N457">
        <v>82</v>
      </c>
      <c r="O457">
        <v>11915315.315315315</v>
      </c>
      <c r="P457">
        <v>11131531.531531531</v>
      </c>
      <c r="Q457">
        <v>6</v>
      </c>
      <c r="R457">
        <v>13</v>
      </c>
      <c r="S457">
        <v>17853693.693693694</v>
      </c>
      <c r="T457">
        <v>17655619.819819819</v>
      </c>
      <c r="U457">
        <v>9118288.2882882878</v>
      </c>
      <c r="V457">
        <v>7393783.7837837841</v>
      </c>
      <c r="W457">
        <v>2667</v>
      </c>
      <c r="X457">
        <v>2549</v>
      </c>
    </row>
    <row r="458" spans="1:24">
      <c r="A458" s="7" t="s">
        <v>552</v>
      </c>
      <c r="B458" s="16" t="s">
        <v>66</v>
      </c>
      <c r="C458">
        <v>231046229.38325033</v>
      </c>
      <c r="D458">
        <v>226328643.00820595</v>
      </c>
      <c r="E458">
        <v>137527207.2072072</v>
      </c>
      <c r="F458">
        <v>250218018.01801801</v>
      </c>
      <c r="G458">
        <v>178</v>
      </c>
      <c r="H458">
        <v>139</v>
      </c>
      <c r="I458">
        <v>9</v>
      </c>
      <c r="J458">
        <v>5</v>
      </c>
      <c r="M458">
        <v>200</v>
      </c>
      <c r="N458">
        <v>166</v>
      </c>
      <c r="O458">
        <v>70241846.846846849</v>
      </c>
      <c r="P458">
        <v>201484459.45945945</v>
      </c>
      <c r="Q458">
        <v>514</v>
      </c>
      <c r="R458">
        <v>218</v>
      </c>
      <c r="S458">
        <v>97134972.972972974</v>
      </c>
      <c r="T458">
        <v>95663407.657657668</v>
      </c>
      <c r="U458">
        <v>46161081.081081077</v>
      </c>
      <c r="V458">
        <v>133854414.41441442</v>
      </c>
      <c r="W458">
        <v>8972</v>
      </c>
      <c r="X458">
        <v>8841</v>
      </c>
    </row>
    <row r="459" spans="1:24">
      <c r="A459" s="7" t="s">
        <v>553</v>
      </c>
      <c r="B459" s="16" t="s">
        <v>554</v>
      </c>
      <c r="C459">
        <v>488285453.14485312</v>
      </c>
      <c r="D459">
        <v>450290679.81729317</v>
      </c>
      <c r="E459">
        <v>10400900.9009009</v>
      </c>
      <c r="F459">
        <v>9510360.3603603635</v>
      </c>
      <c r="G459">
        <v>234</v>
      </c>
      <c r="H459">
        <v>74</v>
      </c>
      <c r="I459">
        <v>16</v>
      </c>
      <c r="J459">
        <v>14</v>
      </c>
      <c r="K459">
        <v>1</v>
      </c>
      <c r="M459">
        <v>339</v>
      </c>
      <c r="N459">
        <v>105</v>
      </c>
      <c r="O459">
        <v>39798108.108108111</v>
      </c>
      <c r="P459">
        <v>142282882.88288289</v>
      </c>
      <c r="Q459">
        <v>124</v>
      </c>
      <c r="R459">
        <v>287</v>
      </c>
      <c r="S459">
        <v>130155207.2072072</v>
      </c>
      <c r="T459">
        <v>123376603.6036036</v>
      </c>
      <c r="U459">
        <v>37726486.486486487</v>
      </c>
      <c r="V459">
        <v>136924594.5945946</v>
      </c>
      <c r="W459">
        <v>9167</v>
      </c>
      <c r="X459">
        <v>9170</v>
      </c>
    </row>
    <row r="460" spans="1:24">
      <c r="A460" s="7" t="s">
        <v>555</v>
      </c>
      <c r="B460" s="16" t="s">
        <v>554</v>
      </c>
      <c r="C460">
        <v>78135591.168745145</v>
      </c>
      <c r="D460">
        <v>69906903.518180892</v>
      </c>
      <c r="E460">
        <v>25241238.738738742</v>
      </c>
      <c r="F460">
        <v>164871756.75675678</v>
      </c>
      <c r="G460">
        <v>46</v>
      </c>
      <c r="H460">
        <v>27</v>
      </c>
      <c r="I460">
        <v>3</v>
      </c>
      <c r="J460">
        <v>3</v>
      </c>
      <c r="M460">
        <v>47</v>
      </c>
      <c r="N460">
        <v>29</v>
      </c>
      <c r="O460">
        <v>12469189.18918919</v>
      </c>
      <c r="P460">
        <v>13779279.27927928</v>
      </c>
      <c r="Q460">
        <v>20</v>
      </c>
      <c r="R460">
        <v>9</v>
      </c>
      <c r="S460">
        <v>28245675.675675675</v>
      </c>
      <c r="T460">
        <v>25533549.549549554</v>
      </c>
      <c r="U460">
        <v>7306306.3063063072</v>
      </c>
      <c r="V460">
        <v>9703513.5135135148</v>
      </c>
      <c r="W460">
        <v>1587</v>
      </c>
      <c r="X460">
        <v>1586</v>
      </c>
    </row>
    <row r="461" spans="1:24">
      <c r="A461" s="7" t="s">
        <v>556</v>
      </c>
      <c r="B461" s="16" t="s">
        <v>121</v>
      </c>
      <c r="C461">
        <v>53858013.237646915</v>
      </c>
      <c r="D461">
        <v>51803285.849353641</v>
      </c>
      <c r="E461">
        <v>180180.18018018</v>
      </c>
      <c r="F461">
        <v>180180.18018018</v>
      </c>
      <c r="G461">
        <v>44</v>
      </c>
      <c r="H461">
        <v>24</v>
      </c>
      <c r="I461">
        <v>1</v>
      </c>
      <c r="M461">
        <v>49</v>
      </c>
      <c r="N461">
        <v>28</v>
      </c>
      <c r="O461">
        <v>270270.27027027</v>
      </c>
      <c r="P461">
        <v>180180.18018018</v>
      </c>
      <c r="Q461">
        <v>10</v>
      </c>
      <c r="S461">
        <v>5356486.4864864862</v>
      </c>
      <c r="T461">
        <v>4879855.8558558561</v>
      </c>
      <c r="U461">
        <v>350270.27027027</v>
      </c>
      <c r="V461">
        <v>118918.91891891899</v>
      </c>
      <c r="W461">
        <v>1457</v>
      </c>
      <c r="X461">
        <v>1280</v>
      </c>
    </row>
    <row r="462" spans="1:24">
      <c r="A462" s="7" t="s">
        <v>557</v>
      </c>
      <c r="B462" s="16" t="s">
        <v>70</v>
      </c>
      <c r="C462">
        <v>417828152.25775814</v>
      </c>
      <c r="D462">
        <v>416075023.9510954</v>
      </c>
      <c r="E462">
        <v>2332837.8378378358</v>
      </c>
      <c r="F462">
        <v>4255855.8558558626</v>
      </c>
      <c r="G462">
        <v>110</v>
      </c>
      <c r="H462">
        <v>92</v>
      </c>
      <c r="I462">
        <v>8</v>
      </c>
      <c r="J462">
        <v>22</v>
      </c>
      <c r="M462">
        <v>122</v>
      </c>
      <c r="N462">
        <v>110</v>
      </c>
      <c r="O462">
        <v>48025405.40540541</v>
      </c>
      <c r="P462">
        <v>56371171.171171173</v>
      </c>
      <c r="Q462">
        <v>23</v>
      </c>
      <c r="R462">
        <v>251</v>
      </c>
      <c r="S462">
        <v>172320747.74774775</v>
      </c>
      <c r="T462">
        <v>175531882.88288289</v>
      </c>
      <c r="U462">
        <v>52573423.423423424</v>
      </c>
      <c r="V462">
        <v>50473153.153153151</v>
      </c>
      <c r="W462">
        <v>10402</v>
      </c>
      <c r="X462">
        <v>10124</v>
      </c>
    </row>
    <row r="463" spans="1:24">
      <c r="A463" s="7" t="s">
        <v>558</v>
      </c>
      <c r="B463" s="16" t="s">
        <v>62</v>
      </c>
      <c r="C463">
        <v>752516565.93710256</v>
      </c>
      <c r="D463">
        <v>751478457.05490708</v>
      </c>
      <c r="E463">
        <v>5211711.7117117187</v>
      </c>
      <c r="F463">
        <v>12443243.243243247</v>
      </c>
      <c r="G463">
        <v>235</v>
      </c>
      <c r="H463">
        <v>268</v>
      </c>
      <c r="I463">
        <v>27</v>
      </c>
      <c r="J463">
        <v>17</v>
      </c>
      <c r="K463">
        <v>8</v>
      </c>
      <c r="M463">
        <v>315</v>
      </c>
      <c r="N463">
        <v>481</v>
      </c>
      <c r="O463">
        <v>54664954.954954959</v>
      </c>
      <c r="P463">
        <v>119958018.01801802</v>
      </c>
      <c r="Q463">
        <v>112</v>
      </c>
      <c r="R463">
        <v>279</v>
      </c>
      <c r="S463">
        <v>174047637.83783782</v>
      </c>
      <c r="T463">
        <v>173347193.6936937</v>
      </c>
      <c r="U463">
        <v>54171171.171171166</v>
      </c>
      <c r="V463">
        <v>113336756.75675675</v>
      </c>
      <c r="W463">
        <v>18034</v>
      </c>
      <c r="X463">
        <v>18274</v>
      </c>
    </row>
    <row r="464" spans="1:24">
      <c r="A464" s="7" t="s">
        <v>559</v>
      </c>
      <c r="B464" s="16" t="s">
        <v>479</v>
      </c>
      <c r="C464">
        <v>399884374.78851187</v>
      </c>
      <c r="D464">
        <v>351860531.1761418</v>
      </c>
      <c r="E464">
        <v>916216.21621621598</v>
      </c>
      <c r="F464">
        <v>3483783.7837837869</v>
      </c>
      <c r="G464">
        <v>196</v>
      </c>
      <c r="H464">
        <v>139</v>
      </c>
      <c r="I464">
        <v>16</v>
      </c>
      <c r="J464">
        <v>23</v>
      </c>
      <c r="K464">
        <v>2</v>
      </c>
      <c r="M464">
        <v>209</v>
      </c>
      <c r="N464">
        <v>166</v>
      </c>
      <c r="O464">
        <v>38563063.063063063</v>
      </c>
      <c r="P464">
        <v>57737117.117117122</v>
      </c>
      <c r="Q464">
        <v>20</v>
      </c>
      <c r="R464">
        <v>15</v>
      </c>
      <c r="S464">
        <v>113883619.81981982</v>
      </c>
      <c r="T464">
        <v>108629655.85585585</v>
      </c>
      <c r="U464">
        <v>39936306.30630631</v>
      </c>
      <c r="V464">
        <v>46490270.270270273</v>
      </c>
      <c r="W464">
        <v>8031</v>
      </c>
      <c r="X464">
        <v>7706</v>
      </c>
    </row>
    <row r="465" spans="1:24">
      <c r="A465" s="7" t="s">
        <v>560</v>
      </c>
      <c r="B465" s="16" t="s">
        <v>236</v>
      </c>
      <c r="C465">
        <v>60991386.589460015</v>
      </c>
      <c r="D465">
        <v>61759264.154516213</v>
      </c>
      <c r="E465">
        <v>38738.738738740001</v>
      </c>
      <c r="F465">
        <v>1194594.594594595</v>
      </c>
      <c r="G465">
        <v>25</v>
      </c>
      <c r="H465">
        <v>20</v>
      </c>
      <c r="I465">
        <v>2</v>
      </c>
      <c r="J465">
        <v>2</v>
      </c>
      <c r="M465">
        <v>28</v>
      </c>
      <c r="N465">
        <v>29</v>
      </c>
      <c r="O465">
        <v>5028828.8288288303</v>
      </c>
      <c r="P465">
        <v>4125855.8558558552</v>
      </c>
      <c r="Q465">
        <v>3</v>
      </c>
      <c r="R465">
        <v>2</v>
      </c>
      <c r="S465">
        <v>23968693.693693697</v>
      </c>
      <c r="T465">
        <v>23264162.162162159</v>
      </c>
      <c r="U465">
        <v>5074414.4144144142</v>
      </c>
      <c r="V465">
        <v>3903243.2432432431</v>
      </c>
      <c r="W465">
        <v>2248</v>
      </c>
      <c r="X465">
        <v>2076</v>
      </c>
    </row>
    <row r="466" spans="1:24">
      <c r="A466" s="7" t="s">
        <v>561</v>
      </c>
      <c r="B466" s="16" t="s">
        <v>60</v>
      </c>
      <c r="C466">
        <v>58187517.903042026</v>
      </c>
      <c r="D466">
        <v>58033312.241723306</v>
      </c>
      <c r="E466">
        <v>626576.57657657703</v>
      </c>
      <c r="F466">
        <v>1988288.2882882869</v>
      </c>
      <c r="G466">
        <v>19</v>
      </c>
      <c r="H466">
        <v>20</v>
      </c>
      <c r="I466">
        <v>2</v>
      </c>
      <c r="J466">
        <v>6</v>
      </c>
      <c r="M466">
        <v>21</v>
      </c>
      <c r="N466">
        <v>37</v>
      </c>
      <c r="O466">
        <v>12185135.135135137</v>
      </c>
      <c r="P466">
        <v>16528828.82882883</v>
      </c>
      <c r="Q466">
        <v>47</v>
      </c>
      <c r="R466">
        <v>58</v>
      </c>
      <c r="S466">
        <v>20094504.504504506</v>
      </c>
      <c r="T466">
        <v>20745549.54954955</v>
      </c>
      <c r="U466">
        <v>11776036.036036037</v>
      </c>
      <c r="V466">
        <v>15251711.711711712</v>
      </c>
      <c r="W466">
        <v>1231</v>
      </c>
      <c r="X466">
        <v>1300</v>
      </c>
    </row>
    <row r="467" spans="1:24">
      <c r="A467" s="7" t="s">
        <v>562</v>
      </c>
      <c r="B467" s="16" t="s">
        <v>563</v>
      </c>
      <c r="C467">
        <v>321063340.18664575</v>
      </c>
      <c r="D467">
        <v>325129200.76401699</v>
      </c>
      <c r="E467">
        <v>170465828.82882884</v>
      </c>
      <c r="F467">
        <v>654979790.990991</v>
      </c>
      <c r="G467">
        <v>294</v>
      </c>
      <c r="H467">
        <v>366</v>
      </c>
      <c r="I467">
        <v>20</v>
      </c>
      <c r="J467">
        <v>25</v>
      </c>
      <c r="K467">
        <v>1</v>
      </c>
      <c r="M467">
        <v>535</v>
      </c>
      <c r="N467">
        <v>831</v>
      </c>
      <c r="O467">
        <v>164171765.76576576</v>
      </c>
      <c r="P467">
        <v>628506277.47747755</v>
      </c>
      <c r="Q467">
        <v>357</v>
      </c>
      <c r="R467">
        <v>116</v>
      </c>
      <c r="S467">
        <v>131156801.80180179</v>
      </c>
      <c r="T467">
        <v>138415351.35135135</v>
      </c>
      <c r="U467">
        <v>169818387.38738739</v>
      </c>
      <c r="V467">
        <v>240626904.5045045</v>
      </c>
      <c r="W467">
        <v>11783</v>
      </c>
      <c r="X467">
        <v>8712</v>
      </c>
    </row>
    <row r="468" spans="1:24">
      <c r="A468" s="7" t="s">
        <v>564</v>
      </c>
      <c r="B468" s="16" t="s">
        <v>563</v>
      </c>
      <c r="C468">
        <v>446532408.60616797</v>
      </c>
      <c r="D468">
        <v>440630610.49343497</v>
      </c>
      <c r="E468">
        <v>1471531.531531536</v>
      </c>
      <c r="F468">
        <v>5118918.9189189225</v>
      </c>
      <c r="G468">
        <v>151</v>
      </c>
      <c r="H468">
        <v>151</v>
      </c>
      <c r="I468">
        <v>23</v>
      </c>
      <c r="J468">
        <v>20</v>
      </c>
      <c r="M468">
        <v>189</v>
      </c>
      <c r="N468">
        <v>157</v>
      </c>
      <c r="O468">
        <v>46391081.081081077</v>
      </c>
      <c r="P468">
        <v>43098515.315315314</v>
      </c>
      <c r="Q468">
        <v>441</v>
      </c>
      <c r="R468">
        <v>225</v>
      </c>
      <c r="S468">
        <v>181534909.90990993</v>
      </c>
      <c r="T468">
        <v>181871765.76576576</v>
      </c>
      <c r="U468">
        <v>54174234.234234229</v>
      </c>
      <c r="V468">
        <v>48510765.765765771</v>
      </c>
      <c r="W468">
        <v>11915</v>
      </c>
      <c r="X468">
        <v>12100</v>
      </c>
    </row>
    <row r="469" spans="1:24">
      <c r="A469" s="7" t="s">
        <v>565</v>
      </c>
      <c r="B469" s="16" t="s">
        <v>563</v>
      </c>
      <c r="C469">
        <v>324757661.16763312</v>
      </c>
      <c r="D469">
        <v>318529154.35521734</v>
      </c>
      <c r="E469">
        <v>38651981.981981985</v>
      </c>
      <c r="F469">
        <v>53911081.081081085</v>
      </c>
      <c r="G469">
        <v>114</v>
      </c>
      <c r="H469">
        <v>294</v>
      </c>
      <c r="I469">
        <v>23</v>
      </c>
      <c r="J469">
        <v>19</v>
      </c>
      <c r="K469">
        <v>1</v>
      </c>
      <c r="M469">
        <v>148</v>
      </c>
      <c r="N469">
        <v>374</v>
      </c>
      <c r="O469">
        <v>47510900.900900893</v>
      </c>
      <c r="P469">
        <v>49871487.387387395</v>
      </c>
      <c r="Q469">
        <v>288</v>
      </c>
      <c r="R469">
        <v>381</v>
      </c>
      <c r="S469">
        <v>136369945.94594595</v>
      </c>
      <c r="T469">
        <v>142131729.72972974</v>
      </c>
      <c r="U469">
        <v>44135675.675675675</v>
      </c>
      <c r="V469">
        <v>33183873.873873871</v>
      </c>
      <c r="W469">
        <v>12094</v>
      </c>
      <c r="X469">
        <v>11872</v>
      </c>
    </row>
    <row r="470" spans="1:24">
      <c r="A470" s="7" t="s">
        <v>566</v>
      </c>
      <c r="B470" s="16" t="s">
        <v>563</v>
      </c>
      <c r="C470">
        <v>207095605.08208257</v>
      </c>
      <c r="D470">
        <v>210158243.14808017</v>
      </c>
      <c r="E470">
        <v>288288.28828828898</v>
      </c>
      <c r="F470">
        <v>2335135.1351351351</v>
      </c>
      <c r="G470">
        <v>38</v>
      </c>
      <c r="H470">
        <v>22</v>
      </c>
      <c r="I470">
        <v>7</v>
      </c>
      <c r="J470">
        <v>15</v>
      </c>
      <c r="M470">
        <v>44</v>
      </c>
      <c r="N470">
        <v>31</v>
      </c>
      <c r="O470">
        <v>33325903.603603605</v>
      </c>
      <c r="P470">
        <v>34441367.567567565</v>
      </c>
      <c r="Q470">
        <v>87</v>
      </c>
      <c r="R470">
        <v>113</v>
      </c>
      <c r="S470">
        <v>118554180.18018018</v>
      </c>
      <c r="T470">
        <v>124684423.42342342</v>
      </c>
      <c r="U470">
        <v>32913288.288288292</v>
      </c>
      <c r="V470">
        <v>32928603.603603601</v>
      </c>
      <c r="W470">
        <v>6395</v>
      </c>
      <c r="X470">
        <v>6719</v>
      </c>
    </row>
    <row r="471" spans="1:24">
      <c r="A471" s="7" t="s">
        <v>567</v>
      </c>
      <c r="B471" s="16" t="s">
        <v>563</v>
      </c>
      <c r="C471">
        <v>124293892.33069748</v>
      </c>
      <c r="D471">
        <v>123436956.10053435</v>
      </c>
      <c r="E471">
        <v>409459.45945946203</v>
      </c>
      <c r="F471">
        <v>2664864.8648648639</v>
      </c>
      <c r="G471">
        <v>42</v>
      </c>
      <c r="H471">
        <v>36</v>
      </c>
      <c r="I471">
        <v>4</v>
      </c>
      <c r="J471">
        <v>14</v>
      </c>
      <c r="K471">
        <v>4</v>
      </c>
      <c r="M471">
        <v>49</v>
      </c>
      <c r="N471">
        <v>44</v>
      </c>
      <c r="O471">
        <v>30850225.225225225</v>
      </c>
      <c r="P471">
        <v>24725037.837837838</v>
      </c>
      <c r="Q471">
        <v>350</v>
      </c>
      <c r="R471">
        <v>83</v>
      </c>
      <c r="S471">
        <v>49505360.360360362</v>
      </c>
      <c r="T471">
        <v>50319538.738738738</v>
      </c>
      <c r="U471">
        <v>33715450.45045045</v>
      </c>
      <c r="V471">
        <v>24561486.486486487</v>
      </c>
      <c r="W471">
        <v>4628</v>
      </c>
      <c r="X471">
        <v>4751</v>
      </c>
    </row>
    <row r="472" spans="1:24">
      <c r="A472" s="7" t="s">
        <v>568</v>
      </c>
      <c r="B472" s="16" t="s">
        <v>48</v>
      </c>
      <c r="C472">
        <v>290812301.0835036</v>
      </c>
      <c r="D472">
        <v>274126581.98226482</v>
      </c>
      <c r="E472">
        <v>201351.351351352</v>
      </c>
      <c r="F472">
        <v>1374774.7747747761</v>
      </c>
      <c r="G472">
        <v>12</v>
      </c>
      <c r="H472">
        <v>13</v>
      </c>
      <c r="I472">
        <v>2</v>
      </c>
      <c r="J472">
        <v>6</v>
      </c>
      <c r="M472">
        <v>15</v>
      </c>
      <c r="N472">
        <v>58</v>
      </c>
      <c r="O472">
        <v>13714864.864864865</v>
      </c>
      <c r="P472">
        <v>11987387.387387387</v>
      </c>
      <c r="S472">
        <v>33589763.963963963</v>
      </c>
      <c r="T472">
        <v>34369491.891891889</v>
      </c>
      <c r="U472">
        <v>10871351.351351351</v>
      </c>
      <c r="V472">
        <v>12241801.801801804</v>
      </c>
      <c r="W472">
        <v>6339</v>
      </c>
      <c r="X472">
        <v>5952</v>
      </c>
    </row>
    <row r="473" spans="1:24">
      <c r="A473" s="7" t="s">
        <v>569</v>
      </c>
      <c r="B473" s="16" t="s">
        <v>169</v>
      </c>
      <c r="C473">
        <v>4225798143.3324852</v>
      </c>
      <c r="D473">
        <v>4242210826.1392164</v>
      </c>
      <c r="E473">
        <v>3522493953.1531529</v>
      </c>
      <c r="F473">
        <v>3330920301.8018017</v>
      </c>
      <c r="G473">
        <v>941</v>
      </c>
      <c r="H473">
        <v>1364</v>
      </c>
      <c r="I473">
        <v>75</v>
      </c>
      <c r="J473">
        <v>66</v>
      </c>
      <c r="K473">
        <v>8</v>
      </c>
      <c r="M473">
        <v>1213</v>
      </c>
      <c r="N473">
        <v>1916</v>
      </c>
      <c r="O473">
        <v>1373236747.7477479</v>
      </c>
      <c r="P473">
        <v>533321540.54054052</v>
      </c>
      <c r="Q473">
        <v>1441</v>
      </c>
      <c r="R473">
        <v>1084</v>
      </c>
      <c r="S473">
        <v>2579222194.594595</v>
      </c>
      <c r="T473">
        <v>2796881644.1441445</v>
      </c>
      <c r="U473">
        <v>570243646.84684682</v>
      </c>
      <c r="V473">
        <v>508568284.68468469</v>
      </c>
      <c r="W473">
        <v>59140</v>
      </c>
      <c r="X473">
        <v>55074</v>
      </c>
    </row>
    <row r="474" spans="1:24">
      <c r="A474" s="7" t="s">
        <v>570</v>
      </c>
      <c r="B474" s="16" t="s">
        <v>220</v>
      </c>
      <c r="C474">
        <v>272122075.55225343</v>
      </c>
      <c r="D474">
        <v>249596380.95893925</v>
      </c>
      <c r="E474">
        <v>690090.09009009204</v>
      </c>
      <c r="F474">
        <v>1443243.2432432449</v>
      </c>
      <c r="G474">
        <v>32</v>
      </c>
      <c r="H474">
        <v>25</v>
      </c>
      <c r="I474">
        <v>4</v>
      </c>
      <c r="J474">
        <v>4</v>
      </c>
      <c r="M474">
        <v>34</v>
      </c>
      <c r="N474">
        <v>27</v>
      </c>
      <c r="O474">
        <v>10877927.927927928</v>
      </c>
      <c r="P474">
        <v>11816846.846846843</v>
      </c>
      <c r="Q474">
        <v>150</v>
      </c>
      <c r="S474">
        <v>43646936.936936937</v>
      </c>
      <c r="T474">
        <v>41995081.081081077</v>
      </c>
      <c r="U474">
        <v>11602882.882882882</v>
      </c>
      <c r="V474">
        <v>10845495.495495493</v>
      </c>
      <c r="W474">
        <v>4908</v>
      </c>
      <c r="X474">
        <v>4828</v>
      </c>
    </row>
    <row r="475" spans="1:24">
      <c r="A475" s="7" t="s">
        <v>571</v>
      </c>
      <c r="B475" s="16" t="s">
        <v>85</v>
      </c>
      <c r="C475">
        <v>302727182.31510258</v>
      </c>
      <c r="D475">
        <v>300016057.10499907</v>
      </c>
      <c r="E475">
        <v>807207.20720720699</v>
      </c>
      <c r="F475">
        <v>238738.738738741</v>
      </c>
      <c r="G475">
        <v>25</v>
      </c>
      <c r="H475">
        <v>35</v>
      </c>
      <c r="I475">
        <v>2</v>
      </c>
      <c r="J475">
        <v>3</v>
      </c>
      <c r="M475">
        <v>26</v>
      </c>
      <c r="N475">
        <v>39</v>
      </c>
      <c r="O475">
        <v>7167567.5675675683</v>
      </c>
      <c r="P475">
        <v>21177555.85585586</v>
      </c>
      <c r="Q475">
        <v>172</v>
      </c>
      <c r="S475">
        <v>68671203.603603601</v>
      </c>
      <c r="T475">
        <v>68826691.891891882</v>
      </c>
      <c r="U475">
        <v>8457927.9279279262</v>
      </c>
      <c r="V475">
        <v>17620990.990990993</v>
      </c>
      <c r="W475">
        <v>5076</v>
      </c>
      <c r="X475">
        <v>4959</v>
      </c>
    </row>
    <row r="476" spans="1:24">
      <c r="A476" s="7" t="s">
        <v>572</v>
      </c>
      <c r="B476" s="16" t="s">
        <v>479</v>
      </c>
      <c r="C476">
        <v>148878753.93928224</v>
      </c>
      <c r="D476">
        <v>160693097.8084332</v>
      </c>
      <c r="E476">
        <v>2154954.9549549571</v>
      </c>
      <c r="F476">
        <v>2588288.288288292</v>
      </c>
      <c r="G476">
        <v>72</v>
      </c>
      <c r="H476">
        <v>105</v>
      </c>
      <c r="I476">
        <v>7</v>
      </c>
      <c r="J476">
        <v>7</v>
      </c>
      <c r="M476">
        <v>154</v>
      </c>
      <c r="N476">
        <v>155</v>
      </c>
      <c r="O476">
        <v>27521981.981981985</v>
      </c>
      <c r="P476">
        <v>29054054.054054055</v>
      </c>
      <c r="Q476">
        <v>11</v>
      </c>
      <c r="R476">
        <v>5</v>
      </c>
      <c r="S476">
        <v>53319054.054054059</v>
      </c>
      <c r="T476">
        <v>65989922.522522517</v>
      </c>
      <c r="U476">
        <v>26272882.882882878</v>
      </c>
      <c r="V476">
        <v>26028378.37837838</v>
      </c>
      <c r="W476">
        <v>5225</v>
      </c>
      <c r="X476">
        <v>5329</v>
      </c>
    </row>
    <row r="477" spans="1:24">
      <c r="A477" s="7" t="s">
        <v>573</v>
      </c>
      <c r="B477" s="16" t="s">
        <v>94</v>
      </c>
      <c r="C477">
        <v>428329827.04477954</v>
      </c>
      <c r="D477">
        <v>411850862.21793294</v>
      </c>
      <c r="E477">
        <v>1671171.171171173</v>
      </c>
      <c r="F477">
        <v>2511711.7117117131</v>
      </c>
      <c r="G477">
        <v>117</v>
      </c>
      <c r="H477">
        <v>79</v>
      </c>
      <c r="I477">
        <v>10</v>
      </c>
      <c r="J477">
        <v>9</v>
      </c>
      <c r="M477">
        <v>137</v>
      </c>
      <c r="N477">
        <v>112</v>
      </c>
      <c r="O477">
        <v>484928828.82882881</v>
      </c>
      <c r="P477">
        <v>847205405.4054054</v>
      </c>
      <c r="Q477">
        <v>95</v>
      </c>
      <c r="R477">
        <v>207</v>
      </c>
      <c r="S477">
        <v>94704986.48648648</v>
      </c>
      <c r="T477">
        <v>90805838.288288295</v>
      </c>
      <c r="U477">
        <v>30357207.207207207</v>
      </c>
      <c r="V477">
        <v>33654144.144144148</v>
      </c>
      <c r="W477">
        <v>9750</v>
      </c>
      <c r="X477">
        <v>9489</v>
      </c>
    </row>
    <row r="478" spans="1:24">
      <c r="A478" s="7" t="s">
        <v>680</v>
      </c>
      <c r="B478" s="16" t="s">
        <v>136</v>
      </c>
      <c r="E478">
        <v>35202702.702702701</v>
      </c>
      <c r="F478">
        <v>12725225.225225223</v>
      </c>
      <c r="P478">
        <v>27027.027027027001</v>
      </c>
    </row>
    <row r="479" spans="1:24">
      <c r="A479" s="7" t="s">
        <v>574</v>
      </c>
      <c r="B479" s="16" t="s">
        <v>307</v>
      </c>
      <c r="C479">
        <v>948611551.47228253</v>
      </c>
      <c r="D479">
        <v>951755346.10768056</v>
      </c>
      <c r="E479">
        <v>183620585.58558559</v>
      </c>
      <c r="F479">
        <v>372069099.09909916</v>
      </c>
      <c r="G479">
        <v>309</v>
      </c>
      <c r="H479">
        <v>412</v>
      </c>
      <c r="I479">
        <v>16</v>
      </c>
      <c r="J479">
        <v>22</v>
      </c>
      <c r="M479">
        <v>353</v>
      </c>
      <c r="N479">
        <v>539</v>
      </c>
      <c r="O479">
        <v>823249054.05405402</v>
      </c>
      <c r="P479">
        <v>1130570360.3603604</v>
      </c>
      <c r="Q479">
        <v>1474</v>
      </c>
      <c r="R479">
        <v>1719</v>
      </c>
      <c r="S479">
        <v>373546432.43243247</v>
      </c>
      <c r="T479">
        <v>382654165.31531531</v>
      </c>
      <c r="U479">
        <v>86384099.0990991</v>
      </c>
      <c r="V479">
        <v>206676081.08108109</v>
      </c>
      <c r="W479">
        <v>32909</v>
      </c>
      <c r="X479">
        <v>32447</v>
      </c>
    </row>
    <row r="480" spans="1:24">
      <c r="A480" s="7" t="s">
        <v>10</v>
      </c>
      <c r="B480" s="16" t="s">
        <v>193</v>
      </c>
      <c r="C480">
        <v>160763937.29102331</v>
      </c>
      <c r="D480">
        <v>152322700.52740496</v>
      </c>
      <c r="G480">
        <v>10</v>
      </c>
      <c r="H480">
        <v>23</v>
      </c>
      <c r="J480">
        <v>0</v>
      </c>
      <c r="M480">
        <v>10</v>
      </c>
      <c r="N480">
        <v>24</v>
      </c>
      <c r="S480">
        <v>93047927.927927941</v>
      </c>
      <c r="T480">
        <v>91313214.414414421</v>
      </c>
      <c r="V480">
        <v>19639.639639640001</v>
      </c>
      <c r="W480">
        <v>3981</v>
      </c>
      <c r="X480">
        <v>3581</v>
      </c>
    </row>
    <row r="481" spans="1:24">
      <c r="A481" s="7" t="s">
        <v>575</v>
      </c>
      <c r="B481" s="16" t="s">
        <v>87</v>
      </c>
      <c r="C481">
        <v>3723397.3317875541</v>
      </c>
      <c r="D481">
        <v>3381528.5844652788</v>
      </c>
      <c r="G481">
        <v>4</v>
      </c>
      <c r="H481">
        <v>16</v>
      </c>
      <c r="M481">
        <v>4</v>
      </c>
      <c r="N481">
        <v>19</v>
      </c>
      <c r="S481">
        <v>1120270.2702702701</v>
      </c>
      <c r="T481">
        <v>1198484.684684685</v>
      </c>
      <c r="W481">
        <v>248</v>
      </c>
      <c r="X481">
        <v>243</v>
      </c>
    </row>
    <row r="482" spans="1:24">
      <c r="A482" s="7" t="s">
        <v>576</v>
      </c>
      <c r="B482" s="16" t="s">
        <v>283</v>
      </c>
      <c r="C482">
        <v>225428374.45416987</v>
      </c>
      <c r="D482">
        <v>210538385.34395418</v>
      </c>
      <c r="E482">
        <v>35135.135135135002</v>
      </c>
      <c r="F482">
        <v>336936.93693693698</v>
      </c>
      <c r="G482">
        <v>55</v>
      </c>
      <c r="H482">
        <v>27</v>
      </c>
      <c r="I482">
        <v>2</v>
      </c>
      <c r="J482">
        <v>0</v>
      </c>
      <c r="M482">
        <v>57</v>
      </c>
      <c r="N482">
        <v>28</v>
      </c>
      <c r="O482">
        <v>10125225.225225223</v>
      </c>
      <c r="P482">
        <v>18859459.459459461</v>
      </c>
      <c r="R482">
        <v>8</v>
      </c>
      <c r="S482">
        <v>31035585.585585583</v>
      </c>
      <c r="T482">
        <v>33343306.306306306</v>
      </c>
      <c r="U482">
        <v>8092162.1621621614</v>
      </c>
      <c r="V482">
        <v>17530990.990990993</v>
      </c>
      <c r="W482">
        <v>3586</v>
      </c>
      <c r="X482">
        <v>3650</v>
      </c>
    </row>
    <row r="483" spans="1:24">
      <c r="A483" s="7" t="s">
        <v>577</v>
      </c>
      <c r="B483" s="16" t="s">
        <v>307</v>
      </c>
      <c r="C483">
        <v>944172769.06541193</v>
      </c>
      <c r="D483">
        <v>901618916.97100997</v>
      </c>
      <c r="E483">
        <v>2413783.783783786</v>
      </c>
      <c r="F483">
        <v>8665315.3153153192</v>
      </c>
      <c r="G483">
        <v>466</v>
      </c>
      <c r="H483">
        <v>409</v>
      </c>
      <c r="I483">
        <v>31</v>
      </c>
      <c r="J483">
        <v>29</v>
      </c>
      <c r="M483">
        <v>553</v>
      </c>
      <c r="N483">
        <v>500</v>
      </c>
      <c r="O483">
        <v>87903558.558558553</v>
      </c>
      <c r="P483">
        <v>126519414.41441442</v>
      </c>
      <c r="Q483">
        <v>1188</v>
      </c>
      <c r="R483">
        <v>1042</v>
      </c>
      <c r="S483">
        <v>362654828.82882881</v>
      </c>
      <c r="T483">
        <v>381539585.58558559</v>
      </c>
      <c r="U483">
        <v>86226036.036036029</v>
      </c>
      <c r="V483">
        <v>101927252.25225225</v>
      </c>
      <c r="W483">
        <v>39836</v>
      </c>
      <c r="X483">
        <v>38221</v>
      </c>
    </row>
    <row r="484" spans="1:24">
      <c r="A484" s="7" t="s">
        <v>578</v>
      </c>
      <c r="B484" s="16" t="s">
        <v>330</v>
      </c>
      <c r="C484">
        <v>896229427.6191622</v>
      </c>
      <c r="D484">
        <v>844861132.01328731</v>
      </c>
      <c r="E484">
        <v>2265315.3153153192</v>
      </c>
      <c r="F484">
        <v>8303153.1531531559</v>
      </c>
      <c r="G484">
        <v>312</v>
      </c>
      <c r="H484">
        <v>329</v>
      </c>
      <c r="I484">
        <v>32</v>
      </c>
      <c r="J484">
        <v>33</v>
      </c>
      <c r="K484">
        <v>5</v>
      </c>
      <c r="M484">
        <v>410</v>
      </c>
      <c r="N484">
        <v>473</v>
      </c>
      <c r="O484">
        <v>159473693.6936937</v>
      </c>
      <c r="P484">
        <v>154223423.42342341</v>
      </c>
      <c r="Q484">
        <v>758</v>
      </c>
      <c r="R484">
        <v>231</v>
      </c>
      <c r="S484">
        <v>177903198.1981982</v>
      </c>
      <c r="T484">
        <v>184781450.45045045</v>
      </c>
      <c r="U484">
        <v>157371621.62162164</v>
      </c>
      <c r="V484">
        <v>141408558.55855855</v>
      </c>
      <c r="W484">
        <v>28474</v>
      </c>
      <c r="X484">
        <v>28003</v>
      </c>
    </row>
    <row r="485" spans="1:24">
      <c r="A485" s="7" t="s">
        <v>579</v>
      </c>
      <c r="B485" s="16" t="s">
        <v>66</v>
      </c>
      <c r="C485">
        <v>136927585.44985348</v>
      </c>
      <c r="D485">
        <v>129599894.65285243</v>
      </c>
      <c r="E485">
        <v>144594.59459459499</v>
      </c>
      <c r="F485">
        <v>351351.351351352</v>
      </c>
      <c r="G485">
        <v>27</v>
      </c>
      <c r="H485">
        <v>20</v>
      </c>
      <c r="I485">
        <v>1</v>
      </c>
      <c r="J485">
        <v>1</v>
      </c>
      <c r="M485">
        <v>34</v>
      </c>
      <c r="N485">
        <v>24</v>
      </c>
      <c r="O485">
        <v>2033333.3333333349</v>
      </c>
      <c r="P485">
        <v>3765315.315315316</v>
      </c>
      <c r="Q485">
        <v>24</v>
      </c>
      <c r="R485">
        <v>15</v>
      </c>
      <c r="S485">
        <v>33464279.27927928</v>
      </c>
      <c r="T485">
        <v>34603554.054054059</v>
      </c>
      <c r="U485">
        <v>2366396.396396399</v>
      </c>
      <c r="V485">
        <v>3096576.5765765752</v>
      </c>
      <c r="W485">
        <v>3274</v>
      </c>
      <c r="X485">
        <v>4023</v>
      </c>
    </row>
    <row r="486" spans="1:24">
      <c r="A486" s="7" t="s">
        <v>580</v>
      </c>
      <c r="B486" s="16" t="s">
        <v>236</v>
      </c>
      <c r="C486">
        <v>6.7845542930000002</v>
      </c>
      <c r="D486">
        <v>12011.332970474001</v>
      </c>
    </row>
    <row r="487" spans="1:24">
      <c r="A487" s="7" t="s">
        <v>581</v>
      </c>
      <c r="B487" s="16" t="s">
        <v>62</v>
      </c>
      <c r="C487">
        <v>342050292.59692627</v>
      </c>
      <c r="D487">
        <v>334464973.30309391</v>
      </c>
      <c r="E487">
        <v>329593384.68468469</v>
      </c>
      <c r="F487">
        <v>560222066.66666675</v>
      </c>
      <c r="G487">
        <v>130</v>
      </c>
      <c r="H487">
        <v>206</v>
      </c>
      <c r="I487">
        <v>18</v>
      </c>
      <c r="J487">
        <v>21</v>
      </c>
      <c r="M487">
        <v>136</v>
      </c>
      <c r="N487">
        <v>231</v>
      </c>
      <c r="O487">
        <v>60173127.027027026</v>
      </c>
      <c r="P487">
        <v>79466972.072072074</v>
      </c>
      <c r="Q487">
        <v>61</v>
      </c>
      <c r="R487">
        <v>124</v>
      </c>
      <c r="S487">
        <v>75946477.477477476</v>
      </c>
      <c r="T487">
        <v>77289936.936936945</v>
      </c>
      <c r="U487">
        <v>27478378.378378376</v>
      </c>
      <c r="V487">
        <v>31015585.585585583</v>
      </c>
      <c r="W487">
        <v>6767</v>
      </c>
      <c r="X487">
        <v>6613</v>
      </c>
    </row>
    <row r="488" spans="1:24">
      <c r="A488" s="7" t="s">
        <v>582</v>
      </c>
      <c r="B488" s="16" t="s">
        <v>48</v>
      </c>
      <c r="C488">
        <v>339401355.7590946</v>
      </c>
      <c r="D488">
        <v>305906507.62592077</v>
      </c>
      <c r="E488">
        <v>2575765.7657657652</v>
      </c>
      <c r="F488">
        <v>1550045.0450450459</v>
      </c>
      <c r="G488">
        <v>98</v>
      </c>
      <c r="H488">
        <v>43</v>
      </c>
      <c r="I488">
        <v>3</v>
      </c>
      <c r="J488">
        <v>3</v>
      </c>
      <c r="M488">
        <v>101</v>
      </c>
      <c r="N488">
        <v>54</v>
      </c>
      <c r="O488">
        <v>42592162.162162162</v>
      </c>
      <c r="P488">
        <v>109293783.78378378</v>
      </c>
      <c r="S488">
        <v>49334189.189189196</v>
      </c>
      <c r="T488">
        <v>45675207.20720721</v>
      </c>
      <c r="U488">
        <v>38087387.387387395</v>
      </c>
      <c r="V488">
        <v>101184684.68468469</v>
      </c>
      <c r="W488">
        <v>5697</v>
      </c>
      <c r="X488">
        <v>5130</v>
      </c>
    </row>
    <row r="489" spans="1:24">
      <c r="A489" s="7" t="s">
        <v>583</v>
      </c>
      <c r="B489" s="16" t="s">
        <v>54</v>
      </c>
      <c r="C489">
        <v>61116119.147414029</v>
      </c>
      <c r="D489">
        <v>59941475.640743479</v>
      </c>
      <c r="E489">
        <v>902027.02702702803</v>
      </c>
      <c r="F489">
        <v>551351.35135135404</v>
      </c>
      <c r="G489">
        <v>11</v>
      </c>
      <c r="H489">
        <v>21</v>
      </c>
      <c r="I489">
        <v>5</v>
      </c>
      <c r="J489">
        <v>6</v>
      </c>
      <c r="M489">
        <v>19</v>
      </c>
      <c r="N489">
        <v>43</v>
      </c>
      <c r="O489">
        <v>10064864.864864862</v>
      </c>
      <c r="P489">
        <v>9041531.5315315314</v>
      </c>
      <c r="Q489">
        <v>71</v>
      </c>
      <c r="R489">
        <v>59</v>
      </c>
      <c r="S489">
        <v>15300810.81081081</v>
      </c>
      <c r="T489">
        <v>15695831.081081079</v>
      </c>
      <c r="U489">
        <v>9961261.2612612601</v>
      </c>
      <c r="V489">
        <v>8581171.1711711716</v>
      </c>
      <c r="W489">
        <v>2111</v>
      </c>
      <c r="X489">
        <v>2000</v>
      </c>
    </row>
    <row r="490" spans="1:24">
      <c r="A490" s="7" t="s">
        <v>584</v>
      </c>
      <c r="B490" s="16" t="s">
        <v>70</v>
      </c>
      <c r="C490">
        <v>158179775.01348829</v>
      </c>
      <c r="D490">
        <v>155197719.44129097</v>
      </c>
      <c r="E490">
        <v>864864.86486486497</v>
      </c>
      <c r="F490">
        <v>103603.603603604</v>
      </c>
      <c r="G490">
        <v>27</v>
      </c>
      <c r="H490">
        <v>38</v>
      </c>
      <c r="J490">
        <v>1</v>
      </c>
      <c r="K490">
        <v>1</v>
      </c>
      <c r="M490">
        <v>30</v>
      </c>
      <c r="N490">
        <v>42</v>
      </c>
      <c r="O490">
        <v>1757657.657657658</v>
      </c>
      <c r="P490">
        <v>1591891.8918918939</v>
      </c>
      <c r="Q490">
        <v>4</v>
      </c>
      <c r="R490">
        <v>8</v>
      </c>
      <c r="S490">
        <v>69781441.441441447</v>
      </c>
      <c r="T490">
        <v>69906585.585585579</v>
      </c>
      <c r="U490">
        <v>1804054.0540540549</v>
      </c>
      <c r="V490">
        <v>1812612.6126126139</v>
      </c>
      <c r="W490">
        <v>3716</v>
      </c>
      <c r="X490">
        <v>3572</v>
      </c>
    </row>
    <row r="491" spans="1:24">
      <c r="A491" s="7" t="s">
        <v>585</v>
      </c>
      <c r="B491" s="16" t="s">
        <v>330</v>
      </c>
      <c r="C491">
        <v>618102865.81014633</v>
      </c>
      <c r="D491">
        <v>570300610.42744899</v>
      </c>
      <c r="E491">
        <v>2754279.2792792791</v>
      </c>
      <c r="F491">
        <v>5899099.0990990978</v>
      </c>
      <c r="G491">
        <v>237</v>
      </c>
      <c r="H491">
        <v>245</v>
      </c>
      <c r="I491">
        <v>19</v>
      </c>
      <c r="J491">
        <v>17</v>
      </c>
      <c r="M491">
        <v>293</v>
      </c>
      <c r="N491">
        <v>311</v>
      </c>
      <c r="O491">
        <v>37590090.090090089</v>
      </c>
      <c r="P491">
        <v>63282882.882882878</v>
      </c>
      <c r="Q491">
        <v>369</v>
      </c>
      <c r="R491">
        <v>156</v>
      </c>
      <c r="S491">
        <v>147260457.65765765</v>
      </c>
      <c r="T491">
        <v>145564724.32432431</v>
      </c>
      <c r="U491">
        <v>33942162.162162162</v>
      </c>
      <c r="V491">
        <v>58169819.819819815</v>
      </c>
      <c r="W491">
        <v>20836</v>
      </c>
      <c r="X491">
        <v>20012</v>
      </c>
    </row>
    <row r="492" spans="1:24">
      <c r="A492" s="7" t="s">
        <v>586</v>
      </c>
      <c r="B492" s="16" t="s">
        <v>66</v>
      </c>
      <c r="C492">
        <v>268946724.61609316</v>
      </c>
      <c r="D492">
        <v>275344065.19265682</v>
      </c>
      <c r="E492">
        <v>151318975.67567569</v>
      </c>
      <c r="F492">
        <v>711757798.1981982</v>
      </c>
      <c r="G492">
        <v>127</v>
      </c>
      <c r="H492">
        <v>163</v>
      </c>
      <c r="I492">
        <v>10</v>
      </c>
      <c r="J492">
        <v>9</v>
      </c>
      <c r="M492">
        <v>247</v>
      </c>
      <c r="N492">
        <v>292</v>
      </c>
      <c r="O492">
        <v>33147567.567567568</v>
      </c>
      <c r="P492">
        <v>76052927.927927941</v>
      </c>
      <c r="Q492">
        <v>386</v>
      </c>
      <c r="R492">
        <v>47</v>
      </c>
      <c r="S492">
        <v>137860018.01801801</v>
      </c>
      <c r="T492">
        <v>135528180.18018016</v>
      </c>
      <c r="U492">
        <v>32007657.657657657</v>
      </c>
      <c r="V492">
        <v>57455990.990990981</v>
      </c>
      <c r="W492">
        <v>10368</v>
      </c>
      <c r="X492">
        <v>10564</v>
      </c>
    </row>
    <row r="493" spans="1:24">
      <c r="A493" s="7" t="s">
        <v>11</v>
      </c>
      <c r="B493" s="16" t="s">
        <v>193</v>
      </c>
      <c r="C493">
        <v>127108731.80445942</v>
      </c>
      <c r="D493">
        <v>131679421.80175248</v>
      </c>
      <c r="E493">
        <v>343243.24324324197</v>
      </c>
      <c r="F493">
        <v>130630.63063063299</v>
      </c>
      <c r="G493">
        <v>43</v>
      </c>
      <c r="H493">
        <v>32</v>
      </c>
      <c r="I493">
        <v>6</v>
      </c>
      <c r="J493">
        <v>0</v>
      </c>
      <c r="M493">
        <v>49</v>
      </c>
      <c r="N493">
        <v>37</v>
      </c>
      <c r="O493">
        <v>3775675.6756756748</v>
      </c>
      <c r="P493">
        <v>2563063.0630630651</v>
      </c>
      <c r="Q493">
        <v>44</v>
      </c>
      <c r="S493">
        <v>42062162.162162162</v>
      </c>
      <c r="T493">
        <v>44513695.945945941</v>
      </c>
      <c r="U493">
        <v>4228288.288288286</v>
      </c>
      <c r="V493">
        <v>3080360.3603603612</v>
      </c>
      <c r="W493">
        <v>3772</v>
      </c>
      <c r="X493">
        <v>3936</v>
      </c>
    </row>
    <row r="494" spans="1:24">
      <c r="A494" s="7" t="s">
        <v>12</v>
      </c>
      <c r="B494" s="16" t="s">
        <v>193</v>
      </c>
      <c r="C494">
        <v>88513945.157499924</v>
      </c>
      <c r="D494">
        <v>85230493.916429445</v>
      </c>
      <c r="E494">
        <v>55515540.540540539</v>
      </c>
      <c r="F494">
        <v>26366666.666666668</v>
      </c>
      <c r="G494">
        <v>25</v>
      </c>
      <c r="H494">
        <v>14</v>
      </c>
      <c r="I494">
        <v>8</v>
      </c>
      <c r="J494">
        <v>4</v>
      </c>
      <c r="M494">
        <v>30</v>
      </c>
      <c r="N494">
        <v>14</v>
      </c>
      <c r="O494">
        <v>11649999.999999998</v>
      </c>
      <c r="P494">
        <v>7941666.666666667</v>
      </c>
      <c r="Q494">
        <v>70</v>
      </c>
      <c r="S494">
        <v>34683189.189189188</v>
      </c>
      <c r="T494">
        <v>33800288.288288288</v>
      </c>
      <c r="U494">
        <v>5117567.5675675645</v>
      </c>
      <c r="V494">
        <v>9041171.1711711716</v>
      </c>
      <c r="W494">
        <v>2857</v>
      </c>
      <c r="X494">
        <v>2974</v>
      </c>
    </row>
    <row r="495" spans="1:24">
      <c r="A495" s="7" t="s">
        <v>587</v>
      </c>
      <c r="B495" s="16" t="s">
        <v>60</v>
      </c>
      <c r="C495">
        <v>68050834.78883177</v>
      </c>
      <c r="D495">
        <v>71188217.664323539</v>
      </c>
      <c r="E495">
        <v>36221621.621621624</v>
      </c>
      <c r="F495">
        <v>29818018.018018015</v>
      </c>
      <c r="G495">
        <v>33</v>
      </c>
      <c r="H495">
        <v>23</v>
      </c>
      <c r="I495">
        <v>5</v>
      </c>
      <c r="J495">
        <v>7</v>
      </c>
      <c r="M495">
        <v>44</v>
      </c>
      <c r="N495">
        <v>48</v>
      </c>
      <c r="O495">
        <v>14876576.576576576</v>
      </c>
      <c r="P495">
        <v>13250450.450450452</v>
      </c>
      <c r="Q495">
        <v>76</v>
      </c>
      <c r="R495">
        <v>66</v>
      </c>
      <c r="S495">
        <v>26335900.9009009</v>
      </c>
      <c r="T495">
        <v>26369407.657657661</v>
      </c>
      <c r="U495">
        <v>10442432.432432434</v>
      </c>
      <c r="V495">
        <v>11200360.36036036</v>
      </c>
      <c r="W495">
        <v>1786</v>
      </c>
      <c r="X495">
        <v>1800</v>
      </c>
    </row>
    <row r="496" spans="1:24">
      <c r="A496" s="7" t="s">
        <v>588</v>
      </c>
      <c r="B496" s="16" t="s">
        <v>307</v>
      </c>
      <c r="C496">
        <v>2039588257.6504524</v>
      </c>
      <c r="D496">
        <v>1979363305.3806627</v>
      </c>
      <c r="E496">
        <v>933983554.95495498</v>
      </c>
      <c r="F496">
        <v>1722437906.3063064</v>
      </c>
      <c r="G496">
        <v>828</v>
      </c>
      <c r="H496">
        <v>940</v>
      </c>
      <c r="I496">
        <v>76</v>
      </c>
      <c r="J496">
        <v>74</v>
      </c>
      <c r="K496">
        <v>1</v>
      </c>
      <c r="M496">
        <v>992</v>
      </c>
      <c r="N496">
        <v>1189</v>
      </c>
      <c r="O496">
        <v>209236711.7117117</v>
      </c>
      <c r="P496">
        <v>508287612.61261261</v>
      </c>
      <c r="Q496">
        <v>2067</v>
      </c>
      <c r="R496">
        <v>2572</v>
      </c>
      <c r="S496">
        <v>621349729.72972977</v>
      </c>
      <c r="T496">
        <v>632033409.90990984</v>
      </c>
      <c r="U496">
        <v>204087117.11711711</v>
      </c>
      <c r="V496">
        <v>386407792.7927928</v>
      </c>
      <c r="W496">
        <v>64700</v>
      </c>
      <c r="X496">
        <v>64810</v>
      </c>
    </row>
    <row r="497" spans="1:24">
      <c r="A497" s="7" t="s">
        <v>589</v>
      </c>
      <c r="B497" s="16" t="s">
        <v>52</v>
      </c>
      <c r="C497">
        <v>489060860.13654673</v>
      </c>
      <c r="D497">
        <v>471235553.52528232</v>
      </c>
      <c r="E497">
        <v>14250720.720720723</v>
      </c>
      <c r="F497">
        <v>8492865.7657657713</v>
      </c>
      <c r="G497">
        <v>82</v>
      </c>
      <c r="H497">
        <v>110</v>
      </c>
      <c r="I497">
        <v>12</v>
      </c>
      <c r="J497">
        <v>21</v>
      </c>
      <c r="M497">
        <v>139</v>
      </c>
      <c r="N497">
        <v>234</v>
      </c>
      <c r="O497">
        <v>47485045.045045048</v>
      </c>
      <c r="P497">
        <v>141634360.36036035</v>
      </c>
      <c r="Q497">
        <v>235</v>
      </c>
      <c r="R497">
        <v>1763</v>
      </c>
      <c r="S497">
        <v>194551130.63063061</v>
      </c>
      <c r="T497">
        <v>190502009.00900903</v>
      </c>
      <c r="U497">
        <v>43508468.468468465</v>
      </c>
      <c r="V497">
        <v>152499594.5945946</v>
      </c>
      <c r="W497">
        <v>14899</v>
      </c>
      <c r="X497">
        <v>14048</v>
      </c>
    </row>
    <row r="498" spans="1:24">
      <c r="A498" s="7" t="s">
        <v>590</v>
      </c>
      <c r="B498" s="16" t="s">
        <v>54</v>
      </c>
      <c r="C498">
        <v>39330396.030539751</v>
      </c>
      <c r="D498">
        <v>40535873.999909662</v>
      </c>
      <c r="E498">
        <v>643918.91891891905</v>
      </c>
      <c r="F498">
        <v>681081.08108108095</v>
      </c>
      <c r="G498">
        <v>11</v>
      </c>
      <c r="H498">
        <v>16</v>
      </c>
      <c r="I498">
        <v>2</v>
      </c>
      <c r="J498">
        <v>2</v>
      </c>
      <c r="M498">
        <v>11</v>
      </c>
      <c r="N498">
        <v>20</v>
      </c>
      <c r="O498">
        <v>10257657.657657659</v>
      </c>
      <c r="P498">
        <v>8392792.7927927915</v>
      </c>
      <c r="Q498">
        <v>21</v>
      </c>
      <c r="R498">
        <v>10</v>
      </c>
      <c r="S498">
        <v>13001162.162162162</v>
      </c>
      <c r="T498">
        <v>12492189.189189188</v>
      </c>
      <c r="U498">
        <v>6861981.9819819815</v>
      </c>
      <c r="V498">
        <v>6845135.1351351356</v>
      </c>
      <c r="W498">
        <v>1515</v>
      </c>
      <c r="X498">
        <v>1618</v>
      </c>
    </row>
    <row r="499" spans="1:24">
      <c r="A499" s="7" t="s">
        <v>591</v>
      </c>
      <c r="B499" s="16" t="s">
        <v>169</v>
      </c>
      <c r="C499">
        <v>1188579642.4061761</v>
      </c>
      <c r="D499">
        <v>1151776618.8914852</v>
      </c>
      <c r="E499">
        <v>7692972.972972976</v>
      </c>
      <c r="F499">
        <v>6845720.7207207233</v>
      </c>
      <c r="G499">
        <v>145</v>
      </c>
      <c r="H499">
        <v>95</v>
      </c>
      <c r="I499">
        <v>18</v>
      </c>
      <c r="J499">
        <v>12</v>
      </c>
      <c r="K499">
        <v>1</v>
      </c>
      <c r="M499">
        <v>167</v>
      </c>
      <c r="N499">
        <v>134</v>
      </c>
      <c r="O499">
        <v>153306846.84684685</v>
      </c>
      <c r="P499">
        <v>226615673.87387389</v>
      </c>
      <c r="Q499">
        <v>167</v>
      </c>
      <c r="R499">
        <v>225</v>
      </c>
      <c r="S499">
        <v>398763827.02702701</v>
      </c>
      <c r="T499">
        <v>389448779.27927929</v>
      </c>
      <c r="U499">
        <v>138944864.86486486</v>
      </c>
      <c r="V499">
        <v>198247477.47747746</v>
      </c>
      <c r="W499">
        <v>23192</v>
      </c>
      <c r="X499">
        <v>23552</v>
      </c>
    </row>
    <row r="500" spans="1:24">
      <c r="A500" s="7" t="s">
        <v>592</v>
      </c>
      <c r="B500" s="16" t="s">
        <v>87</v>
      </c>
      <c r="C500">
        <v>6570123.0952994386</v>
      </c>
      <c r="D500">
        <v>5777261.0725272764</v>
      </c>
      <c r="H500">
        <v>2</v>
      </c>
      <c r="N500">
        <v>2</v>
      </c>
      <c r="O500">
        <v>135135.135135135</v>
      </c>
      <c r="P500">
        <v>864864.86486486497</v>
      </c>
      <c r="S500">
        <v>1581972.972972973</v>
      </c>
      <c r="T500">
        <v>1471486.4864864871</v>
      </c>
      <c r="W500">
        <v>350</v>
      </c>
      <c r="X500">
        <v>595</v>
      </c>
    </row>
    <row r="501" spans="1:24">
      <c r="A501" s="7" t="s">
        <v>593</v>
      </c>
      <c r="B501" s="16" t="s">
        <v>143</v>
      </c>
      <c r="C501">
        <v>82377817.386881888</v>
      </c>
      <c r="D501">
        <v>82106739.773620754</v>
      </c>
      <c r="E501">
        <v>28828.828828829999</v>
      </c>
      <c r="F501">
        <v>212612.612612614</v>
      </c>
      <c r="G501">
        <v>12</v>
      </c>
      <c r="H501">
        <v>26</v>
      </c>
      <c r="I501">
        <v>4</v>
      </c>
      <c r="J501">
        <v>2</v>
      </c>
      <c r="M501">
        <v>16</v>
      </c>
      <c r="N501">
        <v>27</v>
      </c>
      <c r="O501">
        <v>3614414.4144144142</v>
      </c>
      <c r="P501">
        <v>9041441.4414414447</v>
      </c>
      <c r="Q501">
        <v>30</v>
      </c>
      <c r="R501">
        <v>10</v>
      </c>
      <c r="S501">
        <v>7770000</v>
      </c>
      <c r="T501">
        <v>8886297.297297297</v>
      </c>
      <c r="U501">
        <v>3703333.333333333</v>
      </c>
      <c r="V501">
        <v>4228468.4684684696</v>
      </c>
      <c r="W501">
        <v>1574</v>
      </c>
      <c r="X501">
        <v>1574</v>
      </c>
    </row>
    <row r="502" spans="1:24">
      <c r="A502" s="7" t="s">
        <v>594</v>
      </c>
      <c r="B502" s="16" t="s">
        <v>290</v>
      </c>
      <c r="C502">
        <v>22610156.371768851</v>
      </c>
      <c r="D502">
        <v>21592785.158490136</v>
      </c>
      <c r="E502">
        <v>900.900900901</v>
      </c>
      <c r="G502">
        <v>2</v>
      </c>
      <c r="H502">
        <v>1</v>
      </c>
      <c r="I502">
        <v>0</v>
      </c>
      <c r="M502">
        <v>2</v>
      </c>
      <c r="N502">
        <v>1</v>
      </c>
      <c r="O502">
        <v>9909.9099099100004</v>
      </c>
      <c r="S502">
        <v>907297.29729729705</v>
      </c>
      <c r="T502">
        <v>1308288.2882882881</v>
      </c>
      <c r="W502">
        <v>581</v>
      </c>
      <c r="X502">
        <v>665</v>
      </c>
    </row>
    <row r="503" spans="1:24">
      <c r="A503" s="7" t="s">
        <v>595</v>
      </c>
      <c r="B503" s="16" t="s">
        <v>92</v>
      </c>
      <c r="C503">
        <v>30468624.840461113</v>
      </c>
      <c r="D503">
        <v>28409977.075340204</v>
      </c>
      <c r="E503">
        <v>371171.171171172</v>
      </c>
      <c r="F503">
        <v>1308108.1081081079</v>
      </c>
      <c r="G503">
        <v>10</v>
      </c>
      <c r="H503">
        <v>20</v>
      </c>
      <c r="I503">
        <v>1</v>
      </c>
      <c r="J503">
        <v>2</v>
      </c>
      <c r="M503">
        <v>10</v>
      </c>
      <c r="N503">
        <v>25</v>
      </c>
      <c r="O503">
        <v>690810.81081080996</v>
      </c>
      <c r="P503">
        <v>3664504.5045045051</v>
      </c>
      <c r="Q503">
        <v>21</v>
      </c>
      <c r="R503">
        <v>12</v>
      </c>
      <c r="S503">
        <v>4393243.2432432426</v>
      </c>
      <c r="T503">
        <v>5140351.3513513505</v>
      </c>
      <c r="U503">
        <v>972972.97297297302</v>
      </c>
      <c r="V503">
        <v>3898288.2882882892</v>
      </c>
      <c r="W503">
        <v>569</v>
      </c>
      <c r="X503">
        <v>850</v>
      </c>
    </row>
    <row r="504" spans="1:24">
      <c r="A504" s="7" t="s">
        <v>596</v>
      </c>
      <c r="B504" s="16" t="s">
        <v>50</v>
      </c>
      <c r="C504">
        <v>106761030.72662012</v>
      </c>
      <c r="D504">
        <v>98712484.040820062</v>
      </c>
      <c r="E504">
        <v>204525678.37837836</v>
      </c>
      <c r="F504">
        <v>252880093.6936937</v>
      </c>
      <c r="G504">
        <v>14</v>
      </c>
      <c r="H504">
        <v>11</v>
      </c>
      <c r="I504">
        <v>2</v>
      </c>
      <c r="J504">
        <v>7</v>
      </c>
      <c r="M504">
        <v>15</v>
      </c>
      <c r="N504">
        <v>11</v>
      </c>
      <c r="O504">
        <v>92827887.387387395</v>
      </c>
      <c r="P504">
        <v>99141351.351351351</v>
      </c>
      <c r="Q504">
        <v>217</v>
      </c>
      <c r="R504">
        <v>68</v>
      </c>
      <c r="S504">
        <v>22443508.108108107</v>
      </c>
      <c r="T504">
        <v>21250852.252252251</v>
      </c>
      <c r="U504">
        <v>20469909.909909908</v>
      </c>
      <c r="V504">
        <v>11493333.333333332</v>
      </c>
      <c r="W504">
        <v>1531</v>
      </c>
      <c r="X504">
        <v>1620</v>
      </c>
    </row>
    <row r="505" spans="1:24">
      <c r="A505" s="7" t="s">
        <v>597</v>
      </c>
      <c r="B505" s="16" t="s">
        <v>89</v>
      </c>
      <c r="C505">
        <v>148854293.44749638</v>
      </c>
      <c r="D505">
        <v>150708325.86380243</v>
      </c>
      <c r="E505">
        <v>932882.88288288203</v>
      </c>
      <c r="F505">
        <v>2241441.4414414461</v>
      </c>
      <c r="G505">
        <v>25</v>
      </c>
      <c r="H505">
        <v>33</v>
      </c>
      <c r="I505">
        <v>1</v>
      </c>
      <c r="J505">
        <v>16</v>
      </c>
      <c r="K505">
        <v>1</v>
      </c>
      <c r="M505">
        <v>26</v>
      </c>
      <c r="N505">
        <v>203</v>
      </c>
      <c r="O505">
        <v>10468468.468468465</v>
      </c>
      <c r="P505">
        <v>13258558.558558555</v>
      </c>
      <c r="Q505">
        <v>144</v>
      </c>
      <c r="R505">
        <v>259</v>
      </c>
      <c r="S505">
        <v>34403691.891891889</v>
      </c>
      <c r="T505">
        <v>36889594.59459459</v>
      </c>
      <c r="U505">
        <v>11586846.846846849</v>
      </c>
      <c r="V505">
        <v>11567207.207207205</v>
      </c>
      <c r="W505">
        <v>3528</v>
      </c>
      <c r="X505">
        <v>3437</v>
      </c>
    </row>
    <row r="506" spans="1:24">
      <c r="A506" s="7" t="s">
        <v>598</v>
      </c>
      <c r="B506" s="16" t="s">
        <v>143</v>
      </c>
      <c r="C506">
        <v>57427872.935703091</v>
      </c>
      <c r="D506">
        <v>58447826.873427123</v>
      </c>
      <c r="E506">
        <v>1254054.054054053</v>
      </c>
      <c r="F506">
        <v>1266666.666666667</v>
      </c>
      <c r="G506">
        <v>13</v>
      </c>
      <c r="H506">
        <v>4</v>
      </c>
      <c r="I506">
        <v>4</v>
      </c>
      <c r="J506">
        <v>3</v>
      </c>
      <c r="M506">
        <v>13</v>
      </c>
      <c r="N506">
        <v>6</v>
      </c>
      <c r="O506">
        <v>5757746.8468468469</v>
      </c>
      <c r="P506">
        <v>6221621.6216216208</v>
      </c>
      <c r="Q506">
        <v>41</v>
      </c>
      <c r="R506">
        <v>152</v>
      </c>
      <c r="S506">
        <v>3746666.666666667</v>
      </c>
      <c r="T506">
        <v>5871495.4954954963</v>
      </c>
      <c r="U506">
        <v>3604864.8648648639</v>
      </c>
      <c r="V506">
        <v>4224144.144144143</v>
      </c>
      <c r="W506">
        <v>1135</v>
      </c>
      <c r="X506">
        <v>1170</v>
      </c>
    </row>
    <row r="507" spans="1:24">
      <c r="A507" s="7" t="s">
        <v>599</v>
      </c>
      <c r="B507" s="16" t="s">
        <v>125</v>
      </c>
      <c r="C507">
        <v>155169434.20489538</v>
      </c>
      <c r="D507">
        <v>150687902.19414032</v>
      </c>
      <c r="E507">
        <v>61115636.936936937</v>
      </c>
      <c r="F507">
        <v>145841361.26126125</v>
      </c>
      <c r="G507">
        <v>12</v>
      </c>
      <c r="H507">
        <v>17</v>
      </c>
      <c r="I507">
        <v>0</v>
      </c>
      <c r="J507">
        <v>1</v>
      </c>
      <c r="M507">
        <v>14</v>
      </c>
      <c r="N507">
        <v>20</v>
      </c>
      <c r="O507">
        <v>47316081.081081077</v>
      </c>
      <c r="P507">
        <v>29576711.711711712</v>
      </c>
      <c r="Q507">
        <v>39</v>
      </c>
      <c r="S507">
        <v>57895315.315315314</v>
      </c>
      <c r="T507">
        <v>57439135.135135137</v>
      </c>
      <c r="U507">
        <v>29370450.45045045</v>
      </c>
      <c r="V507">
        <v>17402432.432432432</v>
      </c>
      <c r="W507">
        <v>3429</v>
      </c>
      <c r="X507">
        <v>3360</v>
      </c>
    </row>
    <row r="508" spans="1:24">
      <c r="A508" s="7" t="s">
        <v>600</v>
      </c>
      <c r="B508" s="16" t="s">
        <v>50</v>
      </c>
      <c r="C508">
        <v>365619576.52323616</v>
      </c>
      <c r="D508">
        <v>365997368.95329338</v>
      </c>
      <c r="E508">
        <v>2754594.594594596</v>
      </c>
      <c r="F508">
        <v>3780180.1801801808</v>
      </c>
      <c r="G508">
        <v>44</v>
      </c>
      <c r="H508">
        <v>33</v>
      </c>
      <c r="I508">
        <v>9</v>
      </c>
      <c r="J508">
        <v>4</v>
      </c>
      <c r="K508">
        <v>1</v>
      </c>
      <c r="M508">
        <v>48</v>
      </c>
      <c r="N508">
        <v>41</v>
      </c>
      <c r="O508">
        <v>45631261.261261262</v>
      </c>
      <c r="P508">
        <v>51863513.513513513</v>
      </c>
      <c r="Q508">
        <v>172</v>
      </c>
      <c r="R508">
        <v>18</v>
      </c>
      <c r="S508">
        <v>153471693.6936937</v>
      </c>
      <c r="T508">
        <v>153712126.12612611</v>
      </c>
      <c r="U508">
        <v>45632342.342342347</v>
      </c>
      <c r="V508">
        <v>50555945.945945941</v>
      </c>
      <c r="W508">
        <v>7681</v>
      </c>
      <c r="X508">
        <v>7705</v>
      </c>
    </row>
    <row r="509" spans="1:24">
      <c r="A509" s="7" t="s">
        <v>601</v>
      </c>
      <c r="B509" s="16" t="s">
        <v>89</v>
      </c>
      <c r="C509">
        <v>108957666.94225606</v>
      </c>
      <c r="D509">
        <v>106978234.31716001</v>
      </c>
      <c r="E509">
        <v>69285315.315315321</v>
      </c>
      <c r="F509">
        <v>135292792.7927928</v>
      </c>
      <c r="G509">
        <v>16</v>
      </c>
      <c r="H509">
        <v>10</v>
      </c>
      <c r="I509">
        <v>4</v>
      </c>
      <c r="J509">
        <v>8</v>
      </c>
      <c r="M509">
        <v>17</v>
      </c>
      <c r="N509">
        <v>10</v>
      </c>
      <c r="O509">
        <v>13196396.396396397</v>
      </c>
      <c r="P509">
        <v>28469549.549549554</v>
      </c>
      <c r="Q509">
        <v>92</v>
      </c>
      <c r="R509">
        <v>1694</v>
      </c>
      <c r="S509">
        <v>31683558.558558561</v>
      </c>
      <c r="T509">
        <v>32854837.837837841</v>
      </c>
      <c r="U509">
        <v>8989549.5495495461</v>
      </c>
      <c r="V509">
        <v>26527927.927927926</v>
      </c>
      <c r="W509">
        <v>2505</v>
      </c>
      <c r="X509">
        <v>2421</v>
      </c>
    </row>
    <row r="510" spans="1:24">
      <c r="A510" s="7" t="s">
        <v>602</v>
      </c>
      <c r="B510" s="16" t="s">
        <v>87</v>
      </c>
      <c r="C510">
        <v>104338232.65272938</v>
      </c>
      <c r="D510">
        <v>94423197.098877564</v>
      </c>
      <c r="E510">
        <v>399099.099099099</v>
      </c>
      <c r="F510">
        <v>617117.11711711704</v>
      </c>
      <c r="G510">
        <v>15</v>
      </c>
      <c r="H510">
        <v>12</v>
      </c>
      <c r="I510">
        <v>1</v>
      </c>
      <c r="J510">
        <v>1</v>
      </c>
      <c r="M510">
        <v>16</v>
      </c>
      <c r="N510">
        <v>14</v>
      </c>
      <c r="O510">
        <v>1705405.405405405</v>
      </c>
      <c r="P510">
        <v>1256756.756756756</v>
      </c>
      <c r="S510">
        <v>7918016.2162162159</v>
      </c>
      <c r="T510">
        <v>7151153.1531531531</v>
      </c>
      <c r="U510">
        <v>1168962.1621621619</v>
      </c>
      <c r="V510">
        <v>1196486.4864864871</v>
      </c>
      <c r="W510">
        <v>1223</v>
      </c>
      <c r="X510">
        <v>1194</v>
      </c>
    </row>
    <row r="511" spans="1:24">
      <c r="A511" s="7" t="s">
        <v>603</v>
      </c>
      <c r="B511" s="16" t="s">
        <v>140</v>
      </c>
      <c r="C511">
        <v>754694064.20328426</v>
      </c>
      <c r="D511">
        <v>768276386.92856252</v>
      </c>
      <c r="E511">
        <v>449974781.98198199</v>
      </c>
      <c r="F511">
        <v>257574883.78378376</v>
      </c>
      <c r="G511">
        <v>259</v>
      </c>
      <c r="H511">
        <v>360</v>
      </c>
      <c r="I511">
        <v>21</v>
      </c>
      <c r="J511">
        <v>49</v>
      </c>
      <c r="K511">
        <v>9</v>
      </c>
      <c r="M511">
        <v>364</v>
      </c>
      <c r="N511">
        <v>736</v>
      </c>
      <c r="O511">
        <v>141226936.93693691</v>
      </c>
      <c r="P511">
        <v>132356936.93693694</v>
      </c>
      <c r="Q511">
        <v>672</v>
      </c>
      <c r="R511">
        <v>400</v>
      </c>
      <c r="S511">
        <v>180974409.00900903</v>
      </c>
      <c r="T511">
        <v>191644717.11711711</v>
      </c>
      <c r="U511">
        <v>134355495.4954955</v>
      </c>
      <c r="V511">
        <v>133910720.72072072</v>
      </c>
      <c r="W511">
        <v>18823</v>
      </c>
      <c r="X511">
        <v>18701</v>
      </c>
    </row>
    <row r="512" spans="1:24">
      <c r="A512" s="7" t="s">
        <v>681</v>
      </c>
      <c r="B512" s="16" t="s">
        <v>214</v>
      </c>
      <c r="E512">
        <v>11486486.486486485</v>
      </c>
      <c r="F512">
        <v>2477477.4774774769</v>
      </c>
      <c r="O512">
        <v>243243.24324324299</v>
      </c>
      <c r="P512">
        <v>344144.14414414403</v>
      </c>
    </row>
    <row r="513" spans="1:24">
      <c r="A513" s="7" t="s">
        <v>604</v>
      </c>
      <c r="B513" s="16" t="s">
        <v>224</v>
      </c>
      <c r="C513">
        <v>153101059.285254</v>
      </c>
      <c r="D513">
        <v>131094467.39315164</v>
      </c>
      <c r="E513">
        <v>1813513.5135135141</v>
      </c>
      <c r="F513">
        <v>78378.378378377995</v>
      </c>
      <c r="G513">
        <v>20</v>
      </c>
      <c r="H513">
        <v>25</v>
      </c>
      <c r="I513">
        <v>1</v>
      </c>
      <c r="J513">
        <v>1</v>
      </c>
      <c r="M513">
        <v>26</v>
      </c>
      <c r="N513">
        <v>30</v>
      </c>
      <c r="O513">
        <v>5574234.2342342343</v>
      </c>
      <c r="P513">
        <v>3952252.2522522518</v>
      </c>
      <c r="Q513">
        <v>15</v>
      </c>
      <c r="S513">
        <v>47762081.081081077</v>
      </c>
      <c r="T513">
        <v>43947027.027027026</v>
      </c>
      <c r="U513">
        <v>4820360.3603603588</v>
      </c>
      <c r="V513">
        <v>5348828.8288288284</v>
      </c>
      <c r="W513">
        <v>3646</v>
      </c>
      <c r="X513">
        <v>3680</v>
      </c>
    </row>
    <row r="514" spans="1:24">
      <c r="A514" s="7" t="s">
        <v>605</v>
      </c>
      <c r="B514" s="16" t="s">
        <v>224</v>
      </c>
      <c r="C514">
        <v>87338792.654586002</v>
      </c>
      <c r="D514">
        <v>85572683.147353232</v>
      </c>
      <c r="E514">
        <v>9009.0090090089998</v>
      </c>
      <c r="F514">
        <v>48648.648648649003</v>
      </c>
      <c r="G514">
        <v>32</v>
      </c>
      <c r="H514">
        <v>30</v>
      </c>
      <c r="I514">
        <v>1</v>
      </c>
      <c r="J514">
        <v>0</v>
      </c>
      <c r="M514">
        <v>34</v>
      </c>
      <c r="N514">
        <v>30</v>
      </c>
      <c r="O514">
        <v>5414414.4144144151</v>
      </c>
      <c r="P514">
        <v>4553153.1531531531</v>
      </c>
      <c r="Q514">
        <v>1</v>
      </c>
      <c r="R514">
        <v>2</v>
      </c>
      <c r="S514">
        <v>23514774.774774775</v>
      </c>
      <c r="T514">
        <v>25753855.855855856</v>
      </c>
      <c r="U514">
        <v>4615675.6756756753</v>
      </c>
      <c r="V514">
        <v>5356936.9369369373</v>
      </c>
      <c r="W514">
        <v>3162</v>
      </c>
      <c r="X514">
        <v>3096</v>
      </c>
    </row>
    <row r="515" spans="1:24">
      <c r="A515" s="7" t="s">
        <v>606</v>
      </c>
      <c r="B515" s="16" t="s">
        <v>241</v>
      </c>
      <c r="C515">
        <v>78419335.532005742</v>
      </c>
      <c r="D515">
        <v>71205873.180607602</v>
      </c>
      <c r="E515">
        <v>13513.513513514001</v>
      </c>
      <c r="F515">
        <v>329729.72972973099</v>
      </c>
      <c r="G515">
        <v>41</v>
      </c>
      <c r="H515">
        <v>42</v>
      </c>
      <c r="I515">
        <v>2</v>
      </c>
      <c r="J515">
        <v>1</v>
      </c>
      <c r="M515">
        <v>44</v>
      </c>
      <c r="N515">
        <v>47</v>
      </c>
      <c r="O515">
        <v>5747207.2072072076</v>
      </c>
      <c r="P515">
        <v>7103153.1531531522</v>
      </c>
      <c r="R515">
        <v>13</v>
      </c>
      <c r="S515">
        <v>22743774.774774771</v>
      </c>
      <c r="T515">
        <v>22170027.02702703</v>
      </c>
      <c r="U515">
        <v>5536396.3963963958</v>
      </c>
      <c r="V515">
        <v>6746036.0360360332</v>
      </c>
      <c r="W515">
        <v>2365</v>
      </c>
      <c r="X515">
        <v>2387</v>
      </c>
    </row>
    <row r="516" spans="1:24">
      <c r="A516" s="7" t="s">
        <v>607</v>
      </c>
      <c r="B516" s="16" t="s">
        <v>140</v>
      </c>
      <c r="C516">
        <v>21866717.323513404</v>
      </c>
      <c r="D516">
        <v>21814660.091852989</v>
      </c>
      <c r="F516">
        <v>2702.7027027029999</v>
      </c>
      <c r="H516">
        <v>4</v>
      </c>
      <c r="N516">
        <v>4</v>
      </c>
      <c r="O516">
        <v>587387.38738738699</v>
      </c>
      <c r="P516">
        <v>227927.92792792799</v>
      </c>
      <c r="S516">
        <v>2745270.2702702698</v>
      </c>
      <c r="T516">
        <v>2654045.0450450452</v>
      </c>
      <c r="U516">
        <v>692432.43243243301</v>
      </c>
      <c r="V516">
        <v>496756.75675675698</v>
      </c>
      <c r="W516">
        <v>340</v>
      </c>
      <c r="X516">
        <v>341</v>
      </c>
    </row>
    <row r="517" spans="1:24">
      <c r="A517" s="7" t="s">
        <v>608</v>
      </c>
      <c r="B517" s="16" t="s">
        <v>189</v>
      </c>
      <c r="C517">
        <v>88793815.377624661</v>
      </c>
      <c r="D517">
        <v>81198026.257113039</v>
      </c>
      <c r="E517">
        <v>505180.18018018099</v>
      </c>
      <c r="F517">
        <v>2032432.432432432</v>
      </c>
      <c r="G517">
        <v>31</v>
      </c>
      <c r="H517">
        <v>51</v>
      </c>
      <c r="I517">
        <v>3</v>
      </c>
      <c r="J517">
        <v>2</v>
      </c>
      <c r="M517">
        <v>33</v>
      </c>
      <c r="N517">
        <v>57</v>
      </c>
      <c r="O517">
        <v>11061261.26126126</v>
      </c>
      <c r="P517">
        <v>12600000</v>
      </c>
      <c r="Q517">
        <v>18</v>
      </c>
      <c r="R517">
        <v>2</v>
      </c>
      <c r="S517">
        <v>17431531.531531531</v>
      </c>
      <c r="T517">
        <v>20219283.783783782</v>
      </c>
      <c r="U517">
        <v>7068828.8288288303</v>
      </c>
      <c r="V517">
        <v>7777387.3873873875</v>
      </c>
      <c r="W517">
        <v>1645</v>
      </c>
      <c r="X517">
        <v>1489</v>
      </c>
    </row>
    <row r="518" spans="1:24">
      <c r="A518" s="7" t="s">
        <v>609</v>
      </c>
      <c r="B518" s="16" t="s">
        <v>189</v>
      </c>
      <c r="C518">
        <v>222691799.28466955</v>
      </c>
      <c r="D518">
        <v>213526320.36917689</v>
      </c>
      <c r="E518">
        <v>20720.720720721001</v>
      </c>
      <c r="F518">
        <v>445945.94594594702</v>
      </c>
      <c r="G518">
        <v>90</v>
      </c>
      <c r="H518">
        <v>70</v>
      </c>
      <c r="I518">
        <v>6</v>
      </c>
      <c r="J518">
        <v>6</v>
      </c>
      <c r="M518">
        <v>98</v>
      </c>
      <c r="N518">
        <v>74</v>
      </c>
      <c r="O518">
        <v>10862162.162162161</v>
      </c>
      <c r="P518">
        <v>12563063.063063065</v>
      </c>
      <c r="Q518">
        <v>37</v>
      </c>
      <c r="R518">
        <v>51</v>
      </c>
      <c r="S518">
        <v>31580990.990990993</v>
      </c>
      <c r="T518">
        <v>30666747.747747749</v>
      </c>
      <c r="U518">
        <v>8018198.1981981974</v>
      </c>
      <c r="V518">
        <v>7052522.5225225231</v>
      </c>
      <c r="W518">
        <v>4018</v>
      </c>
      <c r="X518">
        <v>3877</v>
      </c>
    </row>
    <row r="519" spans="1:24">
      <c r="A519" s="7" t="s">
        <v>610</v>
      </c>
      <c r="B519" s="16" t="s">
        <v>189</v>
      </c>
      <c r="C519">
        <v>98860964.531798527</v>
      </c>
      <c r="D519">
        <v>94034875.304305226</v>
      </c>
      <c r="E519">
        <v>408333.33333333401</v>
      </c>
      <c r="F519">
        <v>669144.14414414705</v>
      </c>
      <c r="G519">
        <v>26</v>
      </c>
      <c r="H519">
        <v>17</v>
      </c>
      <c r="I519">
        <v>3</v>
      </c>
      <c r="J519">
        <v>2</v>
      </c>
      <c r="M519">
        <v>27</v>
      </c>
      <c r="N519">
        <v>18</v>
      </c>
      <c r="O519">
        <v>5997297.297297297</v>
      </c>
      <c r="P519">
        <v>5513513.5135135138</v>
      </c>
      <c r="Q519">
        <v>36</v>
      </c>
      <c r="R519">
        <v>190</v>
      </c>
      <c r="S519">
        <v>12391396.396396397</v>
      </c>
      <c r="T519">
        <v>10847603.603603603</v>
      </c>
      <c r="U519">
        <v>4933963.9639639622</v>
      </c>
      <c r="V519">
        <v>4261801.8018018017</v>
      </c>
      <c r="W519">
        <v>1655</v>
      </c>
      <c r="X519">
        <v>1661</v>
      </c>
    </row>
    <row r="520" spans="1:24">
      <c r="A520" s="7" t="s">
        <v>611</v>
      </c>
      <c r="B520" s="16" t="s">
        <v>189</v>
      </c>
      <c r="C520">
        <v>29800256.109018467</v>
      </c>
      <c r="D520">
        <v>35496494.550173424</v>
      </c>
      <c r="E520">
        <v>10810.810810810999</v>
      </c>
      <c r="F520">
        <v>161711.71171171201</v>
      </c>
      <c r="G520">
        <v>23</v>
      </c>
      <c r="H520">
        <v>16</v>
      </c>
      <c r="I520">
        <v>1</v>
      </c>
      <c r="J520">
        <v>2</v>
      </c>
      <c r="M520">
        <v>24</v>
      </c>
      <c r="N520">
        <v>18</v>
      </c>
      <c r="O520">
        <v>2318018.018018018</v>
      </c>
      <c r="P520">
        <v>3995855.8558558561</v>
      </c>
      <c r="Q520">
        <v>9</v>
      </c>
      <c r="R520">
        <v>3</v>
      </c>
      <c r="S520">
        <v>4862657.6576576577</v>
      </c>
      <c r="T520">
        <v>6451243.2432432435</v>
      </c>
      <c r="U520">
        <v>1218918.9189189191</v>
      </c>
      <c r="V520">
        <v>3208918.9189189188</v>
      </c>
      <c r="W520">
        <v>927</v>
      </c>
      <c r="X520">
        <v>1056</v>
      </c>
    </row>
    <row r="521" spans="1:24">
      <c r="A521" s="7" t="s">
        <v>612</v>
      </c>
      <c r="B521" s="16" t="s">
        <v>143</v>
      </c>
      <c r="C521">
        <v>280841443.28955197</v>
      </c>
      <c r="D521">
        <v>263753776.42356995</v>
      </c>
      <c r="E521">
        <v>437886.48648648802</v>
      </c>
      <c r="F521">
        <v>38716900.9009009</v>
      </c>
      <c r="G521">
        <v>216</v>
      </c>
      <c r="H521">
        <v>269</v>
      </c>
      <c r="I521">
        <v>18</v>
      </c>
      <c r="J521">
        <v>12</v>
      </c>
      <c r="M521">
        <v>245</v>
      </c>
      <c r="N521">
        <v>502</v>
      </c>
      <c r="O521">
        <v>28035135.135135133</v>
      </c>
      <c r="P521">
        <v>27612612.612612613</v>
      </c>
      <c r="Q521">
        <v>108</v>
      </c>
      <c r="R521">
        <v>130</v>
      </c>
      <c r="S521">
        <v>33488953.153153151</v>
      </c>
      <c r="T521">
        <v>35487454.954954959</v>
      </c>
      <c r="U521">
        <v>24896576.576576576</v>
      </c>
      <c r="V521">
        <v>25756259.459459458</v>
      </c>
      <c r="W521">
        <v>6932</v>
      </c>
      <c r="X521">
        <v>6602</v>
      </c>
    </row>
    <row r="522" spans="1:24">
      <c r="A522" s="7" t="s">
        <v>613</v>
      </c>
      <c r="B522" s="16" t="s">
        <v>189</v>
      </c>
      <c r="C522">
        <v>326453583.25303638</v>
      </c>
      <c r="D522">
        <v>308682649.91074473</v>
      </c>
      <c r="E522">
        <v>411486.48648648802</v>
      </c>
      <c r="F522">
        <v>1663738.738738741</v>
      </c>
      <c r="G522">
        <v>116</v>
      </c>
      <c r="H522">
        <v>121</v>
      </c>
      <c r="I522">
        <v>12</v>
      </c>
      <c r="J522">
        <v>10</v>
      </c>
      <c r="K522">
        <v>1</v>
      </c>
      <c r="M522">
        <v>132</v>
      </c>
      <c r="N522">
        <v>161</v>
      </c>
      <c r="O522">
        <v>7487387.3873873884</v>
      </c>
      <c r="P522">
        <v>12315135.135135135</v>
      </c>
      <c r="Q522">
        <v>74</v>
      </c>
      <c r="R522">
        <v>466</v>
      </c>
      <c r="S522">
        <v>28866508.108108103</v>
      </c>
      <c r="T522">
        <v>30218394.59459459</v>
      </c>
      <c r="U522">
        <v>6470129.7297297278</v>
      </c>
      <c r="V522">
        <v>11795628.82882883</v>
      </c>
      <c r="W522">
        <v>7584</v>
      </c>
      <c r="X522">
        <v>7326</v>
      </c>
    </row>
    <row r="523" spans="1:24">
      <c r="A523" s="7" t="s">
        <v>614</v>
      </c>
      <c r="B523" s="16" t="s">
        <v>54</v>
      </c>
      <c r="C523">
        <v>230092215.36840239</v>
      </c>
      <c r="D523">
        <v>215416187.1899772</v>
      </c>
      <c r="E523">
        <v>3507207.207207209</v>
      </c>
      <c r="F523">
        <v>3757657.657657661</v>
      </c>
      <c r="G523">
        <v>59</v>
      </c>
      <c r="H523">
        <v>67</v>
      </c>
      <c r="I523">
        <v>10</v>
      </c>
      <c r="J523">
        <v>14</v>
      </c>
      <c r="M523">
        <v>70</v>
      </c>
      <c r="N523">
        <v>96</v>
      </c>
      <c r="O523">
        <v>36037387.387387387</v>
      </c>
      <c r="P523">
        <v>36762162.162162162</v>
      </c>
      <c r="Q523">
        <v>156</v>
      </c>
      <c r="R523">
        <v>105</v>
      </c>
      <c r="S523">
        <v>67248063.06306307</v>
      </c>
      <c r="T523">
        <v>68985459.459459454</v>
      </c>
      <c r="U523">
        <v>36907477.477477469</v>
      </c>
      <c r="V523">
        <v>33654414.414414413</v>
      </c>
      <c r="W523">
        <v>6613</v>
      </c>
      <c r="X523">
        <v>6805</v>
      </c>
    </row>
    <row r="524" spans="1:24">
      <c r="A524" s="7" t="s">
        <v>615</v>
      </c>
      <c r="B524" s="16" t="s">
        <v>54</v>
      </c>
      <c r="C524">
        <v>120004634.63479649</v>
      </c>
      <c r="D524">
        <v>117283935.85149044</v>
      </c>
      <c r="E524">
        <v>97072.072072073002</v>
      </c>
      <c r="F524">
        <v>681981.98198198294</v>
      </c>
      <c r="G524">
        <v>11</v>
      </c>
      <c r="H524">
        <v>13</v>
      </c>
      <c r="I524">
        <v>0</v>
      </c>
      <c r="J524">
        <v>3</v>
      </c>
      <c r="M524">
        <v>12</v>
      </c>
      <c r="N524">
        <v>18</v>
      </c>
      <c r="O524">
        <v>6265765.7657657657</v>
      </c>
      <c r="P524">
        <v>6179279.2792792786</v>
      </c>
      <c r="Q524">
        <v>48</v>
      </c>
      <c r="R524">
        <v>25</v>
      </c>
      <c r="S524">
        <v>18762513.513513513</v>
      </c>
      <c r="T524">
        <v>19908531.531531528</v>
      </c>
      <c r="U524">
        <v>6184414.4144144151</v>
      </c>
      <c r="V524">
        <v>4990000.0000000009</v>
      </c>
      <c r="W524">
        <v>2720</v>
      </c>
      <c r="X524">
        <v>2793</v>
      </c>
    </row>
    <row r="525" spans="1:24">
      <c r="A525" s="7" t="s">
        <v>616</v>
      </c>
      <c r="B525" s="16" t="s">
        <v>60</v>
      </c>
      <c r="C525">
        <v>183696484.00852996</v>
      </c>
      <c r="D525">
        <v>183304328.07240358</v>
      </c>
      <c r="E525">
        <v>681981.98198198399</v>
      </c>
      <c r="F525">
        <v>2636036.0360360369</v>
      </c>
      <c r="G525">
        <v>29</v>
      </c>
      <c r="H525">
        <v>85</v>
      </c>
      <c r="I525">
        <v>6</v>
      </c>
      <c r="J525">
        <v>22</v>
      </c>
      <c r="M525">
        <v>37</v>
      </c>
      <c r="N525">
        <v>124</v>
      </c>
      <c r="O525">
        <v>25639639.639639638</v>
      </c>
      <c r="P525">
        <v>26292342.342342343</v>
      </c>
      <c r="Q525">
        <v>121</v>
      </c>
      <c r="R525">
        <v>108</v>
      </c>
      <c r="S525">
        <v>55291531.531531535</v>
      </c>
      <c r="T525">
        <v>60434693.693693697</v>
      </c>
      <c r="U525">
        <v>24322612.612612613</v>
      </c>
      <c r="V525">
        <v>26325585.585585583</v>
      </c>
      <c r="W525">
        <v>4273</v>
      </c>
      <c r="X525">
        <v>4199</v>
      </c>
    </row>
    <row r="526" spans="1:24">
      <c r="A526" s="7" t="s">
        <v>617</v>
      </c>
      <c r="B526" s="16" t="s">
        <v>60</v>
      </c>
      <c r="C526">
        <v>201603054.51331881</v>
      </c>
      <c r="D526">
        <v>193521061.28516656</v>
      </c>
      <c r="E526">
        <v>722072.072072073</v>
      </c>
      <c r="F526">
        <v>1361261.261261262</v>
      </c>
      <c r="G526">
        <v>34</v>
      </c>
      <c r="H526">
        <v>52</v>
      </c>
      <c r="I526">
        <v>6</v>
      </c>
      <c r="J526">
        <v>8</v>
      </c>
      <c r="K526">
        <v>2</v>
      </c>
      <c r="M526">
        <v>38</v>
      </c>
      <c r="N526">
        <v>58</v>
      </c>
      <c r="O526">
        <v>22914414.41441441</v>
      </c>
      <c r="P526">
        <v>24887387.387387387</v>
      </c>
      <c r="Q526">
        <v>121</v>
      </c>
      <c r="R526">
        <v>112</v>
      </c>
      <c r="S526">
        <v>105122747.74774775</v>
      </c>
      <c r="T526">
        <v>103167238.73873873</v>
      </c>
      <c r="U526">
        <v>26049279.27927928</v>
      </c>
      <c r="V526">
        <v>23184774.774774775</v>
      </c>
      <c r="W526">
        <v>5321</v>
      </c>
      <c r="X526">
        <v>6382</v>
      </c>
    </row>
    <row r="527" spans="1:24">
      <c r="A527" s="7" t="s">
        <v>618</v>
      </c>
      <c r="B527" s="16" t="s">
        <v>60</v>
      </c>
      <c r="C527">
        <v>257758073.91090471</v>
      </c>
      <c r="D527">
        <v>246278113.90215316</v>
      </c>
      <c r="E527">
        <v>2456306.3063063058</v>
      </c>
      <c r="F527">
        <v>2839639.6396396458</v>
      </c>
      <c r="G527">
        <v>46</v>
      </c>
      <c r="H527">
        <v>42</v>
      </c>
      <c r="I527">
        <v>4</v>
      </c>
      <c r="J527">
        <v>8</v>
      </c>
      <c r="M527">
        <v>55</v>
      </c>
      <c r="N527">
        <v>54</v>
      </c>
      <c r="O527">
        <v>18221171.17117117</v>
      </c>
      <c r="P527">
        <v>34886486.486486495</v>
      </c>
      <c r="Q527">
        <v>132</v>
      </c>
      <c r="R527">
        <v>112</v>
      </c>
      <c r="S527">
        <v>82011117.117117122</v>
      </c>
      <c r="T527">
        <v>81855680.630630627</v>
      </c>
      <c r="U527">
        <v>18649099.0990991</v>
      </c>
      <c r="V527">
        <v>34133063.06306307</v>
      </c>
      <c r="W527">
        <v>5647</v>
      </c>
      <c r="X527">
        <v>5676</v>
      </c>
    </row>
    <row r="528" spans="1:24">
      <c r="A528" s="7" t="s">
        <v>619</v>
      </c>
      <c r="B528" s="16" t="s">
        <v>620</v>
      </c>
      <c r="C528">
        <v>295622475.15599489</v>
      </c>
      <c r="D528">
        <v>294952722.45671201</v>
      </c>
      <c r="E528">
        <v>2497252.2522522518</v>
      </c>
      <c r="F528">
        <v>5005180.1801801836</v>
      </c>
      <c r="G528">
        <v>114</v>
      </c>
      <c r="H528">
        <v>183</v>
      </c>
      <c r="I528">
        <v>10</v>
      </c>
      <c r="J528">
        <v>13</v>
      </c>
      <c r="K528">
        <v>2</v>
      </c>
      <c r="M528">
        <v>130</v>
      </c>
      <c r="N528">
        <v>383</v>
      </c>
      <c r="O528">
        <v>29217747.747747749</v>
      </c>
      <c r="P528">
        <v>16714864.864864865</v>
      </c>
      <c r="Q528">
        <v>372</v>
      </c>
      <c r="R528">
        <v>14</v>
      </c>
      <c r="S528">
        <v>36860144.144144148</v>
      </c>
      <c r="T528">
        <v>35572018.018018022</v>
      </c>
      <c r="U528">
        <v>30372882.882882889</v>
      </c>
      <c r="V528">
        <v>21216576.576576576</v>
      </c>
      <c r="W528">
        <v>7452</v>
      </c>
      <c r="X528">
        <v>7646</v>
      </c>
    </row>
    <row r="529" spans="1:24">
      <c r="A529" s="7" t="s">
        <v>621</v>
      </c>
      <c r="B529" s="16" t="s">
        <v>620</v>
      </c>
      <c r="C529">
        <v>233094668.69696254</v>
      </c>
      <c r="D529">
        <v>215191735.08856666</v>
      </c>
      <c r="E529">
        <v>968918.91891891998</v>
      </c>
      <c r="F529">
        <v>4203603.6036036052</v>
      </c>
      <c r="G529">
        <v>111</v>
      </c>
      <c r="H529">
        <v>77</v>
      </c>
      <c r="I529">
        <v>7</v>
      </c>
      <c r="J529">
        <v>12</v>
      </c>
      <c r="K529">
        <v>2</v>
      </c>
      <c r="M529">
        <v>134</v>
      </c>
      <c r="N529">
        <v>98</v>
      </c>
      <c r="O529">
        <v>17521621.621621624</v>
      </c>
      <c r="P529">
        <v>19609009.009009007</v>
      </c>
      <c r="Q529">
        <v>61</v>
      </c>
      <c r="R529">
        <v>7</v>
      </c>
      <c r="S529">
        <v>34311719.819819823</v>
      </c>
      <c r="T529">
        <v>34616394.59459459</v>
      </c>
      <c r="U529">
        <v>18797117.117117114</v>
      </c>
      <c r="V529">
        <v>16317387.387387387</v>
      </c>
      <c r="W529">
        <v>6297</v>
      </c>
      <c r="X529">
        <v>5993</v>
      </c>
    </row>
    <row r="530" spans="1:24">
      <c r="A530" s="7" t="s">
        <v>622</v>
      </c>
      <c r="B530" s="16" t="s">
        <v>620</v>
      </c>
      <c r="C530">
        <v>247956879.49057841</v>
      </c>
      <c r="D530">
        <v>224414296.47601345</v>
      </c>
      <c r="E530">
        <v>88157632.432432428</v>
      </c>
      <c r="F530">
        <v>1351801.8018018049</v>
      </c>
      <c r="G530">
        <v>109</v>
      </c>
      <c r="H530">
        <v>85</v>
      </c>
      <c r="I530">
        <v>6</v>
      </c>
      <c r="J530">
        <v>4</v>
      </c>
      <c r="K530">
        <v>1</v>
      </c>
      <c r="M530">
        <v>128</v>
      </c>
      <c r="N530">
        <v>104</v>
      </c>
      <c r="O530">
        <v>26592792.792792793</v>
      </c>
      <c r="P530">
        <v>17165315.315315314</v>
      </c>
      <c r="Q530">
        <v>392</v>
      </c>
      <c r="R530">
        <v>7</v>
      </c>
      <c r="S530">
        <v>32418090.090090092</v>
      </c>
      <c r="T530">
        <v>34704489.189189196</v>
      </c>
      <c r="U530">
        <v>24468284.684684683</v>
      </c>
      <c r="V530">
        <v>13499729.729729732</v>
      </c>
      <c r="W530">
        <v>6122</v>
      </c>
      <c r="X530">
        <v>5572</v>
      </c>
    </row>
    <row r="531" spans="1:24">
      <c r="A531" s="7" t="s">
        <v>623</v>
      </c>
      <c r="B531" s="16" t="s">
        <v>620</v>
      </c>
      <c r="C531">
        <v>175382662.57056767</v>
      </c>
      <c r="D531">
        <v>165845345.67454839</v>
      </c>
      <c r="E531">
        <v>439193.69369369303</v>
      </c>
      <c r="F531">
        <v>56411121.621621624</v>
      </c>
      <c r="G531">
        <v>92</v>
      </c>
      <c r="H531">
        <v>37</v>
      </c>
      <c r="I531">
        <v>6</v>
      </c>
      <c r="J531">
        <v>5</v>
      </c>
      <c r="K531">
        <v>1</v>
      </c>
      <c r="M531">
        <v>104</v>
      </c>
      <c r="N531">
        <v>53</v>
      </c>
      <c r="O531">
        <v>18918328.828828827</v>
      </c>
      <c r="P531">
        <v>29560737.837837838</v>
      </c>
      <c r="Q531">
        <v>61</v>
      </c>
      <c r="R531">
        <v>9</v>
      </c>
      <c r="S531">
        <v>22197603.603603605</v>
      </c>
      <c r="T531">
        <v>21775211.711711712</v>
      </c>
      <c r="U531">
        <v>15350090.09009009</v>
      </c>
      <c r="V531">
        <v>13192882.882882882</v>
      </c>
      <c r="W531">
        <v>3657</v>
      </c>
      <c r="X531">
        <v>4186</v>
      </c>
    </row>
    <row r="532" spans="1:24">
      <c r="A532" s="7" t="s">
        <v>624</v>
      </c>
      <c r="B532" s="16" t="s">
        <v>260</v>
      </c>
      <c r="C532">
        <v>94088520.487999767</v>
      </c>
      <c r="D532">
        <v>88027621.454984277</v>
      </c>
      <c r="E532">
        <v>17586486.486486487</v>
      </c>
      <c r="F532">
        <v>67208108.108108118</v>
      </c>
      <c r="G532">
        <v>11</v>
      </c>
      <c r="H532">
        <v>15</v>
      </c>
      <c r="I532">
        <v>0</v>
      </c>
      <c r="J532">
        <v>2</v>
      </c>
      <c r="M532">
        <v>11</v>
      </c>
      <c r="N532">
        <v>15</v>
      </c>
      <c r="O532">
        <v>24405405.405405402</v>
      </c>
      <c r="P532">
        <v>6140090.0900900913</v>
      </c>
      <c r="S532">
        <v>32004036.036036037</v>
      </c>
      <c r="T532">
        <v>28083873.873873871</v>
      </c>
      <c r="U532">
        <v>13138108.108108109</v>
      </c>
      <c r="V532">
        <v>9566036.0360360369</v>
      </c>
      <c r="W532">
        <v>1992</v>
      </c>
      <c r="X532">
        <v>2106</v>
      </c>
    </row>
    <row r="533" spans="1:24">
      <c r="A533" s="7" t="s">
        <v>625</v>
      </c>
      <c r="B533" s="16" t="s">
        <v>52</v>
      </c>
      <c r="C533">
        <v>136587973.65980235</v>
      </c>
      <c r="D533">
        <v>134441550.66254357</v>
      </c>
      <c r="E533">
        <v>36966846.846846849</v>
      </c>
      <c r="F533">
        <v>159718018.01801801</v>
      </c>
      <c r="G533">
        <v>17</v>
      </c>
      <c r="H533">
        <v>43</v>
      </c>
      <c r="I533">
        <v>3</v>
      </c>
      <c r="J533">
        <v>4</v>
      </c>
      <c r="M533">
        <v>24</v>
      </c>
      <c r="N533">
        <v>109</v>
      </c>
      <c r="O533">
        <v>3108738.738738738</v>
      </c>
      <c r="P533">
        <v>3645045.0450450471</v>
      </c>
      <c r="Q533">
        <v>8</v>
      </c>
      <c r="R533">
        <v>26</v>
      </c>
      <c r="S533">
        <v>47999765.765765771</v>
      </c>
      <c r="T533">
        <v>49216567.567567565</v>
      </c>
      <c r="U533">
        <v>2508108.108108107</v>
      </c>
      <c r="V533">
        <v>2959099.0990990992</v>
      </c>
      <c r="W533">
        <v>4458</v>
      </c>
      <c r="X533">
        <v>4255</v>
      </c>
    </row>
    <row r="534" spans="1:24">
      <c r="A534" s="7" t="s">
        <v>626</v>
      </c>
      <c r="B534" s="16" t="s">
        <v>96</v>
      </c>
      <c r="C534">
        <v>348158234.72152543</v>
      </c>
      <c r="D534">
        <v>345353394.55522156</v>
      </c>
      <c r="E534">
        <v>19095855.855855856</v>
      </c>
      <c r="F534">
        <v>84759459.459459454</v>
      </c>
      <c r="G534">
        <v>191</v>
      </c>
      <c r="H534">
        <v>161</v>
      </c>
      <c r="I534">
        <v>9</v>
      </c>
      <c r="J534">
        <v>10</v>
      </c>
      <c r="K534">
        <v>1</v>
      </c>
      <c r="M534">
        <v>241</v>
      </c>
      <c r="N534">
        <v>195</v>
      </c>
      <c r="O534">
        <v>60296486.486486487</v>
      </c>
      <c r="P534">
        <v>84511711.711711705</v>
      </c>
      <c r="Q534">
        <v>139</v>
      </c>
      <c r="R534">
        <v>295</v>
      </c>
      <c r="S534">
        <v>108900135.13513513</v>
      </c>
      <c r="T534">
        <v>114253176.12612613</v>
      </c>
      <c r="U534">
        <v>55885045.045045048</v>
      </c>
      <c r="V534">
        <v>64119009.009009011</v>
      </c>
      <c r="W534">
        <v>10887</v>
      </c>
      <c r="X534">
        <v>10814</v>
      </c>
    </row>
    <row r="535" spans="1:24">
      <c r="A535" s="7" t="s">
        <v>627</v>
      </c>
      <c r="B535" s="16" t="s">
        <v>96</v>
      </c>
      <c r="C535">
        <v>620496085.8058337</v>
      </c>
      <c r="D535">
        <v>565924348.93625844</v>
      </c>
      <c r="E535">
        <v>2935225.225225227</v>
      </c>
      <c r="F535">
        <v>3362162.1621621619</v>
      </c>
      <c r="G535">
        <v>197</v>
      </c>
      <c r="H535">
        <v>137</v>
      </c>
      <c r="I535">
        <v>9</v>
      </c>
      <c r="J535">
        <v>7</v>
      </c>
      <c r="K535">
        <v>1</v>
      </c>
      <c r="M535">
        <v>253</v>
      </c>
      <c r="N535">
        <v>212</v>
      </c>
      <c r="O535">
        <v>102513693.6936937</v>
      </c>
      <c r="P535">
        <v>126509819.81981982</v>
      </c>
      <c r="Q535">
        <v>141</v>
      </c>
      <c r="R535">
        <v>118</v>
      </c>
      <c r="S535">
        <v>241973297.2972973</v>
      </c>
      <c r="T535">
        <v>230759686.93693691</v>
      </c>
      <c r="U535">
        <v>115439459.45945945</v>
      </c>
      <c r="V535">
        <v>128192882.88288288</v>
      </c>
      <c r="W535">
        <v>13767</v>
      </c>
      <c r="X535">
        <v>14203</v>
      </c>
    </row>
    <row r="536" spans="1:24">
      <c r="A536" s="7" t="s">
        <v>628</v>
      </c>
      <c r="B536" s="16" t="s">
        <v>448</v>
      </c>
      <c r="C536">
        <v>432341238.06556445</v>
      </c>
      <c r="D536">
        <v>412377651.15129179</v>
      </c>
      <c r="E536">
        <v>163711345.94594595</v>
      </c>
      <c r="F536">
        <v>163819901.8018018</v>
      </c>
      <c r="G536">
        <v>193</v>
      </c>
      <c r="H536">
        <v>153</v>
      </c>
      <c r="I536">
        <v>17</v>
      </c>
      <c r="J536">
        <v>16</v>
      </c>
      <c r="K536">
        <v>2</v>
      </c>
      <c r="M536">
        <v>218</v>
      </c>
      <c r="N536">
        <v>182</v>
      </c>
      <c r="O536">
        <v>124404414.41441442</v>
      </c>
      <c r="P536">
        <v>111855495.49549548</v>
      </c>
      <c r="Q536">
        <v>328</v>
      </c>
      <c r="R536">
        <v>1799</v>
      </c>
      <c r="S536">
        <v>124085603.6036036</v>
      </c>
      <c r="T536">
        <v>123578142.34234233</v>
      </c>
      <c r="U536">
        <v>97479099.0990991</v>
      </c>
      <c r="V536">
        <v>120393423.42342342</v>
      </c>
      <c r="W536">
        <v>10549</v>
      </c>
      <c r="X536">
        <v>11299</v>
      </c>
    </row>
    <row r="537" spans="1:24">
      <c r="A537" s="7" t="s">
        <v>629</v>
      </c>
      <c r="B537" s="16" t="s">
        <v>78</v>
      </c>
      <c r="C537">
        <v>19387346.157551467</v>
      </c>
      <c r="D537">
        <v>18300656.53430159</v>
      </c>
      <c r="E537">
        <v>185585.58558558501</v>
      </c>
      <c r="F537">
        <v>313513.51351351303</v>
      </c>
      <c r="G537">
        <v>2</v>
      </c>
      <c r="H537">
        <v>3</v>
      </c>
      <c r="K537">
        <v>1</v>
      </c>
      <c r="M537">
        <v>2</v>
      </c>
      <c r="N537">
        <v>3</v>
      </c>
      <c r="O537">
        <v>599999.99999999895</v>
      </c>
      <c r="P537">
        <v>944144.14414414403</v>
      </c>
      <c r="Q537">
        <v>12</v>
      </c>
      <c r="S537">
        <v>5193513.5135135138</v>
      </c>
      <c r="T537">
        <v>5074711.7117117122</v>
      </c>
      <c r="U537">
        <v>778108.10810810805</v>
      </c>
      <c r="V537">
        <v>1057297.297297297</v>
      </c>
      <c r="W537">
        <v>399</v>
      </c>
      <c r="X537">
        <v>363</v>
      </c>
    </row>
    <row r="538" spans="1:24">
      <c r="A538" s="7" t="s">
        <v>630</v>
      </c>
      <c r="B538" s="16" t="s">
        <v>241</v>
      </c>
      <c r="C538">
        <v>114165025.02745391</v>
      </c>
      <c r="D538">
        <v>108116719.64685626</v>
      </c>
      <c r="E538">
        <v>72252.252252253005</v>
      </c>
      <c r="F538">
        <v>362837.83783783898</v>
      </c>
      <c r="G538">
        <v>62</v>
      </c>
      <c r="H538">
        <v>42</v>
      </c>
      <c r="I538">
        <v>5</v>
      </c>
      <c r="J538">
        <v>3</v>
      </c>
      <c r="M538">
        <v>71</v>
      </c>
      <c r="N538">
        <v>48</v>
      </c>
      <c r="O538">
        <v>22146216.216216218</v>
      </c>
      <c r="P538">
        <v>11046666.66666667</v>
      </c>
      <c r="Q538">
        <v>130</v>
      </c>
      <c r="R538">
        <v>10</v>
      </c>
      <c r="S538">
        <v>26602252.252252251</v>
      </c>
      <c r="T538">
        <v>24646405.405405402</v>
      </c>
      <c r="U538">
        <v>23316576.576576576</v>
      </c>
      <c r="V538">
        <v>11047567.567567572</v>
      </c>
      <c r="W538">
        <v>3223</v>
      </c>
      <c r="X538">
        <v>2642</v>
      </c>
    </row>
    <row r="539" spans="1:24">
      <c r="A539" s="7" t="s">
        <v>631</v>
      </c>
      <c r="B539" s="16" t="s">
        <v>68</v>
      </c>
      <c r="C539">
        <v>504179563.60131156</v>
      </c>
      <c r="D539">
        <v>476067407.19745225</v>
      </c>
      <c r="E539">
        <v>19598198.198198199</v>
      </c>
      <c r="F539">
        <v>40649324.324324317</v>
      </c>
      <c r="G539">
        <v>217</v>
      </c>
      <c r="H539">
        <v>290</v>
      </c>
      <c r="I539">
        <v>18</v>
      </c>
      <c r="J539">
        <v>15</v>
      </c>
      <c r="M539">
        <v>232</v>
      </c>
      <c r="N539">
        <v>331</v>
      </c>
      <c r="O539">
        <v>53244324.324324325</v>
      </c>
      <c r="P539">
        <v>48260810.810810804</v>
      </c>
      <c r="Q539">
        <v>380</v>
      </c>
      <c r="R539">
        <v>222</v>
      </c>
      <c r="S539">
        <v>84075675.675675675</v>
      </c>
      <c r="T539">
        <v>81269836.93693693</v>
      </c>
      <c r="U539">
        <v>39296666.666666672</v>
      </c>
      <c r="V539">
        <v>38345495.495495498</v>
      </c>
      <c r="W539">
        <v>9112</v>
      </c>
      <c r="X539">
        <v>8800</v>
      </c>
    </row>
    <row r="540" spans="1:24">
      <c r="A540" s="7" t="s">
        <v>632</v>
      </c>
      <c r="B540" s="16" t="s">
        <v>70</v>
      </c>
      <c r="C540">
        <v>3506773.5298581412</v>
      </c>
      <c r="D540">
        <v>3467463.3973158849</v>
      </c>
      <c r="E540">
        <v>266216.21621621598</v>
      </c>
      <c r="F540">
        <v>40540.540540540998</v>
      </c>
      <c r="G540">
        <v>5</v>
      </c>
      <c r="H540">
        <v>2</v>
      </c>
      <c r="J540">
        <v>1</v>
      </c>
      <c r="M540">
        <v>5</v>
      </c>
      <c r="N540">
        <v>2</v>
      </c>
      <c r="O540">
        <v>279279.279279279</v>
      </c>
      <c r="P540">
        <v>40540.540540540998</v>
      </c>
      <c r="R540">
        <v>18</v>
      </c>
      <c r="S540">
        <v>2299954.9549549548</v>
      </c>
      <c r="T540">
        <v>1979549.5495495501</v>
      </c>
      <c r="U540">
        <v>99369.369369369</v>
      </c>
      <c r="V540">
        <v>164864.864864865</v>
      </c>
      <c r="W540">
        <v>187</v>
      </c>
      <c r="X540">
        <v>193</v>
      </c>
    </row>
    <row r="541" spans="1:24">
      <c r="A541" s="7" t="s">
        <v>633</v>
      </c>
      <c r="B541" s="16" t="s">
        <v>60</v>
      </c>
      <c r="C541">
        <v>36255689.599639207</v>
      </c>
      <c r="D541">
        <v>36135682.361812711</v>
      </c>
      <c r="E541">
        <v>136936.93693693701</v>
      </c>
      <c r="F541">
        <v>56756.756756757997</v>
      </c>
      <c r="G541">
        <v>5</v>
      </c>
      <c r="H541">
        <v>10</v>
      </c>
      <c r="I541">
        <v>0</v>
      </c>
      <c r="J541">
        <v>1</v>
      </c>
      <c r="M541">
        <v>5</v>
      </c>
      <c r="N541">
        <v>10</v>
      </c>
      <c r="O541">
        <v>1524324.3243243231</v>
      </c>
      <c r="P541">
        <v>1624324.324324325</v>
      </c>
      <c r="Q541">
        <v>28</v>
      </c>
      <c r="R541">
        <v>15</v>
      </c>
      <c r="S541">
        <v>13288378.378378378</v>
      </c>
      <c r="T541">
        <v>15656945.945945946</v>
      </c>
      <c r="U541">
        <v>1285585.5855855851</v>
      </c>
      <c r="V541">
        <v>202252.25225225199</v>
      </c>
      <c r="W541">
        <v>1021</v>
      </c>
      <c r="X541">
        <v>1047</v>
      </c>
    </row>
    <row r="542" spans="1:24">
      <c r="A542" s="7" t="s">
        <v>634</v>
      </c>
      <c r="B542" s="16" t="s">
        <v>80</v>
      </c>
      <c r="C542">
        <v>387295078.45208865</v>
      </c>
      <c r="D542">
        <v>373559646.05779815</v>
      </c>
      <c r="E542">
        <v>3736036.036036036</v>
      </c>
      <c r="F542">
        <v>3453603.603603607</v>
      </c>
      <c r="G542">
        <v>128</v>
      </c>
      <c r="H542">
        <v>53</v>
      </c>
      <c r="I542">
        <v>4</v>
      </c>
      <c r="J542">
        <v>4</v>
      </c>
      <c r="M542">
        <v>148</v>
      </c>
      <c r="N542">
        <v>59</v>
      </c>
      <c r="O542">
        <v>45235495.495495498</v>
      </c>
      <c r="P542">
        <v>45186936.936936937</v>
      </c>
      <c r="Q542">
        <v>14</v>
      </c>
      <c r="R542">
        <v>14</v>
      </c>
      <c r="S542">
        <v>69524720.720720723</v>
      </c>
      <c r="T542">
        <v>76117256.756756753</v>
      </c>
      <c r="U542">
        <v>47851891.891891897</v>
      </c>
      <c r="V542">
        <v>38163063.063063063</v>
      </c>
      <c r="W542">
        <v>6401</v>
      </c>
      <c r="X542">
        <v>6423</v>
      </c>
    </row>
    <row r="543" spans="1:24">
      <c r="A543" s="7" t="s">
        <v>635</v>
      </c>
      <c r="B543" s="16" t="s">
        <v>134</v>
      </c>
      <c r="C543">
        <v>64995555.374319792</v>
      </c>
      <c r="D543">
        <v>67562828.642328113</v>
      </c>
      <c r="E543">
        <v>4504.5045045050001</v>
      </c>
      <c r="F543">
        <v>532432.43243243196</v>
      </c>
      <c r="G543">
        <v>7</v>
      </c>
      <c r="H543">
        <v>14</v>
      </c>
      <c r="I543">
        <v>2</v>
      </c>
      <c r="J543">
        <v>1</v>
      </c>
      <c r="M543">
        <v>7</v>
      </c>
      <c r="N543">
        <v>14</v>
      </c>
      <c r="O543">
        <v>454954.95495495503</v>
      </c>
      <c r="P543">
        <v>6581981.9819819815</v>
      </c>
      <c r="S543">
        <v>3335315.315315316</v>
      </c>
      <c r="T543">
        <v>3476387.3873873879</v>
      </c>
      <c r="U543">
        <v>853603.60360360297</v>
      </c>
      <c r="V543">
        <v>6351531.5315315323</v>
      </c>
      <c r="W543">
        <v>1408</v>
      </c>
      <c r="X543">
        <v>1445</v>
      </c>
    </row>
    <row r="544" spans="1:24">
      <c r="A544" s="7" t="s">
        <v>636</v>
      </c>
      <c r="B544" s="16" t="s">
        <v>479</v>
      </c>
      <c r="C544">
        <v>221778999.78661093</v>
      </c>
      <c r="D544">
        <v>202618455.00792003</v>
      </c>
      <c r="E544">
        <v>102536700</v>
      </c>
      <c r="F544">
        <v>117173604.50450452</v>
      </c>
      <c r="G544">
        <v>49</v>
      </c>
      <c r="H544">
        <v>56</v>
      </c>
      <c r="I544">
        <v>4</v>
      </c>
      <c r="J544">
        <v>6</v>
      </c>
      <c r="M544">
        <v>52</v>
      </c>
      <c r="N544">
        <v>70</v>
      </c>
      <c r="O544">
        <v>44085870.270270273</v>
      </c>
      <c r="P544">
        <v>57879174.774774775</v>
      </c>
      <c r="Q544">
        <v>29</v>
      </c>
      <c r="R544">
        <v>23</v>
      </c>
      <c r="S544">
        <v>76004094.594594598</v>
      </c>
      <c r="T544">
        <v>71631513.513513505</v>
      </c>
      <c r="U544">
        <v>36784324.324324317</v>
      </c>
      <c r="V544">
        <v>50279459.459459461</v>
      </c>
      <c r="W544">
        <v>5785</v>
      </c>
      <c r="X544">
        <v>5704</v>
      </c>
    </row>
    <row r="545" spans="1:24">
      <c r="A545" s="7" t="s">
        <v>637</v>
      </c>
      <c r="B545" s="16" t="s">
        <v>143</v>
      </c>
      <c r="C545">
        <v>349271812.26119816</v>
      </c>
      <c r="D545">
        <v>345659704.20886075</v>
      </c>
      <c r="E545">
        <v>2409234.2342342371</v>
      </c>
      <c r="F545">
        <v>3262162.1621621642</v>
      </c>
      <c r="G545">
        <v>92</v>
      </c>
      <c r="H545">
        <v>82</v>
      </c>
      <c r="I545">
        <v>27</v>
      </c>
      <c r="J545">
        <v>16</v>
      </c>
      <c r="M545">
        <v>114</v>
      </c>
      <c r="N545">
        <v>113</v>
      </c>
      <c r="O545">
        <v>27224684.684684686</v>
      </c>
      <c r="P545">
        <v>25203153.153153151</v>
      </c>
      <c r="Q545">
        <v>247</v>
      </c>
      <c r="R545">
        <v>253</v>
      </c>
      <c r="S545">
        <v>36369774.774774775</v>
      </c>
      <c r="T545">
        <v>42455213.963963971</v>
      </c>
      <c r="U545">
        <v>21019189.189189192</v>
      </c>
      <c r="V545">
        <v>19372702.702702705</v>
      </c>
      <c r="W545">
        <v>9435</v>
      </c>
      <c r="X545">
        <v>9509</v>
      </c>
    </row>
    <row r="546" spans="1:24">
      <c r="A546" s="7" t="s">
        <v>638</v>
      </c>
      <c r="B546" s="16" t="s">
        <v>241</v>
      </c>
      <c r="C546">
        <v>398506916.19843149</v>
      </c>
      <c r="D546">
        <v>374476957.87671787</v>
      </c>
      <c r="E546">
        <v>1200900.9009009029</v>
      </c>
      <c r="F546">
        <v>1848648.6486486499</v>
      </c>
      <c r="G546">
        <v>212</v>
      </c>
      <c r="H546">
        <v>198</v>
      </c>
      <c r="I546">
        <v>16</v>
      </c>
      <c r="J546">
        <v>17</v>
      </c>
      <c r="M546">
        <v>232</v>
      </c>
      <c r="N546">
        <v>238</v>
      </c>
      <c r="O546">
        <v>30977207.20720721</v>
      </c>
      <c r="P546">
        <v>28176846.846846849</v>
      </c>
      <c r="Q546">
        <v>6</v>
      </c>
      <c r="R546">
        <v>165</v>
      </c>
      <c r="S546">
        <v>130311702.7027027</v>
      </c>
      <c r="T546">
        <v>120218790.990991</v>
      </c>
      <c r="U546">
        <v>31854234.234234236</v>
      </c>
      <c r="V546">
        <v>22997747.747747749</v>
      </c>
      <c r="W546">
        <v>12501</v>
      </c>
      <c r="X546">
        <v>12593</v>
      </c>
    </row>
    <row r="547" spans="1:24">
      <c r="A547" s="7" t="s">
        <v>639</v>
      </c>
      <c r="B547" s="16" t="s">
        <v>132</v>
      </c>
      <c r="C547">
        <v>165535498.15271652</v>
      </c>
      <c r="D547">
        <v>141035140.15206289</v>
      </c>
      <c r="E547">
        <v>53007925.225225225</v>
      </c>
      <c r="F547">
        <v>44440265.765765771</v>
      </c>
      <c r="G547">
        <v>81</v>
      </c>
      <c r="H547">
        <v>64</v>
      </c>
      <c r="I547">
        <v>2</v>
      </c>
      <c r="J547">
        <v>1</v>
      </c>
      <c r="M547">
        <v>93</v>
      </c>
      <c r="N547">
        <v>73</v>
      </c>
      <c r="O547">
        <v>11123423.423423424</v>
      </c>
      <c r="P547">
        <v>5672072.0720720729</v>
      </c>
      <c r="Q547">
        <v>1</v>
      </c>
      <c r="R547">
        <v>3</v>
      </c>
      <c r="S547">
        <v>58836810.810810804</v>
      </c>
      <c r="T547">
        <v>52223585.585585587</v>
      </c>
      <c r="U547">
        <v>6798288.2882882878</v>
      </c>
      <c r="V547">
        <v>3851441.441441441</v>
      </c>
      <c r="W547">
        <v>5483</v>
      </c>
      <c r="X547">
        <v>5360</v>
      </c>
    </row>
    <row r="548" spans="1:24">
      <c r="A548" s="7" t="s">
        <v>640</v>
      </c>
      <c r="B548" s="16" t="s">
        <v>134</v>
      </c>
      <c r="C548">
        <v>454194742.22641236</v>
      </c>
      <c r="D548">
        <v>434078545.39149761</v>
      </c>
      <c r="E548">
        <v>629729.72972973099</v>
      </c>
      <c r="F548">
        <v>1327027.0270270309</v>
      </c>
      <c r="G548">
        <v>94</v>
      </c>
      <c r="H548">
        <v>70</v>
      </c>
      <c r="I548">
        <v>13</v>
      </c>
      <c r="J548">
        <v>15</v>
      </c>
      <c r="M548">
        <v>99</v>
      </c>
      <c r="N548">
        <v>79</v>
      </c>
      <c r="O548">
        <v>31900180.180180181</v>
      </c>
      <c r="P548">
        <v>35774054.054054052</v>
      </c>
      <c r="Q548">
        <v>114</v>
      </c>
      <c r="R548">
        <v>25</v>
      </c>
      <c r="S548">
        <v>55028056.75675676</v>
      </c>
      <c r="T548">
        <v>57122636.036036029</v>
      </c>
      <c r="U548">
        <v>30734954.954954956</v>
      </c>
      <c r="V548">
        <v>27517520.720720723</v>
      </c>
      <c r="W548">
        <v>7578</v>
      </c>
      <c r="X548">
        <v>7493</v>
      </c>
    </row>
    <row r="549" spans="1:24">
      <c r="A549" s="7" t="s">
        <v>641</v>
      </c>
      <c r="B549" s="16" t="s">
        <v>80</v>
      </c>
      <c r="C549">
        <v>227680891.343476</v>
      </c>
      <c r="D549">
        <v>231041885.3369844</v>
      </c>
      <c r="E549">
        <v>576576.57657657703</v>
      </c>
      <c r="F549">
        <v>1101801.801801804</v>
      </c>
      <c r="G549">
        <v>44</v>
      </c>
      <c r="H549">
        <v>39</v>
      </c>
      <c r="I549">
        <v>5</v>
      </c>
      <c r="J549">
        <v>2</v>
      </c>
      <c r="K549">
        <v>2</v>
      </c>
      <c r="M549">
        <v>48</v>
      </c>
      <c r="N549">
        <v>55</v>
      </c>
      <c r="O549">
        <v>25591441.441441439</v>
      </c>
      <c r="P549">
        <v>22845945.945945948</v>
      </c>
      <c r="Q549">
        <v>34</v>
      </c>
      <c r="R549">
        <v>18</v>
      </c>
      <c r="S549">
        <v>77885935.135135129</v>
      </c>
      <c r="T549">
        <v>83559941.441441447</v>
      </c>
      <c r="U549">
        <v>23730450.45045045</v>
      </c>
      <c r="V549">
        <v>22081081.081081081</v>
      </c>
      <c r="W549">
        <v>5089</v>
      </c>
      <c r="X549">
        <v>4934</v>
      </c>
    </row>
    <row r="550" spans="1:24">
      <c r="A550" s="7" t="s">
        <v>642</v>
      </c>
      <c r="B550" s="16" t="s">
        <v>169</v>
      </c>
      <c r="C550">
        <v>436314038.53479171</v>
      </c>
      <c r="D550">
        <v>376566918.19226801</v>
      </c>
      <c r="E550">
        <v>1968018.018018018</v>
      </c>
      <c r="F550">
        <v>1462162.1621621619</v>
      </c>
      <c r="G550">
        <v>64</v>
      </c>
      <c r="H550">
        <v>36</v>
      </c>
      <c r="I550">
        <v>0</v>
      </c>
      <c r="J550">
        <v>0</v>
      </c>
      <c r="K550">
        <v>1</v>
      </c>
      <c r="M550">
        <v>66</v>
      </c>
      <c r="N550">
        <v>47</v>
      </c>
      <c r="O550">
        <v>29400450.450450446</v>
      </c>
      <c r="P550">
        <v>36277672.972972974</v>
      </c>
      <c r="R550">
        <v>4</v>
      </c>
      <c r="S550">
        <v>146161324.32432431</v>
      </c>
      <c r="T550">
        <v>135403981.98198199</v>
      </c>
      <c r="U550">
        <v>30454684.684684686</v>
      </c>
      <c r="V550">
        <v>30992522.522522524</v>
      </c>
      <c r="W550">
        <v>8568</v>
      </c>
      <c r="X550">
        <v>8890</v>
      </c>
    </row>
    <row r="551" spans="1:24">
      <c r="A551" s="7" t="s">
        <v>643</v>
      </c>
      <c r="B551" s="16" t="s">
        <v>58</v>
      </c>
      <c r="C551">
        <v>665463846.30983543</v>
      </c>
      <c r="D551">
        <v>647213256.21964061</v>
      </c>
      <c r="E551">
        <v>4371396.3963963967</v>
      </c>
      <c r="F551">
        <v>6441441.4414414419</v>
      </c>
      <c r="G551">
        <v>206</v>
      </c>
      <c r="H551">
        <v>178</v>
      </c>
      <c r="I551">
        <v>23</v>
      </c>
      <c r="J551">
        <v>31</v>
      </c>
      <c r="K551">
        <v>1</v>
      </c>
      <c r="M551">
        <v>224</v>
      </c>
      <c r="N551">
        <v>247</v>
      </c>
      <c r="O551">
        <v>63272972.972972967</v>
      </c>
      <c r="P551">
        <v>47075225.225225225</v>
      </c>
      <c r="Q551">
        <v>369</v>
      </c>
      <c r="R551">
        <v>67</v>
      </c>
      <c r="S551">
        <v>130532151.35135137</v>
      </c>
      <c r="T551">
        <v>134728509.009009</v>
      </c>
      <c r="U551">
        <v>57942702.702702701</v>
      </c>
      <c r="V551">
        <v>48158288.288288288</v>
      </c>
      <c r="W551">
        <v>17591</v>
      </c>
      <c r="X551">
        <v>17199</v>
      </c>
    </row>
    <row r="552" spans="1:24">
      <c r="A552" s="7" t="s">
        <v>644</v>
      </c>
      <c r="B552" s="16" t="s">
        <v>58</v>
      </c>
      <c r="C552">
        <v>832496772.93616009</v>
      </c>
      <c r="D552">
        <v>813083925.88489985</v>
      </c>
      <c r="E552">
        <v>331825387.38738739</v>
      </c>
      <c r="F552">
        <v>25077927.927927926</v>
      </c>
      <c r="G552">
        <v>270</v>
      </c>
      <c r="H552">
        <v>420</v>
      </c>
      <c r="I552">
        <v>34</v>
      </c>
      <c r="J552">
        <v>54</v>
      </c>
      <c r="K552">
        <v>2</v>
      </c>
      <c r="M552">
        <v>324</v>
      </c>
      <c r="N552">
        <v>548</v>
      </c>
      <c r="O552">
        <v>145133783.78378376</v>
      </c>
      <c r="P552">
        <v>129472072.07207206</v>
      </c>
      <c r="Q552">
        <v>1205</v>
      </c>
      <c r="R552">
        <v>175</v>
      </c>
      <c r="S552">
        <v>223383079.27927929</v>
      </c>
      <c r="T552">
        <v>233619238.73873875</v>
      </c>
      <c r="U552">
        <v>130306756.75675675</v>
      </c>
      <c r="V552">
        <v>126508018.01801802</v>
      </c>
      <c r="W552">
        <v>22507</v>
      </c>
      <c r="X552">
        <v>22695</v>
      </c>
    </row>
    <row r="553" spans="1:24">
      <c r="A553" s="7" t="s">
        <v>645</v>
      </c>
      <c r="B553" s="16" t="s">
        <v>307</v>
      </c>
      <c r="C553">
        <v>272852905.24040067</v>
      </c>
      <c r="D553">
        <v>268162054.13562381</v>
      </c>
      <c r="E553">
        <v>1830630.630630631</v>
      </c>
      <c r="F553">
        <v>1720720.7207207209</v>
      </c>
      <c r="G553">
        <v>40</v>
      </c>
      <c r="H553">
        <v>23</v>
      </c>
      <c r="I553">
        <v>1</v>
      </c>
      <c r="J553">
        <v>1</v>
      </c>
      <c r="M553">
        <v>42</v>
      </c>
      <c r="N553">
        <v>35</v>
      </c>
      <c r="O553">
        <v>5443333.333333333</v>
      </c>
      <c r="P553">
        <v>5408108.1081081079</v>
      </c>
      <c r="Q553">
        <v>38</v>
      </c>
      <c r="R553">
        <v>4</v>
      </c>
      <c r="S553">
        <v>43694504.504504502</v>
      </c>
      <c r="T553">
        <v>44787220.720720723</v>
      </c>
      <c r="U553">
        <v>5480450.4504504493</v>
      </c>
      <c r="V553">
        <v>5088558.558558559</v>
      </c>
      <c r="W553">
        <v>5351</v>
      </c>
      <c r="X553">
        <v>5158</v>
      </c>
    </row>
    <row r="554" spans="1:24">
      <c r="A554" s="7" t="s">
        <v>13</v>
      </c>
      <c r="B554" s="16" t="s">
        <v>158</v>
      </c>
      <c r="C554">
        <v>323736511.81321824</v>
      </c>
      <c r="D554">
        <v>302259120.12899786</v>
      </c>
      <c r="E554">
        <v>993693.69369369897</v>
      </c>
      <c r="F554">
        <v>2815315.315315322</v>
      </c>
      <c r="G554">
        <v>164</v>
      </c>
      <c r="H554">
        <v>64</v>
      </c>
      <c r="I554">
        <v>10</v>
      </c>
      <c r="J554">
        <v>11</v>
      </c>
      <c r="K554">
        <v>1</v>
      </c>
      <c r="M554">
        <v>350</v>
      </c>
      <c r="N554">
        <v>246</v>
      </c>
      <c r="O554">
        <v>50666666.666666664</v>
      </c>
      <c r="P554">
        <v>61073693.693693697</v>
      </c>
      <c r="Q554">
        <v>269</v>
      </c>
      <c r="R554">
        <v>226</v>
      </c>
      <c r="S554">
        <v>187075770.27027026</v>
      </c>
      <c r="T554">
        <v>175518261.26126125</v>
      </c>
      <c r="U554">
        <v>59139459.459459461</v>
      </c>
      <c r="V554">
        <v>60958241.441441439</v>
      </c>
      <c r="W554">
        <v>7397</v>
      </c>
      <c r="X554">
        <v>7134</v>
      </c>
    </row>
    <row r="555" spans="1:24">
      <c r="A555" s="7" t="s">
        <v>646</v>
      </c>
      <c r="B555" s="16" t="s">
        <v>121</v>
      </c>
      <c r="C555">
        <v>202662952.59531054</v>
      </c>
      <c r="D555">
        <v>207854378.39180601</v>
      </c>
      <c r="E555">
        <v>14639.63963964</v>
      </c>
      <c r="F555">
        <v>149549.54954954999</v>
      </c>
      <c r="G555">
        <v>52</v>
      </c>
      <c r="H555">
        <v>46</v>
      </c>
      <c r="I555">
        <v>1</v>
      </c>
      <c r="J555">
        <v>1</v>
      </c>
      <c r="M555">
        <v>54</v>
      </c>
      <c r="N555">
        <v>50</v>
      </c>
      <c r="O555">
        <v>438738.73873873899</v>
      </c>
      <c r="P555">
        <v>1144144.1441441439</v>
      </c>
      <c r="Q555">
        <v>27</v>
      </c>
      <c r="R555">
        <v>7</v>
      </c>
      <c r="S555">
        <v>16771135.135135137</v>
      </c>
      <c r="T555">
        <v>17874182.432432432</v>
      </c>
      <c r="U555">
        <v>649009.00900900899</v>
      </c>
      <c r="V555">
        <v>923783.78378378402</v>
      </c>
      <c r="W555">
        <v>3004</v>
      </c>
      <c r="X555">
        <v>2984</v>
      </c>
    </row>
    <row r="556" spans="1:24">
      <c r="A556" s="7" t="s">
        <v>647</v>
      </c>
      <c r="B556" s="16" t="s">
        <v>315</v>
      </c>
      <c r="C556">
        <v>78811538.666840032</v>
      </c>
      <c r="D556">
        <v>74025046.717864111</v>
      </c>
      <c r="E556">
        <v>463063.06306306302</v>
      </c>
      <c r="F556">
        <v>1272072.072072072</v>
      </c>
      <c r="G556">
        <v>19</v>
      </c>
      <c r="H556">
        <v>34</v>
      </c>
      <c r="I556">
        <v>6</v>
      </c>
      <c r="J556">
        <v>9</v>
      </c>
      <c r="M556">
        <v>20</v>
      </c>
      <c r="N556">
        <v>38</v>
      </c>
      <c r="O556">
        <v>6968918.9189189188</v>
      </c>
      <c r="P556">
        <v>11695495.495495494</v>
      </c>
      <c r="S556">
        <v>19771148.648648649</v>
      </c>
      <c r="T556">
        <v>19142351.351351351</v>
      </c>
      <c r="U556">
        <v>6635855.8558558552</v>
      </c>
      <c r="V556">
        <v>12893873.873873873</v>
      </c>
      <c r="W556">
        <v>1396</v>
      </c>
      <c r="X556">
        <v>1308</v>
      </c>
    </row>
    <row r="557" spans="1:24">
      <c r="A557" s="7" t="s">
        <v>648</v>
      </c>
      <c r="B557" s="16" t="s">
        <v>260</v>
      </c>
      <c r="C557">
        <v>201889914.60828087</v>
      </c>
      <c r="D557">
        <v>191710599.74716973</v>
      </c>
      <c r="E557">
        <v>206351.35135135101</v>
      </c>
      <c r="F557">
        <v>1188513.5135135129</v>
      </c>
      <c r="G557">
        <v>52</v>
      </c>
      <c r="H557">
        <v>55</v>
      </c>
      <c r="I557">
        <v>2</v>
      </c>
      <c r="J557">
        <v>1</v>
      </c>
      <c r="M557">
        <v>56</v>
      </c>
      <c r="N557">
        <v>74</v>
      </c>
      <c r="O557">
        <v>29635405.405405402</v>
      </c>
      <c r="P557">
        <v>39470270.270270273</v>
      </c>
      <c r="Q557">
        <v>4</v>
      </c>
      <c r="R557">
        <v>20</v>
      </c>
      <c r="S557">
        <v>62996486.486486487</v>
      </c>
      <c r="T557">
        <v>62054855.855855852</v>
      </c>
      <c r="U557">
        <v>27547747.747747745</v>
      </c>
      <c r="V557">
        <v>39107657.657657653</v>
      </c>
      <c r="W557">
        <v>4091</v>
      </c>
      <c r="X557">
        <v>4161</v>
      </c>
    </row>
    <row r="558" spans="1:24">
      <c r="A558" s="7" t="s">
        <v>649</v>
      </c>
      <c r="B558" s="16" t="s">
        <v>224</v>
      </c>
      <c r="C558">
        <v>210002432.90006164</v>
      </c>
      <c r="D558">
        <v>182742895.34348899</v>
      </c>
      <c r="E558">
        <v>84234.234234235002</v>
      </c>
      <c r="F558">
        <v>1430405.405405408</v>
      </c>
      <c r="G558">
        <v>43</v>
      </c>
      <c r="H558">
        <v>53</v>
      </c>
      <c r="I558">
        <v>6</v>
      </c>
      <c r="J558">
        <v>7</v>
      </c>
      <c r="M558">
        <v>52</v>
      </c>
      <c r="N558">
        <v>65</v>
      </c>
      <c r="O558">
        <v>12490000</v>
      </c>
      <c r="P558">
        <v>17130090.090090092</v>
      </c>
      <c r="Q558">
        <v>93</v>
      </c>
      <c r="R558">
        <v>317</v>
      </c>
      <c r="S558">
        <v>43614531.531531535</v>
      </c>
      <c r="T558">
        <v>43039675.675675675</v>
      </c>
      <c r="U558">
        <v>12723693.693693692</v>
      </c>
      <c r="V558">
        <v>16265945.945945948</v>
      </c>
      <c r="W558">
        <v>5586</v>
      </c>
      <c r="X558">
        <v>5426</v>
      </c>
    </row>
    <row r="559" spans="1:24">
      <c r="A559" s="7" t="s">
        <v>650</v>
      </c>
      <c r="B559" s="16" t="s">
        <v>224</v>
      </c>
      <c r="C559">
        <v>171235800.40602928</v>
      </c>
      <c r="D559">
        <v>148378142.8663778</v>
      </c>
      <c r="E559">
        <v>27927.927927928002</v>
      </c>
      <c r="F559">
        <v>63963.963963964998</v>
      </c>
      <c r="G559">
        <v>30</v>
      </c>
      <c r="H559">
        <v>29</v>
      </c>
      <c r="I559">
        <v>2</v>
      </c>
      <c r="J559">
        <v>0</v>
      </c>
      <c r="M559">
        <v>33</v>
      </c>
      <c r="N559">
        <v>36</v>
      </c>
      <c r="O559">
        <v>8491711.7117117103</v>
      </c>
      <c r="P559">
        <v>7134234.2342342334</v>
      </c>
      <c r="Q559">
        <v>48</v>
      </c>
      <c r="R559">
        <v>103</v>
      </c>
      <c r="S559">
        <v>22477207.207207207</v>
      </c>
      <c r="T559">
        <v>21505441.441441439</v>
      </c>
      <c r="U559">
        <v>5871711.7117117113</v>
      </c>
      <c r="V559">
        <v>6700900.9009008994</v>
      </c>
      <c r="W559">
        <v>3068</v>
      </c>
      <c r="X559">
        <v>3062</v>
      </c>
    </row>
    <row r="560" spans="1:24">
      <c r="A560" s="7" t="s">
        <v>651</v>
      </c>
      <c r="B560" s="16" t="s">
        <v>224</v>
      </c>
      <c r="C560">
        <v>656772758.26646614</v>
      </c>
      <c r="D560">
        <v>570033235.58815563</v>
      </c>
      <c r="E560">
        <v>165964184.68468469</v>
      </c>
      <c r="F560">
        <v>120876521.62162164</v>
      </c>
      <c r="G560">
        <v>224</v>
      </c>
      <c r="H560">
        <v>206</v>
      </c>
      <c r="I560">
        <v>40</v>
      </c>
      <c r="J560">
        <v>30</v>
      </c>
      <c r="K560">
        <v>4</v>
      </c>
      <c r="M560">
        <v>285</v>
      </c>
      <c r="N560">
        <v>320</v>
      </c>
      <c r="O560">
        <v>95108918.918918908</v>
      </c>
      <c r="P560">
        <v>113619099.0990991</v>
      </c>
      <c r="Q560">
        <v>497</v>
      </c>
      <c r="R560">
        <v>714</v>
      </c>
      <c r="S560">
        <v>146848619.81981981</v>
      </c>
      <c r="T560">
        <v>143316833.33333331</v>
      </c>
      <c r="U560">
        <v>83137250.45045045</v>
      </c>
      <c r="V560">
        <v>97059549.54954955</v>
      </c>
      <c r="W560">
        <v>18089</v>
      </c>
      <c r="X560">
        <v>18588</v>
      </c>
    </row>
    <row r="561" spans="1:24">
      <c r="A561" s="7" t="s">
        <v>652</v>
      </c>
      <c r="B561" s="16" t="s">
        <v>224</v>
      </c>
      <c r="C561">
        <v>76718672.56491898</v>
      </c>
      <c r="D561">
        <v>70189743.430453435</v>
      </c>
      <c r="E561">
        <v>148918693.6936937</v>
      </c>
      <c r="F561">
        <v>118280720.72072072</v>
      </c>
      <c r="G561">
        <v>24</v>
      </c>
      <c r="H561">
        <v>15</v>
      </c>
      <c r="I561">
        <v>2</v>
      </c>
      <c r="J561">
        <v>1</v>
      </c>
      <c r="M561">
        <v>26</v>
      </c>
      <c r="N561">
        <v>17</v>
      </c>
      <c r="O561">
        <v>7519414.4144144151</v>
      </c>
      <c r="P561">
        <v>4434909.9099099087</v>
      </c>
      <c r="Q561">
        <v>8</v>
      </c>
      <c r="S561">
        <v>11109549.54954955</v>
      </c>
      <c r="T561">
        <v>11618324.324324325</v>
      </c>
      <c r="U561">
        <v>1355585.585585586</v>
      </c>
      <c r="V561">
        <v>1290540.5405405399</v>
      </c>
      <c r="W561">
        <v>1850</v>
      </c>
      <c r="X561">
        <v>1695</v>
      </c>
    </row>
    <row r="562" spans="1:24">
      <c r="A562" s="7" t="s">
        <v>653</v>
      </c>
      <c r="B562" s="16" t="s">
        <v>96</v>
      </c>
      <c r="C562">
        <v>394628012.37616652</v>
      </c>
      <c r="D562">
        <v>363957189.33431762</v>
      </c>
      <c r="E562">
        <v>163063.063063065</v>
      </c>
      <c r="F562">
        <v>773873.87387387699</v>
      </c>
      <c r="G562">
        <v>88</v>
      </c>
      <c r="H562">
        <v>196</v>
      </c>
      <c r="I562">
        <v>1</v>
      </c>
      <c r="J562">
        <v>1</v>
      </c>
      <c r="M562">
        <v>103</v>
      </c>
      <c r="N562">
        <v>215</v>
      </c>
      <c r="O562">
        <v>9219639.6396396402</v>
      </c>
      <c r="P562">
        <v>9481981.9819819834</v>
      </c>
      <c r="Q562">
        <v>51</v>
      </c>
      <c r="R562">
        <v>94</v>
      </c>
      <c r="S562">
        <v>48459945.945945941</v>
      </c>
      <c r="T562">
        <v>51068144.144144148</v>
      </c>
      <c r="U562">
        <v>10771801.801801803</v>
      </c>
      <c r="V562">
        <v>7254504.5045045046</v>
      </c>
      <c r="W562">
        <v>8704</v>
      </c>
      <c r="X562">
        <v>8827</v>
      </c>
    </row>
    <row r="563" spans="1:24">
      <c r="A563" s="7" t="s">
        <v>654</v>
      </c>
      <c r="B563" s="16" t="s">
        <v>66</v>
      </c>
      <c r="C563">
        <v>232564972.74976915</v>
      </c>
      <c r="D563">
        <v>224889882.37218258</v>
      </c>
      <c r="E563">
        <v>3219819.819819821</v>
      </c>
      <c r="F563">
        <v>7025225.225225227</v>
      </c>
      <c r="G563">
        <v>93</v>
      </c>
      <c r="H563">
        <v>84</v>
      </c>
      <c r="I563">
        <v>3</v>
      </c>
      <c r="J563">
        <v>4</v>
      </c>
      <c r="M563">
        <v>98</v>
      </c>
      <c r="N563">
        <v>102</v>
      </c>
      <c r="O563">
        <v>26586666.666666668</v>
      </c>
      <c r="P563">
        <v>129423243.24324325</v>
      </c>
      <c r="Q563">
        <v>100</v>
      </c>
      <c r="R563">
        <v>9</v>
      </c>
      <c r="S563">
        <v>147656756.75675678</v>
      </c>
      <c r="T563">
        <v>145816918.91891891</v>
      </c>
      <c r="U563">
        <v>26799369.369369369</v>
      </c>
      <c r="V563">
        <v>96139549.54954955</v>
      </c>
      <c r="W563">
        <v>5423</v>
      </c>
      <c r="X563">
        <v>4937</v>
      </c>
    </row>
    <row r="564" spans="1:24">
      <c r="A564" s="7" t="s">
        <v>655</v>
      </c>
      <c r="B564" s="16" t="s">
        <v>68</v>
      </c>
      <c r="C564">
        <v>400747167.46513557</v>
      </c>
      <c r="D564">
        <v>354770673.64829749</v>
      </c>
      <c r="E564">
        <v>785855.85585585702</v>
      </c>
      <c r="F564">
        <v>971171.17117117299</v>
      </c>
      <c r="G564">
        <v>115</v>
      </c>
      <c r="H564">
        <v>62</v>
      </c>
      <c r="I564">
        <v>8</v>
      </c>
      <c r="J564">
        <v>5</v>
      </c>
      <c r="K564">
        <v>4</v>
      </c>
      <c r="M564">
        <v>127</v>
      </c>
      <c r="N564">
        <v>65</v>
      </c>
      <c r="O564">
        <v>23927927.927927926</v>
      </c>
      <c r="P564">
        <v>15579279.27927928</v>
      </c>
      <c r="Q564">
        <v>61</v>
      </c>
      <c r="R564">
        <v>66</v>
      </c>
      <c r="S564">
        <v>49824608.108108111</v>
      </c>
      <c r="T564">
        <v>48537198.198198199</v>
      </c>
      <c r="U564">
        <v>17958918.918918915</v>
      </c>
      <c r="V564">
        <v>12502972.972972972</v>
      </c>
      <c r="W564">
        <v>7347</v>
      </c>
      <c r="X564">
        <v>7030</v>
      </c>
    </row>
    <row r="565" spans="1:24">
      <c r="A565" s="7" t="s">
        <v>14</v>
      </c>
      <c r="B565" s="16" t="s">
        <v>158</v>
      </c>
      <c r="C565">
        <v>166627158.17816061</v>
      </c>
      <c r="D565">
        <v>154458184.32135817</v>
      </c>
      <c r="E565">
        <v>94594.594594598006</v>
      </c>
      <c r="F565">
        <v>868468.46846847096</v>
      </c>
      <c r="G565">
        <v>15</v>
      </c>
      <c r="H565">
        <v>24</v>
      </c>
      <c r="I565">
        <v>8</v>
      </c>
      <c r="J565">
        <v>7</v>
      </c>
      <c r="M565">
        <v>18</v>
      </c>
      <c r="N565">
        <v>27</v>
      </c>
      <c r="O565">
        <v>13676396.396396397</v>
      </c>
      <c r="P565">
        <v>30081981.981981985</v>
      </c>
      <c r="Q565">
        <v>42</v>
      </c>
      <c r="R565">
        <v>43</v>
      </c>
      <c r="S565">
        <v>54731162.162162162</v>
      </c>
      <c r="T565">
        <v>51972927.927927926</v>
      </c>
      <c r="U565">
        <v>16851171.17117117</v>
      </c>
      <c r="V565">
        <v>33413423.423423424</v>
      </c>
      <c r="W565">
        <v>3906</v>
      </c>
      <c r="X565">
        <v>3973</v>
      </c>
    </row>
    <row r="566" spans="1:24">
      <c r="A566" s="7" t="s">
        <v>656</v>
      </c>
      <c r="B566" s="16" t="s">
        <v>304</v>
      </c>
      <c r="C566">
        <v>149560558.5806627</v>
      </c>
      <c r="D566">
        <v>168993927.96680507</v>
      </c>
      <c r="E566">
        <v>972972.97297297604</v>
      </c>
      <c r="F566">
        <v>675675.67567567294</v>
      </c>
      <c r="G566">
        <v>78</v>
      </c>
      <c r="H566">
        <v>157</v>
      </c>
      <c r="I566">
        <v>7</v>
      </c>
      <c r="J566">
        <v>16</v>
      </c>
      <c r="M566">
        <v>80</v>
      </c>
      <c r="N566">
        <v>280</v>
      </c>
      <c r="O566">
        <v>28234234.234234236</v>
      </c>
      <c r="P566">
        <v>28409009.009009007</v>
      </c>
      <c r="Q566">
        <v>37</v>
      </c>
      <c r="R566">
        <v>61</v>
      </c>
      <c r="S566">
        <v>47113342.342342347</v>
      </c>
      <c r="T566">
        <v>50021725.225225225</v>
      </c>
      <c r="U566">
        <v>28012972.972972974</v>
      </c>
      <c r="V566">
        <v>25870090.090090092</v>
      </c>
      <c r="W566">
        <v>3136</v>
      </c>
      <c r="X566">
        <v>3154</v>
      </c>
    </row>
    <row r="567" spans="1:24">
      <c r="A567" s="7" t="s">
        <v>657</v>
      </c>
      <c r="B567" s="16" t="s">
        <v>48</v>
      </c>
      <c r="C567">
        <v>240269195.25096035</v>
      </c>
      <c r="D567">
        <v>203326554.61832026</v>
      </c>
      <c r="E567">
        <v>621621.62162162096</v>
      </c>
      <c r="F567">
        <v>1128828.82882883</v>
      </c>
      <c r="G567">
        <v>43</v>
      </c>
      <c r="H567">
        <v>55</v>
      </c>
      <c r="I567">
        <v>6</v>
      </c>
      <c r="J567">
        <v>5</v>
      </c>
      <c r="M567">
        <v>48</v>
      </c>
      <c r="N567">
        <v>154</v>
      </c>
      <c r="O567">
        <v>25276666.666666664</v>
      </c>
      <c r="P567">
        <v>52279279.279279277</v>
      </c>
      <c r="S567">
        <v>72153324.324324325</v>
      </c>
      <c r="T567">
        <v>65321954.954954952</v>
      </c>
      <c r="U567">
        <v>24964504.504504506</v>
      </c>
      <c r="V567">
        <v>42112882.882882878</v>
      </c>
      <c r="W567">
        <v>3389</v>
      </c>
      <c r="X567">
        <v>3277</v>
      </c>
    </row>
    <row r="568" spans="1:24">
      <c r="A568" s="7" t="s">
        <v>658</v>
      </c>
      <c r="B568" s="16" t="s">
        <v>54</v>
      </c>
      <c r="C568">
        <v>66069268.921793774</v>
      </c>
      <c r="D568">
        <v>67845701.187715858</v>
      </c>
      <c r="E568">
        <v>195495.495495496</v>
      </c>
      <c r="F568">
        <v>543243.24324324296</v>
      </c>
      <c r="G568">
        <v>7</v>
      </c>
      <c r="H568">
        <v>1</v>
      </c>
      <c r="I568">
        <v>0</v>
      </c>
      <c r="J568">
        <v>1</v>
      </c>
      <c r="M568">
        <v>8</v>
      </c>
      <c r="N568">
        <v>2</v>
      </c>
      <c r="O568">
        <v>8729729.7297297306</v>
      </c>
      <c r="P568">
        <v>5875675.6756756762</v>
      </c>
      <c r="Q568">
        <v>24</v>
      </c>
      <c r="R568">
        <v>15</v>
      </c>
      <c r="S568">
        <v>14940720.72072072</v>
      </c>
      <c r="T568">
        <v>15864099.0990991</v>
      </c>
      <c r="U568">
        <v>7545315.3153153146</v>
      </c>
      <c r="V568">
        <v>5159729.7297297297</v>
      </c>
      <c r="W568">
        <v>1545</v>
      </c>
      <c r="X568">
        <v>1515</v>
      </c>
    </row>
    <row r="569" spans="1:24">
      <c r="A569" s="7" t="s">
        <v>659</v>
      </c>
      <c r="B569" s="16" t="s">
        <v>50</v>
      </c>
      <c r="C569">
        <v>298682276.61064094</v>
      </c>
      <c r="D569">
        <v>295679027.87742901</v>
      </c>
      <c r="E569">
        <v>290720.72072072199</v>
      </c>
      <c r="F569">
        <v>1463063.063063066</v>
      </c>
      <c r="G569">
        <v>59</v>
      </c>
      <c r="H569">
        <v>54</v>
      </c>
      <c r="I569">
        <v>13</v>
      </c>
      <c r="J569">
        <v>6</v>
      </c>
      <c r="M569">
        <v>62</v>
      </c>
      <c r="N569">
        <v>69</v>
      </c>
      <c r="O569">
        <v>64090090.090090089</v>
      </c>
      <c r="P569">
        <v>62237477.477477483</v>
      </c>
      <c r="Q569">
        <v>65</v>
      </c>
      <c r="R569">
        <v>27</v>
      </c>
      <c r="S569">
        <v>148642315.31531534</v>
      </c>
      <c r="T569">
        <v>148322036.03603604</v>
      </c>
      <c r="U569">
        <v>64750990.990990989</v>
      </c>
      <c r="V569">
        <v>59128288.288288288</v>
      </c>
      <c r="W569">
        <v>6038</v>
      </c>
      <c r="X569">
        <v>5727</v>
      </c>
    </row>
    <row r="570" spans="1:24">
      <c r="A570" s="7" t="s">
        <v>660</v>
      </c>
      <c r="B570" s="16" t="s">
        <v>83</v>
      </c>
      <c r="C570">
        <v>346943461.80968755</v>
      </c>
      <c r="D570">
        <v>362000295.8999061</v>
      </c>
      <c r="E570">
        <v>1709549.5495495501</v>
      </c>
      <c r="F570">
        <v>2857449.5495495498</v>
      </c>
      <c r="G570">
        <v>95</v>
      </c>
      <c r="H570">
        <v>108</v>
      </c>
      <c r="I570">
        <v>9</v>
      </c>
      <c r="J570">
        <v>10</v>
      </c>
      <c r="K570">
        <v>2</v>
      </c>
      <c r="M570">
        <v>239</v>
      </c>
      <c r="N570">
        <v>125</v>
      </c>
      <c r="O570">
        <v>42979369.369369365</v>
      </c>
      <c r="P570">
        <v>58381893.693693697</v>
      </c>
      <c r="Q570">
        <v>308</v>
      </c>
      <c r="R570">
        <v>84</v>
      </c>
      <c r="S570">
        <v>87170594.594594598</v>
      </c>
      <c r="T570">
        <v>93412657.657657668</v>
      </c>
      <c r="U570">
        <v>37827297.297297299</v>
      </c>
      <c r="V570">
        <v>32425540.540540539</v>
      </c>
      <c r="W570">
        <v>8663</v>
      </c>
      <c r="X570">
        <v>8865</v>
      </c>
    </row>
    <row r="571" spans="1:24">
      <c r="A571" s="12" t="s">
        <v>665</v>
      </c>
      <c r="B571" s="13"/>
      <c r="C571" s="14">
        <v>154337420199.15317</v>
      </c>
      <c r="D571" s="14">
        <v>150497337326.26001</v>
      </c>
      <c r="E571" s="14">
        <v>29207527680.180183</v>
      </c>
      <c r="F571" s="14">
        <v>33619593709.009022</v>
      </c>
      <c r="G571" s="14">
        <v>49761</v>
      </c>
      <c r="H571" s="14">
        <v>51479</v>
      </c>
      <c r="I571" s="14">
        <v>4812</v>
      </c>
      <c r="J571" s="14">
        <v>5831</v>
      </c>
      <c r="K571" s="14">
        <v>484</v>
      </c>
      <c r="L571" s="14"/>
      <c r="M571" s="14">
        <v>62654</v>
      </c>
      <c r="N571" s="14">
        <v>75749</v>
      </c>
      <c r="O571" s="14">
        <v>29625864459.459465</v>
      </c>
      <c r="P571" s="14">
        <v>31904273680.180195</v>
      </c>
      <c r="Q571" s="14">
        <v>78268</v>
      </c>
      <c r="R571" s="14">
        <v>103541</v>
      </c>
      <c r="S571" s="14">
        <v>43347011147.747765</v>
      </c>
      <c r="T571" s="14">
        <v>45261375181.982018</v>
      </c>
      <c r="U571" s="14">
        <v>21253459895.495487</v>
      </c>
      <c r="V571" s="14">
        <v>22520184214.414421</v>
      </c>
      <c r="W571" s="14">
        <v>3717427</v>
      </c>
      <c r="X571" s="14">
        <v>3718890</v>
      </c>
    </row>
    <row r="572" spans="1:24">
      <c r="A572" s="7" t="s">
        <v>659</v>
      </c>
      <c r="B572" s="16" t="s">
        <v>50</v>
      </c>
      <c r="C572">
        <v>284392063.55788958</v>
      </c>
      <c r="D572">
        <v>281260860.3537274</v>
      </c>
      <c r="E572">
        <v>290720.72072072199</v>
      </c>
      <c r="F572">
        <v>1403603.603603607</v>
      </c>
      <c r="G572">
        <v>57</v>
      </c>
      <c r="H572">
        <v>44</v>
      </c>
      <c r="I572">
        <v>13</v>
      </c>
      <c r="J572">
        <v>6</v>
      </c>
      <c r="M572">
        <v>59</v>
      </c>
      <c r="N572">
        <v>60</v>
      </c>
      <c r="O572">
        <v>64090090.090090089</v>
      </c>
      <c r="P572">
        <v>59474594.59459459</v>
      </c>
      <c r="Q572">
        <v>65</v>
      </c>
      <c r="R572">
        <v>22</v>
      </c>
      <c r="S572">
        <v>142118081.08108109</v>
      </c>
      <c r="T572">
        <v>141720369.36936939</v>
      </c>
      <c r="U572">
        <v>63102792.79279279</v>
      </c>
      <c r="V572">
        <v>57845765.765765771</v>
      </c>
      <c r="W572">
        <v>6013</v>
      </c>
      <c r="X572">
        <v>5801</v>
      </c>
    </row>
    <row r="573" spans="1:24">
      <c r="A573" s="7" t="s">
        <v>660</v>
      </c>
      <c r="B573" s="16" t="s">
        <v>83</v>
      </c>
      <c r="C573">
        <v>330533456.24110842</v>
      </c>
      <c r="D573">
        <v>345656754.16725868</v>
      </c>
      <c r="E573">
        <v>1709549.5495495501</v>
      </c>
      <c r="F573">
        <v>2812404.5045045051</v>
      </c>
      <c r="G573">
        <v>92</v>
      </c>
      <c r="H573">
        <v>104</v>
      </c>
      <c r="I573">
        <v>9</v>
      </c>
      <c r="J573">
        <v>9</v>
      </c>
      <c r="K573">
        <v>2</v>
      </c>
      <c r="M573">
        <v>148</v>
      </c>
      <c r="N573">
        <v>121</v>
      </c>
      <c r="O573">
        <v>42979369.369369365</v>
      </c>
      <c r="P573">
        <v>55875136.936936945</v>
      </c>
      <c r="Q573">
        <v>357</v>
      </c>
      <c r="R573">
        <v>84</v>
      </c>
      <c r="S573">
        <v>80550594.594594598</v>
      </c>
      <c r="T573">
        <v>89124639.639639631</v>
      </c>
      <c r="U573">
        <v>36999369.369369365</v>
      </c>
      <c r="V573">
        <v>30226531.531531531</v>
      </c>
      <c r="W573">
        <v>8416</v>
      </c>
      <c r="X573">
        <v>8891</v>
      </c>
    </row>
    <row r="574" spans="1:24">
      <c r="A574" s="12" t="s">
        <v>665</v>
      </c>
      <c r="B574" s="13"/>
      <c r="C574" s="14">
        <v>146900821602.19818</v>
      </c>
      <c r="D574" s="14">
        <v>143404542610.62943</v>
      </c>
      <c r="E574" s="14">
        <v>29156909337.83783</v>
      </c>
      <c r="F574" s="14">
        <v>32248410047.747761</v>
      </c>
      <c r="G574" s="14">
        <v>46606</v>
      </c>
      <c r="H574" s="14">
        <v>47871</v>
      </c>
      <c r="I574" s="14">
        <v>4673</v>
      </c>
      <c r="J574" s="14">
        <v>5566</v>
      </c>
      <c r="K574" s="14">
        <v>460</v>
      </c>
      <c r="L574" s="14"/>
      <c r="M574" s="14">
        <v>59111</v>
      </c>
      <c r="N574" s="14">
        <v>70613</v>
      </c>
      <c r="O574" s="14">
        <v>29517218828.828819</v>
      </c>
      <c r="P574" s="14">
        <v>30316937255.855846</v>
      </c>
      <c r="Q574" s="14">
        <v>87864</v>
      </c>
      <c r="R574" s="14">
        <v>103017</v>
      </c>
      <c r="S574" s="14">
        <v>41304989990.99099</v>
      </c>
      <c r="T574" s="14">
        <v>43157511161.261246</v>
      </c>
      <c r="U574" s="14">
        <v>20709800486.486485</v>
      </c>
      <c r="V574" s="14">
        <v>21562095708.108131</v>
      </c>
      <c r="W574" s="14">
        <v>3712574</v>
      </c>
      <c r="X574" s="14">
        <v>3728336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2026-08-01T16:49:51Z</dcterms:created>
  <dcterms:modified xsi:type="dcterms:W3CDTF">2026-09-22T07:48:42Z</dcterms:modified>
</cp:coreProperties>
</file>