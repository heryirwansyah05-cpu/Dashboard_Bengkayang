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" i="1" l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X17" i="1"/>
  <c r="Y17" i="1"/>
  <c r="X18" i="1"/>
  <c r="Y18" i="1"/>
  <c r="X19" i="1"/>
  <c r="Y19" i="1"/>
  <c r="X20" i="1"/>
  <c r="Y20" i="1"/>
  <c r="X21" i="1"/>
  <c r="Y21" i="1"/>
  <c r="X22" i="1"/>
  <c r="Y22" i="1"/>
  <c r="Y6" i="1"/>
  <c r="X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U16" i="1"/>
  <c r="V16" i="1"/>
  <c r="U17" i="1"/>
  <c r="V17" i="1"/>
  <c r="U18" i="1"/>
  <c r="V18" i="1"/>
  <c r="U19" i="1"/>
  <c r="V19" i="1"/>
  <c r="U20" i="1"/>
  <c r="V20" i="1"/>
  <c r="U21" i="1"/>
  <c r="V21" i="1"/>
  <c r="U22" i="1"/>
  <c r="V22" i="1"/>
  <c r="V6" i="1"/>
  <c r="U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S6" i="1"/>
  <c r="R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P6" i="1"/>
  <c r="O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M6" i="1"/>
  <c r="L6" i="1"/>
  <c r="J6" i="1"/>
  <c r="I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F19" i="1"/>
  <c r="G19" i="1"/>
  <c r="F20" i="1"/>
  <c r="G20" i="1"/>
  <c r="F21" i="1"/>
  <c r="G21" i="1"/>
  <c r="F22" i="1"/>
  <c r="G22" i="1"/>
  <c r="G6" i="1"/>
  <c r="F6" i="1"/>
  <c r="D7" i="1"/>
  <c r="D8" i="1"/>
  <c r="E8" i="1" s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6" i="1"/>
  <c r="E19" i="1" l="1"/>
  <c r="E7" i="1"/>
  <c r="E18" i="1"/>
  <c r="E17" i="1"/>
  <c r="E16" i="1"/>
  <c r="E21" i="1"/>
  <c r="E9" i="1"/>
  <c r="E14" i="1"/>
  <c r="E20" i="1"/>
  <c r="E13" i="1"/>
  <c r="E12" i="1"/>
  <c r="E6" i="1"/>
  <c r="E11" i="1"/>
  <c r="E22" i="1"/>
  <c r="E10" i="1"/>
  <c r="E15" i="1"/>
  <c r="W13" i="1"/>
  <c r="W8" i="1"/>
  <c r="W7" i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Z16" i="1" l="1"/>
  <c r="Z20" i="1"/>
  <c r="Z22" i="1"/>
  <c r="Z10" i="1"/>
  <c r="Z18" i="1"/>
  <c r="Z15" i="1"/>
  <c r="Z9" i="1"/>
  <c r="T20" i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T15" i="1"/>
  <c r="T17" i="1"/>
  <c r="Z17" i="1" l="1"/>
  <c r="Z11" i="1"/>
  <c r="Z6" i="1"/>
  <c r="Z21" i="1"/>
  <c r="Z19" i="1"/>
  <c r="Z8" i="1"/>
  <c r="Z7" i="1"/>
  <c r="Z12" i="1"/>
  <c r="Z14" i="1"/>
  <c r="Z13" i="1"/>
  <c r="T14" i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</calcChain>
</file>

<file path=xl/sharedStrings.xml><?xml version="1.0" encoding="utf-8"?>
<sst xmlns="http://schemas.openxmlformats.org/spreadsheetml/2006/main" count="1251" uniqueCount="678">
  <si>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</si>
  <si>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</si>
  <si>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</si>
  <si>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</si>
  <si>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</si>
  <si>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</si>
  <si>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</si>
  <si>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</si>
  <si>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</si>
  <si>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</si>
  <si>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</si>
  <si>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</si>
  <si>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</si>
  <si>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</si>
  <si>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</si>
  <si>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</si>
  <si>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</si>
  <si>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</si>
  <si>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</si>
  <si>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</si>
  <si>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</si>
  <si>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</si>
  <si>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</si>
  <si>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</si>
  <si>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</si>
  <si>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</si>
  <si>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</si>
  <si>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</si>
  <si>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</si>
  <si>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</si>
  <si>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</si>
  <si>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</si>
  <si>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</si>
  <si>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</si>
  <si>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</si>
  <si>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</si>
  <si>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</si>
  <si>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</si>
  <si>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</si>
  <si>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</si>
  <si>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</si>
  <si>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</si>
  <si>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</si>
  <si>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</si>
  <si>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</si>
  <si>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</si>
  <si>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</si>
  <si>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</si>
  <si>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</si>
  <si>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</si>
  <si>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</si>
  <si>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</si>
  <si>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</si>
  <si>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</si>
  <si>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</si>
  <si>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</si>
  <si>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</si>
  <si>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</si>
  <si>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</si>
  <si>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</si>
  <si>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</si>
  <si>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</si>
  <si>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</si>
  <si>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</si>
  <si>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</si>
  <si>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</si>
  <si>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</si>
  <si>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</si>
  <si>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</si>
  <si>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</si>
  <si>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</si>
  <si>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</si>
  <si>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</si>
  <si>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</si>
  <si>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</si>
  <si>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</si>
  <si>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</si>
  <si>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</si>
  <si>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</si>
  <si>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</si>
  <si>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</si>
  <si>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</si>
  <si>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</si>
  <si>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</si>
  <si>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</si>
  <si>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</si>
  <si>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</si>
  <si>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</si>
  <si>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</si>
  <si>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</si>
  <si>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</si>
  <si>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</si>
  <si>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</si>
  <si>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</si>
  <si>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</si>
  <si>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</si>
  <si>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</si>
  <si>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</si>
  <si>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</si>
  <si>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</si>
  <si>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</si>
  <si>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</si>
  <si>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</si>
  <si>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</si>
  <si>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</si>
  <si>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</si>
  <si>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</si>
  <si>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</si>
  <si>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</si>
  <si>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</si>
  <si>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</si>
  <si>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</si>
  <si>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</si>
  <si>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</si>
  <si>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</si>
  <si>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</si>
  <si>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</si>
  <si>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</si>
  <si>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</si>
  <si>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</si>
  <si>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</si>
  <si>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</si>
  <si>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</si>
  <si>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</si>
  <si>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</si>
  <si>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</si>
  <si>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</si>
  <si>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</si>
  <si>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</si>
  <si>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</si>
  <si>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</si>
  <si>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</si>
  <si>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</si>
  <si>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</si>
  <si>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</si>
  <si>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</si>
  <si>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</si>
  <si>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</si>
  <si>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</si>
  <si>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</si>
  <si>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</si>
  <si>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</si>
  <si>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</si>
  <si>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</si>
  <si>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</si>
  <si>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</si>
  <si>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</si>
  <si>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</si>
  <si>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</si>
  <si>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</si>
  <si>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</si>
  <si>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</si>
  <si>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</si>
  <si>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</si>
  <si>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</si>
  <si>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</si>
  <si>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</si>
  <si>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</si>
  <si>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</si>
  <si>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</si>
  <si>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</si>
  <si>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</si>
  <si>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</si>
  <si>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</si>
  <si>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</si>
  <si>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</si>
  <si>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</si>
  <si>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</si>
  <si>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</si>
  <si>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</si>
  <si>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</si>
  <si>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</si>
  <si>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</si>
  <si>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</si>
  <si>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</si>
  <si>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</si>
  <si>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</si>
  <si>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</si>
  <si>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</si>
  <si>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</si>
  <si>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</si>
  <si>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</si>
  <si>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</si>
  <si>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</si>
  <si>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</si>
  <si>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</si>
  <si>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</si>
  <si>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</si>
  <si>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</si>
  <si>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</si>
  <si>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</si>
  <si>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</si>
  <si>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</si>
  <si>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</si>
  <si>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</si>
  <si>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</si>
  <si>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</si>
  <si>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</si>
  <si>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</si>
  <si>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</si>
  <si>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</si>
  <si>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</si>
  <si>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</si>
  <si>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</si>
  <si>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</si>
  <si>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</si>
  <si>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</si>
  <si>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</si>
  <si>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</si>
  <si>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</si>
  <si>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</si>
  <si>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</si>
  <si>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</si>
  <si>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</si>
  <si>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</si>
  <si>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</si>
  <si>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</si>
  <si>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</si>
  <si>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</si>
  <si>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</si>
  <si>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</si>
  <si>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</si>
  <si>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</si>
  <si>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</si>
  <si>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</si>
  <si>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</si>
  <si>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</si>
  <si>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</si>
  <si>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</si>
  <si>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</si>
  <si>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</si>
  <si>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</si>
  <si>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</si>
  <si>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</si>
  <si>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</si>
  <si>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</si>
  <si>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</si>
  <si>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</si>
  <si>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</si>
  <si>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</si>
  <si>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</si>
  <si>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</si>
  <si>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</si>
  <si>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</si>
  <si>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</si>
  <si>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</si>
  <si>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</si>
  <si>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</si>
  <si>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</si>
  <si>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</si>
  <si>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</si>
  <si>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</si>
  <si>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</si>
  <si>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</si>
  <si>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</si>
  <si>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</si>
  <si>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</si>
  <si>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</si>
  <si>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</si>
  <si>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</si>
  <si>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</si>
  <si>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</si>
  <si>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</si>
  <si>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</si>
  <si>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</si>
  <si>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</si>
  <si>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</si>
  <si>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</si>
  <si>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</si>
  <si>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</si>
  <si>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</si>
  <si>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</si>
  <si>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</si>
  <si>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</si>
  <si>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</si>
  <si>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</si>
  <si>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</si>
  <si>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</si>
  <si>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</si>
  <si>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</si>
  <si>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</si>
  <si>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</si>
  <si>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</si>
  <si>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</si>
  <si>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</si>
  <si>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</si>
  <si>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</si>
  <si>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</si>
  <si>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</si>
  <si>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</si>
  <si>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</si>
  <si>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</si>
  <si>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</si>
  <si>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</si>
  <si>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</si>
  <si>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</si>
  <si>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</si>
  <si>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</si>
  <si>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</si>
  <si>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</si>
  <si>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</si>
  <si>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</si>
  <si>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</si>
  <si>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</si>
  <si>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</si>
  <si>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</si>
  <si>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</si>
  <si>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</si>
  <si>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</si>
  <si>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</si>
  <si>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</si>
  <si>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</si>
  <si>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</si>
  <si>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</si>
  <si>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</si>
  <si>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</si>
  <si>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</si>
  <si>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</si>
  <si>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</si>
  <si>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</si>
  <si>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</si>
  <si>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</si>
  <si>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</si>
  <si>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</si>
  <si>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</si>
  <si>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</si>
  <si>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</si>
  <si>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</si>
  <si>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</si>
  <si>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</si>
  <si>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</si>
  <si>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</si>
  <si>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</si>
  <si>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</si>
  <si>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</si>
  <si>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</si>
  <si>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</si>
  <si>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</si>
  <si>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</si>
  <si>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</si>
  <si>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</si>
  <si>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</si>
  <si>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</si>
  <si>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</si>
  <si>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</si>
  <si>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</si>
  <si>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</si>
  <si>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</si>
  <si>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</si>
  <si>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</si>
  <si>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</si>
  <si>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</si>
  <si>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</si>
  <si>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</si>
  <si>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</si>
  <si>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</si>
  <si>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</si>
  <si>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</si>
  <si>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</si>
  <si>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</si>
  <si>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</si>
  <si>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</si>
  <si>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</si>
  <si>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</si>
  <si>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</si>
  <si>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</si>
  <si>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</si>
  <si>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</si>
  <si>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</si>
  <si>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</si>
  <si>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</si>
  <si>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</si>
  <si>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</si>
  <si>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</si>
  <si>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</si>
  <si>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</si>
  <si>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</si>
  <si>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</si>
  <si>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</si>
  <si>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</si>
  <si>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</si>
  <si>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</si>
  <si>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</si>
  <si>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</si>
  <si>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</si>
  <si>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</si>
  <si>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</si>
  <si>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</si>
  <si>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</si>
  <si>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</si>
  <si>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</si>
  <si>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</si>
  <si>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</si>
  <si>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</si>
  <si>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</si>
  <si>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</si>
  <si>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</si>
  <si>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</si>
  <si>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</si>
  <si>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</si>
  <si>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</si>
  <si>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</si>
  <si>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</si>
  <si>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</si>
  <si>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</si>
  <si>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</si>
  <si>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</si>
  <si>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</si>
  <si>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</si>
  <si>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</si>
  <si>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</si>
  <si>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</si>
  <si>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</si>
  <si>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</si>
  <si>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</si>
  <si>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</si>
  <si>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</si>
  <si>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</si>
  <si>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</si>
  <si>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</si>
  <si>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</si>
  <si>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</si>
  <si>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</si>
  <si>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</si>
  <si>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</si>
  <si>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</si>
  <si>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</si>
  <si>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</si>
  <si>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</si>
  <si>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</si>
  <si>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</si>
  <si>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</si>
  <si>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</si>
  <si>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</si>
  <si>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</si>
  <si>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</si>
  <si>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</si>
  <si>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</si>
  <si>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</si>
  <si>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</si>
  <si>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</si>
  <si>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</si>
  <si>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</si>
  <si>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</si>
  <si>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</si>
  <si>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</si>
  <si>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</si>
  <si>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</si>
  <si>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</si>
  <si>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</si>
  <si>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</si>
  <si>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</si>
  <si>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</si>
  <si>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</si>
  <si>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</si>
  <si>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</si>
  <si>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</si>
  <si>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</si>
  <si>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</si>
  <si>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</si>
  <si>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</si>
  <si>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</si>
  <si>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</si>
  <si>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</si>
  <si>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</si>
  <si>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</si>
  <si>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</si>
  <si>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</si>
  <si>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</si>
  <si>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</si>
  <si>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</si>
  <si>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</si>
  <si>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</si>
  <si>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</si>
  <si>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</si>
  <si>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</si>
  <si>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</si>
  <si>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</si>
  <si>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</si>
  <si>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</si>
  <si>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</si>
  <si>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</si>
  <si>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</si>
  <si>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</si>
  <si>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</si>
  <si>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</si>
  <si>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</si>
  <si>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</si>
  <si>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</si>
  <si>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</si>
  <si>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</si>
  <si>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</si>
  <si>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</si>
  <si>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</si>
  <si>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</si>
  <si>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</si>
  <si>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</si>
  <si>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</si>
  <si>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</si>
  <si>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</si>
  <si>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</si>
  <si>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</si>
  <si>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</si>
  <si>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</si>
  <si>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</si>
  <si>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</si>
  <si>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</si>
  <si>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</si>
  <si>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</si>
  <si>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</si>
  <si>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</si>
  <si>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</si>
  <si>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</si>
  <si>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</si>
  <si>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</si>
  <si>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</si>
  <si>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</si>
  <si>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</si>
  <si>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</si>
  <si>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</si>
  <si>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</si>
  <si>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</si>
  <si>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</si>
  <si>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</si>
  <si>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</si>
  <si>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</si>
  <si>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</si>
  <si>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</si>
  <si>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</si>
  <si>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</si>
  <si>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</si>
  <si>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</si>
  <si>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</si>
  <si>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</si>
  <si>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</si>
  <si>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</si>
  <si>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</si>
  <si>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</si>
  <si>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</si>
  <si>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</si>
  <si>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</si>
  <si>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</si>
  <si>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</si>
  <si>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</si>
  <si>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</si>
  <si>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</si>
  <si>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</si>
  <si>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</si>
  <si>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</si>
  <si>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</si>
  <si>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</si>
  <si>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</si>
  <si>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</si>
  <si>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</si>
  <si>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</si>
  <si>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</si>
  <si>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</si>
  <si>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</si>
  <si>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</si>
  <si>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</si>
  <si>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</si>
  <si>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</si>
  <si>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</si>
  <si>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</si>
  <si>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</si>
  <si>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</si>
  <si>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</si>
  <si>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</si>
  <si>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</si>
  <si>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</si>
  <si>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</si>
  <si>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</si>
  <si>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</si>
  <si>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</si>
  <si>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</si>
  <si>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</si>
  <si>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</si>
  <si>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</si>
  <si>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</si>
  <si>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</si>
  <si>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</si>
  <si>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</si>
  <si>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</si>
  <si>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</si>
  <si>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</si>
  <si>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</si>
  <si>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</si>
  <si>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</si>
  <si>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</si>
  <si>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</si>
  <si>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</si>
  <si>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</si>
  <si>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</si>
  <si>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</si>
  <si>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</si>
  <si>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</si>
  <si>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</si>
  <si>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</si>
  <si>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</si>
  <si>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</si>
  <si>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</si>
  <si>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</si>
  <si>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</si>
  <si>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</si>
  <si>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</si>
  <si>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</si>
  <si>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</si>
  <si>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</si>
  <si>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</si>
  <si>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</si>
  <si>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</si>
  <si>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</si>
  <si>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</si>
  <si>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</si>
  <si>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</si>
  <si>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</si>
  <si>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</si>
  <si>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</si>
  <si>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</si>
  <si>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</si>
  <si>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</si>
  <si>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</si>
  <si>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</si>
  <si>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</si>
  <si>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</si>
  <si>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</si>
  <si>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</si>
  <si>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</si>
  <si>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</si>
  <si>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</si>
  <si>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</si>
  <si>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</si>
  <si>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</si>
  <si>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</si>
  <si>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</si>
  <si>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</si>
  <si>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</si>
  <si>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</si>
  <si>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</si>
  <si>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</si>
  <si>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</si>
  <si>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</si>
  <si>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</si>
  <si>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</si>
  <si>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</si>
  <si>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</si>
  <si>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</si>
  <si>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</si>
  <si>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</si>
  <si>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</si>
  <si>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</si>
  <si>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</si>
  <si>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</si>
  <si>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</si>
  <si>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</si>
  <si>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</si>
  <si>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</si>
  <si>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</si>
  <si>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</si>
  <si>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</si>
  <si>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</si>
  <si>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</si>
  <si>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</si>
  <si>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</si>
  <si>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</si>
  <si>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Total</t>
  </si>
  <si>
    <t>MURUK RIAN|TANA TIDUNG</t>
  </si>
  <si>
    <t>SP SELL IN MTD</t>
  </si>
  <si>
    <t>SP SELL IN LMTD</t>
  </si>
  <si>
    <t>DD</t>
  </si>
  <si>
    <t>RETTAG_3GB</t>
  </si>
  <si>
    <t>SELLIN_3GB</t>
  </si>
  <si>
    <t>TANJUNG PALAS BARAT|BULUNGAN</t>
  </si>
  <si>
    <t>KAPUAS TENGAH|KAPUAS</t>
  </si>
  <si>
    <t>KELAY|BERAU</t>
  </si>
  <si>
    <t>PETAK MALAI|KATINGAN</t>
  </si>
  <si>
    <t>SIMPANG DUA|KETAPANG</t>
  </si>
  <si>
    <t>SUNGAI BABUAT|MURUNG RAYA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</si>
</sst>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b/>
      <sz val="11"/>
      <name val="Calibri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8" fillId="0" borderId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0" fontId="0" fillId="0" borderId="4" xfId="0" applyBorder="1" applyAlignment="1"/>
    <xf numFmtId="0" fontId="7" fillId="0" borderId="0" xfId="0" applyFont="1"/>
    <xf numFmtId="0" fontId="0" fillId="0" borderId="2" xfId="0" applyBorder="1"/>
    <xf numFmtId="0" fontId="0" fillId="0" borderId="4" xfId="0" applyBorder="1"/>
  </cellXfs>
  <cellStyles count="3">
    <cellStyle name="Normal" xfId="0" builtinId="0"/>
    <cellStyle name="Normal 2" xfId="2"/>
    <cellStyle name="Percent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Z22"/>
  <sheetViews>
    <sheetView zoomScale="44" workbookViewId="0">
      <pane xSplit="1" ySplit="5" topLeftCell="T18" activePane="bottomRight" state="frozen"/>
      <selection pane="topRight" activeCell="B1" sqref="B1"/>
      <selection pane="bottomLeft" activeCell="A6" sqref="A6"/>
      <selection pane="bottomRight" activeCell="Y6" sqref="X6:Y22"/>
    </sheetView>
  </sheetViews>
  <sheetFormatPr defaultColWidth="11.7265625" defaultRowHeight="64.5" customHeight="1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26" width="38" style="2" customWidth="1"/>
    <col min="27" max="16384" width="11.7265625" style="2"/>
  </cols>
  <sheetData>
    <row r="4" spans="1:26" ht="64.5" customHeight="1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6" ht="64.5" customHeight="1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662</v>
      </c>
      <c r="V5" s="3" t="s">
        <v>663</v>
      </c>
      <c r="W5" s="3" t="s">
        <v>33</v>
      </c>
      <c r="X5" s="3" t="s">
        <v>667</v>
      </c>
      <c r="Y5" s="3" t="s">
        <v>668</v>
      </c>
      <c r="Z5" s="3" t="s">
        <v>33</v>
      </c>
    </row>
    <row r="6" spans="1:26" ht="64.5" customHeight="1">
      <c r="A6" s="9" t="s">
        <v>1</v>
      </c>
      <c r="B6" s="1" t="s">
        <v>16</v>
      </c>
      <c r="C6" s="4">
        <f>IFERROR(VLOOKUP(A:A,MASTER!A:C,3,0),0)</f>
        <v>448261271.27394634</v>
      </c>
      <c r="D6" s="4">
        <f>IFERROR(VLOOKUP(A:A,MASTER!A:D,4,0),0)</f>
        <v>449445446.99306345</v>
      </c>
      <c r="E6" s="8">
        <f>IFERROR(C6/D6-1,0)</f>
        <v>-2.6347485040500995E-3</v>
      </c>
      <c r="F6" s="4">
        <f>IFERROR(VLOOKUP(A6,MASTER!A:E,5,0),0)</f>
        <v>568918.91891891998</v>
      </c>
      <c r="G6" s="4">
        <f>IFERROR(VLOOKUP(A6,MASTER!A:F,6,0),0)</f>
        <v>3342342.342342345</v>
      </c>
      <c r="H6" s="8">
        <f>IFERROR(F6/G6-1,0)</f>
        <v>-0.8297843665768192</v>
      </c>
      <c r="I6" s="4">
        <f>IFERROR(VLOOKUP(A6,MASTER!A:O,15,0),0)</f>
        <v>50851441.441441439</v>
      </c>
      <c r="J6" s="4">
        <f>IFERROR(VLOOKUP(A6,MASTER!A:P,16,0),0)</f>
        <v>52634864.864864863</v>
      </c>
      <c r="K6" s="8">
        <f>IFERROR(I6/J6-1,0)</f>
        <v>-3.3882929651328997E-2</v>
      </c>
      <c r="L6" s="4">
        <f>IFERROR(VLOOKUP(A6,MASTER!A:S,19,0),0)</f>
        <v>216265628.82882884</v>
      </c>
      <c r="M6" s="4">
        <f>IFERROR(VLOOKUP(A6,MASTER!A:T,20,0),0)</f>
        <v>213993810.8108108</v>
      </c>
      <c r="N6" s="8">
        <f>IFERROR(L6/M6-1,0)</f>
        <v>1.0616279084942892E-2</v>
      </c>
      <c r="O6" s="4">
        <f>IFERROR(VLOOKUP(A6,MASTER!A:U,21,0),0)</f>
        <v>49170270.270270273</v>
      </c>
      <c r="P6" s="4">
        <f>IFERROR(VLOOKUP(A6,MASTER!A:V,22,0),0)</f>
        <v>49662432.432432435</v>
      </c>
      <c r="Q6" s="8">
        <f>IFERROR(O6/P6-1,0)</f>
        <v>-9.9101501488427779E-3</v>
      </c>
      <c r="R6" s="4">
        <f>IFERROR(VLOOKUP(A6,MASTER!A:W,23,0),0)</f>
        <v>8532</v>
      </c>
      <c r="S6" s="4">
        <f>IFERROR(VLOOKUP(A6,MASTER!A:X,24,0),0)</f>
        <v>8239</v>
      </c>
      <c r="T6" s="8">
        <f>IFERROR(R6/S6-1,0)</f>
        <v>3.5562568272848649E-2</v>
      </c>
      <c r="U6" s="11">
        <f>IFERROR(VLOOKUP(A6,MASTER!A:M,13,0),0)</f>
        <v>772</v>
      </c>
      <c r="V6" s="11">
        <f>IFERROR(VLOOKUP(A6,MASTER!A:N,14,0),0)</f>
        <v>522</v>
      </c>
      <c r="W6" s="8">
        <f>IFERROR(U6/V6-1,0)</f>
        <v>0.47892720306513414</v>
      </c>
      <c r="X6" s="11">
        <f>IFERROR(VLOOKUP(A6,MASTER!A:Q,17,0),0)</f>
        <v>220</v>
      </c>
      <c r="Y6" s="11">
        <f>IFERROR(VLOOKUP(A6,MASTER!A:R,18,0),0)</f>
        <v>211</v>
      </c>
      <c r="Z6" s="8">
        <f>IFERROR(X6/Y6-1,0)</f>
        <v>4.2654028436019065E-2</v>
      </c>
    </row>
    <row r="7" spans="1:26" ht="64.5" customHeight="1">
      <c r="A7" s="9" t="s">
        <v>2</v>
      </c>
      <c r="B7" s="1" t="s">
        <v>17</v>
      </c>
      <c r="C7" s="4">
        <f>IFERROR(VLOOKUP(A:A,MASTER!A:C,3,0),0)</f>
        <v>51904163.194953784</v>
      </c>
      <c r="D7" s="4">
        <f>IFERROR(VLOOKUP(A:A,MASTER!A:D,4,0),0)</f>
        <v>44744550.991692178</v>
      </c>
      <c r="E7" s="8">
        <f t="shared" ref="E7:E22" si="0">IFERROR(C7/D7-1,0)</f>
        <v>0.16001081795615613</v>
      </c>
      <c r="F7" s="4">
        <f>IFERROR(VLOOKUP(A7,MASTER!A:E,5,0),0)</f>
        <v>140820045.04504505</v>
      </c>
      <c r="G7" s="4">
        <f>IFERROR(VLOOKUP(A7,MASTER!A:F,6,0),0)</f>
        <v>91031531.531531543</v>
      </c>
      <c r="H7" s="8">
        <f t="shared" ref="H7:H22" si="1">IFERROR(F7/G7-1,0)</f>
        <v>0.54693700826364466</v>
      </c>
      <c r="I7" s="4">
        <f>IFERROR(VLOOKUP(A7,MASTER!A:O,15,0),0)</f>
        <v>3286036.036036036</v>
      </c>
      <c r="J7" s="4">
        <f>IFERROR(VLOOKUP(A7,MASTER!A:P,16,0),0)</f>
        <v>7268243.2432432435</v>
      </c>
      <c r="K7" s="8">
        <f t="shared" ref="K7:K22" si="2">IFERROR(I7/J7-1,0)</f>
        <v>-0.54789129559046823</v>
      </c>
      <c r="L7" s="4">
        <f>IFERROR(VLOOKUP(A7,MASTER!A:S,19,0),0)</f>
        <v>28162297.297297295</v>
      </c>
      <c r="M7" s="4">
        <f>IFERROR(VLOOKUP(A7,MASTER!A:T,20,0),0)</f>
        <v>25380693.693693697</v>
      </c>
      <c r="N7" s="8">
        <f t="shared" ref="N7:N22" si="3">IFERROR(L7/M7-1,0)</f>
        <v>0.10959525524295421</v>
      </c>
      <c r="O7" s="4">
        <f>IFERROR(VLOOKUP(A7,MASTER!A:U,21,0),0)</f>
        <v>330180.18018018099</v>
      </c>
      <c r="P7" s="4">
        <f>IFERROR(VLOOKUP(A7,MASTER!A:V,22,0),0)</f>
        <v>6763063.0630630637</v>
      </c>
      <c r="Q7" s="8">
        <f t="shared" ref="Q7:Q22" si="4">IFERROR(O7/P7-1,0)</f>
        <v>-0.95117889969361913</v>
      </c>
      <c r="R7" s="4">
        <f>IFERROR(VLOOKUP(A7,MASTER!A:W,23,0),0)</f>
        <v>1297</v>
      </c>
      <c r="S7" s="4">
        <f>IFERROR(VLOOKUP(A7,MASTER!A:X,24,0),0)</f>
        <v>1208</v>
      </c>
      <c r="T7" s="8">
        <f t="shared" ref="T7:T22" si="5">IFERROR(R7/S7-1,0)</f>
        <v>7.3675496688741626E-2</v>
      </c>
      <c r="U7" s="11">
        <f>IFERROR(VLOOKUP(A7,MASTER!A:M,13,0),0)</f>
        <v>14</v>
      </c>
      <c r="V7" s="11">
        <f>IFERROR(VLOOKUP(A7,MASTER!A:N,14,0),0)</f>
        <v>7</v>
      </c>
      <c r="W7" s="8">
        <f t="shared" ref="W7:W22" si="6">IFERROR(U7/V7-1,0)</f>
        <v>1</v>
      </c>
      <c r="X7" s="11">
        <f>IFERROR(VLOOKUP(A7,MASTER!A:Q,17,0),0)</f>
        <v>6</v>
      </c>
      <c r="Y7" s="11">
        <f>IFERROR(VLOOKUP(A7,MASTER!A:R,18,0),0)</f>
        <v>0</v>
      </c>
      <c r="Z7" s="8">
        <f t="shared" ref="Z7:Z22" si="7">IFERROR(X7/Y7-1,0)</f>
        <v>0</v>
      </c>
    </row>
    <row r="8" spans="1:26" ht="64.5" customHeight="1">
      <c r="A8" s="9" t="s">
        <v>3</v>
      </c>
      <c r="B8" s="1" t="s">
        <v>16</v>
      </c>
      <c r="C8" s="4">
        <f>IFERROR(VLOOKUP(A:A,MASTER!A:C,3,0),0)</f>
        <v>338388703.86247444</v>
      </c>
      <c r="D8" s="4">
        <f>IFERROR(VLOOKUP(A:A,MASTER!A:D,4,0),0)</f>
        <v>336195298.61222762</v>
      </c>
      <c r="E8" s="8">
        <f t="shared" si="0"/>
        <v>6.5241996521097079E-3</v>
      </c>
      <c r="F8" s="4">
        <f>IFERROR(VLOOKUP(A8,MASTER!A:E,5,0),0)</f>
        <v>6922297.2972972989</v>
      </c>
      <c r="G8" s="4">
        <f>IFERROR(VLOOKUP(A8,MASTER!A:F,6,0),0)</f>
        <v>381734909.9099099</v>
      </c>
      <c r="H8" s="8">
        <f t="shared" si="1"/>
        <v>-0.9818662188927626</v>
      </c>
      <c r="I8" s="4">
        <f>IFERROR(VLOOKUP(A8,MASTER!A:O,15,0),0)</f>
        <v>116311936.93693694</v>
      </c>
      <c r="J8" s="4">
        <f>IFERROR(VLOOKUP(A8,MASTER!A:P,16,0),0)</f>
        <v>95296846.846846849</v>
      </c>
      <c r="K8" s="8">
        <f t="shared" si="2"/>
        <v>0.22052240746080298</v>
      </c>
      <c r="L8" s="4">
        <f>IFERROR(VLOOKUP(A8,MASTER!A:S,19,0),0)</f>
        <v>90733468.468468457</v>
      </c>
      <c r="M8" s="4">
        <f>IFERROR(VLOOKUP(A8,MASTER!A:T,20,0),0)</f>
        <v>92726333.333333328</v>
      </c>
      <c r="N8" s="8">
        <f t="shared" si="3"/>
        <v>-2.1491897643584168E-2</v>
      </c>
      <c r="O8" s="4">
        <f>IFERROR(VLOOKUP(A8,MASTER!A:U,21,0),0)</f>
        <v>61183423.423423424</v>
      </c>
      <c r="P8" s="4">
        <f>IFERROR(VLOOKUP(A8,MASTER!A:V,22,0),0)</f>
        <v>64313153.153153151</v>
      </c>
      <c r="Q8" s="8">
        <f t="shared" si="4"/>
        <v>-4.8663913620852872E-2</v>
      </c>
      <c r="R8" s="4">
        <f>IFERROR(VLOOKUP(A8,MASTER!A:W,23,0),0)</f>
        <v>3722</v>
      </c>
      <c r="S8" s="4">
        <f>IFERROR(VLOOKUP(A8,MASTER!A:X,24,0),0)</f>
        <v>3760</v>
      </c>
      <c r="T8" s="8">
        <f t="shared" si="5"/>
        <v>-1.0106382978723349E-2</v>
      </c>
      <c r="U8" s="11">
        <f>IFERROR(VLOOKUP(A8,MASTER!A:M,13,0),0)</f>
        <v>57</v>
      </c>
      <c r="V8" s="11">
        <f>IFERROR(VLOOKUP(A8,MASTER!A:N,14,0),0)</f>
        <v>60</v>
      </c>
      <c r="W8" s="8">
        <f t="shared" si="6"/>
        <v>-5.0000000000000044E-2</v>
      </c>
      <c r="X8" s="11">
        <f>IFERROR(VLOOKUP(A8,MASTER!A:Q,17,0),0)</f>
        <v>102</v>
      </c>
      <c r="Y8" s="11">
        <f>IFERROR(VLOOKUP(A8,MASTER!A:R,18,0),0)</f>
        <v>79</v>
      </c>
      <c r="Z8" s="8">
        <f t="shared" si="7"/>
        <v>0.29113924050632911</v>
      </c>
    </row>
    <row r="9" spans="1:26" ht="64.5" customHeight="1">
      <c r="A9" s="9" t="s">
        <v>4</v>
      </c>
      <c r="B9" s="1" t="s">
        <v>16</v>
      </c>
      <c r="C9" s="4">
        <f>IFERROR(VLOOKUP(A:A,MASTER!A:C,3,0),0)</f>
        <v>196015430.68474746</v>
      </c>
      <c r="D9" s="4">
        <f>IFERROR(VLOOKUP(A:A,MASTER!A:D,4,0),0)</f>
        <v>199317366.47205752</v>
      </c>
      <c r="E9" s="8">
        <f t="shared" si="0"/>
        <v>-1.6566222230178673E-2</v>
      </c>
      <c r="F9" s="4">
        <f>IFERROR(VLOOKUP(A9,MASTER!A:E,5,0),0)</f>
        <v>1290990.990990991</v>
      </c>
      <c r="G9" s="4">
        <f>IFERROR(VLOOKUP(A9,MASTER!A:F,6,0),0)</f>
        <v>3160360.360360363</v>
      </c>
      <c r="H9" s="8">
        <f t="shared" si="1"/>
        <v>-0.59150513112884862</v>
      </c>
      <c r="I9" s="4">
        <f>IFERROR(VLOOKUP(A9,MASTER!A:O,15,0),0)</f>
        <v>32396846.846846849</v>
      </c>
      <c r="J9" s="4">
        <f>IFERROR(VLOOKUP(A9,MASTER!A:P,16,0),0)</f>
        <v>33006306.306306303</v>
      </c>
      <c r="K9" s="8">
        <f t="shared" si="2"/>
        <v>-1.8464939814941017E-2</v>
      </c>
      <c r="L9" s="4">
        <f>IFERROR(VLOOKUP(A9,MASTER!A:S,19,0),0)</f>
        <v>73541351.351351365</v>
      </c>
      <c r="M9" s="4">
        <f>IFERROR(VLOOKUP(A9,MASTER!A:T,20,0),0)</f>
        <v>71316468.468468457</v>
      </c>
      <c r="N9" s="8">
        <f t="shared" si="3"/>
        <v>3.1197322731517652E-2</v>
      </c>
      <c r="O9" s="4">
        <f>IFERROR(VLOOKUP(A9,MASTER!A:U,21,0),0)</f>
        <v>33060180.180180181</v>
      </c>
      <c r="P9" s="4">
        <f>IFERROR(VLOOKUP(A9,MASTER!A:V,22,0),0)</f>
        <v>41532702.702702701</v>
      </c>
      <c r="Q9" s="8">
        <f t="shared" si="4"/>
        <v>-0.20399641658695089</v>
      </c>
      <c r="R9" s="4">
        <f>IFERROR(VLOOKUP(A9,MASTER!A:W,23,0),0)</f>
        <v>3442</v>
      </c>
      <c r="S9" s="4">
        <f>IFERROR(VLOOKUP(A9,MASTER!A:X,24,0),0)</f>
        <v>3635</v>
      </c>
      <c r="T9" s="8">
        <f t="shared" si="5"/>
        <v>-5.3094910591471756E-2</v>
      </c>
      <c r="U9" s="11">
        <f>IFERROR(VLOOKUP(A9,MASTER!A:M,13,0),0)</f>
        <v>15</v>
      </c>
      <c r="V9" s="11">
        <f>IFERROR(VLOOKUP(A9,MASTER!A:N,14,0),0)</f>
        <v>21</v>
      </c>
      <c r="W9" s="8">
        <f t="shared" si="6"/>
        <v>-0.2857142857142857</v>
      </c>
      <c r="X9" s="11">
        <f>IFERROR(VLOOKUP(A9,MASTER!A:Q,17,0),0)</f>
        <v>125</v>
      </c>
      <c r="Y9" s="11">
        <f>IFERROR(VLOOKUP(A9,MASTER!A:R,18,0),0)</f>
        <v>102</v>
      </c>
      <c r="Z9" s="8">
        <f t="shared" si="7"/>
        <v>0.22549019607843146</v>
      </c>
    </row>
    <row r="10" spans="1:26" ht="64.5" customHeight="1">
      <c r="A10" s="9" t="s">
        <v>34</v>
      </c>
      <c r="B10" s="1" t="s">
        <v>17</v>
      </c>
      <c r="C10" s="4">
        <f>IFERROR(VLOOKUP(A:A,MASTER!A:C,3,0),0)</f>
        <v>0</v>
      </c>
      <c r="D10" s="4">
        <f>IFERROR(VLOOKUP(A:A,MASTER!A:D,4,0),0)</f>
        <v>0</v>
      </c>
      <c r="E10" s="8">
        <f t="shared" si="0"/>
        <v>0</v>
      </c>
      <c r="F10" s="4">
        <f>IFERROR(VLOOKUP(A10,MASTER!A:E,5,0),0)</f>
        <v>246829366.66666666</v>
      </c>
      <c r="G10" s="4">
        <f>IFERROR(VLOOKUP(A10,MASTER!A:F,6,0),0)</f>
        <v>311498470.27027029</v>
      </c>
      <c r="H10" s="8">
        <f t="shared" si="1"/>
        <v>-0.20760648855672958</v>
      </c>
      <c r="I10" s="4">
        <f>IFERROR(VLOOKUP(A10,MASTER!A:O,15,0),0)</f>
        <v>0</v>
      </c>
      <c r="J10" s="4">
        <f>IFERROR(VLOOKUP(A10,MASTER!A:P,16,0),0)</f>
        <v>0</v>
      </c>
      <c r="K10" s="8">
        <f t="shared" si="2"/>
        <v>0</v>
      </c>
      <c r="L10" s="4">
        <f>IFERROR(VLOOKUP(A10,MASTER!A:S,19,0),0)</f>
        <v>0</v>
      </c>
      <c r="M10" s="4">
        <f>IFERROR(VLOOKUP(A10,MASTER!A:T,20,0),0)</f>
        <v>0</v>
      </c>
      <c r="N10" s="8">
        <f t="shared" si="3"/>
        <v>0</v>
      </c>
      <c r="O10" s="4">
        <f>IFERROR(VLOOKUP(A10,MASTER!A:U,21,0),0)</f>
        <v>0</v>
      </c>
      <c r="P10" s="4">
        <f>IFERROR(VLOOKUP(A10,MASTER!A:V,22,0),0)</f>
        <v>0</v>
      </c>
      <c r="Q10" s="8">
        <f t="shared" si="4"/>
        <v>0</v>
      </c>
      <c r="R10" s="4">
        <f>IFERROR(VLOOKUP(A10,MASTER!A:W,23,0),0)</f>
        <v>0</v>
      </c>
      <c r="S10" s="4">
        <f>IFERROR(VLOOKUP(A10,MASTER!A:X,24,0),0)</f>
        <v>0</v>
      </c>
      <c r="T10" s="8">
        <f t="shared" si="5"/>
        <v>0</v>
      </c>
      <c r="U10" s="11">
        <f>IFERROR(VLOOKUP(A10,MASTER!A:M,13,0),0)</f>
        <v>0</v>
      </c>
      <c r="V10" s="11">
        <f>IFERROR(VLOOKUP(A10,MASTER!A:N,14,0),0)</f>
        <v>0</v>
      </c>
      <c r="W10" s="8">
        <f t="shared" si="6"/>
        <v>0</v>
      </c>
      <c r="X10" s="11">
        <f>IFERROR(VLOOKUP(A10,MASTER!A:Q,17,0),0)</f>
        <v>0</v>
      </c>
      <c r="Y10" s="11">
        <f>IFERROR(VLOOKUP(A10,MASTER!A:R,18,0),0)</f>
        <v>0</v>
      </c>
      <c r="Z10" s="8">
        <f t="shared" si="7"/>
        <v>0</v>
      </c>
    </row>
    <row r="11" spans="1:26" ht="64.5" customHeight="1">
      <c r="A11" s="9" t="s">
        <v>5</v>
      </c>
      <c r="B11" s="1" t="s">
        <v>16</v>
      </c>
      <c r="C11" s="4">
        <f>IFERROR(VLOOKUP(A:A,MASTER!A:C,3,0),0)</f>
        <v>210441664.16001472</v>
      </c>
      <c r="D11" s="4">
        <f>IFERROR(VLOOKUP(A:A,MASTER!A:D,4,0),0)</f>
        <v>210745502.06371209</v>
      </c>
      <c r="E11" s="8">
        <f t="shared" si="0"/>
        <v>-1.4417290083159617E-3</v>
      </c>
      <c r="F11" s="4">
        <f>IFERROR(VLOOKUP(A11,MASTER!A:E,5,0),0)</f>
        <v>2413963.963963964</v>
      </c>
      <c r="G11" s="4">
        <f>IFERROR(VLOOKUP(A11,MASTER!A:F,6,0),0)</f>
        <v>1079279.27927928</v>
      </c>
      <c r="H11" s="8">
        <f t="shared" si="1"/>
        <v>1.2366444073455747</v>
      </c>
      <c r="I11" s="4">
        <f>IFERROR(VLOOKUP(A11,MASTER!A:O,15,0),0)</f>
        <v>16429459.459459459</v>
      </c>
      <c r="J11" s="4">
        <f>IFERROR(VLOOKUP(A11,MASTER!A:P,16,0),0)</f>
        <v>14726126.126126124</v>
      </c>
      <c r="K11" s="8">
        <f t="shared" si="2"/>
        <v>0.1156674415759209</v>
      </c>
      <c r="L11" s="4">
        <f>IFERROR(VLOOKUP(A11,MASTER!A:S,19,0),0)</f>
        <v>91746126.126126125</v>
      </c>
      <c r="M11" s="4">
        <f>IFERROR(VLOOKUP(A11,MASTER!A:T,20,0),0)</f>
        <v>89618009.009009004</v>
      </c>
      <c r="N11" s="8">
        <f t="shared" si="3"/>
        <v>2.3746534213934467E-2</v>
      </c>
      <c r="O11" s="4">
        <f>IFERROR(VLOOKUP(A11,MASTER!A:U,21,0),0)</f>
        <v>15060180.180180181</v>
      </c>
      <c r="P11" s="4">
        <f>IFERROR(VLOOKUP(A11,MASTER!A:V,22,0),0)</f>
        <v>13857927.92792793</v>
      </c>
      <c r="Q11" s="8">
        <f t="shared" si="4"/>
        <v>8.6755556711284987E-2</v>
      </c>
      <c r="R11" s="4">
        <f>IFERROR(VLOOKUP(A11,MASTER!A:W,23,0),0)</f>
        <v>3171</v>
      </c>
      <c r="S11" s="4">
        <f>IFERROR(VLOOKUP(A11,MASTER!A:X,24,0),0)</f>
        <v>3070</v>
      </c>
      <c r="T11" s="8">
        <f t="shared" si="5"/>
        <v>3.2899022801302857E-2</v>
      </c>
      <c r="U11" s="11">
        <f>IFERROR(VLOOKUP(A11,MASTER!A:M,13,0),0)</f>
        <v>15</v>
      </c>
      <c r="V11" s="11">
        <f>IFERROR(VLOOKUP(A11,MASTER!A:N,14,0),0)</f>
        <v>38</v>
      </c>
      <c r="W11" s="8">
        <f t="shared" si="6"/>
        <v>-0.60526315789473684</v>
      </c>
      <c r="X11" s="11">
        <f>IFERROR(VLOOKUP(A11,MASTER!A:Q,17,0),0)</f>
        <v>91</v>
      </c>
      <c r="Y11" s="11">
        <f>IFERROR(VLOOKUP(A11,MASTER!A:R,18,0),0)</f>
        <v>27</v>
      </c>
      <c r="Z11" s="8">
        <f t="shared" si="7"/>
        <v>2.3703703703703702</v>
      </c>
    </row>
    <row r="12" spans="1:26" ht="64.5" customHeight="1">
      <c r="A12" s="9" t="s">
        <v>6</v>
      </c>
      <c r="B12" s="1" t="s">
        <v>17</v>
      </c>
      <c r="C12" s="4">
        <f>IFERROR(VLOOKUP(A:A,MASTER!A:C,3,0),0)</f>
        <v>778474356.70500135</v>
      </c>
      <c r="D12" s="4">
        <f>IFERROR(VLOOKUP(A:A,MASTER!A:D,4,0),0)</f>
        <v>771752992.19128346</v>
      </c>
      <c r="E12" s="8">
        <f t="shared" si="0"/>
        <v>8.7092173036265041E-3</v>
      </c>
      <c r="F12" s="4">
        <f>IFERROR(VLOOKUP(A12,MASTER!A:E,5,0),0)</f>
        <v>6758108.1081081014</v>
      </c>
      <c r="G12" s="4">
        <f>IFERROR(VLOOKUP(A12,MASTER!A:F,6,0),0)</f>
        <v>9190564.8648648728</v>
      </c>
      <c r="H12" s="8">
        <f t="shared" si="1"/>
        <v>-0.26466890691952427</v>
      </c>
      <c r="I12" s="4">
        <f>IFERROR(VLOOKUP(A12,MASTER!A:O,15,0),0)</f>
        <v>316051351.35135138</v>
      </c>
      <c r="J12" s="4">
        <f>IFERROR(VLOOKUP(A12,MASTER!A:P,16,0),0)</f>
        <v>348166787.38738739</v>
      </c>
      <c r="K12" s="8">
        <f t="shared" si="2"/>
        <v>-9.2241526760859061E-2</v>
      </c>
      <c r="L12" s="4">
        <f>IFERROR(VLOOKUP(A12,MASTER!A:S,19,0),0)</f>
        <v>524458963.96396399</v>
      </c>
      <c r="M12" s="4">
        <f>IFERROR(VLOOKUP(A12,MASTER!A:T,20,0),0)</f>
        <v>519583720.72072071</v>
      </c>
      <c r="N12" s="8">
        <f t="shared" si="3"/>
        <v>9.3829791981949739E-3</v>
      </c>
      <c r="O12" s="4">
        <f>IFERROR(VLOOKUP(A12,MASTER!A:U,21,0),0)</f>
        <v>280641351.35135138</v>
      </c>
      <c r="P12" s="4">
        <f>IFERROR(VLOOKUP(A12,MASTER!A:V,22,0),0)</f>
        <v>312396666.66666669</v>
      </c>
      <c r="Q12" s="8">
        <f t="shared" si="4"/>
        <v>-0.10165062148117876</v>
      </c>
      <c r="R12" s="4">
        <f>IFERROR(VLOOKUP(A12,MASTER!A:W,23,0),0)</f>
        <v>13097</v>
      </c>
      <c r="S12" s="4">
        <f>IFERROR(VLOOKUP(A12,MASTER!A:X,24,0),0)</f>
        <v>13277</v>
      </c>
      <c r="T12" s="8">
        <f t="shared" si="5"/>
        <v>-1.3557279505912456E-2</v>
      </c>
      <c r="U12" s="11">
        <f>IFERROR(VLOOKUP(A12,MASTER!A:M,13,0),0)</f>
        <v>1249</v>
      </c>
      <c r="V12" s="11">
        <f>IFERROR(VLOOKUP(A12,MASTER!A:N,14,0),0)</f>
        <v>908</v>
      </c>
      <c r="W12" s="8">
        <f t="shared" si="6"/>
        <v>0.37555066079295152</v>
      </c>
      <c r="X12" s="11">
        <f>IFERROR(VLOOKUP(A12,MASTER!A:Q,17,0),0)</f>
        <v>728</v>
      </c>
      <c r="Y12" s="11">
        <f>IFERROR(VLOOKUP(A12,MASTER!A:R,18,0),0)</f>
        <v>819</v>
      </c>
      <c r="Z12" s="8">
        <f t="shared" si="7"/>
        <v>-0.11111111111111116</v>
      </c>
    </row>
    <row r="13" spans="1:26" ht="64.5" customHeight="1">
      <c r="A13" s="9" t="s">
        <v>7</v>
      </c>
      <c r="B13" s="1" t="s">
        <v>17</v>
      </c>
      <c r="C13" s="4">
        <f>IFERROR(VLOOKUP(A:A,MASTER!A:C,3,0),0)</f>
        <v>172028573.84876531</v>
      </c>
      <c r="D13" s="4">
        <f>IFERROR(VLOOKUP(A:A,MASTER!A:D,4,0),0)</f>
        <v>180715722.53482857</v>
      </c>
      <c r="E13" s="8">
        <f t="shared" si="0"/>
        <v>-4.8070796299359175E-2</v>
      </c>
      <c r="F13" s="4">
        <f>IFERROR(VLOOKUP(A13,MASTER!A:E,5,0),0)</f>
        <v>43693.693693693</v>
      </c>
      <c r="G13" s="4">
        <f>IFERROR(VLOOKUP(A13,MASTER!A:F,6,0),0)</f>
        <v>448648.64864864998</v>
      </c>
      <c r="H13" s="8">
        <f t="shared" si="1"/>
        <v>-0.90261044176707017</v>
      </c>
      <c r="I13" s="4">
        <f>IFERROR(VLOOKUP(A13,MASTER!A:O,15,0),0)</f>
        <v>46491441.441441439</v>
      </c>
      <c r="J13" s="4">
        <f>IFERROR(VLOOKUP(A13,MASTER!A:P,16,0),0)</f>
        <v>38860810.810810804</v>
      </c>
      <c r="K13" s="8">
        <f t="shared" si="2"/>
        <v>0.19635798819997463</v>
      </c>
      <c r="L13" s="4">
        <f>IFERROR(VLOOKUP(A13,MASTER!A:S,19,0),0)</f>
        <v>118206423.42342342</v>
      </c>
      <c r="M13" s="4">
        <f>IFERROR(VLOOKUP(A13,MASTER!A:T,20,0),0)</f>
        <v>125630315.31531531</v>
      </c>
      <c r="N13" s="8">
        <f t="shared" si="3"/>
        <v>-5.909315656224301E-2</v>
      </c>
      <c r="O13" s="4">
        <f>IFERROR(VLOOKUP(A13,MASTER!A:U,21,0),0)</f>
        <v>45299819.819819823</v>
      </c>
      <c r="P13" s="4">
        <f>IFERROR(VLOOKUP(A13,MASTER!A:V,22,0),0)</f>
        <v>36434414.414414413</v>
      </c>
      <c r="Q13" s="8">
        <f t="shared" si="4"/>
        <v>0.24332504166440017</v>
      </c>
      <c r="R13" s="4">
        <f>IFERROR(VLOOKUP(A13,MASTER!A:W,23,0),0)</f>
        <v>4892</v>
      </c>
      <c r="S13" s="4">
        <f>IFERROR(VLOOKUP(A13,MASTER!A:X,24,0),0)</f>
        <v>4807</v>
      </c>
      <c r="T13" s="8">
        <f t="shared" si="5"/>
        <v>1.7682546286665213E-2</v>
      </c>
      <c r="U13" s="11">
        <f>IFERROR(VLOOKUP(A13,MASTER!A:M,13,0),0)</f>
        <v>54</v>
      </c>
      <c r="V13" s="11">
        <f>IFERROR(VLOOKUP(A13,MASTER!A:N,14,0),0)</f>
        <v>68</v>
      </c>
      <c r="W13" s="8">
        <f t="shared" si="6"/>
        <v>-0.20588235294117652</v>
      </c>
      <c r="X13" s="11">
        <f>IFERROR(VLOOKUP(A13,MASTER!A:Q,17,0),0)</f>
        <v>252</v>
      </c>
      <c r="Y13" s="11">
        <f>IFERROR(VLOOKUP(A13,MASTER!A:R,18,0),0)</f>
        <v>157</v>
      </c>
      <c r="Z13" s="8">
        <f t="shared" si="7"/>
        <v>0.60509554140127397</v>
      </c>
    </row>
    <row r="14" spans="1:26" ht="64.5" customHeight="1">
      <c r="A14" s="9" t="s">
        <v>8</v>
      </c>
      <c r="B14" s="1" t="s">
        <v>16</v>
      </c>
      <c r="C14" s="4">
        <f>IFERROR(VLOOKUP(A:A,MASTER!A:C,3,0),0)</f>
        <v>258954460.51900512</v>
      </c>
      <c r="D14" s="4">
        <f>IFERROR(VLOOKUP(A:A,MASTER!A:D,4,0),0)</f>
        <v>252717233.54490951</v>
      </c>
      <c r="E14" s="8">
        <f t="shared" si="0"/>
        <v>2.4680655476498004E-2</v>
      </c>
      <c r="F14" s="4">
        <f>IFERROR(VLOOKUP(A14,MASTER!A:E,5,0),0)</f>
        <v>2347747.747747751</v>
      </c>
      <c r="G14" s="4">
        <f>IFERROR(VLOOKUP(A14,MASTER!A:F,6,0),0)</f>
        <v>5693693.6936936947</v>
      </c>
      <c r="H14" s="8">
        <f t="shared" si="1"/>
        <v>-0.58765822784810084</v>
      </c>
      <c r="I14" s="4">
        <f>IFERROR(VLOOKUP(A14,MASTER!A:O,15,0),0)</f>
        <v>34618468.468468465</v>
      </c>
      <c r="J14" s="4">
        <f>IFERROR(VLOOKUP(A14,MASTER!A:P,16,0),0)</f>
        <v>43859459.459459454</v>
      </c>
      <c r="K14" s="8">
        <f t="shared" si="2"/>
        <v>-0.21069550571029494</v>
      </c>
      <c r="L14" s="4">
        <f>IFERROR(VLOOKUP(A14,MASTER!A:S,19,0),0)</f>
        <v>74865711.711711705</v>
      </c>
      <c r="M14" s="4">
        <f>IFERROR(VLOOKUP(A14,MASTER!A:T,20,0),0)</f>
        <v>74513666.666666672</v>
      </c>
      <c r="N14" s="8">
        <f t="shared" si="3"/>
        <v>4.724570146573015E-3</v>
      </c>
      <c r="O14" s="4">
        <f>IFERROR(VLOOKUP(A14,MASTER!A:U,21,0),0)</f>
        <v>33736216.216216214</v>
      </c>
      <c r="P14" s="4">
        <f>IFERROR(VLOOKUP(A14,MASTER!A:V,22,0),0)</f>
        <v>40280900.900900893</v>
      </c>
      <c r="Q14" s="8">
        <f t="shared" si="4"/>
        <v>-0.1624761248708394</v>
      </c>
      <c r="R14" s="4">
        <f>IFERROR(VLOOKUP(A14,MASTER!A:W,23,0),0)</f>
        <v>3906</v>
      </c>
      <c r="S14" s="4">
        <f>IFERROR(VLOOKUP(A14,MASTER!A:X,24,0),0)</f>
        <v>3851</v>
      </c>
      <c r="T14" s="8">
        <f t="shared" si="5"/>
        <v>1.428200467411056E-2</v>
      </c>
      <c r="U14" s="11">
        <f>IFERROR(VLOOKUP(A14,MASTER!A:M,13,0),0)</f>
        <v>28</v>
      </c>
      <c r="V14" s="11">
        <f>IFERROR(VLOOKUP(A14,MASTER!A:N,14,0),0)</f>
        <v>28</v>
      </c>
      <c r="W14" s="8">
        <f t="shared" si="6"/>
        <v>0</v>
      </c>
      <c r="X14" s="11">
        <f>IFERROR(VLOOKUP(A14,MASTER!A:Q,17,0),0)</f>
        <v>117</v>
      </c>
      <c r="Y14" s="11">
        <f>IFERROR(VLOOKUP(A14,MASTER!A:R,18,0),0)</f>
        <v>54</v>
      </c>
      <c r="Z14" s="8">
        <f t="shared" si="7"/>
        <v>1.1666666666666665</v>
      </c>
    </row>
    <row r="15" spans="1:26" ht="64.5" customHeight="1">
      <c r="A15" s="9" t="s">
        <v>9</v>
      </c>
      <c r="B15" s="1" t="s">
        <v>16</v>
      </c>
      <c r="C15" s="4">
        <f>IFERROR(VLOOKUP(A:A,MASTER!A:C,3,0),0)</f>
        <v>499857617.05301428</v>
      </c>
      <c r="D15" s="4">
        <f>IFERROR(VLOOKUP(A:A,MASTER!A:D,4,0),0)</f>
        <v>487366193.07962435</v>
      </c>
      <c r="E15" s="8">
        <f t="shared" si="0"/>
        <v>2.5630468733290002E-2</v>
      </c>
      <c r="F15" s="4">
        <f>IFERROR(VLOOKUP(A15,MASTER!A:E,5,0),0)</f>
        <v>7479867.5675675729</v>
      </c>
      <c r="G15" s="4">
        <f>IFERROR(VLOOKUP(A15,MASTER!A:F,6,0),0)</f>
        <v>13464282.882882887</v>
      </c>
      <c r="H15" s="8">
        <f t="shared" si="1"/>
        <v>-0.44446595242909581</v>
      </c>
      <c r="I15" s="4">
        <f>IFERROR(VLOOKUP(A15,MASTER!A:O,15,0),0)</f>
        <v>721796816.21621621</v>
      </c>
      <c r="J15" s="4">
        <f>IFERROR(VLOOKUP(A15,MASTER!A:P,16,0),0)</f>
        <v>688952563.96396387</v>
      </c>
      <c r="K15" s="8">
        <f t="shared" si="2"/>
        <v>4.7672733900980591E-2</v>
      </c>
      <c r="L15" s="4">
        <f>IFERROR(VLOOKUP(A15,MASTER!A:S,19,0),0)</f>
        <v>179506378.37837836</v>
      </c>
      <c r="M15" s="4">
        <f>IFERROR(VLOOKUP(A15,MASTER!A:T,20,0),0)</f>
        <v>176216990.99099097</v>
      </c>
      <c r="N15" s="8">
        <f t="shared" si="3"/>
        <v>1.8666686843810343E-2</v>
      </c>
      <c r="O15" s="4">
        <f>IFERROR(VLOOKUP(A15,MASTER!A:U,21,0),0)</f>
        <v>608663063.06306303</v>
      </c>
      <c r="P15" s="4">
        <f>IFERROR(VLOOKUP(A15,MASTER!A:V,22,0),0)</f>
        <v>603383063.06306303</v>
      </c>
      <c r="Q15" s="8">
        <f t="shared" si="4"/>
        <v>8.7506599426179221E-3</v>
      </c>
      <c r="R15" s="4">
        <f>IFERROR(VLOOKUP(A15,MASTER!A:W,23,0),0)</f>
        <v>7388</v>
      </c>
      <c r="S15" s="4">
        <f>IFERROR(VLOOKUP(A15,MASTER!A:X,24,0),0)</f>
        <v>7187</v>
      </c>
      <c r="T15" s="8">
        <f t="shared" si="5"/>
        <v>2.7967162933073553E-2</v>
      </c>
      <c r="U15" s="11">
        <f>IFERROR(VLOOKUP(A15,MASTER!A:M,13,0),0)</f>
        <v>130</v>
      </c>
      <c r="V15" s="11">
        <f>IFERROR(VLOOKUP(A15,MASTER!A:N,14,0),0)</f>
        <v>84</v>
      </c>
      <c r="W15" s="8">
        <f t="shared" si="6"/>
        <v>0.54761904761904767</v>
      </c>
      <c r="X15" s="11">
        <f>IFERROR(VLOOKUP(A15,MASTER!A:Q,17,0),0)</f>
        <v>433</v>
      </c>
      <c r="Y15" s="11">
        <f>IFERROR(VLOOKUP(A15,MASTER!A:R,18,0),0)</f>
        <v>344</v>
      </c>
      <c r="Z15" s="8">
        <f t="shared" si="7"/>
        <v>0.25872093023255816</v>
      </c>
    </row>
    <row r="16" spans="1:26" ht="64.5" customHeight="1">
      <c r="A16" s="9" t="s">
        <v>35</v>
      </c>
      <c r="B16" s="1" t="s">
        <v>16</v>
      </c>
      <c r="C16" s="4">
        <f>IFERROR(VLOOKUP(A:A,MASTER!A:C,3,0),0)</f>
        <v>0</v>
      </c>
      <c r="D16" s="4">
        <f>IFERROR(VLOOKUP(A:A,MASTER!A:D,4,0),0)</f>
        <v>0</v>
      </c>
      <c r="E16" s="8">
        <f t="shared" si="0"/>
        <v>0</v>
      </c>
      <c r="F16" s="4">
        <f>IFERROR(VLOOKUP(A16,MASTER!A:E,5,0),0)</f>
        <v>815418218.91891897</v>
      </c>
      <c r="G16" s="4">
        <f>IFERROR(VLOOKUP(A16,MASTER!A:F,6,0),0)</f>
        <v>801356589.1891892</v>
      </c>
      <c r="H16" s="8">
        <f t="shared" si="1"/>
        <v>1.7547281596520303E-2</v>
      </c>
      <c r="I16" s="4">
        <f>IFERROR(VLOOKUP(A16,MASTER!A:O,15,0),0)</f>
        <v>53039103.603603601</v>
      </c>
      <c r="J16" s="4">
        <f>IFERROR(VLOOKUP(A16,MASTER!A:P,16,0),0)</f>
        <v>69189189.189189196</v>
      </c>
      <c r="K16" s="8">
        <f t="shared" si="2"/>
        <v>-0.23341920572916675</v>
      </c>
      <c r="L16" s="4">
        <f>IFERROR(VLOOKUP(A16,MASTER!A:S,19,0),0)</f>
        <v>0</v>
      </c>
      <c r="M16" s="4">
        <f>IFERROR(VLOOKUP(A16,MASTER!A:T,20,0),0)</f>
        <v>0</v>
      </c>
      <c r="N16" s="8">
        <f t="shared" si="3"/>
        <v>0</v>
      </c>
      <c r="O16" s="4">
        <f>IFERROR(VLOOKUP(A16,MASTER!A:U,21,0),0)</f>
        <v>0</v>
      </c>
      <c r="P16" s="4">
        <f>IFERROR(VLOOKUP(A16,MASTER!A:V,22,0),0)</f>
        <v>0</v>
      </c>
      <c r="Q16" s="8">
        <f t="shared" si="4"/>
        <v>0</v>
      </c>
      <c r="R16" s="4">
        <f>IFERROR(VLOOKUP(A16,MASTER!A:W,23,0),0)</f>
        <v>0</v>
      </c>
      <c r="S16" s="4">
        <f>IFERROR(VLOOKUP(A16,MASTER!A:X,24,0),0)</f>
        <v>0</v>
      </c>
      <c r="T16" s="8">
        <f t="shared" si="5"/>
        <v>0</v>
      </c>
      <c r="U16" s="11">
        <f>IFERROR(VLOOKUP(A16,MASTER!A:M,13,0),0)</f>
        <v>0</v>
      </c>
      <c r="V16" s="11">
        <f>IFERROR(VLOOKUP(A16,MASTER!A:N,14,0),0)</f>
        <v>0</v>
      </c>
      <c r="W16" s="8">
        <f t="shared" si="6"/>
        <v>0</v>
      </c>
      <c r="X16" s="11">
        <f>IFERROR(VLOOKUP(A16,MASTER!A:Q,17,0),0)</f>
        <v>0</v>
      </c>
      <c r="Y16" s="11">
        <f>IFERROR(VLOOKUP(A16,MASTER!A:R,18,0),0)</f>
        <v>0</v>
      </c>
      <c r="Z16" s="8">
        <f t="shared" si="7"/>
        <v>0</v>
      </c>
    </row>
    <row r="17" spans="1:26" ht="64.5" customHeight="1">
      <c r="A17" s="9" t="s">
        <v>10</v>
      </c>
      <c r="B17" s="1" t="s">
        <v>17</v>
      </c>
      <c r="C17" s="4">
        <f>IFERROR(VLOOKUP(A:A,MASTER!A:C,3,0),0)</f>
        <v>218162574.12328824</v>
      </c>
      <c r="D17" s="4">
        <f>IFERROR(VLOOKUP(A:A,MASTER!A:D,4,0),0)</f>
        <v>205330968.1741623</v>
      </c>
      <c r="E17" s="8">
        <f t="shared" si="0"/>
        <v>6.2492307240484823E-2</v>
      </c>
      <c r="F17" s="4">
        <f>IFERROR(VLOOKUP(A17,MASTER!A:E,5,0),0)</f>
        <v>0</v>
      </c>
      <c r="G17" s="4">
        <f>IFERROR(VLOOKUP(A17,MASTER!A:F,6,0),0)</f>
        <v>0</v>
      </c>
      <c r="H17" s="8">
        <f t="shared" si="1"/>
        <v>0</v>
      </c>
      <c r="I17" s="4">
        <f>IFERROR(VLOOKUP(A17,MASTER!A:O,15,0),0)</f>
        <v>0</v>
      </c>
      <c r="J17" s="4">
        <f>IFERROR(VLOOKUP(A17,MASTER!A:P,16,0),0)</f>
        <v>0</v>
      </c>
      <c r="K17" s="8">
        <f t="shared" si="2"/>
        <v>0</v>
      </c>
      <c r="L17" s="4">
        <f>IFERROR(VLOOKUP(A17,MASTER!A:S,19,0),0)</f>
        <v>125391711.7117117</v>
      </c>
      <c r="M17" s="4">
        <f>IFERROR(VLOOKUP(A17,MASTER!A:T,20,0),0)</f>
        <v>122707178.37837839</v>
      </c>
      <c r="N17" s="8">
        <f t="shared" si="3"/>
        <v>2.1877557358994215E-2</v>
      </c>
      <c r="O17" s="4">
        <f>IFERROR(VLOOKUP(A17,MASTER!A:U,21,0),0)</f>
        <v>0</v>
      </c>
      <c r="P17" s="4">
        <f>IFERROR(VLOOKUP(A17,MASTER!A:V,22,0),0)</f>
        <v>19639.639639640001</v>
      </c>
      <c r="Q17" s="8">
        <f t="shared" si="4"/>
        <v>-1</v>
      </c>
      <c r="R17" s="4">
        <f>IFERROR(VLOOKUP(A17,MASTER!A:W,23,0),0)</f>
        <v>3933</v>
      </c>
      <c r="S17" s="4">
        <f>IFERROR(VLOOKUP(A17,MASTER!A:X,24,0),0)</f>
        <v>3650</v>
      </c>
      <c r="T17" s="8">
        <f t="shared" si="5"/>
        <v>7.7534246575342358E-2</v>
      </c>
      <c r="U17" s="11">
        <f>IFERROR(VLOOKUP(A17,MASTER!A:M,13,0),0)</f>
        <v>19</v>
      </c>
      <c r="V17" s="11">
        <f>IFERROR(VLOOKUP(A17,MASTER!A:N,14,0),0)</f>
        <v>31</v>
      </c>
      <c r="W17" s="8">
        <f t="shared" si="6"/>
        <v>-0.38709677419354838</v>
      </c>
      <c r="X17" s="11">
        <f>IFERROR(VLOOKUP(A17,MASTER!A:Q,17,0),0)</f>
        <v>0</v>
      </c>
      <c r="Y17" s="11">
        <f>IFERROR(VLOOKUP(A17,MASTER!A:R,18,0),0)</f>
        <v>0</v>
      </c>
      <c r="Z17" s="8">
        <f t="shared" si="7"/>
        <v>0</v>
      </c>
    </row>
    <row r="18" spans="1:26" ht="64.5" customHeight="1">
      <c r="A18" s="9" t="s">
        <v>11</v>
      </c>
      <c r="B18" s="1" t="s">
        <v>17</v>
      </c>
      <c r="C18" s="4">
        <f>IFERROR(VLOOKUP(A:A,MASTER!A:C,3,0),0)</f>
        <v>168764124.41056004</v>
      </c>
      <c r="D18" s="4">
        <f>IFERROR(VLOOKUP(A:A,MASTER!A:D,4,0),0)</f>
        <v>179648698.29748946</v>
      </c>
      <c r="E18" s="8">
        <f t="shared" si="0"/>
        <v>-6.0588103282023797E-2</v>
      </c>
      <c r="F18" s="4">
        <f>IFERROR(VLOOKUP(A18,MASTER!A:E,5,0),0)</f>
        <v>343243.24324324197</v>
      </c>
      <c r="G18" s="4">
        <f>IFERROR(VLOOKUP(A18,MASTER!A:F,6,0),0)</f>
        <v>636936.93693693797</v>
      </c>
      <c r="H18" s="8">
        <f t="shared" si="1"/>
        <v>-0.46110325318246392</v>
      </c>
      <c r="I18" s="4">
        <f>IFERROR(VLOOKUP(A18,MASTER!A:O,15,0),0)</f>
        <v>5127027.0270270258</v>
      </c>
      <c r="J18" s="4">
        <f>IFERROR(VLOOKUP(A18,MASTER!A:P,16,0),0)</f>
        <v>15006306.306306308</v>
      </c>
      <c r="K18" s="8">
        <f t="shared" si="2"/>
        <v>-0.65834183826619452</v>
      </c>
      <c r="L18" s="4">
        <f>IFERROR(VLOOKUP(A18,MASTER!A:S,19,0),0)</f>
        <v>56966666.666666664</v>
      </c>
      <c r="M18" s="4">
        <f>IFERROR(VLOOKUP(A18,MASTER!A:T,20,0),0)</f>
        <v>60717596.846846849</v>
      </c>
      <c r="N18" s="8">
        <f t="shared" si="3"/>
        <v>-6.1776657426700798E-2</v>
      </c>
      <c r="O18" s="4">
        <f>IFERROR(VLOOKUP(A18,MASTER!A:U,21,0),0)</f>
        <v>5681351.3513513496</v>
      </c>
      <c r="P18" s="4">
        <f>IFERROR(VLOOKUP(A18,MASTER!A:V,22,0),0)</f>
        <v>15645225.225225223</v>
      </c>
      <c r="Q18" s="8">
        <f t="shared" si="4"/>
        <v>-0.63686356255254473</v>
      </c>
      <c r="R18" s="4">
        <f>IFERROR(VLOOKUP(A18,MASTER!A:W,23,0),0)</f>
        <v>3723</v>
      </c>
      <c r="S18" s="4">
        <f>IFERROR(VLOOKUP(A18,MASTER!A:X,24,0),0)</f>
        <v>3940</v>
      </c>
      <c r="T18" s="8">
        <f t="shared" si="5"/>
        <v>-5.5076142131979644E-2</v>
      </c>
      <c r="U18" s="11">
        <f>IFERROR(VLOOKUP(A18,MASTER!A:M,13,0),0)</f>
        <v>61</v>
      </c>
      <c r="V18" s="11">
        <f>IFERROR(VLOOKUP(A18,MASTER!A:N,14,0),0)</f>
        <v>47</v>
      </c>
      <c r="W18" s="8">
        <f t="shared" si="6"/>
        <v>0.2978723404255319</v>
      </c>
      <c r="X18" s="11">
        <f>IFERROR(VLOOKUP(A18,MASTER!A:Q,17,0),0)</f>
        <v>44</v>
      </c>
      <c r="Y18" s="11">
        <f>IFERROR(VLOOKUP(A18,MASTER!A:R,18,0),0)</f>
        <v>0</v>
      </c>
      <c r="Z18" s="8">
        <f t="shared" si="7"/>
        <v>0</v>
      </c>
    </row>
    <row r="19" spans="1:26" ht="64.5" customHeight="1">
      <c r="A19" s="9" t="s">
        <v>12</v>
      </c>
      <c r="B19" s="1" t="s">
        <v>17</v>
      </c>
      <c r="C19" s="4">
        <f>IFERROR(VLOOKUP(A:A,MASTER!A:C,3,0),0)</f>
        <v>119958769.44923832</v>
      </c>
      <c r="D19" s="4">
        <f>IFERROR(VLOOKUP(A:A,MASTER!A:D,4,0),0)</f>
        <v>121957917.75124012</v>
      </c>
      <c r="E19" s="8">
        <f t="shared" si="0"/>
        <v>-1.6392115730275991E-2</v>
      </c>
      <c r="F19" s="4">
        <f>IFERROR(VLOOKUP(A19,MASTER!A:E,5,0),0)</f>
        <v>66666.666666664998</v>
      </c>
      <c r="G19" s="4">
        <f>IFERROR(VLOOKUP(A19,MASTER!A:F,6,0),0)</f>
        <v>5443243.2432432426</v>
      </c>
      <c r="H19" s="8">
        <f t="shared" si="1"/>
        <v>-0.98775239986759378</v>
      </c>
      <c r="I19" s="4">
        <f>IFERROR(VLOOKUP(A19,MASTER!A:O,15,0),0)</f>
        <v>10419369.369369367</v>
      </c>
      <c r="J19" s="4">
        <f>IFERROR(VLOOKUP(A19,MASTER!A:P,16,0),0)</f>
        <v>22650450.45045045</v>
      </c>
      <c r="K19" s="8">
        <f t="shared" si="2"/>
        <v>-0.53999284066502273</v>
      </c>
      <c r="L19" s="4">
        <f>IFERROR(VLOOKUP(A19,MASTER!A:S,19,0),0)</f>
        <v>47134270.270270273</v>
      </c>
      <c r="M19" s="4">
        <f>IFERROR(VLOOKUP(A19,MASTER!A:T,20,0),0)</f>
        <v>47929792.79279279</v>
      </c>
      <c r="N19" s="8">
        <f t="shared" si="3"/>
        <v>-1.6597662459374107E-2</v>
      </c>
      <c r="O19" s="4">
        <f>IFERROR(VLOOKUP(A19,MASTER!A:U,21,0),0)</f>
        <v>6641351.3513513487</v>
      </c>
      <c r="P19" s="4">
        <f>IFERROR(VLOOKUP(A19,MASTER!A:V,22,0),0)</f>
        <v>26363243.243243244</v>
      </c>
      <c r="Q19" s="8">
        <f t="shared" si="4"/>
        <v>-0.7480829164274585</v>
      </c>
      <c r="R19" s="4">
        <f>IFERROR(VLOOKUP(A19,MASTER!A:W,23,0),0)</f>
        <v>2759</v>
      </c>
      <c r="S19" s="4">
        <f>IFERROR(VLOOKUP(A19,MASTER!A:X,24,0),0)</f>
        <v>2918</v>
      </c>
      <c r="T19" s="8">
        <f t="shared" si="5"/>
        <v>-5.4489376285126845E-2</v>
      </c>
      <c r="U19" s="11">
        <f>IFERROR(VLOOKUP(A19,MASTER!A:M,13,0),0)</f>
        <v>52</v>
      </c>
      <c r="V19" s="11">
        <f>IFERROR(VLOOKUP(A19,MASTER!A:N,14,0),0)</f>
        <v>22</v>
      </c>
      <c r="W19" s="8">
        <f t="shared" si="6"/>
        <v>1.3636363636363638</v>
      </c>
      <c r="X19" s="11">
        <f>IFERROR(VLOOKUP(A19,MASTER!A:Q,17,0),0)</f>
        <v>70</v>
      </c>
      <c r="Y19" s="11">
        <f>IFERROR(VLOOKUP(A19,MASTER!A:R,18,0),0)</f>
        <v>0</v>
      </c>
      <c r="Z19" s="8">
        <f t="shared" si="7"/>
        <v>0</v>
      </c>
    </row>
    <row r="20" spans="1:26" ht="64.5" customHeight="1">
      <c r="A20" s="9" t="s">
        <v>36</v>
      </c>
      <c r="B20" s="1" t="s">
        <v>16</v>
      </c>
      <c r="C20" s="4">
        <f>IFERROR(VLOOKUP(A:A,MASTER!A:C,3,0),0)</f>
        <v>0</v>
      </c>
      <c r="D20" s="4">
        <f>IFERROR(VLOOKUP(A:A,MASTER!A:D,4,0),0)</f>
        <v>0</v>
      </c>
      <c r="E20" s="8">
        <f t="shared" si="0"/>
        <v>0</v>
      </c>
      <c r="F20" s="4">
        <f>IFERROR(VLOOKUP(A20,MASTER!A:E,5,0),0)</f>
        <v>0</v>
      </c>
      <c r="G20" s="4">
        <f>IFERROR(VLOOKUP(A20,MASTER!A:F,6,0),0)</f>
        <v>0</v>
      </c>
      <c r="H20" s="8">
        <f t="shared" si="1"/>
        <v>0</v>
      </c>
      <c r="I20" s="4">
        <f>IFERROR(VLOOKUP(A20,MASTER!A:O,15,0),0)</f>
        <v>0</v>
      </c>
      <c r="J20" s="4">
        <f>IFERROR(VLOOKUP(A20,MASTER!A:P,16,0),0)</f>
        <v>0</v>
      </c>
      <c r="K20" s="8">
        <f t="shared" si="2"/>
        <v>0</v>
      </c>
      <c r="L20" s="4">
        <f>IFERROR(VLOOKUP(A20,MASTER!A:S,19,0),0)</f>
        <v>0</v>
      </c>
      <c r="M20" s="4">
        <f>IFERROR(VLOOKUP(A20,MASTER!A:T,20,0),0)</f>
        <v>0</v>
      </c>
      <c r="N20" s="8">
        <f t="shared" si="3"/>
        <v>0</v>
      </c>
      <c r="O20" s="4">
        <f>IFERROR(VLOOKUP(A20,MASTER!A:U,21,0),0)</f>
        <v>0</v>
      </c>
      <c r="P20" s="4">
        <f>IFERROR(VLOOKUP(A20,MASTER!A:V,22,0),0)</f>
        <v>0</v>
      </c>
      <c r="Q20" s="8">
        <f t="shared" si="4"/>
        <v>0</v>
      </c>
      <c r="R20" s="4">
        <f>IFERROR(VLOOKUP(A20,MASTER!A:W,23,0),0)</f>
        <v>0</v>
      </c>
      <c r="S20" s="4">
        <f>IFERROR(VLOOKUP(A20,MASTER!A:X,24,0),0)</f>
        <v>0</v>
      </c>
      <c r="T20" s="8">
        <f t="shared" si="5"/>
        <v>0</v>
      </c>
      <c r="U20" s="11">
        <f>IFERROR(VLOOKUP(A20,MASTER!A:M,13,0),0)</f>
        <v>0</v>
      </c>
      <c r="V20" s="11">
        <f>IFERROR(VLOOKUP(A20,MASTER!A:N,14,0),0)</f>
        <v>0</v>
      </c>
      <c r="W20" s="8">
        <f t="shared" si="6"/>
        <v>0</v>
      </c>
      <c r="X20" s="11">
        <f>IFERROR(VLOOKUP(A20,MASTER!A:Q,17,0),0)</f>
        <v>0</v>
      </c>
      <c r="Y20" s="11">
        <f>IFERROR(VLOOKUP(A20,MASTER!A:R,18,0),0)</f>
        <v>0</v>
      </c>
      <c r="Z20" s="8">
        <f t="shared" si="7"/>
        <v>0</v>
      </c>
    </row>
    <row r="21" spans="1:26" ht="64.5" customHeight="1">
      <c r="A21" s="9" t="s">
        <v>13</v>
      </c>
      <c r="B21" s="1" t="s">
        <v>16</v>
      </c>
      <c r="C21" s="4">
        <f>IFERROR(VLOOKUP(A:A,MASTER!A:C,3,0),0)</f>
        <v>422433981.07588297</v>
      </c>
      <c r="D21" s="4">
        <f>IFERROR(VLOOKUP(A:A,MASTER!A:D,4,0),0)</f>
        <v>410100292.56711686</v>
      </c>
      <c r="E21" s="8">
        <f t="shared" si="0"/>
        <v>3.007481031422965E-2</v>
      </c>
      <c r="F21" s="4">
        <f>IFERROR(VLOOKUP(A21,MASTER!A:E,5,0),0)</f>
        <v>1369369.3693693739</v>
      </c>
      <c r="G21" s="4">
        <f>IFERROR(VLOOKUP(A21,MASTER!A:F,6,0),0)</f>
        <v>4350450.4504504576</v>
      </c>
      <c r="H21" s="8">
        <f t="shared" si="1"/>
        <v>-0.6852350383102086</v>
      </c>
      <c r="I21" s="4">
        <f>IFERROR(VLOOKUP(A21,MASTER!A:O,15,0),0)</f>
        <v>77681081.081081092</v>
      </c>
      <c r="J21" s="4">
        <f>IFERROR(VLOOKUP(A21,MASTER!A:P,16,0),0)</f>
        <v>91587072.072072059</v>
      </c>
      <c r="K21" s="8">
        <f t="shared" si="2"/>
        <v>-0.15183355768866602</v>
      </c>
      <c r="L21" s="4">
        <f>IFERROR(VLOOKUP(A21,MASTER!A:S,19,0),0)</f>
        <v>251038202.7027027</v>
      </c>
      <c r="M21" s="4">
        <f>IFERROR(VLOOKUP(A21,MASTER!A:T,20,0),0)</f>
        <v>239741441.44144145</v>
      </c>
      <c r="N21" s="8">
        <f t="shared" si="3"/>
        <v>4.7120602901774777E-2</v>
      </c>
      <c r="O21" s="4">
        <f>IFERROR(VLOOKUP(A21,MASTER!A:U,21,0),0)</f>
        <v>84911981.981981978</v>
      </c>
      <c r="P21" s="4">
        <f>IFERROR(VLOOKUP(A21,MASTER!A:V,22,0),0)</f>
        <v>92629998.198198199</v>
      </c>
      <c r="Q21" s="8">
        <f t="shared" si="4"/>
        <v>-8.3320915106812055E-2</v>
      </c>
      <c r="R21" s="4">
        <f>IFERROR(VLOOKUP(A21,MASTER!A:W,23,0),0)</f>
        <v>7140</v>
      </c>
      <c r="S21" s="4">
        <f>IFERROR(VLOOKUP(A21,MASTER!A:X,24,0),0)</f>
        <v>7203</v>
      </c>
      <c r="T21" s="8">
        <f t="shared" si="5"/>
        <v>-8.7463556851311575E-3</v>
      </c>
      <c r="U21" s="11">
        <f>IFERROR(VLOOKUP(A21,MASTER!A:M,13,0),0)</f>
        <v>676</v>
      </c>
      <c r="V21" s="11">
        <f>IFERROR(VLOOKUP(A21,MASTER!A:N,14,0),0)</f>
        <v>431</v>
      </c>
      <c r="W21" s="8">
        <f t="shared" si="6"/>
        <v>0.56844547563805103</v>
      </c>
      <c r="X21" s="11">
        <f>IFERROR(VLOOKUP(A21,MASTER!A:Q,17,0),0)</f>
        <v>436</v>
      </c>
      <c r="Y21" s="11">
        <f>IFERROR(VLOOKUP(A21,MASTER!A:R,18,0),0)</f>
        <v>305</v>
      </c>
      <c r="Z21" s="8">
        <f t="shared" si="7"/>
        <v>0.42950819672131146</v>
      </c>
    </row>
    <row r="22" spans="1:26" ht="64.5" customHeight="1">
      <c r="A22" s="9" t="s">
        <v>14</v>
      </c>
      <c r="B22" s="1" t="s">
        <v>16</v>
      </c>
      <c r="C22" s="4">
        <f>IFERROR(VLOOKUP(A:A,MASTER!A:C,3,0),0)</f>
        <v>227533630.37853587</v>
      </c>
      <c r="D22" s="4">
        <f>IFERROR(VLOOKUP(A:A,MASTER!A:D,4,0),0)</f>
        <v>207670824.59268689</v>
      </c>
      <c r="E22" s="8">
        <f t="shared" si="0"/>
        <v>9.5645624871990131E-2</v>
      </c>
      <c r="F22" s="4">
        <f>IFERROR(VLOOKUP(A22,MASTER!A:E,5,0),0)</f>
        <v>118018.018018022</v>
      </c>
      <c r="G22" s="4">
        <f>IFERROR(VLOOKUP(A22,MASTER!A:F,6,0),0)</f>
        <v>1277477.4774774781</v>
      </c>
      <c r="H22" s="8">
        <f t="shared" si="1"/>
        <v>-0.90761636107192922</v>
      </c>
      <c r="I22" s="4">
        <f>IFERROR(VLOOKUP(A22,MASTER!A:O,15,0),0)</f>
        <v>25036756.756756756</v>
      </c>
      <c r="J22" s="4">
        <f>IFERROR(VLOOKUP(A22,MASTER!A:P,16,0),0)</f>
        <v>50112612.612612613</v>
      </c>
      <c r="K22" s="8">
        <f t="shared" si="2"/>
        <v>-0.50039011235955055</v>
      </c>
      <c r="L22" s="4">
        <f>IFERROR(VLOOKUP(A22,MASTER!A:S,19,0),0)</f>
        <v>74626927.927927926</v>
      </c>
      <c r="M22" s="4">
        <f>IFERROR(VLOOKUP(A22,MASTER!A:T,20,0),0)</f>
        <v>69753918.918918923</v>
      </c>
      <c r="N22" s="8">
        <f t="shared" si="3"/>
        <v>6.9860003345092681E-2</v>
      </c>
      <c r="O22" s="4">
        <f>IFERROR(VLOOKUP(A22,MASTER!A:U,21,0),0)</f>
        <v>26569459.459459461</v>
      </c>
      <c r="P22" s="4">
        <f>IFERROR(VLOOKUP(A22,MASTER!A:V,22,0),0)</f>
        <v>45799189.189189196</v>
      </c>
      <c r="Q22" s="8">
        <f t="shared" si="4"/>
        <v>-0.41987052762647759</v>
      </c>
      <c r="R22" s="4">
        <f>IFERROR(VLOOKUP(A22,MASTER!A:W,23,0),0)</f>
        <v>4032</v>
      </c>
      <c r="S22" s="4">
        <f>IFERROR(VLOOKUP(A22,MASTER!A:X,24,0),0)</f>
        <v>3953</v>
      </c>
      <c r="T22" s="8">
        <f t="shared" si="5"/>
        <v>1.99848216544396E-2</v>
      </c>
      <c r="U22" s="11">
        <f>IFERROR(VLOOKUP(A22,MASTER!A:M,13,0),0)</f>
        <v>24</v>
      </c>
      <c r="V22" s="11">
        <f>IFERROR(VLOOKUP(A22,MASTER!A:N,14,0),0)</f>
        <v>33</v>
      </c>
      <c r="W22" s="8">
        <f t="shared" si="6"/>
        <v>-0.27272727272727271</v>
      </c>
      <c r="X22" s="11">
        <f>IFERROR(VLOOKUP(A22,MASTER!A:Q,17,0),0)</f>
        <v>202</v>
      </c>
      <c r="Y22" s="11">
        <f>IFERROR(VLOOKUP(A22,MASTER!A:R,18,0),0)</f>
        <v>111</v>
      </c>
      <c r="Z22" s="8">
        <f t="shared" si="7"/>
        <v>0.81981981981981988</v>
      </c>
    </row>
  </sheetData>
  <autoFilter ref="A5:T22"/>
  <conditionalFormatting sqref="E6:E22">
    <cfRule type="cellIs" dxfId="8" priority="14" operator="lessThan">
      <formula>0</formula>
    </cfRule>
  </conditionalFormatting>
  <conditionalFormatting sqref="H6:H22">
    <cfRule type="cellIs" dxfId="7" priority="8" operator="lessThan">
      <formula>0</formula>
    </cfRule>
  </conditionalFormatting>
  <conditionalFormatting sqref="K6:K22">
    <cfRule type="cellIs" dxfId="6" priority="7" operator="lessThan">
      <formula>0</formula>
    </cfRule>
  </conditionalFormatting>
  <conditionalFormatting sqref="N6:N22">
    <cfRule type="cellIs" dxfId="5" priority="6" operator="lessThan">
      <formula>0</formula>
    </cfRule>
  </conditionalFormatting>
  <conditionalFormatting sqref="Q6:Q22">
    <cfRule type="cellIs" dxfId="4" priority="5" operator="lessThan">
      <formula>0</formula>
    </cfRule>
  </conditionalFormatting>
  <conditionalFormatting sqref="T6:T22">
    <cfRule type="cellIs" dxfId="3" priority="4" operator="lessThan">
      <formula>0</formula>
    </cfRule>
  </conditionalFormatting>
  <conditionalFormatting sqref="W6:W22">
    <cfRule type="cellIs" dxfId="2" priority="3" operator="lessThan">
      <formula>0</formula>
    </cfRule>
  </conditionalFormatting>
  <conditionalFormatting sqref="Z7:Z22">
    <cfRule type="cellIs" dxfId="1" priority="2" operator="lessThan">
      <formula>0</formula>
    </cfRule>
  </conditionalFormatting>
  <conditionalFormatting sqref="Z6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76"/>
  <sheetViews>
    <sheetView tabSelected="1" workbookViewId="0">
      <pane xSplit="1" ySplit="3" topLeftCell="B559" activePane="bottomRight" state="frozen"/>
      <selection pane="topRight" activeCell="B1" sqref="B1"/>
      <selection pane="bottomLeft" activeCell="A4" sqref="A4"/>
      <selection pane="bottomRight" activeCell="A4" sqref="A4:A576"/>
    </sheetView>
  </sheetViews>
  <sheetFormatPr defaultRowHeight="14.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10.453125" customWidth="1"/>
    <col min="11" max="12" width="11.36328125" bestFit="1" customWidth="1"/>
    <col min="13" max="18" width="11.81640625" bestFit="1" customWidth="1"/>
  </cols>
  <sheetData>
    <row r="1" spans="1:24">
      <c r="L1" s="7"/>
      <c r="M1" s="7"/>
    </row>
    <row r="2" spans="1:24">
      <c r="A2" s="7" t="s">
        <v>37</v>
      </c>
      <c r="B2" s="10" t="s">
        <v>669</v>
      </c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670</v>
      </c>
      <c r="J2" s="7" t="s">
        <v>670</v>
      </c>
      <c r="K2" s="7" t="s">
        <v>664</v>
      </c>
      <c r="L2" s="7" t="s">
        <v>664</v>
      </c>
      <c r="M2" s="7" t="s">
        <v>41</v>
      </c>
      <c r="N2" s="7" t="s">
        <v>41</v>
      </c>
      <c r="O2" s="7" t="s">
        <v>42</v>
      </c>
      <c r="P2" s="7" t="s">
        <v>42</v>
      </c>
      <c r="Q2" s="7" t="s">
        <v>671</v>
      </c>
      <c r="R2" s="7" t="s">
        <v>671</v>
      </c>
      <c r="S2" s="7" t="s">
        <v>43</v>
      </c>
      <c r="T2" s="7" t="s">
        <v>43</v>
      </c>
      <c r="U2" s="7" t="s">
        <v>44</v>
      </c>
      <c r="V2" s="7" t="s">
        <v>44</v>
      </c>
      <c r="W2" s="7" t="s">
        <v>30</v>
      </c>
      <c r="X2" s="7" t="s">
        <v>30</v>
      </c>
    </row>
    <row r="3" spans="1:24">
      <c r="A3" s="15" t="s">
        <v>45</v>
      </c>
      <c r="B3" s="15" t="s">
        <v>46</v>
      </c>
      <c r="C3" s="15" t="s">
        <v>31</v>
      </c>
      <c r="D3" s="15" t="s">
        <v>32</v>
      </c>
      <c r="E3" s="15" t="s">
        <v>31</v>
      </c>
      <c r="F3" s="15" t="s">
        <v>32</v>
      </c>
      <c r="G3" s="15" t="s">
        <v>31</v>
      </c>
      <c r="H3" s="15" t="s">
        <v>32</v>
      </c>
      <c r="I3" s="15" t="s">
        <v>31</v>
      </c>
      <c r="J3" s="15" t="s">
        <v>32</v>
      </c>
      <c r="K3" s="15" t="s">
        <v>31</v>
      </c>
      <c r="L3" s="15" t="s">
        <v>32</v>
      </c>
      <c r="M3" s="15" t="s">
        <v>31</v>
      </c>
      <c r="N3" s="15" t="s">
        <v>32</v>
      </c>
      <c r="O3" s="15" t="s">
        <v>31</v>
      </c>
      <c r="P3" s="15" t="s">
        <v>32</v>
      </c>
      <c r="Q3" s="15" t="s">
        <v>31</v>
      </c>
      <c r="R3" s="15" t="s">
        <v>32</v>
      </c>
      <c r="S3" s="15" t="s">
        <v>31</v>
      </c>
      <c r="T3" s="15" t="s">
        <v>32</v>
      </c>
      <c r="U3" s="15" t="s">
        <v>31</v>
      </c>
      <c r="V3" s="15" t="s">
        <v>32</v>
      </c>
      <c r="W3" s="15" t="s">
        <v>31</v>
      </c>
      <c r="X3" s="15" t="s">
        <v>32</v>
      </c>
    </row>
    <row r="4" spans="1:24">
      <c r="A4" s="7" t="s">
        <v>47</v>
      </c>
      <c r="B4" s="16" t="s">
        <v>48</v>
      </c>
      <c r="C4">
        <v>602680183.39849854</v>
      </c>
      <c r="D4">
        <v>650523071.08808172</v>
      </c>
      <c r="E4">
        <v>1678153.1531531541</v>
      </c>
      <c r="F4">
        <v>3213063.0630630641</v>
      </c>
      <c r="G4">
        <v>72</v>
      </c>
      <c r="H4">
        <v>73</v>
      </c>
      <c r="I4">
        <v>11</v>
      </c>
      <c r="J4">
        <v>8</v>
      </c>
      <c r="M4">
        <v>141</v>
      </c>
      <c r="N4">
        <v>188</v>
      </c>
      <c r="O4">
        <v>12949909.909909908</v>
      </c>
      <c r="P4">
        <v>40510810.810810804</v>
      </c>
      <c r="R4">
        <v>23</v>
      </c>
      <c r="S4">
        <v>76474819.819819823</v>
      </c>
      <c r="T4">
        <v>82340466.666666672</v>
      </c>
      <c r="U4">
        <v>11029009.009009004</v>
      </c>
      <c r="V4">
        <v>40461711.711711712</v>
      </c>
      <c r="W4">
        <v>8569</v>
      </c>
      <c r="X4">
        <v>8362</v>
      </c>
    </row>
    <row r="5" spans="1:24">
      <c r="A5" s="7" t="s">
        <v>49</v>
      </c>
      <c r="B5" s="16" t="s">
        <v>50</v>
      </c>
      <c r="C5">
        <v>1040865502.3919522</v>
      </c>
      <c r="D5">
        <v>979598114.56406367</v>
      </c>
      <c r="E5">
        <v>6426756.7567567704</v>
      </c>
      <c r="F5">
        <v>17083783.783783793</v>
      </c>
      <c r="G5">
        <v>847</v>
      </c>
      <c r="H5">
        <v>581</v>
      </c>
      <c r="I5">
        <v>53</v>
      </c>
      <c r="J5">
        <v>25</v>
      </c>
      <c r="K5">
        <v>11</v>
      </c>
      <c r="M5">
        <v>917</v>
      </c>
      <c r="N5">
        <v>1320</v>
      </c>
      <c r="O5">
        <v>287642342.34234232</v>
      </c>
      <c r="P5">
        <v>319556846.84684682</v>
      </c>
      <c r="Q5">
        <v>378</v>
      </c>
      <c r="R5">
        <v>794</v>
      </c>
      <c r="S5">
        <v>321938067.56756753</v>
      </c>
      <c r="T5">
        <v>312742909.9099099</v>
      </c>
      <c r="U5">
        <v>283148828.82882881</v>
      </c>
      <c r="V5">
        <v>307256576.57657659</v>
      </c>
      <c r="W5">
        <v>21123</v>
      </c>
      <c r="X5">
        <v>19987</v>
      </c>
    </row>
    <row r="6" spans="1:24">
      <c r="A6" s="7" t="s">
        <v>51</v>
      </c>
      <c r="B6" s="16" t="s">
        <v>52</v>
      </c>
      <c r="C6">
        <v>240476693.84662989</v>
      </c>
      <c r="D6">
        <v>248306284.02883428</v>
      </c>
      <c r="E6">
        <v>1956531.5315315321</v>
      </c>
      <c r="F6">
        <v>7422522.522522524</v>
      </c>
      <c r="G6">
        <v>130</v>
      </c>
      <c r="H6">
        <v>123</v>
      </c>
      <c r="I6">
        <v>8</v>
      </c>
      <c r="J6">
        <v>15</v>
      </c>
      <c r="M6">
        <v>132</v>
      </c>
      <c r="N6">
        <v>191</v>
      </c>
      <c r="O6">
        <v>57026576.576576576</v>
      </c>
      <c r="P6">
        <v>73118468.468468457</v>
      </c>
      <c r="Q6">
        <v>311</v>
      </c>
      <c r="R6">
        <v>281</v>
      </c>
      <c r="S6">
        <v>84704351.351351351</v>
      </c>
      <c r="T6">
        <v>83013576.576576576</v>
      </c>
      <c r="U6">
        <v>19654774.774774775</v>
      </c>
      <c r="V6">
        <v>63414324.324324325</v>
      </c>
      <c r="W6">
        <v>4448</v>
      </c>
      <c r="X6">
        <v>4516</v>
      </c>
    </row>
    <row r="7" spans="1:24">
      <c r="A7" s="7" t="s">
        <v>53</v>
      </c>
      <c r="B7" s="16" t="s">
        <v>54</v>
      </c>
      <c r="C7">
        <v>137462785.11449265</v>
      </c>
      <c r="D7">
        <v>134083149.07553141</v>
      </c>
      <c r="E7">
        <v>1237387.3873873909</v>
      </c>
      <c r="F7">
        <v>2633108.1081081131</v>
      </c>
      <c r="G7">
        <v>40</v>
      </c>
      <c r="H7">
        <v>33</v>
      </c>
      <c r="I7">
        <v>4</v>
      </c>
      <c r="J7">
        <v>9</v>
      </c>
      <c r="M7">
        <v>44</v>
      </c>
      <c r="N7">
        <v>83</v>
      </c>
      <c r="O7">
        <v>15525225.225225223</v>
      </c>
      <c r="P7">
        <v>16200630.630630633</v>
      </c>
      <c r="Q7">
        <v>149</v>
      </c>
      <c r="R7">
        <v>91</v>
      </c>
      <c r="S7">
        <v>44472036.036036037</v>
      </c>
      <c r="T7">
        <v>42818777.027027026</v>
      </c>
      <c r="U7">
        <v>16101801.801801801</v>
      </c>
      <c r="V7">
        <v>15904144.144144146</v>
      </c>
      <c r="W7">
        <v>4172</v>
      </c>
      <c r="X7">
        <v>3697</v>
      </c>
    </row>
    <row r="8" spans="1:24">
      <c r="A8" s="7" t="s">
        <v>55</v>
      </c>
      <c r="B8" s="16" t="s">
        <v>54</v>
      </c>
      <c r="C8">
        <v>222969051.44628146</v>
      </c>
      <c r="D8">
        <v>220460206.58984753</v>
      </c>
      <c r="E8">
        <v>875225.22522522905</v>
      </c>
      <c r="F8">
        <v>4711261.2612612629</v>
      </c>
      <c r="G8">
        <v>86</v>
      </c>
      <c r="H8">
        <v>141</v>
      </c>
      <c r="I8">
        <v>9</v>
      </c>
      <c r="J8">
        <v>20</v>
      </c>
      <c r="M8">
        <v>108</v>
      </c>
      <c r="N8">
        <v>557</v>
      </c>
      <c r="O8">
        <v>68220270.270270273</v>
      </c>
      <c r="P8">
        <v>91974054.054054067</v>
      </c>
      <c r="Q8">
        <v>197</v>
      </c>
      <c r="R8">
        <v>167</v>
      </c>
      <c r="S8">
        <v>56961018.018018015</v>
      </c>
      <c r="T8">
        <v>62792288.288288288</v>
      </c>
      <c r="U8">
        <v>50510180.180180177</v>
      </c>
      <c r="V8">
        <v>81404774.77477479</v>
      </c>
      <c r="W8">
        <v>3816</v>
      </c>
      <c r="X8">
        <v>4517</v>
      </c>
    </row>
    <row r="9" spans="1:24">
      <c r="A9" s="7" t="s">
        <v>56</v>
      </c>
      <c r="B9" s="16" t="s">
        <v>54</v>
      </c>
      <c r="C9">
        <v>112626393.46742378</v>
      </c>
      <c r="D9">
        <v>107795347.84587833</v>
      </c>
      <c r="E9">
        <v>964144.144144146</v>
      </c>
      <c r="F9">
        <v>2186486.4864864862</v>
      </c>
      <c r="G9">
        <v>23</v>
      </c>
      <c r="H9">
        <v>30</v>
      </c>
      <c r="I9">
        <v>3</v>
      </c>
      <c r="J9">
        <v>5</v>
      </c>
      <c r="M9">
        <v>25</v>
      </c>
      <c r="N9">
        <v>36</v>
      </c>
      <c r="O9">
        <v>7811891.8918918911</v>
      </c>
      <c r="P9">
        <v>17809549.54954955</v>
      </c>
      <c r="Q9">
        <v>66</v>
      </c>
      <c r="R9">
        <v>44</v>
      </c>
      <c r="S9">
        <v>33635448.648648649</v>
      </c>
      <c r="T9">
        <v>32069072.072072074</v>
      </c>
      <c r="U9">
        <v>7470900.9009009004</v>
      </c>
      <c r="V9">
        <v>16763603.603603603</v>
      </c>
      <c r="W9">
        <v>2062</v>
      </c>
      <c r="X9">
        <v>2041</v>
      </c>
    </row>
    <row r="10" spans="1:24">
      <c r="A10" s="7" t="s">
        <v>57</v>
      </c>
      <c r="B10" s="16" t="s">
        <v>58</v>
      </c>
      <c r="C10">
        <v>288697944.86546761</v>
      </c>
      <c r="D10">
        <v>286361566.39001501</v>
      </c>
      <c r="E10">
        <v>1814414.4144144149</v>
      </c>
      <c r="F10">
        <v>14609009.009009009</v>
      </c>
      <c r="G10">
        <v>72</v>
      </c>
      <c r="H10">
        <v>93</v>
      </c>
      <c r="I10">
        <v>2</v>
      </c>
      <c r="J10">
        <v>3</v>
      </c>
      <c r="M10">
        <v>85</v>
      </c>
      <c r="N10">
        <v>102</v>
      </c>
      <c r="O10">
        <v>6427027.0270270268</v>
      </c>
      <c r="P10">
        <v>4527927.9279279271</v>
      </c>
      <c r="Q10">
        <v>10</v>
      </c>
      <c r="S10">
        <v>52021036.036036029</v>
      </c>
      <c r="T10">
        <v>53206187.387387387</v>
      </c>
      <c r="U10">
        <v>5718288.2882882887</v>
      </c>
      <c r="V10">
        <v>4338828.8288288293</v>
      </c>
      <c r="W10">
        <v>5658</v>
      </c>
      <c r="X10">
        <v>5493</v>
      </c>
    </row>
    <row r="11" spans="1:24">
      <c r="A11" s="7" t="s">
        <v>59</v>
      </c>
      <c r="B11" s="16" t="s">
        <v>60</v>
      </c>
      <c r="C11">
        <v>124752724.02247371</v>
      </c>
      <c r="D11">
        <v>125278724.62619521</v>
      </c>
      <c r="E11">
        <v>224864.86486486599</v>
      </c>
      <c r="F11">
        <v>1319819.8198198201</v>
      </c>
      <c r="G11">
        <v>34</v>
      </c>
      <c r="H11">
        <v>53</v>
      </c>
      <c r="I11">
        <v>8</v>
      </c>
      <c r="J11">
        <v>10</v>
      </c>
      <c r="M11">
        <v>41</v>
      </c>
      <c r="N11">
        <v>143</v>
      </c>
      <c r="O11">
        <v>15657297.297297295</v>
      </c>
      <c r="P11">
        <v>18794298.198198199</v>
      </c>
      <c r="Q11">
        <v>89</v>
      </c>
      <c r="R11">
        <v>66</v>
      </c>
      <c r="S11">
        <v>57203054.054054059</v>
      </c>
      <c r="T11">
        <v>57709828.828828834</v>
      </c>
      <c r="U11">
        <v>11072342.342342339</v>
      </c>
      <c r="V11">
        <v>15229549.549549548</v>
      </c>
      <c r="W11">
        <v>2888</v>
      </c>
      <c r="X11">
        <v>2970</v>
      </c>
    </row>
    <row r="12" spans="1:24">
      <c r="A12" s="7" t="s">
        <v>61</v>
      </c>
      <c r="B12" s="16" t="s">
        <v>62</v>
      </c>
      <c r="C12">
        <v>582300732.59005129</v>
      </c>
      <c r="D12">
        <v>569737617.85413802</v>
      </c>
      <c r="E12">
        <v>223423.42342342899</v>
      </c>
      <c r="F12">
        <v>5468918.9189189263</v>
      </c>
      <c r="G12">
        <v>42</v>
      </c>
      <c r="H12">
        <v>81</v>
      </c>
      <c r="I12">
        <v>10</v>
      </c>
      <c r="J12">
        <v>14</v>
      </c>
      <c r="M12">
        <v>46</v>
      </c>
      <c r="N12">
        <v>88</v>
      </c>
      <c r="O12">
        <v>18638198.198198199</v>
      </c>
      <c r="P12">
        <v>72064144.144144148</v>
      </c>
      <c r="Q12">
        <v>218</v>
      </c>
      <c r="R12">
        <v>153</v>
      </c>
      <c r="S12">
        <v>63623378.378378376</v>
      </c>
      <c r="T12">
        <v>60192025.225225225</v>
      </c>
      <c r="U12">
        <v>17992342.342342339</v>
      </c>
      <c r="V12">
        <v>70661981.981981978</v>
      </c>
      <c r="W12">
        <v>8890</v>
      </c>
      <c r="X12">
        <v>8793</v>
      </c>
    </row>
    <row r="13" spans="1:24">
      <c r="A13" s="7" t="s">
        <v>63</v>
      </c>
      <c r="B13" s="16" t="s">
        <v>50</v>
      </c>
      <c r="C13">
        <v>301412536.16085774</v>
      </c>
      <c r="D13">
        <v>302088143.39982545</v>
      </c>
      <c r="E13">
        <v>1036036.036036041</v>
      </c>
      <c r="F13">
        <v>3518018.0180180222</v>
      </c>
      <c r="G13">
        <v>54</v>
      </c>
      <c r="H13">
        <v>95</v>
      </c>
      <c r="I13">
        <v>26</v>
      </c>
      <c r="J13">
        <v>23</v>
      </c>
      <c r="K13">
        <v>2</v>
      </c>
      <c r="M13">
        <v>59</v>
      </c>
      <c r="N13">
        <v>139</v>
      </c>
      <c r="O13">
        <v>99773071.171171173</v>
      </c>
      <c r="P13">
        <v>96007657.657657668</v>
      </c>
      <c r="Q13">
        <v>87</v>
      </c>
      <c r="R13">
        <v>217</v>
      </c>
      <c r="S13">
        <v>116529522.52252252</v>
      </c>
      <c r="T13">
        <v>117142126.12612613</v>
      </c>
      <c r="U13">
        <v>101841574.77477477</v>
      </c>
      <c r="V13">
        <v>93050720.720720723</v>
      </c>
      <c r="W13">
        <v>5376</v>
      </c>
      <c r="X13">
        <v>5634</v>
      </c>
    </row>
    <row r="14" spans="1:24">
      <c r="A14" s="7" t="s">
        <v>64</v>
      </c>
      <c r="B14" s="16" t="s">
        <v>50</v>
      </c>
      <c r="C14">
        <v>314496202.860461</v>
      </c>
      <c r="D14">
        <v>308876437.50273967</v>
      </c>
      <c r="E14">
        <v>2191441.4414414451</v>
      </c>
      <c r="F14">
        <v>4518918.9189189197</v>
      </c>
      <c r="G14">
        <v>45</v>
      </c>
      <c r="H14">
        <v>73</v>
      </c>
      <c r="I14">
        <v>16</v>
      </c>
      <c r="J14">
        <v>14</v>
      </c>
      <c r="K14">
        <v>1</v>
      </c>
      <c r="M14">
        <v>50</v>
      </c>
      <c r="N14">
        <v>92</v>
      </c>
      <c r="O14">
        <v>71779090.990990996</v>
      </c>
      <c r="P14">
        <v>42376936.936936937</v>
      </c>
      <c r="Q14">
        <v>234</v>
      </c>
      <c r="R14">
        <v>112</v>
      </c>
      <c r="S14">
        <v>118470513.51351352</v>
      </c>
      <c r="T14">
        <v>118294369.36936937</v>
      </c>
      <c r="U14">
        <v>70971891.891891897</v>
      </c>
      <c r="V14">
        <v>40315945.945945941</v>
      </c>
      <c r="W14">
        <v>5320</v>
      </c>
      <c r="X14">
        <v>5434</v>
      </c>
    </row>
    <row r="15" spans="1:24">
      <c r="A15" s="7" t="s">
        <v>65</v>
      </c>
      <c r="B15" s="16" t="s">
        <v>66</v>
      </c>
      <c r="C15">
        <v>319754662.89460725</v>
      </c>
      <c r="D15">
        <v>314055888.27441221</v>
      </c>
      <c r="E15">
        <v>1628018.018018021</v>
      </c>
      <c r="F15">
        <v>6661711.7117117159</v>
      </c>
      <c r="G15">
        <v>144</v>
      </c>
      <c r="H15">
        <v>62</v>
      </c>
      <c r="I15">
        <v>14</v>
      </c>
      <c r="J15">
        <v>18</v>
      </c>
      <c r="M15">
        <v>159</v>
      </c>
      <c r="N15">
        <v>94</v>
      </c>
      <c r="O15">
        <v>74409009.009009004</v>
      </c>
      <c r="P15">
        <v>119594864.86486487</v>
      </c>
      <c r="Q15">
        <v>408</v>
      </c>
      <c r="R15">
        <v>15</v>
      </c>
      <c r="S15">
        <v>158965081.08108109</v>
      </c>
      <c r="T15">
        <v>159242450.45045045</v>
      </c>
      <c r="U15">
        <v>75107027.027027026</v>
      </c>
      <c r="V15">
        <v>110880990.990991</v>
      </c>
      <c r="W15">
        <v>5491</v>
      </c>
      <c r="X15">
        <v>6355</v>
      </c>
    </row>
    <row r="16" spans="1:24">
      <c r="A16" s="7" t="s">
        <v>67</v>
      </c>
      <c r="B16" s="16" t="s">
        <v>68</v>
      </c>
      <c r="C16">
        <v>194791805.05210277</v>
      </c>
      <c r="D16">
        <v>183746938.33392358</v>
      </c>
      <c r="E16">
        <v>517567.56756756798</v>
      </c>
      <c r="F16">
        <v>1364864.8648648651</v>
      </c>
      <c r="G16">
        <v>91</v>
      </c>
      <c r="H16">
        <v>60</v>
      </c>
      <c r="I16">
        <v>8</v>
      </c>
      <c r="J16">
        <v>4</v>
      </c>
      <c r="M16">
        <v>99</v>
      </c>
      <c r="N16">
        <v>78</v>
      </c>
      <c r="O16">
        <v>30038603.603603605</v>
      </c>
      <c r="P16">
        <v>32097837.837837841</v>
      </c>
      <c r="Q16">
        <v>105</v>
      </c>
      <c r="R16">
        <v>90</v>
      </c>
      <c r="S16">
        <v>52893243.24324324</v>
      </c>
      <c r="T16">
        <v>50698594.59459459</v>
      </c>
      <c r="U16">
        <v>26021351.351351351</v>
      </c>
      <c r="V16">
        <v>24141621.62162162</v>
      </c>
      <c r="W16">
        <v>3463</v>
      </c>
      <c r="X16">
        <v>3334</v>
      </c>
    </row>
    <row r="17" spans="1:24">
      <c r="A17" s="7" t="s">
        <v>69</v>
      </c>
      <c r="B17" s="16" t="s">
        <v>70</v>
      </c>
      <c r="C17">
        <v>14171565.017785072</v>
      </c>
      <c r="D17">
        <v>14253335.216349481</v>
      </c>
      <c r="E17">
        <v>25675.675675676001</v>
      </c>
      <c r="F17">
        <v>116216.216216217</v>
      </c>
      <c r="G17">
        <v>3</v>
      </c>
      <c r="H17">
        <v>4</v>
      </c>
      <c r="I17">
        <v>0</v>
      </c>
      <c r="J17">
        <v>2</v>
      </c>
      <c r="M17">
        <v>3</v>
      </c>
      <c r="N17">
        <v>4</v>
      </c>
      <c r="O17">
        <v>302702.70270270301</v>
      </c>
      <c r="P17">
        <v>404504.50450450502</v>
      </c>
      <c r="Q17">
        <v>2</v>
      </c>
      <c r="R17">
        <v>4</v>
      </c>
      <c r="S17">
        <v>3001261.2612612611</v>
      </c>
      <c r="T17">
        <v>4224653.1531531531</v>
      </c>
      <c r="U17">
        <v>298828.828828828</v>
      </c>
      <c r="V17">
        <v>404054.05405405402</v>
      </c>
      <c r="W17">
        <v>439</v>
      </c>
      <c r="X17">
        <v>298</v>
      </c>
    </row>
    <row r="18" spans="1:24">
      <c r="A18" s="7" t="s">
        <v>71</v>
      </c>
      <c r="B18" s="16" t="s">
        <v>72</v>
      </c>
      <c r="C18">
        <v>2520465338.9058347</v>
      </c>
      <c r="D18">
        <v>2406775185.8444114</v>
      </c>
      <c r="E18">
        <v>678838955.85585582</v>
      </c>
      <c r="F18">
        <v>529853763.96396399</v>
      </c>
      <c r="G18">
        <v>831</v>
      </c>
      <c r="H18">
        <v>782</v>
      </c>
      <c r="I18">
        <v>134</v>
      </c>
      <c r="J18">
        <v>147</v>
      </c>
      <c r="K18">
        <v>28</v>
      </c>
      <c r="M18">
        <v>1093</v>
      </c>
      <c r="N18">
        <v>1265</v>
      </c>
      <c r="O18">
        <v>293177664.86486483</v>
      </c>
      <c r="P18">
        <v>276971628.82882881</v>
      </c>
      <c r="Q18">
        <v>1503</v>
      </c>
      <c r="R18">
        <v>1787</v>
      </c>
      <c r="S18">
        <v>486005596.3963964</v>
      </c>
      <c r="T18">
        <v>497061223.42342341</v>
      </c>
      <c r="U18">
        <v>265929549.54954958</v>
      </c>
      <c r="V18">
        <v>232375538.73873875</v>
      </c>
      <c r="W18">
        <v>45707</v>
      </c>
      <c r="X18">
        <v>45266</v>
      </c>
    </row>
    <row r="19" spans="1:24">
      <c r="A19" s="7" t="s">
        <v>73</v>
      </c>
      <c r="B19" s="16" t="s">
        <v>72</v>
      </c>
      <c r="C19">
        <v>261869095.48819</v>
      </c>
      <c r="D19">
        <v>229137065.81692722</v>
      </c>
      <c r="E19">
        <v>56963063.063063063</v>
      </c>
      <c r="F19">
        <v>66363423.423423424</v>
      </c>
      <c r="G19">
        <v>55</v>
      </c>
      <c r="H19">
        <v>51</v>
      </c>
      <c r="I19">
        <v>4</v>
      </c>
      <c r="J19">
        <v>1</v>
      </c>
      <c r="K19">
        <v>1</v>
      </c>
      <c r="M19">
        <v>59</v>
      </c>
      <c r="N19">
        <v>68</v>
      </c>
      <c r="O19">
        <v>12788738.73873874</v>
      </c>
      <c r="P19">
        <v>11339639.63963964</v>
      </c>
      <c r="Q19">
        <v>22</v>
      </c>
      <c r="R19">
        <v>20</v>
      </c>
      <c r="S19">
        <v>33739684.684684686</v>
      </c>
      <c r="T19">
        <v>34012585.585585587</v>
      </c>
      <c r="U19">
        <v>4557657.6576576577</v>
      </c>
      <c r="V19">
        <v>6116936.9369369373</v>
      </c>
      <c r="W19">
        <v>3825</v>
      </c>
      <c r="X19">
        <v>3617</v>
      </c>
    </row>
    <row r="20" spans="1:24">
      <c r="A20" s="7" t="s">
        <v>74</v>
      </c>
      <c r="B20" s="16" t="s">
        <v>70</v>
      </c>
      <c r="C20">
        <v>253271810.9112727</v>
      </c>
      <c r="D20">
        <v>251372775.75707248</v>
      </c>
      <c r="E20">
        <v>1740630.6306306331</v>
      </c>
      <c r="F20">
        <v>6808108.1081081107</v>
      </c>
      <c r="G20">
        <v>57</v>
      </c>
      <c r="H20">
        <v>74</v>
      </c>
      <c r="I20">
        <v>10</v>
      </c>
      <c r="J20">
        <v>23</v>
      </c>
      <c r="M20">
        <v>65</v>
      </c>
      <c r="N20">
        <v>190</v>
      </c>
      <c r="O20">
        <v>50296936.936936937</v>
      </c>
      <c r="P20">
        <v>56774774.774774775</v>
      </c>
      <c r="Q20">
        <v>281</v>
      </c>
      <c r="R20">
        <v>293</v>
      </c>
      <c r="S20">
        <v>89268990.990990996</v>
      </c>
      <c r="T20">
        <v>93129972.972972974</v>
      </c>
      <c r="U20">
        <v>66695765.765765771</v>
      </c>
      <c r="V20">
        <v>55372072.072072074</v>
      </c>
      <c r="W20">
        <v>4506</v>
      </c>
      <c r="X20">
        <v>4520</v>
      </c>
    </row>
    <row r="21" spans="1:24">
      <c r="A21" s="7" t="s">
        <v>75</v>
      </c>
      <c r="B21" s="16" t="s">
        <v>76</v>
      </c>
      <c r="C21">
        <v>74161024.231331646</v>
      </c>
      <c r="D21">
        <v>72598304.716772437</v>
      </c>
      <c r="E21">
        <v>79279.279279280003</v>
      </c>
      <c r="F21">
        <v>632432.43243243301</v>
      </c>
      <c r="G21">
        <v>17</v>
      </c>
      <c r="H21">
        <v>23</v>
      </c>
      <c r="I21">
        <v>1</v>
      </c>
      <c r="J21">
        <v>3</v>
      </c>
      <c r="M21">
        <v>17</v>
      </c>
      <c r="N21">
        <v>25</v>
      </c>
      <c r="O21">
        <v>7790090.0900900904</v>
      </c>
      <c r="P21">
        <v>9321981.9819819815</v>
      </c>
      <c r="Q21">
        <v>15</v>
      </c>
      <c r="R21">
        <v>8</v>
      </c>
      <c r="S21">
        <v>18175360.360360362</v>
      </c>
      <c r="T21">
        <v>18084648.648648649</v>
      </c>
      <c r="U21">
        <v>6730000</v>
      </c>
      <c r="V21">
        <v>7224144.1441441448</v>
      </c>
      <c r="W21">
        <v>1449</v>
      </c>
      <c r="X21">
        <v>1523</v>
      </c>
    </row>
    <row r="22" spans="1:24">
      <c r="A22" s="7" t="s">
        <v>77</v>
      </c>
      <c r="B22" s="16" t="s">
        <v>78</v>
      </c>
      <c r="C22">
        <v>167026607.98359901</v>
      </c>
      <c r="D22">
        <v>156258334.5734722</v>
      </c>
      <c r="E22">
        <v>607297.297297296</v>
      </c>
      <c r="F22">
        <v>2413513.5135135129</v>
      </c>
      <c r="G22">
        <v>39</v>
      </c>
      <c r="H22">
        <v>25</v>
      </c>
      <c r="I22">
        <v>4</v>
      </c>
      <c r="J22">
        <v>5</v>
      </c>
      <c r="K22">
        <v>1</v>
      </c>
      <c r="M22">
        <v>42</v>
      </c>
      <c r="N22">
        <v>37</v>
      </c>
      <c r="O22">
        <v>17515405.405405402</v>
      </c>
      <c r="P22">
        <v>19121621.62162162</v>
      </c>
      <c r="Q22">
        <v>94</v>
      </c>
      <c r="R22">
        <v>59</v>
      </c>
      <c r="S22">
        <v>51918945.945945941</v>
      </c>
      <c r="T22">
        <v>51488378.378378376</v>
      </c>
      <c r="U22">
        <v>16899279.27927928</v>
      </c>
      <c r="V22">
        <v>21690180.180180181</v>
      </c>
      <c r="W22">
        <v>2465</v>
      </c>
      <c r="X22">
        <v>2494</v>
      </c>
    </row>
    <row r="23" spans="1:24">
      <c r="A23" s="7" t="s">
        <v>79</v>
      </c>
      <c r="B23" s="16" t="s">
        <v>80</v>
      </c>
      <c r="C23">
        <v>1505310159.2641959</v>
      </c>
      <c r="D23">
        <v>1436069658.0839849</v>
      </c>
      <c r="E23">
        <v>4293468.4684684733</v>
      </c>
      <c r="F23">
        <v>10181756.75675676</v>
      </c>
      <c r="G23">
        <v>522</v>
      </c>
      <c r="H23">
        <v>916</v>
      </c>
      <c r="I23">
        <v>52</v>
      </c>
      <c r="J23">
        <v>37</v>
      </c>
      <c r="K23">
        <v>4</v>
      </c>
      <c r="M23">
        <v>606</v>
      </c>
      <c r="N23">
        <v>1157</v>
      </c>
      <c r="O23">
        <v>457437207.20720714</v>
      </c>
      <c r="P23">
        <v>208497297.29729727</v>
      </c>
      <c r="Q23">
        <v>551</v>
      </c>
      <c r="R23">
        <v>618</v>
      </c>
      <c r="S23">
        <v>370854815.31531531</v>
      </c>
      <c r="T23">
        <v>374384502.25225222</v>
      </c>
      <c r="U23">
        <v>127131711.7117117</v>
      </c>
      <c r="V23">
        <v>193325405.4054054</v>
      </c>
      <c r="W23">
        <v>26370</v>
      </c>
      <c r="X23">
        <v>26094</v>
      </c>
    </row>
    <row r="24" spans="1:24">
      <c r="A24" s="7" t="s">
        <v>81</v>
      </c>
      <c r="B24" s="16" t="s">
        <v>54</v>
      </c>
      <c r="C24">
        <v>45426317.26278124</v>
      </c>
      <c r="D24">
        <v>44913513.578405641</v>
      </c>
      <c r="E24">
        <v>145945.94594594699</v>
      </c>
      <c r="F24">
        <v>458558.55855856102</v>
      </c>
      <c r="G24">
        <v>14</v>
      </c>
      <c r="H24">
        <v>13</v>
      </c>
      <c r="I24">
        <v>0</v>
      </c>
      <c r="J24">
        <v>4</v>
      </c>
      <c r="M24">
        <v>17</v>
      </c>
      <c r="N24">
        <v>19</v>
      </c>
      <c r="O24">
        <v>3777027.0270270249</v>
      </c>
      <c r="P24">
        <v>3785405.4054054059</v>
      </c>
      <c r="Q24">
        <v>51</v>
      </c>
      <c r="R24">
        <v>30</v>
      </c>
      <c r="S24">
        <v>10095990.990990993</v>
      </c>
      <c r="T24">
        <v>10485162.162162162</v>
      </c>
      <c r="U24">
        <v>3711801.8018018012</v>
      </c>
      <c r="V24">
        <v>2917567.5675675678</v>
      </c>
      <c r="W24">
        <v>1442</v>
      </c>
      <c r="X24">
        <v>1351</v>
      </c>
    </row>
    <row r="25" spans="1:24">
      <c r="A25" s="7" t="s">
        <v>82</v>
      </c>
      <c r="B25" s="16" t="s">
        <v>83</v>
      </c>
      <c r="C25">
        <v>1052677219.7233506</v>
      </c>
      <c r="D25">
        <v>1037327558.9904073</v>
      </c>
      <c r="E25">
        <v>8211576.5765765756</v>
      </c>
      <c r="F25">
        <v>11645270.270270273</v>
      </c>
      <c r="G25">
        <v>192</v>
      </c>
      <c r="H25">
        <v>205</v>
      </c>
      <c r="I25">
        <v>19</v>
      </c>
      <c r="J25">
        <v>28</v>
      </c>
      <c r="K25">
        <v>1</v>
      </c>
      <c r="M25">
        <v>236</v>
      </c>
      <c r="N25">
        <v>239</v>
      </c>
      <c r="O25">
        <v>171153018.01801801</v>
      </c>
      <c r="P25">
        <v>211740990.99099097</v>
      </c>
      <c r="Q25">
        <v>381</v>
      </c>
      <c r="R25">
        <v>560</v>
      </c>
      <c r="S25">
        <v>300739445.04504508</v>
      </c>
      <c r="T25">
        <v>304834201.35135138</v>
      </c>
      <c r="U25">
        <v>162969864.86486486</v>
      </c>
      <c r="V25">
        <v>156628738.73873875</v>
      </c>
      <c r="W25">
        <v>15201</v>
      </c>
      <c r="X25">
        <v>14904</v>
      </c>
    </row>
    <row r="26" spans="1:24">
      <c r="A26" s="7" t="s">
        <v>84</v>
      </c>
      <c r="B26" s="16" t="s">
        <v>85</v>
      </c>
      <c r="C26">
        <v>104006301.90564738</v>
      </c>
      <c r="D26">
        <v>97700989.071685791</v>
      </c>
      <c r="E26">
        <v>343693.69369369501</v>
      </c>
      <c r="F26">
        <v>2010360.3603603609</v>
      </c>
      <c r="G26">
        <v>49</v>
      </c>
      <c r="H26">
        <v>53</v>
      </c>
      <c r="I26">
        <v>14</v>
      </c>
      <c r="J26">
        <v>11</v>
      </c>
      <c r="M26">
        <v>55</v>
      </c>
      <c r="N26">
        <v>64</v>
      </c>
      <c r="O26">
        <v>127959459.45945945</v>
      </c>
      <c r="P26">
        <v>213650000</v>
      </c>
      <c r="Q26">
        <v>270</v>
      </c>
      <c r="R26">
        <v>296</v>
      </c>
      <c r="S26">
        <v>35276216.216216214</v>
      </c>
      <c r="T26">
        <v>34444036.036036037</v>
      </c>
      <c r="U26">
        <v>107406126.12612613</v>
      </c>
      <c r="V26">
        <v>189585945.94594595</v>
      </c>
      <c r="W26">
        <v>2245</v>
      </c>
      <c r="X26">
        <v>2251</v>
      </c>
    </row>
    <row r="27" spans="1:24">
      <c r="A27" s="7" t="s">
        <v>86</v>
      </c>
      <c r="B27" s="16" t="s">
        <v>87</v>
      </c>
      <c r="C27">
        <v>4248478.5809198488</v>
      </c>
      <c r="D27">
        <v>3687986.65460057</v>
      </c>
      <c r="G27">
        <v>3</v>
      </c>
      <c r="H27">
        <v>3</v>
      </c>
      <c r="M27">
        <v>4</v>
      </c>
      <c r="N27">
        <v>4</v>
      </c>
      <c r="S27">
        <v>1263243.2432432431</v>
      </c>
      <c r="T27">
        <v>1655639.63963964</v>
      </c>
      <c r="W27">
        <v>166</v>
      </c>
      <c r="X27">
        <v>175</v>
      </c>
    </row>
    <row r="28" spans="1:24">
      <c r="A28" s="7" t="s">
        <v>88</v>
      </c>
      <c r="B28" s="16" t="s">
        <v>89</v>
      </c>
      <c r="C28">
        <v>213626784.83557856</v>
      </c>
      <c r="D28">
        <v>212532472.61665601</v>
      </c>
      <c r="E28">
        <v>572747.74774774897</v>
      </c>
      <c r="F28">
        <v>4891891.8918918911</v>
      </c>
      <c r="G28">
        <v>21</v>
      </c>
      <c r="H28">
        <v>30</v>
      </c>
      <c r="I28">
        <v>18</v>
      </c>
      <c r="J28">
        <v>27</v>
      </c>
      <c r="K28">
        <v>1</v>
      </c>
      <c r="M28">
        <v>23</v>
      </c>
      <c r="N28">
        <v>34</v>
      </c>
      <c r="O28">
        <v>18402882.882882878</v>
      </c>
      <c r="P28">
        <v>43392072.072072074</v>
      </c>
      <c r="Q28">
        <v>112</v>
      </c>
      <c r="R28">
        <v>192</v>
      </c>
      <c r="S28">
        <v>75044351.351351351</v>
      </c>
      <c r="T28">
        <v>76065270.270270273</v>
      </c>
      <c r="U28">
        <v>15996666.666666664</v>
      </c>
      <c r="V28">
        <v>42113153.153153151</v>
      </c>
      <c r="W28">
        <v>3391</v>
      </c>
      <c r="X28">
        <v>3434</v>
      </c>
    </row>
    <row r="29" spans="1:24">
      <c r="A29" s="7" t="s">
        <v>90</v>
      </c>
      <c r="B29" s="16" t="s">
        <v>60</v>
      </c>
      <c r="C29">
        <v>66512535.981632352</v>
      </c>
      <c r="D29">
        <v>75364455.490501925</v>
      </c>
      <c r="E29">
        <v>67567.567567567996</v>
      </c>
      <c r="F29">
        <v>190990.99099099301</v>
      </c>
      <c r="G29">
        <v>57</v>
      </c>
      <c r="H29">
        <v>18</v>
      </c>
      <c r="I29">
        <v>2</v>
      </c>
      <c r="J29">
        <v>0</v>
      </c>
      <c r="M29">
        <v>121</v>
      </c>
      <c r="N29">
        <v>160</v>
      </c>
      <c r="O29">
        <v>6689189.1891891891</v>
      </c>
      <c r="P29">
        <v>5299099.0990991006</v>
      </c>
      <c r="Q29">
        <v>88</v>
      </c>
      <c r="R29">
        <v>41</v>
      </c>
      <c r="S29">
        <v>40195810.810810804</v>
      </c>
      <c r="T29">
        <v>44310297.297297299</v>
      </c>
      <c r="U29">
        <v>5670270.2702702703</v>
      </c>
      <c r="V29">
        <v>4996666.666666666</v>
      </c>
      <c r="W29">
        <v>1589</v>
      </c>
      <c r="X29">
        <v>1494</v>
      </c>
    </row>
    <row r="30" spans="1:24">
      <c r="A30" s="7" t="s">
        <v>91</v>
      </c>
      <c r="B30" s="16" t="s">
        <v>92</v>
      </c>
      <c r="C30">
        <v>64641494.937610202</v>
      </c>
      <c r="D30">
        <v>62924448.418344803</v>
      </c>
      <c r="E30">
        <v>41360135.135135137</v>
      </c>
      <c r="F30">
        <v>63849549.54954955</v>
      </c>
      <c r="G30">
        <v>20</v>
      </c>
      <c r="H30">
        <v>15</v>
      </c>
      <c r="I30">
        <v>4</v>
      </c>
      <c r="J30">
        <v>2</v>
      </c>
      <c r="M30">
        <v>21</v>
      </c>
      <c r="N30">
        <v>20</v>
      </c>
      <c r="O30">
        <v>29360000</v>
      </c>
      <c r="P30">
        <v>19217657.657657657</v>
      </c>
      <c r="Q30">
        <v>89</v>
      </c>
      <c r="R30">
        <v>2</v>
      </c>
      <c r="S30">
        <v>21782072.072072074</v>
      </c>
      <c r="T30">
        <v>20384468.468468469</v>
      </c>
      <c r="U30">
        <v>21808648.648648649</v>
      </c>
      <c r="V30">
        <v>16771711.711711712</v>
      </c>
      <c r="W30">
        <v>1038</v>
      </c>
      <c r="X30">
        <v>1044</v>
      </c>
    </row>
    <row r="31" spans="1:24">
      <c r="A31" s="7" t="s">
        <v>93</v>
      </c>
      <c r="B31" s="16" t="s">
        <v>94</v>
      </c>
      <c r="C31">
        <v>276963360.28493488</v>
      </c>
      <c r="D31">
        <v>264517127.68533686</v>
      </c>
      <c r="E31">
        <v>598198.19819819694</v>
      </c>
      <c r="F31">
        <v>547297.29729729902</v>
      </c>
      <c r="G31">
        <v>70</v>
      </c>
      <c r="H31">
        <v>44</v>
      </c>
      <c r="I31">
        <v>9</v>
      </c>
      <c r="J31">
        <v>6</v>
      </c>
      <c r="M31">
        <v>76</v>
      </c>
      <c r="N31">
        <v>54</v>
      </c>
      <c r="O31">
        <v>32889189.189189188</v>
      </c>
      <c r="P31">
        <v>34204954.954954959</v>
      </c>
      <c r="Q31">
        <v>149</v>
      </c>
      <c r="R31">
        <v>126</v>
      </c>
      <c r="S31">
        <v>39727918.918918923</v>
      </c>
      <c r="T31">
        <v>38290836.036036037</v>
      </c>
      <c r="U31">
        <v>31392702.702702701</v>
      </c>
      <c r="V31">
        <v>28695945.945945945</v>
      </c>
      <c r="W31">
        <v>4347</v>
      </c>
      <c r="X31">
        <v>4503</v>
      </c>
    </row>
    <row r="32" spans="1:24">
      <c r="A32" s="7" t="s">
        <v>95</v>
      </c>
      <c r="B32" s="16" t="s">
        <v>96</v>
      </c>
      <c r="C32">
        <v>289120760.76309413</v>
      </c>
      <c r="D32">
        <v>287169784.65872723</v>
      </c>
      <c r="E32">
        <v>107729245.94594595</v>
      </c>
      <c r="F32">
        <v>187205476.57657659</v>
      </c>
      <c r="G32">
        <v>83</v>
      </c>
      <c r="H32">
        <v>65</v>
      </c>
      <c r="I32">
        <v>6</v>
      </c>
      <c r="J32">
        <v>6</v>
      </c>
      <c r="K32">
        <v>1</v>
      </c>
      <c r="M32">
        <v>94</v>
      </c>
      <c r="N32">
        <v>74</v>
      </c>
      <c r="O32">
        <v>76545528.828828827</v>
      </c>
      <c r="P32">
        <v>141200981.98198199</v>
      </c>
      <c r="Q32">
        <v>190</v>
      </c>
      <c r="R32">
        <v>96</v>
      </c>
      <c r="S32">
        <v>141206432.43243244</v>
      </c>
      <c r="T32">
        <v>143372360.36036035</v>
      </c>
      <c r="U32">
        <v>47173693.693693697</v>
      </c>
      <c r="V32">
        <v>50090180.180180185</v>
      </c>
      <c r="W32">
        <v>6269</v>
      </c>
      <c r="X32">
        <v>6021</v>
      </c>
    </row>
    <row r="33" spans="1:24">
      <c r="A33" s="7" t="s">
        <v>97</v>
      </c>
      <c r="B33" s="16" t="s">
        <v>98</v>
      </c>
      <c r="C33">
        <v>1007037018.6520224</v>
      </c>
      <c r="D33">
        <v>999620133.95456731</v>
      </c>
      <c r="E33">
        <v>167074864.86486486</v>
      </c>
      <c r="F33">
        <v>190905540.54054055</v>
      </c>
      <c r="G33">
        <v>445</v>
      </c>
      <c r="H33">
        <v>395</v>
      </c>
      <c r="I33">
        <v>38</v>
      </c>
      <c r="J33">
        <v>41</v>
      </c>
      <c r="M33">
        <v>517</v>
      </c>
      <c r="N33">
        <v>503</v>
      </c>
      <c r="O33">
        <v>153728423.42342341</v>
      </c>
      <c r="P33">
        <v>306061936.93693697</v>
      </c>
      <c r="Q33">
        <v>755</v>
      </c>
      <c r="R33">
        <v>1394</v>
      </c>
      <c r="S33">
        <v>263437863.06306309</v>
      </c>
      <c r="T33">
        <v>258856859.009009</v>
      </c>
      <c r="U33">
        <v>146299909.90990993</v>
      </c>
      <c r="V33">
        <v>224779189.1891892</v>
      </c>
      <c r="W33">
        <v>22026</v>
      </c>
      <c r="X33">
        <v>22483</v>
      </c>
    </row>
    <row r="34" spans="1:24">
      <c r="A34" s="7" t="s">
        <v>99</v>
      </c>
      <c r="B34" s="16" t="s">
        <v>98</v>
      </c>
      <c r="C34">
        <v>1664722545.2329273</v>
      </c>
      <c r="D34">
        <v>1610531510.4205275</v>
      </c>
      <c r="E34">
        <v>1069466.66666667</v>
      </c>
      <c r="F34">
        <v>6399129.7297297316</v>
      </c>
      <c r="G34">
        <v>489</v>
      </c>
      <c r="H34">
        <v>485</v>
      </c>
      <c r="I34">
        <v>34</v>
      </c>
      <c r="J34">
        <v>39</v>
      </c>
      <c r="K34">
        <v>14</v>
      </c>
      <c r="M34">
        <v>596</v>
      </c>
      <c r="N34">
        <v>799</v>
      </c>
      <c r="O34">
        <v>88837072.072072074</v>
      </c>
      <c r="P34">
        <v>91538288.288288295</v>
      </c>
      <c r="Q34">
        <v>461</v>
      </c>
      <c r="R34">
        <v>438</v>
      </c>
      <c r="S34">
        <v>318742923.42342341</v>
      </c>
      <c r="T34">
        <v>309315500.45045042</v>
      </c>
      <c r="U34">
        <v>90464639.639639631</v>
      </c>
      <c r="V34">
        <v>88736126.126126125</v>
      </c>
      <c r="W34">
        <v>28135</v>
      </c>
      <c r="X34">
        <v>27808</v>
      </c>
    </row>
    <row r="35" spans="1:24">
      <c r="A35" s="7" t="s">
        <v>100</v>
      </c>
      <c r="B35" s="16" t="s">
        <v>98</v>
      </c>
      <c r="C35">
        <v>2586465526.6588812</v>
      </c>
      <c r="D35">
        <v>2218474449.2515521</v>
      </c>
      <c r="E35">
        <v>7168198.1981982039</v>
      </c>
      <c r="F35">
        <v>20133558.558558565</v>
      </c>
      <c r="G35">
        <v>421</v>
      </c>
      <c r="H35">
        <v>448</v>
      </c>
      <c r="I35">
        <v>45</v>
      </c>
      <c r="J35">
        <v>71</v>
      </c>
      <c r="K35">
        <v>21</v>
      </c>
      <c r="M35">
        <v>637</v>
      </c>
      <c r="N35">
        <v>1102</v>
      </c>
      <c r="O35">
        <v>1166789594.5945945</v>
      </c>
      <c r="P35">
        <v>969502837.83783782</v>
      </c>
      <c r="Q35">
        <v>1128</v>
      </c>
      <c r="R35">
        <v>1521</v>
      </c>
      <c r="S35">
        <v>1305551881.0810812</v>
      </c>
      <c r="T35">
        <v>1000995784.2342342</v>
      </c>
      <c r="U35">
        <v>664791709.90990984</v>
      </c>
      <c r="V35">
        <v>326406081.08108109</v>
      </c>
      <c r="W35">
        <v>32986</v>
      </c>
      <c r="X35">
        <v>33049</v>
      </c>
    </row>
    <row r="36" spans="1:24">
      <c r="A36" s="7" t="s">
        <v>101</v>
      </c>
      <c r="B36" s="16" t="s">
        <v>98</v>
      </c>
      <c r="C36">
        <v>956442175.70179725</v>
      </c>
      <c r="D36">
        <v>931029726.07953298</v>
      </c>
      <c r="E36">
        <v>1158333.3333333349</v>
      </c>
      <c r="F36">
        <v>6177477.4774774797</v>
      </c>
      <c r="G36">
        <v>322</v>
      </c>
      <c r="H36">
        <v>279</v>
      </c>
      <c r="I36">
        <v>22</v>
      </c>
      <c r="J36">
        <v>29</v>
      </c>
      <c r="K36">
        <v>1</v>
      </c>
      <c r="M36">
        <v>408</v>
      </c>
      <c r="N36">
        <v>337</v>
      </c>
      <c r="O36">
        <v>50534774.774774767</v>
      </c>
      <c r="P36">
        <v>81925675.675675675</v>
      </c>
      <c r="Q36">
        <v>90</v>
      </c>
      <c r="R36">
        <v>521</v>
      </c>
      <c r="S36">
        <v>208682682.88288289</v>
      </c>
      <c r="T36">
        <v>203890612.61261261</v>
      </c>
      <c r="U36">
        <v>54773513.513513513</v>
      </c>
      <c r="V36">
        <v>76390360.360360354</v>
      </c>
      <c r="W36">
        <v>21278</v>
      </c>
      <c r="X36">
        <v>21322</v>
      </c>
    </row>
    <row r="37" spans="1:24">
      <c r="A37" s="7" t="s">
        <v>102</v>
      </c>
      <c r="B37" s="16" t="s">
        <v>98</v>
      </c>
      <c r="C37">
        <v>1052940679.8404341</v>
      </c>
      <c r="D37">
        <v>1049031368.3391776</v>
      </c>
      <c r="E37">
        <v>6003198.1981982021</v>
      </c>
      <c r="F37">
        <v>11025225.225225229</v>
      </c>
      <c r="G37">
        <v>242</v>
      </c>
      <c r="H37">
        <v>234</v>
      </c>
      <c r="I37">
        <v>31</v>
      </c>
      <c r="J37">
        <v>26</v>
      </c>
      <c r="K37">
        <v>2</v>
      </c>
      <c r="M37">
        <v>375</v>
      </c>
      <c r="N37">
        <v>302</v>
      </c>
      <c r="O37">
        <v>145880270.27027026</v>
      </c>
      <c r="P37">
        <v>171281981.98198199</v>
      </c>
      <c r="Q37">
        <v>771</v>
      </c>
      <c r="R37">
        <v>399</v>
      </c>
      <c r="S37">
        <v>306004194.5945946</v>
      </c>
      <c r="T37">
        <v>305769310.8108108</v>
      </c>
      <c r="U37">
        <v>129159729.72972973</v>
      </c>
      <c r="V37">
        <v>192133333.33333334</v>
      </c>
      <c r="W37">
        <v>24772</v>
      </c>
      <c r="X37">
        <v>25196</v>
      </c>
    </row>
    <row r="38" spans="1:24">
      <c r="A38" s="7" t="s">
        <v>103</v>
      </c>
      <c r="B38" s="16" t="s">
        <v>98</v>
      </c>
      <c r="C38">
        <v>2729584849.556231</v>
      </c>
      <c r="D38">
        <v>2703165339.7826161</v>
      </c>
      <c r="E38">
        <v>1667246109.0090089</v>
      </c>
      <c r="F38">
        <v>956880689.1891892</v>
      </c>
      <c r="G38">
        <v>872</v>
      </c>
      <c r="H38">
        <v>779</v>
      </c>
      <c r="I38">
        <v>72</v>
      </c>
      <c r="J38">
        <v>72</v>
      </c>
      <c r="K38">
        <v>27</v>
      </c>
      <c r="M38">
        <v>1116</v>
      </c>
      <c r="N38">
        <v>1175</v>
      </c>
      <c r="O38">
        <v>818618513.51351345</v>
      </c>
      <c r="P38">
        <v>314295793.6936937</v>
      </c>
      <c r="Q38">
        <v>1691</v>
      </c>
      <c r="R38">
        <v>1595</v>
      </c>
      <c r="S38">
        <v>561454120.72072065</v>
      </c>
      <c r="T38">
        <v>574926124.32432437</v>
      </c>
      <c r="U38">
        <v>317552250.45045042</v>
      </c>
      <c r="V38">
        <v>281358648.64864862</v>
      </c>
      <c r="W38">
        <v>55412</v>
      </c>
      <c r="X38">
        <v>55501</v>
      </c>
    </row>
    <row r="39" spans="1:24">
      <c r="A39" s="7" t="s">
        <v>104</v>
      </c>
      <c r="B39" s="16" t="s">
        <v>105</v>
      </c>
      <c r="C39">
        <v>210503251.22626284</v>
      </c>
      <c r="D39">
        <v>189692538.97818828</v>
      </c>
      <c r="E39">
        <v>372972.97297297302</v>
      </c>
      <c r="F39">
        <v>1263963.963963964</v>
      </c>
      <c r="G39">
        <v>61</v>
      </c>
      <c r="H39">
        <v>40</v>
      </c>
      <c r="I39">
        <v>1</v>
      </c>
      <c r="J39">
        <v>0</v>
      </c>
      <c r="M39">
        <v>63</v>
      </c>
      <c r="N39">
        <v>44</v>
      </c>
      <c r="O39">
        <v>1215315.315315315</v>
      </c>
      <c r="P39">
        <v>1714414.414414414</v>
      </c>
      <c r="Q39">
        <v>1</v>
      </c>
      <c r="R39">
        <v>50</v>
      </c>
      <c r="S39">
        <v>41152882.882882878</v>
      </c>
      <c r="T39">
        <v>41469441.441441439</v>
      </c>
      <c r="U39">
        <v>1371981.981981982</v>
      </c>
      <c r="V39">
        <v>1186846.8468468471</v>
      </c>
      <c r="W39">
        <v>2558</v>
      </c>
      <c r="X39">
        <v>2527</v>
      </c>
    </row>
    <row r="40" spans="1:24">
      <c r="A40" s="7" t="s">
        <v>106</v>
      </c>
      <c r="B40" s="16" t="s">
        <v>54</v>
      </c>
      <c r="C40">
        <v>67903669.455241129</v>
      </c>
      <c r="D40">
        <v>64746416.503779568</v>
      </c>
      <c r="E40">
        <v>277477.47747747798</v>
      </c>
      <c r="F40">
        <v>72972.972972973002</v>
      </c>
      <c r="G40">
        <v>53</v>
      </c>
      <c r="H40">
        <v>35</v>
      </c>
      <c r="I40">
        <v>0</v>
      </c>
      <c r="J40">
        <v>0</v>
      </c>
      <c r="M40">
        <v>70</v>
      </c>
      <c r="N40">
        <v>52</v>
      </c>
      <c r="O40">
        <v>3273423.4234234248</v>
      </c>
      <c r="P40">
        <v>2536216.2162162159</v>
      </c>
      <c r="Q40">
        <v>39</v>
      </c>
      <c r="R40">
        <v>28</v>
      </c>
      <c r="S40">
        <v>18440135.135135137</v>
      </c>
      <c r="T40">
        <v>16722306.306306306</v>
      </c>
      <c r="U40">
        <v>3588378.3783783782</v>
      </c>
      <c r="V40">
        <v>2222702.702702702</v>
      </c>
      <c r="W40">
        <v>1374</v>
      </c>
      <c r="X40">
        <v>1473</v>
      </c>
    </row>
    <row r="41" spans="1:24">
      <c r="A41" s="7" t="s">
        <v>107</v>
      </c>
      <c r="B41" s="16" t="s">
        <v>108</v>
      </c>
      <c r="C41">
        <v>562298550.74161649</v>
      </c>
      <c r="D41">
        <v>522371163.93650806</v>
      </c>
      <c r="E41">
        <v>1657837.837837839</v>
      </c>
      <c r="F41">
        <v>5931981.9819819871</v>
      </c>
      <c r="G41">
        <v>169</v>
      </c>
      <c r="H41">
        <v>148</v>
      </c>
      <c r="I41">
        <v>15</v>
      </c>
      <c r="J41">
        <v>18</v>
      </c>
      <c r="K41">
        <v>5</v>
      </c>
      <c r="M41">
        <v>193</v>
      </c>
      <c r="N41">
        <v>184</v>
      </c>
      <c r="O41">
        <v>126321351.35135135</v>
      </c>
      <c r="P41">
        <v>80450630.630630627</v>
      </c>
      <c r="Q41">
        <v>515</v>
      </c>
      <c r="R41">
        <v>751</v>
      </c>
      <c r="S41">
        <v>115183374.77477477</v>
      </c>
      <c r="T41">
        <v>113549693.6936937</v>
      </c>
      <c r="U41">
        <v>93992072.072072074</v>
      </c>
      <c r="V41">
        <v>68267567.567567572</v>
      </c>
      <c r="W41">
        <v>10634</v>
      </c>
      <c r="X41">
        <v>9614</v>
      </c>
    </row>
    <row r="42" spans="1:24">
      <c r="A42" s="7" t="s">
        <v>109</v>
      </c>
      <c r="B42" s="16" t="s">
        <v>108</v>
      </c>
      <c r="C42">
        <v>756682998.0535363</v>
      </c>
      <c r="D42">
        <v>740371631.31030476</v>
      </c>
      <c r="E42">
        <v>5830180.1801801836</v>
      </c>
      <c r="F42">
        <v>7851427.9279279318</v>
      </c>
      <c r="G42">
        <v>198</v>
      </c>
      <c r="H42">
        <v>256</v>
      </c>
      <c r="I42">
        <v>19</v>
      </c>
      <c r="J42">
        <v>26</v>
      </c>
      <c r="K42">
        <v>2</v>
      </c>
      <c r="M42">
        <v>354</v>
      </c>
      <c r="N42">
        <v>573</v>
      </c>
      <c r="O42">
        <v>352003603.6036036</v>
      </c>
      <c r="P42">
        <v>55534134.234234229</v>
      </c>
      <c r="Q42">
        <v>782</v>
      </c>
      <c r="R42">
        <v>411</v>
      </c>
      <c r="S42">
        <v>192513761.26126125</v>
      </c>
      <c r="T42">
        <v>212671045.04504505</v>
      </c>
      <c r="U42">
        <v>254108918.91891891</v>
      </c>
      <c r="V42">
        <v>180489729.72972974</v>
      </c>
      <c r="W42">
        <v>15071</v>
      </c>
      <c r="X42">
        <v>13803</v>
      </c>
    </row>
    <row r="43" spans="1:24">
      <c r="A43" s="7" t="s">
        <v>110</v>
      </c>
      <c r="B43" s="16" t="s">
        <v>111</v>
      </c>
      <c r="C43">
        <v>899093022.66949296</v>
      </c>
      <c r="D43">
        <v>850801463.4109925</v>
      </c>
      <c r="E43">
        <v>5700540.5405405397</v>
      </c>
      <c r="F43">
        <v>11620720.720720723</v>
      </c>
      <c r="G43">
        <v>195</v>
      </c>
      <c r="H43">
        <v>281</v>
      </c>
      <c r="I43">
        <v>28</v>
      </c>
      <c r="J43">
        <v>39</v>
      </c>
      <c r="K43">
        <v>1</v>
      </c>
      <c r="M43">
        <v>267</v>
      </c>
      <c r="N43">
        <v>641</v>
      </c>
      <c r="O43">
        <v>74013333.333333328</v>
      </c>
      <c r="P43">
        <v>92087141.441441447</v>
      </c>
      <c r="Q43">
        <v>757</v>
      </c>
      <c r="R43">
        <v>1382</v>
      </c>
      <c r="S43">
        <v>288690909.9099099</v>
      </c>
      <c r="T43">
        <v>297955477.47747749</v>
      </c>
      <c r="U43">
        <v>73159909.909909904</v>
      </c>
      <c r="V43">
        <v>84759052.252252251</v>
      </c>
      <c r="W43">
        <v>19531</v>
      </c>
      <c r="X43">
        <v>19688</v>
      </c>
    </row>
    <row r="44" spans="1:24">
      <c r="A44" s="7" t="s">
        <v>112</v>
      </c>
      <c r="B44" s="16" t="s">
        <v>111</v>
      </c>
      <c r="C44">
        <v>1118671756.1523821</v>
      </c>
      <c r="D44">
        <v>1095241448.0501573</v>
      </c>
      <c r="E44">
        <v>15378738.738738742</v>
      </c>
      <c r="F44">
        <v>15971171.171171172</v>
      </c>
      <c r="G44">
        <v>236</v>
      </c>
      <c r="H44">
        <v>403</v>
      </c>
      <c r="I44">
        <v>23</v>
      </c>
      <c r="J44">
        <v>54</v>
      </c>
      <c r="K44">
        <v>8</v>
      </c>
      <c r="M44">
        <v>811</v>
      </c>
      <c r="N44">
        <v>792</v>
      </c>
      <c r="O44">
        <v>94570810.810810804</v>
      </c>
      <c r="P44">
        <v>96574427.027027026</v>
      </c>
      <c r="Q44">
        <v>1506</v>
      </c>
      <c r="R44">
        <v>2047</v>
      </c>
      <c r="S44">
        <v>393088837.83783782</v>
      </c>
      <c r="T44">
        <v>406676381.08108109</v>
      </c>
      <c r="U44">
        <v>90335855.855855852</v>
      </c>
      <c r="V44">
        <v>94084324.324324325</v>
      </c>
      <c r="W44">
        <v>27090</v>
      </c>
      <c r="X44">
        <v>27205</v>
      </c>
    </row>
    <row r="45" spans="1:24">
      <c r="A45" s="7" t="s">
        <v>113</v>
      </c>
      <c r="B45" s="16" t="s">
        <v>111</v>
      </c>
      <c r="C45">
        <v>1412766058.1311467</v>
      </c>
      <c r="D45">
        <v>1596016271.1771212</v>
      </c>
      <c r="E45">
        <v>745655765.76576579</v>
      </c>
      <c r="F45">
        <v>92372882.882882878</v>
      </c>
      <c r="G45">
        <v>326</v>
      </c>
      <c r="H45">
        <v>400</v>
      </c>
      <c r="I45">
        <v>38</v>
      </c>
      <c r="J45">
        <v>46</v>
      </c>
      <c r="K45">
        <v>8</v>
      </c>
      <c r="M45">
        <v>417</v>
      </c>
      <c r="N45">
        <v>724</v>
      </c>
      <c r="O45">
        <v>557969099.09909904</v>
      </c>
      <c r="P45">
        <v>512787943.24324328</v>
      </c>
      <c r="Q45">
        <v>2524</v>
      </c>
      <c r="R45">
        <v>1581</v>
      </c>
      <c r="S45">
        <v>1215530126.1261261</v>
      </c>
      <c r="T45">
        <v>1090317196.3963964</v>
      </c>
      <c r="U45">
        <v>107009819.81981982</v>
      </c>
      <c r="V45">
        <v>52865448.648648649</v>
      </c>
      <c r="W45">
        <v>13631</v>
      </c>
      <c r="X45">
        <v>14199</v>
      </c>
    </row>
    <row r="46" spans="1:24">
      <c r="A46" s="7" t="s">
        <v>114</v>
      </c>
      <c r="B46" s="16" t="s">
        <v>111</v>
      </c>
      <c r="C46">
        <v>875480604.25897992</v>
      </c>
      <c r="D46">
        <v>875500684.28622997</v>
      </c>
      <c r="E46">
        <v>6080180.1801801873</v>
      </c>
      <c r="F46">
        <v>12573648.648648659</v>
      </c>
      <c r="G46">
        <v>1546</v>
      </c>
      <c r="H46">
        <v>498</v>
      </c>
      <c r="I46">
        <v>36</v>
      </c>
      <c r="J46">
        <v>66</v>
      </c>
      <c r="K46">
        <v>31</v>
      </c>
      <c r="M46">
        <v>3997</v>
      </c>
      <c r="N46">
        <v>1363</v>
      </c>
      <c r="O46">
        <v>86452702.702702701</v>
      </c>
      <c r="P46">
        <v>104799099.0990991</v>
      </c>
      <c r="Q46">
        <v>946</v>
      </c>
      <c r="R46">
        <v>1041</v>
      </c>
      <c r="S46">
        <v>283060099.0990991</v>
      </c>
      <c r="T46">
        <v>262741558.55855855</v>
      </c>
      <c r="U46">
        <v>87411531.531531513</v>
      </c>
      <c r="V46">
        <v>99698468.468468457</v>
      </c>
      <c r="W46">
        <v>20746</v>
      </c>
      <c r="X46">
        <v>20120</v>
      </c>
    </row>
    <row r="47" spans="1:24">
      <c r="A47" s="7" t="s">
        <v>115</v>
      </c>
      <c r="B47" s="16" t="s">
        <v>111</v>
      </c>
      <c r="C47">
        <v>1220076575.7597499</v>
      </c>
      <c r="D47">
        <v>1104930129.8068109</v>
      </c>
      <c r="E47">
        <v>1129872269.3693693</v>
      </c>
      <c r="F47">
        <v>1697291690.9909911</v>
      </c>
      <c r="G47">
        <v>550</v>
      </c>
      <c r="H47">
        <v>470</v>
      </c>
      <c r="I47">
        <v>55</v>
      </c>
      <c r="J47">
        <v>87</v>
      </c>
      <c r="K47">
        <v>2</v>
      </c>
      <c r="M47">
        <v>619</v>
      </c>
      <c r="N47">
        <v>775</v>
      </c>
      <c r="O47">
        <v>780752689.1891892</v>
      </c>
      <c r="P47">
        <v>889978657.65765762</v>
      </c>
      <c r="Q47">
        <v>1119</v>
      </c>
      <c r="R47">
        <v>7340</v>
      </c>
      <c r="S47">
        <v>397732855.85585588</v>
      </c>
      <c r="T47">
        <v>348697467.11711711</v>
      </c>
      <c r="U47">
        <v>193377117.11711711</v>
      </c>
      <c r="V47">
        <v>205240717.11711711</v>
      </c>
      <c r="W47">
        <v>24545</v>
      </c>
      <c r="X47">
        <v>24021</v>
      </c>
    </row>
    <row r="48" spans="1:24">
      <c r="A48" s="7" t="s">
        <v>116</v>
      </c>
      <c r="B48" s="16" t="s">
        <v>54</v>
      </c>
      <c r="C48">
        <v>60659312.655565202</v>
      </c>
      <c r="D48">
        <v>60177489.092453554</v>
      </c>
      <c r="E48">
        <v>831756.75675675704</v>
      </c>
      <c r="F48">
        <v>1186261.2612612611</v>
      </c>
      <c r="G48">
        <v>9</v>
      </c>
      <c r="H48">
        <v>10</v>
      </c>
      <c r="I48">
        <v>5</v>
      </c>
      <c r="J48">
        <v>3</v>
      </c>
      <c r="M48">
        <v>9</v>
      </c>
      <c r="N48">
        <v>12</v>
      </c>
      <c r="O48">
        <v>5846846.8468468469</v>
      </c>
      <c r="P48">
        <v>4930180.180180179</v>
      </c>
      <c r="Q48">
        <v>31</v>
      </c>
      <c r="R48">
        <v>51</v>
      </c>
      <c r="S48">
        <v>14314000</v>
      </c>
      <c r="T48">
        <v>14961639.63963964</v>
      </c>
      <c r="U48">
        <v>4858468.4684684668</v>
      </c>
      <c r="V48">
        <v>4722792.7927927924</v>
      </c>
      <c r="W48">
        <v>1013</v>
      </c>
      <c r="X48">
        <v>1041</v>
      </c>
    </row>
    <row r="49" spans="1:24">
      <c r="A49" s="7" t="s">
        <v>118</v>
      </c>
      <c r="B49" s="16" t="s">
        <v>78</v>
      </c>
      <c r="C49">
        <v>535522960.6301679</v>
      </c>
      <c r="D49">
        <v>504430992.50152737</v>
      </c>
      <c r="E49">
        <v>455895157.65765768</v>
      </c>
      <c r="F49">
        <v>412999339.63963962</v>
      </c>
      <c r="G49">
        <v>264</v>
      </c>
      <c r="H49">
        <v>195</v>
      </c>
      <c r="I49">
        <v>21</v>
      </c>
      <c r="J49">
        <v>33</v>
      </c>
      <c r="K49">
        <v>2</v>
      </c>
      <c r="M49">
        <v>401</v>
      </c>
      <c r="N49">
        <v>263</v>
      </c>
      <c r="O49">
        <v>79880810.810810819</v>
      </c>
      <c r="P49">
        <v>113631981.98198198</v>
      </c>
      <c r="Q49">
        <v>363</v>
      </c>
      <c r="R49">
        <v>1582</v>
      </c>
      <c r="S49">
        <v>206598718.91891891</v>
      </c>
      <c r="T49">
        <v>201515234.68468466</v>
      </c>
      <c r="U49">
        <v>83122385.585585579</v>
      </c>
      <c r="V49">
        <v>111918378.37837839</v>
      </c>
      <c r="W49">
        <v>11866</v>
      </c>
      <c r="X49">
        <v>11313</v>
      </c>
    </row>
    <row r="50" spans="1:24">
      <c r="A50" s="7" t="s">
        <v>119</v>
      </c>
      <c r="B50" s="16" t="s">
        <v>50</v>
      </c>
      <c r="C50">
        <v>169263952.38308379</v>
      </c>
      <c r="D50">
        <v>160132046.15246898</v>
      </c>
      <c r="E50">
        <v>609234.23423423595</v>
      </c>
      <c r="F50">
        <v>4891891.8918918921</v>
      </c>
      <c r="G50">
        <v>87</v>
      </c>
      <c r="H50">
        <v>50</v>
      </c>
      <c r="I50">
        <v>13</v>
      </c>
      <c r="J50">
        <v>11</v>
      </c>
      <c r="M50">
        <v>91</v>
      </c>
      <c r="N50">
        <v>56</v>
      </c>
      <c r="O50">
        <v>102795495.49549548</v>
      </c>
      <c r="P50">
        <v>105196216.21621621</v>
      </c>
      <c r="Q50">
        <v>250</v>
      </c>
      <c r="R50">
        <v>308</v>
      </c>
      <c r="S50">
        <v>60014459.459459454</v>
      </c>
      <c r="T50">
        <v>58441117.117117122</v>
      </c>
      <c r="U50">
        <v>103330810.81081082</v>
      </c>
      <c r="V50">
        <v>99155405.405405402</v>
      </c>
      <c r="W50">
        <v>2573</v>
      </c>
      <c r="X50">
        <v>2416</v>
      </c>
    </row>
    <row r="51" spans="1:24">
      <c r="A51" s="7" t="s">
        <v>120</v>
      </c>
      <c r="B51" s="16" t="s">
        <v>121</v>
      </c>
      <c r="C51">
        <v>591887549.39336765</v>
      </c>
      <c r="D51">
        <v>539019766.66983902</v>
      </c>
      <c r="E51">
        <v>1407432.432432431</v>
      </c>
      <c r="F51">
        <v>4744594.5945945969</v>
      </c>
      <c r="G51">
        <v>242</v>
      </c>
      <c r="H51">
        <v>205</v>
      </c>
      <c r="I51">
        <v>14</v>
      </c>
      <c r="J51">
        <v>18</v>
      </c>
      <c r="K51">
        <v>9</v>
      </c>
      <c r="M51">
        <v>262</v>
      </c>
      <c r="N51">
        <v>232</v>
      </c>
      <c r="O51">
        <v>23156756.756756753</v>
      </c>
      <c r="P51">
        <v>21954054.054054055</v>
      </c>
      <c r="Q51">
        <v>109</v>
      </c>
      <c r="R51">
        <v>81</v>
      </c>
      <c r="S51">
        <v>41813522.522522517</v>
      </c>
      <c r="T51">
        <v>45595936.936936937</v>
      </c>
      <c r="U51">
        <v>22470630.630630627</v>
      </c>
      <c r="V51">
        <v>19062882.882882886</v>
      </c>
      <c r="W51">
        <v>8502</v>
      </c>
      <c r="X51">
        <v>7938</v>
      </c>
    </row>
    <row r="52" spans="1:24">
      <c r="A52" s="7" t="s">
        <v>122</v>
      </c>
      <c r="B52" s="16" t="s">
        <v>123</v>
      </c>
      <c r="C52">
        <v>267577677.97200903</v>
      </c>
      <c r="D52">
        <v>283571810.7560153</v>
      </c>
      <c r="E52">
        <v>359909.90990991</v>
      </c>
      <c r="F52">
        <v>1220045.0450450459</v>
      </c>
      <c r="G52">
        <v>36</v>
      </c>
      <c r="H52">
        <v>38</v>
      </c>
      <c r="I52">
        <v>6</v>
      </c>
      <c r="J52">
        <v>3</v>
      </c>
      <c r="M52">
        <v>43</v>
      </c>
      <c r="N52">
        <v>51</v>
      </c>
      <c r="O52">
        <v>56048378.378378376</v>
      </c>
      <c r="P52">
        <v>58431621.621621624</v>
      </c>
      <c r="Q52">
        <v>93</v>
      </c>
      <c r="R52">
        <v>52</v>
      </c>
      <c r="S52">
        <v>121900131.53153154</v>
      </c>
      <c r="T52">
        <v>129712549.54954955</v>
      </c>
      <c r="U52">
        <v>55450450.45045045</v>
      </c>
      <c r="V52">
        <v>59556846.846846849</v>
      </c>
      <c r="W52">
        <v>4652</v>
      </c>
      <c r="X52">
        <v>4538</v>
      </c>
    </row>
    <row r="53" spans="1:24">
      <c r="A53" s="7" t="s">
        <v>124</v>
      </c>
      <c r="B53" s="16" t="s">
        <v>125</v>
      </c>
      <c r="C53">
        <v>402197717.35569632</v>
      </c>
      <c r="D53">
        <v>370768449.2447083</v>
      </c>
      <c r="E53">
        <v>1187252.2522522521</v>
      </c>
      <c r="F53">
        <v>4323873.8738738792</v>
      </c>
      <c r="G53">
        <v>73</v>
      </c>
      <c r="H53">
        <v>79</v>
      </c>
      <c r="I53">
        <v>10</v>
      </c>
      <c r="J53">
        <v>8</v>
      </c>
      <c r="M53">
        <v>81</v>
      </c>
      <c r="N53">
        <v>162</v>
      </c>
      <c r="O53">
        <v>94396396.396396399</v>
      </c>
      <c r="P53">
        <v>105107207.2072072</v>
      </c>
      <c r="Q53">
        <v>248</v>
      </c>
      <c r="R53">
        <v>258</v>
      </c>
      <c r="S53">
        <v>118335124.32432432</v>
      </c>
      <c r="T53">
        <v>115039138.73873873</v>
      </c>
      <c r="U53">
        <v>103235495.49549548</v>
      </c>
      <c r="V53">
        <v>116283106.3063063</v>
      </c>
      <c r="W53">
        <v>6991</v>
      </c>
      <c r="X53">
        <v>6476</v>
      </c>
    </row>
    <row r="54" spans="1:24">
      <c r="A54" s="7" t="s">
        <v>126</v>
      </c>
      <c r="B54" s="16" t="s">
        <v>78</v>
      </c>
      <c r="C54">
        <v>257529745.93724412</v>
      </c>
      <c r="D54">
        <v>245219819.96512806</v>
      </c>
      <c r="E54">
        <v>3327657.6576576591</v>
      </c>
      <c r="F54">
        <v>5000000.0000000019</v>
      </c>
      <c r="G54">
        <v>61</v>
      </c>
      <c r="H54">
        <v>72</v>
      </c>
      <c r="I54">
        <v>8</v>
      </c>
      <c r="J54">
        <v>8</v>
      </c>
      <c r="M54">
        <v>65</v>
      </c>
      <c r="N54">
        <v>91</v>
      </c>
      <c r="O54">
        <v>47201531.531531528</v>
      </c>
      <c r="P54">
        <v>47684684.684684679</v>
      </c>
      <c r="Q54">
        <v>135</v>
      </c>
      <c r="R54">
        <v>152</v>
      </c>
      <c r="S54">
        <v>101447711.7117117</v>
      </c>
      <c r="T54">
        <v>100669900.9009009</v>
      </c>
      <c r="U54">
        <v>48849099.0990991</v>
      </c>
      <c r="V54">
        <v>43272972.972972974</v>
      </c>
      <c r="W54">
        <v>5252</v>
      </c>
      <c r="X54">
        <v>5052</v>
      </c>
    </row>
    <row r="55" spans="1:24">
      <c r="A55" s="7" t="s">
        <v>127</v>
      </c>
      <c r="B55" s="16" t="s">
        <v>78</v>
      </c>
      <c r="C55">
        <v>45683055.047620766</v>
      </c>
      <c r="D55">
        <v>40835591.136371449</v>
      </c>
      <c r="E55">
        <v>30179729.729729727</v>
      </c>
      <c r="F55">
        <v>86239639.639639631</v>
      </c>
      <c r="G55">
        <v>19</v>
      </c>
      <c r="H55">
        <v>15</v>
      </c>
      <c r="I55">
        <v>4</v>
      </c>
      <c r="J55">
        <v>8</v>
      </c>
      <c r="K55">
        <v>1</v>
      </c>
      <c r="M55">
        <v>22</v>
      </c>
      <c r="N55">
        <v>20</v>
      </c>
      <c r="O55">
        <v>10756306.306306306</v>
      </c>
      <c r="P55">
        <v>19343243.243243244</v>
      </c>
      <c r="Q55">
        <v>18</v>
      </c>
      <c r="R55">
        <v>37</v>
      </c>
      <c r="S55">
        <v>25058333.333333332</v>
      </c>
      <c r="T55">
        <v>23864189.189189192</v>
      </c>
      <c r="U55">
        <v>11393243.243243244</v>
      </c>
      <c r="V55">
        <v>20014774.774774775</v>
      </c>
      <c r="W55">
        <v>1090</v>
      </c>
      <c r="X55">
        <v>1179</v>
      </c>
    </row>
    <row r="56" spans="1:24">
      <c r="A56" s="7" t="s">
        <v>128</v>
      </c>
      <c r="B56" s="16" t="s">
        <v>78</v>
      </c>
      <c r="C56">
        <v>248054811.03036097</v>
      </c>
      <c r="D56">
        <v>234607651.13222051</v>
      </c>
      <c r="E56">
        <v>1359684.6846846859</v>
      </c>
      <c r="F56">
        <v>2822297.2972973022</v>
      </c>
      <c r="G56">
        <v>146</v>
      </c>
      <c r="H56">
        <v>161</v>
      </c>
      <c r="I56">
        <v>9</v>
      </c>
      <c r="J56">
        <v>12</v>
      </c>
      <c r="K56">
        <v>2</v>
      </c>
      <c r="M56">
        <v>211</v>
      </c>
      <c r="N56">
        <v>214</v>
      </c>
      <c r="O56">
        <v>26461261.261261258</v>
      </c>
      <c r="P56">
        <v>32492792.792792793</v>
      </c>
      <c r="Q56">
        <v>89</v>
      </c>
      <c r="R56">
        <v>136</v>
      </c>
      <c r="S56">
        <v>96784153.153153151</v>
      </c>
      <c r="T56">
        <v>90172322.522522524</v>
      </c>
      <c r="U56">
        <v>26102882.882882878</v>
      </c>
      <c r="V56">
        <v>30633963.963963963</v>
      </c>
      <c r="W56">
        <v>5954</v>
      </c>
      <c r="X56">
        <v>5791</v>
      </c>
    </row>
    <row r="57" spans="1:24">
      <c r="A57" s="7" t="s">
        <v>129</v>
      </c>
      <c r="B57" s="16" t="s">
        <v>85</v>
      </c>
      <c r="C57">
        <v>75426006.730757758</v>
      </c>
      <c r="D57">
        <v>69347873.966137439</v>
      </c>
      <c r="E57">
        <v>61261.261261259999</v>
      </c>
      <c r="F57">
        <v>203603.60360360501</v>
      </c>
      <c r="G57">
        <v>29</v>
      </c>
      <c r="H57">
        <v>15</v>
      </c>
      <c r="I57">
        <v>5</v>
      </c>
      <c r="J57">
        <v>2</v>
      </c>
      <c r="M57">
        <v>29</v>
      </c>
      <c r="N57">
        <v>17</v>
      </c>
      <c r="O57">
        <v>74173873.873873875</v>
      </c>
      <c r="P57">
        <v>82163693.693693697</v>
      </c>
      <c r="Q57">
        <v>70</v>
      </c>
      <c r="R57">
        <v>50</v>
      </c>
      <c r="S57">
        <v>33080405.40540541</v>
      </c>
      <c r="T57">
        <v>32657684.684684683</v>
      </c>
      <c r="U57">
        <v>61100000</v>
      </c>
      <c r="V57">
        <v>67930450.45045045</v>
      </c>
      <c r="W57">
        <v>1168</v>
      </c>
      <c r="X57">
        <v>1318</v>
      </c>
    </row>
    <row r="58" spans="1:24">
      <c r="A58" s="7" t="s">
        <v>130</v>
      </c>
      <c r="B58" s="16" t="s">
        <v>89</v>
      </c>
      <c r="C58">
        <v>650715523.72819376</v>
      </c>
      <c r="D58">
        <v>642864854.21481574</v>
      </c>
      <c r="E58">
        <v>2337162.162162168</v>
      </c>
      <c r="F58">
        <v>4876126.1261261329</v>
      </c>
      <c r="G58">
        <v>86</v>
      </c>
      <c r="H58">
        <v>80</v>
      </c>
      <c r="I58">
        <v>23</v>
      </c>
      <c r="J58">
        <v>40</v>
      </c>
      <c r="K58">
        <v>1</v>
      </c>
      <c r="M58">
        <v>95</v>
      </c>
      <c r="N58">
        <v>110</v>
      </c>
      <c r="O58">
        <v>38379459.459459454</v>
      </c>
      <c r="P58">
        <v>47530900.900900893</v>
      </c>
      <c r="Q58">
        <v>256</v>
      </c>
      <c r="R58">
        <v>442</v>
      </c>
      <c r="S58">
        <v>195377962.16216218</v>
      </c>
      <c r="T58">
        <v>200712475.67567569</v>
      </c>
      <c r="U58">
        <v>37505448.648648649</v>
      </c>
      <c r="V58">
        <v>45326439.639639631</v>
      </c>
      <c r="W58">
        <v>10561</v>
      </c>
      <c r="X58">
        <v>10727</v>
      </c>
    </row>
    <row r="59" spans="1:24">
      <c r="A59" s="7" t="s">
        <v>131</v>
      </c>
      <c r="B59" s="16" t="s">
        <v>132</v>
      </c>
      <c r="C59">
        <v>388608462.04463255</v>
      </c>
      <c r="D59">
        <v>354574391.09285361</v>
      </c>
      <c r="E59">
        <v>198198.19819819901</v>
      </c>
      <c r="F59">
        <v>1654054.0540540549</v>
      </c>
      <c r="G59">
        <v>167</v>
      </c>
      <c r="H59">
        <v>199</v>
      </c>
      <c r="I59">
        <v>6</v>
      </c>
      <c r="J59">
        <v>8</v>
      </c>
      <c r="K59">
        <v>1</v>
      </c>
      <c r="M59">
        <v>178</v>
      </c>
      <c r="N59">
        <v>216</v>
      </c>
      <c r="O59">
        <v>28463963.963963963</v>
      </c>
      <c r="P59">
        <v>32731531.531531531</v>
      </c>
      <c r="Q59">
        <v>47</v>
      </c>
      <c r="R59">
        <v>56</v>
      </c>
      <c r="S59">
        <v>119286153.15315315</v>
      </c>
      <c r="T59">
        <v>111979626.57657658</v>
      </c>
      <c r="U59">
        <v>23770630.630630631</v>
      </c>
      <c r="V59">
        <v>32645045.045045048</v>
      </c>
      <c r="W59">
        <v>7233</v>
      </c>
      <c r="X59">
        <v>7276</v>
      </c>
    </row>
    <row r="60" spans="1:24">
      <c r="A60" s="7" t="s">
        <v>133</v>
      </c>
      <c r="B60" s="16" t="s">
        <v>134</v>
      </c>
      <c r="C60">
        <v>61030581.13382519</v>
      </c>
      <c r="D60">
        <v>40359762.570547596</v>
      </c>
      <c r="E60">
        <v>319601827.92792791</v>
      </c>
      <c r="F60">
        <v>293461084.68468469</v>
      </c>
      <c r="G60">
        <v>21</v>
      </c>
      <c r="H60">
        <v>3</v>
      </c>
      <c r="M60">
        <v>25</v>
      </c>
      <c r="N60">
        <v>3</v>
      </c>
      <c r="O60">
        <v>35281081.081081077</v>
      </c>
      <c r="P60">
        <v>47117117.117117122</v>
      </c>
      <c r="S60">
        <v>8089990.9909909908</v>
      </c>
      <c r="T60">
        <v>6596610.8108108109</v>
      </c>
      <c r="W60">
        <v>2241</v>
      </c>
      <c r="X60">
        <v>2255</v>
      </c>
    </row>
    <row r="61" spans="1:24">
      <c r="A61" s="7" t="s">
        <v>135</v>
      </c>
      <c r="B61" s="16" t="s">
        <v>136</v>
      </c>
      <c r="C61">
        <v>315904986.24081045</v>
      </c>
      <c r="D61">
        <v>288171292.75606936</v>
      </c>
      <c r="E61">
        <v>463963.96396396402</v>
      </c>
      <c r="F61">
        <v>1017117.11711712</v>
      </c>
      <c r="G61">
        <v>100</v>
      </c>
      <c r="H61">
        <v>75</v>
      </c>
      <c r="I61">
        <v>5</v>
      </c>
      <c r="J61">
        <v>4</v>
      </c>
      <c r="M61">
        <v>107</v>
      </c>
      <c r="N61">
        <v>83</v>
      </c>
      <c r="O61">
        <v>29798378.37837838</v>
      </c>
      <c r="P61">
        <v>25296396.396396399</v>
      </c>
      <c r="Q61">
        <v>23</v>
      </c>
      <c r="S61">
        <v>54029045.045045048</v>
      </c>
      <c r="T61">
        <v>44870603.603603609</v>
      </c>
      <c r="U61">
        <v>28937477.477477476</v>
      </c>
      <c r="V61">
        <v>21142162.162162162</v>
      </c>
      <c r="W61">
        <v>3591</v>
      </c>
      <c r="X61">
        <v>3499</v>
      </c>
    </row>
    <row r="62" spans="1:24">
      <c r="A62" s="7" t="s">
        <v>137</v>
      </c>
      <c r="B62" s="16" t="s">
        <v>89</v>
      </c>
      <c r="C62">
        <v>327698754.83979845</v>
      </c>
      <c r="D62">
        <v>315957143.67677003</v>
      </c>
      <c r="E62">
        <v>66035360.360360369</v>
      </c>
      <c r="F62">
        <v>144889864.86486486</v>
      </c>
      <c r="G62">
        <v>75</v>
      </c>
      <c r="H62">
        <v>64</v>
      </c>
      <c r="I62">
        <v>32</v>
      </c>
      <c r="J62">
        <v>36</v>
      </c>
      <c r="K62">
        <v>4</v>
      </c>
      <c r="M62">
        <v>153</v>
      </c>
      <c r="N62">
        <v>295</v>
      </c>
      <c r="O62">
        <v>45523603.603603601</v>
      </c>
      <c r="P62">
        <v>58970090.090090089</v>
      </c>
      <c r="Q62">
        <v>345</v>
      </c>
      <c r="R62">
        <v>291</v>
      </c>
      <c r="S62">
        <v>114122342.34234233</v>
      </c>
      <c r="T62">
        <v>113883070.27027027</v>
      </c>
      <c r="U62">
        <v>45348198.198198192</v>
      </c>
      <c r="V62">
        <v>52970810.810810819</v>
      </c>
      <c r="W62">
        <v>5006</v>
      </c>
      <c r="X62">
        <v>4903</v>
      </c>
    </row>
    <row r="63" spans="1:24">
      <c r="A63" s="7" t="s">
        <v>138</v>
      </c>
      <c r="B63" s="16" t="s">
        <v>78</v>
      </c>
      <c r="C63">
        <v>239893015.44765133</v>
      </c>
      <c r="D63">
        <v>228429775.88118634</v>
      </c>
      <c r="E63">
        <v>3869099.099099101</v>
      </c>
      <c r="F63">
        <v>6203603.6036036052</v>
      </c>
      <c r="G63">
        <v>102</v>
      </c>
      <c r="H63">
        <v>109</v>
      </c>
      <c r="I63">
        <v>9</v>
      </c>
      <c r="J63">
        <v>18</v>
      </c>
      <c r="K63">
        <v>5</v>
      </c>
      <c r="M63">
        <v>124</v>
      </c>
      <c r="N63">
        <v>138</v>
      </c>
      <c r="O63">
        <v>27941171.17117117</v>
      </c>
      <c r="P63">
        <v>34645045.045045041</v>
      </c>
      <c r="Q63">
        <v>51</v>
      </c>
      <c r="R63">
        <v>108</v>
      </c>
      <c r="S63">
        <v>101111846.84684685</v>
      </c>
      <c r="T63">
        <v>98866876.126126125</v>
      </c>
      <c r="U63">
        <v>27062162.162162162</v>
      </c>
      <c r="V63">
        <v>33078018.018018015</v>
      </c>
      <c r="W63">
        <v>5245</v>
      </c>
      <c r="X63">
        <v>5331</v>
      </c>
    </row>
    <row r="64" spans="1:24">
      <c r="A64" s="7" t="s">
        <v>139</v>
      </c>
      <c r="B64" s="16" t="s">
        <v>140</v>
      </c>
      <c r="C64">
        <v>308399365.67709321</v>
      </c>
      <c r="D64">
        <v>315464799.80563658</v>
      </c>
      <c r="E64">
        <v>2540540.5405405411</v>
      </c>
      <c r="F64">
        <v>3368468.4684684691</v>
      </c>
      <c r="G64">
        <v>35</v>
      </c>
      <c r="H64">
        <v>25</v>
      </c>
      <c r="I64">
        <v>4</v>
      </c>
      <c r="J64">
        <v>3</v>
      </c>
      <c r="M64">
        <v>36</v>
      </c>
      <c r="N64">
        <v>26</v>
      </c>
      <c r="O64">
        <v>33746846.846846849</v>
      </c>
      <c r="P64">
        <v>32865585.585585583</v>
      </c>
      <c r="Q64">
        <v>197</v>
      </c>
      <c r="R64">
        <v>65</v>
      </c>
      <c r="S64">
        <v>52938153.153153151</v>
      </c>
      <c r="T64">
        <v>55752153.153153151</v>
      </c>
      <c r="U64">
        <v>32331351.351351351</v>
      </c>
      <c r="V64">
        <v>27371081.081081081</v>
      </c>
      <c r="W64">
        <v>4458</v>
      </c>
      <c r="X64">
        <v>4600</v>
      </c>
    </row>
    <row r="65" spans="1:24">
      <c r="A65" s="7" t="s">
        <v>141</v>
      </c>
      <c r="B65" s="16" t="s">
        <v>62</v>
      </c>
      <c r="C65">
        <v>213214858.790907</v>
      </c>
      <c r="D65">
        <v>208778456.33671904</v>
      </c>
      <c r="E65">
        <v>1424324.324324328</v>
      </c>
      <c r="F65">
        <v>3443132.4324324331</v>
      </c>
      <c r="G65">
        <v>49</v>
      </c>
      <c r="H65">
        <v>96</v>
      </c>
      <c r="I65">
        <v>10</v>
      </c>
      <c r="J65">
        <v>9</v>
      </c>
      <c r="K65">
        <v>1</v>
      </c>
      <c r="M65">
        <v>59</v>
      </c>
      <c r="N65">
        <v>120</v>
      </c>
      <c r="O65">
        <v>118431621.62162161</v>
      </c>
      <c r="P65">
        <v>110537560.36036037</v>
      </c>
      <c r="Q65">
        <v>66</v>
      </c>
      <c r="R65">
        <v>63</v>
      </c>
      <c r="S65">
        <v>46180801.801801801</v>
      </c>
      <c r="T65">
        <v>45817963.963963963</v>
      </c>
      <c r="U65">
        <v>117542072.07207206</v>
      </c>
      <c r="V65">
        <v>112868558.55855855</v>
      </c>
      <c r="W65">
        <v>3809</v>
      </c>
      <c r="X65">
        <v>3863</v>
      </c>
    </row>
    <row r="66" spans="1:24">
      <c r="A66" s="7" t="s">
        <v>142</v>
      </c>
      <c r="B66" s="16" t="s">
        <v>143</v>
      </c>
      <c r="C66">
        <v>2447486.021456874</v>
      </c>
      <c r="D66">
        <v>2110495.597917642</v>
      </c>
      <c r="E66">
        <v>18018.018018018</v>
      </c>
      <c r="G66">
        <v>1</v>
      </c>
      <c r="H66">
        <v>1</v>
      </c>
      <c r="M66">
        <v>1</v>
      </c>
      <c r="N66">
        <v>1</v>
      </c>
      <c r="O66">
        <v>18018.018018018</v>
      </c>
      <c r="S66">
        <v>188063.06306306299</v>
      </c>
      <c r="T66">
        <v>164504.50450450499</v>
      </c>
      <c r="W66">
        <v>135</v>
      </c>
      <c r="X66">
        <v>157</v>
      </c>
    </row>
    <row r="67" spans="1:24">
      <c r="A67" s="7" t="s">
        <v>144</v>
      </c>
      <c r="B67" s="16" t="s">
        <v>140</v>
      </c>
      <c r="C67">
        <v>454021312.42868191</v>
      </c>
      <c r="D67">
        <v>445823272.65908015</v>
      </c>
      <c r="E67">
        <v>660180.18018018198</v>
      </c>
      <c r="F67">
        <v>3182432.4324324341</v>
      </c>
      <c r="G67">
        <v>64</v>
      </c>
      <c r="H67">
        <v>111</v>
      </c>
      <c r="I67">
        <v>10</v>
      </c>
      <c r="J67">
        <v>12</v>
      </c>
      <c r="K67">
        <v>2</v>
      </c>
      <c r="M67">
        <v>73</v>
      </c>
      <c r="N67">
        <v>133</v>
      </c>
      <c r="O67">
        <v>51278198.198198199</v>
      </c>
      <c r="P67">
        <v>50240000</v>
      </c>
      <c r="Q67">
        <v>263</v>
      </c>
      <c r="R67">
        <v>248</v>
      </c>
      <c r="S67">
        <v>84979729.729729727</v>
      </c>
      <c r="T67">
        <v>83585918.918918908</v>
      </c>
      <c r="U67">
        <v>49147837.837837838</v>
      </c>
      <c r="V67">
        <v>48455135.135135137</v>
      </c>
      <c r="W67">
        <v>7528</v>
      </c>
      <c r="X67">
        <v>7619</v>
      </c>
    </row>
    <row r="68" spans="1:24">
      <c r="A68" s="7" t="s">
        <v>145</v>
      </c>
      <c r="B68" s="16" t="s">
        <v>78</v>
      </c>
      <c r="C68">
        <v>320357717.88715386</v>
      </c>
      <c r="D68">
        <v>318645680.98602229</v>
      </c>
      <c r="E68">
        <v>1984504.5045045051</v>
      </c>
      <c r="F68">
        <v>4408108.1081081098</v>
      </c>
      <c r="G68">
        <v>66</v>
      </c>
      <c r="H68">
        <v>104</v>
      </c>
      <c r="I68">
        <v>7</v>
      </c>
      <c r="J68">
        <v>5</v>
      </c>
      <c r="M68">
        <v>75</v>
      </c>
      <c r="N68">
        <v>118</v>
      </c>
      <c r="O68">
        <v>31876396.396396391</v>
      </c>
      <c r="P68">
        <v>34105405.405405402</v>
      </c>
      <c r="Q68">
        <v>82</v>
      </c>
      <c r="R68">
        <v>115</v>
      </c>
      <c r="S68">
        <v>86556036.036036029</v>
      </c>
      <c r="T68">
        <v>90508036.036036029</v>
      </c>
      <c r="U68">
        <v>31247117.117117114</v>
      </c>
      <c r="V68">
        <v>33554594.59459459</v>
      </c>
      <c r="W68">
        <v>5921</v>
      </c>
      <c r="X68">
        <v>6364</v>
      </c>
    </row>
    <row r="69" spans="1:24">
      <c r="A69" s="7" t="s">
        <v>146</v>
      </c>
      <c r="B69" s="16" t="s">
        <v>147</v>
      </c>
      <c r="C69">
        <v>220909845.83534995</v>
      </c>
      <c r="D69">
        <v>210227143.03943834</v>
      </c>
      <c r="E69">
        <v>333815787.38738739</v>
      </c>
      <c r="F69">
        <v>471824557.65765768</v>
      </c>
      <c r="G69">
        <v>48</v>
      </c>
      <c r="H69">
        <v>41</v>
      </c>
      <c r="I69">
        <v>10</v>
      </c>
      <c r="J69">
        <v>2</v>
      </c>
      <c r="M69">
        <v>52</v>
      </c>
      <c r="N69">
        <v>48</v>
      </c>
      <c r="O69">
        <v>33824684.684684686</v>
      </c>
      <c r="P69">
        <v>79760444.144144148</v>
      </c>
      <c r="Q69">
        <v>160</v>
      </c>
      <c r="R69">
        <v>34</v>
      </c>
      <c r="S69">
        <v>61503054.054054059</v>
      </c>
      <c r="T69">
        <v>66831882.882882878</v>
      </c>
      <c r="U69">
        <v>22524054.054054055</v>
      </c>
      <c r="V69">
        <v>66073423.423423424</v>
      </c>
      <c r="W69">
        <v>3828</v>
      </c>
      <c r="X69">
        <v>3694</v>
      </c>
    </row>
    <row r="70" spans="1:24">
      <c r="A70" s="7" t="s">
        <v>148</v>
      </c>
      <c r="B70" s="16" t="s">
        <v>94</v>
      </c>
      <c r="D70">
        <v>17.531949365999999</v>
      </c>
    </row>
    <row r="71" spans="1:24">
      <c r="A71" s="7" t="s">
        <v>149</v>
      </c>
      <c r="B71" s="16" t="s">
        <v>50</v>
      </c>
      <c r="C71">
        <v>184185868.34448078</v>
      </c>
      <c r="D71">
        <v>186151021.13236508</v>
      </c>
      <c r="E71">
        <v>237837.837837839</v>
      </c>
      <c r="F71">
        <v>785585.58558558603</v>
      </c>
      <c r="G71">
        <v>40</v>
      </c>
      <c r="H71">
        <v>59</v>
      </c>
      <c r="I71">
        <v>7</v>
      </c>
      <c r="J71">
        <v>3</v>
      </c>
      <c r="M71">
        <v>44</v>
      </c>
      <c r="N71">
        <v>61</v>
      </c>
      <c r="O71">
        <v>17983063.063063063</v>
      </c>
      <c r="P71">
        <v>11454504.504504504</v>
      </c>
      <c r="Q71">
        <v>24</v>
      </c>
      <c r="R71">
        <v>15</v>
      </c>
      <c r="S71">
        <v>83768738.738738731</v>
      </c>
      <c r="T71">
        <v>82879189.189189181</v>
      </c>
      <c r="U71">
        <v>19296216.216216218</v>
      </c>
      <c r="V71">
        <v>11409639.639639638</v>
      </c>
      <c r="W71">
        <v>3589</v>
      </c>
      <c r="X71">
        <v>3505</v>
      </c>
    </row>
    <row r="72" spans="1:24">
      <c r="A72" s="7" t="s">
        <v>150</v>
      </c>
      <c r="B72" s="16" t="s">
        <v>151</v>
      </c>
      <c r="C72">
        <v>55291984.092567503</v>
      </c>
      <c r="D72">
        <v>56570872.697895482</v>
      </c>
      <c r="E72">
        <v>358289901.8018018</v>
      </c>
      <c r="F72">
        <v>632336578.37837839</v>
      </c>
      <c r="G72">
        <v>13</v>
      </c>
      <c r="H72">
        <v>7</v>
      </c>
      <c r="I72">
        <v>9</v>
      </c>
      <c r="J72">
        <v>2</v>
      </c>
      <c r="M72">
        <v>13</v>
      </c>
      <c r="N72">
        <v>12</v>
      </c>
      <c r="O72">
        <v>105440900.9009009</v>
      </c>
      <c r="P72">
        <v>100023873.87387387</v>
      </c>
      <c r="Q72">
        <v>27</v>
      </c>
      <c r="R72">
        <v>17</v>
      </c>
      <c r="S72">
        <v>14200720.72072072</v>
      </c>
      <c r="T72">
        <v>15727468.468468469</v>
      </c>
      <c r="U72">
        <v>48570000</v>
      </c>
      <c r="V72">
        <v>26167207.207207207</v>
      </c>
      <c r="W72">
        <v>645</v>
      </c>
      <c r="X72">
        <v>726</v>
      </c>
    </row>
    <row r="73" spans="1:24">
      <c r="A73" s="7" t="s">
        <v>152</v>
      </c>
      <c r="B73" s="16" t="s">
        <v>151</v>
      </c>
      <c r="C73">
        <v>554180073.31081879</v>
      </c>
      <c r="D73">
        <v>554022690.46566415</v>
      </c>
      <c r="E73">
        <v>1663963.9639639631</v>
      </c>
      <c r="F73">
        <v>8888063.0630630553</v>
      </c>
      <c r="G73">
        <v>184</v>
      </c>
      <c r="H73">
        <v>297</v>
      </c>
      <c r="I73">
        <v>29</v>
      </c>
      <c r="J73">
        <v>24</v>
      </c>
      <c r="M73">
        <v>198</v>
      </c>
      <c r="N73">
        <v>352</v>
      </c>
      <c r="O73">
        <v>591637297.29729724</v>
      </c>
      <c r="P73">
        <v>367531603.6036036</v>
      </c>
      <c r="Q73">
        <v>273</v>
      </c>
      <c r="R73">
        <v>368</v>
      </c>
      <c r="S73">
        <v>190147286.48648649</v>
      </c>
      <c r="T73">
        <v>198106297.2972973</v>
      </c>
      <c r="U73">
        <v>516456345.94594592</v>
      </c>
      <c r="V73">
        <v>300347556.75675672</v>
      </c>
      <c r="W73">
        <v>8150</v>
      </c>
      <c r="X73">
        <v>8385</v>
      </c>
    </row>
    <row r="74" spans="1:24">
      <c r="A74" s="7" t="s">
        <v>153</v>
      </c>
      <c r="B74" s="16" t="s">
        <v>154</v>
      </c>
      <c r="C74">
        <v>503459237.607894</v>
      </c>
      <c r="D74">
        <v>462491468.14098579</v>
      </c>
      <c r="E74">
        <v>60877702.702702701</v>
      </c>
      <c r="F74">
        <v>254068243.24324322</v>
      </c>
      <c r="G74">
        <v>45</v>
      </c>
      <c r="H74">
        <v>66</v>
      </c>
      <c r="I74">
        <v>1</v>
      </c>
      <c r="J74">
        <v>1</v>
      </c>
      <c r="M74">
        <v>79</v>
      </c>
      <c r="N74">
        <v>76</v>
      </c>
      <c r="O74">
        <v>65202612.612612605</v>
      </c>
      <c r="P74">
        <v>62490090.090090089</v>
      </c>
      <c r="Q74">
        <v>86</v>
      </c>
      <c r="R74">
        <v>90</v>
      </c>
      <c r="S74">
        <v>220154322.52252254</v>
      </c>
      <c r="T74">
        <v>195470297.2972973</v>
      </c>
      <c r="U74">
        <v>62281981.981981985</v>
      </c>
      <c r="V74">
        <v>56557837.837837838</v>
      </c>
      <c r="W74">
        <v>7100</v>
      </c>
      <c r="X74">
        <v>6064</v>
      </c>
    </row>
    <row r="75" spans="1:24">
      <c r="A75" s="7" t="s">
        <v>155</v>
      </c>
      <c r="B75" s="16" t="s">
        <v>154</v>
      </c>
      <c r="C75">
        <v>71808619.716485709</v>
      </c>
      <c r="D75">
        <v>48340438.08050926</v>
      </c>
      <c r="E75">
        <v>44144.144144143997</v>
      </c>
      <c r="F75">
        <v>244144.144144144</v>
      </c>
      <c r="G75">
        <v>19</v>
      </c>
      <c r="H75">
        <v>12</v>
      </c>
      <c r="I75">
        <v>3</v>
      </c>
      <c r="J75">
        <v>2</v>
      </c>
      <c r="M75">
        <v>22</v>
      </c>
      <c r="N75">
        <v>13</v>
      </c>
      <c r="O75">
        <v>5009009.0090090092</v>
      </c>
      <c r="P75">
        <v>5353153.1531531531</v>
      </c>
      <c r="Q75">
        <v>11</v>
      </c>
      <c r="R75">
        <v>33</v>
      </c>
      <c r="S75">
        <v>20277567.567567568</v>
      </c>
      <c r="T75">
        <v>12776072.072072072</v>
      </c>
      <c r="U75">
        <v>5123873.8738738727</v>
      </c>
      <c r="V75">
        <v>4642522.5225225221</v>
      </c>
      <c r="W75">
        <v>1780</v>
      </c>
      <c r="X75">
        <v>1971</v>
      </c>
    </row>
    <row r="76" spans="1:24">
      <c r="A76" s="7" t="s">
        <v>156</v>
      </c>
      <c r="B76" s="16" t="s">
        <v>154</v>
      </c>
      <c r="C76">
        <v>661525479.02110195</v>
      </c>
      <c r="D76">
        <v>538827772.78645217</v>
      </c>
      <c r="E76">
        <v>192141990.99099097</v>
      </c>
      <c r="F76">
        <v>121559250.45045045</v>
      </c>
      <c r="G76">
        <v>105</v>
      </c>
      <c r="H76">
        <v>45</v>
      </c>
      <c r="I76">
        <v>11</v>
      </c>
      <c r="J76">
        <v>8</v>
      </c>
      <c r="M76">
        <v>193</v>
      </c>
      <c r="N76">
        <v>147</v>
      </c>
      <c r="O76">
        <v>201489036.03603604</v>
      </c>
      <c r="P76">
        <v>131781981.98198198</v>
      </c>
      <c r="Q76">
        <v>160</v>
      </c>
      <c r="R76">
        <v>183</v>
      </c>
      <c r="S76">
        <v>255562736.93693691</v>
      </c>
      <c r="T76">
        <v>209745963.96396396</v>
      </c>
      <c r="U76">
        <v>181219819.81981981</v>
      </c>
      <c r="V76">
        <v>120204054.05405405</v>
      </c>
      <c r="W76">
        <v>7986</v>
      </c>
      <c r="X76">
        <v>9101</v>
      </c>
    </row>
    <row r="77" spans="1:24">
      <c r="A77" s="7" t="s">
        <v>157</v>
      </c>
      <c r="B77" s="16" t="s">
        <v>134</v>
      </c>
      <c r="C77">
        <v>254698106.69982398</v>
      </c>
      <c r="D77">
        <v>249501215.76145375</v>
      </c>
      <c r="E77">
        <v>754954.95495495701</v>
      </c>
      <c r="F77">
        <v>1120720.720720724</v>
      </c>
      <c r="G77">
        <v>59</v>
      </c>
      <c r="H77">
        <v>46</v>
      </c>
      <c r="I77">
        <v>14</v>
      </c>
      <c r="J77">
        <v>7</v>
      </c>
      <c r="K77">
        <v>1</v>
      </c>
      <c r="M77">
        <v>68</v>
      </c>
      <c r="N77">
        <v>51</v>
      </c>
      <c r="O77">
        <v>29565765.765765768</v>
      </c>
      <c r="P77">
        <v>33008116.216216218</v>
      </c>
      <c r="Q77">
        <v>129</v>
      </c>
      <c r="R77">
        <v>332</v>
      </c>
      <c r="S77">
        <v>22924144.144144144</v>
      </c>
      <c r="T77">
        <v>24667072.072072074</v>
      </c>
      <c r="U77">
        <v>10550990.990990991</v>
      </c>
      <c r="V77">
        <v>16269729.729729731</v>
      </c>
      <c r="W77">
        <v>4622</v>
      </c>
      <c r="X77">
        <v>4462</v>
      </c>
    </row>
    <row r="78" spans="1:24">
      <c r="A78" s="7" t="s">
        <v>1</v>
      </c>
      <c r="B78" s="16" t="s">
        <v>158</v>
      </c>
      <c r="C78">
        <v>448261271.27394634</v>
      </c>
      <c r="D78">
        <v>449445446.99306345</v>
      </c>
      <c r="E78">
        <v>568918.91891891998</v>
      </c>
      <c r="F78">
        <v>3342342.342342345</v>
      </c>
      <c r="G78">
        <v>381</v>
      </c>
      <c r="H78">
        <v>171</v>
      </c>
      <c r="I78">
        <v>21</v>
      </c>
      <c r="J78">
        <v>9</v>
      </c>
      <c r="K78">
        <v>2</v>
      </c>
      <c r="M78">
        <v>772</v>
      </c>
      <c r="N78">
        <v>522</v>
      </c>
      <c r="O78">
        <v>50851441.441441439</v>
      </c>
      <c r="P78">
        <v>52634864.864864863</v>
      </c>
      <c r="Q78">
        <v>220</v>
      </c>
      <c r="R78">
        <v>211</v>
      </c>
      <c r="S78">
        <v>216265628.82882884</v>
      </c>
      <c r="T78">
        <v>213993810.8108108</v>
      </c>
      <c r="U78">
        <v>49170270.270270273</v>
      </c>
      <c r="V78">
        <v>49662432.432432435</v>
      </c>
      <c r="W78">
        <v>8532</v>
      </c>
      <c r="X78">
        <v>8239</v>
      </c>
    </row>
    <row r="79" spans="1:24">
      <c r="A79" s="7" t="s">
        <v>159</v>
      </c>
      <c r="B79" s="16" t="s">
        <v>121</v>
      </c>
      <c r="C79">
        <v>21557708.357696947</v>
      </c>
      <c r="D79">
        <v>16486021.705159765</v>
      </c>
      <c r="E79">
        <v>6306.3063063059999</v>
      </c>
      <c r="G79">
        <v>62</v>
      </c>
      <c r="H79">
        <v>8</v>
      </c>
      <c r="I79">
        <v>1</v>
      </c>
      <c r="M79">
        <v>63</v>
      </c>
      <c r="N79">
        <v>8</v>
      </c>
      <c r="O79">
        <v>979279.27927927906</v>
      </c>
      <c r="Q79">
        <v>8</v>
      </c>
      <c r="S79">
        <v>3231171.1711711711</v>
      </c>
      <c r="T79">
        <v>1552297.297297297</v>
      </c>
      <c r="U79">
        <v>573243.24324324296</v>
      </c>
      <c r="V79">
        <v>29729.729729729999</v>
      </c>
      <c r="W79">
        <v>621</v>
      </c>
      <c r="X79">
        <v>578</v>
      </c>
    </row>
    <row r="80" spans="1:24">
      <c r="A80" s="7" t="s">
        <v>160</v>
      </c>
      <c r="B80" s="16" t="s">
        <v>161</v>
      </c>
      <c r="C80">
        <v>232203506.47335279</v>
      </c>
      <c r="D80">
        <v>237735285.63671219</v>
      </c>
      <c r="E80">
        <v>101902944.14414416</v>
      </c>
      <c r="F80">
        <v>88864978.378378391</v>
      </c>
      <c r="G80">
        <v>129</v>
      </c>
      <c r="H80">
        <v>154</v>
      </c>
      <c r="I80">
        <v>43</v>
      </c>
      <c r="J80">
        <v>22</v>
      </c>
      <c r="M80">
        <v>413</v>
      </c>
      <c r="N80">
        <v>278</v>
      </c>
      <c r="O80">
        <v>63204609.009009011</v>
      </c>
      <c r="P80">
        <v>100553620.72072072</v>
      </c>
      <c r="Q80">
        <v>343</v>
      </c>
      <c r="R80">
        <v>349</v>
      </c>
      <c r="S80">
        <v>103308756.75675675</v>
      </c>
      <c r="T80">
        <v>104742837.83783785</v>
      </c>
      <c r="U80">
        <v>64791891.891891889</v>
      </c>
      <c r="V80">
        <v>82789279.279279277</v>
      </c>
      <c r="W80">
        <v>6307</v>
      </c>
      <c r="X80">
        <v>6045</v>
      </c>
    </row>
    <row r="81" spans="1:24">
      <c r="A81" s="7" t="s">
        <v>162</v>
      </c>
      <c r="B81" s="16" t="s">
        <v>76</v>
      </c>
      <c r="C81">
        <v>108533821.27966253</v>
      </c>
      <c r="D81">
        <v>107085491.43222302</v>
      </c>
      <c r="E81">
        <v>191891.89189189201</v>
      </c>
      <c r="F81">
        <v>369369.36936936999</v>
      </c>
      <c r="G81">
        <v>22</v>
      </c>
      <c r="H81">
        <v>48</v>
      </c>
      <c r="I81">
        <v>1</v>
      </c>
      <c r="J81">
        <v>1</v>
      </c>
      <c r="M81">
        <v>24</v>
      </c>
      <c r="N81">
        <v>52</v>
      </c>
      <c r="O81">
        <v>1466666.666666667</v>
      </c>
      <c r="P81">
        <v>1693693.693693694</v>
      </c>
      <c r="Q81">
        <v>11</v>
      </c>
      <c r="R81">
        <v>9</v>
      </c>
      <c r="S81">
        <v>6225720.7207207195</v>
      </c>
      <c r="T81">
        <v>5918720.7207207195</v>
      </c>
      <c r="U81">
        <v>1473243.2432432431</v>
      </c>
      <c r="V81">
        <v>1573243.243243244</v>
      </c>
      <c r="W81">
        <v>1017</v>
      </c>
      <c r="X81">
        <v>953</v>
      </c>
    </row>
    <row r="82" spans="1:24">
      <c r="A82" s="7" t="s">
        <v>163</v>
      </c>
      <c r="B82" s="16" t="s">
        <v>52</v>
      </c>
      <c r="C82">
        <v>82579578.66409193</v>
      </c>
      <c r="D82">
        <v>82293860.962318644</v>
      </c>
      <c r="E82">
        <v>1079954.954954955</v>
      </c>
      <c r="F82">
        <v>1390090.0900900911</v>
      </c>
      <c r="G82">
        <v>10</v>
      </c>
      <c r="H82">
        <v>23</v>
      </c>
      <c r="I82">
        <v>1</v>
      </c>
      <c r="J82">
        <v>4</v>
      </c>
      <c r="M82">
        <v>12</v>
      </c>
      <c r="N82">
        <v>28</v>
      </c>
      <c r="O82">
        <v>2002702.702702703</v>
      </c>
      <c r="P82">
        <v>1642342.3423423429</v>
      </c>
      <c r="Q82">
        <v>2</v>
      </c>
      <c r="R82">
        <v>16</v>
      </c>
      <c r="S82">
        <v>40610351.351351351</v>
      </c>
      <c r="T82">
        <v>40099954.954954952</v>
      </c>
      <c r="U82">
        <v>1821711.7117117119</v>
      </c>
      <c r="V82">
        <v>1745495.495495497</v>
      </c>
      <c r="W82">
        <v>1510</v>
      </c>
      <c r="X82">
        <v>1502</v>
      </c>
    </row>
    <row r="83" spans="1:24">
      <c r="A83" s="7" t="s">
        <v>164</v>
      </c>
      <c r="B83" s="16" t="s">
        <v>87</v>
      </c>
      <c r="C83">
        <v>71585042.701360807</v>
      </c>
      <c r="D83">
        <v>44656739.767678559</v>
      </c>
      <c r="E83">
        <v>48648.648648649003</v>
      </c>
      <c r="F83">
        <v>476576.57657657698</v>
      </c>
      <c r="G83">
        <v>96</v>
      </c>
      <c r="H83">
        <v>15</v>
      </c>
      <c r="I83">
        <v>1</v>
      </c>
      <c r="J83">
        <v>1</v>
      </c>
      <c r="M83">
        <v>103</v>
      </c>
      <c r="N83">
        <v>18</v>
      </c>
      <c r="O83">
        <v>1913513.5135135129</v>
      </c>
      <c r="P83">
        <v>3534234.2342342339</v>
      </c>
      <c r="Q83">
        <v>30</v>
      </c>
      <c r="R83">
        <v>152</v>
      </c>
      <c r="S83">
        <v>6917117.1171171172</v>
      </c>
      <c r="T83">
        <v>4467657.6576576577</v>
      </c>
      <c r="U83">
        <v>2334594.594594595</v>
      </c>
      <c r="V83">
        <v>3126216.2162162159</v>
      </c>
      <c r="W83">
        <v>1252</v>
      </c>
      <c r="X83">
        <v>1171</v>
      </c>
    </row>
    <row r="84" spans="1:24">
      <c r="A84" s="7" t="s">
        <v>165</v>
      </c>
      <c r="B84" s="16" t="s">
        <v>143</v>
      </c>
      <c r="C84">
        <v>12806800.060652347</v>
      </c>
      <c r="D84">
        <v>14289476.984548813</v>
      </c>
      <c r="E84">
        <v>287387.38738738699</v>
      </c>
      <c r="F84">
        <v>130630.630630631</v>
      </c>
      <c r="G84">
        <v>6</v>
      </c>
      <c r="H84">
        <v>10</v>
      </c>
      <c r="I84">
        <v>3</v>
      </c>
      <c r="J84">
        <v>2</v>
      </c>
      <c r="M84">
        <v>8</v>
      </c>
      <c r="N84">
        <v>10</v>
      </c>
      <c r="O84">
        <v>3098198.1981981979</v>
      </c>
      <c r="P84">
        <v>1635135.1351351349</v>
      </c>
      <c r="Q84">
        <v>25</v>
      </c>
      <c r="R84">
        <v>11</v>
      </c>
      <c r="S84">
        <v>1799099.0990990989</v>
      </c>
      <c r="T84">
        <v>1601639.63963964</v>
      </c>
      <c r="U84">
        <v>2060540.5405405399</v>
      </c>
      <c r="V84">
        <v>875855.85585585597</v>
      </c>
      <c r="W84">
        <v>335</v>
      </c>
      <c r="X84">
        <v>364</v>
      </c>
    </row>
    <row r="85" spans="1:24">
      <c r="A85" s="7" t="s">
        <v>166</v>
      </c>
      <c r="B85" s="16" t="s">
        <v>167</v>
      </c>
      <c r="C85">
        <v>55430882.99874828</v>
      </c>
      <c r="D85">
        <v>57511557.702911913</v>
      </c>
      <c r="E85">
        <v>169409909.90990993</v>
      </c>
      <c r="F85">
        <v>107873873.87387387</v>
      </c>
      <c r="G85">
        <v>25</v>
      </c>
      <c r="H85">
        <v>15</v>
      </c>
      <c r="I85">
        <v>3</v>
      </c>
      <c r="J85">
        <v>2</v>
      </c>
      <c r="M85">
        <v>28</v>
      </c>
      <c r="N85">
        <v>20</v>
      </c>
      <c r="O85">
        <v>7615394.594594596</v>
      </c>
      <c r="P85">
        <v>8113063.0630630609</v>
      </c>
      <c r="R85">
        <v>32</v>
      </c>
      <c r="S85">
        <v>25534234.234234232</v>
      </c>
      <c r="T85">
        <v>27573700.9009009</v>
      </c>
      <c r="U85">
        <v>5873063.0630630637</v>
      </c>
      <c r="V85">
        <v>5446036.036036036</v>
      </c>
      <c r="W85">
        <v>1375</v>
      </c>
      <c r="X85">
        <v>1380</v>
      </c>
    </row>
    <row r="86" spans="1:24">
      <c r="A86" s="7" t="s">
        <v>168</v>
      </c>
      <c r="B86" s="16" t="s">
        <v>169</v>
      </c>
      <c r="C86">
        <v>262040289.43327036</v>
      </c>
      <c r="D86">
        <v>270888031.02932757</v>
      </c>
      <c r="E86">
        <v>929279.27927927999</v>
      </c>
      <c r="F86">
        <v>1764864.864864866</v>
      </c>
      <c r="G86">
        <v>74</v>
      </c>
      <c r="H86">
        <v>38</v>
      </c>
      <c r="I86">
        <v>7</v>
      </c>
      <c r="J86">
        <v>3</v>
      </c>
      <c r="K86">
        <v>1</v>
      </c>
      <c r="M86">
        <v>85</v>
      </c>
      <c r="N86">
        <v>58</v>
      </c>
      <c r="O86">
        <v>29736126.126126129</v>
      </c>
      <c r="P86">
        <v>40431781.081081077</v>
      </c>
      <c r="Q86">
        <v>125</v>
      </c>
      <c r="R86">
        <v>30</v>
      </c>
      <c r="S86">
        <v>72718990.990990996</v>
      </c>
      <c r="T86">
        <v>83714002.252252251</v>
      </c>
      <c r="U86">
        <v>30077297.297297295</v>
      </c>
      <c r="V86">
        <v>41802882.882882878</v>
      </c>
      <c r="W86">
        <v>6500</v>
      </c>
      <c r="X86">
        <v>6731</v>
      </c>
    </row>
    <row r="87" spans="1:24">
      <c r="A87" s="7" t="s">
        <v>170</v>
      </c>
      <c r="B87" s="16" t="s">
        <v>54</v>
      </c>
      <c r="C87">
        <v>40270525.653496467</v>
      </c>
      <c r="D87">
        <v>40082334.966507122</v>
      </c>
      <c r="E87">
        <v>45945.945945947002</v>
      </c>
      <c r="F87">
        <v>381981.98198198201</v>
      </c>
      <c r="G87">
        <v>7</v>
      </c>
      <c r="H87">
        <v>3</v>
      </c>
      <c r="I87">
        <v>2</v>
      </c>
      <c r="J87">
        <v>1</v>
      </c>
      <c r="M87">
        <v>9</v>
      </c>
      <c r="N87">
        <v>3</v>
      </c>
      <c r="O87">
        <v>6960360.3603603607</v>
      </c>
      <c r="P87">
        <v>4393243.2432432426</v>
      </c>
      <c r="Q87">
        <v>18</v>
      </c>
      <c r="R87">
        <v>6</v>
      </c>
      <c r="S87">
        <v>6499009.0090090092</v>
      </c>
      <c r="T87">
        <v>6450045.0450450452</v>
      </c>
      <c r="U87">
        <v>5668378.3783783782</v>
      </c>
      <c r="V87">
        <v>3781711.7117117108</v>
      </c>
      <c r="W87">
        <v>658</v>
      </c>
      <c r="X87">
        <v>693</v>
      </c>
    </row>
    <row r="88" spans="1:24">
      <c r="A88" s="7" t="s">
        <v>171</v>
      </c>
      <c r="B88" s="16" t="s">
        <v>60</v>
      </c>
      <c r="C88">
        <v>871903410.85412729</v>
      </c>
      <c r="D88">
        <v>848704160.50206137</v>
      </c>
      <c r="E88">
        <v>5313738.7387387436</v>
      </c>
      <c r="F88">
        <v>10728603.603603603</v>
      </c>
      <c r="G88">
        <v>128</v>
      </c>
      <c r="H88">
        <v>224</v>
      </c>
      <c r="I88">
        <v>35</v>
      </c>
      <c r="J88">
        <v>42</v>
      </c>
      <c r="M88">
        <v>144</v>
      </c>
      <c r="N88">
        <v>263</v>
      </c>
      <c r="O88">
        <v>46111711.711711712</v>
      </c>
      <c r="P88">
        <v>43292792.79279279</v>
      </c>
      <c r="Q88">
        <v>277</v>
      </c>
      <c r="R88">
        <v>243</v>
      </c>
      <c r="S88">
        <v>301088761.26126122</v>
      </c>
      <c r="T88">
        <v>312541225.22522521</v>
      </c>
      <c r="U88">
        <v>48874594.59459459</v>
      </c>
      <c r="V88">
        <v>40764504.504504502</v>
      </c>
      <c r="W88">
        <v>12251</v>
      </c>
      <c r="X88">
        <v>12487</v>
      </c>
    </row>
    <row r="89" spans="1:24">
      <c r="A89" s="7" t="s">
        <v>172</v>
      </c>
      <c r="B89" s="16" t="s">
        <v>121</v>
      </c>
      <c r="C89">
        <v>369878164.10031712</v>
      </c>
      <c r="D89">
        <v>349569005.8686924</v>
      </c>
      <c r="E89">
        <v>1198198.1981982021</v>
      </c>
      <c r="F89">
        <v>2552252.2522522518</v>
      </c>
      <c r="G89">
        <v>243</v>
      </c>
      <c r="H89">
        <v>155</v>
      </c>
      <c r="I89">
        <v>18</v>
      </c>
      <c r="J89">
        <v>15</v>
      </c>
      <c r="M89">
        <v>260</v>
      </c>
      <c r="N89">
        <v>171</v>
      </c>
      <c r="O89">
        <v>99248648.648648635</v>
      </c>
      <c r="P89">
        <v>25061261.261261258</v>
      </c>
      <c r="Q89">
        <v>390</v>
      </c>
      <c r="R89">
        <v>158</v>
      </c>
      <c r="S89">
        <v>52552837.837837838</v>
      </c>
      <c r="T89">
        <v>47594628.378378376</v>
      </c>
      <c r="U89">
        <v>94668018.018018022</v>
      </c>
      <c r="V89">
        <v>16492792.792792792</v>
      </c>
      <c r="W89">
        <v>5770</v>
      </c>
      <c r="X89">
        <v>5757</v>
      </c>
    </row>
    <row r="90" spans="1:24">
      <c r="A90" s="7" t="s">
        <v>173</v>
      </c>
      <c r="B90" s="16" t="s">
        <v>174</v>
      </c>
      <c r="C90">
        <v>258237505.28706285</v>
      </c>
      <c r="D90">
        <v>248564931.26103809</v>
      </c>
      <c r="E90">
        <v>13297522.522522524</v>
      </c>
      <c r="F90">
        <v>23858333.333333336</v>
      </c>
      <c r="G90">
        <v>83</v>
      </c>
      <c r="H90">
        <v>55</v>
      </c>
      <c r="I90">
        <v>18</v>
      </c>
      <c r="J90">
        <v>15</v>
      </c>
      <c r="K90">
        <v>5</v>
      </c>
      <c r="M90">
        <v>91</v>
      </c>
      <c r="N90">
        <v>169</v>
      </c>
      <c r="O90">
        <v>37422027.027027026</v>
      </c>
      <c r="P90">
        <v>40860810.810810804</v>
      </c>
      <c r="Q90">
        <v>430</v>
      </c>
      <c r="R90">
        <v>539</v>
      </c>
      <c r="S90">
        <v>32920513.513513513</v>
      </c>
      <c r="T90">
        <v>31322117.117117122</v>
      </c>
      <c r="U90">
        <v>30445405.405405402</v>
      </c>
      <c r="V90">
        <v>37216396.396396399</v>
      </c>
      <c r="W90">
        <v>4608</v>
      </c>
      <c r="X90">
        <v>4513</v>
      </c>
    </row>
    <row r="91" spans="1:24">
      <c r="A91" s="7" t="s">
        <v>175</v>
      </c>
      <c r="B91" s="16" t="s">
        <v>174</v>
      </c>
      <c r="C91">
        <v>394848757.58593374</v>
      </c>
      <c r="D91">
        <v>388571678.1753369</v>
      </c>
      <c r="E91">
        <v>1038738.738738745</v>
      </c>
      <c r="F91">
        <v>3039414.4144144179</v>
      </c>
      <c r="G91">
        <v>156</v>
      </c>
      <c r="H91">
        <v>144</v>
      </c>
      <c r="I91">
        <v>33</v>
      </c>
      <c r="J91">
        <v>20</v>
      </c>
      <c r="K91">
        <v>1</v>
      </c>
      <c r="M91">
        <v>216</v>
      </c>
      <c r="N91">
        <v>206</v>
      </c>
      <c r="O91">
        <v>63266702.702702694</v>
      </c>
      <c r="P91">
        <v>54318918.918918923</v>
      </c>
      <c r="Q91">
        <v>391</v>
      </c>
      <c r="R91">
        <v>344</v>
      </c>
      <c r="S91">
        <v>68214841.441441447</v>
      </c>
      <c r="T91">
        <v>66384306.306306303</v>
      </c>
      <c r="U91">
        <v>56023870.270270273</v>
      </c>
      <c r="V91">
        <v>47496619.819819823</v>
      </c>
      <c r="W91">
        <v>8496</v>
      </c>
      <c r="X91">
        <v>8620</v>
      </c>
    </row>
    <row r="92" spans="1:24">
      <c r="A92" s="7" t="s">
        <v>176</v>
      </c>
      <c r="B92" s="16" t="s">
        <v>174</v>
      </c>
      <c r="C92">
        <v>531589414.15258694</v>
      </c>
      <c r="D92">
        <v>531069395.03417611</v>
      </c>
      <c r="E92">
        <v>139453296.3963964</v>
      </c>
      <c r="F92">
        <v>121210262.16216215</v>
      </c>
      <c r="G92">
        <v>276</v>
      </c>
      <c r="H92">
        <v>243</v>
      </c>
      <c r="I92">
        <v>24</v>
      </c>
      <c r="J92">
        <v>19</v>
      </c>
      <c r="K92">
        <v>5</v>
      </c>
      <c r="M92">
        <v>318</v>
      </c>
      <c r="N92">
        <v>307</v>
      </c>
      <c r="O92">
        <v>85532439.639639631</v>
      </c>
      <c r="P92">
        <v>74261711.711711705</v>
      </c>
      <c r="Q92">
        <v>411</v>
      </c>
      <c r="R92">
        <v>239</v>
      </c>
      <c r="S92">
        <v>91215146.846846849</v>
      </c>
      <c r="T92">
        <v>79890840.540540546</v>
      </c>
      <c r="U92">
        <v>50867297.297297299</v>
      </c>
      <c r="V92">
        <v>46692522.522522517</v>
      </c>
      <c r="W92">
        <v>11560</v>
      </c>
      <c r="X92">
        <v>11655</v>
      </c>
    </row>
    <row r="93" spans="1:24">
      <c r="A93" s="7" t="s">
        <v>177</v>
      </c>
      <c r="B93" s="16" t="s">
        <v>178</v>
      </c>
      <c r="C93">
        <v>190972113.59263816</v>
      </c>
      <c r="D93">
        <v>182117743.59982216</v>
      </c>
      <c r="E93">
        <v>813513.51351351396</v>
      </c>
      <c r="F93">
        <v>652252.25225225196</v>
      </c>
      <c r="G93">
        <v>70</v>
      </c>
      <c r="H93">
        <v>34</v>
      </c>
      <c r="I93">
        <v>1</v>
      </c>
      <c r="J93">
        <v>5</v>
      </c>
      <c r="K93">
        <v>1</v>
      </c>
      <c r="M93">
        <v>82</v>
      </c>
      <c r="N93">
        <v>44</v>
      </c>
      <c r="O93">
        <v>8249635.1351351347</v>
      </c>
      <c r="P93">
        <v>10096801.801801803</v>
      </c>
      <c r="Q93">
        <v>39</v>
      </c>
      <c r="R93">
        <v>19</v>
      </c>
      <c r="S93">
        <v>66786484.684684686</v>
      </c>
      <c r="T93">
        <v>72210349.54954955</v>
      </c>
      <c r="U93">
        <v>6020990.9909909917</v>
      </c>
      <c r="V93">
        <v>9652927.927927928</v>
      </c>
      <c r="W93">
        <v>3775</v>
      </c>
      <c r="X93">
        <v>3637</v>
      </c>
    </row>
    <row r="94" spans="1:24">
      <c r="A94" s="7" t="s">
        <v>179</v>
      </c>
      <c r="B94" s="16" t="s">
        <v>167</v>
      </c>
      <c r="C94">
        <v>241886474.8794502</v>
      </c>
      <c r="D94">
        <v>212936422.50847146</v>
      </c>
      <c r="E94">
        <v>636936.93693693797</v>
      </c>
      <c r="F94">
        <v>2672747.7477477482</v>
      </c>
      <c r="G94">
        <v>135</v>
      </c>
      <c r="H94">
        <v>30</v>
      </c>
      <c r="I94">
        <v>2</v>
      </c>
      <c r="J94">
        <v>3</v>
      </c>
      <c r="M94">
        <v>154</v>
      </c>
      <c r="N94">
        <v>52</v>
      </c>
      <c r="O94">
        <v>7101621.6216216236</v>
      </c>
      <c r="P94">
        <v>7117117.1171171172</v>
      </c>
      <c r="Q94">
        <v>43</v>
      </c>
      <c r="R94">
        <v>12</v>
      </c>
      <c r="S94">
        <v>60117576.576576576</v>
      </c>
      <c r="T94">
        <v>53655774.774774775</v>
      </c>
      <c r="U94">
        <v>8984324.3243243266</v>
      </c>
      <c r="V94">
        <v>4305405.4054054087</v>
      </c>
      <c r="W94">
        <v>4883</v>
      </c>
      <c r="X94">
        <v>4460</v>
      </c>
    </row>
    <row r="95" spans="1:24">
      <c r="A95" s="7" t="s">
        <v>180</v>
      </c>
      <c r="B95" s="16" t="s">
        <v>181</v>
      </c>
      <c r="C95">
        <v>181860579.33204147</v>
      </c>
      <c r="D95">
        <v>169616648.44793177</v>
      </c>
      <c r="E95">
        <v>187436036.03603604</v>
      </c>
      <c r="F95">
        <v>65900900.9009009</v>
      </c>
      <c r="G95">
        <v>23</v>
      </c>
      <c r="H95">
        <v>24</v>
      </c>
      <c r="I95">
        <v>1</v>
      </c>
      <c r="J95">
        <v>2</v>
      </c>
      <c r="M95">
        <v>25</v>
      </c>
      <c r="N95">
        <v>31</v>
      </c>
      <c r="O95">
        <v>26407387.387387387</v>
      </c>
      <c r="P95">
        <v>15789909.90990991</v>
      </c>
      <c r="Q95">
        <v>43</v>
      </c>
      <c r="R95">
        <v>65</v>
      </c>
      <c r="S95">
        <v>38085090.090090089</v>
      </c>
      <c r="T95">
        <v>42187885.135135137</v>
      </c>
      <c r="U95">
        <v>13233423.423423424</v>
      </c>
      <c r="V95">
        <v>12460180.180180181</v>
      </c>
      <c r="W95">
        <v>3006</v>
      </c>
      <c r="X95">
        <v>3053</v>
      </c>
    </row>
    <row r="96" spans="1:24">
      <c r="A96" s="7" t="s">
        <v>182</v>
      </c>
      <c r="B96" s="16" t="s">
        <v>94</v>
      </c>
      <c r="C96">
        <v>163050630.21049204</v>
      </c>
      <c r="D96">
        <v>163564502.21361092</v>
      </c>
      <c r="E96">
        <v>58992792.79279279</v>
      </c>
      <c r="F96">
        <v>68837387.38738738</v>
      </c>
      <c r="G96">
        <v>75</v>
      </c>
      <c r="H96">
        <v>48</v>
      </c>
      <c r="I96">
        <v>0</v>
      </c>
      <c r="J96">
        <v>0</v>
      </c>
      <c r="K96">
        <v>1</v>
      </c>
      <c r="M96">
        <v>85</v>
      </c>
      <c r="N96">
        <v>57</v>
      </c>
      <c r="O96">
        <v>11116666.666666666</v>
      </c>
      <c r="P96">
        <v>15792342.342342341</v>
      </c>
      <c r="R96">
        <v>17</v>
      </c>
      <c r="S96">
        <v>14454864.864864863</v>
      </c>
      <c r="T96">
        <v>17262108.108108107</v>
      </c>
      <c r="U96">
        <v>1209369.3693693699</v>
      </c>
      <c r="V96">
        <v>1819459.4594594589</v>
      </c>
      <c r="W96">
        <v>3777</v>
      </c>
      <c r="X96">
        <v>3821</v>
      </c>
    </row>
    <row r="97" spans="1:24">
      <c r="A97" s="7" t="s">
        <v>183</v>
      </c>
      <c r="B97" s="16" t="s">
        <v>94</v>
      </c>
      <c r="C97">
        <v>1080300116.1159437</v>
      </c>
      <c r="D97">
        <v>1012596845.0967208</v>
      </c>
      <c r="E97">
        <v>545490545.94594598</v>
      </c>
      <c r="F97">
        <v>1067101119.8198198</v>
      </c>
      <c r="G97">
        <v>268</v>
      </c>
      <c r="H97">
        <v>205</v>
      </c>
      <c r="I97">
        <v>33</v>
      </c>
      <c r="J97">
        <v>27</v>
      </c>
      <c r="K97">
        <v>3</v>
      </c>
      <c r="M97">
        <v>298</v>
      </c>
      <c r="N97">
        <v>244</v>
      </c>
      <c r="O97">
        <v>58415585.585585587</v>
      </c>
      <c r="P97">
        <v>70204504.504504502</v>
      </c>
      <c r="Q97">
        <v>227</v>
      </c>
      <c r="R97">
        <v>528</v>
      </c>
      <c r="S97">
        <v>124739121.62162161</v>
      </c>
      <c r="T97">
        <v>123125617.56756757</v>
      </c>
      <c r="U97">
        <v>49920090.090090089</v>
      </c>
      <c r="V97">
        <v>55530630.630630635</v>
      </c>
      <c r="W97">
        <v>16190</v>
      </c>
      <c r="X97">
        <v>16290</v>
      </c>
    </row>
    <row r="98" spans="1:24">
      <c r="A98" s="7" t="s">
        <v>184</v>
      </c>
      <c r="B98" s="16" t="s">
        <v>89</v>
      </c>
      <c r="C98">
        <v>97733419.536846921</v>
      </c>
      <c r="D98">
        <v>91977841.310799986</v>
      </c>
      <c r="E98">
        <v>1047297.297297298</v>
      </c>
      <c r="F98">
        <v>1194369.369369369</v>
      </c>
      <c r="G98">
        <v>21</v>
      </c>
      <c r="H98">
        <v>18</v>
      </c>
      <c r="I98">
        <v>2</v>
      </c>
      <c r="J98">
        <v>6</v>
      </c>
      <c r="M98">
        <v>24</v>
      </c>
      <c r="N98">
        <v>20</v>
      </c>
      <c r="O98">
        <v>3381531.53153153</v>
      </c>
      <c r="P98">
        <v>4981441.441441441</v>
      </c>
      <c r="Q98">
        <v>25</v>
      </c>
      <c r="R98">
        <v>45</v>
      </c>
      <c r="S98">
        <v>31446441.441441439</v>
      </c>
      <c r="T98">
        <v>31062684.684684683</v>
      </c>
      <c r="U98">
        <v>3365495.4954954949</v>
      </c>
      <c r="V98">
        <v>4512162.1621621633</v>
      </c>
      <c r="W98">
        <v>1787</v>
      </c>
      <c r="X98">
        <v>1614</v>
      </c>
    </row>
    <row r="99" spans="1:24">
      <c r="A99" s="7" t="s">
        <v>185</v>
      </c>
      <c r="B99" s="16" t="s">
        <v>60</v>
      </c>
      <c r="C99">
        <v>52598792.72273463</v>
      </c>
      <c r="D99">
        <v>56079802.447738074</v>
      </c>
      <c r="E99">
        <v>360360.36036036001</v>
      </c>
      <c r="F99">
        <v>270270.27027027198</v>
      </c>
      <c r="G99">
        <v>8</v>
      </c>
      <c r="H99">
        <v>12</v>
      </c>
      <c r="I99">
        <v>1</v>
      </c>
      <c r="J99">
        <v>4</v>
      </c>
      <c r="M99">
        <v>8</v>
      </c>
      <c r="N99">
        <v>13</v>
      </c>
      <c r="O99">
        <v>2801351.351351351</v>
      </c>
      <c r="P99">
        <v>1756756.756756759</v>
      </c>
      <c r="Q99">
        <v>18</v>
      </c>
      <c r="S99">
        <v>19449864.864864863</v>
      </c>
      <c r="T99">
        <v>19297768.018018015</v>
      </c>
      <c r="U99">
        <v>2763513.5135135129</v>
      </c>
      <c r="V99">
        <v>1282882.8828828819</v>
      </c>
      <c r="W99">
        <v>788</v>
      </c>
      <c r="X99">
        <v>848</v>
      </c>
    </row>
    <row r="100" spans="1:24">
      <c r="A100" s="7" t="s">
        <v>186</v>
      </c>
      <c r="B100" s="16" t="s">
        <v>167</v>
      </c>
      <c r="C100">
        <v>129571318.48083813</v>
      </c>
      <c r="D100">
        <v>137995106.54838821</v>
      </c>
      <c r="E100">
        <v>8108.1081081089997</v>
      </c>
      <c r="F100">
        <v>1711486.4864864871</v>
      </c>
      <c r="G100">
        <v>23</v>
      </c>
      <c r="H100">
        <v>5</v>
      </c>
      <c r="I100">
        <v>3</v>
      </c>
      <c r="J100">
        <v>5</v>
      </c>
      <c r="M100">
        <v>30</v>
      </c>
      <c r="N100">
        <v>6</v>
      </c>
      <c r="O100">
        <v>269369.369369369</v>
      </c>
      <c r="P100">
        <v>2454954.9549549539</v>
      </c>
      <c r="R100">
        <v>15</v>
      </c>
      <c r="S100">
        <v>33723738.738738738</v>
      </c>
      <c r="T100">
        <v>36469801.801801801</v>
      </c>
      <c r="U100">
        <v>396396.39639639598</v>
      </c>
      <c r="V100">
        <v>674234.23423423397</v>
      </c>
      <c r="W100">
        <v>2812</v>
      </c>
      <c r="X100">
        <v>2750</v>
      </c>
    </row>
    <row r="101" spans="1:24">
      <c r="A101" s="7" t="s">
        <v>187</v>
      </c>
      <c r="B101" s="16" t="s">
        <v>167</v>
      </c>
      <c r="C101">
        <v>388434622.86265677</v>
      </c>
      <c r="D101">
        <v>364388837.52724516</v>
      </c>
      <c r="E101">
        <v>22522.522522523999</v>
      </c>
      <c r="F101">
        <v>1315315.3153153181</v>
      </c>
      <c r="G101">
        <v>142</v>
      </c>
      <c r="H101">
        <v>47</v>
      </c>
      <c r="I101">
        <v>3</v>
      </c>
      <c r="J101">
        <v>7</v>
      </c>
      <c r="M101">
        <v>160</v>
      </c>
      <c r="N101">
        <v>55</v>
      </c>
      <c r="O101">
        <v>8463963.9639639668</v>
      </c>
      <c r="P101">
        <v>14757238.738738736</v>
      </c>
      <c r="Q101">
        <v>30</v>
      </c>
      <c r="R101">
        <v>15</v>
      </c>
      <c r="S101">
        <v>79913072.072072074</v>
      </c>
      <c r="T101">
        <v>74378468.468468457</v>
      </c>
      <c r="U101">
        <v>9467027.0270270277</v>
      </c>
      <c r="V101">
        <v>11539369.369369367</v>
      </c>
      <c r="W101">
        <v>5865</v>
      </c>
      <c r="X101">
        <v>5831</v>
      </c>
    </row>
    <row r="102" spans="1:24">
      <c r="A102" s="7" t="s">
        <v>188</v>
      </c>
      <c r="B102" s="16" t="s">
        <v>189</v>
      </c>
      <c r="C102">
        <v>169300175.2167646</v>
      </c>
      <c r="D102">
        <v>160617930.32552385</v>
      </c>
      <c r="E102">
        <v>633333.33333333302</v>
      </c>
      <c r="F102">
        <v>270270.27027027</v>
      </c>
      <c r="G102">
        <v>29</v>
      </c>
      <c r="H102">
        <v>19</v>
      </c>
      <c r="I102">
        <v>1</v>
      </c>
      <c r="M102">
        <v>33</v>
      </c>
      <c r="N102">
        <v>22</v>
      </c>
      <c r="O102">
        <v>2858558.5585585581</v>
      </c>
      <c r="P102">
        <v>4063063.0630630641</v>
      </c>
      <c r="Q102">
        <v>1</v>
      </c>
      <c r="S102">
        <v>13686891.891891891</v>
      </c>
      <c r="T102">
        <v>11697873.873873873</v>
      </c>
      <c r="U102">
        <v>2768468.4684684682</v>
      </c>
      <c r="V102">
        <v>2043243.2432432431</v>
      </c>
      <c r="W102">
        <v>1724</v>
      </c>
      <c r="X102">
        <v>1717</v>
      </c>
    </row>
    <row r="103" spans="1:24">
      <c r="A103" s="7" t="s">
        <v>190</v>
      </c>
      <c r="B103" s="16" t="s">
        <v>134</v>
      </c>
      <c r="C103">
        <v>40824275.380825095</v>
      </c>
      <c r="D103">
        <v>38716434.053878359</v>
      </c>
      <c r="F103">
        <v>13513.513513514001</v>
      </c>
      <c r="G103">
        <v>33</v>
      </c>
      <c r="H103">
        <v>21</v>
      </c>
      <c r="J103">
        <v>0</v>
      </c>
      <c r="M103">
        <v>37</v>
      </c>
      <c r="N103">
        <v>23</v>
      </c>
      <c r="O103">
        <v>45045.045045045001</v>
      </c>
      <c r="P103">
        <v>58558.558558559002</v>
      </c>
      <c r="Q103">
        <v>5</v>
      </c>
      <c r="R103">
        <v>6</v>
      </c>
      <c r="S103">
        <v>4935990.9909909908</v>
      </c>
      <c r="T103">
        <v>2614774.7747747749</v>
      </c>
      <c r="U103">
        <v>45045.045045045001</v>
      </c>
      <c r="V103">
        <v>200900.900900901</v>
      </c>
      <c r="W103">
        <v>1310</v>
      </c>
      <c r="X103">
        <v>1054</v>
      </c>
    </row>
    <row r="104" spans="1:24">
      <c r="A104" s="7" t="s">
        <v>191</v>
      </c>
      <c r="B104" s="16" t="s">
        <v>60</v>
      </c>
      <c r="C104">
        <v>247633651.06989652</v>
      </c>
      <c r="D104">
        <v>232353321.19266507</v>
      </c>
      <c r="E104">
        <v>1339639.6396396409</v>
      </c>
      <c r="F104">
        <v>3565540.5405405392</v>
      </c>
      <c r="G104">
        <v>62</v>
      </c>
      <c r="H104">
        <v>22</v>
      </c>
      <c r="I104">
        <v>8</v>
      </c>
      <c r="J104">
        <v>4</v>
      </c>
      <c r="M104">
        <v>74</v>
      </c>
      <c r="N104">
        <v>84</v>
      </c>
      <c r="O104">
        <v>15907207.207207208</v>
      </c>
      <c r="P104">
        <v>20043243.24324324</v>
      </c>
      <c r="Q104">
        <v>100</v>
      </c>
      <c r="R104">
        <v>132</v>
      </c>
      <c r="S104">
        <v>83246513.51351352</v>
      </c>
      <c r="T104">
        <v>77010927.927927941</v>
      </c>
      <c r="U104">
        <v>16773603.603603603</v>
      </c>
      <c r="V104">
        <v>18744774.774774775</v>
      </c>
      <c r="W104">
        <v>4129</v>
      </c>
      <c r="X104">
        <v>3983</v>
      </c>
    </row>
    <row r="105" spans="1:24">
      <c r="A105" s="7" t="s">
        <v>192</v>
      </c>
      <c r="B105" s="16" t="s">
        <v>60</v>
      </c>
      <c r="C105">
        <v>419088015.83550322</v>
      </c>
      <c r="D105">
        <v>401015401.26814085</v>
      </c>
      <c r="E105">
        <v>2904504.5045045051</v>
      </c>
      <c r="F105">
        <v>3738738.738738738</v>
      </c>
      <c r="G105">
        <v>86</v>
      </c>
      <c r="H105">
        <v>35</v>
      </c>
      <c r="I105">
        <v>9</v>
      </c>
      <c r="J105">
        <v>10</v>
      </c>
      <c r="M105">
        <v>90</v>
      </c>
      <c r="N105">
        <v>59</v>
      </c>
      <c r="O105">
        <v>16936036.036036037</v>
      </c>
      <c r="P105">
        <v>23180180.180180177</v>
      </c>
      <c r="Q105">
        <v>85</v>
      </c>
      <c r="R105">
        <v>62</v>
      </c>
      <c r="S105">
        <v>96440945.945945948</v>
      </c>
      <c r="T105">
        <v>93344675.675675675</v>
      </c>
      <c r="U105">
        <v>15509009.009009007</v>
      </c>
      <c r="V105">
        <v>20688828.828828827</v>
      </c>
      <c r="W105">
        <v>6470</v>
      </c>
      <c r="X105">
        <v>6510</v>
      </c>
    </row>
    <row r="106" spans="1:24">
      <c r="A106" s="7" t="s">
        <v>2</v>
      </c>
      <c r="B106" s="16" t="s">
        <v>193</v>
      </c>
      <c r="C106">
        <v>51904163.194953784</v>
      </c>
      <c r="D106">
        <v>44744550.991692178</v>
      </c>
      <c r="E106">
        <v>140820045.04504505</v>
      </c>
      <c r="F106">
        <v>91031531.531531543</v>
      </c>
      <c r="G106">
        <v>13</v>
      </c>
      <c r="H106">
        <v>5</v>
      </c>
      <c r="I106">
        <v>3</v>
      </c>
      <c r="J106">
        <v>0</v>
      </c>
      <c r="M106">
        <v>14</v>
      </c>
      <c r="N106">
        <v>7</v>
      </c>
      <c r="O106">
        <v>3286036.036036036</v>
      </c>
      <c r="P106">
        <v>7268243.2432432435</v>
      </c>
      <c r="Q106">
        <v>6</v>
      </c>
      <c r="S106">
        <v>28162297.297297295</v>
      </c>
      <c r="T106">
        <v>25380693.693693697</v>
      </c>
      <c r="U106">
        <v>330180.18018018099</v>
      </c>
      <c r="V106">
        <v>6763063.0630630637</v>
      </c>
      <c r="W106">
        <v>1297</v>
      </c>
      <c r="X106">
        <v>1208</v>
      </c>
    </row>
    <row r="107" spans="1:24">
      <c r="A107" s="7" t="s">
        <v>194</v>
      </c>
      <c r="B107" s="16" t="s">
        <v>195</v>
      </c>
      <c r="C107">
        <v>1393245944.3013573</v>
      </c>
      <c r="D107">
        <v>1387122537.8029299</v>
      </c>
      <c r="E107">
        <v>31563972.972972974</v>
      </c>
      <c r="F107">
        <v>75142117.117117122</v>
      </c>
      <c r="G107">
        <v>362</v>
      </c>
      <c r="H107">
        <v>321</v>
      </c>
      <c r="I107">
        <v>5</v>
      </c>
      <c r="J107">
        <v>10</v>
      </c>
      <c r="M107">
        <v>401</v>
      </c>
      <c r="N107">
        <v>649</v>
      </c>
      <c r="O107">
        <v>74984234.234234244</v>
      </c>
      <c r="P107">
        <v>81095315.315315306</v>
      </c>
      <c r="Q107">
        <v>195</v>
      </c>
      <c r="R107">
        <v>335</v>
      </c>
      <c r="S107">
        <v>251550711.7117117</v>
      </c>
      <c r="T107">
        <v>271145711.7117117</v>
      </c>
      <c r="U107">
        <v>64703963.963963963</v>
      </c>
      <c r="V107">
        <v>70959369.369369373</v>
      </c>
      <c r="W107">
        <v>18305</v>
      </c>
      <c r="X107">
        <v>17774</v>
      </c>
    </row>
    <row r="108" spans="1:24">
      <c r="A108" s="7" t="s">
        <v>196</v>
      </c>
      <c r="B108" s="16" t="s">
        <v>80</v>
      </c>
      <c r="C108">
        <v>427432456.73808479</v>
      </c>
      <c r="D108">
        <v>424854544.05768734</v>
      </c>
      <c r="E108">
        <v>249549.54954955101</v>
      </c>
      <c r="F108">
        <v>2282882.8828828828</v>
      </c>
      <c r="G108">
        <v>110</v>
      </c>
      <c r="H108">
        <v>103</v>
      </c>
      <c r="I108">
        <v>19</v>
      </c>
      <c r="J108">
        <v>12</v>
      </c>
      <c r="M108">
        <v>117</v>
      </c>
      <c r="N108">
        <v>115</v>
      </c>
      <c r="O108">
        <v>57640540.540540546</v>
      </c>
      <c r="P108">
        <v>57734054.054054059</v>
      </c>
      <c r="Q108">
        <v>139</v>
      </c>
      <c r="R108">
        <v>335</v>
      </c>
      <c r="S108">
        <v>112373097.2972973</v>
      </c>
      <c r="T108">
        <v>115349090.0900901</v>
      </c>
      <c r="U108">
        <v>56298601.801801801</v>
      </c>
      <c r="V108">
        <v>56257747.747747749</v>
      </c>
      <c r="W108">
        <v>6792</v>
      </c>
      <c r="X108">
        <v>6713</v>
      </c>
    </row>
    <row r="109" spans="1:24">
      <c r="A109" s="7" t="s">
        <v>197</v>
      </c>
      <c r="B109" s="16" t="s">
        <v>108</v>
      </c>
      <c r="C109">
        <v>334696130.69150734</v>
      </c>
      <c r="D109">
        <v>340763370.10401869</v>
      </c>
      <c r="E109">
        <v>1251621.621621625</v>
      </c>
      <c r="F109">
        <v>3378378.3783783792</v>
      </c>
      <c r="G109">
        <v>95</v>
      </c>
      <c r="H109">
        <v>121</v>
      </c>
      <c r="I109">
        <v>3</v>
      </c>
      <c r="J109">
        <v>7</v>
      </c>
      <c r="M109">
        <v>113</v>
      </c>
      <c r="N109">
        <v>140</v>
      </c>
      <c r="O109">
        <v>21782252.252252247</v>
      </c>
      <c r="P109">
        <v>20640540.540540539</v>
      </c>
      <c r="Q109">
        <v>185</v>
      </c>
      <c r="R109">
        <v>76</v>
      </c>
      <c r="S109">
        <v>98445855.855855852</v>
      </c>
      <c r="T109">
        <v>104091351.35135137</v>
      </c>
      <c r="U109">
        <v>21959189.189189192</v>
      </c>
      <c r="V109">
        <v>17741621.62162162</v>
      </c>
      <c r="W109">
        <v>7112</v>
      </c>
      <c r="X109">
        <v>6966</v>
      </c>
    </row>
    <row r="110" spans="1:24">
      <c r="A110" s="7" t="s">
        <v>198</v>
      </c>
      <c r="B110" s="16" t="s">
        <v>92</v>
      </c>
      <c r="C110">
        <v>182209466.17370966</v>
      </c>
      <c r="D110">
        <v>183871552.18824306</v>
      </c>
      <c r="E110">
        <v>3512792.7927927952</v>
      </c>
      <c r="F110">
        <v>5989189.1891891873</v>
      </c>
      <c r="G110">
        <v>39</v>
      </c>
      <c r="H110">
        <v>175</v>
      </c>
      <c r="I110">
        <v>7</v>
      </c>
      <c r="J110">
        <v>4</v>
      </c>
      <c r="M110">
        <v>40</v>
      </c>
      <c r="N110">
        <v>253</v>
      </c>
      <c r="O110">
        <v>19694774.774774775</v>
      </c>
      <c r="P110">
        <v>62787477.477477483</v>
      </c>
      <c r="Q110">
        <v>113</v>
      </c>
      <c r="R110">
        <v>153</v>
      </c>
      <c r="S110">
        <v>46920945.945945941</v>
      </c>
      <c r="T110">
        <v>49973045.045045048</v>
      </c>
      <c r="U110">
        <v>20625765.765765764</v>
      </c>
      <c r="V110">
        <v>61031441.441441439</v>
      </c>
      <c r="W110">
        <v>2770</v>
      </c>
      <c r="X110">
        <v>2816</v>
      </c>
    </row>
    <row r="111" spans="1:24">
      <c r="A111" s="7" t="s">
        <v>199</v>
      </c>
      <c r="B111" s="16" t="s">
        <v>123</v>
      </c>
      <c r="C111">
        <v>179801468.90867177</v>
      </c>
      <c r="D111">
        <v>171991213.98444051</v>
      </c>
      <c r="E111">
        <v>762162.16216216201</v>
      </c>
      <c r="F111">
        <v>599999.99999999895</v>
      </c>
      <c r="G111">
        <v>60</v>
      </c>
      <c r="H111">
        <v>59</v>
      </c>
      <c r="I111">
        <v>3</v>
      </c>
      <c r="J111">
        <v>2</v>
      </c>
      <c r="M111">
        <v>64</v>
      </c>
      <c r="N111">
        <v>61</v>
      </c>
      <c r="O111">
        <v>8862702.702702703</v>
      </c>
      <c r="P111">
        <v>5546306.3063063063</v>
      </c>
      <c r="Q111">
        <v>10</v>
      </c>
      <c r="R111">
        <v>6</v>
      </c>
      <c r="S111">
        <v>36686081.081081077</v>
      </c>
      <c r="T111">
        <v>32546891.891891893</v>
      </c>
      <c r="U111">
        <v>7615945.9459459474</v>
      </c>
      <c r="V111">
        <v>6828108.1081081089</v>
      </c>
      <c r="W111">
        <v>2436</v>
      </c>
      <c r="X111">
        <v>2503</v>
      </c>
    </row>
    <row r="112" spans="1:24">
      <c r="A112" s="7" t="s">
        <v>200</v>
      </c>
      <c r="B112" s="16" t="s">
        <v>60</v>
      </c>
      <c r="C112">
        <v>124172504.80722684</v>
      </c>
      <c r="D112">
        <v>125260207.77068077</v>
      </c>
      <c r="E112">
        <v>336936.93693693797</v>
      </c>
      <c r="F112">
        <v>2675675.6756756762</v>
      </c>
      <c r="G112">
        <v>38</v>
      </c>
      <c r="H112">
        <v>28</v>
      </c>
      <c r="I112">
        <v>8</v>
      </c>
      <c r="J112">
        <v>7</v>
      </c>
      <c r="M112">
        <v>44</v>
      </c>
      <c r="N112">
        <v>34</v>
      </c>
      <c r="O112">
        <v>14805405.405405404</v>
      </c>
      <c r="P112">
        <v>16594594.594594596</v>
      </c>
      <c r="Q112">
        <v>120</v>
      </c>
      <c r="R112">
        <v>117</v>
      </c>
      <c r="S112">
        <v>20786297.297297295</v>
      </c>
      <c r="T112">
        <v>23166680.180180181</v>
      </c>
      <c r="U112">
        <v>10271171.171171168</v>
      </c>
      <c r="V112">
        <v>17931891.891891893</v>
      </c>
      <c r="W112">
        <v>3481</v>
      </c>
      <c r="X112">
        <v>3525</v>
      </c>
    </row>
    <row r="113" spans="1:24">
      <c r="A113" s="7" t="s">
        <v>201</v>
      </c>
      <c r="B113" s="16" t="s">
        <v>60</v>
      </c>
      <c r="C113">
        <v>43229033.949372336</v>
      </c>
      <c r="D113">
        <v>41704624.35359104</v>
      </c>
      <c r="E113">
        <v>228108.10810810901</v>
      </c>
      <c r="F113">
        <v>247747.74774774999</v>
      </c>
      <c r="G113">
        <v>14</v>
      </c>
      <c r="H113">
        <v>15</v>
      </c>
      <c r="I113">
        <v>4</v>
      </c>
      <c r="J113">
        <v>2</v>
      </c>
      <c r="M113">
        <v>15</v>
      </c>
      <c r="N113">
        <v>18</v>
      </c>
      <c r="O113">
        <v>2417297.297297297</v>
      </c>
      <c r="P113">
        <v>2500000.0000000009</v>
      </c>
      <c r="Q113">
        <v>26</v>
      </c>
      <c r="R113">
        <v>25</v>
      </c>
      <c r="S113">
        <v>8366576.5765765766</v>
      </c>
      <c r="T113">
        <v>7535477.4774774779</v>
      </c>
      <c r="U113">
        <v>1545045.045045045</v>
      </c>
      <c r="V113">
        <v>1133243.2432432431</v>
      </c>
      <c r="W113">
        <v>1160</v>
      </c>
      <c r="X113">
        <v>1117</v>
      </c>
    </row>
    <row r="114" spans="1:24">
      <c r="A114" s="7" t="s">
        <v>202</v>
      </c>
      <c r="B114" s="16" t="s">
        <v>121</v>
      </c>
      <c r="C114">
        <v>85466650.199499696</v>
      </c>
      <c r="D114">
        <v>78838294.808556139</v>
      </c>
      <c r="E114">
        <v>127027.02702702599</v>
      </c>
      <c r="F114">
        <v>612612.61261261301</v>
      </c>
      <c r="G114">
        <v>53</v>
      </c>
      <c r="H114">
        <v>44</v>
      </c>
      <c r="I114">
        <v>5</v>
      </c>
      <c r="J114">
        <v>6</v>
      </c>
      <c r="M114">
        <v>58</v>
      </c>
      <c r="N114">
        <v>47</v>
      </c>
      <c r="O114">
        <v>325225.22522522497</v>
      </c>
      <c r="P114">
        <v>1968468.4684684691</v>
      </c>
      <c r="Q114">
        <v>3</v>
      </c>
      <c r="R114">
        <v>100</v>
      </c>
      <c r="S114">
        <v>7566126.1261261264</v>
      </c>
      <c r="T114">
        <v>7744063.0630630627</v>
      </c>
      <c r="U114">
        <v>337567.56756756798</v>
      </c>
      <c r="V114">
        <v>1427477.4774774781</v>
      </c>
      <c r="W114">
        <v>1547</v>
      </c>
      <c r="X114">
        <v>1492</v>
      </c>
    </row>
    <row r="115" spans="1:24">
      <c r="A115" s="7" t="s">
        <v>203</v>
      </c>
      <c r="B115" s="16" t="s">
        <v>54</v>
      </c>
      <c r="C115">
        <v>133243832.18662086</v>
      </c>
      <c r="D115">
        <v>127634110.27366108</v>
      </c>
      <c r="E115">
        <v>612612.61261261499</v>
      </c>
      <c r="F115">
        <v>1165765.7657657659</v>
      </c>
      <c r="G115">
        <v>27</v>
      </c>
      <c r="H115">
        <v>29</v>
      </c>
      <c r="I115">
        <v>2</v>
      </c>
      <c r="J115">
        <v>5</v>
      </c>
      <c r="M115">
        <v>29</v>
      </c>
      <c r="N115">
        <v>31</v>
      </c>
      <c r="O115">
        <v>7144144.1441441439</v>
      </c>
      <c r="P115">
        <v>7215315.3153153146</v>
      </c>
      <c r="Q115">
        <v>59</v>
      </c>
      <c r="R115">
        <v>40</v>
      </c>
      <c r="S115">
        <v>33056126.126126129</v>
      </c>
      <c r="T115">
        <v>33264981.981981985</v>
      </c>
      <c r="U115">
        <v>7151081.0810810821</v>
      </c>
      <c r="V115">
        <v>7023063.0630630618</v>
      </c>
      <c r="W115">
        <v>3803</v>
      </c>
      <c r="X115">
        <v>3945</v>
      </c>
    </row>
    <row r="116" spans="1:24">
      <c r="A116" s="7" t="s">
        <v>204</v>
      </c>
      <c r="B116" s="16" t="s">
        <v>136</v>
      </c>
      <c r="C116">
        <v>509925291.04312772</v>
      </c>
      <c r="D116">
        <v>456283203.05560231</v>
      </c>
      <c r="E116">
        <v>404954.95495495503</v>
      </c>
      <c r="F116">
        <v>1074774.774774771</v>
      </c>
      <c r="G116">
        <v>110</v>
      </c>
      <c r="H116">
        <v>64</v>
      </c>
      <c r="I116">
        <v>9</v>
      </c>
      <c r="J116">
        <v>11</v>
      </c>
      <c r="M116">
        <v>120</v>
      </c>
      <c r="N116">
        <v>73</v>
      </c>
      <c r="O116">
        <v>47171801.801801801</v>
      </c>
      <c r="P116">
        <v>41840540.540540546</v>
      </c>
      <c r="Q116">
        <v>90</v>
      </c>
      <c r="R116">
        <v>143</v>
      </c>
      <c r="S116">
        <v>83209369.369369373</v>
      </c>
      <c r="T116">
        <v>78583525.225225225</v>
      </c>
      <c r="U116">
        <v>42948558.558558561</v>
      </c>
      <c r="V116">
        <v>33205315.315315314</v>
      </c>
      <c r="W116">
        <v>5904</v>
      </c>
      <c r="X116">
        <v>5850</v>
      </c>
    </row>
    <row r="117" spans="1:24">
      <c r="A117" s="7" t="s">
        <v>205</v>
      </c>
      <c r="B117" s="16" t="s">
        <v>136</v>
      </c>
      <c r="C117">
        <v>230342507.27085945</v>
      </c>
      <c r="D117">
        <v>224913259.91548723</v>
      </c>
      <c r="E117">
        <v>279279.279279279</v>
      </c>
      <c r="F117">
        <v>673873.87387387303</v>
      </c>
      <c r="G117">
        <v>57</v>
      </c>
      <c r="H117">
        <v>41</v>
      </c>
      <c r="I117">
        <v>6</v>
      </c>
      <c r="J117">
        <v>1</v>
      </c>
      <c r="M117">
        <v>64</v>
      </c>
      <c r="N117">
        <v>47</v>
      </c>
      <c r="O117">
        <v>10582882.882882884</v>
      </c>
      <c r="P117">
        <v>7908108.1081081079</v>
      </c>
      <c r="Q117">
        <v>50</v>
      </c>
      <c r="R117">
        <v>34</v>
      </c>
      <c r="S117">
        <v>42190358.558558561</v>
      </c>
      <c r="T117">
        <v>43602448.648648649</v>
      </c>
      <c r="U117">
        <v>7331621.6216216218</v>
      </c>
      <c r="V117">
        <v>4289909.9099099096</v>
      </c>
      <c r="W117">
        <v>3153</v>
      </c>
      <c r="X117">
        <v>3127</v>
      </c>
    </row>
    <row r="118" spans="1:24">
      <c r="A118" s="7" t="s">
        <v>206</v>
      </c>
      <c r="B118" s="16" t="s">
        <v>169</v>
      </c>
      <c r="C118">
        <v>527944304.43665451</v>
      </c>
      <c r="D118">
        <v>532947627.92886817</v>
      </c>
      <c r="E118">
        <v>341441.441441442</v>
      </c>
      <c r="F118">
        <v>1670270.270270271</v>
      </c>
      <c r="G118">
        <v>75</v>
      </c>
      <c r="H118">
        <v>20</v>
      </c>
      <c r="I118">
        <v>0</v>
      </c>
      <c r="J118">
        <v>2</v>
      </c>
      <c r="M118">
        <v>76</v>
      </c>
      <c r="N118">
        <v>23</v>
      </c>
      <c r="O118">
        <v>2917053873.8738737</v>
      </c>
      <c r="P118">
        <v>2467885427.927928</v>
      </c>
      <c r="Q118">
        <v>1506</v>
      </c>
      <c r="R118">
        <v>45</v>
      </c>
      <c r="S118">
        <v>251435936.93693691</v>
      </c>
      <c r="T118">
        <v>253080270.27027026</v>
      </c>
      <c r="U118">
        <v>1234303127.9279277</v>
      </c>
      <c r="V118">
        <v>756271812.61261261</v>
      </c>
      <c r="W118">
        <v>7535</v>
      </c>
      <c r="X118">
        <v>8310</v>
      </c>
    </row>
    <row r="119" spans="1:24">
      <c r="A119" s="7" t="s">
        <v>207</v>
      </c>
      <c r="B119" s="16" t="s">
        <v>161</v>
      </c>
      <c r="C119">
        <v>598636766.94330859</v>
      </c>
      <c r="D119">
        <v>590759385.57256436</v>
      </c>
      <c r="E119">
        <v>65940180.180180192</v>
      </c>
      <c r="F119">
        <v>72822972.972972974</v>
      </c>
      <c r="G119">
        <v>307</v>
      </c>
      <c r="H119">
        <v>367</v>
      </c>
      <c r="I119">
        <v>41</v>
      </c>
      <c r="J119">
        <v>18</v>
      </c>
      <c r="M119">
        <v>394</v>
      </c>
      <c r="N119">
        <v>587</v>
      </c>
      <c r="O119">
        <v>104544774.77477477</v>
      </c>
      <c r="P119">
        <v>86241351.351351365</v>
      </c>
      <c r="Q119">
        <v>462</v>
      </c>
      <c r="R119">
        <v>339</v>
      </c>
      <c r="S119">
        <v>174195468.46846849</v>
      </c>
      <c r="T119">
        <v>171540418.91891891</v>
      </c>
      <c r="U119">
        <v>90588731.531531513</v>
      </c>
      <c r="V119">
        <v>80193863.06306307</v>
      </c>
      <c r="W119">
        <v>12219</v>
      </c>
      <c r="X119">
        <v>11959</v>
      </c>
    </row>
    <row r="120" spans="1:24">
      <c r="A120" s="7" t="s">
        <v>208</v>
      </c>
      <c r="B120" s="16" t="s">
        <v>76</v>
      </c>
      <c r="C120">
        <v>25036679.676364098</v>
      </c>
      <c r="D120">
        <v>18080027.476653144</v>
      </c>
      <c r="G120">
        <v>3</v>
      </c>
      <c r="I120">
        <v>0</v>
      </c>
      <c r="J120">
        <v>0</v>
      </c>
      <c r="M120">
        <v>3</v>
      </c>
      <c r="S120">
        <v>1201126.1261261259</v>
      </c>
      <c r="T120">
        <v>1148873.8738738741</v>
      </c>
      <c r="W120">
        <v>529</v>
      </c>
      <c r="X120">
        <v>528</v>
      </c>
    </row>
    <row r="121" spans="1:24">
      <c r="A121" s="7" t="s">
        <v>209</v>
      </c>
      <c r="B121" s="16" t="s">
        <v>76</v>
      </c>
      <c r="C121">
        <v>290490403.32752043</v>
      </c>
      <c r="D121">
        <v>265605495.76220432</v>
      </c>
      <c r="E121">
        <v>300243294.5945946</v>
      </c>
      <c r="F121">
        <v>267477189.1891892</v>
      </c>
      <c r="G121">
        <v>113</v>
      </c>
      <c r="H121">
        <v>146</v>
      </c>
      <c r="I121">
        <v>8</v>
      </c>
      <c r="J121">
        <v>14</v>
      </c>
      <c r="K121">
        <v>5</v>
      </c>
      <c r="M121">
        <v>131</v>
      </c>
      <c r="N121">
        <v>259</v>
      </c>
      <c r="O121">
        <v>36537665.765765771</v>
      </c>
      <c r="P121">
        <v>38431351.351351343</v>
      </c>
      <c r="Q121">
        <v>209</v>
      </c>
      <c r="R121">
        <v>246</v>
      </c>
      <c r="S121">
        <v>39486288.288288288</v>
      </c>
      <c r="T121">
        <v>40768252.252252258</v>
      </c>
      <c r="U121">
        <v>40270270.270270273</v>
      </c>
      <c r="V121">
        <v>36640180.180180177</v>
      </c>
      <c r="W121">
        <v>4487</v>
      </c>
      <c r="X121">
        <v>4597</v>
      </c>
    </row>
    <row r="122" spans="1:24">
      <c r="A122" s="7" t="s">
        <v>210</v>
      </c>
      <c r="B122" s="16" t="s">
        <v>76</v>
      </c>
      <c r="C122">
        <v>343187616.68636262</v>
      </c>
      <c r="D122">
        <v>333391592.22883874</v>
      </c>
      <c r="E122">
        <v>2173198.1981982011</v>
      </c>
      <c r="F122">
        <v>5171846.8468468506</v>
      </c>
      <c r="G122">
        <v>170</v>
      </c>
      <c r="H122">
        <v>190</v>
      </c>
      <c r="I122">
        <v>22</v>
      </c>
      <c r="J122">
        <v>21</v>
      </c>
      <c r="K122">
        <v>8</v>
      </c>
      <c r="M122">
        <v>204</v>
      </c>
      <c r="N122">
        <v>267</v>
      </c>
      <c r="O122">
        <v>161809549.54954955</v>
      </c>
      <c r="P122">
        <v>159790000</v>
      </c>
      <c r="Q122">
        <v>299</v>
      </c>
      <c r="R122">
        <v>554</v>
      </c>
      <c r="S122">
        <v>102243699.0990991</v>
      </c>
      <c r="T122">
        <v>101064908.10810812</v>
      </c>
      <c r="U122">
        <v>136882248.64864865</v>
      </c>
      <c r="V122">
        <v>133602205.4054054</v>
      </c>
      <c r="W122">
        <v>6906</v>
      </c>
      <c r="X122">
        <v>7059</v>
      </c>
    </row>
    <row r="123" spans="1:24">
      <c r="A123" s="7" t="s">
        <v>211</v>
      </c>
      <c r="B123" s="16" t="s">
        <v>76</v>
      </c>
      <c r="C123">
        <v>233674477.34835526</v>
      </c>
      <c r="D123">
        <v>243248717.74571821</v>
      </c>
      <c r="E123">
        <v>2279954.9549549581</v>
      </c>
      <c r="F123">
        <v>3742117.1171171209</v>
      </c>
      <c r="G123">
        <v>109</v>
      </c>
      <c r="H123">
        <v>104</v>
      </c>
      <c r="I123">
        <v>13</v>
      </c>
      <c r="J123">
        <v>19</v>
      </c>
      <c r="M123">
        <v>122</v>
      </c>
      <c r="N123">
        <v>125</v>
      </c>
      <c r="O123">
        <v>18987837.837837838</v>
      </c>
      <c r="P123">
        <v>25613873.873873878</v>
      </c>
      <c r="Q123">
        <v>110</v>
      </c>
      <c r="R123">
        <v>21</v>
      </c>
      <c r="S123">
        <v>33997954.954954959</v>
      </c>
      <c r="T123">
        <v>37126903.153153151</v>
      </c>
      <c r="U123">
        <v>19850990.990990993</v>
      </c>
      <c r="V123">
        <v>24199729.729729727</v>
      </c>
      <c r="W123">
        <v>3932</v>
      </c>
      <c r="X123">
        <v>4071</v>
      </c>
    </row>
    <row r="124" spans="1:24">
      <c r="A124" s="7" t="s">
        <v>212</v>
      </c>
      <c r="B124" s="16" t="s">
        <v>76</v>
      </c>
      <c r="C124">
        <v>93083497.281034857</v>
      </c>
      <c r="D124">
        <v>87385388.674399421</v>
      </c>
      <c r="E124">
        <v>120049774.77477477</v>
      </c>
      <c r="F124">
        <v>73764864.864864871</v>
      </c>
      <c r="G124">
        <v>31</v>
      </c>
      <c r="H124">
        <v>16</v>
      </c>
      <c r="I124">
        <v>2</v>
      </c>
      <c r="J124">
        <v>0</v>
      </c>
      <c r="M124">
        <v>31</v>
      </c>
      <c r="N124">
        <v>18</v>
      </c>
      <c r="O124">
        <v>1447297.297297297</v>
      </c>
      <c r="P124">
        <v>1729909.909909908</v>
      </c>
      <c r="Q124">
        <v>7</v>
      </c>
      <c r="R124">
        <v>7</v>
      </c>
      <c r="S124">
        <v>13612702.702702705</v>
      </c>
      <c r="T124">
        <v>13708207.207207208</v>
      </c>
      <c r="U124">
        <v>1161441.441441441</v>
      </c>
      <c r="V124">
        <v>2052612.6126126121</v>
      </c>
      <c r="W124">
        <v>1809</v>
      </c>
      <c r="X124">
        <v>1848</v>
      </c>
    </row>
    <row r="125" spans="1:24">
      <c r="A125" s="7" t="s">
        <v>213</v>
      </c>
      <c r="B125" s="16" t="s">
        <v>214</v>
      </c>
      <c r="C125">
        <v>114333181.68165882</v>
      </c>
      <c r="D125">
        <v>124599099.33003876</v>
      </c>
      <c r="E125">
        <v>213963.96396396399</v>
      </c>
      <c r="F125">
        <v>814414.41441441397</v>
      </c>
      <c r="G125">
        <v>29</v>
      </c>
      <c r="H125">
        <v>36</v>
      </c>
      <c r="I125">
        <v>5</v>
      </c>
      <c r="J125">
        <v>4</v>
      </c>
      <c r="M125">
        <v>30</v>
      </c>
      <c r="N125">
        <v>43</v>
      </c>
      <c r="O125">
        <v>13557387.387387389</v>
      </c>
      <c r="P125">
        <v>13516684.684684685</v>
      </c>
      <c r="Q125">
        <v>23</v>
      </c>
      <c r="R125">
        <v>46</v>
      </c>
      <c r="S125">
        <v>54590405.40540541</v>
      </c>
      <c r="T125">
        <v>56252736.936936937</v>
      </c>
      <c r="U125">
        <v>13309099.099099101</v>
      </c>
      <c r="V125">
        <v>12340630.630630633</v>
      </c>
      <c r="W125">
        <v>2335</v>
      </c>
      <c r="X125">
        <v>2396</v>
      </c>
    </row>
    <row r="126" spans="1:24">
      <c r="A126" s="7" t="s">
        <v>215</v>
      </c>
      <c r="B126" s="16" t="s">
        <v>167</v>
      </c>
      <c r="C126">
        <v>107220441.30241372</v>
      </c>
      <c r="D126">
        <v>133055860.47487968</v>
      </c>
      <c r="E126">
        <v>8108.1081081089997</v>
      </c>
      <c r="F126">
        <v>1896396.3963963969</v>
      </c>
      <c r="G126">
        <v>8</v>
      </c>
      <c r="H126">
        <v>7</v>
      </c>
      <c r="I126">
        <v>1</v>
      </c>
      <c r="J126">
        <v>3</v>
      </c>
      <c r="M126">
        <v>9</v>
      </c>
      <c r="N126">
        <v>7</v>
      </c>
      <c r="O126">
        <v>8809909.9099099096</v>
      </c>
      <c r="P126">
        <v>2849549.5495495489</v>
      </c>
      <c r="Q126">
        <v>309</v>
      </c>
      <c r="R126">
        <v>31</v>
      </c>
      <c r="S126">
        <v>19178423.423423424</v>
      </c>
      <c r="T126">
        <v>23328198.198198199</v>
      </c>
      <c r="U126">
        <v>9098648.6486486476</v>
      </c>
      <c r="V126">
        <v>564414.41441441502</v>
      </c>
      <c r="W126">
        <v>1646</v>
      </c>
      <c r="X126">
        <v>1815</v>
      </c>
    </row>
    <row r="127" spans="1:24">
      <c r="A127" s="7" t="s">
        <v>216</v>
      </c>
      <c r="B127" s="16" t="s">
        <v>85</v>
      </c>
      <c r="C127">
        <v>25747457.53242109</v>
      </c>
      <c r="D127">
        <v>31046019.890846737</v>
      </c>
      <c r="E127">
        <v>17117.117117117999</v>
      </c>
      <c r="F127">
        <v>1045045.045045045</v>
      </c>
      <c r="G127">
        <v>3</v>
      </c>
      <c r="H127">
        <v>11</v>
      </c>
      <c r="I127">
        <v>4</v>
      </c>
      <c r="J127">
        <v>2</v>
      </c>
      <c r="M127">
        <v>3</v>
      </c>
      <c r="N127">
        <v>12</v>
      </c>
      <c r="O127">
        <v>62640990.990990989</v>
      </c>
      <c r="P127">
        <v>59364414.414414413</v>
      </c>
      <c r="Q127">
        <v>49</v>
      </c>
      <c r="R127">
        <v>126</v>
      </c>
      <c r="S127">
        <v>7321702.702702703</v>
      </c>
      <c r="T127">
        <v>9687594.5945945941</v>
      </c>
      <c r="U127">
        <v>56483963.963963971</v>
      </c>
      <c r="V127">
        <v>51453243.243243247</v>
      </c>
      <c r="W127">
        <v>604</v>
      </c>
      <c r="X127">
        <v>640</v>
      </c>
    </row>
    <row r="128" spans="1:24">
      <c r="A128" s="7" t="s">
        <v>217</v>
      </c>
      <c r="B128" s="16" t="s">
        <v>85</v>
      </c>
      <c r="C128">
        <v>125380080.28043514</v>
      </c>
      <c r="D128">
        <v>122276104.1924053</v>
      </c>
      <c r="E128">
        <v>52252.252252252998</v>
      </c>
      <c r="F128">
        <v>588288.28828828898</v>
      </c>
      <c r="G128">
        <v>50</v>
      </c>
      <c r="H128">
        <v>46</v>
      </c>
      <c r="I128">
        <v>5</v>
      </c>
      <c r="J128">
        <v>4</v>
      </c>
      <c r="M128">
        <v>58</v>
      </c>
      <c r="N128">
        <v>51</v>
      </c>
      <c r="O128">
        <v>39543243.243243247</v>
      </c>
      <c r="P128">
        <v>35778558.558558561</v>
      </c>
      <c r="Q128">
        <v>52</v>
      </c>
      <c r="R128">
        <v>29</v>
      </c>
      <c r="S128">
        <v>21769459.459459461</v>
      </c>
      <c r="T128">
        <v>23148819.819819819</v>
      </c>
      <c r="U128">
        <v>32587297.297297299</v>
      </c>
      <c r="V128">
        <v>30848198.198198199</v>
      </c>
      <c r="W128">
        <v>2482</v>
      </c>
      <c r="X128">
        <v>2543</v>
      </c>
    </row>
    <row r="129" spans="1:24">
      <c r="A129" s="7" t="s">
        <v>218</v>
      </c>
      <c r="B129" s="16" t="s">
        <v>147</v>
      </c>
      <c r="C129">
        <v>122246996.27744593</v>
      </c>
      <c r="D129">
        <v>119306876.84724556</v>
      </c>
      <c r="E129">
        <v>584684.68468468694</v>
      </c>
      <c r="F129">
        <v>8644144.1441441439</v>
      </c>
      <c r="G129">
        <v>59</v>
      </c>
      <c r="H129">
        <v>70</v>
      </c>
      <c r="I129">
        <v>3</v>
      </c>
      <c r="J129">
        <v>8</v>
      </c>
      <c r="M129">
        <v>62</v>
      </c>
      <c r="N129">
        <v>87</v>
      </c>
      <c r="O129">
        <v>19111261.261261266</v>
      </c>
      <c r="P129">
        <v>75359485.585585579</v>
      </c>
      <c r="Q129">
        <v>69</v>
      </c>
      <c r="R129">
        <v>294</v>
      </c>
      <c r="S129">
        <v>33798045.045045041</v>
      </c>
      <c r="T129">
        <v>37972117.117117122</v>
      </c>
      <c r="U129">
        <v>21285765.765765768</v>
      </c>
      <c r="V129">
        <v>75857387.387387395</v>
      </c>
      <c r="W129">
        <v>2552</v>
      </c>
      <c r="X129">
        <v>2468</v>
      </c>
    </row>
    <row r="130" spans="1:24">
      <c r="A130" s="7" t="s">
        <v>219</v>
      </c>
      <c r="B130" s="16" t="s">
        <v>220</v>
      </c>
      <c r="C130">
        <v>240402848.61336499</v>
      </c>
      <c r="D130">
        <v>235657283.36978242</v>
      </c>
      <c r="E130">
        <v>4076262.1621621642</v>
      </c>
      <c r="F130">
        <v>6534298.1981982002</v>
      </c>
      <c r="G130">
        <v>104</v>
      </c>
      <c r="H130">
        <v>76</v>
      </c>
      <c r="I130">
        <v>9</v>
      </c>
      <c r="J130">
        <v>9</v>
      </c>
      <c r="K130">
        <v>1</v>
      </c>
      <c r="M130">
        <v>123</v>
      </c>
      <c r="N130">
        <v>96</v>
      </c>
      <c r="O130">
        <v>250474690.99099097</v>
      </c>
      <c r="P130">
        <v>195793338.73873875</v>
      </c>
      <c r="Q130">
        <v>749</v>
      </c>
      <c r="R130">
        <v>70</v>
      </c>
      <c r="S130">
        <v>64540648.648648649</v>
      </c>
      <c r="T130">
        <v>60240759.009009011</v>
      </c>
      <c r="U130">
        <v>367894054.05405408</v>
      </c>
      <c r="V130">
        <v>330950900.9009009</v>
      </c>
      <c r="W130">
        <v>6240</v>
      </c>
      <c r="X130">
        <v>6393</v>
      </c>
    </row>
    <row r="131" spans="1:24">
      <c r="A131" s="7" t="s">
        <v>221</v>
      </c>
      <c r="B131" s="16" t="s">
        <v>52</v>
      </c>
      <c r="C131">
        <v>581165350.28741443</v>
      </c>
      <c r="D131">
        <v>557370080.99447763</v>
      </c>
      <c r="E131">
        <v>2625900.9009009041</v>
      </c>
      <c r="F131">
        <v>5392567.5675675711</v>
      </c>
      <c r="G131">
        <v>121</v>
      </c>
      <c r="H131">
        <v>111</v>
      </c>
      <c r="I131">
        <v>13</v>
      </c>
      <c r="J131">
        <v>28</v>
      </c>
      <c r="M131">
        <v>143</v>
      </c>
      <c r="N131">
        <v>160</v>
      </c>
      <c r="O131">
        <v>65628648.648648649</v>
      </c>
      <c r="P131">
        <v>42186126.126126125</v>
      </c>
      <c r="Q131">
        <v>490</v>
      </c>
      <c r="R131">
        <v>989</v>
      </c>
      <c r="S131">
        <v>184528531.53153151</v>
      </c>
      <c r="T131">
        <v>179128738.73873875</v>
      </c>
      <c r="U131">
        <v>36865225.225225225</v>
      </c>
      <c r="V131">
        <v>51845405.40540541</v>
      </c>
      <c r="W131">
        <v>10664</v>
      </c>
      <c r="X131">
        <v>10720</v>
      </c>
    </row>
    <row r="132" spans="1:24">
      <c r="A132" s="7" t="s">
        <v>222</v>
      </c>
      <c r="B132" s="16" t="s">
        <v>76</v>
      </c>
      <c r="C132">
        <v>440241576.33006912</v>
      </c>
      <c r="D132">
        <v>432824722.46892488</v>
      </c>
      <c r="E132">
        <v>148513.513513513</v>
      </c>
      <c r="F132">
        <v>1413738.7387387441</v>
      </c>
      <c r="G132">
        <v>125</v>
      </c>
      <c r="H132">
        <v>120</v>
      </c>
      <c r="I132">
        <v>11</v>
      </c>
      <c r="J132">
        <v>15</v>
      </c>
      <c r="K132">
        <v>5</v>
      </c>
      <c r="M132">
        <v>137</v>
      </c>
      <c r="N132">
        <v>134</v>
      </c>
      <c r="O132">
        <v>29783963.963963963</v>
      </c>
      <c r="P132">
        <v>33689459.459459454</v>
      </c>
      <c r="Q132">
        <v>55</v>
      </c>
      <c r="R132">
        <v>38</v>
      </c>
      <c r="S132">
        <v>83994664.864864871</v>
      </c>
      <c r="T132">
        <v>83441768.468468457</v>
      </c>
      <c r="U132">
        <v>25231081.081081089</v>
      </c>
      <c r="V132">
        <v>27418828.828828823</v>
      </c>
      <c r="W132">
        <v>7088</v>
      </c>
      <c r="X132">
        <v>7050</v>
      </c>
    </row>
    <row r="133" spans="1:24">
      <c r="A133" s="7" t="s">
        <v>223</v>
      </c>
      <c r="B133" s="16" t="s">
        <v>224</v>
      </c>
      <c r="C133">
        <v>47829030.471362695</v>
      </c>
      <c r="D133">
        <v>37426056.905324541</v>
      </c>
      <c r="F133">
        <v>5405.4054054050002</v>
      </c>
      <c r="G133">
        <v>29</v>
      </c>
      <c r="H133">
        <v>3</v>
      </c>
      <c r="M133">
        <v>32</v>
      </c>
      <c r="N133">
        <v>3</v>
      </c>
      <c r="O133">
        <v>1751351.351351351</v>
      </c>
      <c r="P133">
        <v>5405.4054054050002</v>
      </c>
      <c r="Q133">
        <v>6</v>
      </c>
      <c r="S133">
        <v>11144504.504504504</v>
      </c>
      <c r="T133">
        <v>9394171.1711711716</v>
      </c>
      <c r="U133">
        <v>1630090.0900900899</v>
      </c>
      <c r="V133">
        <v>946576.57657657703</v>
      </c>
      <c r="W133">
        <v>876</v>
      </c>
      <c r="X133">
        <v>817</v>
      </c>
    </row>
    <row r="134" spans="1:24">
      <c r="A134" s="7" t="s">
        <v>225</v>
      </c>
      <c r="B134" s="16" t="s">
        <v>143</v>
      </c>
      <c r="C134">
        <v>356430726.56055188</v>
      </c>
      <c r="D134">
        <v>350152278.34783804</v>
      </c>
      <c r="E134">
        <v>500900.90090090298</v>
      </c>
      <c r="F134">
        <v>3752252.2522522528</v>
      </c>
      <c r="G134">
        <v>83</v>
      </c>
      <c r="H134">
        <v>103</v>
      </c>
      <c r="I134">
        <v>15</v>
      </c>
      <c r="J134">
        <v>8</v>
      </c>
      <c r="K134">
        <v>3</v>
      </c>
      <c r="M134">
        <v>96</v>
      </c>
      <c r="N134">
        <v>157</v>
      </c>
      <c r="O134">
        <v>19600720.72072072</v>
      </c>
      <c r="P134">
        <v>22827927.927927926</v>
      </c>
      <c r="Q134">
        <v>218</v>
      </c>
      <c r="R134">
        <v>127</v>
      </c>
      <c r="S134">
        <v>39123342.342342347</v>
      </c>
      <c r="T134">
        <v>44303546.396396399</v>
      </c>
      <c r="U134">
        <v>14677027.027027028</v>
      </c>
      <c r="V134">
        <v>14185405.405405408</v>
      </c>
      <c r="W134">
        <v>5705</v>
      </c>
      <c r="X134">
        <v>5920</v>
      </c>
    </row>
    <row r="135" spans="1:24">
      <c r="A135" s="7" t="s">
        <v>226</v>
      </c>
      <c r="B135" s="16" t="s">
        <v>224</v>
      </c>
      <c r="C135">
        <v>42440238.982218638</v>
      </c>
      <c r="D135">
        <v>40897062.816514947</v>
      </c>
      <c r="E135">
        <v>4504.5045045050001</v>
      </c>
      <c r="F135">
        <v>121621.62162162201</v>
      </c>
      <c r="G135">
        <v>8</v>
      </c>
      <c r="H135">
        <v>13</v>
      </c>
      <c r="I135">
        <v>3</v>
      </c>
      <c r="J135">
        <v>2</v>
      </c>
      <c r="M135">
        <v>9</v>
      </c>
      <c r="N135">
        <v>15</v>
      </c>
      <c r="O135">
        <v>5937117.1171171162</v>
      </c>
      <c r="P135">
        <v>6068648.6486486476</v>
      </c>
      <c r="Q135">
        <v>35</v>
      </c>
      <c r="R135">
        <v>25</v>
      </c>
      <c r="S135">
        <v>9060225.2252252232</v>
      </c>
      <c r="T135">
        <v>10970481.981981982</v>
      </c>
      <c r="U135">
        <v>4989009.0090090092</v>
      </c>
      <c r="V135">
        <v>4780810.8108108109</v>
      </c>
      <c r="W135">
        <v>664</v>
      </c>
      <c r="X135">
        <v>834</v>
      </c>
    </row>
    <row r="136" spans="1:24">
      <c r="A136" s="7" t="s">
        <v>227</v>
      </c>
      <c r="B136" s="16" t="s">
        <v>78</v>
      </c>
      <c r="C136">
        <v>348447948.09864199</v>
      </c>
      <c r="D136">
        <v>328997063.65133333</v>
      </c>
      <c r="E136">
        <v>1500900.9009009041</v>
      </c>
      <c r="F136">
        <v>4098198.1981981988</v>
      </c>
      <c r="G136">
        <v>65</v>
      </c>
      <c r="H136">
        <v>69</v>
      </c>
      <c r="I136">
        <v>7</v>
      </c>
      <c r="J136">
        <v>13</v>
      </c>
      <c r="M136">
        <v>71</v>
      </c>
      <c r="N136">
        <v>79</v>
      </c>
      <c r="O136">
        <v>27777387.387387387</v>
      </c>
      <c r="P136">
        <v>41499819.819819815</v>
      </c>
      <c r="Q136">
        <v>150</v>
      </c>
      <c r="R136">
        <v>87</v>
      </c>
      <c r="S136">
        <v>132903727.92792793</v>
      </c>
      <c r="T136">
        <v>132126945.94594595</v>
      </c>
      <c r="U136">
        <v>26613917.117117114</v>
      </c>
      <c r="V136">
        <v>36676846.846846849</v>
      </c>
      <c r="W136">
        <v>4873</v>
      </c>
      <c r="X136">
        <v>4895</v>
      </c>
    </row>
    <row r="137" spans="1:24">
      <c r="A137" s="7" t="s">
        <v>228</v>
      </c>
      <c r="B137" s="16" t="s">
        <v>136</v>
      </c>
      <c r="C137">
        <v>473249476.4611128</v>
      </c>
      <c r="D137">
        <v>433218176.4695549</v>
      </c>
      <c r="E137">
        <v>40888513.513513513</v>
      </c>
      <c r="F137">
        <v>22070495.495495494</v>
      </c>
      <c r="G137">
        <v>115</v>
      </c>
      <c r="H137">
        <v>109</v>
      </c>
      <c r="I137">
        <v>10</v>
      </c>
      <c r="J137">
        <v>12</v>
      </c>
      <c r="M137">
        <v>130</v>
      </c>
      <c r="N137">
        <v>125</v>
      </c>
      <c r="O137">
        <v>68960990.990990996</v>
      </c>
      <c r="P137">
        <v>51849549.54954955</v>
      </c>
      <c r="Q137">
        <v>155</v>
      </c>
      <c r="R137">
        <v>258</v>
      </c>
      <c r="S137">
        <v>100068542.34234233</v>
      </c>
      <c r="T137">
        <v>100896806.3063063</v>
      </c>
      <c r="U137">
        <v>59707747.747747742</v>
      </c>
      <c r="V137">
        <v>42245495.495495498</v>
      </c>
      <c r="W137">
        <v>7534</v>
      </c>
      <c r="X137">
        <v>7613</v>
      </c>
    </row>
    <row r="138" spans="1:24">
      <c r="A138" s="7" t="s">
        <v>229</v>
      </c>
      <c r="B138" s="16" t="s">
        <v>78</v>
      </c>
      <c r="C138">
        <v>121726804.54869507</v>
      </c>
      <c r="D138">
        <v>123720517.57760932</v>
      </c>
      <c r="E138">
        <v>3613063.0630630641</v>
      </c>
      <c r="F138">
        <v>4553603.6036036024</v>
      </c>
      <c r="G138">
        <v>41</v>
      </c>
      <c r="H138">
        <v>47</v>
      </c>
      <c r="I138">
        <v>1</v>
      </c>
      <c r="J138">
        <v>3</v>
      </c>
      <c r="M138">
        <v>43</v>
      </c>
      <c r="N138">
        <v>55</v>
      </c>
      <c r="O138">
        <v>19378828.82882883</v>
      </c>
      <c r="P138">
        <v>28160360.360360362</v>
      </c>
      <c r="Q138">
        <v>21</v>
      </c>
      <c r="R138">
        <v>19</v>
      </c>
      <c r="S138">
        <v>55839324.324324317</v>
      </c>
      <c r="T138">
        <v>58859259.459459454</v>
      </c>
      <c r="U138">
        <v>19722522.52252252</v>
      </c>
      <c r="V138">
        <v>26356619.819819819</v>
      </c>
      <c r="W138">
        <v>2503</v>
      </c>
      <c r="X138">
        <v>2575</v>
      </c>
    </row>
    <row r="139" spans="1:24">
      <c r="A139" s="7" t="s">
        <v>230</v>
      </c>
      <c r="B139" s="16" t="s">
        <v>54</v>
      </c>
      <c r="C139">
        <v>377531733.71301156</v>
      </c>
      <c r="D139">
        <v>360446064.87099493</v>
      </c>
      <c r="E139">
        <v>638063.06306306599</v>
      </c>
      <c r="F139">
        <v>993693.69369369396</v>
      </c>
      <c r="G139">
        <v>62</v>
      </c>
      <c r="H139">
        <v>36</v>
      </c>
      <c r="I139">
        <v>12</v>
      </c>
      <c r="J139">
        <v>8</v>
      </c>
      <c r="M139">
        <v>69</v>
      </c>
      <c r="N139">
        <v>53</v>
      </c>
      <c r="O139">
        <v>9596396.3963963967</v>
      </c>
      <c r="P139">
        <v>23712612.612612616</v>
      </c>
      <c r="Q139">
        <v>97</v>
      </c>
      <c r="R139">
        <v>1819</v>
      </c>
      <c r="S139">
        <v>85589594.594594598</v>
      </c>
      <c r="T139">
        <v>88446527.927927941</v>
      </c>
      <c r="U139">
        <v>10757387.387387386</v>
      </c>
      <c r="V139">
        <v>26377927.927927926</v>
      </c>
      <c r="W139">
        <v>6741</v>
      </c>
      <c r="X139">
        <v>6748</v>
      </c>
    </row>
    <row r="140" spans="1:24">
      <c r="A140" s="7" t="s">
        <v>231</v>
      </c>
      <c r="B140" s="16" t="s">
        <v>78</v>
      </c>
      <c r="C140">
        <v>145157036.98763105</v>
      </c>
      <c r="D140">
        <v>138750466.29645339</v>
      </c>
      <c r="E140">
        <v>625225.225225228</v>
      </c>
      <c r="F140">
        <v>3431531.5315315318</v>
      </c>
      <c r="G140">
        <v>74</v>
      </c>
      <c r="H140">
        <v>76</v>
      </c>
      <c r="I140">
        <v>13</v>
      </c>
      <c r="J140">
        <v>11</v>
      </c>
      <c r="M140">
        <v>81</v>
      </c>
      <c r="N140">
        <v>98</v>
      </c>
      <c r="O140">
        <v>33552432.432432432</v>
      </c>
      <c r="P140">
        <v>36518918.918918923</v>
      </c>
      <c r="Q140">
        <v>36</v>
      </c>
      <c r="R140">
        <v>136</v>
      </c>
      <c r="S140">
        <v>67517252.252252251</v>
      </c>
      <c r="T140">
        <v>65848639.639639638</v>
      </c>
      <c r="U140">
        <v>34646486.486486487</v>
      </c>
      <c r="V140">
        <v>35142792.79279279</v>
      </c>
      <c r="W140">
        <v>3945</v>
      </c>
      <c r="X140">
        <v>3983</v>
      </c>
    </row>
    <row r="141" spans="1:24">
      <c r="A141" s="7" t="s">
        <v>232</v>
      </c>
      <c r="B141" s="16" t="s">
        <v>60</v>
      </c>
      <c r="C141">
        <v>121820362.6510397</v>
      </c>
      <c r="D141">
        <v>125152778.10230464</v>
      </c>
      <c r="E141">
        <v>2702.7027027029999</v>
      </c>
      <c r="G141">
        <v>20</v>
      </c>
      <c r="H141">
        <v>46</v>
      </c>
      <c r="I141">
        <v>1</v>
      </c>
      <c r="M141">
        <v>21</v>
      </c>
      <c r="N141">
        <v>50</v>
      </c>
      <c r="O141">
        <v>83783.783783784005</v>
      </c>
      <c r="Q141">
        <v>3</v>
      </c>
      <c r="S141">
        <v>48420270.270270273</v>
      </c>
      <c r="T141">
        <v>51826081.081081077</v>
      </c>
      <c r="U141">
        <v>81081.081081081007</v>
      </c>
      <c r="W141">
        <v>1958</v>
      </c>
      <c r="X141">
        <v>1935</v>
      </c>
    </row>
    <row r="142" spans="1:24">
      <c r="A142" s="7" t="s">
        <v>233</v>
      </c>
      <c r="B142" s="16" t="s">
        <v>54</v>
      </c>
      <c r="C142">
        <v>60164934.762247726</v>
      </c>
      <c r="D142">
        <v>60408034.927911565</v>
      </c>
      <c r="E142">
        <v>573873.87387387396</v>
      </c>
      <c r="F142">
        <v>99099.0990991</v>
      </c>
      <c r="G142">
        <v>33</v>
      </c>
      <c r="H142">
        <v>46</v>
      </c>
      <c r="I142">
        <v>1</v>
      </c>
      <c r="J142">
        <v>0</v>
      </c>
      <c r="M142">
        <v>49</v>
      </c>
      <c r="N142">
        <v>62</v>
      </c>
      <c r="O142">
        <v>3218018.0180180161</v>
      </c>
      <c r="P142">
        <v>2337207.2072072071</v>
      </c>
      <c r="Q142">
        <v>60</v>
      </c>
      <c r="R142">
        <v>23</v>
      </c>
      <c r="S142">
        <v>12590855.855855856</v>
      </c>
      <c r="T142">
        <v>13340216.216216216</v>
      </c>
      <c r="U142">
        <v>3978378.3783783782</v>
      </c>
      <c r="V142">
        <v>2593783.7837837832</v>
      </c>
      <c r="W142">
        <v>1057</v>
      </c>
      <c r="X142">
        <v>958</v>
      </c>
    </row>
    <row r="143" spans="1:24">
      <c r="A143" s="7" t="s">
        <v>234</v>
      </c>
      <c r="B143" s="16" t="s">
        <v>167</v>
      </c>
      <c r="C143">
        <v>281612977.05973804</v>
      </c>
      <c r="D143">
        <v>278343048.86825669</v>
      </c>
      <c r="E143">
        <v>31531.531531532</v>
      </c>
      <c r="F143">
        <v>391891.89189189201</v>
      </c>
      <c r="G143">
        <v>82</v>
      </c>
      <c r="H143">
        <v>15</v>
      </c>
      <c r="I143">
        <v>1</v>
      </c>
      <c r="J143">
        <v>2</v>
      </c>
      <c r="M143">
        <v>95</v>
      </c>
      <c r="N143">
        <v>24</v>
      </c>
      <c r="O143">
        <v>22950450.450450446</v>
      </c>
      <c r="P143">
        <v>32601249.54954955</v>
      </c>
      <c r="Q143">
        <v>9</v>
      </c>
      <c r="R143">
        <v>2</v>
      </c>
      <c r="S143">
        <v>77729675.675675675</v>
      </c>
      <c r="T143">
        <v>77515563.063063055</v>
      </c>
      <c r="U143">
        <v>18859592.792792793</v>
      </c>
      <c r="V143">
        <v>15220090.090090089</v>
      </c>
      <c r="W143">
        <v>4851</v>
      </c>
      <c r="X143">
        <v>5342</v>
      </c>
    </row>
    <row r="144" spans="1:24">
      <c r="A144" s="7" t="s">
        <v>235</v>
      </c>
      <c r="B144" s="16" t="s">
        <v>236</v>
      </c>
      <c r="C144">
        <v>6328.6723542720001</v>
      </c>
      <c r="D144">
        <v>2199.9459333159998</v>
      </c>
      <c r="E144">
        <v>69545684.684684694</v>
      </c>
      <c r="F144">
        <v>77556451.351351351</v>
      </c>
      <c r="O144">
        <v>22342342.342342343</v>
      </c>
      <c r="P144">
        <v>22949549.549549554</v>
      </c>
      <c r="T144">
        <v>9009.0090090089998</v>
      </c>
      <c r="W144">
        <v>62</v>
      </c>
      <c r="X144">
        <v>56</v>
      </c>
    </row>
    <row r="145" spans="1:24">
      <c r="A145" s="7" t="s">
        <v>237</v>
      </c>
      <c r="B145" s="16" t="s">
        <v>105</v>
      </c>
      <c r="C145">
        <v>172974516.03722411</v>
      </c>
      <c r="D145">
        <v>163310544.15739521</v>
      </c>
      <c r="E145">
        <v>267927.92792792799</v>
      </c>
      <c r="F145">
        <v>937837.83783783799</v>
      </c>
      <c r="G145">
        <v>34</v>
      </c>
      <c r="H145">
        <v>21</v>
      </c>
      <c r="I145">
        <v>1</v>
      </c>
      <c r="J145">
        <v>0</v>
      </c>
      <c r="M145">
        <v>37</v>
      </c>
      <c r="N145">
        <v>23</v>
      </c>
      <c r="O145">
        <v>21827657.657657661</v>
      </c>
      <c r="P145">
        <v>27209549.549549554</v>
      </c>
      <c r="Q145">
        <v>45</v>
      </c>
      <c r="R145">
        <v>50</v>
      </c>
      <c r="S145">
        <v>49206926.126126125</v>
      </c>
      <c r="T145">
        <v>47668270.270270273</v>
      </c>
      <c r="U145">
        <v>22010403.603603605</v>
      </c>
      <c r="V145">
        <v>25500630.630630631</v>
      </c>
      <c r="W145">
        <v>2026</v>
      </c>
      <c r="X145">
        <v>1929</v>
      </c>
    </row>
    <row r="146" spans="1:24">
      <c r="A146" s="7" t="s">
        <v>3</v>
      </c>
      <c r="B146" s="16" t="s">
        <v>158</v>
      </c>
      <c r="C146">
        <v>338388703.86247444</v>
      </c>
      <c r="D146">
        <v>336195298.61222762</v>
      </c>
      <c r="E146">
        <v>6922297.2972972989</v>
      </c>
      <c r="F146">
        <v>381734909.9099099</v>
      </c>
      <c r="G146">
        <v>55</v>
      </c>
      <c r="H146">
        <v>53</v>
      </c>
      <c r="I146">
        <v>20</v>
      </c>
      <c r="J146">
        <v>9</v>
      </c>
      <c r="M146">
        <v>57</v>
      </c>
      <c r="N146">
        <v>60</v>
      </c>
      <c r="O146">
        <v>116311936.93693694</v>
      </c>
      <c r="P146">
        <v>95296846.846846849</v>
      </c>
      <c r="Q146">
        <v>102</v>
      </c>
      <c r="R146">
        <v>79</v>
      </c>
      <c r="S146">
        <v>90733468.468468457</v>
      </c>
      <c r="T146">
        <v>92726333.333333328</v>
      </c>
      <c r="U146">
        <v>61183423.423423424</v>
      </c>
      <c r="V146">
        <v>64313153.153153151</v>
      </c>
      <c r="W146">
        <v>3722</v>
      </c>
      <c r="X146">
        <v>3760</v>
      </c>
    </row>
    <row r="147" spans="1:24">
      <c r="A147" s="7" t="s">
        <v>238</v>
      </c>
      <c r="B147" s="16" t="s">
        <v>178</v>
      </c>
      <c r="C147">
        <v>302347057.07520688</v>
      </c>
      <c r="D147">
        <v>259072458.09666055</v>
      </c>
      <c r="E147">
        <v>4555855.855855857</v>
      </c>
      <c r="F147">
        <v>538738.73873873905</v>
      </c>
      <c r="G147">
        <v>70</v>
      </c>
      <c r="H147">
        <v>53</v>
      </c>
      <c r="I147">
        <v>3</v>
      </c>
      <c r="J147">
        <v>4</v>
      </c>
      <c r="M147">
        <v>76</v>
      </c>
      <c r="N147">
        <v>91</v>
      </c>
      <c r="O147">
        <v>30368169.369369373</v>
      </c>
      <c r="P147">
        <v>37971171.171171166</v>
      </c>
      <c r="S147">
        <v>92590693.693693697</v>
      </c>
      <c r="T147">
        <v>82451405.405405402</v>
      </c>
      <c r="U147">
        <v>25986306.306306303</v>
      </c>
      <c r="V147">
        <v>30798198.198198199</v>
      </c>
      <c r="W147">
        <v>5487</v>
      </c>
      <c r="X147">
        <v>5500</v>
      </c>
    </row>
    <row r="148" spans="1:24">
      <c r="A148" s="7" t="s">
        <v>239</v>
      </c>
      <c r="B148" s="16" t="s">
        <v>54</v>
      </c>
      <c r="C148">
        <v>206932364.54457098</v>
      </c>
      <c r="D148">
        <v>186712983.66042694</v>
      </c>
      <c r="E148">
        <v>2586801.8018018021</v>
      </c>
      <c r="F148">
        <v>4192792.7927927938</v>
      </c>
      <c r="G148">
        <v>47</v>
      </c>
      <c r="H148">
        <v>33</v>
      </c>
      <c r="I148">
        <v>4</v>
      </c>
      <c r="J148">
        <v>4</v>
      </c>
      <c r="M148">
        <v>51</v>
      </c>
      <c r="N148">
        <v>35</v>
      </c>
      <c r="O148">
        <v>23472612.612612613</v>
      </c>
      <c r="P148">
        <v>25265225.225225225</v>
      </c>
      <c r="Q148">
        <v>90</v>
      </c>
      <c r="R148">
        <v>33</v>
      </c>
      <c r="S148">
        <v>58913455.855855852</v>
      </c>
      <c r="T148">
        <v>52185383.783783786</v>
      </c>
      <c r="U148">
        <v>23720133.333333332</v>
      </c>
      <c r="V148">
        <v>22235852.252252251</v>
      </c>
      <c r="W148">
        <v>3516</v>
      </c>
      <c r="X148">
        <v>3532</v>
      </c>
    </row>
    <row r="149" spans="1:24">
      <c r="A149" s="7" t="s">
        <v>240</v>
      </c>
      <c r="B149" s="16" t="s">
        <v>241</v>
      </c>
      <c r="C149">
        <v>175334012.76938355</v>
      </c>
      <c r="D149">
        <v>161035391.84019962</v>
      </c>
      <c r="E149">
        <v>177477.47747747801</v>
      </c>
      <c r="F149">
        <v>1433333.3333333279</v>
      </c>
      <c r="G149">
        <v>75</v>
      </c>
      <c r="H149">
        <v>72</v>
      </c>
      <c r="I149">
        <v>10</v>
      </c>
      <c r="J149">
        <v>6</v>
      </c>
      <c r="M149">
        <v>86</v>
      </c>
      <c r="N149">
        <v>82</v>
      </c>
      <c r="O149">
        <v>157286756.75675678</v>
      </c>
      <c r="P149">
        <v>53198378.378378384</v>
      </c>
      <c r="Q149">
        <v>138</v>
      </c>
      <c r="R149">
        <v>67</v>
      </c>
      <c r="S149">
        <v>41461801.801801801</v>
      </c>
      <c r="T149">
        <v>37638376.576576576</v>
      </c>
      <c r="U149">
        <v>135503873.87387386</v>
      </c>
      <c r="V149">
        <v>46950720.720720723</v>
      </c>
      <c r="W149">
        <v>2906</v>
      </c>
      <c r="X149">
        <v>2873</v>
      </c>
    </row>
    <row r="150" spans="1:24">
      <c r="A150" s="7" t="s">
        <v>242</v>
      </c>
      <c r="B150" s="16" t="s">
        <v>241</v>
      </c>
      <c r="C150">
        <v>435331561.80901808</v>
      </c>
      <c r="D150">
        <v>417568830.14298129</v>
      </c>
      <c r="E150">
        <v>845945.94594594603</v>
      </c>
      <c r="F150">
        <v>6520720.7207207195</v>
      </c>
      <c r="G150">
        <v>219</v>
      </c>
      <c r="H150">
        <v>164</v>
      </c>
      <c r="I150">
        <v>26</v>
      </c>
      <c r="J150">
        <v>20</v>
      </c>
      <c r="K150">
        <v>1</v>
      </c>
      <c r="M150">
        <v>237</v>
      </c>
      <c r="N150">
        <v>189</v>
      </c>
      <c r="O150">
        <v>120424594.5945946</v>
      </c>
      <c r="P150">
        <v>154023513.51351351</v>
      </c>
      <c r="Q150">
        <v>363</v>
      </c>
      <c r="R150">
        <v>226</v>
      </c>
      <c r="S150">
        <v>131988648.64864865</v>
      </c>
      <c r="T150">
        <v>123925711.7117117</v>
      </c>
      <c r="U150">
        <v>115995585.58558558</v>
      </c>
      <c r="V150">
        <v>143431081.08108106</v>
      </c>
      <c r="W150">
        <v>6841</v>
      </c>
      <c r="X150">
        <v>6914</v>
      </c>
    </row>
    <row r="151" spans="1:24">
      <c r="A151" s="7" t="s">
        <v>243</v>
      </c>
      <c r="B151" s="16" t="s">
        <v>50</v>
      </c>
      <c r="C151">
        <v>72029542.699737236</v>
      </c>
      <c r="D151">
        <v>73850268.708121166</v>
      </c>
      <c r="E151">
        <v>410008936.03603601</v>
      </c>
      <c r="F151">
        <v>929479909.90990984</v>
      </c>
      <c r="G151">
        <v>15</v>
      </c>
      <c r="H151">
        <v>14</v>
      </c>
      <c r="I151">
        <v>7</v>
      </c>
      <c r="J151">
        <v>2</v>
      </c>
      <c r="M151">
        <v>15</v>
      </c>
      <c r="N151">
        <v>26</v>
      </c>
      <c r="O151">
        <v>40943468.468468472</v>
      </c>
      <c r="P151">
        <v>19157117.117117114</v>
      </c>
      <c r="Q151">
        <v>9</v>
      </c>
      <c r="R151">
        <v>38</v>
      </c>
      <c r="S151">
        <v>26451396.396396395</v>
      </c>
      <c r="T151">
        <v>23954108.108108107</v>
      </c>
      <c r="U151">
        <v>16532882.882882882</v>
      </c>
      <c r="V151">
        <v>15598558.558558557</v>
      </c>
      <c r="W151">
        <v>1078</v>
      </c>
      <c r="X151">
        <v>1219</v>
      </c>
    </row>
    <row r="152" spans="1:24">
      <c r="A152" s="7" t="s">
        <v>244</v>
      </c>
      <c r="B152" s="16" t="s">
        <v>181</v>
      </c>
      <c r="C152">
        <v>2435251330.7851868</v>
      </c>
      <c r="D152">
        <v>2290886204.3031487</v>
      </c>
      <c r="E152">
        <v>297223918.01801807</v>
      </c>
      <c r="F152">
        <v>230610131.53153151</v>
      </c>
      <c r="G152">
        <v>1125</v>
      </c>
      <c r="H152">
        <v>961</v>
      </c>
      <c r="I152">
        <v>133</v>
      </c>
      <c r="J152">
        <v>98</v>
      </c>
      <c r="K152">
        <v>20</v>
      </c>
      <c r="M152">
        <v>1304</v>
      </c>
      <c r="N152">
        <v>1525</v>
      </c>
      <c r="O152">
        <v>245780540.54054055</v>
      </c>
      <c r="P152">
        <v>329588558.55855852</v>
      </c>
      <c r="Q152">
        <v>1579</v>
      </c>
      <c r="R152">
        <v>978</v>
      </c>
      <c r="S152">
        <v>492307149.54954958</v>
      </c>
      <c r="T152">
        <v>508070895.4954955</v>
      </c>
      <c r="U152">
        <v>241525855.85585588</v>
      </c>
      <c r="V152">
        <v>322285495.4954955</v>
      </c>
      <c r="W152">
        <v>44332</v>
      </c>
      <c r="X152">
        <v>44038</v>
      </c>
    </row>
    <row r="153" spans="1:24">
      <c r="A153" s="7" t="s">
        <v>245</v>
      </c>
      <c r="B153" s="16" t="s">
        <v>48</v>
      </c>
      <c r="C153">
        <v>102915013.97819421</v>
      </c>
      <c r="D153">
        <v>99070142.059701383</v>
      </c>
      <c r="E153">
        <v>279279.27927927999</v>
      </c>
      <c r="F153">
        <v>2002027.0270270279</v>
      </c>
      <c r="G153">
        <v>12</v>
      </c>
      <c r="H153">
        <v>7</v>
      </c>
      <c r="I153">
        <v>5</v>
      </c>
      <c r="J153">
        <v>7</v>
      </c>
      <c r="M153">
        <v>29</v>
      </c>
      <c r="N153">
        <v>19</v>
      </c>
      <c r="O153">
        <v>11317657.657657661</v>
      </c>
      <c r="P153">
        <v>28053153.153153151</v>
      </c>
      <c r="R153">
        <v>25</v>
      </c>
      <c r="S153">
        <v>24974540.540540539</v>
      </c>
      <c r="T153">
        <v>23614288.288288288</v>
      </c>
      <c r="U153">
        <v>12389549.54954955</v>
      </c>
      <c r="V153">
        <v>29396486.486486487</v>
      </c>
      <c r="W153">
        <v>1829</v>
      </c>
      <c r="X153">
        <v>1875</v>
      </c>
    </row>
    <row r="154" spans="1:24">
      <c r="A154" s="7" t="s">
        <v>246</v>
      </c>
      <c r="B154" s="16" t="s">
        <v>94</v>
      </c>
      <c r="C154">
        <v>43948837.373934902</v>
      </c>
      <c r="D154">
        <v>30003526.972498454</v>
      </c>
      <c r="G154">
        <v>6</v>
      </c>
      <c r="H154">
        <v>5</v>
      </c>
      <c r="J154">
        <v>0</v>
      </c>
      <c r="M154">
        <v>7</v>
      </c>
      <c r="N154">
        <v>5</v>
      </c>
      <c r="S154">
        <v>7949387.3873873875</v>
      </c>
      <c r="T154">
        <v>5814234.2342342343</v>
      </c>
      <c r="W154">
        <v>710</v>
      </c>
      <c r="X154">
        <v>706</v>
      </c>
    </row>
    <row r="155" spans="1:24">
      <c r="A155" s="7" t="s">
        <v>247</v>
      </c>
      <c r="B155" s="16" t="s">
        <v>117</v>
      </c>
      <c r="C155">
        <v>92406814.709889024</v>
      </c>
      <c r="D155">
        <v>92668567.891529188</v>
      </c>
      <c r="E155">
        <v>1038236.036036038</v>
      </c>
      <c r="F155">
        <v>2564825.225225227</v>
      </c>
      <c r="G155">
        <v>34</v>
      </c>
      <c r="H155">
        <v>12</v>
      </c>
      <c r="I155">
        <v>7</v>
      </c>
      <c r="J155">
        <v>4</v>
      </c>
      <c r="M155">
        <v>36</v>
      </c>
      <c r="N155">
        <v>16</v>
      </c>
      <c r="O155">
        <v>20011998.198198199</v>
      </c>
      <c r="P155">
        <v>21953354.954954956</v>
      </c>
      <c r="Q155">
        <v>89</v>
      </c>
      <c r="R155">
        <v>160</v>
      </c>
      <c r="S155">
        <v>45015405.40540541</v>
      </c>
      <c r="T155">
        <v>44266864.864864863</v>
      </c>
      <c r="U155">
        <v>20331711.711711712</v>
      </c>
      <c r="V155">
        <v>20313333.333333332</v>
      </c>
      <c r="W155">
        <v>1750</v>
      </c>
      <c r="X155">
        <v>1747</v>
      </c>
    </row>
    <row r="156" spans="1:24">
      <c r="A156" s="7" t="s">
        <v>248</v>
      </c>
      <c r="B156" s="16" t="s">
        <v>121</v>
      </c>
      <c r="C156">
        <v>157105427.48832196</v>
      </c>
      <c r="D156">
        <v>149860932.29410908</v>
      </c>
      <c r="E156">
        <v>104054.054054055</v>
      </c>
      <c r="F156">
        <v>901801.80180180201</v>
      </c>
      <c r="G156">
        <v>167</v>
      </c>
      <c r="H156">
        <v>86</v>
      </c>
      <c r="I156">
        <v>4</v>
      </c>
      <c r="J156">
        <v>5</v>
      </c>
      <c r="M156">
        <v>179</v>
      </c>
      <c r="N156">
        <v>91</v>
      </c>
      <c r="O156">
        <v>8358558.5585585581</v>
      </c>
      <c r="P156">
        <v>6815315.3153153136</v>
      </c>
      <c r="Q156">
        <v>232</v>
      </c>
      <c r="R156">
        <v>14</v>
      </c>
      <c r="S156">
        <v>18692306.306306306</v>
      </c>
      <c r="T156">
        <v>17416135.135135137</v>
      </c>
      <c r="U156">
        <v>9698648.6486486476</v>
      </c>
      <c r="V156">
        <v>4895765.7657657648</v>
      </c>
      <c r="W156">
        <v>2378</v>
      </c>
      <c r="X156">
        <v>2353</v>
      </c>
    </row>
    <row r="157" spans="1:24">
      <c r="A157" s="7" t="s">
        <v>249</v>
      </c>
      <c r="B157" s="16" t="s">
        <v>76</v>
      </c>
      <c r="C157">
        <v>72905368.862126514</v>
      </c>
      <c r="D157">
        <v>66017610.703414179</v>
      </c>
      <c r="G157">
        <v>7</v>
      </c>
      <c r="H157">
        <v>5</v>
      </c>
      <c r="I157">
        <v>0</v>
      </c>
      <c r="J157">
        <v>1</v>
      </c>
      <c r="M157">
        <v>10</v>
      </c>
      <c r="N157">
        <v>7</v>
      </c>
      <c r="S157">
        <v>7797639.6396396402</v>
      </c>
      <c r="T157">
        <v>6535000</v>
      </c>
      <c r="W157">
        <v>1656</v>
      </c>
      <c r="X157">
        <v>1680</v>
      </c>
    </row>
    <row r="158" spans="1:24">
      <c r="A158" s="7" t="s">
        <v>250</v>
      </c>
      <c r="B158" s="16" t="s">
        <v>167</v>
      </c>
      <c r="C158">
        <v>232192799.53118119</v>
      </c>
      <c r="D158">
        <v>212799778.54639968</v>
      </c>
      <c r="G158">
        <v>33</v>
      </c>
      <c r="H158">
        <v>14</v>
      </c>
      <c r="M158">
        <v>43</v>
      </c>
      <c r="N158">
        <v>42</v>
      </c>
      <c r="O158">
        <v>6925405.405405405</v>
      </c>
      <c r="P158">
        <v>4084684.684684684</v>
      </c>
      <c r="Q158">
        <v>9</v>
      </c>
      <c r="S158">
        <v>43048558.558558561</v>
      </c>
      <c r="T158">
        <v>39454675.675675683</v>
      </c>
      <c r="U158">
        <v>3422252.2522522518</v>
      </c>
      <c r="V158">
        <v>3111891.8918918911</v>
      </c>
      <c r="W158">
        <v>3855</v>
      </c>
      <c r="X158">
        <v>3669</v>
      </c>
    </row>
    <row r="159" spans="1:24">
      <c r="A159" s="7" t="s">
        <v>251</v>
      </c>
      <c r="B159" s="16" t="s">
        <v>89</v>
      </c>
      <c r="C159">
        <v>635475502.92785013</v>
      </c>
      <c r="D159">
        <v>625880704.19705701</v>
      </c>
      <c r="E159">
        <v>7793153.1531531624</v>
      </c>
      <c r="F159">
        <v>5982432.4324324355</v>
      </c>
      <c r="G159">
        <v>57</v>
      </c>
      <c r="H159">
        <v>112</v>
      </c>
      <c r="I159">
        <v>38</v>
      </c>
      <c r="J159">
        <v>40</v>
      </c>
      <c r="M159">
        <v>64</v>
      </c>
      <c r="N159">
        <v>127</v>
      </c>
      <c r="O159">
        <v>61246666.666666672</v>
      </c>
      <c r="P159">
        <v>56180270.270270273</v>
      </c>
      <c r="Q159">
        <v>577</v>
      </c>
      <c r="R159">
        <v>527</v>
      </c>
      <c r="S159">
        <v>153438181.98198199</v>
      </c>
      <c r="T159">
        <v>153780673.87387389</v>
      </c>
      <c r="U159">
        <v>58741621.621621616</v>
      </c>
      <c r="V159">
        <v>52289459.459459454</v>
      </c>
      <c r="W159">
        <v>10389</v>
      </c>
      <c r="X159">
        <v>10102</v>
      </c>
    </row>
    <row r="160" spans="1:24">
      <c r="A160" s="7" t="s">
        <v>252</v>
      </c>
      <c r="B160" s="16" t="s">
        <v>78</v>
      </c>
      <c r="C160">
        <v>192363891.24444425</v>
      </c>
      <c r="D160">
        <v>184974310.82456377</v>
      </c>
      <c r="E160">
        <v>695495.49549549504</v>
      </c>
      <c r="F160">
        <v>2705405.4054054078</v>
      </c>
      <c r="G160">
        <v>42</v>
      </c>
      <c r="H160">
        <v>30</v>
      </c>
      <c r="I160">
        <v>4</v>
      </c>
      <c r="J160">
        <v>12</v>
      </c>
      <c r="M160">
        <v>45</v>
      </c>
      <c r="N160">
        <v>34</v>
      </c>
      <c r="O160">
        <v>20687297.297297295</v>
      </c>
      <c r="P160">
        <v>39496576.576576576</v>
      </c>
      <c r="Q160">
        <v>27</v>
      </c>
      <c r="R160">
        <v>71</v>
      </c>
      <c r="S160">
        <v>53318585.585585587</v>
      </c>
      <c r="T160">
        <v>52100630.630630635</v>
      </c>
      <c r="U160">
        <v>20904414.414414417</v>
      </c>
      <c r="V160">
        <v>36836576.576576576</v>
      </c>
      <c r="W160">
        <v>2923</v>
      </c>
      <c r="X160">
        <v>2887</v>
      </c>
    </row>
    <row r="161" spans="1:24">
      <c r="A161" s="7" t="s">
        <v>253</v>
      </c>
      <c r="B161" s="16" t="s">
        <v>105</v>
      </c>
      <c r="C161">
        <v>372412185.56184727</v>
      </c>
      <c r="D161">
        <v>361891208.84950417</v>
      </c>
      <c r="E161">
        <v>57582555.855855852</v>
      </c>
      <c r="F161">
        <v>172900837.83783785</v>
      </c>
      <c r="G161">
        <v>136</v>
      </c>
      <c r="H161">
        <v>159</v>
      </c>
      <c r="I161">
        <v>13</v>
      </c>
      <c r="J161">
        <v>18</v>
      </c>
      <c r="K161">
        <v>1</v>
      </c>
      <c r="M161">
        <v>236</v>
      </c>
      <c r="N161">
        <v>210</v>
      </c>
      <c r="O161">
        <v>85361351.351351365</v>
      </c>
      <c r="P161">
        <v>68705405.405405402</v>
      </c>
      <c r="Q161">
        <v>230</v>
      </c>
      <c r="R161">
        <v>345</v>
      </c>
      <c r="S161">
        <v>109152855.85585585</v>
      </c>
      <c r="T161">
        <v>106136054.05405405</v>
      </c>
      <c r="U161">
        <v>83616936.936936945</v>
      </c>
      <c r="V161">
        <v>68293513.513513505</v>
      </c>
      <c r="W161">
        <v>5557</v>
      </c>
      <c r="X161">
        <v>5420</v>
      </c>
    </row>
    <row r="162" spans="1:24">
      <c r="A162" s="7" t="s">
        <v>254</v>
      </c>
      <c r="B162" s="16" t="s">
        <v>105</v>
      </c>
      <c r="C162">
        <v>234604368.23228493</v>
      </c>
      <c r="D162">
        <v>239312966.17131218</v>
      </c>
      <c r="E162">
        <v>1962162.1621621619</v>
      </c>
      <c r="F162">
        <v>2501576.5765765789</v>
      </c>
      <c r="G162">
        <v>36</v>
      </c>
      <c r="H162">
        <v>27</v>
      </c>
      <c r="I162">
        <v>6</v>
      </c>
      <c r="J162">
        <v>1</v>
      </c>
      <c r="M162">
        <v>42</v>
      </c>
      <c r="N162">
        <v>34</v>
      </c>
      <c r="O162">
        <v>18321261.261261266</v>
      </c>
      <c r="P162">
        <v>20428288.288288288</v>
      </c>
      <c r="Q162">
        <v>74</v>
      </c>
      <c r="R162">
        <v>45</v>
      </c>
      <c r="S162">
        <v>71271034.234234229</v>
      </c>
      <c r="T162">
        <v>75312846.846846849</v>
      </c>
      <c r="U162">
        <v>16069819.819819819</v>
      </c>
      <c r="V162">
        <v>18071801.801801801</v>
      </c>
      <c r="W162">
        <v>3069</v>
      </c>
      <c r="X162">
        <v>3959</v>
      </c>
    </row>
    <row r="163" spans="1:24">
      <c r="A163" s="7" t="s">
        <v>255</v>
      </c>
      <c r="B163" s="16" t="s">
        <v>105</v>
      </c>
      <c r="C163">
        <v>201012797.89842004</v>
      </c>
      <c r="D163">
        <v>197504108.10145119</v>
      </c>
      <c r="E163">
        <v>127472747.74774775</v>
      </c>
      <c r="F163">
        <v>5538738.7387387389</v>
      </c>
      <c r="G163">
        <v>34</v>
      </c>
      <c r="H163">
        <v>34</v>
      </c>
      <c r="I163">
        <v>0</v>
      </c>
      <c r="J163">
        <v>0</v>
      </c>
      <c r="M163">
        <v>35</v>
      </c>
      <c r="N163">
        <v>36</v>
      </c>
      <c r="O163">
        <v>2860585.5855855858</v>
      </c>
      <c r="P163">
        <v>3065315.315315316</v>
      </c>
      <c r="Q163">
        <v>1</v>
      </c>
      <c r="S163">
        <v>41966171.171171166</v>
      </c>
      <c r="T163">
        <v>42190736.936936937</v>
      </c>
      <c r="U163">
        <v>2680000</v>
      </c>
      <c r="V163">
        <v>2541891.8918918921</v>
      </c>
      <c r="W163">
        <v>2138</v>
      </c>
      <c r="X163">
        <v>2212</v>
      </c>
    </row>
    <row r="164" spans="1:24">
      <c r="A164" s="7" t="s">
        <v>256</v>
      </c>
      <c r="B164" s="16" t="s">
        <v>134</v>
      </c>
      <c r="C164">
        <v>317209837.05009621</v>
      </c>
      <c r="D164">
        <v>302537410.26958573</v>
      </c>
      <c r="E164">
        <v>20498198.198198199</v>
      </c>
      <c r="F164">
        <v>27486486.486486487</v>
      </c>
      <c r="G164">
        <v>29</v>
      </c>
      <c r="H164">
        <v>23</v>
      </c>
      <c r="I164">
        <v>1</v>
      </c>
      <c r="J164">
        <v>2</v>
      </c>
      <c r="M164">
        <v>32</v>
      </c>
      <c r="N164">
        <v>26</v>
      </c>
      <c r="O164">
        <v>9191891.8918918911</v>
      </c>
      <c r="P164">
        <v>3531531.5315315318</v>
      </c>
      <c r="Q164">
        <v>185</v>
      </c>
      <c r="S164">
        <v>21790711.711711712</v>
      </c>
      <c r="T164">
        <v>21618387.387387387</v>
      </c>
      <c r="U164">
        <v>7944684.6846846836</v>
      </c>
      <c r="V164">
        <v>4376576.5765765766</v>
      </c>
      <c r="W164">
        <v>5006</v>
      </c>
      <c r="X164">
        <v>4191</v>
      </c>
    </row>
    <row r="165" spans="1:24">
      <c r="A165" s="7" t="s">
        <v>257</v>
      </c>
      <c r="B165" s="16" t="s">
        <v>167</v>
      </c>
      <c r="C165">
        <v>120583656.05648814</v>
      </c>
      <c r="D165">
        <v>109969841.20993577</v>
      </c>
      <c r="E165">
        <v>907207.20720720803</v>
      </c>
      <c r="F165">
        <v>1184684.684684685</v>
      </c>
      <c r="G165">
        <v>75</v>
      </c>
      <c r="H165">
        <v>25</v>
      </c>
      <c r="I165">
        <v>2</v>
      </c>
      <c r="J165">
        <v>0</v>
      </c>
      <c r="M165">
        <v>86</v>
      </c>
      <c r="N165">
        <v>27</v>
      </c>
      <c r="O165">
        <v>6877927.927927929</v>
      </c>
      <c r="P165">
        <v>5740332.4324324317</v>
      </c>
      <c r="Q165">
        <v>12</v>
      </c>
      <c r="S165">
        <v>42405763.963963971</v>
      </c>
      <c r="T165">
        <v>36721520.720720723</v>
      </c>
      <c r="U165">
        <v>6992072.0720720738</v>
      </c>
      <c r="V165">
        <v>5425585.5855855849</v>
      </c>
      <c r="W165">
        <v>2515</v>
      </c>
      <c r="X165">
        <v>2531</v>
      </c>
    </row>
    <row r="166" spans="1:24">
      <c r="A166" s="7" t="s">
        <v>258</v>
      </c>
      <c r="B166" s="16" t="s">
        <v>60</v>
      </c>
      <c r="C166">
        <v>48414902.847361185</v>
      </c>
      <c r="D166">
        <v>43165933.299627602</v>
      </c>
      <c r="E166">
        <v>15765.765765766</v>
      </c>
      <c r="F166">
        <v>339639.63963963802</v>
      </c>
      <c r="G166">
        <v>26</v>
      </c>
      <c r="H166">
        <v>22</v>
      </c>
      <c r="I166">
        <v>1</v>
      </c>
      <c r="J166">
        <v>4</v>
      </c>
      <c r="K166">
        <v>2</v>
      </c>
      <c r="M166">
        <v>37</v>
      </c>
      <c r="N166">
        <v>30</v>
      </c>
      <c r="O166">
        <v>9655405.405405404</v>
      </c>
      <c r="P166">
        <v>9474774.7747747768</v>
      </c>
      <c r="Q166">
        <v>16</v>
      </c>
      <c r="R166">
        <v>19</v>
      </c>
      <c r="S166">
        <v>17110360.360360362</v>
      </c>
      <c r="T166">
        <v>15458090.090090092</v>
      </c>
      <c r="U166">
        <v>9037027.0270270277</v>
      </c>
      <c r="V166">
        <v>8371351.3513513505</v>
      </c>
      <c r="W166">
        <v>683</v>
      </c>
      <c r="X166">
        <v>662</v>
      </c>
    </row>
    <row r="167" spans="1:24">
      <c r="A167" s="7" t="s">
        <v>259</v>
      </c>
      <c r="B167" s="16" t="s">
        <v>260</v>
      </c>
      <c r="C167">
        <v>23700805.392814208</v>
      </c>
      <c r="D167">
        <v>25802284.572657488</v>
      </c>
      <c r="E167">
        <v>75359684.684684694</v>
      </c>
      <c r="F167">
        <v>66909009.009009011</v>
      </c>
      <c r="G167">
        <v>10</v>
      </c>
      <c r="H167">
        <v>7</v>
      </c>
      <c r="M167">
        <v>10</v>
      </c>
      <c r="N167">
        <v>11</v>
      </c>
      <c r="O167">
        <v>16506081.081081079</v>
      </c>
      <c r="P167">
        <v>7171396.3963963958</v>
      </c>
      <c r="S167">
        <v>4811261.261261262</v>
      </c>
      <c r="T167">
        <v>4579846.8468468459</v>
      </c>
      <c r="U167">
        <v>5441171.1711711707</v>
      </c>
      <c r="V167">
        <v>2889639.6396396388</v>
      </c>
      <c r="W167">
        <v>459</v>
      </c>
      <c r="X167">
        <v>584</v>
      </c>
    </row>
    <row r="168" spans="1:24">
      <c r="A168" s="7" t="s">
        <v>261</v>
      </c>
      <c r="B168" s="16" t="s">
        <v>60</v>
      </c>
      <c r="C168">
        <v>407308128.49590671</v>
      </c>
      <c r="D168">
        <v>401702994.65716326</v>
      </c>
      <c r="E168">
        <v>408703385.58558559</v>
      </c>
      <c r="F168">
        <v>264159912.61261261</v>
      </c>
      <c r="G168">
        <v>302</v>
      </c>
      <c r="H168">
        <v>257</v>
      </c>
      <c r="I168">
        <v>32</v>
      </c>
      <c r="J168">
        <v>51</v>
      </c>
      <c r="K168">
        <v>13</v>
      </c>
      <c r="M168">
        <v>374</v>
      </c>
      <c r="N168">
        <v>847</v>
      </c>
      <c r="O168">
        <v>74480720.720720723</v>
      </c>
      <c r="P168">
        <v>81248198.198198214</v>
      </c>
      <c r="Q168">
        <v>601</v>
      </c>
      <c r="R168">
        <v>1779</v>
      </c>
      <c r="S168">
        <v>144239576.57657659</v>
      </c>
      <c r="T168">
        <v>148339304.05405405</v>
      </c>
      <c r="U168">
        <v>73328378.378378361</v>
      </c>
      <c r="V168">
        <v>89621801.801801801</v>
      </c>
      <c r="W168">
        <v>6204</v>
      </c>
      <c r="X168">
        <v>6581</v>
      </c>
    </row>
    <row r="169" spans="1:24">
      <c r="A169" s="7" t="s">
        <v>262</v>
      </c>
      <c r="B169" s="16" t="s">
        <v>123</v>
      </c>
      <c r="C169">
        <v>321931824.59411949</v>
      </c>
      <c r="D169">
        <v>309674827.14268839</v>
      </c>
      <c r="E169">
        <v>306756.75675675803</v>
      </c>
      <c r="F169">
        <v>476576.57657657698</v>
      </c>
      <c r="G169">
        <v>52</v>
      </c>
      <c r="H169">
        <v>87</v>
      </c>
      <c r="I169">
        <v>4</v>
      </c>
      <c r="J169">
        <v>2</v>
      </c>
      <c r="K169">
        <v>1</v>
      </c>
      <c r="M169">
        <v>60</v>
      </c>
      <c r="N169">
        <v>111</v>
      </c>
      <c r="O169">
        <v>20389279.27927928</v>
      </c>
      <c r="P169">
        <v>28382252.252252251</v>
      </c>
      <c r="Q169">
        <v>29</v>
      </c>
      <c r="R169">
        <v>34</v>
      </c>
      <c r="S169">
        <v>123505036.03603603</v>
      </c>
      <c r="T169">
        <v>121588441.44144145</v>
      </c>
      <c r="U169">
        <v>19775225.225225225</v>
      </c>
      <c r="V169">
        <v>25957567.567567568</v>
      </c>
      <c r="W169">
        <v>5469</v>
      </c>
      <c r="X169">
        <v>5504</v>
      </c>
    </row>
    <row r="170" spans="1:24">
      <c r="A170" s="7" t="s">
        <v>263</v>
      </c>
      <c r="B170" s="16" t="s">
        <v>123</v>
      </c>
      <c r="C170">
        <v>140082635.69912475</v>
      </c>
      <c r="D170">
        <v>131721580.20702761</v>
      </c>
      <c r="E170">
        <v>694594.59459459595</v>
      </c>
      <c r="F170">
        <v>4132657.6576576601</v>
      </c>
      <c r="G170">
        <v>56</v>
      </c>
      <c r="H170">
        <v>94</v>
      </c>
      <c r="I170">
        <v>9</v>
      </c>
      <c r="J170">
        <v>8</v>
      </c>
      <c r="K170">
        <v>2</v>
      </c>
      <c r="M170">
        <v>222</v>
      </c>
      <c r="N170">
        <v>327</v>
      </c>
      <c r="O170">
        <v>63761171.171171166</v>
      </c>
      <c r="P170">
        <v>58730810.810810804</v>
      </c>
      <c r="Q170">
        <v>268</v>
      </c>
      <c r="R170">
        <v>442</v>
      </c>
      <c r="S170">
        <v>59683414.414414413</v>
      </c>
      <c r="T170">
        <v>55525891.891891889</v>
      </c>
      <c r="U170">
        <v>66582972.972972974</v>
      </c>
      <c r="V170">
        <v>59097567.567567565</v>
      </c>
      <c r="W170">
        <v>2499</v>
      </c>
      <c r="X170">
        <v>2399</v>
      </c>
    </row>
    <row r="171" spans="1:24">
      <c r="A171" s="7" t="s">
        <v>264</v>
      </c>
      <c r="B171" s="16" t="s">
        <v>125</v>
      </c>
      <c r="C171">
        <v>334816357.2361868</v>
      </c>
      <c r="D171">
        <v>332089895.66044056</v>
      </c>
      <c r="E171">
        <v>156353643.24324322</v>
      </c>
      <c r="F171">
        <v>247269766.66666666</v>
      </c>
      <c r="G171">
        <v>49</v>
      </c>
      <c r="H171">
        <v>91</v>
      </c>
      <c r="I171">
        <v>4</v>
      </c>
      <c r="J171">
        <v>5</v>
      </c>
      <c r="M171">
        <v>51</v>
      </c>
      <c r="N171">
        <v>91</v>
      </c>
      <c r="O171">
        <v>60555630.630630635</v>
      </c>
      <c r="P171">
        <v>40010135.135135137</v>
      </c>
      <c r="Q171">
        <v>60</v>
      </c>
      <c r="R171">
        <v>8</v>
      </c>
      <c r="S171">
        <v>115147387.38738739</v>
      </c>
      <c r="T171">
        <v>120190491.89189188</v>
      </c>
      <c r="U171">
        <v>31844054.054054055</v>
      </c>
      <c r="V171">
        <v>26754234.234234232</v>
      </c>
      <c r="W171">
        <v>4502</v>
      </c>
      <c r="X171">
        <v>4339</v>
      </c>
    </row>
    <row r="172" spans="1:24">
      <c r="A172" s="7" t="s">
        <v>265</v>
      </c>
      <c r="B172" s="16" t="s">
        <v>123</v>
      </c>
      <c r="C172">
        <v>335262671.65092552</v>
      </c>
      <c r="D172">
        <v>318631394.51327842</v>
      </c>
      <c r="E172">
        <v>479279.27927927999</v>
      </c>
      <c r="F172">
        <v>2132432.4324324331</v>
      </c>
      <c r="G172">
        <v>86</v>
      </c>
      <c r="H172">
        <v>50</v>
      </c>
      <c r="I172">
        <v>11</v>
      </c>
      <c r="J172">
        <v>7</v>
      </c>
      <c r="K172">
        <v>1</v>
      </c>
      <c r="M172">
        <v>91</v>
      </c>
      <c r="N172">
        <v>54</v>
      </c>
      <c r="O172">
        <v>26878198.198198196</v>
      </c>
      <c r="P172">
        <v>38594684.684684686</v>
      </c>
      <c r="Q172">
        <v>56</v>
      </c>
      <c r="R172">
        <v>57</v>
      </c>
      <c r="S172">
        <v>116446486.48648648</v>
      </c>
      <c r="T172">
        <v>111541147.74774775</v>
      </c>
      <c r="U172">
        <v>28447297.297297295</v>
      </c>
      <c r="V172">
        <v>36243243.24324324</v>
      </c>
      <c r="W172">
        <v>4888</v>
      </c>
      <c r="X172">
        <v>4726</v>
      </c>
    </row>
    <row r="173" spans="1:24">
      <c r="A173" s="7" t="s">
        <v>673</v>
      </c>
      <c r="B173" s="16" t="s">
        <v>123</v>
      </c>
      <c r="E173">
        <v>241460585.58558559</v>
      </c>
      <c r="F173">
        <v>156332252.25225225</v>
      </c>
      <c r="O173">
        <v>3444054.054054054</v>
      </c>
      <c r="P173">
        <v>1029954.954954955</v>
      </c>
    </row>
    <row r="174" spans="1:24">
      <c r="A174" s="7" t="s">
        <v>266</v>
      </c>
      <c r="B174" s="16" t="s">
        <v>123</v>
      </c>
      <c r="C174">
        <v>326969624.23605692</v>
      </c>
      <c r="D174">
        <v>331292284.28666663</v>
      </c>
      <c r="E174">
        <v>2400000.0000000028</v>
      </c>
      <c r="F174">
        <v>3021171.1711711711</v>
      </c>
      <c r="G174">
        <v>47</v>
      </c>
      <c r="H174">
        <v>67</v>
      </c>
      <c r="I174">
        <v>5</v>
      </c>
      <c r="J174">
        <v>9</v>
      </c>
      <c r="M174">
        <v>56</v>
      </c>
      <c r="N174">
        <v>78</v>
      </c>
      <c r="O174">
        <v>44611531.531531528</v>
      </c>
      <c r="P174">
        <v>55811081.081081077</v>
      </c>
      <c r="Q174">
        <v>178</v>
      </c>
      <c r="R174">
        <v>107</v>
      </c>
      <c r="S174">
        <v>128120439.63963965</v>
      </c>
      <c r="T174">
        <v>134141872.07207206</v>
      </c>
      <c r="U174">
        <v>44606036.036036029</v>
      </c>
      <c r="V174">
        <v>54306396.396396399</v>
      </c>
      <c r="W174">
        <v>5517</v>
      </c>
      <c r="X174">
        <v>5526</v>
      </c>
    </row>
    <row r="175" spans="1:24">
      <c r="A175" s="7" t="s">
        <v>267</v>
      </c>
      <c r="B175" s="16" t="s">
        <v>178</v>
      </c>
      <c r="C175">
        <v>1767147975.729634</v>
      </c>
      <c r="D175">
        <v>1685716962.1337707</v>
      </c>
      <c r="E175">
        <v>1221543727.0270269</v>
      </c>
      <c r="F175">
        <v>991051797.29729724</v>
      </c>
      <c r="G175">
        <v>904</v>
      </c>
      <c r="H175">
        <v>839</v>
      </c>
      <c r="I175">
        <v>50</v>
      </c>
      <c r="J175">
        <v>87</v>
      </c>
      <c r="K175">
        <v>6</v>
      </c>
      <c r="M175">
        <v>1120</v>
      </c>
      <c r="N175">
        <v>1586</v>
      </c>
      <c r="O175">
        <v>251577294.5945946</v>
      </c>
      <c r="P175">
        <v>241670744.14414415</v>
      </c>
      <c r="Q175">
        <v>761</v>
      </c>
      <c r="R175">
        <v>1252</v>
      </c>
      <c r="S175">
        <v>500810754.95495492</v>
      </c>
      <c r="T175">
        <v>507598327.02702701</v>
      </c>
      <c r="U175">
        <v>240836306.3063063</v>
      </c>
      <c r="V175">
        <v>223048918.91891891</v>
      </c>
      <c r="W175">
        <v>33090</v>
      </c>
      <c r="X175">
        <v>32060</v>
      </c>
    </row>
    <row r="176" spans="1:24">
      <c r="A176" s="7" t="s">
        <v>268</v>
      </c>
      <c r="B176" s="16" t="s">
        <v>62</v>
      </c>
      <c r="C176">
        <v>261976542.93244228</v>
      </c>
      <c r="D176">
        <v>273499132.01574087</v>
      </c>
      <c r="E176">
        <v>2453243.2432432482</v>
      </c>
      <c r="F176">
        <v>6775675.675675679</v>
      </c>
      <c r="G176">
        <v>44</v>
      </c>
      <c r="H176">
        <v>59</v>
      </c>
      <c r="I176">
        <v>19</v>
      </c>
      <c r="J176">
        <v>22</v>
      </c>
      <c r="M176">
        <v>46</v>
      </c>
      <c r="N176">
        <v>87</v>
      </c>
      <c r="O176">
        <v>24892252.252252251</v>
      </c>
      <c r="P176">
        <v>83407477.477477476</v>
      </c>
      <c r="Q176">
        <v>221</v>
      </c>
      <c r="R176">
        <v>134</v>
      </c>
      <c r="S176">
        <v>88082702.702702701</v>
      </c>
      <c r="T176">
        <v>90729144.144144148</v>
      </c>
      <c r="U176">
        <v>26174504.504504502</v>
      </c>
      <c r="V176">
        <v>77664594.594594598</v>
      </c>
      <c r="W176">
        <v>4581</v>
      </c>
      <c r="X176">
        <v>4749</v>
      </c>
    </row>
    <row r="177" spans="1:24">
      <c r="A177" s="7" t="s">
        <v>269</v>
      </c>
      <c r="B177" s="16" t="s">
        <v>70</v>
      </c>
      <c r="C177">
        <v>351385683.34660208</v>
      </c>
      <c r="D177">
        <v>354503251.32273859</v>
      </c>
      <c r="E177">
        <v>4686936.9369369354</v>
      </c>
      <c r="F177">
        <v>6425810.8108108155</v>
      </c>
      <c r="G177">
        <v>75</v>
      </c>
      <c r="H177">
        <v>135</v>
      </c>
      <c r="I177">
        <v>5</v>
      </c>
      <c r="J177">
        <v>31</v>
      </c>
      <c r="K177">
        <v>3</v>
      </c>
      <c r="M177">
        <v>80</v>
      </c>
      <c r="N177">
        <v>427</v>
      </c>
      <c r="O177">
        <v>55405630.630630627</v>
      </c>
      <c r="P177">
        <v>32470270.270270277</v>
      </c>
      <c r="Q177">
        <v>444</v>
      </c>
      <c r="R177">
        <v>197</v>
      </c>
      <c r="S177">
        <v>161050342.34234235</v>
      </c>
      <c r="T177">
        <v>165442549.54954955</v>
      </c>
      <c r="U177">
        <v>54819774.774774775</v>
      </c>
      <c r="V177">
        <v>24152792.792792797</v>
      </c>
      <c r="W177">
        <v>6887</v>
      </c>
      <c r="X177">
        <v>6962</v>
      </c>
    </row>
    <row r="178" spans="1:24">
      <c r="A178" s="7" t="s">
        <v>270</v>
      </c>
      <c r="B178" s="16" t="s">
        <v>134</v>
      </c>
      <c r="C178">
        <v>5331485.4457007637</v>
      </c>
      <c r="D178">
        <v>5132039.5285799988</v>
      </c>
      <c r="G178">
        <v>2</v>
      </c>
      <c r="M178">
        <v>3</v>
      </c>
      <c r="S178">
        <v>243468.468468468</v>
      </c>
      <c r="T178">
        <v>411441.441441442</v>
      </c>
      <c r="W178">
        <v>223</v>
      </c>
      <c r="X178">
        <v>235</v>
      </c>
    </row>
    <row r="179" spans="1:24">
      <c r="A179" s="7" t="s">
        <v>271</v>
      </c>
      <c r="B179" s="16" t="s">
        <v>76</v>
      </c>
      <c r="C179">
        <v>170526024.97449976</v>
      </c>
      <c r="D179">
        <v>163624523.11073169</v>
      </c>
      <c r="E179">
        <v>12612.612612613</v>
      </c>
      <c r="F179">
        <v>76576.576576577005</v>
      </c>
      <c r="G179">
        <v>24</v>
      </c>
      <c r="H179">
        <v>20</v>
      </c>
      <c r="I179">
        <v>0</v>
      </c>
      <c r="J179">
        <v>0</v>
      </c>
      <c r="M179">
        <v>25</v>
      </c>
      <c r="N179">
        <v>23</v>
      </c>
      <c r="O179">
        <v>192792.79279279301</v>
      </c>
      <c r="P179">
        <v>166666.66666666701</v>
      </c>
      <c r="S179">
        <v>9517700.9009009004</v>
      </c>
      <c r="T179">
        <v>9628959.4594594594</v>
      </c>
      <c r="U179">
        <v>400900.900900901</v>
      </c>
      <c r="V179">
        <v>286486.48648648697</v>
      </c>
      <c r="W179">
        <v>2393</v>
      </c>
      <c r="X179">
        <v>2398</v>
      </c>
    </row>
    <row r="180" spans="1:24">
      <c r="A180" s="7" t="s">
        <v>272</v>
      </c>
      <c r="B180" s="16" t="s">
        <v>76</v>
      </c>
      <c r="C180">
        <v>61866890.087633595</v>
      </c>
      <c r="D180">
        <v>57670561.735030361</v>
      </c>
      <c r="E180">
        <v>59909.909909909999</v>
      </c>
      <c r="F180">
        <v>169369.36936936999</v>
      </c>
      <c r="G180">
        <v>17</v>
      </c>
      <c r="H180">
        <v>5</v>
      </c>
      <c r="I180">
        <v>1</v>
      </c>
      <c r="J180">
        <v>2</v>
      </c>
      <c r="M180">
        <v>20</v>
      </c>
      <c r="N180">
        <v>6</v>
      </c>
      <c r="O180">
        <v>15677027.027027028</v>
      </c>
      <c r="P180">
        <v>12794774.774774777</v>
      </c>
      <c r="Q180">
        <v>24</v>
      </c>
      <c r="R180">
        <v>23</v>
      </c>
      <c r="S180">
        <v>17901441.441441439</v>
      </c>
      <c r="T180">
        <v>14221135.135135137</v>
      </c>
      <c r="U180">
        <v>12223693.693693694</v>
      </c>
      <c r="V180">
        <v>10271081.081081079</v>
      </c>
      <c r="W180">
        <v>797</v>
      </c>
      <c r="X180">
        <v>774</v>
      </c>
    </row>
    <row r="181" spans="1:24">
      <c r="A181" s="7" t="s">
        <v>273</v>
      </c>
      <c r="B181" s="16" t="s">
        <v>260</v>
      </c>
      <c r="C181">
        <v>1255319575.27474</v>
      </c>
      <c r="D181">
        <v>1186582467.8732018</v>
      </c>
      <c r="E181">
        <v>12423873.87387388</v>
      </c>
      <c r="F181">
        <v>14531531.531531533</v>
      </c>
      <c r="G181">
        <v>776</v>
      </c>
      <c r="H181">
        <v>344</v>
      </c>
      <c r="I181">
        <v>51</v>
      </c>
      <c r="J181">
        <v>38</v>
      </c>
      <c r="K181">
        <v>1</v>
      </c>
      <c r="M181">
        <v>930</v>
      </c>
      <c r="N181">
        <v>623</v>
      </c>
      <c r="O181">
        <v>193365315.31531531</v>
      </c>
      <c r="P181">
        <v>250049549.54954958</v>
      </c>
      <c r="Q181">
        <v>258</v>
      </c>
      <c r="R181">
        <v>235</v>
      </c>
      <c r="S181">
        <v>367397450.45045042</v>
      </c>
      <c r="T181">
        <v>368651725.22522521</v>
      </c>
      <c r="U181">
        <v>204412522.52252254</v>
      </c>
      <c r="V181">
        <v>217359639.63963965</v>
      </c>
      <c r="W181">
        <v>20044</v>
      </c>
      <c r="X181">
        <v>19141</v>
      </c>
    </row>
    <row r="182" spans="1:24">
      <c r="A182" s="7" t="s">
        <v>274</v>
      </c>
      <c r="B182" s="16" t="s">
        <v>260</v>
      </c>
      <c r="C182">
        <v>293596536.67832917</v>
      </c>
      <c r="D182">
        <v>265527215.55652779</v>
      </c>
      <c r="E182">
        <v>3163963.963963965</v>
      </c>
      <c r="F182">
        <v>1436261.261261262</v>
      </c>
      <c r="G182">
        <v>29</v>
      </c>
      <c r="H182">
        <v>15</v>
      </c>
      <c r="I182">
        <v>7</v>
      </c>
      <c r="J182">
        <v>3</v>
      </c>
      <c r="M182">
        <v>29</v>
      </c>
      <c r="N182">
        <v>19</v>
      </c>
      <c r="O182">
        <v>17663063.063063059</v>
      </c>
      <c r="P182">
        <v>18505855.855855856</v>
      </c>
      <c r="Q182">
        <v>120</v>
      </c>
      <c r="R182">
        <v>80</v>
      </c>
      <c r="S182">
        <v>54463531.531531535</v>
      </c>
      <c r="T182">
        <v>53944576.576576576</v>
      </c>
      <c r="U182">
        <v>16597027.027027028</v>
      </c>
      <c r="V182">
        <v>15798468.468468467</v>
      </c>
      <c r="W182">
        <v>3820</v>
      </c>
      <c r="X182">
        <v>3835</v>
      </c>
    </row>
    <row r="183" spans="1:24">
      <c r="A183" s="7" t="s">
        <v>275</v>
      </c>
      <c r="B183" s="16" t="s">
        <v>260</v>
      </c>
      <c r="C183">
        <v>305929908.2255221</v>
      </c>
      <c r="D183">
        <v>295120639.42870903</v>
      </c>
      <c r="E183">
        <v>6519729.7297297288</v>
      </c>
      <c r="F183">
        <v>9248288.2882882878</v>
      </c>
      <c r="G183">
        <v>192</v>
      </c>
      <c r="H183">
        <v>43</v>
      </c>
      <c r="I183">
        <v>14</v>
      </c>
      <c r="J183">
        <v>8</v>
      </c>
      <c r="K183">
        <v>1</v>
      </c>
      <c r="M183">
        <v>195</v>
      </c>
      <c r="N183">
        <v>225</v>
      </c>
      <c r="O183">
        <v>52594594.59459459</v>
      </c>
      <c r="P183">
        <v>58291891.891891897</v>
      </c>
      <c r="Q183">
        <v>445</v>
      </c>
      <c r="R183">
        <v>268</v>
      </c>
      <c r="S183">
        <v>72321576.576576576</v>
      </c>
      <c r="T183">
        <v>71878081.081081077</v>
      </c>
      <c r="U183">
        <v>52343603.603603601</v>
      </c>
      <c r="V183">
        <v>54823783.783783786</v>
      </c>
      <c r="W183">
        <v>5782</v>
      </c>
      <c r="X183">
        <v>5882</v>
      </c>
    </row>
    <row r="184" spans="1:24">
      <c r="A184" s="7" t="s">
        <v>276</v>
      </c>
      <c r="B184" s="16" t="s">
        <v>134</v>
      </c>
      <c r="C184">
        <v>355223621.67136014</v>
      </c>
      <c r="D184">
        <v>364334845.34883678</v>
      </c>
      <c r="E184">
        <v>30630.630630631</v>
      </c>
      <c r="F184">
        <v>2272972.9729729742</v>
      </c>
      <c r="G184">
        <v>54</v>
      </c>
      <c r="H184">
        <v>66</v>
      </c>
      <c r="I184">
        <v>4</v>
      </c>
      <c r="J184">
        <v>6</v>
      </c>
      <c r="M184">
        <v>56</v>
      </c>
      <c r="N184">
        <v>78</v>
      </c>
      <c r="O184">
        <v>16291891.891891891</v>
      </c>
      <c r="P184">
        <v>18040540.540540539</v>
      </c>
      <c r="Q184">
        <v>20</v>
      </c>
      <c r="S184">
        <v>32615387.387387387</v>
      </c>
      <c r="T184">
        <v>33758247.747747749</v>
      </c>
      <c r="U184">
        <v>10101891.891891891</v>
      </c>
      <c r="V184">
        <v>8639639.6396396384</v>
      </c>
      <c r="W184">
        <v>4159</v>
      </c>
      <c r="X184">
        <v>5275</v>
      </c>
    </row>
    <row r="185" spans="1:24">
      <c r="A185" s="7" t="s">
        <v>277</v>
      </c>
      <c r="B185" s="16" t="s">
        <v>169</v>
      </c>
      <c r="C185">
        <v>287541784.03801268</v>
      </c>
      <c r="D185">
        <v>214287400.63015163</v>
      </c>
      <c r="E185">
        <v>1263063.063063063</v>
      </c>
      <c r="F185">
        <v>1576576.576576577</v>
      </c>
      <c r="G185">
        <v>58</v>
      </c>
      <c r="H185">
        <v>37</v>
      </c>
      <c r="I185">
        <v>1</v>
      </c>
      <c r="J185">
        <v>1</v>
      </c>
      <c r="M185">
        <v>61</v>
      </c>
      <c r="N185">
        <v>56</v>
      </c>
      <c r="O185">
        <v>23952000</v>
      </c>
      <c r="P185">
        <v>18740990.990990993</v>
      </c>
      <c r="Q185">
        <v>16</v>
      </c>
      <c r="R185">
        <v>18</v>
      </c>
      <c r="S185">
        <v>118027189.18918918</v>
      </c>
      <c r="T185">
        <v>98253538.288288295</v>
      </c>
      <c r="U185">
        <v>19282522.522522524</v>
      </c>
      <c r="V185">
        <v>14373693.693693692</v>
      </c>
      <c r="W185">
        <v>3549</v>
      </c>
      <c r="X185">
        <v>3355</v>
      </c>
    </row>
    <row r="186" spans="1:24">
      <c r="A186" s="7" t="s">
        <v>278</v>
      </c>
      <c r="B186" s="16" t="s">
        <v>169</v>
      </c>
      <c r="C186">
        <v>130469879.79465067</v>
      </c>
      <c r="D186">
        <v>128330802.82469709</v>
      </c>
      <c r="E186">
        <v>900.900900901</v>
      </c>
      <c r="F186">
        <v>5405.4054054050002</v>
      </c>
      <c r="G186">
        <v>9</v>
      </c>
      <c r="H186">
        <v>20</v>
      </c>
      <c r="M186">
        <v>9</v>
      </c>
      <c r="N186">
        <v>21</v>
      </c>
      <c r="O186">
        <v>6786503.6036036042</v>
      </c>
      <c r="P186">
        <v>7876238.7387387389</v>
      </c>
      <c r="S186">
        <v>50569063.063063063</v>
      </c>
      <c r="T186">
        <v>56623040.540540546</v>
      </c>
      <c r="U186">
        <v>5584324.3243243238</v>
      </c>
      <c r="V186">
        <v>6449909.9099099096</v>
      </c>
      <c r="W186">
        <v>2003</v>
      </c>
      <c r="X186">
        <v>2066</v>
      </c>
    </row>
    <row r="187" spans="1:24">
      <c r="A187" s="7" t="s">
        <v>279</v>
      </c>
      <c r="B187" s="16" t="s">
        <v>87</v>
      </c>
      <c r="C187">
        <v>3278235.5651617711</v>
      </c>
      <c r="D187">
        <v>3010082.7923085368</v>
      </c>
      <c r="G187">
        <v>4</v>
      </c>
      <c r="H187">
        <v>6</v>
      </c>
      <c r="M187">
        <v>5</v>
      </c>
      <c r="N187">
        <v>7</v>
      </c>
      <c r="S187">
        <v>1567115.315315315</v>
      </c>
      <c r="T187">
        <v>1143117.1171171169</v>
      </c>
      <c r="W187">
        <v>205</v>
      </c>
      <c r="X187">
        <v>198</v>
      </c>
    </row>
    <row r="188" spans="1:24">
      <c r="A188" s="7" t="s">
        <v>280</v>
      </c>
      <c r="B188" s="16" t="s">
        <v>169</v>
      </c>
      <c r="C188">
        <v>221855824.7108798</v>
      </c>
      <c r="D188">
        <v>211537738.03219634</v>
      </c>
      <c r="E188">
        <v>919144.14414414298</v>
      </c>
      <c r="F188">
        <v>1135810.8108108109</v>
      </c>
      <c r="G188">
        <v>54</v>
      </c>
      <c r="H188">
        <v>29</v>
      </c>
      <c r="I188">
        <v>7</v>
      </c>
      <c r="J188">
        <v>3</v>
      </c>
      <c r="M188">
        <v>60</v>
      </c>
      <c r="N188">
        <v>43</v>
      </c>
      <c r="O188">
        <v>24585509.009009007</v>
      </c>
      <c r="P188">
        <v>29873693.693693694</v>
      </c>
      <c r="Q188">
        <v>116</v>
      </c>
      <c r="R188">
        <v>95</v>
      </c>
      <c r="S188">
        <v>87513423.423423424</v>
      </c>
      <c r="T188">
        <v>84554828.828828827</v>
      </c>
      <c r="U188">
        <v>25022702.702702705</v>
      </c>
      <c r="V188">
        <v>28168468.468468469</v>
      </c>
      <c r="W188">
        <v>4237</v>
      </c>
      <c r="X188">
        <v>3970</v>
      </c>
    </row>
    <row r="189" spans="1:24">
      <c r="A189" s="7" t="s">
        <v>674</v>
      </c>
      <c r="B189" s="16" t="s">
        <v>143</v>
      </c>
      <c r="E189">
        <v>212597608.1081081</v>
      </c>
      <c r="F189">
        <v>106083295.49549548</v>
      </c>
      <c r="O189">
        <v>14864864.864864863</v>
      </c>
      <c r="P189">
        <v>32432432.432432432</v>
      </c>
    </row>
    <row r="190" spans="1:24">
      <c r="A190" s="7" t="s">
        <v>281</v>
      </c>
      <c r="B190" s="16" t="s">
        <v>54</v>
      </c>
      <c r="C190">
        <v>168912915.78442481</v>
      </c>
      <c r="D190">
        <v>162024879.58134019</v>
      </c>
      <c r="E190">
        <v>609234.23423423595</v>
      </c>
      <c r="F190">
        <v>2540540.5405405429</v>
      </c>
      <c r="G190">
        <v>54</v>
      </c>
      <c r="H190">
        <v>62</v>
      </c>
      <c r="I190">
        <v>13</v>
      </c>
      <c r="J190">
        <v>12</v>
      </c>
      <c r="K190">
        <v>3</v>
      </c>
      <c r="M190">
        <v>61</v>
      </c>
      <c r="N190">
        <v>73</v>
      </c>
      <c r="O190">
        <v>16319369.369369367</v>
      </c>
      <c r="P190">
        <v>19476576.576576576</v>
      </c>
      <c r="Q190">
        <v>116</v>
      </c>
      <c r="R190">
        <v>58</v>
      </c>
      <c r="S190">
        <v>36165747.747747749</v>
      </c>
      <c r="T190">
        <v>34707324.324324325</v>
      </c>
      <c r="U190">
        <v>16813063.063063063</v>
      </c>
      <c r="V190">
        <v>18305585.585585583</v>
      </c>
      <c r="W190">
        <v>3788</v>
      </c>
      <c r="X190">
        <v>3726</v>
      </c>
    </row>
    <row r="191" spans="1:24">
      <c r="A191" s="7" t="s">
        <v>282</v>
      </c>
      <c r="B191" s="16" t="s">
        <v>283</v>
      </c>
      <c r="C191">
        <v>271992547.28955656</v>
      </c>
      <c r="D191">
        <v>234512057.57053235</v>
      </c>
      <c r="E191">
        <v>1859909.909909911</v>
      </c>
      <c r="F191">
        <v>415315.31531531498</v>
      </c>
      <c r="G191">
        <v>27</v>
      </c>
      <c r="H191">
        <v>116</v>
      </c>
      <c r="I191">
        <v>5</v>
      </c>
      <c r="J191">
        <v>3</v>
      </c>
      <c r="M191">
        <v>27</v>
      </c>
      <c r="N191">
        <v>141</v>
      </c>
      <c r="O191">
        <v>8427477.4774774779</v>
      </c>
      <c r="P191">
        <v>10301801.801801803</v>
      </c>
      <c r="Q191">
        <v>8</v>
      </c>
      <c r="R191">
        <v>6</v>
      </c>
      <c r="S191">
        <v>32938378.378378376</v>
      </c>
      <c r="T191">
        <v>36055171.171171166</v>
      </c>
      <c r="U191">
        <v>8856126.1261261273</v>
      </c>
      <c r="V191">
        <v>11076216.216216216</v>
      </c>
      <c r="W191">
        <v>3444</v>
      </c>
      <c r="X191">
        <v>3335</v>
      </c>
    </row>
    <row r="192" spans="1:24">
      <c r="A192" s="7" t="s">
        <v>284</v>
      </c>
      <c r="B192" s="16" t="s">
        <v>283</v>
      </c>
      <c r="C192">
        <v>441595195.04500711</v>
      </c>
      <c r="D192">
        <v>455116278.8563022</v>
      </c>
      <c r="E192">
        <v>1658333.3333333349</v>
      </c>
      <c r="F192">
        <v>3965315.315315315</v>
      </c>
      <c r="G192">
        <v>164</v>
      </c>
      <c r="H192">
        <v>94</v>
      </c>
      <c r="I192">
        <v>11</v>
      </c>
      <c r="J192">
        <v>22</v>
      </c>
      <c r="K192">
        <v>1</v>
      </c>
      <c r="M192">
        <v>229</v>
      </c>
      <c r="N192">
        <v>170</v>
      </c>
      <c r="O192">
        <v>52343333.333333336</v>
      </c>
      <c r="P192">
        <v>54599279.279279277</v>
      </c>
      <c r="Q192">
        <v>53</v>
      </c>
      <c r="R192">
        <v>154</v>
      </c>
      <c r="S192">
        <v>90724054.054054052</v>
      </c>
      <c r="T192">
        <v>96232450.45045045</v>
      </c>
      <c r="U192">
        <v>45154864.864864863</v>
      </c>
      <c r="V192">
        <v>49200720.720720723</v>
      </c>
      <c r="W192">
        <v>8033</v>
      </c>
      <c r="X192">
        <v>8078</v>
      </c>
    </row>
    <row r="193" spans="1:24">
      <c r="A193" s="7" t="s">
        <v>285</v>
      </c>
      <c r="B193" s="16" t="s">
        <v>283</v>
      </c>
      <c r="C193">
        <v>236410337.33744678</v>
      </c>
      <c r="D193">
        <v>240575302.79958606</v>
      </c>
      <c r="E193">
        <v>1862162.162162164</v>
      </c>
      <c r="F193">
        <v>2224234.2342342329</v>
      </c>
      <c r="G193">
        <v>44</v>
      </c>
      <c r="H193">
        <v>43</v>
      </c>
      <c r="I193">
        <v>15</v>
      </c>
      <c r="J193">
        <v>10</v>
      </c>
      <c r="M193">
        <v>55</v>
      </c>
      <c r="N193">
        <v>100</v>
      </c>
      <c r="O193">
        <v>59332432.432432435</v>
      </c>
      <c r="P193">
        <v>62146666.666666664</v>
      </c>
      <c r="Q193">
        <v>38</v>
      </c>
      <c r="R193">
        <v>87</v>
      </c>
      <c r="S193">
        <v>75276693.693693697</v>
      </c>
      <c r="T193">
        <v>74791873.873873875</v>
      </c>
      <c r="U193">
        <v>52991351.351351351</v>
      </c>
      <c r="V193">
        <v>54689099.0990991</v>
      </c>
      <c r="W193">
        <v>4605</v>
      </c>
      <c r="X193">
        <v>4744</v>
      </c>
    </row>
    <row r="194" spans="1:24">
      <c r="A194" s="7" t="s">
        <v>286</v>
      </c>
      <c r="B194" s="16" t="s">
        <v>283</v>
      </c>
      <c r="C194">
        <v>171006772.49946195</v>
      </c>
      <c r="D194">
        <v>181038889.10944679</v>
      </c>
      <c r="E194">
        <v>162837.83783783799</v>
      </c>
      <c r="F194">
        <v>690990.99099099205</v>
      </c>
      <c r="G194">
        <v>21</v>
      </c>
      <c r="H194">
        <v>14</v>
      </c>
      <c r="I194">
        <v>6</v>
      </c>
      <c r="J194">
        <v>2</v>
      </c>
      <c r="M194">
        <v>23</v>
      </c>
      <c r="N194">
        <v>16</v>
      </c>
      <c r="O194">
        <v>8032432.4324324327</v>
      </c>
      <c r="P194">
        <v>32508288.288288288</v>
      </c>
      <c r="Q194">
        <v>124</v>
      </c>
      <c r="R194">
        <v>19</v>
      </c>
      <c r="S194">
        <v>28840342.342342343</v>
      </c>
      <c r="T194">
        <v>34212369.369369365</v>
      </c>
      <c r="U194">
        <v>8294144.1441441439</v>
      </c>
      <c r="V194">
        <v>32664774.774774775</v>
      </c>
      <c r="W194">
        <v>2474</v>
      </c>
      <c r="X194">
        <v>2520</v>
      </c>
    </row>
    <row r="195" spans="1:24">
      <c r="A195" s="7" t="s">
        <v>287</v>
      </c>
      <c r="B195" s="16" t="s">
        <v>283</v>
      </c>
      <c r="C195">
        <v>88241555.934366211</v>
      </c>
      <c r="D195">
        <v>89920320.769406691</v>
      </c>
      <c r="E195">
        <v>82882.882882883001</v>
      </c>
      <c r="F195">
        <v>524324.32432432601</v>
      </c>
      <c r="G195">
        <v>3</v>
      </c>
      <c r="I195">
        <v>2</v>
      </c>
      <c r="J195">
        <v>3</v>
      </c>
      <c r="M195">
        <v>3</v>
      </c>
      <c r="N195">
        <v>2</v>
      </c>
      <c r="O195">
        <v>82882.882882883001</v>
      </c>
      <c r="P195">
        <v>12947747.747747747</v>
      </c>
      <c r="Q195">
        <v>2</v>
      </c>
      <c r="R195">
        <v>2</v>
      </c>
      <c r="S195">
        <v>14986306.306306306</v>
      </c>
      <c r="T195">
        <v>16019387.387387387</v>
      </c>
      <c r="U195">
        <v>13063.063063063</v>
      </c>
      <c r="V195">
        <v>13690630.630630629</v>
      </c>
      <c r="W195">
        <v>1334</v>
      </c>
      <c r="X195">
        <v>1394</v>
      </c>
    </row>
    <row r="196" spans="1:24">
      <c r="A196" s="7" t="s">
        <v>288</v>
      </c>
      <c r="B196" s="16" t="s">
        <v>283</v>
      </c>
      <c r="C196">
        <v>15034716.838381154</v>
      </c>
      <c r="D196">
        <v>14284222.827198112</v>
      </c>
      <c r="E196">
        <v>5180.1801801800002</v>
      </c>
      <c r="F196">
        <v>393693.69369369402</v>
      </c>
      <c r="G196">
        <v>6</v>
      </c>
      <c r="M196">
        <v>6</v>
      </c>
      <c r="O196">
        <v>1694594.594594595</v>
      </c>
      <c r="P196">
        <v>19871171.171171173</v>
      </c>
      <c r="Q196">
        <v>68</v>
      </c>
      <c r="R196">
        <v>98</v>
      </c>
      <c r="S196">
        <v>2305576.576576577</v>
      </c>
      <c r="T196">
        <v>2460639.6396396402</v>
      </c>
      <c r="U196">
        <v>1689189.1891891891</v>
      </c>
      <c r="V196">
        <v>19748648.648648649</v>
      </c>
      <c r="W196">
        <v>332</v>
      </c>
      <c r="X196">
        <v>314</v>
      </c>
    </row>
    <row r="197" spans="1:24">
      <c r="A197" s="7" t="s">
        <v>289</v>
      </c>
      <c r="B197" s="16" t="s">
        <v>290</v>
      </c>
      <c r="C197">
        <v>185497403.53128839</v>
      </c>
      <c r="D197">
        <v>178734857.80696595</v>
      </c>
      <c r="E197">
        <v>204040801.8018018</v>
      </c>
      <c r="F197">
        <v>340967616.21621621</v>
      </c>
      <c r="G197">
        <v>61</v>
      </c>
      <c r="H197">
        <v>43</v>
      </c>
      <c r="I197">
        <v>2</v>
      </c>
      <c r="J197">
        <v>2</v>
      </c>
      <c r="M197">
        <v>68</v>
      </c>
      <c r="N197">
        <v>51</v>
      </c>
      <c r="O197">
        <v>27400570.270270273</v>
      </c>
      <c r="P197">
        <v>25963983.783783782</v>
      </c>
      <c r="Q197">
        <v>17</v>
      </c>
      <c r="R197">
        <v>5</v>
      </c>
      <c r="S197">
        <v>16974499.0990991</v>
      </c>
      <c r="T197">
        <v>16700578.37837838</v>
      </c>
      <c r="U197">
        <v>1974954.954954955</v>
      </c>
      <c r="V197">
        <v>1194594.594594595</v>
      </c>
      <c r="W197">
        <v>4049</v>
      </c>
      <c r="X197">
        <v>4244</v>
      </c>
    </row>
    <row r="198" spans="1:24">
      <c r="A198" s="7" t="s">
        <v>291</v>
      </c>
      <c r="B198" s="16" t="s">
        <v>147</v>
      </c>
      <c r="C198">
        <v>431555096.85411543</v>
      </c>
      <c r="D198">
        <v>432563612.19749993</v>
      </c>
      <c r="E198">
        <v>1315315.3153153169</v>
      </c>
      <c r="F198">
        <v>6779459.4594594575</v>
      </c>
      <c r="G198">
        <v>121</v>
      </c>
      <c r="H198">
        <v>101</v>
      </c>
      <c r="I198">
        <v>14</v>
      </c>
      <c r="J198">
        <v>8</v>
      </c>
      <c r="K198">
        <v>2</v>
      </c>
      <c r="M198">
        <v>332</v>
      </c>
      <c r="N198">
        <v>216</v>
      </c>
      <c r="O198">
        <v>117171891.89189188</v>
      </c>
      <c r="P198">
        <v>167839335.13513514</v>
      </c>
      <c r="Q198">
        <v>286</v>
      </c>
      <c r="R198">
        <v>272</v>
      </c>
      <c r="S198">
        <v>156834639.63963965</v>
      </c>
      <c r="T198">
        <v>168643261.26126125</v>
      </c>
      <c r="U198">
        <v>109852792.79279278</v>
      </c>
      <c r="V198">
        <v>159862342.34234235</v>
      </c>
      <c r="W198">
        <v>7566</v>
      </c>
      <c r="X198">
        <v>7563</v>
      </c>
    </row>
    <row r="199" spans="1:24">
      <c r="A199" s="7" t="s">
        <v>292</v>
      </c>
      <c r="B199" s="16" t="s">
        <v>293</v>
      </c>
      <c r="C199">
        <v>220835589.86938682</v>
      </c>
      <c r="D199">
        <v>211113965.9619385</v>
      </c>
      <c r="E199">
        <v>108697792.7927928</v>
      </c>
      <c r="F199">
        <v>92853063.063063055</v>
      </c>
      <c r="G199">
        <v>32</v>
      </c>
      <c r="H199">
        <v>26</v>
      </c>
      <c r="I199">
        <v>16</v>
      </c>
      <c r="J199">
        <v>14</v>
      </c>
      <c r="M199">
        <v>42</v>
      </c>
      <c r="N199">
        <v>36</v>
      </c>
      <c r="O199">
        <v>69740450.45045045</v>
      </c>
      <c r="P199">
        <v>48829639.639639638</v>
      </c>
      <c r="Q199">
        <v>230</v>
      </c>
      <c r="R199">
        <v>50</v>
      </c>
      <c r="S199">
        <v>27754900.900900904</v>
      </c>
      <c r="T199">
        <v>29122324.324324325</v>
      </c>
      <c r="U199">
        <v>70073963.963963971</v>
      </c>
      <c r="V199">
        <v>50390900.9009009</v>
      </c>
      <c r="W199">
        <v>3505</v>
      </c>
      <c r="X199">
        <v>3552</v>
      </c>
    </row>
    <row r="200" spans="1:24">
      <c r="A200" s="7" t="s">
        <v>294</v>
      </c>
      <c r="B200" s="16" t="s">
        <v>290</v>
      </c>
      <c r="C200">
        <v>59973417.62734957</v>
      </c>
      <c r="D200">
        <v>47196455.831028096</v>
      </c>
      <c r="E200">
        <v>710810.810810811</v>
      </c>
      <c r="F200">
        <v>977477.47747747705</v>
      </c>
      <c r="G200">
        <v>21</v>
      </c>
      <c r="H200">
        <v>8</v>
      </c>
      <c r="I200">
        <v>2</v>
      </c>
      <c r="J200">
        <v>2</v>
      </c>
      <c r="M200">
        <v>22</v>
      </c>
      <c r="N200">
        <v>8</v>
      </c>
      <c r="O200">
        <v>3557657.6576576582</v>
      </c>
      <c r="P200">
        <v>2825225.2252252251</v>
      </c>
      <c r="Q200">
        <v>10</v>
      </c>
      <c r="R200">
        <v>5</v>
      </c>
      <c r="S200">
        <v>6312252.2522522518</v>
      </c>
      <c r="T200">
        <v>6448286.4864864871</v>
      </c>
      <c r="U200">
        <v>2472882.8828828828</v>
      </c>
      <c r="V200">
        <v>2589459.4594594599</v>
      </c>
      <c r="W200">
        <v>1080</v>
      </c>
      <c r="X200">
        <v>1228</v>
      </c>
    </row>
    <row r="201" spans="1:24">
      <c r="A201" s="7" t="s">
        <v>295</v>
      </c>
      <c r="B201" s="16" t="s">
        <v>52</v>
      </c>
      <c r="C201">
        <v>607968807.63739622</v>
      </c>
      <c r="D201">
        <v>601565301.62497139</v>
      </c>
      <c r="E201">
        <v>41756480.180180185</v>
      </c>
      <c r="F201">
        <v>173833333.33333334</v>
      </c>
      <c r="G201">
        <v>130</v>
      </c>
      <c r="H201">
        <v>196</v>
      </c>
      <c r="I201">
        <v>14</v>
      </c>
      <c r="J201">
        <v>15</v>
      </c>
      <c r="K201">
        <v>6</v>
      </c>
      <c r="M201">
        <v>869</v>
      </c>
      <c r="N201">
        <v>562</v>
      </c>
      <c r="O201">
        <v>443759242.34234232</v>
      </c>
      <c r="P201">
        <v>313031351.35135138</v>
      </c>
      <c r="Q201">
        <v>364</v>
      </c>
      <c r="R201">
        <v>560</v>
      </c>
      <c r="S201">
        <v>164308360.36036035</v>
      </c>
      <c r="T201">
        <v>163740376.57657659</v>
      </c>
      <c r="U201">
        <v>433442477.47747749</v>
      </c>
      <c r="V201">
        <v>321281351.35135138</v>
      </c>
      <c r="W201">
        <v>12254</v>
      </c>
      <c r="X201">
        <v>11856</v>
      </c>
    </row>
    <row r="202" spans="1:24">
      <c r="A202" s="7" t="s">
        <v>296</v>
      </c>
      <c r="B202" s="16" t="s">
        <v>169</v>
      </c>
      <c r="C202">
        <v>193051977.39898241</v>
      </c>
      <c r="D202">
        <v>158311916.91978502</v>
      </c>
      <c r="E202">
        <v>3603.603603604</v>
      </c>
      <c r="F202">
        <v>127027.027027028</v>
      </c>
      <c r="G202">
        <v>22</v>
      </c>
      <c r="H202">
        <v>20</v>
      </c>
      <c r="I202">
        <v>0</v>
      </c>
      <c r="J202">
        <v>0</v>
      </c>
      <c r="K202">
        <v>1</v>
      </c>
      <c r="M202">
        <v>26</v>
      </c>
      <c r="N202">
        <v>29</v>
      </c>
      <c r="O202">
        <v>7850450.4504504502</v>
      </c>
      <c r="P202">
        <v>13244144.144144144</v>
      </c>
      <c r="R202">
        <v>1</v>
      </c>
      <c r="S202">
        <v>37897225.225225225</v>
      </c>
      <c r="T202">
        <v>35191972.972972974</v>
      </c>
      <c r="U202">
        <v>8252432.4324324317</v>
      </c>
      <c r="V202">
        <v>11828288.288288288</v>
      </c>
      <c r="W202">
        <v>3958</v>
      </c>
      <c r="X202">
        <v>3971</v>
      </c>
    </row>
    <row r="203" spans="1:24">
      <c r="A203" s="7" t="s">
        <v>297</v>
      </c>
      <c r="B203" s="16" t="s">
        <v>169</v>
      </c>
      <c r="C203">
        <v>192492384.15010399</v>
      </c>
      <c r="D203">
        <v>222709751.47899258</v>
      </c>
      <c r="E203">
        <v>900.900900901</v>
      </c>
      <c r="F203">
        <v>742909.90990991099</v>
      </c>
      <c r="G203">
        <v>17</v>
      </c>
      <c r="H203">
        <v>27</v>
      </c>
      <c r="J203">
        <v>0</v>
      </c>
      <c r="M203">
        <v>17</v>
      </c>
      <c r="N203">
        <v>47</v>
      </c>
      <c r="O203">
        <v>996428080.18018019</v>
      </c>
      <c r="P203">
        <v>1841397702.7027025</v>
      </c>
      <c r="S203">
        <v>70045036.036036029</v>
      </c>
      <c r="T203">
        <v>80215729.729729727</v>
      </c>
      <c r="U203">
        <v>993169398.1981982</v>
      </c>
      <c r="V203">
        <v>1831224136.9369369</v>
      </c>
      <c r="W203">
        <v>2879</v>
      </c>
      <c r="X203">
        <v>2874</v>
      </c>
    </row>
    <row r="204" spans="1:24">
      <c r="A204" s="7" t="s">
        <v>298</v>
      </c>
      <c r="B204" s="16" t="s">
        <v>89</v>
      </c>
      <c r="C204">
        <v>706908676.97717166</v>
      </c>
      <c r="D204">
        <v>693304515.28339756</v>
      </c>
      <c r="E204">
        <v>2085000.0000000109</v>
      </c>
      <c r="F204">
        <v>10416982.882882887</v>
      </c>
      <c r="G204">
        <v>89</v>
      </c>
      <c r="H204">
        <v>138</v>
      </c>
      <c r="I204">
        <v>49</v>
      </c>
      <c r="J204">
        <v>37</v>
      </c>
      <c r="K204">
        <v>2</v>
      </c>
      <c r="M204">
        <v>97</v>
      </c>
      <c r="N204">
        <v>269</v>
      </c>
      <c r="O204">
        <v>42421801.801801808</v>
      </c>
      <c r="P204">
        <v>50494357.657657653</v>
      </c>
      <c r="Q204">
        <v>379</v>
      </c>
      <c r="R204">
        <v>374</v>
      </c>
      <c r="S204">
        <v>128824324.32432432</v>
      </c>
      <c r="T204">
        <v>135112306.3063063</v>
      </c>
      <c r="U204">
        <v>40942702.702702701</v>
      </c>
      <c r="V204">
        <v>47588648.648648657</v>
      </c>
      <c r="W204">
        <v>10555</v>
      </c>
      <c r="X204">
        <v>11195</v>
      </c>
    </row>
    <row r="205" spans="1:24">
      <c r="A205" s="7" t="s">
        <v>299</v>
      </c>
      <c r="B205" s="16" t="s">
        <v>134</v>
      </c>
      <c r="C205">
        <v>365465213.6385169</v>
      </c>
      <c r="D205">
        <v>380771263.53569484</v>
      </c>
      <c r="E205">
        <v>2646171.17117118</v>
      </c>
      <c r="F205">
        <v>3896396.396396399</v>
      </c>
      <c r="G205">
        <v>156</v>
      </c>
      <c r="H205">
        <v>83</v>
      </c>
      <c r="I205">
        <v>37</v>
      </c>
      <c r="J205">
        <v>12</v>
      </c>
      <c r="M205">
        <v>228</v>
      </c>
      <c r="N205">
        <v>104</v>
      </c>
      <c r="O205">
        <v>35955855.855855852</v>
      </c>
      <c r="P205">
        <v>27657657.657657657</v>
      </c>
      <c r="Q205">
        <v>261</v>
      </c>
      <c r="R205">
        <v>185</v>
      </c>
      <c r="S205">
        <v>49464466.666666664</v>
      </c>
      <c r="T205">
        <v>48262450.45045045</v>
      </c>
      <c r="U205">
        <v>31629052.252252251</v>
      </c>
      <c r="V205">
        <v>24145045.045045044</v>
      </c>
      <c r="W205">
        <v>7085</v>
      </c>
      <c r="X205">
        <v>6927</v>
      </c>
    </row>
    <row r="206" spans="1:24">
      <c r="A206" s="7" t="s">
        <v>300</v>
      </c>
      <c r="B206" s="16" t="s">
        <v>290</v>
      </c>
      <c r="C206">
        <v>278390130.35285938</v>
      </c>
      <c r="D206">
        <v>260041991.07892537</v>
      </c>
      <c r="E206">
        <v>1116666.6666666679</v>
      </c>
      <c r="F206">
        <v>4520720.7207207214</v>
      </c>
      <c r="G206">
        <v>129</v>
      </c>
      <c r="H206">
        <v>74</v>
      </c>
      <c r="I206">
        <v>20</v>
      </c>
      <c r="J206">
        <v>18</v>
      </c>
      <c r="M206">
        <v>138</v>
      </c>
      <c r="N206">
        <v>89</v>
      </c>
      <c r="O206">
        <v>28244594.594594598</v>
      </c>
      <c r="P206">
        <v>39754061.261261262</v>
      </c>
      <c r="Q206">
        <v>217</v>
      </c>
      <c r="R206">
        <v>80</v>
      </c>
      <c r="S206">
        <v>39015090.090090089</v>
      </c>
      <c r="T206">
        <v>36850816.216216214</v>
      </c>
      <c r="U206">
        <v>26901351.351351351</v>
      </c>
      <c r="V206">
        <v>39519819.819819815</v>
      </c>
      <c r="W206">
        <v>4426</v>
      </c>
      <c r="X206">
        <v>4376</v>
      </c>
    </row>
    <row r="207" spans="1:24">
      <c r="A207" s="7" t="s">
        <v>301</v>
      </c>
      <c r="B207" s="16" t="s">
        <v>80</v>
      </c>
      <c r="C207">
        <v>412360081.85239553</v>
      </c>
      <c r="D207">
        <v>381848861.60841209</v>
      </c>
      <c r="E207">
        <v>1358108.1081081091</v>
      </c>
      <c r="F207">
        <v>4676351.3513513524</v>
      </c>
      <c r="G207">
        <v>123</v>
      </c>
      <c r="H207">
        <v>63</v>
      </c>
      <c r="I207">
        <v>11</v>
      </c>
      <c r="J207">
        <v>15</v>
      </c>
      <c r="M207">
        <v>131</v>
      </c>
      <c r="N207">
        <v>76</v>
      </c>
      <c r="O207">
        <v>35846576.576576576</v>
      </c>
      <c r="P207">
        <v>57471171.171171166</v>
      </c>
      <c r="Q207">
        <v>119</v>
      </c>
      <c r="R207">
        <v>155</v>
      </c>
      <c r="S207">
        <v>89926400.9009009</v>
      </c>
      <c r="T207">
        <v>79887259.459459454</v>
      </c>
      <c r="U207">
        <v>34160450.45045045</v>
      </c>
      <c r="V207">
        <v>55159009.009009011</v>
      </c>
      <c r="W207">
        <v>5701</v>
      </c>
      <c r="X207">
        <v>5687</v>
      </c>
    </row>
    <row r="208" spans="1:24">
      <c r="A208" s="7" t="s">
        <v>302</v>
      </c>
      <c r="B208" s="16" t="s">
        <v>72</v>
      </c>
      <c r="C208">
        <v>576484533.14348865</v>
      </c>
      <c r="D208">
        <v>571133937.69720268</v>
      </c>
      <c r="E208">
        <v>215315.315315318</v>
      </c>
      <c r="F208">
        <v>1483783.783783786</v>
      </c>
      <c r="G208">
        <v>90</v>
      </c>
      <c r="H208">
        <v>130</v>
      </c>
      <c r="I208">
        <v>17</v>
      </c>
      <c r="J208">
        <v>17</v>
      </c>
      <c r="K208">
        <v>3</v>
      </c>
      <c r="M208">
        <v>96</v>
      </c>
      <c r="N208">
        <v>145</v>
      </c>
      <c r="O208">
        <v>38449549.54954955</v>
      </c>
      <c r="P208">
        <v>35995495.495495498</v>
      </c>
      <c r="Q208">
        <v>77</v>
      </c>
      <c r="R208">
        <v>51</v>
      </c>
      <c r="S208">
        <v>77329990.990990996</v>
      </c>
      <c r="T208">
        <v>83668162.162162155</v>
      </c>
      <c r="U208">
        <v>30718468.468468469</v>
      </c>
      <c r="V208">
        <v>29244324.324324325</v>
      </c>
      <c r="W208">
        <v>9056</v>
      </c>
      <c r="X208">
        <v>9065</v>
      </c>
    </row>
    <row r="209" spans="1:24">
      <c r="A209" s="7" t="s">
        <v>303</v>
      </c>
      <c r="B209" s="16" t="s">
        <v>304</v>
      </c>
      <c r="C209">
        <v>1915074.7059990149</v>
      </c>
      <c r="D209">
        <v>1984650.270162951</v>
      </c>
      <c r="S209">
        <v>863738.73873873905</v>
      </c>
      <c r="T209">
        <v>725315.31531531503</v>
      </c>
      <c r="W209">
        <v>70</v>
      </c>
      <c r="X209">
        <v>76</v>
      </c>
    </row>
    <row r="210" spans="1:24">
      <c r="A210" s="7" t="s">
        <v>305</v>
      </c>
      <c r="B210" s="16" t="s">
        <v>117</v>
      </c>
      <c r="C210">
        <v>87767019.774815187</v>
      </c>
      <c r="D210">
        <v>75706444.457225427</v>
      </c>
      <c r="E210">
        <v>211477477.47747746</v>
      </c>
      <c r="F210">
        <v>104972072.07207206</v>
      </c>
      <c r="G210">
        <v>16</v>
      </c>
      <c r="H210">
        <v>28</v>
      </c>
      <c r="I210">
        <v>6</v>
      </c>
      <c r="J210">
        <v>6</v>
      </c>
      <c r="M210">
        <v>19</v>
      </c>
      <c r="N210">
        <v>40</v>
      </c>
      <c r="O210">
        <v>11218333.333333332</v>
      </c>
      <c r="P210">
        <v>6325135.1351351356</v>
      </c>
      <c r="Q210">
        <v>66</v>
      </c>
      <c r="R210">
        <v>21</v>
      </c>
      <c r="S210">
        <v>35249324.324324325</v>
      </c>
      <c r="T210">
        <v>32631351.351351351</v>
      </c>
      <c r="U210">
        <v>4377387.3873873875</v>
      </c>
      <c r="V210">
        <v>3471351.3513513519</v>
      </c>
      <c r="W210">
        <v>1742</v>
      </c>
      <c r="X210">
        <v>1806</v>
      </c>
    </row>
    <row r="211" spans="1:24">
      <c r="A211" s="7" t="s">
        <v>306</v>
      </c>
      <c r="B211" s="16" t="s">
        <v>307</v>
      </c>
      <c r="C211">
        <v>96615129.586157337</v>
      </c>
      <c r="D211">
        <v>94981346.559917241</v>
      </c>
      <c r="E211">
        <v>43243.243243243996</v>
      </c>
      <c r="F211">
        <v>392792.79279279598</v>
      </c>
      <c r="G211">
        <v>50</v>
      </c>
      <c r="H211">
        <v>43</v>
      </c>
      <c r="J211">
        <v>0</v>
      </c>
      <c r="M211">
        <v>55</v>
      </c>
      <c r="N211">
        <v>60</v>
      </c>
      <c r="O211">
        <v>1545225.2252252239</v>
      </c>
      <c r="P211">
        <v>1361261.2612612641</v>
      </c>
      <c r="Q211">
        <v>35</v>
      </c>
      <c r="R211">
        <v>24</v>
      </c>
      <c r="S211">
        <v>48737693.693693697</v>
      </c>
      <c r="T211">
        <v>51392558.558558561</v>
      </c>
      <c r="U211">
        <v>1334954.9549549541</v>
      </c>
      <c r="V211">
        <v>1260720.7207207209</v>
      </c>
      <c r="W211">
        <v>4544</v>
      </c>
      <c r="X211">
        <v>4424</v>
      </c>
    </row>
    <row r="212" spans="1:24">
      <c r="A212" s="7" t="s">
        <v>308</v>
      </c>
      <c r="B212" s="16" t="s">
        <v>140</v>
      </c>
      <c r="C212">
        <v>598702213.79166853</v>
      </c>
      <c r="D212">
        <v>610416685.01474476</v>
      </c>
      <c r="E212">
        <v>1238198.1981982009</v>
      </c>
      <c r="F212">
        <v>3161261.2612612671</v>
      </c>
      <c r="G212">
        <v>45</v>
      </c>
      <c r="H212">
        <v>89</v>
      </c>
      <c r="I212">
        <v>11</v>
      </c>
      <c r="J212">
        <v>18</v>
      </c>
      <c r="M212">
        <v>59</v>
      </c>
      <c r="N212">
        <v>107</v>
      </c>
      <c r="O212">
        <v>96011441.441441447</v>
      </c>
      <c r="P212">
        <v>116294144.14414415</v>
      </c>
      <c r="Q212">
        <v>36</v>
      </c>
      <c r="R212">
        <v>270</v>
      </c>
      <c r="S212">
        <v>128292385.58558558</v>
      </c>
      <c r="T212">
        <v>135627445.94594595</v>
      </c>
      <c r="U212">
        <v>64775855.855855852</v>
      </c>
      <c r="V212">
        <v>65970270.270270273</v>
      </c>
      <c r="W212">
        <v>7980</v>
      </c>
      <c r="X212">
        <v>8098</v>
      </c>
    </row>
    <row r="213" spans="1:24">
      <c r="A213" s="7" t="s">
        <v>309</v>
      </c>
      <c r="B213" s="16" t="s">
        <v>132</v>
      </c>
      <c r="C213">
        <v>706173667.20732975</v>
      </c>
      <c r="D213">
        <v>607510280.72184503</v>
      </c>
      <c r="E213">
        <v>9991891.8918918911</v>
      </c>
      <c r="F213">
        <v>24001801.801801804</v>
      </c>
      <c r="G213">
        <v>217</v>
      </c>
      <c r="H213">
        <v>159</v>
      </c>
      <c r="I213">
        <v>3</v>
      </c>
      <c r="J213">
        <v>3</v>
      </c>
      <c r="M213">
        <v>246</v>
      </c>
      <c r="N213">
        <v>196</v>
      </c>
      <c r="O213">
        <v>44481756.75675676</v>
      </c>
      <c r="P213">
        <v>28946171.171171177</v>
      </c>
      <c r="Q213">
        <v>112</v>
      </c>
      <c r="R213">
        <v>47</v>
      </c>
      <c r="S213">
        <v>184249846.84684685</v>
      </c>
      <c r="T213">
        <v>163449954.95495495</v>
      </c>
      <c r="U213">
        <v>39414009.009009011</v>
      </c>
      <c r="V213">
        <v>19970360.360360362</v>
      </c>
      <c r="W213">
        <v>11740</v>
      </c>
      <c r="X213">
        <v>12188</v>
      </c>
    </row>
    <row r="214" spans="1:24">
      <c r="A214" s="7" t="s">
        <v>310</v>
      </c>
      <c r="B214" s="16" t="s">
        <v>72</v>
      </c>
      <c r="C214">
        <v>1040343848.7224691</v>
      </c>
      <c r="D214">
        <v>974632505.82320678</v>
      </c>
      <c r="E214">
        <v>2869684.6846846938</v>
      </c>
      <c r="F214">
        <v>7592567.5675675729</v>
      </c>
      <c r="G214">
        <v>238</v>
      </c>
      <c r="H214">
        <v>227</v>
      </c>
      <c r="I214">
        <v>52</v>
      </c>
      <c r="J214">
        <v>59</v>
      </c>
      <c r="K214">
        <v>1</v>
      </c>
      <c r="M214">
        <v>268</v>
      </c>
      <c r="N214">
        <v>279</v>
      </c>
      <c r="O214">
        <v>149718198.1981982</v>
      </c>
      <c r="P214">
        <v>143486486.48648649</v>
      </c>
      <c r="Q214">
        <v>248</v>
      </c>
      <c r="R214">
        <v>186</v>
      </c>
      <c r="S214">
        <v>250292736.93693691</v>
      </c>
      <c r="T214">
        <v>246701590.99099097</v>
      </c>
      <c r="U214">
        <v>130844954.95495497</v>
      </c>
      <c r="V214">
        <v>127810223.42342342</v>
      </c>
      <c r="W214">
        <v>17118</v>
      </c>
      <c r="X214">
        <v>16698</v>
      </c>
    </row>
    <row r="215" spans="1:24">
      <c r="A215" s="7" t="s">
        <v>311</v>
      </c>
      <c r="B215" s="16" t="s">
        <v>62</v>
      </c>
      <c r="C215">
        <v>180544666.12484124</v>
      </c>
      <c r="D215">
        <v>173372684.30538362</v>
      </c>
      <c r="E215">
        <v>213513.513513515</v>
      </c>
      <c r="F215">
        <v>1790990.9909909919</v>
      </c>
      <c r="G215">
        <v>25</v>
      </c>
      <c r="H215">
        <v>18</v>
      </c>
      <c r="I215">
        <v>8</v>
      </c>
      <c r="J215">
        <v>6</v>
      </c>
      <c r="M215">
        <v>30</v>
      </c>
      <c r="N215">
        <v>19</v>
      </c>
      <c r="O215">
        <v>28210450.450450446</v>
      </c>
      <c r="P215">
        <v>34293873.873873875</v>
      </c>
      <c r="Q215">
        <v>118</v>
      </c>
      <c r="R215">
        <v>49</v>
      </c>
      <c r="S215">
        <v>48961522.522522517</v>
      </c>
      <c r="T215">
        <v>47390297.297297299</v>
      </c>
      <c r="U215">
        <v>29583513.513513513</v>
      </c>
      <c r="V215">
        <v>29363513.513513517</v>
      </c>
      <c r="W215">
        <v>2292</v>
      </c>
      <c r="X215">
        <v>2308</v>
      </c>
    </row>
    <row r="216" spans="1:24">
      <c r="A216" s="7" t="s">
        <v>312</v>
      </c>
      <c r="B216" s="16" t="s">
        <v>89</v>
      </c>
      <c r="C216">
        <v>58898069.587516256</v>
      </c>
      <c r="D216">
        <v>59819168.869633362</v>
      </c>
      <c r="E216">
        <v>44144.144144145997</v>
      </c>
      <c r="F216">
        <v>1034234.234234233</v>
      </c>
      <c r="G216">
        <v>11</v>
      </c>
      <c r="H216">
        <v>14</v>
      </c>
      <c r="I216">
        <v>8</v>
      </c>
      <c r="J216">
        <v>14</v>
      </c>
      <c r="M216">
        <v>13</v>
      </c>
      <c r="N216">
        <v>20</v>
      </c>
      <c r="O216">
        <v>4017387.3873873861</v>
      </c>
      <c r="P216">
        <v>8554594.5945945941</v>
      </c>
      <c r="Q216">
        <v>52</v>
      </c>
      <c r="R216">
        <v>111</v>
      </c>
      <c r="S216">
        <v>17442477.477477476</v>
      </c>
      <c r="T216">
        <v>20447504.504504506</v>
      </c>
      <c r="U216">
        <v>3432252.252252249</v>
      </c>
      <c r="V216">
        <v>8896396.3963963985</v>
      </c>
      <c r="W216">
        <v>1194</v>
      </c>
      <c r="X216">
        <v>1197</v>
      </c>
    </row>
    <row r="217" spans="1:24">
      <c r="A217" s="7" t="s">
        <v>313</v>
      </c>
      <c r="B217" s="16" t="s">
        <v>92</v>
      </c>
      <c r="C217">
        <v>26838940.057602078</v>
      </c>
      <c r="D217">
        <v>26512449.538986411</v>
      </c>
      <c r="E217">
        <v>1801.801801802</v>
      </c>
      <c r="F217">
        <v>171171.17117117101</v>
      </c>
      <c r="G217">
        <v>4</v>
      </c>
      <c r="H217">
        <v>4</v>
      </c>
      <c r="I217">
        <v>1</v>
      </c>
      <c r="J217">
        <v>0</v>
      </c>
      <c r="M217">
        <v>6</v>
      </c>
      <c r="N217">
        <v>5</v>
      </c>
      <c r="O217">
        <v>28828.828828828999</v>
      </c>
      <c r="P217">
        <v>1387387.387387387</v>
      </c>
      <c r="Q217">
        <v>1</v>
      </c>
      <c r="S217">
        <v>2057072.072072072</v>
      </c>
      <c r="T217">
        <v>1966351.351351351</v>
      </c>
      <c r="U217">
        <v>27027.027027027001</v>
      </c>
      <c r="V217">
        <v>1361261.2612612611</v>
      </c>
      <c r="W217">
        <v>566</v>
      </c>
      <c r="X217">
        <v>531</v>
      </c>
    </row>
    <row r="218" spans="1:24">
      <c r="A218" s="7" t="s">
        <v>314</v>
      </c>
      <c r="B218" s="16" t="s">
        <v>315</v>
      </c>
      <c r="C218">
        <v>216062966.67062885</v>
      </c>
      <c r="D218">
        <v>200727740.68491247</v>
      </c>
      <c r="E218">
        <v>913513.51351351303</v>
      </c>
      <c r="F218">
        <v>828378.37837837799</v>
      </c>
      <c r="G218">
        <v>65</v>
      </c>
      <c r="H218">
        <v>41</v>
      </c>
      <c r="I218">
        <v>1</v>
      </c>
      <c r="J218">
        <v>4</v>
      </c>
      <c r="M218">
        <v>73</v>
      </c>
      <c r="N218">
        <v>48</v>
      </c>
      <c r="O218">
        <v>13358558.558558555</v>
      </c>
      <c r="P218">
        <v>24743243.243243244</v>
      </c>
      <c r="Q218">
        <v>28</v>
      </c>
      <c r="S218">
        <v>34776909.909909911</v>
      </c>
      <c r="T218">
        <v>31216160.360360362</v>
      </c>
      <c r="U218">
        <v>12589459.459459459</v>
      </c>
      <c r="V218">
        <v>24572972.972972974</v>
      </c>
      <c r="W218">
        <v>3463</v>
      </c>
      <c r="X218">
        <v>3493</v>
      </c>
    </row>
    <row r="219" spans="1:24">
      <c r="A219" s="7" t="s">
        <v>316</v>
      </c>
      <c r="B219" s="16" t="s">
        <v>62</v>
      </c>
      <c r="C219">
        <v>336710335.21701968</v>
      </c>
      <c r="D219">
        <v>340086068.1749137</v>
      </c>
      <c r="E219">
        <v>1341891.891891896</v>
      </c>
      <c r="F219">
        <v>6781981.9819819853</v>
      </c>
      <c r="G219">
        <v>73</v>
      </c>
      <c r="H219">
        <v>206</v>
      </c>
      <c r="I219">
        <v>16</v>
      </c>
      <c r="J219">
        <v>16</v>
      </c>
      <c r="K219">
        <v>1</v>
      </c>
      <c r="M219">
        <v>103</v>
      </c>
      <c r="N219">
        <v>274</v>
      </c>
      <c r="O219">
        <v>23503243.24324324</v>
      </c>
      <c r="P219">
        <v>55788828.828828834</v>
      </c>
      <c r="Q219">
        <v>204</v>
      </c>
      <c r="R219">
        <v>177</v>
      </c>
      <c r="S219">
        <v>118848819.81981982</v>
      </c>
      <c r="T219">
        <v>120221468.46846846</v>
      </c>
      <c r="U219">
        <v>24018468.468468465</v>
      </c>
      <c r="V219">
        <v>53440360.360360354</v>
      </c>
      <c r="W219">
        <v>8872</v>
      </c>
      <c r="X219">
        <v>8784</v>
      </c>
    </row>
    <row r="220" spans="1:24">
      <c r="A220" s="7" t="s">
        <v>317</v>
      </c>
      <c r="B220" s="16" t="s">
        <v>62</v>
      </c>
      <c r="C220">
        <v>338010219.75759912</v>
      </c>
      <c r="D220">
        <v>315065232.32131481</v>
      </c>
      <c r="E220">
        <v>1168918.9189189221</v>
      </c>
      <c r="F220">
        <v>3000000.0000000042</v>
      </c>
      <c r="G220">
        <v>108</v>
      </c>
      <c r="H220">
        <v>54</v>
      </c>
      <c r="I220">
        <v>19</v>
      </c>
      <c r="J220">
        <v>14</v>
      </c>
      <c r="K220">
        <v>2</v>
      </c>
      <c r="M220">
        <v>141</v>
      </c>
      <c r="N220">
        <v>65</v>
      </c>
      <c r="O220">
        <v>28135945.945945945</v>
      </c>
      <c r="P220">
        <v>47941081.081081077</v>
      </c>
      <c r="Q220">
        <v>24</v>
      </c>
      <c r="R220">
        <v>122</v>
      </c>
      <c r="S220">
        <v>115010630.63063063</v>
      </c>
      <c r="T220">
        <v>109401639.63963963</v>
      </c>
      <c r="U220">
        <v>28692342.342342343</v>
      </c>
      <c r="V220">
        <v>41715675.675675683</v>
      </c>
      <c r="W220">
        <v>5602</v>
      </c>
      <c r="X220">
        <v>5508</v>
      </c>
    </row>
    <row r="221" spans="1:24">
      <c r="A221" s="7" t="s">
        <v>318</v>
      </c>
      <c r="B221" s="16" t="s">
        <v>78</v>
      </c>
      <c r="C221">
        <v>351329998.22128344</v>
      </c>
      <c r="D221">
        <v>330326811.81974989</v>
      </c>
      <c r="E221">
        <v>3652117.117117119</v>
      </c>
      <c r="F221">
        <v>6303378.378378382</v>
      </c>
      <c r="G221">
        <v>139</v>
      </c>
      <c r="H221">
        <v>188</v>
      </c>
      <c r="I221">
        <v>18</v>
      </c>
      <c r="J221">
        <v>27</v>
      </c>
      <c r="M221">
        <v>156</v>
      </c>
      <c r="N221">
        <v>258</v>
      </c>
      <c r="O221">
        <v>69500360.360360354</v>
      </c>
      <c r="P221">
        <v>87379729.729729727</v>
      </c>
      <c r="Q221">
        <v>175</v>
      </c>
      <c r="R221">
        <v>231</v>
      </c>
      <c r="S221">
        <v>149926441.44144145</v>
      </c>
      <c r="T221">
        <v>143959941.44144145</v>
      </c>
      <c r="U221">
        <v>70122432.432432428</v>
      </c>
      <c r="V221">
        <v>86760090.090090081</v>
      </c>
      <c r="W221">
        <v>8884</v>
      </c>
      <c r="X221">
        <v>8797</v>
      </c>
    </row>
    <row r="222" spans="1:24">
      <c r="A222" s="7" t="s">
        <v>319</v>
      </c>
      <c r="B222" s="16" t="s">
        <v>78</v>
      </c>
      <c r="C222">
        <v>208258306.97914276</v>
      </c>
      <c r="D222">
        <v>200295581.32983512</v>
      </c>
      <c r="E222">
        <v>2904684.6846846859</v>
      </c>
      <c r="F222">
        <v>3554954.9549549562</v>
      </c>
      <c r="G222">
        <v>86</v>
      </c>
      <c r="H222">
        <v>98</v>
      </c>
      <c r="I222">
        <v>1</v>
      </c>
      <c r="J222">
        <v>5</v>
      </c>
      <c r="K222">
        <v>2</v>
      </c>
      <c r="M222">
        <v>131</v>
      </c>
      <c r="N222">
        <v>179</v>
      </c>
      <c r="O222">
        <v>21891171.171171173</v>
      </c>
      <c r="P222">
        <v>17870270.270270269</v>
      </c>
      <c r="Q222">
        <v>149</v>
      </c>
      <c r="R222">
        <v>144</v>
      </c>
      <c r="S222">
        <v>73370511.711711705</v>
      </c>
      <c r="T222">
        <v>74588306.306306303</v>
      </c>
      <c r="U222">
        <v>20102522.52252252</v>
      </c>
      <c r="V222">
        <v>16456396.3963964</v>
      </c>
      <c r="W222">
        <v>5784</v>
      </c>
      <c r="X222">
        <v>5922</v>
      </c>
    </row>
    <row r="223" spans="1:24">
      <c r="A223" s="7" t="s">
        <v>320</v>
      </c>
      <c r="B223" s="16" t="s">
        <v>121</v>
      </c>
      <c r="C223">
        <v>1462798.3567454619</v>
      </c>
      <c r="D223">
        <v>1543644.43606574</v>
      </c>
      <c r="G223">
        <v>3</v>
      </c>
      <c r="M223">
        <v>3</v>
      </c>
      <c r="S223">
        <v>530675.67567567597</v>
      </c>
      <c r="T223">
        <v>206846.84684684701</v>
      </c>
      <c r="W223">
        <v>84</v>
      </c>
      <c r="X223">
        <v>85</v>
      </c>
    </row>
    <row r="224" spans="1:24">
      <c r="A224" s="7" t="s">
        <v>321</v>
      </c>
      <c r="B224" s="16" t="s">
        <v>224</v>
      </c>
      <c r="C224">
        <v>261379690.39878112</v>
      </c>
      <c r="D224">
        <v>228492341.23462173</v>
      </c>
      <c r="E224">
        <v>1801.801801802</v>
      </c>
      <c r="F224">
        <v>69369.369369370004</v>
      </c>
      <c r="G224">
        <v>57</v>
      </c>
      <c r="H224">
        <v>48</v>
      </c>
      <c r="I224">
        <v>1</v>
      </c>
      <c r="J224">
        <v>1</v>
      </c>
      <c r="M224">
        <v>62</v>
      </c>
      <c r="N224">
        <v>61</v>
      </c>
      <c r="O224">
        <v>18005945.945945945</v>
      </c>
      <c r="P224">
        <v>10652432.432432432</v>
      </c>
      <c r="Q224">
        <v>51</v>
      </c>
      <c r="R224">
        <v>51</v>
      </c>
      <c r="S224">
        <v>95230090.090090096</v>
      </c>
      <c r="T224">
        <v>92183854.054054052</v>
      </c>
      <c r="U224">
        <v>18522522.52252252</v>
      </c>
      <c r="V224">
        <v>10367657.657657661</v>
      </c>
      <c r="W224">
        <v>3917</v>
      </c>
      <c r="X224">
        <v>4026</v>
      </c>
    </row>
    <row r="225" spans="1:24">
      <c r="A225" s="7" t="s">
        <v>322</v>
      </c>
      <c r="B225" s="16" t="s">
        <v>224</v>
      </c>
      <c r="C225">
        <v>188512737.07402381</v>
      </c>
      <c r="D225">
        <v>162927651.09927392</v>
      </c>
      <c r="E225">
        <v>305405.40540540701</v>
      </c>
      <c r="F225">
        <v>90990.990990992999</v>
      </c>
      <c r="G225">
        <v>27</v>
      </c>
      <c r="H225">
        <v>11</v>
      </c>
      <c r="I225">
        <v>5</v>
      </c>
      <c r="J225">
        <v>0</v>
      </c>
      <c r="M225">
        <v>28</v>
      </c>
      <c r="N225">
        <v>14</v>
      </c>
      <c r="O225">
        <v>25766126.126126125</v>
      </c>
      <c r="P225">
        <v>19459639.639639638</v>
      </c>
      <c r="Q225">
        <v>56</v>
      </c>
      <c r="R225">
        <v>105</v>
      </c>
      <c r="S225">
        <v>53824054.054054059</v>
      </c>
      <c r="T225">
        <v>49686063.063063063</v>
      </c>
      <c r="U225">
        <v>21974774.774774775</v>
      </c>
      <c r="V225">
        <v>14379819.819819819</v>
      </c>
      <c r="W225">
        <v>2240</v>
      </c>
      <c r="X225">
        <v>2245</v>
      </c>
    </row>
    <row r="226" spans="1:24">
      <c r="A226" s="7" t="s">
        <v>323</v>
      </c>
      <c r="B226" s="16" t="s">
        <v>78</v>
      </c>
      <c r="C226">
        <v>253926773.14307454</v>
      </c>
      <c r="D226">
        <v>248081040.08421052</v>
      </c>
      <c r="E226">
        <v>790540.54054054106</v>
      </c>
      <c r="F226">
        <v>1381981.981981986</v>
      </c>
      <c r="G226">
        <v>99</v>
      </c>
      <c r="H226">
        <v>104</v>
      </c>
      <c r="I226">
        <v>11</v>
      </c>
      <c r="J226">
        <v>11</v>
      </c>
      <c r="M226">
        <v>112</v>
      </c>
      <c r="N226">
        <v>176</v>
      </c>
      <c r="O226">
        <v>27317567.567567568</v>
      </c>
      <c r="P226">
        <v>26291891.891891893</v>
      </c>
      <c r="Q226">
        <v>183</v>
      </c>
      <c r="R226">
        <v>145</v>
      </c>
      <c r="S226">
        <v>72087986.48648648</v>
      </c>
      <c r="T226">
        <v>73883972.972972974</v>
      </c>
      <c r="U226">
        <v>24374864.864864863</v>
      </c>
      <c r="V226">
        <v>25799369.369369369</v>
      </c>
      <c r="W226">
        <v>4603</v>
      </c>
      <c r="X226">
        <v>4656</v>
      </c>
    </row>
    <row r="227" spans="1:24">
      <c r="A227" s="7" t="s">
        <v>324</v>
      </c>
      <c r="B227" s="16" t="s">
        <v>108</v>
      </c>
      <c r="C227">
        <v>1627503405.2194395</v>
      </c>
      <c r="D227">
        <v>1589352382.4354401</v>
      </c>
      <c r="E227">
        <v>2016393535.1351352</v>
      </c>
      <c r="F227">
        <v>1828707021.6216216</v>
      </c>
      <c r="G227">
        <v>277</v>
      </c>
      <c r="H227">
        <v>449</v>
      </c>
      <c r="I227">
        <v>34</v>
      </c>
      <c r="J227">
        <v>47</v>
      </c>
      <c r="K227">
        <v>1</v>
      </c>
      <c r="M227">
        <v>522</v>
      </c>
      <c r="N227">
        <v>816</v>
      </c>
      <c r="O227">
        <v>646288378.37837839</v>
      </c>
      <c r="P227">
        <v>588322072.07207203</v>
      </c>
      <c r="Q227">
        <v>1178</v>
      </c>
      <c r="R227">
        <v>2535</v>
      </c>
      <c r="S227">
        <v>374947211.71171176</v>
      </c>
      <c r="T227">
        <v>744167117.11711705</v>
      </c>
      <c r="U227">
        <v>161016666.66666666</v>
      </c>
      <c r="V227">
        <v>138019729.72972974</v>
      </c>
      <c r="W227">
        <v>22219</v>
      </c>
      <c r="X227">
        <v>22372</v>
      </c>
    </row>
    <row r="228" spans="1:24">
      <c r="A228" s="7" t="s">
        <v>325</v>
      </c>
      <c r="B228" s="16" t="s">
        <v>224</v>
      </c>
      <c r="C228">
        <v>252541062.84970364</v>
      </c>
      <c r="D228">
        <v>229053400.4295693</v>
      </c>
      <c r="E228">
        <v>559099.09909909801</v>
      </c>
      <c r="F228">
        <v>709009.00900900899</v>
      </c>
      <c r="G228">
        <v>48</v>
      </c>
      <c r="H228">
        <v>38</v>
      </c>
      <c r="I228">
        <v>4</v>
      </c>
      <c r="J228">
        <v>2</v>
      </c>
      <c r="M228">
        <v>53</v>
      </c>
      <c r="N228">
        <v>40</v>
      </c>
      <c r="O228">
        <v>25569909.909909911</v>
      </c>
      <c r="P228">
        <v>19270810.810810808</v>
      </c>
      <c r="Q228">
        <v>19</v>
      </c>
      <c r="S228">
        <v>50917450.45045045</v>
      </c>
      <c r="T228">
        <v>48714801.801801801</v>
      </c>
      <c r="U228">
        <v>25273603.603603605</v>
      </c>
      <c r="V228">
        <v>18604594.59459459</v>
      </c>
      <c r="W228">
        <v>4265</v>
      </c>
      <c r="X228">
        <v>4375</v>
      </c>
    </row>
    <row r="229" spans="1:24">
      <c r="A229" s="7" t="s">
        <v>4</v>
      </c>
      <c r="B229" s="16" t="s">
        <v>158</v>
      </c>
      <c r="C229">
        <v>196015430.68474746</v>
      </c>
      <c r="D229">
        <v>199317366.47205752</v>
      </c>
      <c r="E229">
        <v>1290990.990990991</v>
      </c>
      <c r="F229">
        <v>3160360.360360363</v>
      </c>
      <c r="G229">
        <v>15</v>
      </c>
      <c r="H229">
        <v>17</v>
      </c>
      <c r="I229">
        <v>11</v>
      </c>
      <c r="J229">
        <v>3</v>
      </c>
      <c r="M229">
        <v>15</v>
      </c>
      <c r="N229">
        <v>21</v>
      </c>
      <c r="O229">
        <v>32396846.846846849</v>
      </c>
      <c r="P229">
        <v>33006306.306306303</v>
      </c>
      <c r="Q229">
        <v>125</v>
      </c>
      <c r="R229">
        <v>102</v>
      </c>
      <c r="S229">
        <v>73541351.351351365</v>
      </c>
      <c r="T229">
        <v>71316468.468468457</v>
      </c>
      <c r="U229">
        <v>33060180.180180181</v>
      </c>
      <c r="V229">
        <v>41532702.702702701</v>
      </c>
      <c r="W229">
        <v>3442</v>
      </c>
      <c r="X229">
        <v>3635</v>
      </c>
    </row>
    <row r="230" spans="1:24">
      <c r="A230" s="7" t="s">
        <v>34</v>
      </c>
      <c r="B230" s="16" t="s">
        <v>193</v>
      </c>
      <c r="E230">
        <v>246829366.66666666</v>
      </c>
      <c r="F230">
        <v>311498470.27027029</v>
      </c>
    </row>
    <row r="231" spans="1:24">
      <c r="A231" s="7" t="s">
        <v>326</v>
      </c>
      <c r="B231" s="16" t="s">
        <v>108</v>
      </c>
      <c r="C231">
        <v>934949752.71523726</v>
      </c>
      <c r="D231">
        <v>934187380.48920107</v>
      </c>
      <c r="E231">
        <v>833319415.31531537</v>
      </c>
      <c r="F231">
        <v>112186912.61261262</v>
      </c>
      <c r="G231">
        <v>368</v>
      </c>
      <c r="H231">
        <v>369</v>
      </c>
      <c r="I231">
        <v>47</v>
      </c>
      <c r="J231">
        <v>38</v>
      </c>
      <c r="M231">
        <v>648</v>
      </c>
      <c r="N231">
        <v>1342</v>
      </c>
      <c r="O231">
        <v>661520261.26126134</v>
      </c>
      <c r="P231">
        <v>600267589.1891892</v>
      </c>
      <c r="Q231">
        <v>1557</v>
      </c>
      <c r="R231">
        <v>1607</v>
      </c>
      <c r="S231">
        <v>275858558.55855858</v>
      </c>
      <c r="T231">
        <v>288223083.33333337</v>
      </c>
      <c r="U231">
        <v>167474864.86486486</v>
      </c>
      <c r="V231">
        <v>132276216.21621622</v>
      </c>
      <c r="W231">
        <v>19670</v>
      </c>
      <c r="X231">
        <v>20172</v>
      </c>
    </row>
    <row r="232" spans="1:24">
      <c r="A232" s="7" t="s">
        <v>327</v>
      </c>
      <c r="B232" s="16" t="s">
        <v>78</v>
      </c>
      <c r="C232">
        <v>97555069.174670428</v>
      </c>
      <c r="D232">
        <v>98441326.702237085</v>
      </c>
      <c r="E232">
        <v>158558.55855855899</v>
      </c>
      <c r="F232">
        <v>620720.72072072304</v>
      </c>
      <c r="G232">
        <v>42</v>
      </c>
      <c r="H232">
        <v>29</v>
      </c>
      <c r="I232">
        <v>3</v>
      </c>
      <c r="J232">
        <v>6</v>
      </c>
      <c r="M232">
        <v>43</v>
      </c>
      <c r="N232">
        <v>38</v>
      </c>
      <c r="O232">
        <v>6581981.9819819815</v>
      </c>
      <c r="P232">
        <v>8188288.2882882878</v>
      </c>
      <c r="Q232">
        <v>43</v>
      </c>
      <c r="R232">
        <v>62</v>
      </c>
      <c r="S232">
        <v>30048558.558558561</v>
      </c>
      <c r="T232">
        <v>30699180.180180181</v>
      </c>
      <c r="U232">
        <v>7629009.0090090102</v>
      </c>
      <c r="V232">
        <v>8226846.8468468459</v>
      </c>
      <c r="W232">
        <v>2306</v>
      </c>
      <c r="X232">
        <v>2084</v>
      </c>
    </row>
    <row r="233" spans="1:24">
      <c r="A233" s="7" t="s">
        <v>328</v>
      </c>
      <c r="B233" s="16" t="s">
        <v>121</v>
      </c>
      <c r="C233">
        <v>269702910.58313394</v>
      </c>
      <c r="D233">
        <v>250773690.9116556</v>
      </c>
      <c r="E233">
        <v>14872972.972972972</v>
      </c>
      <c r="F233">
        <v>6887612.6126126107</v>
      </c>
      <c r="G233">
        <v>94</v>
      </c>
      <c r="H233">
        <v>76</v>
      </c>
      <c r="I233">
        <v>15</v>
      </c>
      <c r="J233">
        <v>8</v>
      </c>
      <c r="M233">
        <v>103</v>
      </c>
      <c r="N233">
        <v>83</v>
      </c>
      <c r="O233">
        <v>15434234.234234236</v>
      </c>
      <c r="P233">
        <v>21823423.423423424</v>
      </c>
      <c r="Q233">
        <v>78</v>
      </c>
      <c r="R233">
        <v>152</v>
      </c>
      <c r="S233">
        <v>38524827.027027026</v>
      </c>
      <c r="T233">
        <v>39574730.630630635</v>
      </c>
      <c r="U233">
        <v>12615225.225225225</v>
      </c>
      <c r="V233">
        <v>17200720.72072072</v>
      </c>
      <c r="W233">
        <v>3403</v>
      </c>
      <c r="X233">
        <v>4158</v>
      </c>
    </row>
    <row r="234" spans="1:24">
      <c r="A234" s="7" t="s">
        <v>329</v>
      </c>
      <c r="B234" s="16" t="s">
        <v>330</v>
      </c>
      <c r="C234">
        <v>627456215.52273321</v>
      </c>
      <c r="D234">
        <v>612484393.55235851</v>
      </c>
      <c r="E234">
        <v>3852027.0270270281</v>
      </c>
      <c r="F234">
        <v>9716216.216216214</v>
      </c>
      <c r="G234">
        <v>302</v>
      </c>
      <c r="H234">
        <v>220</v>
      </c>
      <c r="I234">
        <v>22</v>
      </c>
      <c r="J234">
        <v>25</v>
      </c>
      <c r="K234">
        <v>12</v>
      </c>
      <c r="M234">
        <v>403</v>
      </c>
      <c r="N234">
        <v>375</v>
      </c>
      <c r="O234">
        <v>117460270.27027027</v>
      </c>
      <c r="P234">
        <v>89337117.117117122</v>
      </c>
      <c r="Q234">
        <v>444</v>
      </c>
      <c r="R234">
        <v>437</v>
      </c>
      <c r="S234">
        <v>131954090.0900901</v>
      </c>
      <c r="T234">
        <v>157023468.91891891</v>
      </c>
      <c r="U234">
        <v>119009232.43243243</v>
      </c>
      <c r="V234">
        <v>81734727.927927941</v>
      </c>
      <c r="W234">
        <v>14207</v>
      </c>
      <c r="X234">
        <v>14361</v>
      </c>
    </row>
    <row r="235" spans="1:24">
      <c r="A235" s="7" t="s">
        <v>331</v>
      </c>
      <c r="B235" s="16" t="s">
        <v>290</v>
      </c>
      <c r="C235">
        <v>919826358.86847472</v>
      </c>
      <c r="D235">
        <v>898336564.88079631</v>
      </c>
      <c r="E235">
        <v>1940540.5405405441</v>
      </c>
      <c r="F235">
        <v>9263063.0630630646</v>
      </c>
      <c r="G235">
        <v>294</v>
      </c>
      <c r="H235">
        <v>378</v>
      </c>
      <c r="I235">
        <v>47</v>
      </c>
      <c r="J235">
        <v>36</v>
      </c>
      <c r="K235">
        <v>19</v>
      </c>
      <c r="M235">
        <v>351</v>
      </c>
      <c r="N235">
        <v>559</v>
      </c>
      <c r="O235">
        <v>94434234.234234244</v>
      </c>
      <c r="P235">
        <v>162158558.55855855</v>
      </c>
      <c r="Q235">
        <v>416</v>
      </c>
      <c r="R235">
        <v>244</v>
      </c>
      <c r="S235">
        <v>172908198.1981982</v>
      </c>
      <c r="T235">
        <v>163349881.08108109</v>
      </c>
      <c r="U235">
        <v>88763827.027027026</v>
      </c>
      <c r="V235">
        <v>143950810.8108108</v>
      </c>
      <c r="W235">
        <v>17225</v>
      </c>
      <c r="X235">
        <v>17207</v>
      </c>
    </row>
    <row r="236" spans="1:24">
      <c r="A236" s="7" t="s">
        <v>332</v>
      </c>
      <c r="B236" s="16" t="s">
        <v>290</v>
      </c>
      <c r="C236">
        <v>679858449.68356287</v>
      </c>
      <c r="D236">
        <v>681426795.47998714</v>
      </c>
      <c r="E236">
        <v>3652702.7027027099</v>
      </c>
      <c r="F236">
        <v>10409684.684684692</v>
      </c>
      <c r="G236">
        <v>215</v>
      </c>
      <c r="H236">
        <v>190</v>
      </c>
      <c r="I236">
        <v>29</v>
      </c>
      <c r="J236">
        <v>32</v>
      </c>
      <c r="K236">
        <v>3</v>
      </c>
      <c r="M236">
        <v>333</v>
      </c>
      <c r="N236">
        <v>253</v>
      </c>
      <c r="O236">
        <v>85798648.648648649</v>
      </c>
      <c r="P236">
        <v>139506306.3063063</v>
      </c>
      <c r="Q236">
        <v>426</v>
      </c>
      <c r="R236">
        <v>175</v>
      </c>
      <c r="S236">
        <v>176640576.57657659</v>
      </c>
      <c r="T236">
        <v>185553927.92792794</v>
      </c>
      <c r="U236">
        <v>88476486.486486495</v>
      </c>
      <c r="V236">
        <v>138208648.64864865</v>
      </c>
      <c r="W236">
        <v>14804</v>
      </c>
      <c r="X236">
        <v>14740</v>
      </c>
    </row>
    <row r="237" spans="1:24">
      <c r="A237" s="7" t="s">
        <v>333</v>
      </c>
      <c r="B237" s="16" t="s">
        <v>60</v>
      </c>
      <c r="C237">
        <v>95544198.800594375</v>
      </c>
      <c r="D237">
        <v>93614510.304577276</v>
      </c>
      <c r="E237">
        <v>37145720.720720723</v>
      </c>
      <c r="F237">
        <v>38678378.378378376</v>
      </c>
      <c r="G237">
        <v>47</v>
      </c>
      <c r="H237">
        <v>94</v>
      </c>
      <c r="I237">
        <v>3</v>
      </c>
      <c r="J237">
        <v>7</v>
      </c>
      <c r="M237">
        <v>98</v>
      </c>
      <c r="N237">
        <v>159</v>
      </c>
      <c r="O237">
        <v>27980180.180180177</v>
      </c>
      <c r="P237">
        <v>41300900.9009009</v>
      </c>
      <c r="Q237">
        <v>55</v>
      </c>
      <c r="R237">
        <v>144</v>
      </c>
      <c r="S237">
        <v>33662252.252252251</v>
      </c>
      <c r="T237">
        <v>32603990.990990993</v>
      </c>
      <c r="U237">
        <v>21354504.504504506</v>
      </c>
      <c r="V237">
        <v>38366666.666666664</v>
      </c>
      <c r="W237">
        <v>2077</v>
      </c>
      <c r="X237">
        <v>1968</v>
      </c>
    </row>
    <row r="238" spans="1:24">
      <c r="A238" s="7" t="s">
        <v>334</v>
      </c>
      <c r="B238" s="16" t="s">
        <v>60</v>
      </c>
      <c r="C238">
        <v>12914496.405603494</v>
      </c>
      <c r="D238">
        <v>18178969.857813299</v>
      </c>
      <c r="E238">
        <v>130630.630630631</v>
      </c>
      <c r="F238">
        <v>243243.24324324299</v>
      </c>
      <c r="G238">
        <v>12</v>
      </c>
      <c r="H238">
        <v>5</v>
      </c>
      <c r="I238">
        <v>2</v>
      </c>
      <c r="J238">
        <v>4</v>
      </c>
      <c r="M238">
        <v>15</v>
      </c>
      <c r="N238">
        <v>8</v>
      </c>
      <c r="O238">
        <v>844144.14414414403</v>
      </c>
      <c r="P238">
        <v>631981.98198198201</v>
      </c>
      <c r="Q238">
        <v>13</v>
      </c>
      <c r="R238">
        <v>12</v>
      </c>
      <c r="S238">
        <v>9365405.4054054059</v>
      </c>
      <c r="T238">
        <v>10143603.603603603</v>
      </c>
      <c r="U238">
        <v>721621.62162162201</v>
      </c>
      <c r="V238">
        <v>850720.72072072094</v>
      </c>
      <c r="W238">
        <v>921</v>
      </c>
      <c r="X238">
        <v>943</v>
      </c>
    </row>
    <row r="239" spans="1:24">
      <c r="A239" s="7" t="s">
        <v>335</v>
      </c>
      <c r="B239" s="16" t="s">
        <v>121</v>
      </c>
      <c r="C239">
        <v>220878.14169358299</v>
      </c>
      <c r="D239">
        <v>1930662.0432549771</v>
      </c>
      <c r="G239">
        <v>1</v>
      </c>
      <c r="M239">
        <v>1</v>
      </c>
      <c r="N239">
        <v>1</v>
      </c>
      <c r="S239">
        <v>82207.207207207</v>
      </c>
      <c r="T239">
        <v>97747.747747747999</v>
      </c>
      <c r="W239">
        <v>142</v>
      </c>
      <c r="X239">
        <v>164</v>
      </c>
    </row>
    <row r="240" spans="1:24">
      <c r="A240" s="7" t="s">
        <v>336</v>
      </c>
      <c r="B240" s="16" t="s">
        <v>121</v>
      </c>
      <c r="C240">
        <v>3382554.0960872779</v>
      </c>
      <c r="D240">
        <v>3284277.8670006958</v>
      </c>
      <c r="G240">
        <v>3</v>
      </c>
      <c r="H240">
        <v>2</v>
      </c>
      <c r="M240">
        <v>4</v>
      </c>
      <c r="N240">
        <v>2</v>
      </c>
      <c r="S240">
        <v>759279.27927927906</v>
      </c>
      <c r="T240">
        <v>609504.50450450496</v>
      </c>
      <c r="W240">
        <v>109</v>
      </c>
      <c r="X240">
        <v>91</v>
      </c>
    </row>
    <row r="241" spans="1:24">
      <c r="A241" s="7" t="s">
        <v>337</v>
      </c>
      <c r="B241" s="16" t="s">
        <v>121</v>
      </c>
      <c r="C241">
        <v>2873753.4120202241</v>
      </c>
      <c r="D241">
        <v>2632936.1217002939</v>
      </c>
      <c r="G241">
        <v>2</v>
      </c>
      <c r="H241">
        <v>1</v>
      </c>
      <c r="M241">
        <v>2</v>
      </c>
      <c r="N241">
        <v>1</v>
      </c>
      <c r="S241">
        <v>121216.21621621599</v>
      </c>
      <c r="T241">
        <v>29504.504504504999</v>
      </c>
      <c r="W241">
        <v>140</v>
      </c>
      <c r="X241">
        <v>147</v>
      </c>
    </row>
    <row r="242" spans="1:24">
      <c r="A242" s="7" t="s">
        <v>338</v>
      </c>
      <c r="B242" s="16" t="s">
        <v>140</v>
      </c>
      <c r="C242">
        <v>1052599037.583207</v>
      </c>
      <c r="D242">
        <v>1026633479.9104509</v>
      </c>
      <c r="E242">
        <v>1199234.234234239</v>
      </c>
      <c r="F242">
        <v>4430630.6306306347</v>
      </c>
      <c r="G242">
        <v>295</v>
      </c>
      <c r="H242">
        <v>312</v>
      </c>
      <c r="I242">
        <v>32</v>
      </c>
      <c r="J242">
        <v>32</v>
      </c>
      <c r="K242">
        <v>1</v>
      </c>
      <c r="M242">
        <v>315</v>
      </c>
      <c r="N242">
        <v>443</v>
      </c>
      <c r="O242">
        <v>108482800.9009009</v>
      </c>
      <c r="P242">
        <v>102367387.38738739</v>
      </c>
      <c r="Q242">
        <v>333</v>
      </c>
      <c r="R242">
        <v>278</v>
      </c>
      <c r="S242">
        <v>205939178.37837836</v>
      </c>
      <c r="T242">
        <v>205183673.87387389</v>
      </c>
      <c r="U242">
        <v>92087747.747747749</v>
      </c>
      <c r="V242">
        <v>91135405.405405402</v>
      </c>
      <c r="W242">
        <v>16117</v>
      </c>
      <c r="X242">
        <v>16189</v>
      </c>
    </row>
    <row r="243" spans="1:24">
      <c r="A243" s="7" t="s">
        <v>339</v>
      </c>
      <c r="B243" s="16" t="s">
        <v>121</v>
      </c>
      <c r="C243">
        <v>170221584.33000639</v>
      </c>
      <c r="D243">
        <v>154042140.10726416</v>
      </c>
      <c r="E243">
        <v>3603.603603604</v>
      </c>
      <c r="G243">
        <v>103</v>
      </c>
      <c r="H243">
        <v>47</v>
      </c>
      <c r="I243">
        <v>0</v>
      </c>
      <c r="J243">
        <v>1</v>
      </c>
      <c r="M243">
        <v>107</v>
      </c>
      <c r="N243">
        <v>51</v>
      </c>
      <c r="O243">
        <v>165765.765765766</v>
      </c>
      <c r="Q243">
        <v>18</v>
      </c>
      <c r="S243">
        <v>12110981.981981982</v>
      </c>
      <c r="T243">
        <v>10190396.396396397</v>
      </c>
      <c r="U243">
        <v>162162.16216216201</v>
      </c>
      <c r="W243">
        <v>2454</v>
      </c>
      <c r="X243">
        <v>2424</v>
      </c>
    </row>
    <row r="244" spans="1:24">
      <c r="A244" s="7" t="s">
        <v>340</v>
      </c>
      <c r="B244" s="16" t="s">
        <v>140</v>
      </c>
      <c r="C244">
        <v>527245589.54149836</v>
      </c>
      <c r="D244">
        <v>541726940.36841846</v>
      </c>
      <c r="E244">
        <v>667342.34234234504</v>
      </c>
      <c r="F244">
        <v>3781981.9819819862</v>
      </c>
      <c r="G244">
        <v>78</v>
      </c>
      <c r="H244">
        <v>104</v>
      </c>
      <c r="I244">
        <v>20</v>
      </c>
      <c r="J244">
        <v>11</v>
      </c>
      <c r="K244">
        <v>6</v>
      </c>
      <c r="M244">
        <v>130</v>
      </c>
      <c r="N244">
        <v>140</v>
      </c>
      <c r="O244">
        <v>86937387.387387395</v>
      </c>
      <c r="P244">
        <v>98583963.963963971</v>
      </c>
      <c r="Q244">
        <v>72</v>
      </c>
      <c r="R244">
        <v>302</v>
      </c>
      <c r="S244">
        <v>148014207.2072072</v>
      </c>
      <c r="T244">
        <v>160714018.46846849</v>
      </c>
      <c r="U244">
        <v>83736036.036036029</v>
      </c>
      <c r="V244">
        <v>91674414.414414421</v>
      </c>
      <c r="W244">
        <v>8598</v>
      </c>
      <c r="X244">
        <v>8824</v>
      </c>
    </row>
    <row r="245" spans="1:24">
      <c r="A245" s="7" t="s">
        <v>341</v>
      </c>
      <c r="B245" s="16" t="s">
        <v>134</v>
      </c>
      <c r="C245">
        <v>67133108.50772433</v>
      </c>
      <c r="D245">
        <v>61818678.006234251</v>
      </c>
      <c r="E245">
        <v>5405.4054054059998</v>
      </c>
      <c r="F245">
        <v>54054.054054054002</v>
      </c>
      <c r="G245">
        <v>27</v>
      </c>
      <c r="H245">
        <v>13</v>
      </c>
      <c r="I245">
        <v>2</v>
      </c>
      <c r="J245">
        <v>1</v>
      </c>
      <c r="M245">
        <v>29</v>
      </c>
      <c r="N245">
        <v>13</v>
      </c>
      <c r="O245">
        <v>3158558.5585585581</v>
      </c>
      <c r="P245">
        <v>1765765.7657657659</v>
      </c>
      <c r="Q245">
        <v>25</v>
      </c>
      <c r="S245">
        <v>6140315.3153153164</v>
      </c>
      <c r="T245">
        <v>5793252.2522522518</v>
      </c>
      <c r="U245">
        <v>2002882.8828828831</v>
      </c>
      <c r="V245">
        <v>1479189.1891891891</v>
      </c>
      <c r="W245">
        <v>1210</v>
      </c>
      <c r="X245">
        <v>1373</v>
      </c>
    </row>
    <row r="246" spans="1:24">
      <c r="A246" s="7" t="s">
        <v>342</v>
      </c>
      <c r="B246" s="16" t="s">
        <v>121</v>
      </c>
      <c r="C246">
        <v>3184005.13196448</v>
      </c>
      <c r="D246">
        <v>2693949.9312530612</v>
      </c>
      <c r="G246">
        <v>6</v>
      </c>
      <c r="H246">
        <v>10</v>
      </c>
      <c r="M246">
        <v>7</v>
      </c>
      <c r="N246">
        <v>14</v>
      </c>
      <c r="S246">
        <v>1232252.2522522521</v>
      </c>
      <c r="T246">
        <v>1064819.8198198201</v>
      </c>
      <c r="W246">
        <v>394</v>
      </c>
      <c r="X246">
        <v>391</v>
      </c>
    </row>
    <row r="247" spans="1:24">
      <c r="A247" s="7" t="s">
        <v>5</v>
      </c>
      <c r="B247" s="16" t="s">
        <v>158</v>
      </c>
      <c r="C247">
        <v>210441664.16001472</v>
      </c>
      <c r="D247">
        <v>210745502.06371209</v>
      </c>
      <c r="E247">
        <v>2413963.963963964</v>
      </c>
      <c r="F247">
        <v>1079279.27927928</v>
      </c>
      <c r="G247">
        <v>12</v>
      </c>
      <c r="H247">
        <v>35</v>
      </c>
      <c r="I247">
        <v>5</v>
      </c>
      <c r="J247">
        <v>1</v>
      </c>
      <c r="K247">
        <v>2</v>
      </c>
      <c r="M247">
        <v>15</v>
      </c>
      <c r="N247">
        <v>38</v>
      </c>
      <c r="O247">
        <v>16429459.459459459</v>
      </c>
      <c r="P247">
        <v>14726126.126126124</v>
      </c>
      <c r="Q247">
        <v>91</v>
      </c>
      <c r="R247">
        <v>27</v>
      </c>
      <c r="S247">
        <v>91746126.126126125</v>
      </c>
      <c r="T247">
        <v>89618009.009009004</v>
      </c>
      <c r="U247">
        <v>15060180.180180181</v>
      </c>
      <c r="V247">
        <v>13857927.92792793</v>
      </c>
      <c r="W247">
        <v>3171</v>
      </c>
      <c r="X247">
        <v>3070</v>
      </c>
    </row>
    <row r="248" spans="1:24">
      <c r="A248" s="7" t="s">
        <v>343</v>
      </c>
      <c r="B248" s="16" t="s">
        <v>304</v>
      </c>
      <c r="C248">
        <v>20893000.113542356</v>
      </c>
      <c r="D248">
        <v>20160260.122453302</v>
      </c>
      <c r="E248">
        <v>1801.801801802</v>
      </c>
      <c r="F248">
        <v>900900.90090090095</v>
      </c>
      <c r="G248">
        <v>36</v>
      </c>
      <c r="H248">
        <v>19</v>
      </c>
      <c r="I248">
        <v>0</v>
      </c>
      <c r="M248">
        <v>38</v>
      </c>
      <c r="N248">
        <v>26</v>
      </c>
      <c r="O248">
        <v>452252.25225225202</v>
      </c>
      <c r="P248">
        <v>1351351.351351351</v>
      </c>
      <c r="S248">
        <v>4572747.7477477482</v>
      </c>
      <c r="T248">
        <v>3454468.4684684682</v>
      </c>
      <c r="U248">
        <v>445405.40540540498</v>
      </c>
      <c r="V248">
        <v>294954.95495495503</v>
      </c>
      <c r="W248">
        <v>568</v>
      </c>
      <c r="X248">
        <v>537</v>
      </c>
    </row>
    <row r="249" spans="1:24">
      <c r="A249" s="7" t="s">
        <v>344</v>
      </c>
      <c r="B249" s="16" t="s">
        <v>105</v>
      </c>
      <c r="C249">
        <v>435587800.52624923</v>
      </c>
      <c r="D249">
        <v>427675898.13058859</v>
      </c>
      <c r="E249">
        <v>740315.31531531597</v>
      </c>
      <c r="F249">
        <v>2876126.1261261259</v>
      </c>
      <c r="G249">
        <v>123</v>
      </c>
      <c r="H249">
        <v>95</v>
      </c>
      <c r="I249">
        <v>14</v>
      </c>
      <c r="J249">
        <v>9</v>
      </c>
      <c r="K249">
        <v>1</v>
      </c>
      <c r="M249">
        <v>162</v>
      </c>
      <c r="N249">
        <v>200</v>
      </c>
      <c r="O249">
        <v>80393873.873873875</v>
      </c>
      <c r="P249">
        <v>63415135.135135137</v>
      </c>
      <c r="Q249">
        <v>184</v>
      </c>
      <c r="R249">
        <v>333</v>
      </c>
      <c r="S249">
        <v>105465036.03603603</v>
      </c>
      <c r="T249">
        <v>105842099.0990991</v>
      </c>
      <c r="U249">
        <v>81481261.261261269</v>
      </c>
      <c r="V249">
        <v>56499279.279279277</v>
      </c>
      <c r="W249">
        <v>5797</v>
      </c>
      <c r="X249">
        <v>6426</v>
      </c>
    </row>
    <row r="250" spans="1:24">
      <c r="A250" s="7" t="s">
        <v>345</v>
      </c>
      <c r="B250" s="16" t="s">
        <v>87</v>
      </c>
      <c r="C250">
        <v>126772878.66906974</v>
      </c>
      <c r="D250">
        <v>124877914.16836827</v>
      </c>
      <c r="E250">
        <v>342342.34234234301</v>
      </c>
      <c r="F250">
        <v>963963.96396396297</v>
      </c>
      <c r="G250">
        <v>73</v>
      </c>
      <c r="H250">
        <v>55</v>
      </c>
      <c r="I250">
        <v>7</v>
      </c>
      <c r="J250">
        <v>6</v>
      </c>
      <c r="K250">
        <v>1</v>
      </c>
      <c r="M250">
        <v>81</v>
      </c>
      <c r="N250">
        <v>61</v>
      </c>
      <c r="O250">
        <v>30027027.02702703</v>
      </c>
      <c r="P250">
        <v>35381981.981981978</v>
      </c>
      <c r="Q250">
        <v>52</v>
      </c>
      <c r="R250">
        <v>175</v>
      </c>
      <c r="S250">
        <v>32745427.927927926</v>
      </c>
      <c r="T250">
        <v>33909478.378378376</v>
      </c>
      <c r="U250">
        <v>21808648.648648649</v>
      </c>
      <c r="V250">
        <v>26251798.198198199</v>
      </c>
      <c r="W250">
        <v>2244</v>
      </c>
      <c r="X250">
        <v>2173</v>
      </c>
    </row>
    <row r="251" spans="1:24">
      <c r="A251" s="7" t="s">
        <v>346</v>
      </c>
      <c r="B251" s="16" t="s">
        <v>87</v>
      </c>
      <c r="C251">
        <v>391850713.80507094</v>
      </c>
      <c r="D251">
        <v>354199149.79069513</v>
      </c>
      <c r="E251">
        <v>80492300</v>
      </c>
      <c r="F251">
        <v>97785192.792792797</v>
      </c>
      <c r="G251">
        <v>293</v>
      </c>
      <c r="H251">
        <v>200</v>
      </c>
      <c r="I251">
        <v>19</v>
      </c>
      <c r="J251">
        <v>20</v>
      </c>
      <c r="K251">
        <v>1</v>
      </c>
      <c r="M251">
        <v>331</v>
      </c>
      <c r="N251">
        <v>252</v>
      </c>
      <c r="O251">
        <v>53284684.684684686</v>
      </c>
      <c r="P251">
        <v>34877117.117117122</v>
      </c>
      <c r="Q251">
        <v>250</v>
      </c>
      <c r="R251">
        <v>152</v>
      </c>
      <c r="S251">
        <v>61770570.270270273</v>
      </c>
      <c r="T251">
        <v>59100034.234234229</v>
      </c>
      <c r="U251">
        <v>27462072.072072074</v>
      </c>
      <c r="V251">
        <v>26200720.72072072</v>
      </c>
      <c r="W251">
        <v>6812</v>
      </c>
      <c r="X251">
        <v>6507</v>
      </c>
    </row>
    <row r="252" spans="1:24">
      <c r="A252" s="7" t="s">
        <v>347</v>
      </c>
      <c r="B252" s="16" t="s">
        <v>87</v>
      </c>
      <c r="C252">
        <v>9223344.5797610842</v>
      </c>
      <c r="D252">
        <v>10645926.412580986</v>
      </c>
      <c r="G252">
        <v>7</v>
      </c>
      <c r="H252">
        <v>23</v>
      </c>
      <c r="M252">
        <v>11</v>
      </c>
      <c r="N252">
        <v>28</v>
      </c>
      <c r="S252">
        <v>4380135.1351351347</v>
      </c>
      <c r="T252">
        <v>4780801.8018018026</v>
      </c>
      <c r="W252">
        <v>743</v>
      </c>
      <c r="X252">
        <v>824</v>
      </c>
    </row>
    <row r="253" spans="1:24">
      <c r="A253" s="7" t="s">
        <v>348</v>
      </c>
      <c r="B253" s="16" t="s">
        <v>87</v>
      </c>
      <c r="C253">
        <v>5213444.8239979967</v>
      </c>
      <c r="D253">
        <v>4788202.4437234532</v>
      </c>
      <c r="G253">
        <v>4</v>
      </c>
      <c r="H253">
        <v>3</v>
      </c>
      <c r="M253">
        <v>4</v>
      </c>
      <c r="N253">
        <v>3</v>
      </c>
      <c r="S253">
        <v>976666.66666666605</v>
      </c>
      <c r="T253">
        <v>1697522.5225225219</v>
      </c>
      <c r="W253">
        <v>373</v>
      </c>
      <c r="X253">
        <v>177</v>
      </c>
    </row>
    <row r="254" spans="1:24">
      <c r="A254" s="7" t="s">
        <v>349</v>
      </c>
      <c r="B254" s="16" t="s">
        <v>87</v>
      </c>
      <c r="C254">
        <v>4098569.1206116639</v>
      </c>
      <c r="D254">
        <v>3959232.8609653162</v>
      </c>
      <c r="G254">
        <v>2</v>
      </c>
      <c r="H254">
        <v>6</v>
      </c>
      <c r="M254">
        <v>3</v>
      </c>
      <c r="N254">
        <v>12</v>
      </c>
      <c r="S254">
        <v>1393783.7837837839</v>
      </c>
      <c r="T254">
        <v>2167261.2612612611</v>
      </c>
      <c r="W254">
        <v>644</v>
      </c>
      <c r="X254">
        <v>644</v>
      </c>
    </row>
    <row r="255" spans="1:24">
      <c r="A255" s="7" t="s">
        <v>350</v>
      </c>
      <c r="B255" s="16" t="s">
        <v>87</v>
      </c>
      <c r="C255">
        <v>107117375.83738142</v>
      </c>
      <c r="D255">
        <v>116641103.39774978</v>
      </c>
      <c r="E255">
        <v>13513.513513514001</v>
      </c>
      <c r="F255">
        <v>188288.28828828901</v>
      </c>
      <c r="G255">
        <v>100</v>
      </c>
      <c r="H255">
        <v>91</v>
      </c>
      <c r="I255">
        <v>4</v>
      </c>
      <c r="J255">
        <v>4</v>
      </c>
      <c r="M255">
        <v>105</v>
      </c>
      <c r="N255">
        <v>96</v>
      </c>
      <c r="O255">
        <v>10136036.036036037</v>
      </c>
      <c r="P255">
        <v>8713333.3333333321</v>
      </c>
      <c r="Q255">
        <v>128</v>
      </c>
      <c r="R255">
        <v>55</v>
      </c>
      <c r="S255">
        <v>20260180.180180181</v>
      </c>
      <c r="T255">
        <v>22112815.315315314</v>
      </c>
      <c r="U255">
        <v>9147747.7477477472</v>
      </c>
      <c r="V255">
        <v>7448738.7387387389</v>
      </c>
      <c r="W255">
        <v>2254</v>
      </c>
      <c r="X255">
        <v>2044</v>
      </c>
    </row>
    <row r="256" spans="1:24">
      <c r="A256" s="7" t="s">
        <v>351</v>
      </c>
      <c r="B256" s="16" t="s">
        <v>50</v>
      </c>
      <c r="C256">
        <v>302032742.64983547</v>
      </c>
      <c r="D256">
        <v>311521139.59434599</v>
      </c>
      <c r="E256">
        <v>330706555.85585588</v>
      </c>
      <c r="F256">
        <v>554808891.89189196</v>
      </c>
      <c r="G256">
        <v>46</v>
      </c>
      <c r="H256">
        <v>76</v>
      </c>
      <c r="I256">
        <v>17</v>
      </c>
      <c r="J256">
        <v>5</v>
      </c>
      <c r="M256">
        <v>50</v>
      </c>
      <c r="N256">
        <v>92</v>
      </c>
      <c r="O256">
        <v>133924103.6036036</v>
      </c>
      <c r="P256">
        <v>149613873.87387389</v>
      </c>
      <c r="Q256">
        <v>78</v>
      </c>
      <c r="R256">
        <v>238</v>
      </c>
      <c r="S256">
        <v>120130315.31531531</v>
      </c>
      <c r="T256">
        <v>121097797.2972973</v>
      </c>
      <c r="U256">
        <v>60664234.234234229</v>
      </c>
      <c r="V256">
        <v>51560540.540540546</v>
      </c>
      <c r="W256">
        <v>5448</v>
      </c>
      <c r="X256">
        <v>5267</v>
      </c>
    </row>
    <row r="257" spans="1:24">
      <c r="A257" s="7" t="s">
        <v>352</v>
      </c>
      <c r="B257" s="16" t="s">
        <v>123</v>
      </c>
      <c r="C257">
        <v>1146619.9575404071</v>
      </c>
      <c r="D257">
        <v>1874847.6928824941</v>
      </c>
      <c r="G257">
        <v>1</v>
      </c>
      <c r="H257">
        <v>1</v>
      </c>
      <c r="M257">
        <v>1</v>
      </c>
      <c r="N257">
        <v>2</v>
      </c>
      <c r="S257">
        <v>438783.78378378402</v>
      </c>
      <c r="T257">
        <v>698288.28828828805</v>
      </c>
      <c r="X257">
        <v>119</v>
      </c>
    </row>
    <row r="258" spans="1:24">
      <c r="A258" s="7" t="s">
        <v>353</v>
      </c>
      <c r="B258" s="16" t="s">
        <v>354</v>
      </c>
      <c r="C258">
        <v>574893212.55725014</v>
      </c>
      <c r="D258">
        <v>536979959.0958488</v>
      </c>
      <c r="E258">
        <v>200279988.2882883</v>
      </c>
      <c r="F258">
        <v>257120872.07207206</v>
      </c>
      <c r="G258">
        <v>239</v>
      </c>
      <c r="H258">
        <v>409</v>
      </c>
      <c r="I258">
        <v>38</v>
      </c>
      <c r="J258">
        <v>15</v>
      </c>
      <c r="M258">
        <v>270</v>
      </c>
      <c r="N258">
        <v>569</v>
      </c>
      <c r="O258">
        <v>190337027.02702704</v>
      </c>
      <c r="P258">
        <v>327112252.25225222</v>
      </c>
      <c r="Q258">
        <v>375</v>
      </c>
      <c r="R258">
        <v>453</v>
      </c>
      <c r="S258">
        <v>335829457.65765768</v>
      </c>
      <c r="T258">
        <v>320018324.32432437</v>
      </c>
      <c r="U258">
        <v>185459369.36936939</v>
      </c>
      <c r="V258">
        <v>350843243.24324328</v>
      </c>
      <c r="W258">
        <v>9922</v>
      </c>
      <c r="X258">
        <v>9290</v>
      </c>
    </row>
    <row r="259" spans="1:24">
      <c r="A259" s="7" t="s">
        <v>355</v>
      </c>
      <c r="B259" s="16" t="s">
        <v>48</v>
      </c>
      <c r="C259">
        <v>370538975.89823562</v>
      </c>
      <c r="D259">
        <v>376393448.31138939</v>
      </c>
      <c r="E259">
        <v>236036.036036039</v>
      </c>
      <c r="F259">
        <v>1378378.3783783789</v>
      </c>
      <c r="G259">
        <v>68</v>
      </c>
      <c r="H259">
        <v>35</v>
      </c>
      <c r="I259">
        <v>13</v>
      </c>
      <c r="J259">
        <v>6</v>
      </c>
      <c r="M259">
        <v>74</v>
      </c>
      <c r="N259">
        <v>36</v>
      </c>
      <c r="O259">
        <v>1867747.7477477479</v>
      </c>
      <c r="P259">
        <v>6034234.2342342334</v>
      </c>
      <c r="R259">
        <v>44</v>
      </c>
      <c r="S259">
        <v>27626828.828828827</v>
      </c>
      <c r="T259">
        <v>28683531.531531531</v>
      </c>
      <c r="U259">
        <v>1164954.954954952</v>
      </c>
      <c r="V259">
        <v>5869099.0990990978</v>
      </c>
      <c r="W259">
        <v>5384</v>
      </c>
      <c r="X259">
        <v>5550</v>
      </c>
    </row>
    <row r="260" spans="1:24">
      <c r="A260" s="7" t="s">
        <v>356</v>
      </c>
      <c r="B260" s="16" t="s">
        <v>123</v>
      </c>
      <c r="C260">
        <v>426627788.94390553</v>
      </c>
      <c r="D260">
        <v>405197281.41873807</v>
      </c>
      <c r="E260">
        <v>71171.171171171998</v>
      </c>
      <c r="F260">
        <v>209909.90990991099</v>
      </c>
      <c r="G260">
        <v>100</v>
      </c>
      <c r="H260">
        <v>90</v>
      </c>
      <c r="I260">
        <v>3</v>
      </c>
      <c r="J260">
        <v>4</v>
      </c>
      <c r="M260">
        <v>103</v>
      </c>
      <c r="N260">
        <v>97</v>
      </c>
      <c r="O260">
        <v>12975315.315315315</v>
      </c>
      <c r="P260">
        <v>22667477.477477476</v>
      </c>
      <c r="Q260">
        <v>29</v>
      </c>
      <c r="R260">
        <v>165</v>
      </c>
      <c r="S260">
        <v>91251926.126126125</v>
      </c>
      <c r="T260">
        <v>88054027.027027026</v>
      </c>
      <c r="U260">
        <v>12276126.126126124</v>
      </c>
      <c r="V260">
        <v>20891801.801801801</v>
      </c>
      <c r="W260">
        <v>5764</v>
      </c>
      <c r="X260">
        <v>5987</v>
      </c>
    </row>
    <row r="261" spans="1:24">
      <c r="A261" s="7" t="s">
        <v>357</v>
      </c>
      <c r="B261" s="16" t="s">
        <v>62</v>
      </c>
      <c r="C261">
        <v>230248525.94549817</v>
      </c>
      <c r="D261">
        <v>223895927.65165648</v>
      </c>
      <c r="E261">
        <v>429362643.24324328</v>
      </c>
      <c r="F261">
        <v>737400624.32432437</v>
      </c>
      <c r="G261">
        <v>42</v>
      </c>
      <c r="H261">
        <v>48</v>
      </c>
      <c r="I261">
        <v>3</v>
      </c>
      <c r="J261">
        <v>9</v>
      </c>
      <c r="M261">
        <v>46</v>
      </c>
      <c r="N261">
        <v>51</v>
      </c>
      <c r="O261">
        <v>66062472.972972967</v>
      </c>
      <c r="P261">
        <v>97962697.297297299</v>
      </c>
      <c r="Q261">
        <v>58</v>
      </c>
      <c r="R261">
        <v>139</v>
      </c>
      <c r="S261">
        <v>62911801.801801801</v>
      </c>
      <c r="T261">
        <v>62794432.432432435</v>
      </c>
      <c r="U261">
        <v>20500810.810810808</v>
      </c>
      <c r="V261">
        <v>36317567.567567565</v>
      </c>
      <c r="W261">
        <v>4008</v>
      </c>
      <c r="X261">
        <v>3838</v>
      </c>
    </row>
    <row r="262" spans="1:24">
      <c r="A262" s="7" t="s">
        <v>358</v>
      </c>
      <c r="B262" s="16" t="s">
        <v>315</v>
      </c>
      <c r="C262">
        <v>16134120.860771893</v>
      </c>
      <c r="D262">
        <v>5706943.3130140156</v>
      </c>
      <c r="E262">
        <v>40697599.0990991</v>
      </c>
      <c r="F262">
        <v>79572072.072072059</v>
      </c>
      <c r="G262">
        <v>13</v>
      </c>
      <c r="H262">
        <v>10</v>
      </c>
      <c r="M262">
        <v>13</v>
      </c>
      <c r="N262">
        <v>11</v>
      </c>
      <c r="S262">
        <v>8366711.7117117122</v>
      </c>
      <c r="T262">
        <v>2316846.8468468469</v>
      </c>
      <c r="W262">
        <v>715</v>
      </c>
    </row>
    <row r="263" spans="1:24">
      <c r="A263" s="7" t="s">
        <v>359</v>
      </c>
      <c r="B263" s="16" t="s">
        <v>315</v>
      </c>
      <c r="C263">
        <v>256688581.6148538</v>
      </c>
      <c r="D263">
        <v>227029847.41065213</v>
      </c>
      <c r="E263">
        <v>360360.360360361</v>
      </c>
      <c r="F263">
        <v>1419819.819819821</v>
      </c>
      <c r="G263">
        <v>44</v>
      </c>
      <c r="H263">
        <v>51</v>
      </c>
      <c r="I263">
        <v>15</v>
      </c>
      <c r="J263">
        <v>8</v>
      </c>
      <c r="M263">
        <v>45</v>
      </c>
      <c r="N263">
        <v>61</v>
      </c>
      <c r="O263">
        <v>45262882.882882878</v>
      </c>
      <c r="P263">
        <v>48787747.747747742</v>
      </c>
      <c r="Q263">
        <v>130</v>
      </c>
      <c r="S263">
        <v>91480090.090090096</v>
      </c>
      <c r="T263">
        <v>82354306.306306303</v>
      </c>
      <c r="U263">
        <v>50161711.711711712</v>
      </c>
      <c r="V263">
        <v>47429639.639639638</v>
      </c>
      <c r="W263">
        <v>3043</v>
      </c>
      <c r="X263">
        <v>3326</v>
      </c>
    </row>
    <row r="264" spans="1:24">
      <c r="A264" s="7" t="s">
        <v>360</v>
      </c>
      <c r="B264" s="16" t="s">
        <v>92</v>
      </c>
      <c r="C264">
        <v>427291384.75712961</v>
      </c>
      <c r="D264">
        <v>413827378.04586279</v>
      </c>
      <c r="E264">
        <v>47642199.099099107</v>
      </c>
      <c r="F264">
        <v>165606594.5945946</v>
      </c>
      <c r="G264">
        <v>173</v>
      </c>
      <c r="H264">
        <v>91</v>
      </c>
      <c r="I264">
        <v>6</v>
      </c>
      <c r="J264">
        <v>9</v>
      </c>
      <c r="M264">
        <v>209</v>
      </c>
      <c r="N264">
        <v>254</v>
      </c>
      <c r="O264">
        <v>43560090.090090089</v>
      </c>
      <c r="P264">
        <v>113325405.4054054</v>
      </c>
      <c r="Q264">
        <v>79</v>
      </c>
      <c r="R264">
        <v>277</v>
      </c>
      <c r="S264">
        <v>123200216.21621622</v>
      </c>
      <c r="T264">
        <v>120889331.53153154</v>
      </c>
      <c r="U264">
        <v>40071711.711711712</v>
      </c>
      <c r="V264">
        <v>101059953.15315315</v>
      </c>
      <c r="W264">
        <v>6766</v>
      </c>
      <c r="X264">
        <v>6830</v>
      </c>
    </row>
    <row r="265" spans="1:24">
      <c r="A265" s="7" t="s">
        <v>361</v>
      </c>
      <c r="B265" s="16" t="s">
        <v>58</v>
      </c>
      <c r="C265">
        <v>847786371.91051483</v>
      </c>
      <c r="D265">
        <v>806213829.41757333</v>
      </c>
      <c r="E265">
        <v>58638738.738738745</v>
      </c>
      <c r="F265">
        <v>1650225.225225226</v>
      </c>
      <c r="G265">
        <v>131</v>
      </c>
      <c r="H265">
        <v>129</v>
      </c>
      <c r="I265">
        <v>20</v>
      </c>
      <c r="J265">
        <v>15</v>
      </c>
      <c r="M265">
        <v>140</v>
      </c>
      <c r="N265">
        <v>144</v>
      </c>
      <c r="O265">
        <v>47593873.873873875</v>
      </c>
      <c r="P265">
        <v>35171171.171171173</v>
      </c>
      <c r="Q265">
        <v>434</v>
      </c>
      <c r="R265">
        <v>53</v>
      </c>
      <c r="S265">
        <v>128242468.46846846</v>
      </c>
      <c r="T265">
        <v>128281468.46846846</v>
      </c>
      <c r="U265">
        <v>38651081.081081077</v>
      </c>
      <c r="V265">
        <v>31641981.981981985</v>
      </c>
      <c r="W265">
        <v>12802</v>
      </c>
      <c r="X265">
        <v>12727</v>
      </c>
    </row>
    <row r="266" spans="1:24">
      <c r="A266" s="7" t="s">
        <v>362</v>
      </c>
      <c r="B266" s="16" t="s">
        <v>48</v>
      </c>
      <c r="C266">
        <v>266996834.29778728</v>
      </c>
      <c r="D266">
        <v>285285362.69910532</v>
      </c>
      <c r="E266">
        <v>45312837.837837838</v>
      </c>
      <c r="F266">
        <v>105799099.0990991</v>
      </c>
      <c r="G266">
        <v>23</v>
      </c>
      <c r="H266">
        <v>8</v>
      </c>
      <c r="I266">
        <v>11</v>
      </c>
      <c r="J266">
        <v>4</v>
      </c>
      <c r="M266">
        <v>29</v>
      </c>
      <c r="N266">
        <v>30</v>
      </c>
      <c r="O266">
        <v>31421216.216216218</v>
      </c>
      <c r="P266">
        <v>51298738.738738738</v>
      </c>
      <c r="R266">
        <v>37</v>
      </c>
      <c r="S266">
        <v>48166207.20720721</v>
      </c>
      <c r="T266">
        <v>47155117.117117122</v>
      </c>
      <c r="U266">
        <v>18726036.036036037</v>
      </c>
      <c r="V266">
        <v>43005855.855855852</v>
      </c>
      <c r="W266">
        <v>3240</v>
      </c>
      <c r="X266">
        <v>3855</v>
      </c>
    </row>
    <row r="267" spans="1:24">
      <c r="A267" s="7" t="s">
        <v>363</v>
      </c>
      <c r="B267" s="16" t="s">
        <v>52</v>
      </c>
      <c r="C267">
        <v>116815039.77788958</v>
      </c>
      <c r="D267">
        <v>121299205.16827689</v>
      </c>
      <c r="E267">
        <v>370810.810810811</v>
      </c>
      <c r="F267">
        <v>378378.37837837898</v>
      </c>
      <c r="G267">
        <v>21</v>
      </c>
      <c r="H267">
        <v>64</v>
      </c>
      <c r="I267">
        <v>6</v>
      </c>
      <c r="J267">
        <v>8</v>
      </c>
      <c r="M267">
        <v>30</v>
      </c>
      <c r="N267">
        <v>75</v>
      </c>
      <c r="O267">
        <v>7174414.4144144133</v>
      </c>
      <c r="P267">
        <v>2648648.648648649</v>
      </c>
      <c r="Q267">
        <v>82</v>
      </c>
      <c r="R267">
        <v>65</v>
      </c>
      <c r="S267">
        <v>57297342.342342347</v>
      </c>
      <c r="T267">
        <v>58092837.837837838</v>
      </c>
      <c r="U267">
        <v>6827117.1171171153</v>
      </c>
      <c r="V267">
        <v>2528558.5585585581</v>
      </c>
      <c r="W267">
        <v>2576</v>
      </c>
      <c r="X267">
        <v>2396</v>
      </c>
    </row>
    <row r="268" spans="1:24">
      <c r="A268" s="7" t="s">
        <v>364</v>
      </c>
      <c r="B268" s="16" t="s">
        <v>52</v>
      </c>
      <c r="C268">
        <v>93967206.814962626</v>
      </c>
      <c r="D268">
        <v>92900243.184193403</v>
      </c>
      <c r="E268">
        <v>3683558.558558559</v>
      </c>
      <c r="F268">
        <v>3388288.2882882911</v>
      </c>
      <c r="G268">
        <v>68</v>
      </c>
      <c r="H268">
        <v>101</v>
      </c>
      <c r="I268">
        <v>4</v>
      </c>
      <c r="J268">
        <v>10</v>
      </c>
      <c r="M268">
        <v>160</v>
      </c>
      <c r="N268">
        <v>410</v>
      </c>
      <c r="O268">
        <v>19295495.495495494</v>
      </c>
      <c r="P268">
        <v>10172072.072072072</v>
      </c>
      <c r="Q268">
        <v>220</v>
      </c>
      <c r="R268">
        <v>467</v>
      </c>
      <c r="S268">
        <v>53768585.585585587</v>
      </c>
      <c r="T268">
        <v>51910432.432432435</v>
      </c>
      <c r="U268">
        <v>18637387.387387391</v>
      </c>
      <c r="V268">
        <v>14114774.774774775</v>
      </c>
      <c r="W268">
        <v>2400</v>
      </c>
      <c r="X268">
        <v>2547</v>
      </c>
    </row>
    <row r="269" spans="1:24">
      <c r="A269" s="7" t="s">
        <v>365</v>
      </c>
      <c r="B269" s="16" t="s">
        <v>52</v>
      </c>
      <c r="C269">
        <v>1020233810.1354936</v>
      </c>
      <c r="D269">
        <v>1053823550.5266472</v>
      </c>
      <c r="E269">
        <v>544275795.49549544</v>
      </c>
      <c r="F269">
        <v>340226142.34234232</v>
      </c>
      <c r="G269">
        <v>273</v>
      </c>
      <c r="H269">
        <v>344</v>
      </c>
      <c r="I269">
        <v>33</v>
      </c>
      <c r="J269">
        <v>68</v>
      </c>
      <c r="K269">
        <v>2</v>
      </c>
      <c r="M269">
        <v>440</v>
      </c>
      <c r="N269">
        <v>655</v>
      </c>
      <c r="O269">
        <v>95388018.018018022</v>
      </c>
      <c r="P269">
        <v>71050457.657657668</v>
      </c>
      <c r="Q269">
        <v>1214</v>
      </c>
      <c r="R269">
        <v>4577</v>
      </c>
      <c r="S269">
        <v>368071824.32432437</v>
      </c>
      <c r="T269">
        <v>383936102.7027027</v>
      </c>
      <c r="U269">
        <v>91293963.963963956</v>
      </c>
      <c r="V269">
        <v>84724504.504504502</v>
      </c>
      <c r="W269">
        <v>21092</v>
      </c>
      <c r="X269">
        <v>20332</v>
      </c>
    </row>
    <row r="270" spans="1:24">
      <c r="A270" s="7" t="s">
        <v>366</v>
      </c>
      <c r="B270" s="16" t="s">
        <v>293</v>
      </c>
      <c r="C270">
        <v>670600069.1510272</v>
      </c>
      <c r="D270">
        <v>609092168.08416069</v>
      </c>
      <c r="E270">
        <v>65104875.675675683</v>
      </c>
      <c r="F270">
        <v>60139191.891891889</v>
      </c>
      <c r="G270">
        <v>241</v>
      </c>
      <c r="H270">
        <v>166</v>
      </c>
      <c r="I270">
        <v>24</v>
      </c>
      <c r="J270">
        <v>25</v>
      </c>
      <c r="K270">
        <v>2</v>
      </c>
      <c r="M270">
        <v>272</v>
      </c>
      <c r="N270">
        <v>404</v>
      </c>
      <c r="O270">
        <v>110060720.72072072</v>
      </c>
      <c r="P270">
        <v>80099549.54954955</v>
      </c>
      <c r="Q270">
        <v>397</v>
      </c>
      <c r="R270">
        <v>53</v>
      </c>
      <c r="S270">
        <v>208030178.37837836</v>
      </c>
      <c r="T270">
        <v>196383164.86486486</v>
      </c>
      <c r="U270">
        <v>97350090.090090096</v>
      </c>
      <c r="V270">
        <v>73401171.171171188</v>
      </c>
      <c r="W270">
        <v>12270</v>
      </c>
      <c r="X270">
        <v>11047</v>
      </c>
    </row>
    <row r="271" spans="1:24">
      <c r="A271" s="7" t="s">
        <v>367</v>
      </c>
      <c r="B271" s="16" t="s">
        <v>368</v>
      </c>
      <c r="C271">
        <v>278692234.74326098</v>
      </c>
      <c r="D271">
        <v>257420242.49948573</v>
      </c>
      <c r="E271">
        <v>54238321.621621624</v>
      </c>
      <c r="F271">
        <v>37600580.180180177</v>
      </c>
      <c r="G271">
        <v>46</v>
      </c>
      <c r="H271">
        <v>64</v>
      </c>
      <c r="I271">
        <v>21</v>
      </c>
      <c r="J271">
        <v>10</v>
      </c>
      <c r="K271">
        <v>1</v>
      </c>
      <c r="M271">
        <v>52</v>
      </c>
      <c r="N271">
        <v>82</v>
      </c>
      <c r="O271">
        <v>56659639.639639638</v>
      </c>
      <c r="P271">
        <v>87635135.135135129</v>
      </c>
      <c r="Q271">
        <v>497</v>
      </c>
      <c r="R271">
        <v>284</v>
      </c>
      <c r="S271">
        <v>114169295.4954955</v>
      </c>
      <c r="T271">
        <v>109286837.83783785</v>
      </c>
      <c r="U271">
        <v>54780090.090090089</v>
      </c>
      <c r="V271">
        <v>85618558.558558553</v>
      </c>
      <c r="W271">
        <v>3995</v>
      </c>
      <c r="X271">
        <v>3960</v>
      </c>
    </row>
    <row r="272" spans="1:24">
      <c r="A272" s="7" t="s">
        <v>369</v>
      </c>
      <c r="B272" s="16" t="s">
        <v>70</v>
      </c>
      <c r="C272">
        <v>74722020.203343049</v>
      </c>
      <c r="D272">
        <v>74199360.564107746</v>
      </c>
      <c r="E272">
        <v>1217792.792792792</v>
      </c>
      <c r="F272">
        <v>2200900.9009009022</v>
      </c>
      <c r="G272">
        <v>20</v>
      </c>
      <c r="H272">
        <v>47</v>
      </c>
      <c r="I272">
        <v>2</v>
      </c>
      <c r="J272">
        <v>7</v>
      </c>
      <c r="M272">
        <v>20</v>
      </c>
      <c r="N272">
        <v>79</v>
      </c>
      <c r="O272">
        <v>14192342.342342343</v>
      </c>
      <c r="P272">
        <v>15759459.459459459</v>
      </c>
      <c r="Q272">
        <v>30</v>
      </c>
      <c r="R272">
        <v>50</v>
      </c>
      <c r="S272">
        <v>24011081.081081081</v>
      </c>
      <c r="T272">
        <v>24363252.252252251</v>
      </c>
      <c r="U272">
        <v>13672612.612612614</v>
      </c>
      <c r="V272">
        <v>14435495.495495496</v>
      </c>
      <c r="W272">
        <v>1129</v>
      </c>
      <c r="X272">
        <v>1105</v>
      </c>
    </row>
    <row r="273" spans="1:24">
      <c r="A273" s="7" t="s">
        <v>370</v>
      </c>
      <c r="B273" s="16" t="s">
        <v>50</v>
      </c>
      <c r="C273">
        <v>150464468.20504534</v>
      </c>
      <c r="D273">
        <v>155513052.69015107</v>
      </c>
      <c r="E273">
        <v>771171.17117117206</v>
      </c>
      <c r="F273">
        <v>1281981.9819819841</v>
      </c>
      <c r="G273">
        <v>31</v>
      </c>
      <c r="H273">
        <v>37</v>
      </c>
      <c r="I273">
        <v>6</v>
      </c>
      <c r="J273">
        <v>7</v>
      </c>
      <c r="M273">
        <v>33</v>
      </c>
      <c r="N273">
        <v>42</v>
      </c>
      <c r="O273">
        <v>15695495.495495496</v>
      </c>
      <c r="P273">
        <v>13751801.801801801</v>
      </c>
      <c r="Q273">
        <v>13</v>
      </c>
      <c r="R273">
        <v>10</v>
      </c>
      <c r="S273">
        <v>68723324.324324325</v>
      </c>
      <c r="T273">
        <v>70644540.540540546</v>
      </c>
      <c r="U273">
        <v>14368558.558558557</v>
      </c>
      <c r="V273">
        <v>12720990.990990993</v>
      </c>
      <c r="W273">
        <v>2783</v>
      </c>
      <c r="X273">
        <v>2483</v>
      </c>
    </row>
    <row r="274" spans="1:24">
      <c r="A274" s="7" t="s">
        <v>371</v>
      </c>
      <c r="B274" s="16" t="s">
        <v>121</v>
      </c>
      <c r="C274">
        <v>162978385.77336591</v>
      </c>
      <c r="D274">
        <v>152895578.28045052</v>
      </c>
      <c r="E274">
        <v>142342.34234234301</v>
      </c>
      <c r="F274">
        <v>990090.09009008994</v>
      </c>
      <c r="G274">
        <v>60</v>
      </c>
      <c r="H274">
        <v>63</v>
      </c>
      <c r="I274">
        <v>7</v>
      </c>
      <c r="J274">
        <v>5</v>
      </c>
      <c r="M274">
        <v>66</v>
      </c>
      <c r="N274">
        <v>74</v>
      </c>
      <c r="O274">
        <v>3745945.945945947</v>
      </c>
      <c r="P274">
        <v>6373873.8738738727</v>
      </c>
      <c r="Q274">
        <v>40</v>
      </c>
      <c r="R274">
        <v>116</v>
      </c>
      <c r="S274">
        <v>15331621.62162162</v>
      </c>
      <c r="T274">
        <v>15347288.288288288</v>
      </c>
      <c r="U274">
        <v>2495675.6756756762</v>
      </c>
      <c r="V274">
        <v>5013783.7837837832</v>
      </c>
      <c r="W274">
        <v>2745</v>
      </c>
      <c r="X274">
        <v>2783</v>
      </c>
    </row>
    <row r="275" spans="1:24">
      <c r="A275" s="7" t="s">
        <v>372</v>
      </c>
      <c r="B275" s="16" t="s">
        <v>373</v>
      </c>
      <c r="C275">
        <v>410887507.37362665</v>
      </c>
      <c r="D275">
        <v>351374239.99808162</v>
      </c>
      <c r="E275">
        <v>66541930.630630635</v>
      </c>
      <c r="F275">
        <v>51111877.477477483</v>
      </c>
      <c r="G275">
        <v>502</v>
      </c>
      <c r="H275">
        <v>48</v>
      </c>
      <c r="I275">
        <v>21</v>
      </c>
      <c r="J275">
        <v>6</v>
      </c>
      <c r="K275">
        <v>1</v>
      </c>
      <c r="M275">
        <v>526</v>
      </c>
      <c r="N275">
        <v>54</v>
      </c>
      <c r="O275">
        <v>66518108.108108103</v>
      </c>
      <c r="P275">
        <v>75080450.45045045</v>
      </c>
      <c r="Q275">
        <v>34</v>
      </c>
      <c r="R275">
        <v>47</v>
      </c>
      <c r="S275">
        <v>164251336.03603604</v>
      </c>
      <c r="T275">
        <v>134007360.36036035</v>
      </c>
      <c r="U275">
        <v>75700763.963963971</v>
      </c>
      <c r="V275">
        <v>62475495.495495498</v>
      </c>
      <c r="W275">
        <v>10373</v>
      </c>
      <c r="X275">
        <v>10115</v>
      </c>
    </row>
    <row r="276" spans="1:24">
      <c r="A276" s="7" t="s">
        <v>374</v>
      </c>
      <c r="B276" s="16" t="s">
        <v>66</v>
      </c>
      <c r="C276">
        <v>259811076.77669513</v>
      </c>
      <c r="D276">
        <v>261214762.65440765</v>
      </c>
      <c r="E276">
        <v>1812162.1621621631</v>
      </c>
      <c r="F276">
        <v>11209009.009009011</v>
      </c>
      <c r="G276">
        <v>110</v>
      </c>
      <c r="H276">
        <v>100</v>
      </c>
      <c r="I276">
        <v>15</v>
      </c>
      <c r="J276">
        <v>19</v>
      </c>
      <c r="M276">
        <v>127</v>
      </c>
      <c r="N276">
        <v>125</v>
      </c>
      <c r="O276">
        <v>44041981.981981985</v>
      </c>
      <c r="P276">
        <v>191250450.45045045</v>
      </c>
      <c r="Q276">
        <v>478</v>
      </c>
      <c r="R276">
        <v>1197</v>
      </c>
      <c r="S276">
        <v>93085585.585585579</v>
      </c>
      <c r="T276">
        <v>95619864.864864871</v>
      </c>
      <c r="U276">
        <v>40105675.675675675</v>
      </c>
      <c r="V276">
        <v>176103783.78378376</v>
      </c>
      <c r="W276">
        <v>7045</v>
      </c>
      <c r="X276">
        <v>7218</v>
      </c>
    </row>
    <row r="277" spans="1:24">
      <c r="A277" s="7" t="s">
        <v>375</v>
      </c>
      <c r="B277" s="16" t="s">
        <v>354</v>
      </c>
      <c r="C277">
        <v>404674022.37722898</v>
      </c>
      <c r="D277">
        <v>390801749.22753733</v>
      </c>
      <c r="E277">
        <v>205442558.55855855</v>
      </c>
      <c r="F277">
        <v>145101576.57657659</v>
      </c>
      <c r="G277">
        <v>521</v>
      </c>
      <c r="H277">
        <v>441</v>
      </c>
      <c r="I277">
        <v>8</v>
      </c>
      <c r="J277">
        <v>8</v>
      </c>
      <c r="M277">
        <v>537</v>
      </c>
      <c r="N277">
        <v>517</v>
      </c>
      <c r="O277">
        <v>77477792.792792782</v>
      </c>
      <c r="P277">
        <v>109587342.34234233</v>
      </c>
      <c r="Q277">
        <v>205</v>
      </c>
      <c r="R277">
        <v>310</v>
      </c>
      <c r="S277">
        <v>241263414.41441441</v>
      </c>
      <c r="T277">
        <v>240015558.55855855</v>
      </c>
      <c r="U277">
        <v>71557117.117117107</v>
      </c>
      <c r="V277">
        <v>104973153.15315315</v>
      </c>
      <c r="W277">
        <v>7079</v>
      </c>
      <c r="X277">
        <v>7101</v>
      </c>
    </row>
    <row r="278" spans="1:24">
      <c r="A278" s="7" t="s">
        <v>376</v>
      </c>
      <c r="B278" s="16" t="s">
        <v>66</v>
      </c>
      <c r="C278">
        <v>138605044.64274374</v>
      </c>
      <c r="D278">
        <v>150176211.28572285</v>
      </c>
      <c r="E278">
        <v>46846.846846847002</v>
      </c>
      <c r="F278">
        <v>1323423.423423426</v>
      </c>
      <c r="G278">
        <v>57</v>
      </c>
      <c r="H278">
        <v>60</v>
      </c>
      <c r="I278">
        <v>5</v>
      </c>
      <c r="J278">
        <v>6</v>
      </c>
      <c r="M278">
        <v>80</v>
      </c>
      <c r="N278">
        <v>76</v>
      </c>
      <c r="O278">
        <v>9993153.1531531513</v>
      </c>
      <c r="P278">
        <v>12480180.180180181</v>
      </c>
      <c r="Q278">
        <v>135</v>
      </c>
      <c r="R278">
        <v>100</v>
      </c>
      <c r="S278">
        <v>62405691.891891889</v>
      </c>
      <c r="T278">
        <v>70652599.0990991</v>
      </c>
      <c r="U278">
        <v>17641351.351351351</v>
      </c>
      <c r="V278">
        <v>16912162.162162159</v>
      </c>
      <c r="W278">
        <v>4879</v>
      </c>
      <c r="X278">
        <v>4987</v>
      </c>
    </row>
    <row r="279" spans="1:24">
      <c r="A279" s="7" t="s">
        <v>377</v>
      </c>
      <c r="B279" s="16" t="s">
        <v>260</v>
      </c>
      <c r="C279">
        <v>133279875.57007</v>
      </c>
      <c r="D279">
        <v>124880176.07649109</v>
      </c>
      <c r="E279">
        <v>183783.78378378399</v>
      </c>
      <c r="F279">
        <v>213513.51351351399</v>
      </c>
      <c r="G279">
        <v>6</v>
      </c>
      <c r="H279">
        <v>10</v>
      </c>
      <c r="I279">
        <v>1</v>
      </c>
      <c r="J279">
        <v>0</v>
      </c>
      <c r="M279">
        <v>6</v>
      </c>
      <c r="N279">
        <v>10</v>
      </c>
      <c r="O279">
        <v>6760360.3603603598</v>
      </c>
      <c r="P279">
        <v>7745045.0450450443</v>
      </c>
      <c r="Q279">
        <v>4</v>
      </c>
      <c r="R279">
        <v>41</v>
      </c>
      <c r="S279">
        <v>22139909.909909911</v>
      </c>
      <c r="T279">
        <v>20430648.648648649</v>
      </c>
      <c r="U279">
        <v>7901981.9819819815</v>
      </c>
      <c r="V279">
        <v>3680270.2702702698</v>
      </c>
      <c r="W279">
        <v>1719</v>
      </c>
      <c r="X279">
        <v>1663</v>
      </c>
    </row>
    <row r="280" spans="1:24">
      <c r="A280" s="7" t="s">
        <v>378</v>
      </c>
      <c r="B280" s="16" t="s">
        <v>354</v>
      </c>
      <c r="C280">
        <v>335802301.23606873</v>
      </c>
      <c r="D280">
        <v>326447718.04436499</v>
      </c>
      <c r="E280">
        <v>2167117.117117119</v>
      </c>
      <c r="F280">
        <v>4957657.6576576577</v>
      </c>
      <c r="G280">
        <v>56</v>
      </c>
      <c r="H280">
        <v>60</v>
      </c>
      <c r="I280">
        <v>4</v>
      </c>
      <c r="J280">
        <v>8</v>
      </c>
      <c r="M280">
        <v>58</v>
      </c>
      <c r="N280">
        <v>72</v>
      </c>
      <c r="O280">
        <v>74932252.252252251</v>
      </c>
      <c r="P280">
        <v>58014324.324324325</v>
      </c>
      <c r="Q280">
        <v>145</v>
      </c>
      <c r="R280">
        <v>43</v>
      </c>
      <c r="S280">
        <v>175487162.16216218</v>
      </c>
      <c r="T280">
        <v>180173609.00900903</v>
      </c>
      <c r="U280">
        <v>73773873.873873875</v>
      </c>
      <c r="V280">
        <v>56550540.540540546</v>
      </c>
      <c r="W280">
        <v>4675</v>
      </c>
      <c r="X280">
        <v>4772</v>
      </c>
    </row>
    <row r="281" spans="1:24">
      <c r="A281" s="7" t="s">
        <v>379</v>
      </c>
      <c r="B281" s="16" t="s">
        <v>87</v>
      </c>
      <c r="C281">
        <v>7079635.3222020613</v>
      </c>
      <c r="D281">
        <v>8351610.062218748</v>
      </c>
      <c r="H281">
        <v>1</v>
      </c>
      <c r="N281">
        <v>3</v>
      </c>
      <c r="S281">
        <v>245270.27027027</v>
      </c>
      <c r="T281">
        <v>478738.738738738</v>
      </c>
      <c r="W281">
        <v>191</v>
      </c>
      <c r="X281">
        <v>130</v>
      </c>
    </row>
    <row r="282" spans="1:24">
      <c r="A282" s="7" t="s">
        <v>380</v>
      </c>
      <c r="B282" s="16" t="s">
        <v>87</v>
      </c>
      <c r="C282">
        <v>28714021.100484956</v>
      </c>
      <c r="D282">
        <v>11379279.442646995</v>
      </c>
      <c r="E282">
        <v>25225.225225225</v>
      </c>
      <c r="G282">
        <v>188</v>
      </c>
      <c r="H282">
        <v>22</v>
      </c>
      <c r="I282">
        <v>1</v>
      </c>
      <c r="M282">
        <v>190</v>
      </c>
      <c r="N282">
        <v>25</v>
      </c>
      <c r="O282">
        <v>92792.792792793</v>
      </c>
      <c r="Q282">
        <v>3</v>
      </c>
      <c r="S282">
        <v>4678378.3783783782</v>
      </c>
      <c r="T282">
        <v>1394423.423423423</v>
      </c>
      <c r="U282">
        <v>86036.036036036006</v>
      </c>
      <c r="W282">
        <v>530</v>
      </c>
      <c r="X282">
        <v>352</v>
      </c>
    </row>
    <row r="283" spans="1:24">
      <c r="A283" s="7" t="s">
        <v>381</v>
      </c>
      <c r="B283" s="16" t="s">
        <v>80</v>
      </c>
      <c r="C283">
        <v>2241623299.9922476</v>
      </c>
      <c r="D283">
        <v>2184965507.6440449</v>
      </c>
      <c r="E283">
        <v>1794692732.4324324</v>
      </c>
      <c r="F283">
        <v>1382859560.3603604</v>
      </c>
      <c r="G283">
        <v>703</v>
      </c>
      <c r="H283">
        <v>803</v>
      </c>
      <c r="I283">
        <v>81</v>
      </c>
      <c r="J283">
        <v>69</v>
      </c>
      <c r="K283">
        <v>1</v>
      </c>
      <c r="M283">
        <v>831</v>
      </c>
      <c r="N283">
        <v>1038</v>
      </c>
      <c r="O283">
        <v>292980000</v>
      </c>
      <c r="P283">
        <v>360058108.1081081</v>
      </c>
      <c r="Q283">
        <v>1467</v>
      </c>
      <c r="R283">
        <v>1117</v>
      </c>
      <c r="S283">
        <v>550784194.5945946</v>
      </c>
      <c r="T283">
        <v>569169396.84684682</v>
      </c>
      <c r="U283">
        <v>256747837.83783782</v>
      </c>
      <c r="V283">
        <v>320358828.82882881</v>
      </c>
      <c r="W283">
        <v>36788</v>
      </c>
      <c r="X283">
        <v>36575</v>
      </c>
    </row>
    <row r="284" spans="1:24">
      <c r="A284" s="7" t="s">
        <v>382</v>
      </c>
      <c r="B284" s="16" t="s">
        <v>80</v>
      </c>
      <c r="C284">
        <v>610510467.99049366</v>
      </c>
      <c r="D284">
        <v>601292964.59251368</v>
      </c>
      <c r="E284">
        <v>3833333.333333333</v>
      </c>
      <c r="F284">
        <v>7886711.7117117131</v>
      </c>
      <c r="G284">
        <v>171</v>
      </c>
      <c r="H284">
        <v>182</v>
      </c>
      <c r="I284">
        <v>19</v>
      </c>
      <c r="J284">
        <v>23</v>
      </c>
      <c r="K284">
        <v>2</v>
      </c>
      <c r="M284">
        <v>192</v>
      </c>
      <c r="N284">
        <v>236</v>
      </c>
      <c r="O284">
        <v>116570360.36036035</v>
      </c>
      <c r="P284">
        <v>122167567.56756757</v>
      </c>
      <c r="Q284">
        <v>256</v>
      </c>
      <c r="R284">
        <v>205</v>
      </c>
      <c r="S284">
        <v>253912812.61261261</v>
      </c>
      <c r="T284">
        <v>248643177.02702704</v>
      </c>
      <c r="U284">
        <v>110781081.08108109</v>
      </c>
      <c r="V284">
        <v>108986886.48648648</v>
      </c>
      <c r="W284">
        <v>10237</v>
      </c>
      <c r="X284">
        <v>9958</v>
      </c>
    </row>
    <row r="285" spans="1:24">
      <c r="A285" s="7" t="s">
        <v>383</v>
      </c>
      <c r="B285" s="16" t="s">
        <v>80</v>
      </c>
      <c r="C285">
        <v>842927955.41208458</v>
      </c>
      <c r="D285">
        <v>758120416.76928651</v>
      </c>
      <c r="E285">
        <v>72297.297297298006</v>
      </c>
      <c r="F285">
        <v>845564.86486486602</v>
      </c>
      <c r="G285">
        <v>202</v>
      </c>
      <c r="H285">
        <v>106</v>
      </c>
      <c r="I285">
        <v>2</v>
      </c>
      <c r="J285">
        <v>3</v>
      </c>
      <c r="M285">
        <v>218</v>
      </c>
      <c r="N285">
        <v>124</v>
      </c>
      <c r="O285">
        <v>34434234.234234236</v>
      </c>
      <c r="P285">
        <v>58763563.063063063</v>
      </c>
      <c r="Q285">
        <v>36</v>
      </c>
      <c r="R285">
        <v>45</v>
      </c>
      <c r="S285">
        <v>157575443.24324322</v>
      </c>
      <c r="T285">
        <v>154117387.38738739</v>
      </c>
      <c r="U285">
        <v>33641171.171171166</v>
      </c>
      <c r="V285">
        <v>60179279.279279277</v>
      </c>
      <c r="W285">
        <v>9874</v>
      </c>
      <c r="X285">
        <v>9735</v>
      </c>
    </row>
    <row r="286" spans="1:24">
      <c r="A286" s="7" t="s">
        <v>384</v>
      </c>
      <c r="B286" s="16" t="s">
        <v>68</v>
      </c>
      <c r="C286">
        <v>333843431.02902812</v>
      </c>
      <c r="D286">
        <v>327444680.53479153</v>
      </c>
      <c r="E286">
        <v>17113828.828828827</v>
      </c>
      <c r="F286">
        <v>36355855.855855852</v>
      </c>
      <c r="G286">
        <v>105</v>
      </c>
      <c r="H286">
        <v>65</v>
      </c>
      <c r="I286">
        <v>5</v>
      </c>
      <c r="J286">
        <v>4</v>
      </c>
      <c r="M286">
        <v>122</v>
      </c>
      <c r="N286">
        <v>74</v>
      </c>
      <c r="O286">
        <v>19921261.261261258</v>
      </c>
      <c r="P286">
        <v>15486936.936936935</v>
      </c>
      <c r="Q286">
        <v>80</v>
      </c>
      <c r="R286">
        <v>51</v>
      </c>
      <c r="S286">
        <v>45431738.738738738</v>
      </c>
      <c r="T286">
        <v>46488306.306306303</v>
      </c>
      <c r="U286">
        <v>15572702.702702705</v>
      </c>
      <c r="V286">
        <v>12104954.954954956</v>
      </c>
      <c r="W286">
        <v>5166</v>
      </c>
      <c r="X286">
        <v>5201</v>
      </c>
    </row>
    <row r="287" spans="1:24">
      <c r="A287" s="7" t="s">
        <v>385</v>
      </c>
      <c r="B287" s="16" t="s">
        <v>167</v>
      </c>
      <c r="C287">
        <v>121777986.8061766</v>
      </c>
      <c r="D287">
        <v>110578074.04396914</v>
      </c>
      <c r="E287">
        <v>27027.027027028998</v>
      </c>
      <c r="F287">
        <v>1827927.9279279299</v>
      </c>
      <c r="G287">
        <v>58</v>
      </c>
      <c r="H287">
        <v>38</v>
      </c>
      <c r="I287">
        <v>5</v>
      </c>
      <c r="J287">
        <v>7</v>
      </c>
      <c r="M287">
        <v>63</v>
      </c>
      <c r="N287">
        <v>47</v>
      </c>
      <c r="O287">
        <v>30320528.82882883</v>
      </c>
      <c r="P287">
        <v>25598263.963963963</v>
      </c>
      <c r="Q287">
        <v>45</v>
      </c>
      <c r="R287">
        <v>29</v>
      </c>
      <c r="S287">
        <v>49347610.810810804</v>
      </c>
      <c r="T287">
        <v>47127945.945945941</v>
      </c>
      <c r="U287">
        <v>23004324.324324328</v>
      </c>
      <c r="V287">
        <v>22555315.315315317</v>
      </c>
      <c r="W287">
        <v>2456</v>
      </c>
      <c r="X287">
        <v>2394</v>
      </c>
    </row>
    <row r="288" spans="1:24">
      <c r="A288" s="7" t="s">
        <v>386</v>
      </c>
      <c r="B288" s="16" t="s">
        <v>94</v>
      </c>
      <c r="C288">
        <v>661780500.52515531</v>
      </c>
      <c r="D288">
        <v>647227921.33811092</v>
      </c>
      <c r="E288">
        <v>1279279.2792792791</v>
      </c>
      <c r="F288">
        <v>788288.28828828898</v>
      </c>
      <c r="G288">
        <v>167</v>
      </c>
      <c r="H288">
        <v>145</v>
      </c>
      <c r="I288">
        <v>6</v>
      </c>
      <c r="J288">
        <v>8</v>
      </c>
      <c r="K288">
        <v>2</v>
      </c>
      <c r="M288">
        <v>183</v>
      </c>
      <c r="N288">
        <v>158</v>
      </c>
      <c r="O288">
        <v>22101801.801801801</v>
      </c>
      <c r="P288">
        <v>23678378.378378376</v>
      </c>
      <c r="Q288">
        <v>43</v>
      </c>
      <c r="R288">
        <v>144</v>
      </c>
      <c r="S288">
        <v>68944681.081081077</v>
      </c>
      <c r="T288">
        <v>75930900.9009009</v>
      </c>
      <c r="U288">
        <v>15392342.342342341</v>
      </c>
      <c r="V288">
        <v>18665855.855855856</v>
      </c>
      <c r="W288">
        <v>8267</v>
      </c>
      <c r="X288">
        <v>8319</v>
      </c>
    </row>
    <row r="289" spans="1:24">
      <c r="A289" s="7" t="s">
        <v>387</v>
      </c>
      <c r="B289" s="16" t="s">
        <v>214</v>
      </c>
      <c r="C289">
        <v>122476162.6068199</v>
      </c>
      <c r="D289">
        <v>118752983.04364768</v>
      </c>
      <c r="E289">
        <v>178865765.76576576</v>
      </c>
      <c r="F289">
        <v>101159459.45945945</v>
      </c>
      <c r="G289">
        <v>45</v>
      </c>
      <c r="H289">
        <v>42</v>
      </c>
      <c r="I289">
        <v>0</v>
      </c>
      <c r="J289">
        <v>1</v>
      </c>
      <c r="M289">
        <v>46</v>
      </c>
      <c r="N289">
        <v>51</v>
      </c>
      <c r="O289">
        <v>499099.099099099</v>
      </c>
      <c r="P289">
        <v>4733333.333333334</v>
      </c>
      <c r="S289">
        <v>55771846.846846849</v>
      </c>
      <c r="T289">
        <v>56701648.648648649</v>
      </c>
      <c r="U289">
        <v>89639.639639639994</v>
      </c>
      <c r="V289">
        <v>2582882.8828828828</v>
      </c>
      <c r="W289">
        <v>2268</v>
      </c>
      <c r="X289">
        <v>2420</v>
      </c>
    </row>
    <row r="290" spans="1:24">
      <c r="A290" s="7" t="s">
        <v>388</v>
      </c>
      <c r="B290" s="16" t="s">
        <v>117</v>
      </c>
      <c r="C290">
        <v>50593830.993053608</v>
      </c>
      <c r="D290">
        <v>47983271.035366833</v>
      </c>
      <c r="E290">
        <v>56756.756756757997</v>
      </c>
      <c r="F290">
        <v>826126.12612612499</v>
      </c>
      <c r="G290">
        <v>38</v>
      </c>
      <c r="H290">
        <v>33</v>
      </c>
      <c r="I290">
        <v>7</v>
      </c>
      <c r="J290">
        <v>7</v>
      </c>
      <c r="M290">
        <v>47</v>
      </c>
      <c r="N290">
        <v>45</v>
      </c>
      <c r="O290">
        <v>5432741.441441441</v>
      </c>
      <c r="P290">
        <v>15465881.081081079</v>
      </c>
      <c r="Q290">
        <v>30</v>
      </c>
      <c r="S290">
        <v>24053468.468468469</v>
      </c>
      <c r="T290">
        <v>22551225.225225225</v>
      </c>
      <c r="U290">
        <v>3320630.6306306291</v>
      </c>
      <c r="V290">
        <v>13387207.207207208</v>
      </c>
      <c r="W290">
        <v>1823</v>
      </c>
      <c r="X290">
        <v>1918</v>
      </c>
    </row>
    <row r="291" spans="1:24">
      <c r="A291" s="7" t="s">
        <v>389</v>
      </c>
      <c r="B291" s="16" t="s">
        <v>315</v>
      </c>
      <c r="C291">
        <v>221574601.44846293</v>
      </c>
      <c r="D291">
        <v>210729972.8473829</v>
      </c>
      <c r="E291">
        <v>2892342.3423423432</v>
      </c>
      <c r="F291">
        <v>675675.67567567597</v>
      </c>
      <c r="G291">
        <v>29</v>
      </c>
      <c r="H291">
        <v>20</v>
      </c>
      <c r="I291">
        <v>0</v>
      </c>
      <c r="J291">
        <v>1</v>
      </c>
      <c r="M291">
        <v>33</v>
      </c>
      <c r="N291">
        <v>21</v>
      </c>
      <c r="O291">
        <v>12773423.423423424</v>
      </c>
      <c r="P291">
        <v>8243243.2432432426</v>
      </c>
      <c r="S291">
        <v>44896801.801801801</v>
      </c>
      <c r="T291">
        <v>43363837.837837838</v>
      </c>
      <c r="U291">
        <v>10944234.234234236</v>
      </c>
      <c r="V291">
        <v>8973693.6936936937</v>
      </c>
      <c r="W291">
        <v>2788</v>
      </c>
      <c r="X291">
        <v>2622</v>
      </c>
    </row>
    <row r="292" spans="1:24">
      <c r="A292" s="7" t="s">
        <v>390</v>
      </c>
      <c r="B292" s="16" t="s">
        <v>224</v>
      </c>
      <c r="C292">
        <v>116948595.38381591</v>
      </c>
      <c r="D292">
        <v>85927402.127061814</v>
      </c>
      <c r="G292">
        <v>115</v>
      </c>
      <c r="H292">
        <v>11</v>
      </c>
      <c r="M292">
        <v>119</v>
      </c>
      <c r="N292">
        <v>11</v>
      </c>
      <c r="S292">
        <v>22452873.873873871</v>
      </c>
      <c r="T292">
        <v>16395675.675675675</v>
      </c>
      <c r="W292">
        <v>1666</v>
      </c>
      <c r="X292">
        <v>1469</v>
      </c>
    </row>
    <row r="293" spans="1:24">
      <c r="A293" s="7" t="s">
        <v>6</v>
      </c>
      <c r="B293" s="16" t="s">
        <v>193</v>
      </c>
      <c r="C293">
        <v>778474356.70500135</v>
      </c>
      <c r="D293">
        <v>771752992.19128346</v>
      </c>
      <c r="E293">
        <v>6758108.1081081014</v>
      </c>
      <c r="F293">
        <v>9190564.8648648728</v>
      </c>
      <c r="G293">
        <v>681</v>
      </c>
      <c r="H293">
        <v>498</v>
      </c>
      <c r="I293">
        <v>25</v>
      </c>
      <c r="J293">
        <v>17</v>
      </c>
      <c r="K293">
        <v>2</v>
      </c>
      <c r="M293">
        <v>1249</v>
      </c>
      <c r="N293">
        <v>908</v>
      </c>
      <c r="O293">
        <v>316051351.35135138</v>
      </c>
      <c r="P293">
        <v>348166787.38738739</v>
      </c>
      <c r="Q293">
        <v>728</v>
      </c>
      <c r="R293">
        <v>819</v>
      </c>
      <c r="S293">
        <v>524458963.96396399</v>
      </c>
      <c r="T293">
        <v>519583720.72072071</v>
      </c>
      <c r="U293">
        <v>280641351.35135138</v>
      </c>
      <c r="V293">
        <v>312396666.66666669</v>
      </c>
      <c r="W293">
        <v>13097</v>
      </c>
      <c r="X293">
        <v>13277</v>
      </c>
    </row>
    <row r="294" spans="1:24">
      <c r="A294" s="7" t="s">
        <v>391</v>
      </c>
      <c r="B294" s="16" t="s">
        <v>121</v>
      </c>
      <c r="C294">
        <v>29502758.007960085</v>
      </c>
      <c r="D294">
        <v>33321510.721524749</v>
      </c>
      <c r="E294">
        <v>9009.0090090089998</v>
      </c>
      <c r="G294">
        <v>17</v>
      </c>
      <c r="H294">
        <v>10</v>
      </c>
      <c r="M294">
        <v>18</v>
      </c>
      <c r="N294">
        <v>12</v>
      </c>
      <c r="O294">
        <v>90090.090090090001</v>
      </c>
      <c r="Q294">
        <v>9</v>
      </c>
      <c r="S294">
        <v>1546981.981981982</v>
      </c>
      <c r="T294">
        <v>1605072.072072072</v>
      </c>
      <c r="U294">
        <v>81081.081081081007</v>
      </c>
      <c r="W294">
        <v>586</v>
      </c>
      <c r="X294">
        <v>533</v>
      </c>
    </row>
    <row r="295" spans="1:24">
      <c r="A295" s="7" t="s">
        <v>392</v>
      </c>
      <c r="B295" s="16" t="s">
        <v>134</v>
      </c>
      <c r="C295">
        <v>105319237.93217108</v>
      </c>
      <c r="D295">
        <v>101425097.33817104</v>
      </c>
      <c r="E295">
        <v>6306.3063063059999</v>
      </c>
      <c r="F295">
        <v>67567.567567567996</v>
      </c>
      <c r="G295">
        <v>38</v>
      </c>
      <c r="H295">
        <v>31</v>
      </c>
      <c r="I295">
        <v>2</v>
      </c>
      <c r="J295">
        <v>1</v>
      </c>
      <c r="M295">
        <v>43</v>
      </c>
      <c r="N295">
        <v>38</v>
      </c>
      <c r="O295">
        <v>10880180.180180177</v>
      </c>
      <c r="P295">
        <v>6932432.4324324308</v>
      </c>
      <c r="Q295">
        <v>44</v>
      </c>
      <c r="R295">
        <v>15</v>
      </c>
      <c r="S295">
        <v>22815565.765765764</v>
      </c>
      <c r="T295">
        <v>20636700.9009009</v>
      </c>
      <c r="U295">
        <v>3373873.873873875</v>
      </c>
      <c r="V295">
        <v>2165045.0450450461</v>
      </c>
      <c r="W295">
        <v>3456</v>
      </c>
      <c r="X295">
        <v>3515</v>
      </c>
    </row>
    <row r="296" spans="1:24">
      <c r="A296" s="7" t="s">
        <v>393</v>
      </c>
      <c r="B296" s="16" t="s">
        <v>58</v>
      </c>
      <c r="C296">
        <v>515614641.14803839</v>
      </c>
      <c r="D296">
        <v>500372868.93169123</v>
      </c>
      <c r="E296">
        <v>12106081.081081085</v>
      </c>
      <c r="F296">
        <v>14188738.73873874</v>
      </c>
      <c r="G296">
        <v>275</v>
      </c>
      <c r="H296">
        <v>139</v>
      </c>
      <c r="I296">
        <v>21</v>
      </c>
      <c r="J296">
        <v>21</v>
      </c>
      <c r="K296">
        <v>4</v>
      </c>
      <c r="M296">
        <v>310</v>
      </c>
      <c r="N296">
        <v>205</v>
      </c>
      <c r="O296">
        <v>65938468.468468465</v>
      </c>
      <c r="P296">
        <v>46715315.315315314</v>
      </c>
      <c r="Q296">
        <v>407</v>
      </c>
      <c r="R296">
        <v>68</v>
      </c>
      <c r="S296">
        <v>81490735.135135129</v>
      </c>
      <c r="T296">
        <v>80101918.918918908</v>
      </c>
      <c r="U296">
        <v>58900763.963963963</v>
      </c>
      <c r="V296">
        <v>49925765.765765771</v>
      </c>
      <c r="W296">
        <v>9055</v>
      </c>
      <c r="X296">
        <v>9032</v>
      </c>
    </row>
    <row r="297" spans="1:24">
      <c r="A297" s="7" t="s">
        <v>394</v>
      </c>
      <c r="B297" s="16" t="s">
        <v>134</v>
      </c>
      <c r="C297">
        <v>181481369.0384151</v>
      </c>
      <c r="D297">
        <v>172484972.65620908</v>
      </c>
      <c r="E297">
        <v>49774.774774776</v>
      </c>
      <c r="F297">
        <v>1098648.6486486499</v>
      </c>
      <c r="G297">
        <v>30</v>
      </c>
      <c r="H297">
        <v>26</v>
      </c>
      <c r="I297">
        <v>9</v>
      </c>
      <c r="J297">
        <v>6</v>
      </c>
      <c r="M297">
        <v>33</v>
      </c>
      <c r="N297">
        <v>31</v>
      </c>
      <c r="O297">
        <v>19050450.45045045</v>
      </c>
      <c r="P297">
        <v>25617117.117117114</v>
      </c>
      <c r="Q297">
        <v>185</v>
      </c>
      <c r="R297">
        <v>215</v>
      </c>
      <c r="S297">
        <v>32841475.675675672</v>
      </c>
      <c r="T297">
        <v>31448124.324324325</v>
      </c>
      <c r="U297">
        <v>11630810.81081081</v>
      </c>
      <c r="V297">
        <v>17864144.144144144</v>
      </c>
      <c r="W297">
        <v>3807</v>
      </c>
      <c r="X297">
        <v>3919</v>
      </c>
    </row>
    <row r="298" spans="1:24">
      <c r="A298" s="7" t="s">
        <v>395</v>
      </c>
      <c r="B298" s="16" t="s">
        <v>54</v>
      </c>
      <c r="C298">
        <v>76474623.408045053</v>
      </c>
      <c r="D298">
        <v>72695266.816722512</v>
      </c>
      <c r="E298">
        <v>275675.67567567597</v>
      </c>
      <c r="F298">
        <v>55855.855855856003</v>
      </c>
      <c r="G298">
        <v>15</v>
      </c>
      <c r="H298">
        <v>20</v>
      </c>
      <c r="I298">
        <v>1</v>
      </c>
      <c r="J298">
        <v>2</v>
      </c>
      <c r="M298">
        <v>17</v>
      </c>
      <c r="N298">
        <v>21</v>
      </c>
      <c r="O298">
        <v>4208108.1081081089</v>
      </c>
      <c r="P298">
        <v>3281081.0810810812</v>
      </c>
      <c r="Q298">
        <v>24</v>
      </c>
      <c r="R298">
        <v>7</v>
      </c>
      <c r="S298">
        <v>12826396.396396397</v>
      </c>
      <c r="T298">
        <v>11911648.648648648</v>
      </c>
      <c r="U298">
        <v>4476666.666666666</v>
      </c>
      <c r="V298">
        <v>3486486.4864864862</v>
      </c>
      <c r="W298">
        <v>1597</v>
      </c>
      <c r="X298">
        <v>1580</v>
      </c>
    </row>
    <row r="299" spans="1:24">
      <c r="A299" s="7" t="s">
        <v>396</v>
      </c>
      <c r="B299" s="16" t="s">
        <v>397</v>
      </c>
      <c r="C299">
        <v>528146589.11731517</v>
      </c>
      <c r="D299">
        <v>512867640.40117699</v>
      </c>
      <c r="E299">
        <v>2446351.351351351</v>
      </c>
      <c r="F299">
        <v>4601351.3513513487</v>
      </c>
      <c r="G299">
        <v>262</v>
      </c>
      <c r="H299">
        <v>240</v>
      </c>
      <c r="I299">
        <v>14</v>
      </c>
      <c r="J299">
        <v>20</v>
      </c>
      <c r="M299">
        <v>435</v>
      </c>
      <c r="N299">
        <v>620</v>
      </c>
      <c r="O299">
        <v>59141126.126126125</v>
      </c>
      <c r="P299">
        <v>66108108.108108111</v>
      </c>
      <c r="Q299">
        <v>547</v>
      </c>
      <c r="R299">
        <v>501</v>
      </c>
      <c r="S299">
        <v>102335376.57657658</v>
      </c>
      <c r="T299">
        <v>103928533.33333333</v>
      </c>
      <c r="U299">
        <v>60387162.162162162</v>
      </c>
      <c r="V299">
        <v>60293603.603603601</v>
      </c>
      <c r="W299">
        <v>9497</v>
      </c>
      <c r="X299">
        <v>9655</v>
      </c>
    </row>
    <row r="300" spans="1:24">
      <c r="A300" s="7" t="s">
        <v>398</v>
      </c>
      <c r="B300" s="16" t="s">
        <v>399</v>
      </c>
      <c r="C300">
        <v>594676311.21215951</v>
      </c>
      <c r="D300">
        <v>559088227.77674294</v>
      </c>
      <c r="E300">
        <v>12328378.37837838</v>
      </c>
      <c r="F300">
        <v>21718018.018018018</v>
      </c>
      <c r="G300">
        <v>157</v>
      </c>
      <c r="H300">
        <v>119</v>
      </c>
      <c r="I300">
        <v>25</v>
      </c>
      <c r="J300">
        <v>19</v>
      </c>
      <c r="K300">
        <v>1</v>
      </c>
      <c r="M300">
        <v>183</v>
      </c>
      <c r="N300">
        <v>135</v>
      </c>
      <c r="O300">
        <v>129846216.21621621</v>
      </c>
      <c r="P300">
        <v>58069594.59459459</v>
      </c>
      <c r="Q300">
        <v>662</v>
      </c>
      <c r="R300">
        <v>337</v>
      </c>
      <c r="S300">
        <v>106996727.92792793</v>
      </c>
      <c r="T300">
        <v>102646369.36936937</v>
      </c>
      <c r="U300">
        <v>123680000</v>
      </c>
      <c r="V300">
        <v>51846486.486486487</v>
      </c>
      <c r="W300">
        <v>10924</v>
      </c>
      <c r="X300">
        <v>11504</v>
      </c>
    </row>
    <row r="301" spans="1:24">
      <c r="A301" s="7" t="s">
        <v>400</v>
      </c>
      <c r="B301" s="16" t="s">
        <v>140</v>
      </c>
      <c r="C301">
        <v>190183346.67040256</v>
      </c>
      <c r="D301">
        <v>179659197.82946384</v>
      </c>
      <c r="E301">
        <v>707207.20720720803</v>
      </c>
      <c r="F301">
        <v>2540540.540540542</v>
      </c>
      <c r="G301">
        <v>39</v>
      </c>
      <c r="H301">
        <v>48</v>
      </c>
      <c r="I301">
        <v>5</v>
      </c>
      <c r="J301">
        <v>9</v>
      </c>
      <c r="M301">
        <v>46</v>
      </c>
      <c r="N301">
        <v>52</v>
      </c>
      <c r="O301">
        <v>39408108.108108111</v>
      </c>
      <c r="P301">
        <v>38192972.972972974</v>
      </c>
      <c r="Q301">
        <v>21</v>
      </c>
      <c r="R301">
        <v>11</v>
      </c>
      <c r="S301">
        <v>57070450.45045045</v>
      </c>
      <c r="T301">
        <v>56013779.279279277</v>
      </c>
      <c r="U301">
        <v>34320360.360360362</v>
      </c>
      <c r="V301">
        <v>35851081.081081077</v>
      </c>
      <c r="W301">
        <v>3348</v>
      </c>
      <c r="X301">
        <v>3283</v>
      </c>
    </row>
    <row r="302" spans="1:24">
      <c r="A302" s="7" t="s">
        <v>401</v>
      </c>
      <c r="B302" s="16" t="s">
        <v>121</v>
      </c>
      <c r="C302">
        <v>56209184.049523339</v>
      </c>
      <c r="D302">
        <v>49421395.431812219</v>
      </c>
      <c r="E302">
        <v>3603.603603604</v>
      </c>
      <c r="F302">
        <v>414414.41441441502</v>
      </c>
      <c r="G302">
        <v>33</v>
      </c>
      <c r="H302">
        <v>17</v>
      </c>
      <c r="I302">
        <v>1</v>
      </c>
      <c r="J302">
        <v>1</v>
      </c>
      <c r="M302">
        <v>40</v>
      </c>
      <c r="N302">
        <v>22</v>
      </c>
      <c r="O302">
        <v>57657.657657657997</v>
      </c>
      <c r="P302">
        <v>2216216.2162162168</v>
      </c>
      <c r="Q302">
        <v>7</v>
      </c>
      <c r="R302">
        <v>2</v>
      </c>
      <c r="S302">
        <v>3867657.6576576582</v>
      </c>
      <c r="T302">
        <v>4684200.4504504502</v>
      </c>
      <c r="U302">
        <v>1490810.8108108109</v>
      </c>
      <c r="V302">
        <v>1219819.8198198201</v>
      </c>
      <c r="W302">
        <v>1068</v>
      </c>
      <c r="X302">
        <v>1095</v>
      </c>
    </row>
    <row r="303" spans="1:24">
      <c r="A303" s="7" t="s">
        <v>402</v>
      </c>
      <c r="B303" s="16" t="s">
        <v>290</v>
      </c>
      <c r="C303">
        <v>104699794.53455867</v>
      </c>
      <c r="D303">
        <v>77845195.580669403</v>
      </c>
      <c r="E303">
        <v>79279.279279280003</v>
      </c>
      <c r="F303">
        <v>466216.21621621703</v>
      </c>
      <c r="G303">
        <v>51</v>
      </c>
      <c r="H303">
        <v>17</v>
      </c>
      <c r="I303">
        <v>5</v>
      </c>
      <c r="J303">
        <v>3</v>
      </c>
      <c r="K303">
        <v>1</v>
      </c>
      <c r="M303">
        <v>53</v>
      </c>
      <c r="N303">
        <v>20</v>
      </c>
      <c r="O303">
        <v>5232432.4324324327</v>
      </c>
      <c r="P303">
        <v>3552252.2522522528</v>
      </c>
      <c r="Q303">
        <v>61</v>
      </c>
      <c r="R303">
        <v>41</v>
      </c>
      <c r="S303">
        <v>12781801.801801801</v>
      </c>
      <c r="T303">
        <v>10417396.396396397</v>
      </c>
      <c r="U303">
        <v>5284054.0540540544</v>
      </c>
      <c r="V303">
        <v>3876666.666666666</v>
      </c>
      <c r="W303">
        <v>1682</v>
      </c>
      <c r="X303">
        <v>1653</v>
      </c>
    </row>
    <row r="304" spans="1:24">
      <c r="A304" s="7" t="s">
        <v>403</v>
      </c>
      <c r="B304" s="16" t="s">
        <v>121</v>
      </c>
      <c r="C304">
        <v>90437470.438847721</v>
      </c>
      <c r="D304">
        <v>86354247.907841891</v>
      </c>
      <c r="F304">
        <v>57432.432432431997</v>
      </c>
      <c r="G304">
        <v>14</v>
      </c>
      <c r="H304">
        <v>12</v>
      </c>
      <c r="I304">
        <v>1</v>
      </c>
      <c r="J304">
        <v>0</v>
      </c>
      <c r="M304">
        <v>17</v>
      </c>
      <c r="N304">
        <v>16</v>
      </c>
      <c r="O304">
        <v>162162.16216216201</v>
      </c>
      <c r="P304">
        <v>3508579.2792792791</v>
      </c>
      <c r="Q304">
        <v>20</v>
      </c>
      <c r="R304">
        <v>1</v>
      </c>
      <c r="S304">
        <v>7045360.3603603598</v>
      </c>
      <c r="T304">
        <v>6469000</v>
      </c>
      <c r="U304">
        <v>198198.19819819799</v>
      </c>
      <c r="V304">
        <v>13513.513513514001</v>
      </c>
      <c r="W304">
        <v>1055</v>
      </c>
      <c r="X304">
        <v>1059</v>
      </c>
    </row>
    <row r="305" spans="1:24">
      <c r="A305" s="7" t="s">
        <v>404</v>
      </c>
      <c r="B305" s="16" t="s">
        <v>368</v>
      </c>
      <c r="C305">
        <v>216803877.14152351</v>
      </c>
      <c r="D305">
        <v>191370519.28357092</v>
      </c>
      <c r="E305">
        <v>52849545.045045048</v>
      </c>
      <c r="F305">
        <v>92086936.93693693</v>
      </c>
      <c r="G305">
        <v>68</v>
      </c>
      <c r="H305">
        <v>109</v>
      </c>
      <c r="I305">
        <v>13</v>
      </c>
      <c r="J305">
        <v>11</v>
      </c>
      <c r="K305">
        <v>1</v>
      </c>
      <c r="M305">
        <v>76</v>
      </c>
      <c r="N305">
        <v>173</v>
      </c>
      <c r="O305">
        <v>43630540.540540539</v>
      </c>
      <c r="P305">
        <v>51269639.639639638</v>
      </c>
      <c r="Q305">
        <v>485</v>
      </c>
      <c r="R305">
        <v>147</v>
      </c>
      <c r="S305">
        <v>67294617.117117122</v>
      </c>
      <c r="T305">
        <v>68714121.621621624</v>
      </c>
      <c r="U305">
        <v>39482702.702702694</v>
      </c>
      <c r="V305">
        <v>48806126.126126125</v>
      </c>
      <c r="W305">
        <v>4236</v>
      </c>
      <c r="X305">
        <v>4297</v>
      </c>
    </row>
    <row r="306" spans="1:24">
      <c r="A306" s="7" t="s">
        <v>405</v>
      </c>
      <c r="B306" s="16" t="s">
        <v>140</v>
      </c>
      <c r="C306">
        <v>92168572.551838368</v>
      </c>
      <c r="D306">
        <v>93502702.137333497</v>
      </c>
      <c r="E306">
        <v>16666.666666666999</v>
      </c>
      <c r="F306">
        <v>255630.63063063001</v>
      </c>
      <c r="G306">
        <v>2</v>
      </c>
      <c r="H306">
        <v>18</v>
      </c>
      <c r="I306">
        <v>0</v>
      </c>
      <c r="J306">
        <v>1</v>
      </c>
      <c r="M306">
        <v>4</v>
      </c>
      <c r="N306">
        <v>20</v>
      </c>
      <c r="O306">
        <v>11092342.342342341</v>
      </c>
      <c r="P306">
        <v>12647207.207207208</v>
      </c>
      <c r="Q306">
        <v>15</v>
      </c>
      <c r="R306">
        <v>16</v>
      </c>
      <c r="S306">
        <v>24710585.585585583</v>
      </c>
      <c r="T306">
        <v>25272241.441441439</v>
      </c>
      <c r="U306">
        <v>13038468.468468469</v>
      </c>
      <c r="V306">
        <v>13458918.918918921</v>
      </c>
      <c r="W306">
        <v>1458</v>
      </c>
      <c r="X306">
        <v>1429</v>
      </c>
    </row>
    <row r="307" spans="1:24">
      <c r="A307" s="7" t="s">
        <v>406</v>
      </c>
      <c r="B307" s="16" t="s">
        <v>54</v>
      </c>
      <c r="C307">
        <v>133772264.35735336</v>
      </c>
      <c r="D307">
        <v>129935803.24675807</v>
      </c>
      <c r="E307">
        <v>686621.62162162305</v>
      </c>
      <c r="F307">
        <v>2577477.4774774788</v>
      </c>
      <c r="G307">
        <v>11</v>
      </c>
      <c r="H307">
        <v>77</v>
      </c>
      <c r="I307">
        <v>11</v>
      </c>
      <c r="J307">
        <v>8</v>
      </c>
      <c r="M307">
        <v>31</v>
      </c>
      <c r="N307">
        <v>194</v>
      </c>
      <c r="O307">
        <v>8460540.5405405406</v>
      </c>
      <c r="P307">
        <v>11422882.882882884</v>
      </c>
      <c r="Q307">
        <v>85</v>
      </c>
      <c r="R307">
        <v>110</v>
      </c>
      <c r="S307">
        <v>28888288.288288288</v>
      </c>
      <c r="T307">
        <v>28917648.648648649</v>
      </c>
      <c r="U307">
        <v>8895585.5855855849</v>
      </c>
      <c r="V307">
        <v>12292522.522522522</v>
      </c>
      <c r="W307">
        <v>2228</v>
      </c>
      <c r="X307">
        <v>2181</v>
      </c>
    </row>
    <row r="308" spans="1:24">
      <c r="A308" s="7" t="s">
        <v>407</v>
      </c>
      <c r="B308" s="16" t="s">
        <v>134</v>
      </c>
      <c r="C308">
        <v>54984417.425394744</v>
      </c>
      <c r="D308">
        <v>58201553.07525371</v>
      </c>
      <c r="E308">
        <v>24324.324324325</v>
      </c>
      <c r="F308">
        <v>27027.027027027001</v>
      </c>
      <c r="G308">
        <v>13</v>
      </c>
      <c r="H308">
        <v>7</v>
      </c>
      <c r="I308">
        <v>3</v>
      </c>
      <c r="J308">
        <v>2</v>
      </c>
      <c r="M308">
        <v>15</v>
      </c>
      <c r="N308">
        <v>7</v>
      </c>
      <c r="O308">
        <v>3384684.684684685</v>
      </c>
      <c r="P308">
        <v>1873873.8738738729</v>
      </c>
      <c r="Q308">
        <v>5</v>
      </c>
      <c r="R308">
        <v>5</v>
      </c>
      <c r="S308">
        <v>6209819.8198198201</v>
      </c>
      <c r="T308">
        <v>5060873.8738738736</v>
      </c>
      <c r="U308">
        <v>2337117.1171171172</v>
      </c>
      <c r="V308">
        <v>1435855.8558558549</v>
      </c>
      <c r="W308">
        <v>988</v>
      </c>
      <c r="X308">
        <v>920</v>
      </c>
    </row>
    <row r="309" spans="1:24">
      <c r="A309" s="7" t="s">
        <v>408</v>
      </c>
      <c r="B309" s="16" t="s">
        <v>290</v>
      </c>
      <c r="C309">
        <v>36110624.597398862</v>
      </c>
      <c r="D309">
        <v>32322140.752152644</v>
      </c>
      <c r="E309">
        <v>121621.62162162201</v>
      </c>
      <c r="F309">
        <v>658558.55855855998</v>
      </c>
      <c r="G309">
        <v>23</v>
      </c>
      <c r="H309">
        <v>15</v>
      </c>
      <c r="I309">
        <v>3</v>
      </c>
      <c r="J309">
        <v>3</v>
      </c>
      <c r="M309">
        <v>27</v>
      </c>
      <c r="N309">
        <v>16</v>
      </c>
      <c r="O309">
        <v>6545045.0450450452</v>
      </c>
      <c r="P309">
        <v>9201801.8018018026</v>
      </c>
      <c r="Q309">
        <v>28</v>
      </c>
      <c r="R309">
        <v>38</v>
      </c>
      <c r="S309">
        <v>7279045.0450450452</v>
      </c>
      <c r="T309">
        <v>6476828.8288288303</v>
      </c>
      <c r="U309">
        <v>3091351.351351351</v>
      </c>
      <c r="V309">
        <v>7135675.6756756753</v>
      </c>
      <c r="W309">
        <v>886</v>
      </c>
      <c r="X309">
        <v>910</v>
      </c>
    </row>
    <row r="310" spans="1:24">
      <c r="A310" s="7" t="s">
        <v>409</v>
      </c>
      <c r="B310" s="16" t="s">
        <v>178</v>
      </c>
      <c r="C310">
        <v>619086943.95447457</v>
      </c>
      <c r="D310">
        <v>579565117.71021867</v>
      </c>
      <c r="E310">
        <v>182734459.45945945</v>
      </c>
      <c r="F310">
        <v>314785585.58558559</v>
      </c>
      <c r="G310">
        <v>186</v>
      </c>
      <c r="H310">
        <v>144</v>
      </c>
      <c r="I310">
        <v>5</v>
      </c>
      <c r="J310">
        <v>8</v>
      </c>
      <c r="M310">
        <v>212</v>
      </c>
      <c r="N310">
        <v>382</v>
      </c>
      <c r="O310">
        <v>61543783.783783786</v>
      </c>
      <c r="P310">
        <v>70434585.585585579</v>
      </c>
      <c r="Q310">
        <v>26</v>
      </c>
      <c r="R310">
        <v>105</v>
      </c>
      <c r="S310">
        <v>198264178.37837836</v>
      </c>
      <c r="T310">
        <v>198181536.03603604</v>
      </c>
      <c r="U310">
        <v>50877657.657657653</v>
      </c>
      <c r="V310">
        <v>56398828.828828834</v>
      </c>
      <c r="W310">
        <v>9673</v>
      </c>
      <c r="X310">
        <v>10022</v>
      </c>
    </row>
    <row r="311" spans="1:24">
      <c r="A311" s="7" t="s">
        <v>666</v>
      </c>
      <c r="B311" s="16" t="s">
        <v>87</v>
      </c>
      <c r="X311">
        <v>3</v>
      </c>
    </row>
    <row r="312" spans="1:24">
      <c r="A312" s="7" t="s">
        <v>410</v>
      </c>
      <c r="B312" s="16" t="s">
        <v>54</v>
      </c>
      <c r="C312">
        <v>1072913786.1394609</v>
      </c>
      <c r="D312">
        <v>1058531151.8371223</v>
      </c>
      <c r="E312">
        <v>216907454.05405405</v>
      </c>
      <c r="F312">
        <v>177910195.4954955</v>
      </c>
      <c r="G312">
        <v>266</v>
      </c>
      <c r="H312">
        <v>344</v>
      </c>
      <c r="I312">
        <v>54</v>
      </c>
      <c r="J312">
        <v>38</v>
      </c>
      <c r="K312">
        <v>4</v>
      </c>
      <c r="M312">
        <v>338</v>
      </c>
      <c r="N312">
        <v>824</v>
      </c>
      <c r="O312">
        <v>71603423.423423424</v>
      </c>
      <c r="P312">
        <v>80596846.846846849</v>
      </c>
      <c r="Q312">
        <v>658</v>
      </c>
      <c r="R312">
        <v>495</v>
      </c>
      <c r="S312">
        <v>211901827.02702704</v>
      </c>
      <c r="T312">
        <v>218837108.1081081</v>
      </c>
      <c r="U312">
        <v>69946349.54954955</v>
      </c>
      <c r="V312">
        <v>75757747.747747749</v>
      </c>
      <c r="W312">
        <v>19148</v>
      </c>
      <c r="X312">
        <v>19392</v>
      </c>
    </row>
    <row r="313" spans="1:24">
      <c r="A313" s="7" t="s">
        <v>411</v>
      </c>
      <c r="B313" s="16" t="s">
        <v>224</v>
      </c>
      <c r="C313">
        <v>653158979.96140897</v>
      </c>
      <c r="D313">
        <v>537212627.21214736</v>
      </c>
      <c r="E313">
        <v>1867027.02702703</v>
      </c>
      <c r="F313">
        <v>2040540.540540545</v>
      </c>
      <c r="G313">
        <v>200</v>
      </c>
      <c r="H313">
        <v>201</v>
      </c>
      <c r="I313">
        <v>11</v>
      </c>
      <c r="J313">
        <v>8</v>
      </c>
      <c r="M313">
        <v>230</v>
      </c>
      <c r="N313">
        <v>229</v>
      </c>
      <c r="O313">
        <v>92060540.540540546</v>
      </c>
      <c r="P313">
        <v>68060900.9009009</v>
      </c>
      <c r="Q313">
        <v>137</v>
      </c>
      <c r="R313">
        <v>182</v>
      </c>
      <c r="S313">
        <v>171675236.93693691</v>
      </c>
      <c r="T313">
        <v>153661746.84684685</v>
      </c>
      <c r="U313">
        <v>80549819.819819823</v>
      </c>
      <c r="V313">
        <v>74212115.315315306</v>
      </c>
      <c r="W313">
        <v>13723</v>
      </c>
      <c r="X313">
        <v>13703</v>
      </c>
    </row>
    <row r="314" spans="1:24">
      <c r="A314" s="7" t="s">
        <v>412</v>
      </c>
      <c r="B314" s="16" t="s">
        <v>413</v>
      </c>
      <c r="C314">
        <v>207346679.64419827</v>
      </c>
      <c r="D314">
        <v>210796879.40372524</v>
      </c>
      <c r="E314">
        <v>151351.351351352</v>
      </c>
      <c r="F314">
        <v>585135.13513513806</v>
      </c>
      <c r="G314">
        <v>94</v>
      </c>
      <c r="H314">
        <v>18</v>
      </c>
      <c r="I314">
        <v>1</v>
      </c>
      <c r="J314">
        <v>4</v>
      </c>
      <c r="M314">
        <v>108</v>
      </c>
      <c r="N314">
        <v>21</v>
      </c>
      <c r="O314">
        <v>4998198.1981981983</v>
      </c>
      <c r="P314">
        <v>3693693.693693697</v>
      </c>
      <c r="Q314">
        <v>32</v>
      </c>
      <c r="R314">
        <v>39</v>
      </c>
      <c r="S314">
        <v>89667477.477477476</v>
      </c>
      <c r="T314">
        <v>84435684.684684694</v>
      </c>
      <c r="U314">
        <v>4432342.3423423413</v>
      </c>
      <c r="V314">
        <v>4346036.036036036</v>
      </c>
      <c r="W314">
        <v>4029</v>
      </c>
      <c r="X314">
        <v>4147</v>
      </c>
    </row>
    <row r="315" spans="1:24">
      <c r="A315" s="7" t="s">
        <v>414</v>
      </c>
      <c r="B315" s="16" t="s">
        <v>214</v>
      </c>
      <c r="C315">
        <v>1272645648.120101</v>
      </c>
      <c r="D315">
        <v>1364327715.9896777</v>
      </c>
      <c r="E315">
        <v>574884608.10810804</v>
      </c>
      <c r="F315">
        <v>613963145.04504502</v>
      </c>
      <c r="G315">
        <v>580</v>
      </c>
      <c r="H315">
        <v>1072</v>
      </c>
      <c r="I315">
        <v>29</v>
      </c>
      <c r="J315">
        <v>28</v>
      </c>
      <c r="M315">
        <v>662</v>
      </c>
      <c r="N315">
        <v>1351</v>
      </c>
      <c r="O315">
        <v>171622981.98198199</v>
      </c>
      <c r="P315">
        <v>194640315.31531531</v>
      </c>
      <c r="Q315">
        <v>630</v>
      </c>
      <c r="R315">
        <v>569</v>
      </c>
      <c r="S315">
        <v>541877329.72972977</v>
      </c>
      <c r="T315">
        <v>607380881.08108103</v>
      </c>
      <c r="U315">
        <v>165932882.88288289</v>
      </c>
      <c r="V315">
        <v>175540090.09009007</v>
      </c>
      <c r="W315">
        <v>23971</v>
      </c>
      <c r="X315">
        <v>23691</v>
      </c>
    </row>
    <row r="316" spans="1:24">
      <c r="A316" s="7" t="s">
        <v>415</v>
      </c>
      <c r="B316" s="16" t="s">
        <v>413</v>
      </c>
      <c r="C316">
        <v>120486824.61088516</v>
      </c>
      <c r="D316">
        <v>118249918.63203228</v>
      </c>
      <c r="E316">
        <v>338738.73873873899</v>
      </c>
      <c r="F316">
        <v>777027.02702702896</v>
      </c>
      <c r="G316">
        <v>40</v>
      </c>
      <c r="H316">
        <v>36</v>
      </c>
      <c r="I316">
        <v>3</v>
      </c>
      <c r="J316">
        <v>3</v>
      </c>
      <c r="M316">
        <v>44</v>
      </c>
      <c r="N316">
        <v>44</v>
      </c>
      <c r="O316">
        <v>23627558.558558561</v>
      </c>
      <c r="P316">
        <v>19030848.648648649</v>
      </c>
      <c r="Q316">
        <v>57</v>
      </c>
      <c r="R316">
        <v>32</v>
      </c>
      <c r="S316">
        <v>40220225.225225225</v>
      </c>
      <c r="T316">
        <v>43368461.711711712</v>
      </c>
      <c r="U316">
        <v>17698378.37837838</v>
      </c>
      <c r="V316">
        <v>16580540.540540541</v>
      </c>
      <c r="W316">
        <v>2926</v>
      </c>
      <c r="X316">
        <v>2965</v>
      </c>
    </row>
    <row r="317" spans="1:24">
      <c r="A317" s="7" t="s">
        <v>416</v>
      </c>
      <c r="B317" s="16" t="s">
        <v>236</v>
      </c>
      <c r="C317">
        <v>905753134.75637138</v>
      </c>
      <c r="D317">
        <v>851496192.62020373</v>
      </c>
      <c r="E317">
        <v>723873.87387387501</v>
      </c>
      <c r="F317">
        <v>4877477.4774774751</v>
      </c>
      <c r="G317">
        <v>437</v>
      </c>
      <c r="H317">
        <v>175</v>
      </c>
      <c r="I317">
        <v>24</v>
      </c>
      <c r="J317">
        <v>12</v>
      </c>
      <c r="K317">
        <v>4</v>
      </c>
      <c r="M317">
        <v>474</v>
      </c>
      <c r="N317">
        <v>439</v>
      </c>
      <c r="O317">
        <v>131453783.78378379</v>
      </c>
      <c r="P317">
        <v>142928801.8018018</v>
      </c>
      <c r="Q317">
        <v>272</v>
      </c>
      <c r="R317">
        <v>283</v>
      </c>
      <c r="S317">
        <v>212306009.00900903</v>
      </c>
      <c r="T317">
        <v>199196576.57657659</v>
      </c>
      <c r="U317">
        <v>114660720.72072072</v>
      </c>
      <c r="V317">
        <v>137043693.6936937</v>
      </c>
      <c r="W317">
        <v>10960</v>
      </c>
      <c r="X317">
        <v>10717</v>
      </c>
    </row>
    <row r="318" spans="1:24">
      <c r="A318" s="7" t="s">
        <v>417</v>
      </c>
      <c r="B318" s="16" t="s">
        <v>117</v>
      </c>
      <c r="C318">
        <v>862037444.75846004</v>
      </c>
      <c r="D318">
        <v>821705888.56161213</v>
      </c>
      <c r="E318">
        <v>854457634.23423421</v>
      </c>
      <c r="F318">
        <v>650059347.74774766</v>
      </c>
      <c r="G318">
        <v>696</v>
      </c>
      <c r="H318">
        <v>665</v>
      </c>
      <c r="I318">
        <v>62</v>
      </c>
      <c r="J318">
        <v>62</v>
      </c>
      <c r="K318">
        <v>12</v>
      </c>
      <c r="M318">
        <v>883</v>
      </c>
      <c r="N318">
        <v>1050</v>
      </c>
      <c r="O318">
        <v>178004933.33333334</v>
      </c>
      <c r="P318">
        <v>212004834.23423424</v>
      </c>
      <c r="Q318">
        <v>693</v>
      </c>
      <c r="R318">
        <v>797</v>
      </c>
      <c r="S318">
        <v>377566972.97297299</v>
      </c>
      <c r="T318">
        <v>375439480.18018013</v>
      </c>
      <c r="U318">
        <v>174595945.94594595</v>
      </c>
      <c r="V318">
        <v>207708288.2882883</v>
      </c>
      <c r="W318">
        <v>17659</v>
      </c>
      <c r="X318">
        <v>17400</v>
      </c>
    </row>
    <row r="319" spans="1:24">
      <c r="A319" s="7" t="s">
        <v>418</v>
      </c>
      <c r="B319" s="16" t="s">
        <v>147</v>
      </c>
      <c r="C319">
        <v>22685728.586460628</v>
      </c>
      <c r="D319">
        <v>20213644.591894429</v>
      </c>
      <c r="G319">
        <v>10</v>
      </c>
      <c r="H319">
        <v>3</v>
      </c>
      <c r="M319">
        <v>10</v>
      </c>
      <c r="N319">
        <v>3</v>
      </c>
      <c r="S319">
        <v>8125675.6756756762</v>
      </c>
      <c r="T319">
        <v>6818189.1891891882</v>
      </c>
      <c r="W319">
        <v>491</v>
      </c>
      <c r="X319">
        <v>499</v>
      </c>
    </row>
    <row r="320" spans="1:24">
      <c r="A320" s="7" t="s">
        <v>419</v>
      </c>
      <c r="B320" s="16" t="s">
        <v>304</v>
      </c>
      <c r="C320">
        <v>173539498.94414115</v>
      </c>
      <c r="D320">
        <v>180682751.76435831</v>
      </c>
      <c r="E320">
        <v>1147297.2972973001</v>
      </c>
      <c r="F320">
        <v>4722297.297297297</v>
      </c>
      <c r="G320">
        <v>90</v>
      </c>
      <c r="H320">
        <v>113</v>
      </c>
      <c r="I320">
        <v>18</v>
      </c>
      <c r="J320">
        <v>14</v>
      </c>
      <c r="M320">
        <v>100</v>
      </c>
      <c r="N320">
        <v>147</v>
      </c>
      <c r="O320">
        <v>34733333.333333328</v>
      </c>
      <c r="P320">
        <v>32853153.153153155</v>
      </c>
      <c r="Q320">
        <v>232</v>
      </c>
      <c r="R320">
        <v>200</v>
      </c>
      <c r="S320">
        <v>38533063.063063063</v>
      </c>
      <c r="T320">
        <v>40702975.675675683</v>
      </c>
      <c r="U320">
        <v>37379099.0990991</v>
      </c>
      <c r="V320">
        <v>32558828.82882883</v>
      </c>
      <c r="W320">
        <v>2505</v>
      </c>
      <c r="X320">
        <v>2398</v>
      </c>
    </row>
    <row r="321" spans="1:24">
      <c r="A321" s="7" t="s">
        <v>420</v>
      </c>
      <c r="B321" s="16" t="s">
        <v>304</v>
      </c>
      <c r="C321">
        <v>207917403.78056198</v>
      </c>
      <c r="D321">
        <v>202467338.40814593</v>
      </c>
      <c r="E321">
        <v>1664639.6396396409</v>
      </c>
      <c r="F321">
        <v>8033108.1081081051</v>
      </c>
      <c r="G321">
        <v>191</v>
      </c>
      <c r="H321">
        <v>130</v>
      </c>
      <c r="I321">
        <v>15</v>
      </c>
      <c r="J321">
        <v>12</v>
      </c>
      <c r="K321">
        <v>17</v>
      </c>
      <c r="M321">
        <v>226</v>
      </c>
      <c r="N321">
        <v>927</v>
      </c>
      <c r="O321">
        <v>31768468.468468465</v>
      </c>
      <c r="P321">
        <v>38341441.441441439</v>
      </c>
      <c r="Q321">
        <v>557</v>
      </c>
      <c r="R321">
        <v>423</v>
      </c>
      <c r="S321">
        <v>46513259.459459454</v>
      </c>
      <c r="T321">
        <v>61951574.774774775</v>
      </c>
      <c r="U321">
        <v>37459729.729729734</v>
      </c>
      <c r="V321">
        <v>33892432.432432435</v>
      </c>
      <c r="W321">
        <v>3106</v>
      </c>
      <c r="X321">
        <v>2989</v>
      </c>
    </row>
    <row r="322" spans="1:24">
      <c r="A322" s="7" t="s">
        <v>421</v>
      </c>
      <c r="B322" s="16" t="s">
        <v>121</v>
      </c>
      <c r="C322">
        <v>14965535.632258745</v>
      </c>
      <c r="D322">
        <v>9221978.6337177213</v>
      </c>
      <c r="E322">
        <v>12612.612612613</v>
      </c>
      <c r="F322">
        <v>123648.648648649</v>
      </c>
      <c r="G322">
        <v>3</v>
      </c>
      <c r="H322">
        <v>4</v>
      </c>
      <c r="I322">
        <v>1</v>
      </c>
      <c r="J322">
        <v>0</v>
      </c>
      <c r="M322">
        <v>4</v>
      </c>
      <c r="N322">
        <v>5</v>
      </c>
      <c r="O322">
        <v>2769369.3693693699</v>
      </c>
      <c r="P322">
        <v>127927.927927928</v>
      </c>
      <c r="Q322">
        <v>126</v>
      </c>
      <c r="S322">
        <v>1798918.9189189191</v>
      </c>
      <c r="T322">
        <v>1112603.603603604</v>
      </c>
      <c r="U322">
        <v>2763963.963963964</v>
      </c>
      <c r="V322">
        <v>169369.369369369</v>
      </c>
      <c r="W322">
        <v>350</v>
      </c>
      <c r="X322">
        <v>347</v>
      </c>
    </row>
    <row r="323" spans="1:24">
      <c r="A323" s="7" t="s">
        <v>422</v>
      </c>
      <c r="B323" s="16" t="s">
        <v>60</v>
      </c>
      <c r="C323">
        <v>104916543.61027525</v>
      </c>
      <c r="D323">
        <v>106211987.55844632</v>
      </c>
      <c r="E323">
        <v>338738.73873873899</v>
      </c>
      <c r="F323">
        <v>1228828.82882883</v>
      </c>
      <c r="G323">
        <v>47</v>
      </c>
      <c r="H323">
        <v>43</v>
      </c>
      <c r="I323">
        <v>5</v>
      </c>
      <c r="J323">
        <v>8</v>
      </c>
      <c r="M323">
        <v>51</v>
      </c>
      <c r="N323">
        <v>52</v>
      </c>
      <c r="O323">
        <v>18953153.153153151</v>
      </c>
      <c r="P323">
        <v>24663063.063063063</v>
      </c>
      <c r="Q323">
        <v>97</v>
      </c>
      <c r="R323">
        <v>38</v>
      </c>
      <c r="S323">
        <v>35405720.720720723</v>
      </c>
      <c r="T323">
        <v>37582702.702702701</v>
      </c>
      <c r="U323">
        <v>18450540.540540539</v>
      </c>
      <c r="V323">
        <v>24540720.72072072</v>
      </c>
      <c r="W323">
        <v>2100</v>
      </c>
      <c r="X323">
        <v>2062</v>
      </c>
    </row>
    <row r="324" spans="1:24">
      <c r="A324" s="7" t="s">
        <v>423</v>
      </c>
      <c r="B324" s="16" t="s">
        <v>181</v>
      </c>
      <c r="C324">
        <v>1084899410.0547979</v>
      </c>
      <c r="D324">
        <v>1041595888.1944555</v>
      </c>
      <c r="E324">
        <v>3280180.1801801878</v>
      </c>
      <c r="F324">
        <v>13287837.837837839</v>
      </c>
      <c r="G324">
        <v>678</v>
      </c>
      <c r="H324">
        <v>417</v>
      </c>
      <c r="I324">
        <v>75</v>
      </c>
      <c r="J324">
        <v>59</v>
      </c>
      <c r="K324">
        <v>18</v>
      </c>
      <c r="M324">
        <v>883</v>
      </c>
      <c r="N324">
        <v>607</v>
      </c>
      <c r="O324">
        <v>137503963.96396396</v>
      </c>
      <c r="P324">
        <v>189985765.76576576</v>
      </c>
      <c r="Q324">
        <v>1139</v>
      </c>
      <c r="R324">
        <v>1474</v>
      </c>
      <c r="S324">
        <v>297696225.22522521</v>
      </c>
      <c r="T324">
        <v>301116221.62162161</v>
      </c>
      <c r="U324">
        <v>145889909.90990993</v>
      </c>
      <c r="V324">
        <v>183147117.11711711</v>
      </c>
      <c r="W324">
        <v>22340</v>
      </c>
      <c r="X324">
        <v>22365</v>
      </c>
    </row>
    <row r="325" spans="1:24">
      <c r="A325" s="7" t="s">
        <v>424</v>
      </c>
      <c r="B325" s="16" t="s">
        <v>76</v>
      </c>
      <c r="C325">
        <v>46528043.517458864</v>
      </c>
      <c r="D325">
        <v>34869273.018292412</v>
      </c>
      <c r="E325">
        <v>4504.5045045050001</v>
      </c>
      <c r="F325">
        <v>81081.081081081997</v>
      </c>
      <c r="G325">
        <v>8</v>
      </c>
      <c r="H325">
        <v>8</v>
      </c>
      <c r="I325">
        <v>2</v>
      </c>
      <c r="J325">
        <v>2</v>
      </c>
      <c r="M325">
        <v>9</v>
      </c>
      <c r="N325">
        <v>9</v>
      </c>
      <c r="O325">
        <v>3851351.351351351</v>
      </c>
      <c r="P325">
        <v>2450450.4504504502</v>
      </c>
      <c r="Q325">
        <v>9</v>
      </c>
      <c r="R325">
        <v>4</v>
      </c>
      <c r="S325">
        <v>3891522.5225225231</v>
      </c>
      <c r="T325">
        <v>3109162.1621621619</v>
      </c>
      <c r="U325">
        <v>3605765.7657657652</v>
      </c>
      <c r="V325">
        <v>2527477.4774774769</v>
      </c>
      <c r="W325">
        <v>923</v>
      </c>
      <c r="X325">
        <v>939</v>
      </c>
    </row>
    <row r="326" spans="1:24">
      <c r="A326" s="7" t="s">
        <v>425</v>
      </c>
      <c r="B326" s="16" t="s">
        <v>76</v>
      </c>
      <c r="C326">
        <v>127359905.06241265</v>
      </c>
      <c r="D326">
        <v>120630911.93321332</v>
      </c>
      <c r="E326">
        <v>148648.64864865001</v>
      </c>
      <c r="F326">
        <v>185585.585585586</v>
      </c>
      <c r="G326">
        <v>39</v>
      </c>
      <c r="H326">
        <v>29</v>
      </c>
      <c r="I326">
        <v>2</v>
      </c>
      <c r="J326">
        <v>2</v>
      </c>
      <c r="M326">
        <v>45</v>
      </c>
      <c r="N326">
        <v>32</v>
      </c>
      <c r="O326">
        <v>13008108.108108111</v>
      </c>
      <c r="P326">
        <v>14109099.099099098</v>
      </c>
      <c r="Q326">
        <v>20</v>
      </c>
      <c r="R326">
        <v>31</v>
      </c>
      <c r="S326">
        <v>28796216.216216218</v>
      </c>
      <c r="T326">
        <v>26812450.45045045</v>
      </c>
      <c r="U326">
        <v>9976306.3063063081</v>
      </c>
      <c r="V326">
        <v>11471531.53153153</v>
      </c>
      <c r="W326">
        <v>1472</v>
      </c>
      <c r="X326">
        <v>1467</v>
      </c>
    </row>
    <row r="327" spans="1:24">
      <c r="A327" s="7" t="s">
        <v>426</v>
      </c>
      <c r="B327" s="16" t="s">
        <v>330</v>
      </c>
      <c r="C327">
        <v>597660755.36985731</v>
      </c>
      <c r="D327">
        <v>632048557.9558109</v>
      </c>
      <c r="E327">
        <v>2085990.9909909931</v>
      </c>
      <c r="F327">
        <v>6183558.5585585581</v>
      </c>
      <c r="G327">
        <v>209</v>
      </c>
      <c r="H327">
        <v>225</v>
      </c>
      <c r="I327">
        <v>24</v>
      </c>
      <c r="J327">
        <v>26</v>
      </c>
      <c r="K327">
        <v>2</v>
      </c>
      <c r="M327">
        <v>243</v>
      </c>
      <c r="N327">
        <v>275</v>
      </c>
      <c r="O327">
        <v>19141711.711711712</v>
      </c>
      <c r="P327">
        <v>41147387.387387387</v>
      </c>
      <c r="Q327">
        <v>78</v>
      </c>
      <c r="R327">
        <v>252</v>
      </c>
      <c r="S327">
        <v>102045628.82882883</v>
      </c>
      <c r="T327">
        <v>162078722.97297296</v>
      </c>
      <c r="U327">
        <v>20630810.810810808</v>
      </c>
      <c r="V327">
        <v>36004414.414414413</v>
      </c>
      <c r="W327">
        <v>11673</v>
      </c>
      <c r="X327">
        <v>11670</v>
      </c>
    </row>
    <row r="328" spans="1:24">
      <c r="A328" s="7" t="s">
        <v>427</v>
      </c>
      <c r="B328" s="16" t="s">
        <v>241</v>
      </c>
      <c r="C328">
        <v>161158335.24325341</v>
      </c>
      <c r="D328">
        <v>160850279.51561543</v>
      </c>
      <c r="E328">
        <v>254572736.03603604</v>
      </c>
      <c r="F328">
        <v>206376936.93693691</v>
      </c>
      <c r="G328">
        <v>73</v>
      </c>
      <c r="H328">
        <v>61</v>
      </c>
      <c r="I328">
        <v>3</v>
      </c>
      <c r="J328">
        <v>4</v>
      </c>
      <c r="K328">
        <v>1</v>
      </c>
      <c r="M328">
        <v>84</v>
      </c>
      <c r="N328">
        <v>69</v>
      </c>
      <c r="O328">
        <v>59311403.603603601</v>
      </c>
      <c r="P328">
        <v>55771171.171171173</v>
      </c>
      <c r="Q328">
        <v>5</v>
      </c>
      <c r="R328">
        <v>61</v>
      </c>
      <c r="S328">
        <v>61688297.297297299</v>
      </c>
      <c r="T328">
        <v>61796207.20720721</v>
      </c>
      <c r="U328">
        <v>30228108.108108107</v>
      </c>
      <c r="V328">
        <v>41747387.387387395</v>
      </c>
      <c r="W328">
        <v>5293</v>
      </c>
      <c r="X328">
        <v>5193</v>
      </c>
    </row>
    <row r="329" spans="1:24">
      <c r="A329" s="7" t="s">
        <v>428</v>
      </c>
      <c r="B329" s="16" t="s">
        <v>283</v>
      </c>
      <c r="C329">
        <v>66727943.282520339</v>
      </c>
      <c r="D329">
        <v>67888535.159719199</v>
      </c>
      <c r="E329">
        <v>52477.477477478002</v>
      </c>
      <c r="F329">
        <v>714414.41441441595</v>
      </c>
      <c r="G329">
        <v>15</v>
      </c>
      <c r="H329">
        <v>12</v>
      </c>
      <c r="I329">
        <v>4</v>
      </c>
      <c r="J329">
        <v>5</v>
      </c>
      <c r="M329">
        <v>17</v>
      </c>
      <c r="N329">
        <v>51</v>
      </c>
      <c r="O329">
        <v>4206306.3063063072</v>
      </c>
      <c r="P329">
        <v>26628288.288288288</v>
      </c>
      <c r="Q329">
        <v>12</v>
      </c>
      <c r="R329">
        <v>59</v>
      </c>
      <c r="S329">
        <v>11591711.711711712</v>
      </c>
      <c r="T329">
        <v>12746558.558558561</v>
      </c>
      <c r="U329">
        <v>4252612.6126126116</v>
      </c>
      <c r="V329">
        <v>27924954.954954956</v>
      </c>
      <c r="W329">
        <v>1273</v>
      </c>
      <c r="X329">
        <v>1110</v>
      </c>
    </row>
    <row r="330" spans="1:24">
      <c r="A330" s="7" t="s">
        <v>429</v>
      </c>
      <c r="B330" s="16" t="s">
        <v>283</v>
      </c>
      <c r="C330">
        <v>22083464.207863681</v>
      </c>
      <c r="D330">
        <v>21151839.871551447</v>
      </c>
      <c r="E330">
        <v>33748873.873873875</v>
      </c>
      <c r="F330">
        <v>135075675.67567569</v>
      </c>
      <c r="G330">
        <v>1</v>
      </c>
      <c r="H330">
        <v>1</v>
      </c>
      <c r="I330">
        <v>1</v>
      </c>
      <c r="J330">
        <v>1</v>
      </c>
      <c r="M330">
        <v>1</v>
      </c>
      <c r="N330">
        <v>1</v>
      </c>
      <c r="O330">
        <v>27525450.450450446</v>
      </c>
      <c r="P330">
        <v>6315315.3153153164</v>
      </c>
      <c r="S330">
        <v>2102882.8828828819</v>
      </c>
      <c r="T330">
        <v>1543504.5045045051</v>
      </c>
      <c r="U330">
        <v>378378.37837837799</v>
      </c>
      <c r="V330">
        <v>3806576.576576577</v>
      </c>
      <c r="W330">
        <v>472</v>
      </c>
      <c r="X330">
        <v>528</v>
      </c>
    </row>
    <row r="331" spans="1:24">
      <c r="A331" s="7" t="s">
        <v>430</v>
      </c>
      <c r="B331" s="16" t="s">
        <v>283</v>
      </c>
      <c r="C331">
        <v>39631045.944021709</v>
      </c>
      <c r="D331">
        <v>45505579.286850713</v>
      </c>
      <c r="E331">
        <v>9009.0090090089998</v>
      </c>
      <c r="F331">
        <v>265765.76576576597</v>
      </c>
      <c r="G331">
        <v>5</v>
      </c>
      <c r="H331">
        <v>5</v>
      </c>
      <c r="I331">
        <v>1</v>
      </c>
      <c r="J331">
        <v>2</v>
      </c>
      <c r="M331">
        <v>5</v>
      </c>
      <c r="N331">
        <v>5</v>
      </c>
      <c r="O331">
        <v>9009.0090090089998</v>
      </c>
      <c r="P331">
        <v>355855.85585585597</v>
      </c>
      <c r="Q331">
        <v>2</v>
      </c>
      <c r="R331">
        <v>4</v>
      </c>
      <c r="S331">
        <v>3264324.3243243238</v>
      </c>
      <c r="T331">
        <v>3853063.0630630632</v>
      </c>
      <c r="V331">
        <v>173423.423423423</v>
      </c>
      <c r="W331">
        <v>813</v>
      </c>
      <c r="X331">
        <v>792</v>
      </c>
    </row>
    <row r="332" spans="1:24">
      <c r="A332" s="7" t="s">
        <v>431</v>
      </c>
      <c r="B332" s="16" t="s">
        <v>78</v>
      </c>
      <c r="C332">
        <v>273346669.28508341</v>
      </c>
      <c r="D332">
        <v>272437175.03238529</v>
      </c>
      <c r="E332">
        <v>2169369.3693693718</v>
      </c>
      <c r="F332">
        <v>4300900.9009009022</v>
      </c>
      <c r="G332">
        <v>65</v>
      </c>
      <c r="H332">
        <v>251</v>
      </c>
      <c r="I332">
        <v>3</v>
      </c>
      <c r="J332">
        <v>15</v>
      </c>
      <c r="M332">
        <v>83</v>
      </c>
      <c r="N332">
        <v>357</v>
      </c>
      <c r="O332">
        <v>22993693.693693694</v>
      </c>
      <c r="P332">
        <v>28138738.738738742</v>
      </c>
      <c r="Q332">
        <v>96</v>
      </c>
      <c r="R332">
        <v>410</v>
      </c>
      <c r="S332">
        <v>115123225.22522523</v>
      </c>
      <c r="T332">
        <v>120274180.18018018</v>
      </c>
      <c r="U332">
        <v>23232252.252252251</v>
      </c>
      <c r="V332">
        <v>27379639.639639638</v>
      </c>
      <c r="W332">
        <v>6345</v>
      </c>
      <c r="X332">
        <v>6710</v>
      </c>
    </row>
    <row r="333" spans="1:24">
      <c r="A333" s="7" t="s">
        <v>432</v>
      </c>
      <c r="B333" s="16" t="s">
        <v>105</v>
      </c>
      <c r="C333">
        <v>251439219.74072877</v>
      </c>
      <c r="D333">
        <v>244302312.87871295</v>
      </c>
      <c r="E333">
        <v>122522.522522523</v>
      </c>
      <c r="F333">
        <v>1074774.7747747749</v>
      </c>
      <c r="G333">
        <v>70</v>
      </c>
      <c r="H333">
        <v>22</v>
      </c>
      <c r="I333">
        <v>4</v>
      </c>
      <c r="J333">
        <v>2</v>
      </c>
      <c r="M333">
        <v>96</v>
      </c>
      <c r="N333">
        <v>33</v>
      </c>
      <c r="O333">
        <v>27341081.081081081</v>
      </c>
      <c r="P333">
        <v>29637972.97297297</v>
      </c>
      <c r="Q333">
        <v>84</v>
      </c>
      <c r="R333">
        <v>121</v>
      </c>
      <c r="S333">
        <v>58647690.090090089</v>
      </c>
      <c r="T333">
        <v>58181324.324324317</v>
      </c>
      <c r="U333">
        <v>28561171.171171173</v>
      </c>
      <c r="V333">
        <v>31197252.252252251</v>
      </c>
      <c r="W333">
        <v>3864</v>
      </c>
      <c r="X333">
        <v>3221</v>
      </c>
    </row>
    <row r="334" spans="1:24">
      <c r="A334" s="7" t="s">
        <v>433</v>
      </c>
      <c r="B334" s="16" t="s">
        <v>72</v>
      </c>
      <c r="C334">
        <v>1355688927.1431043</v>
      </c>
      <c r="D334">
        <v>1297011019.9891617</v>
      </c>
      <c r="E334">
        <v>3273423.4234234341</v>
      </c>
      <c r="F334">
        <v>8856306.3063063193</v>
      </c>
      <c r="G334">
        <v>370</v>
      </c>
      <c r="H334">
        <v>359</v>
      </c>
      <c r="I334">
        <v>73</v>
      </c>
      <c r="J334">
        <v>67</v>
      </c>
      <c r="K334">
        <v>1</v>
      </c>
      <c r="M334">
        <v>479</v>
      </c>
      <c r="N334">
        <v>508</v>
      </c>
      <c r="O334">
        <v>195765315.31531534</v>
      </c>
      <c r="P334">
        <v>191270720.72072074</v>
      </c>
      <c r="Q334">
        <v>612</v>
      </c>
      <c r="R334">
        <v>746</v>
      </c>
      <c r="S334">
        <v>282250345.94594598</v>
      </c>
      <c r="T334">
        <v>273026358.1081081</v>
      </c>
      <c r="U334">
        <v>154876482.88288289</v>
      </c>
      <c r="V334">
        <v>145934864.86486486</v>
      </c>
      <c r="W334">
        <v>18434</v>
      </c>
      <c r="X334">
        <v>18248</v>
      </c>
    </row>
    <row r="335" spans="1:24">
      <c r="A335" s="7" t="s">
        <v>434</v>
      </c>
      <c r="B335" s="16" t="s">
        <v>72</v>
      </c>
      <c r="C335">
        <v>939487505.15537632</v>
      </c>
      <c r="D335">
        <v>886648381.32940388</v>
      </c>
      <c r="E335">
        <v>3448648.6486486509</v>
      </c>
      <c r="F335">
        <v>5677702.7027027104</v>
      </c>
      <c r="G335">
        <v>184</v>
      </c>
      <c r="H335">
        <v>191</v>
      </c>
      <c r="I335">
        <v>19</v>
      </c>
      <c r="J335">
        <v>25</v>
      </c>
      <c r="K335">
        <v>3</v>
      </c>
      <c r="M335">
        <v>205</v>
      </c>
      <c r="N335">
        <v>241</v>
      </c>
      <c r="O335">
        <v>109642252.25225225</v>
      </c>
      <c r="P335">
        <v>105243243.24324325</v>
      </c>
      <c r="Q335">
        <v>316</v>
      </c>
      <c r="R335">
        <v>108</v>
      </c>
      <c r="S335">
        <v>167673878.37837836</v>
      </c>
      <c r="T335">
        <v>166832612.61261261</v>
      </c>
      <c r="U335">
        <v>82665855.855855852</v>
      </c>
      <c r="V335">
        <v>73901801.801801801</v>
      </c>
      <c r="W335">
        <v>13553</v>
      </c>
      <c r="X335">
        <v>13658</v>
      </c>
    </row>
    <row r="336" spans="1:24">
      <c r="A336" s="7" t="s">
        <v>435</v>
      </c>
      <c r="B336" s="16" t="s">
        <v>94</v>
      </c>
      <c r="C336">
        <v>71302113.725615487</v>
      </c>
      <c r="D336">
        <v>62157818.795803972</v>
      </c>
      <c r="E336">
        <v>900.900900901</v>
      </c>
      <c r="F336">
        <v>13513.513513514001</v>
      </c>
      <c r="G336">
        <v>13</v>
      </c>
      <c r="H336">
        <v>5</v>
      </c>
      <c r="I336">
        <v>0</v>
      </c>
      <c r="J336">
        <v>0</v>
      </c>
      <c r="M336">
        <v>13</v>
      </c>
      <c r="N336">
        <v>5</v>
      </c>
      <c r="O336">
        <v>991891.89189189195</v>
      </c>
      <c r="P336">
        <v>554054.05405405397</v>
      </c>
      <c r="S336">
        <v>16019144.144144144</v>
      </c>
      <c r="T336">
        <v>15306414.414414413</v>
      </c>
      <c r="U336">
        <v>430540.54054054001</v>
      </c>
      <c r="V336">
        <v>440810.810810811</v>
      </c>
      <c r="W336">
        <v>912</v>
      </c>
      <c r="X336">
        <v>912</v>
      </c>
    </row>
    <row r="337" spans="1:24">
      <c r="A337" s="7" t="s">
        <v>436</v>
      </c>
      <c r="B337" s="16" t="s">
        <v>89</v>
      </c>
      <c r="C337">
        <v>322154538.01368344</v>
      </c>
      <c r="D337">
        <v>327186832.24230319</v>
      </c>
      <c r="E337">
        <v>3335090.0900900951</v>
      </c>
      <c r="F337">
        <v>5170270.2702702777</v>
      </c>
      <c r="G337">
        <v>73</v>
      </c>
      <c r="H337">
        <v>88</v>
      </c>
      <c r="I337">
        <v>23</v>
      </c>
      <c r="J337">
        <v>25</v>
      </c>
      <c r="K337">
        <v>1</v>
      </c>
      <c r="M337">
        <v>78</v>
      </c>
      <c r="N337">
        <v>98</v>
      </c>
      <c r="O337">
        <v>43489099.0990991</v>
      </c>
      <c r="P337">
        <v>49020720.720720723</v>
      </c>
      <c r="Q337">
        <v>220</v>
      </c>
      <c r="R337">
        <v>234</v>
      </c>
      <c r="S337">
        <v>140466036.03603604</v>
      </c>
      <c r="T337">
        <v>148994049.54954955</v>
      </c>
      <c r="U337">
        <v>43077747.747747742</v>
      </c>
      <c r="V337">
        <v>46579009.009009011</v>
      </c>
      <c r="W337">
        <v>5405</v>
      </c>
      <c r="X337">
        <v>5387</v>
      </c>
    </row>
    <row r="338" spans="1:24">
      <c r="A338" s="7" t="s">
        <v>437</v>
      </c>
      <c r="B338" s="16" t="s">
        <v>70</v>
      </c>
      <c r="C338">
        <v>11030832.96391684</v>
      </c>
      <c r="D338">
        <v>10411173.347198363</v>
      </c>
      <c r="G338">
        <v>21</v>
      </c>
      <c r="H338">
        <v>6</v>
      </c>
      <c r="M338">
        <v>22</v>
      </c>
      <c r="N338">
        <v>9</v>
      </c>
      <c r="S338">
        <v>6537972.9729729732</v>
      </c>
      <c r="T338">
        <v>7059945.9459459456</v>
      </c>
      <c r="W338">
        <v>1259</v>
      </c>
      <c r="X338">
        <v>1299</v>
      </c>
    </row>
    <row r="339" spans="1:24">
      <c r="A339" s="7" t="s">
        <v>438</v>
      </c>
      <c r="B339" s="16" t="s">
        <v>195</v>
      </c>
      <c r="C339">
        <v>1599720104.1906841</v>
      </c>
      <c r="D339">
        <v>1556856009.020438</v>
      </c>
      <c r="E339">
        <v>212054058.55855855</v>
      </c>
      <c r="F339">
        <v>184700397.29729727</v>
      </c>
      <c r="G339">
        <v>481</v>
      </c>
      <c r="H339">
        <v>408</v>
      </c>
      <c r="I339">
        <v>27</v>
      </c>
      <c r="J339">
        <v>25</v>
      </c>
      <c r="M339">
        <v>552</v>
      </c>
      <c r="N339">
        <v>568</v>
      </c>
      <c r="O339">
        <v>152230630.63063061</v>
      </c>
      <c r="P339">
        <v>154706396.3963964</v>
      </c>
      <c r="Q339">
        <v>331</v>
      </c>
      <c r="R339">
        <v>409</v>
      </c>
      <c r="S339">
        <v>252078745.94594595</v>
      </c>
      <c r="T339">
        <v>266709009.00900903</v>
      </c>
      <c r="U339">
        <v>130580180.18018019</v>
      </c>
      <c r="V339">
        <v>130417477.47747748</v>
      </c>
      <c r="W339">
        <v>20693</v>
      </c>
      <c r="X339">
        <v>20798</v>
      </c>
    </row>
    <row r="340" spans="1:24">
      <c r="A340" s="7" t="s">
        <v>439</v>
      </c>
      <c r="B340" s="16" t="s">
        <v>178</v>
      </c>
      <c r="C340">
        <v>761963091.75125599</v>
      </c>
      <c r="D340">
        <v>774710357.60424745</v>
      </c>
      <c r="E340">
        <v>851621.62162162201</v>
      </c>
      <c r="F340">
        <v>5063963.963963964</v>
      </c>
      <c r="G340">
        <v>218</v>
      </c>
      <c r="H340">
        <v>200</v>
      </c>
      <c r="I340">
        <v>14</v>
      </c>
      <c r="J340">
        <v>46</v>
      </c>
      <c r="K340">
        <v>1</v>
      </c>
      <c r="M340">
        <v>255</v>
      </c>
      <c r="N340">
        <v>265</v>
      </c>
      <c r="O340">
        <v>129468970.27027027</v>
      </c>
      <c r="P340">
        <v>138249584.68468469</v>
      </c>
      <c r="Q340">
        <v>353</v>
      </c>
      <c r="R340">
        <v>331</v>
      </c>
      <c r="S340">
        <v>299769945.94594592</v>
      </c>
      <c r="T340">
        <v>313984319.81981987</v>
      </c>
      <c r="U340">
        <v>121041845.04504506</v>
      </c>
      <c r="V340">
        <v>127957162.16216215</v>
      </c>
      <c r="W340">
        <v>13765</v>
      </c>
      <c r="X340">
        <v>14763</v>
      </c>
    </row>
    <row r="341" spans="1:24">
      <c r="A341" s="7" t="s">
        <v>440</v>
      </c>
      <c r="B341" s="16" t="s">
        <v>78</v>
      </c>
      <c r="C341">
        <v>330622837.95928788</v>
      </c>
      <c r="D341">
        <v>332763959.65947253</v>
      </c>
      <c r="E341">
        <v>3057387.387387387</v>
      </c>
      <c r="F341">
        <v>4433108.1081081098</v>
      </c>
      <c r="G341">
        <v>68</v>
      </c>
      <c r="H341">
        <v>69</v>
      </c>
      <c r="I341">
        <v>8</v>
      </c>
      <c r="J341">
        <v>15</v>
      </c>
      <c r="K341">
        <v>1</v>
      </c>
      <c r="M341">
        <v>84</v>
      </c>
      <c r="N341">
        <v>175</v>
      </c>
      <c r="O341">
        <v>26893423.423423417</v>
      </c>
      <c r="P341">
        <v>36961261.261261255</v>
      </c>
      <c r="Q341">
        <v>104</v>
      </c>
      <c r="R341">
        <v>148</v>
      </c>
      <c r="S341">
        <v>66898756.756756753</v>
      </c>
      <c r="T341">
        <v>68819270.270270273</v>
      </c>
      <c r="U341">
        <v>30786576.576576576</v>
      </c>
      <c r="V341">
        <v>34631801.801801801</v>
      </c>
      <c r="W341">
        <v>4968</v>
      </c>
      <c r="X341">
        <v>4981</v>
      </c>
    </row>
    <row r="342" spans="1:24">
      <c r="A342" s="7" t="s">
        <v>441</v>
      </c>
      <c r="B342" s="16" t="s">
        <v>78</v>
      </c>
      <c r="C342">
        <v>152599408.01108021</v>
      </c>
      <c r="D342">
        <v>141058512.0976598</v>
      </c>
      <c r="E342">
        <v>347747.74774775002</v>
      </c>
      <c r="F342">
        <v>2523423.4234234239</v>
      </c>
      <c r="G342">
        <v>36</v>
      </c>
      <c r="H342">
        <v>46</v>
      </c>
      <c r="I342">
        <v>5</v>
      </c>
      <c r="J342">
        <v>15</v>
      </c>
      <c r="M342">
        <v>37</v>
      </c>
      <c r="N342">
        <v>50</v>
      </c>
      <c r="O342">
        <v>16465675.675675675</v>
      </c>
      <c r="P342">
        <v>71543873.873873875</v>
      </c>
      <c r="Q342">
        <v>64</v>
      </c>
      <c r="R342">
        <v>65</v>
      </c>
      <c r="S342">
        <v>31354351.351351351</v>
      </c>
      <c r="T342">
        <v>30919747.747747749</v>
      </c>
      <c r="U342">
        <v>21772072.072072074</v>
      </c>
      <c r="V342">
        <v>69754054.054054052</v>
      </c>
      <c r="W342">
        <v>2300</v>
      </c>
      <c r="X342">
        <v>2335</v>
      </c>
    </row>
    <row r="343" spans="1:24">
      <c r="A343" s="7" t="s">
        <v>442</v>
      </c>
      <c r="B343" s="16" t="s">
        <v>123</v>
      </c>
      <c r="C343">
        <v>2327722.245920951</v>
      </c>
      <c r="D343">
        <v>1901481.33591344</v>
      </c>
      <c r="G343">
        <v>1</v>
      </c>
      <c r="M343">
        <v>1</v>
      </c>
      <c r="N343">
        <v>1</v>
      </c>
      <c r="S343">
        <v>1111171.1711711709</v>
      </c>
      <c r="T343">
        <v>721531.53153153195</v>
      </c>
      <c r="W343">
        <v>401</v>
      </c>
      <c r="X343">
        <v>194</v>
      </c>
    </row>
    <row r="344" spans="1:24">
      <c r="A344" s="7" t="s">
        <v>443</v>
      </c>
      <c r="B344" s="16" t="s">
        <v>140</v>
      </c>
      <c r="C344">
        <v>333412887.50198245</v>
      </c>
      <c r="D344">
        <v>337109046.7319324</v>
      </c>
      <c r="E344">
        <v>1943018.0180180201</v>
      </c>
      <c r="F344">
        <v>3870720.7207207219</v>
      </c>
      <c r="G344">
        <v>28</v>
      </c>
      <c r="H344">
        <v>56</v>
      </c>
      <c r="I344">
        <v>14</v>
      </c>
      <c r="J344">
        <v>8</v>
      </c>
      <c r="K344">
        <v>1</v>
      </c>
      <c r="M344">
        <v>35</v>
      </c>
      <c r="N344">
        <v>106</v>
      </c>
      <c r="O344">
        <v>40654504.504504502</v>
      </c>
      <c r="P344">
        <v>42776936.936936937</v>
      </c>
      <c r="Q344">
        <v>263</v>
      </c>
      <c r="R344">
        <v>281</v>
      </c>
      <c r="S344">
        <v>83952297.297297299</v>
      </c>
      <c r="T344">
        <v>90638756.756756753</v>
      </c>
      <c r="U344">
        <v>35347297.297297299</v>
      </c>
      <c r="V344">
        <v>36302432.432432435</v>
      </c>
      <c r="W344">
        <v>5743</v>
      </c>
      <c r="X344">
        <v>5613</v>
      </c>
    </row>
    <row r="345" spans="1:24">
      <c r="A345" s="7" t="s">
        <v>444</v>
      </c>
      <c r="B345" s="16" t="s">
        <v>76</v>
      </c>
      <c r="C345">
        <v>37760079.167688303</v>
      </c>
      <c r="D345">
        <v>38155303.509791784</v>
      </c>
      <c r="E345">
        <v>175675.675675676</v>
      </c>
      <c r="F345">
        <v>289189.189189189</v>
      </c>
      <c r="G345">
        <v>10</v>
      </c>
      <c r="H345">
        <v>6</v>
      </c>
      <c r="I345">
        <v>1</v>
      </c>
      <c r="J345">
        <v>2</v>
      </c>
      <c r="M345">
        <v>11</v>
      </c>
      <c r="N345">
        <v>7</v>
      </c>
      <c r="O345">
        <v>9310810.8108108118</v>
      </c>
      <c r="P345">
        <v>5428828.8288288293</v>
      </c>
      <c r="Q345">
        <v>12</v>
      </c>
      <c r="R345">
        <v>72</v>
      </c>
      <c r="S345">
        <v>8256846.8468468469</v>
      </c>
      <c r="T345">
        <v>8284567.5675675683</v>
      </c>
      <c r="U345">
        <v>7659009.0090090092</v>
      </c>
      <c r="V345">
        <v>5361081.0810810812</v>
      </c>
      <c r="W345">
        <v>615</v>
      </c>
      <c r="X345">
        <v>727</v>
      </c>
    </row>
    <row r="346" spans="1:24">
      <c r="A346" s="7" t="s">
        <v>445</v>
      </c>
      <c r="B346" s="16" t="s">
        <v>89</v>
      </c>
      <c r="C346">
        <v>1041318555.2620009</v>
      </c>
      <c r="D346">
        <v>1045547873.8937376</v>
      </c>
      <c r="E346">
        <v>422455505.40540546</v>
      </c>
      <c r="F346">
        <v>418972692.79279286</v>
      </c>
      <c r="G346">
        <v>882</v>
      </c>
      <c r="H346">
        <v>606</v>
      </c>
      <c r="I346">
        <v>87</v>
      </c>
      <c r="J346">
        <v>88</v>
      </c>
      <c r="K346">
        <v>7</v>
      </c>
      <c r="M346">
        <v>1128</v>
      </c>
      <c r="N346">
        <v>1915</v>
      </c>
      <c r="O346">
        <v>115603693.6936937</v>
      </c>
      <c r="P346">
        <v>324319189.1891892</v>
      </c>
      <c r="Q346">
        <v>857</v>
      </c>
      <c r="R346">
        <v>1112</v>
      </c>
      <c r="S346">
        <v>327648936.93693697</v>
      </c>
      <c r="T346">
        <v>346970088.2882883</v>
      </c>
      <c r="U346">
        <v>118690990.990991</v>
      </c>
      <c r="V346">
        <v>226659099.0990991</v>
      </c>
      <c r="W346">
        <v>16478</v>
      </c>
      <c r="X346">
        <v>16570</v>
      </c>
    </row>
    <row r="347" spans="1:24">
      <c r="A347" s="7" t="s">
        <v>446</v>
      </c>
      <c r="B347" s="16" t="s">
        <v>48</v>
      </c>
      <c r="C347">
        <v>109456526.23777471</v>
      </c>
      <c r="D347">
        <v>103652100.81680819</v>
      </c>
      <c r="E347">
        <v>1105405.4054054059</v>
      </c>
      <c r="F347">
        <v>2283783.7837837832</v>
      </c>
      <c r="G347">
        <v>21</v>
      </c>
      <c r="H347">
        <v>10</v>
      </c>
      <c r="I347">
        <v>3</v>
      </c>
      <c r="J347">
        <v>2</v>
      </c>
      <c r="M347">
        <v>24</v>
      </c>
      <c r="N347">
        <v>19</v>
      </c>
      <c r="O347">
        <v>13820720.72072072</v>
      </c>
      <c r="P347">
        <v>23914594.594594598</v>
      </c>
      <c r="R347">
        <v>19</v>
      </c>
      <c r="S347">
        <v>38278603.603603601</v>
      </c>
      <c r="T347">
        <v>35378540.540540539</v>
      </c>
      <c r="U347">
        <v>13109099.0990991</v>
      </c>
      <c r="V347">
        <v>24199819.819819819</v>
      </c>
      <c r="W347">
        <v>1282</v>
      </c>
      <c r="X347">
        <v>1111</v>
      </c>
    </row>
    <row r="348" spans="1:24">
      <c r="A348" s="7" t="s">
        <v>447</v>
      </c>
      <c r="B348" s="16" t="s">
        <v>448</v>
      </c>
      <c r="C348">
        <v>210951255.58866557</v>
      </c>
      <c r="D348">
        <v>207685124.08536977</v>
      </c>
      <c r="E348">
        <v>1181756.7567567569</v>
      </c>
      <c r="F348">
        <v>4627027.0270270249</v>
      </c>
      <c r="G348">
        <v>634</v>
      </c>
      <c r="H348">
        <v>107</v>
      </c>
      <c r="I348">
        <v>9</v>
      </c>
      <c r="J348">
        <v>10</v>
      </c>
      <c r="M348">
        <v>653</v>
      </c>
      <c r="N348">
        <v>213</v>
      </c>
      <c r="O348">
        <v>83135855.855855852</v>
      </c>
      <c r="P348">
        <v>24598018.018018015</v>
      </c>
      <c r="Q348">
        <v>483</v>
      </c>
      <c r="R348">
        <v>19</v>
      </c>
      <c r="S348">
        <v>82919864.864864871</v>
      </c>
      <c r="T348">
        <v>83400630.630630627</v>
      </c>
      <c r="U348">
        <v>82876486.48648648</v>
      </c>
      <c r="V348">
        <v>25105585.585585587</v>
      </c>
      <c r="W348">
        <v>5544</v>
      </c>
      <c r="X348">
        <v>5683</v>
      </c>
    </row>
    <row r="349" spans="1:24">
      <c r="A349" s="7" t="s">
        <v>449</v>
      </c>
      <c r="B349" s="16" t="s">
        <v>76</v>
      </c>
      <c r="C349">
        <v>54267813.778586902</v>
      </c>
      <c r="D349">
        <v>50519902.727490962</v>
      </c>
      <c r="E349">
        <v>431531.53153153299</v>
      </c>
      <c r="F349">
        <v>614414.414414417</v>
      </c>
      <c r="G349">
        <v>18</v>
      </c>
      <c r="H349">
        <v>29</v>
      </c>
      <c r="I349">
        <v>2</v>
      </c>
      <c r="J349">
        <v>6</v>
      </c>
      <c r="M349">
        <v>21</v>
      </c>
      <c r="N349">
        <v>30</v>
      </c>
      <c r="O349">
        <v>12669369.369369371</v>
      </c>
      <c r="P349">
        <v>18275945.945945948</v>
      </c>
      <c r="Q349">
        <v>26</v>
      </c>
      <c r="R349">
        <v>16</v>
      </c>
      <c r="S349">
        <v>19553018.018018015</v>
      </c>
      <c r="T349">
        <v>18179232.432432432</v>
      </c>
      <c r="U349">
        <v>10563783.783783784</v>
      </c>
      <c r="V349">
        <v>14668378.378378378</v>
      </c>
      <c r="W349">
        <v>1868</v>
      </c>
      <c r="X349">
        <v>1897</v>
      </c>
    </row>
    <row r="350" spans="1:24">
      <c r="A350" s="7" t="s">
        <v>450</v>
      </c>
      <c r="B350" s="16" t="s">
        <v>83</v>
      </c>
      <c r="C350">
        <v>1887070484.4875393</v>
      </c>
      <c r="D350">
        <v>1854397537.3212481</v>
      </c>
      <c r="E350">
        <v>644181072.07207203</v>
      </c>
      <c r="F350">
        <v>769840507.2072072</v>
      </c>
      <c r="G350">
        <v>462</v>
      </c>
      <c r="H350">
        <v>715</v>
      </c>
      <c r="I350">
        <v>42</v>
      </c>
      <c r="J350">
        <v>45</v>
      </c>
      <c r="K350">
        <v>8</v>
      </c>
      <c r="M350">
        <v>669</v>
      </c>
      <c r="N350">
        <v>955</v>
      </c>
      <c r="O350">
        <v>204767522.52252254</v>
      </c>
      <c r="P350">
        <v>285426711.7117117</v>
      </c>
      <c r="Q350">
        <v>345</v>
      </c>
      <c r="R350">
        <v>1036</v>
      </c>
      <c r="S350">
        <v>405086360.36036038</v>
      </c>
      <c r="T350">
        <v>397630056.3063063</v>
      </c>
      <c r="U350">
        <v>196646891.8918919</v>
      </c>
      <c r="V350">
        <v>273978513.51351351</v>
      </c>
      <c r="W350">
        <v>31663</v>
      </c>
      <c r="X350">
        <v>31414</v>
      </c>
    </row>
    <row r="351" spans="1:24">
      <c r="A351" s="7" t="s">
        <v>451</v>
      </c>
      <c r="B351" s="16" t="s">
        <v>70</v>
      </c>
      <c r="C351">
        <v>132570998.30295472</v>
      </c>
      <c r="D351">
        <v>124817020.35157</v>
      </c>
      <c r="E351">
        <v>602027.02702702698</v>
      </c>
      <c r="F351">
        <v>563063.06306306401</v>
      </c>
      <c r="G351">
        <v>22</v>
      </c>
      <c r="H351">
        <v>27</v>
      </c>
      <c r="I351">
        <v>1</v>
      </c>
      <c r="J351">
        <v>3</v>
      </c>
      <c r="M351">
        <v>23</v>
      </c>
      <c r="N351">
        <v>31</v>
      </c>
      <c r="O351">
        <v>2898198.1981981979</v>
      </c>
      <c r="P351">
        <v>3772072.072072071</v>
      </c>
      <c r="R351">
        <v>22</v>
      </c>
      <c r="S351">
        <v>81035810.810810819</v>
      </c>
      <c r="T351">
        <v>75896477.477477476</v>
      </c>
      <c r="U351">
        <v>4609279.2792792805</v>
      </c>
      <c r="V351">
        <v>3384144.144144142</v>
      </c>
      <c r="W351">
        <v>2853</v>
      </c>
      <c r="X351">
        <v>2910</v>
      </c>
    </row>
    <row r="352" spans="1:24">
      <c r="A352" s="7" t="s">
        <v>452</v>
      </c>
      <c r="B352" s="16" t="s">
        <v>167</v>
      </c>
      <c r="C352">
        <v>152678881.29782042</v>
      </c>
      <c r="D352">
        <v>147483913.33084506</v>
      </c>
      <c r="E352">
        <v>39639.639639640001</v>
      </c>
      <c r="F352">
        <v>3200000</v>
      </c>
      <c r="G352">
        <v>25</v>
      </c>
      <c r="H352">
        <v>4</v>
      </c>
      <c r="I352">
        <v>1</v>
      </c>
      <c r="J352">
        <v>1</v>
      </c>
      <c r="K352">
        <v>1</v>
      </c>
      <c r="M352">
        <v>34</v>
      </c>
      <c r="N352">
        <v>5</v>
      </c>
      <c r="O352">
        <v>16923603.603603601</v>
      </c>
      <c r="P352">
        <v>8236486.4864864871</v>
      </c>
      <c r="Q352">
        <v>314</v>
      </c>
      <c r="S352">
        <v>27897252.252252251</v>
      </c>
      <c r="T352">
        <v>28271180.180180181</v>
      </c>
      <c r="U352">
        <v>18060810.810810812</v>
      </c>
      <c r="V352">
        <v>7064864.8648648644</v>
      </c>
      <c r="W352">
        <v>2782</v>
      </c>
      <c r="X352">
        <v>2689</v>
      </c>
    </row>
    <row r="353" spans="1:24">
      <c r="A353" s="7" t="s">
        <v>453</v>
      </c>
      <c r="B353" s="16" t="s">
        <v>121</v>
      </c>
      <c r="C353">
        <v>9245318.7474590987</v>
      </c>
      <c r="D353">
        <v>5953362.8959347839</v>
      </c>
      <c r="E353">
        <v>16216.216216216</v>
      </c>
      <c r="F353">
        <v>34234.234234233998</v>
      </c>
      <c r="G353">
        <v>4</v>
      </c>
      <c r="H353">
        <v>2</v>
      </c>
      <c r="I353">
        <v>1</v>
      </c>
      <c r="J353">
        <v>0</v>
      </c>
      <c r="M353">
        <v>4</v>
      </c>
      <c r="N353">
        <v>2</v>
      </c>
      <c r="O353">
        <v>160360.36036036001</v>
      </c>
      <c r="P353">
        <v>36036.036036035999</v>
      </c>
      <c r="Q353">
        <v>16</v>
      </c>
      <c r="S353">
        <v>700936.93693693704</v>
      </c>
      <c r="T353">
        <v>619729.72972973005</v>
      </c>
      <c r="U353">
        <v>144144.144144144</v>
      </c>
      <c r="W353">
        <v>155</v>
      </c>
      <c r="X353">
        <v>132</v>
      </c>
    </row>
    <row r="354" spans="1:24">
      <c r="A354" s="7" t="s">
        <v>454</v>
      </c>
      <c r="B354" s="16" t="s">
        <v>224</v>
      </c>
      <c r="C354">
        <v>55639227.210437372</v>
      </c>
      <c r="D354">
        <v>50415678.372640535</v>
      </c>
      <c r="G354">
        <v>1</v>
      </c>
      <c r="H354">
        <v>1</v>
      </c>
      <c r="M354">
        <v>1</v>
      </c>
      <c r="N354">
        <v>3</v>
      </c>
      <c r="R354">
        <v>10</v>
      </c>
      <c r="S354">
        <v>10285045.045045044</v>
      </c>
      <c r="T354">
        <v>9758774.7747747768</v>
      </c>
      <c r="U354">
        <v>212612.61261261301</v>
      </c>
      <c r="V354">
        <v>257027.02702702701</v>
      </c>
      <c r="W354">
        <v>1321</v>
      </c>
      <c r="X354">
        <v>1399</v>
      </c>
    </row>
    <row r="355" spans="1:24">
      <c r="A355" s="7" t="s">
        <v>455</v>
      </c>
      <c r="B355" s="16" t="s">
        <v>94</v>
      </c>
      <c r="C355">
        <v>61700899.140737399</v>
      </c>
      <c r="D355">
        <v>74630548.26218006</v>
      </c>
      <c r="E355">
        <v>217117.117117118</v>
      </c>
      <c r="F355">
        <v>653153.15315315395</v>
      </c>
      <c r="G355">
        <v>22</v>
      </c>
      <c r="H355">
        <v>23</v>
      </c>
      <c r="I355">
        <v>4</v>
      </c>
      <c r="J355">
        <v>5</v>
      </c>
      <c r="M355">
        <v>26</v>
      </c>
      <c r="N355">
        <v>25</v>
      </c>
      <c r="O355">
        <v>10889189.189189188</v>
      </c>
      <c r="P355">
        <v>30015765.765765768</v>
      </c>
      <c r="Q355">
        <v>102</v>
      </c>
      <c r="R355">
        <v>213</v>
      </c>
      <c r="S355">
        <v>13003108.108108109</v>
      </c>
      <c r="T355">
        <v>17176139.639639638</v>
      </c>
      <c r="U355">
        <v>11128738.738738738</v>
      </c>
      <c r="V355">
        <v>28939189.189189192</v>
      </c>
      <c r="W355">
        <v>2081</v>
      </c>
      <c r="X355">
        <v>2046</v>
      </c>
    </row>
    <row r="356" spans="1:24">
      <c r="A356" s="7" t="s">
        <v>675</v>
      </c>
      <c r="B356" s="16" t="s">
        <v>260</v>
      </c>
      <c r="E356">
        <v>437510559.45945948</v>
      </c>
      <c r="F356">
        <v>433101603.6036036</v>
      </c>
      <c r="P356">
        <v>61153153.153153151</v>
      </c>
    </row>
    <row r="357" spans="1:24">
      <c r="A357" s="7" t="s">
        <v>456</v>
      </c>
      <c r="B357" s="16" t="s">
        <v>60</v>
      </c>
      <c r="C357">
        <v>14869098.815382987</v>
      </c>
      <c r="D357">
        <v>10873010.100054804</v>
      </c>
      <c r="E357">
        <v>304504.50450450502</v>
      </c>
      <c r="F357">
        <v>192792.79279279301</v>
      </c>
      <c r="G357">
        <v>14</v>
      </c>
      <c r="H357">
        <v>5</v>
      </c>
      <c r="I357">
        <v>2</v>
      </c>
      <c r="J357">
        <v>1</v>
      </c>
      <c r="M357">
        <v>14</v>
      </c>
      <c r="N357">
        <v>6</v>
      </c>
      <c r="O357">
        <v>2556756.756756756</v>
      </c>
      <c r="P357">
        <v>1228828.8288288291</v>
      </c>
      <c r="R357">
        <v>15</v>
      </c>
      <c r="S357">
        <v>8953963.9639639631</v>
      </c>
      <c r="T357">
        <v>4965216.2162162168</v>
      </c>
      <c r="U357">
        <v>1947837.8378378381</v>
      </c>
      <c r="V357">
        <v>753063.06306306296</v>
      </c>
      <c r="W357">
        <v>635</v>
      </c>
      <c r="X357">
        <v>631</v>
      </c>
    </row>
    <row r="358" spans="1:24">
      <c r="A358" s="7" t="s">
        <v>457</v>
      </c>
      <c r="B358" s="16" t="s">
        <v>214</v>
      </c>
      <c r="C358">
        <v>186311029.88591579</v>
      </c>
      <c r="D358">
        <v>204947300.53236857</v>
      </c>
      <c r="F358">
        <v>473873.87387387402</v>
      </c>
      <c r="G358">
        <v>39</v>
      </c>
      <c r="H358">
        <v>30</v>
      </c>
      <c r="J358">
        <v>1</v>
      </c>
      <c r="M358">
        <v>41</v>
      </c>
      <c r="N358">
        <v>45</v>
      </c>
      <c r="O358">
        <v>450450.45045045001</v>
      </c>
      <c r="P358">
        <v>1014414.414414414</v>
      </c>
      <c r="R358">
        <v>7</v>
      </c>
      <c r="S358">
        <v>96452747.747747749</v>
      </c>
      <c r="T358">
        <v>104927531.53153154</v>
      </c>
      <c r="U358">
        <v>432432.43243243202</v>
      </c>
      <c r="V358">
        <v>1759909.9099099101</v>
      </c>
      <c r="W358">
        <v>2865</v>
      </c>
      <c r="X358">
        <v>3041</v>
      </c>
    </row>
    <row r="359" spans="1:24">
      <c r="A359" s="7" t="s">
        <v>458</v>
      </c>
      <c r="B359" s="16" t="s">
        <v>459</v>
      </c>
      <c r="C359">
        <v>841265069.57979274</v>
      </c>
      <c r="D359">
        <v>800538369.97346079</v>
      </c>
      <c r="E359">
        <v>2505000.0000000009</v>
      </c>
      <c r="F359">
        <v>21111936.936936952</v>
      </c>
      <c r="G359">
        <v>415</v>
      </c>
      <c r="H359">
        <v>459</v>
      </c>
      <c r="I359">
        <v>37</v>
      </c>
      <c r="J359">
        <v>54</v>
      </c>
      <c r="K359">
        <v>2</v>
      </c>
      <c r="M359">
        <v>492</v>
      </c>
      <c r="N359">
        <v>699</v>
      </c>
      <c r="O359">
        <v>90850540.540540546</v>
      </c>
      <c r="P359">
        <v>268972387.38738739</v>
      </c>
      <c r="Q359">
        <v>911</v>
      </c>
      <c r="R359">
        <v>1034</v>
      </c>
      <c r="S359">
        <v>274342036.03603601</v>
      </c>
      <c r="T359">
        <v>284505722.97297299</v>
      </c>
      <c r="U359">
        <v>88348378.378378391</v>
      </c>
      <c r="V359">
        <v>215070045.04504505</v>
      </c>
      <c r="W359">
        <v>25293</v>
      </c>
      <c r="X359">
        <v>24565</v>
      </c>
    </row>
    <row r="360" spans="1:24">
      <c r="A360" s="7" t="s">
        <v>460</v>
      </c>
      <c r="B360" s="16" t="s">
        <v>459</v>
      </c>
      <c r="C360">
        <v>3122408691.3214002</v>
      </c>
      <c r="D360">
        <v>2647268637.8627992</v>
      </c>
      <c r="E360">
        <v>227150855.85585588</v>
      </c>
      <c r="F360">
        <v>494241621.62162161</v>
      </c>
      <c r="G360">
        <v>747</v>
      </c>
      <c r="H360">
        <v>606</v>
      </c>
      <c r="I360">
        <v>27</v>
      </c>
      <c r="J360">
        <v>37</v>
      </c>
      <c r="K360">
        <v>3</v>
      </c>
      <c r="M360">
        <v>904</v>
      </c>
      <c r="N360">
        <v>962</v>
      </c>
      <c r="O360">
        <v>112415360.36036035</v>
      </c>
      <c r="P360">
        <v>153198288.2882883</v>
      </c>
      <c r="Q360">
        <v>602</v>
      </c>
      <c r="R360">
        <v>872</v>
      </c>
      <c r="S360">
        <v>2094218178.3783784</v>
      </c>
      <c r="T360">
        <v>1675534329.2792795</v>
      </c>
      <c r="U360">
        <v>97918333.333333328</v>
      </c>
      <c r="V360">
        <v>130839504.5045045</v>
      </c>
      <c r="W360">
        <v>32236</v>
      </c>
      <c r="X360">
        <v>31535</v>
      </c>
    </row>
    <row r="361" spans="1:24">
      <c r="A361" s="7" t="s">
        <v>461</v>
      </c>
      <c r="B361" s="16" t="s">
        <v>459</v>
      </c>
      <c r="C361">
        <v>1242251398.5395179</v>
      </c>
      <c r="D361">
        <v>1258037178.109354</v>
      </c>
      <c r="E361">
        <v>22925918.018018022</v>
      </c>
      <c r="F361">
        <v>29559847.74774776</v>
      </c>
      <c r="G361">
        <v>626</v>
      </c>
      <c r="H361">
        <v>600</v>
      </c>
      <c r="I361">
        <v>26</v>
      </c>
      <c r="J361">
        <v>24</v>
      </c>
      <c r="K361">
        <v>8</v>
      </c>
      <c r="M361">
        <v>761</v>
      </c>
      <c r="N361">
        <v>906</v>
      </c>
      <c r="O361">
        <v>1033454551.3513513</v>
      </c>
      <c r="P361">
        <v>1536828100.9009008</v>
      </c>
      <c r="Q361">
        <v>673</v>
      </c>
      <c r="R361">
        <v>1723</v>
      </c>
      <c r="S361">
        <v>329379644.14414412</v>
      </c>
      <c r="T361">
        <v>347422572.07207209</v>
      </c>
      <c r="U361">
        <v>978446846.84684682</v>
      </c>
      <c r="V361">
        <v>1512908063.0630631</v>
      </c>
      <c r="W361">
        <v>24076</v>
      </c>
      <c r="X361">
        <v>23536</v>
      </c>
    </row>
    <row r="362" spans="1:24">
      <c r="A362" s="7" t="s">
        <v>462</v>
      </c>
      <c r="B362" s="16" t="s">
        <v>459</v>
      </c>
      <c r="C362">
        <v>954614900.14211345</v>
      </c>
      <c r="D362">
        <v>921324036.24940121</v>
      </c>
      <c r="E362">
        <v>592702.70270270796</v>
      </c>
      <c r="F362">
        <v>6134684.6846846994</v>
      </c>
      <c r="G362">
        <v>330</v>
      </c>
      <c r="H362">
        <v>349</v>
      </c>
      <c r="I362">
        <v>25</v>
      </c>
      <c r="J362">
        <v>23</v>
      </c>
      <c r="K362">
        <v>1</v>
      </c>
      <c r="M362">
        <v>393</v>
      </c>
      <c r="N362">
        <v>440</v>
      </c>
      <c r="O362">
        <v>60312252.252252258</v>
      </c>
      <c r="P362">
        <v>142652162.16216215</v>
      </c>
      <c r="Q362">
        <v>486</v>
      </c>
      <c r="R362">
        <v>597</v>
      </c>
      <c r="S362">
        <v>212217176.57657659</v>
      </c>
      <c r="T362">
        <v>207367486.48648649</v>
      </c>
      <c r="U362">
        <v>59371081.081081077</v>
      </c>
      <c r="V362">
        <v>96704414.414414421</v>
      </c>
      <c r="W362">
        <v>19354</v>
      </c>
      <c r="X362">
        <v>19335</v>
      </c>
    </row>
    <row r="363" spans="1:24">
      <c r="A363" s="7" t="s">
        <v>463</v>
      </c>
      <c r="B363" s="16" t="s">
        <v>459</v>
      </c>
      <c r="C363">
        <v>887806618.68283856</v>
      </c>
      <c r="D363">
        <v>881426622.20235658</v>
      </c>
      <c r="E363">
        <v>2128828.8288288349</v>
      </c>
      <c r="F363">
        <v>16375900.900900908</v>
      </c>
      <c r="G363">
        <v>561</v>
      </c>
      <c r="H363">
        <v>1219</v>
      </c>
      <c r="I363">
        <v>36</v>
      </c>
      <c r="J363">
        <v>38</v>
      </c>
      <c r="M363">
        <v>635</v>
      </c>
      <c r="N363">
        <v>1717</v>
      </c>
      <c r="O363">
        <v>65066216.216216214</v>
      </c>
      <c r="P363">
        <v>185304504.5045045</v>
      </c>
      <c r="Q363">
        <v>508</v>
      </c>
      <c r="R363">
        <v>1014</v>
      </c>
      <c r="S363">
        <v>336040540.54054052</v>
      </c>
      <c r="T363">
        <v>358316078.82882881</v>
      </c>
      <c r="U363">
        <v>62295045.045045041</v>
      </c>
      <c r="V363">
        <v>170556126.12612611</v>
      </c>
      <c r="W363">
        <v>26793</v>
      </c>
      <c r="X363">
        <v>26699</v>
      </c>
    </row>
    <row r="364" spans="1:24">
      <c r="A364" s="7" t="s">
        <v>464</v>
      </c>
      <c r="B364" s="16" t="s">
        <v>459</v>
      </c>
      <c r="C364">
        <v>995806447.03557897</v>
      </c>
      <c r="D364">
        <v>1024194433.56861</v>
      </c>
      <c r="E364">
        <v>1564712913.5135136</v>
      </c>
      <c r="F364">
        <v>1972693694.5945945</v>
      </c>
      <c r="G364">
        <v>532</v>
      </c>
      <c r="H364">
        <v>387</v>
      </c>
      <c r="I364">
        <v>52</v>
      </c>
      <c r="J364">
        <v>53</v>
      </c>
      <c r="K364">
        <v>1</v>
      </c>
      <c r="M364">
        <v>620</v>
      </c>
      <c r="N364">
        <v>501</v>
      </c>
      <c r="O364">
        <v>142125855.85585585</v>
      </c>
      <c r="P364">
        <v>146878539.63963965</v>
      </c>
      <c r="Q364">
        <v>1477</v>
      </c>
      <c r="R364">
        <v>1229</v>
      </c>
      <c r="S364">
        <v>442830872.07207209</v>
      </c>
      <c r="T364">
        <v>439167050</v>
      </c>
      <c r="U364">
        <v>134267747.74774775</v>
      </c>
      <c r="V364">
        <v>144577477.47747746</v>
      </c>
      <c r="W364">
        <v>28427</v>
      </c>
      <c r="X364">
        <v>28220</v>
      </c>
    </row>
    <row r="365" spans="1:24">
      <c r="A365" s="7" t="s">
        <v>465</v>
      </c>
      <c r="B365" s="16" t="s">
        <v>54</v>
      </c>
      <c r="C365">
        <v>71920024.517476976</v>
      </c>
      <c r="D365">
        <v>68069985.522315681</v>
      </c>
      <c r="E365">
        <v>221846.846846848</v>
      </c>
      <c r="F365">
        <v>887387.38738738699</v>
      </c>
      <c r="G365">
        <v>46</v>
      </c>
      <c r="H365">
        <v>18</v>
      </c>
      <c r="I365">
        <v>3</v>
      </c>
      <c r="J365">
        <v>4</v>
      </c>
      <c r="M365">
        <v>46</v>
      </c>
      <c r="N365">
        <v>29</v>
      </c>
      <c r="O365">
        <v>6235135.1351351347</v>
      </c>
      <c r="P365">
        <v>7368288.2882882887</v>
      </c>
      <c r="Q365">
        <v>55</v>
      </c>
      <c r="R365">
        <v>57</v>
      </c>
      <c r="S365">
        <v>14844324.324324325</v>
      </c>
      <c r="T365">
        <v>14185846.846846849</v>
      </c>
      <c r="U365">
        <v>6545855.8558558561</v>
      </c>
      <c r="V365">
        <v>6931441.44144144</v>
      </c>
      <c r="W365">
        <v>1242</v>
      </c>
      <c r="X365">
        <v>1229</v>
      </c>
    </row>
    <row r="366" spans="1:24">
      <c r="A366" s="7" t="s">
        <v>466</v>
      </c>
      <c r="B366" s="16" t="s">
        <v>87</v>
      </c>
      <c r="C366">
        <v>2823359.7726290249</v>
      </c>
      <c r="D366">
        <v>2496613.974504583</v>
      </c>
      <c r="S366">
        <v>420945.94594594598</v>
      </c>
      <c r="T366">
        <v>389864.86486486503</v>
      </c>
      <c r="W366">
        <v>85</v>
      </c>
      <c r="X366">
        <v>97</v>
      </c>
    </row>
    <row r="367" spans="1:24">
      <c r="A367" s="7" t="s">
        <v>467</v>
      </c>
      <c r="B367" s="16" t="s">
        <v>143</v>
      </c>
      <c r="C367">
        <v>324294617.28813899</v>
      </c>
      <c r="D367">
        <v>318297067.45635551</v>
      </c>
      <c r="E367">
        <v>71171.171171170994</v>
      </c>
      <c r="F367">
        <v>302702.702702704</v>
      </c>
      <c r="G367">
        <v>84</v>
      </c>
      <c r="H367">
        <v>58</v>
      </c>
      <c r="I367">
        <v>2</v>
      </c>
      <c r="J367">
        <v>3</v>
      </c>
      <c r="M367">
        <v>95</v>
      </c>
      <c r="N367">
        <v>84</v>
      </c>
      <c r="O367">
        <v>15625225.225225223</v>
      </c>
      <c r="P367">
        <v>17681081.081081081</v>
      </c>
      <c r="Q367">
        <v>48</v>
      </c>
      <c r="R367">
        <v>37</v>
      </c>
      <c r="S367">
        <v>49897214.414414413</v>
      </c>
      <c r="T367">
        <v>50299852.252252251</v>
      </c>
      <c r="U367">
        <v>16739549.54954955</v>
      </c>
      <c r="V367">
        <v>14733243.243243242</v>
      </c>
      <c r="W367">
        <v>5022</v>
      </c>
      <c r="X367">
        <v>5081</v>
      </c>
    </row>
    <row r="368" spans="1:24">
      <c r="A368" s="7" t="s">
        <v>468</v>
      </c>
      <c r="B368" s="16" t="s">
        <v>80</v>
      </c>
      <c r="C368">
        <v>285543701.76769209</v>
      </c>
      <c r="D368">
        <v>272981286.84145921</v>
      </c>
      <c r="E368">
        <v>243918.91891892001</v>
      </c>
      <c r="F368">
        <v>85135.135135138</v>
      </c>
      <c r="G368">
        <v>55</v>
      </c>
      <c r="H368">
        <v>41</v>
      </c>
      <c r="I368">
        <v>6</v>
      </c>
      <c r="J368">
        <v>0</v>
      </c>
      <c r="M368">
        <v>61</v>
      </c>
      <c r="N368">
        <v>45</v>
      </c>
      <c r="O368">
        <v>10022792.792792792</v>
      </c>
      <c r="P368">
        <v>7635585.5855855858</v>
      </c>
      <c r="Q368">
        <v>35</v>
      </c>
      <c r="R368">
        <v>33</v>
      </c>
      <c r="S368">
        <v>109119565.76576576</v>
      </c>
      <c r="T368">
        <v>103195180.18018018</v>
      </c>
      <c r="U368">
        <v>9039459.4594594594</v>
      </c>
      <c r="V368">
        <v>6145225.225225226</v>
      </c>
      <c r="W368">
        <v>5111</v>
      </c>
      <c r="X368">
        <v>5109</v>
      </c>
    </row>
    <row r="369" spans="1:24">
      <c r="A369" s="7" t="s">
        <v>469</v>
      </c>
      <c r="B369" s="16" t="s">
        <v>470</v>
      </c>
      <c r="C369">
        <v>321111085.55302179</v>
      </c>
      <c r="D369">
        <v>329298220.93827796</v>
      </c>
      <c r="E369">
        <v>1329459.4594594589</v>
      </c>
      <c r="F369">
        <v>3696396.3963963971</v>
      </c>
      <c r="G369">
        <v>60</v>
      </c>
      <c r="H369">
        <v>38</v>
      </c>
      <c r="I369">
        <v>2</v>
      </c>
      <c r="J369">
        <v>5</v>
      </c>
      <c r="M369">
        <v>67</v>
      </c>
      <c r="N369">
        <v>41</v>
      </c>
      <c r="O369">
        <v>11344144.144144142</v>
      </c>
      <c r="P369">
        <v>29155405.40540541</v>
      </c>
      <c r="Q369">
        <v>30</v>
      </c>
      <c r="R369">
        <v>46</v>
      </c>
      <c r="S369">
        <v>98033837.837837845</v>
      </c>
      <c r="T369">
        <v>103882682.88288288</v>
      </c>
      <c r="U369">
        <v>12606216.216216218</v>
      </c>
      <c r="V369">
        <v>28416980.180180181</v>
      </c>
      <c r="W369">
        <v>5240</v>
      </c>
      <c r="X369">
        <v>5522</v>
      </c>
    </row>
    <row r="370" spans="1:24">
      <c r="A370" s="7" t="s">
        <v>471</v>
      </c>
      <c r="B370" s="16" t="s">
        <v>470</v>
      </c>
      <c r="C370">
        <v>29902830.823735256</v>
      </c>
      <c r="D370">
        <v>27530378.410336472</v>
      </c>
      <c r="E370">
        <v>102334098.1981982</v>
      </c>
      <c r="F370">
        <v>203399581.08108109</v>
      </c>
      <c r="H370">
        <v>3</v>
      </c>
      <c r="I370">
        <v>0</v>
      </c>
      <c r="J370">
        <v>1</v>
      </c>
      <c r="N370">
        <v>4</v>
      </c>
      <c r="O370">
        <v>16301955.855855856</v>
      </c>
      <c r="P370">
        <v>26676272.072072074</v>
      </c>
      <c r="Q370">
        <v>6</v>
      </c>
      <c r="R370">
        <v>2</v>
      </c>
      <c r="S370">
        <v>2475180.1801801799</v>
      </c>
      <c r="T370">
        <v>2382387.387387387</v>
      </c>
      <c r="U370">
        <v>178648.64864864899</v>
      </c>
      <c r="V370">
        <v>3069909.9099099091</v>
      </c>
      <c r="W370">
        <v>577</v>
      </c>
      <c r="X370">
        <v>618</v>
      </c>
    </row>
    <row r="371" spans="1:24">
      <c r="A371" s="7" t="s">
        <v>472</v>
      </c>
      <c r="B371" s="16" t="s">
        <v>470</v>
      </c>
      <c r="C371">
        <v>3904175.5804981361</v>
      </c>
      <c r="D371">
        <v>3286788.295118703</v>
      </c>
      <c r="E371">
        <v>32275900.9009009</v>
      </c>
      <c r="F371">
        <v>107263063.06306306</v>
      </c>
      <c r="J371">
        <v>2</v>
      </c>
      <c r="N371">
        <v>1</v>
      </c>
      <c r="O371">
        <v>12003693.693693694</v>
      </c>
      <c r="P371">
        <v>6154054.0540540554</v>
      </c>
      <c r="Q371">
        <v>6</v>
      </c>
      <c r="S371">
        <v>639639.63963963999</v>
      </c>
      <c r="T371">
        <v>765450.45045044995</v>
      </c>
      <c r="U371">
        <v>232072.072072073</v>
      </c>
      <c r="V371">
        <v>2703603.6036036038</v>
      </c>
      <c r="W371">
        <v>404</v>
      </c>
      <c r="X371">
        <v>461</v>
      </c>
    </row>
    <row r="372" spans="1:24">
      <c r="A372" s="7" t="s">
        <v>473</v>
      </c>
      <c r="B372" s="16" t="s">
        <v>470</v>
      </c>
      <c r="C372">
        <v>109958000.45102668</v>
      </c>
      <c r="D372">
        <v>116181985.80348775</v>
      </c>
      <c r="E372">
        <v>554954.95495495503</v>
      </c>
      <c r="F372">
        <v>946846.84684684803</v>
      </c>
      <c r="G372">
        <v>19</v>
      </c>
      <c r="H372">
        <v>14</v>
      </c>
      <c r="I372">
        <v>2</v>
      </c>
      <c r="J372">
        <v>2</v>
      </c>
      <c r="M372">
        <v>21</v>
      </c>
      <c r="N372">
        <v>15</v>
      </c>
      <c r="O372">
        <v>989279.27927927906</v>
      </c>
      <c r="P372">
        <v>26426576.576576576</v>
      </c>
      <c r="Q372">
        <v>6</v>
      </c>
      <c r="R372">
        <v>4</v>
      </c>
      <c r="S372">
        <v>15437556.756756756</v>
      </c>
      <c r="T372">
        <v>16038279.27927928</v>
      </c>
      <c r="U372">
        <v>8773063.0630630627</v>
      </c>
      <c r="V372">
        <v>32477927.927927926</v>
      </c>
      <c r="W372">
        <v>2336</v>
      </c>
      <c r="X372">
        <v>2284</v>
      </c>
    </row>
    <row r="373" spans="1:24">
      <c r="A373" s="7" t="s">
        <v>474</v>
      </c>
      <c r="B373" s="16" t="s">
        <v>470</v>
      </c>
      <c r="C373">
        <v>157923251.75699225</v>
      </c>
      <c r="D373">
        <v>163077970.3457191</v>
      </c>
      <c r="E373">
        <v>489729.72972973</v>
      </c>
      <c r="F373">
        <v>1118918.91891892</v>
      </c>
      <c r="G373">
        <v>26</v>
      </c>
      <c r="H373">
        <v>31</v>
      </c>
      <c r="I373">
        <v>2</v>
      </c>
      <c r="J373">
        <v>4</v>
      </c>
      <c r="M373">
        <v>28</v>
      </c>
      <c r="N373">
        <v>36</v>
      </c>
      <c r="O373">
        <v>6301531.5315315323</v>
      </c>
      <c r="P373">
        <v>12260450.45045045</v>
      </c>
      <c r="Q373">
        <v>37</v>
      </c>
      <c r="R373">
        <v>19</v>
      </c>
      <c r="S373">
        <v>36409369.369369365</v>
      </c>
      <c r="T373">
        <v>34845594.59459459</v>
      </c>
      <c r="U373">
        <v>5809549.5495495517</v>
      </c>
      <c r="V373">
        <v>12717567.567567568</v>
      </c>
      <c r="W373">
        <v>2325</v>
      </c>
      <c r="X373">
        <v>2392</v>
      </c>
    </row>
    <row r="374" spans="1:24">
      <c r="A374" s="7" t="s">
        <v>475</v>
      </c>
      <c r="B374" s="16" t="s">
        <v>470</v>
      </c>
      <c r="C374">
        <v>61194589.653215662</v>
      </c>
      <c r="D374">
        <v>60213418.676101521</v>
      </c>
      <c r="E374">
        <v>9009.0090090089998</v>
      </c>
      <c r="F374">
        <v>392792.792792794</v>
      </c>
      <c r="G374">
        <v>12</v>
      </c>
      <c r="H374">
        <v>6</v>
      </c>
      <c r="I374">
        <v>2</v>
      </c>
      <c r="J374">
        <v>6</v>
      </c>
      <c r="M374">
        <v>12</v>
      </c>
      <c r="N374">
        <v>6</v>
      </c>
      <c r="O374">
        <v>4620180.1801801817</v>
      </c>
      <c r="P374">
        <v>8122522.5225225231</v>
      </c>
      <c r="Q374">
        <v>10</v>
      </c>
      <c r="S374">
        <v>13337792.792792792</v>
      </c>
      <c r="T374">
        <v>12729790.990990993</v>
      </c>
      <c r="U374">
        <v>5046936.9369369373</v>
      </c>
      <c r="V374">
        <v>7018018.0180180185</v>
      </c>
      <c r="W374">
        <v>1403</v>
      </c>
      <c r="X374">
        <v>1361</v>
      </c>
    </row>
    <row r="375" spans="1:24">
      <c r="A375" s="7" t="s">
        <v>476</v>
      </c>
      <c r="B375" s="16" t="s">
        <v>470</v>
      </c>
      <c r="C375">
        <v>609613514.37908554</v>
      </c>
      <c r="D375">
        <v>618602645.4245621</v>
      </c>
      <c r="E375">
        <v>3108243.2432432501</v>
      </c>
      <c r="F375">
        <v>12107207.207207212</v>
      </c>
      <c r="G375">
        <v>209</v>
      </c>
      <c r="H375">
        <v>232</v>
      </c>
      <c r="I375">
        <v>42</v>
      </c>
      <c r="J375">
        <v>64</v>
      </c>
      <c r="M375">
        <v>300</v>
      </c>
      <c r="N375">
        <v>519</v>
      </c>
      <c r="O375">
        <v>111044692.7927928</v>
      </c>
      <c r="P375">
        <v>206043513.51351354</v>
      </c>
      <c r="Q375">
        <v>286</v>
      </c>
      <c r="R375">
        <v>399</v>
      </c>
      <c r="S375">
        <v>152009488.2882883</v>
      </c>
      <c r="T375">
        <v>163377818.01801801</v>
      </c>
      <c r="U375">
        <v>108879549.54954955</v>
      </c>
      <c r="V375">
        <v>202836396.3963964</v>
      </c>
      <c r="W375">
        <v>15976</v>
      </c>
      <c r="X375">
        <v>16144</v>
      </c>
    </row>
    <row r="376" spans="1:24">
      <c r="A376" s="7" t="s">
        <v>477</v>
      </c>
      <c r="B376" s="16" t="s">
        <v>260</v>
      </c>
      <c r="C376">
        <v>772331442.82657814</v>
      </c>
      <c r="D376">
        <v>726588651.98827052</v>
      </c>
      <c r="E376">
        <v>1107297.297297298</v>
      </c>
      <c r="F376">
        <v>2867342.3423423409</v>
      </c>
      <c r="G376">
        <v>160</v>
      </c>
      <c r="H376">
        <v>167</v>
      </c>
      <c r="I376">
        <v>6</v>
      </c>
      <c r="J376">
        <v>7</v>
      </c>
      <c r="M376">
        <v>168</v>
      </c>
      <c r="N376">
        <v>198</v>
      </c>
      <c r="O376">
        <v>100616306.3063063</v>
      </c>
      <c r="P376">
        <v>93913513.51351352</v>
      </c>
      <c r="Q376">
        <v>135</v>
      </c>
      <c r="R376">
        <v>146</v>
      </c>
      <c r="S376">
        <v>200065162.16216218</v>
      </c>
      <c r="T376">
        <v>194797905.4054054</v>
      </c>
      <c r="U376">
        <v>103652522.52252252</v>
      </c>
      <c r="V376">
        <v>92419189.189189181</v>
      </c>
      <c r="W376">
        <v>11687</v>
      </c>
      <c r="X376">
        <v>11218</v>
      </c>
    </row>
    <row r="377" spans="1:24">
      <c r="A377" s="7" t="s">
        <v>478</v>
      </c>
      <c r="B377" s="16" t="s">
        <v>479</v>
      </c>
      <c r="C377">
        <v>60879726.511320733</v>
      </c>
      <c r="D377">
        <v>54116880.464381956</v>
      </c>
      <c r="E377">
        <v>534234.23423423397</v>
      </c>
      <c r="F377">
        <v>816216.21621621703</v>
      </c>
      <c r="G377">
        <v>22</v>
      </c>
      <c r="H377">
        <v>14</v>
      </c>
      <c r="I377">
        <v>1</v>
      </c>
      <c r="J377">
        <v>3</v>
      </c>
      <c r="M377">
        <v>24</v>
      </c>
      <c r="N377">
        <v>15</v>
      </c>
      <c r="O377">
        <v>26830630.630630631</v>
      </c>
      <c r="P377">
        <v>17840540.540540542</v>
      </c>
      <c r="R377">
        <v>10</v>
      </c>
      <c r="S377">
        <v>14036396.396396397</v>
      </c>
      <c r="T377">
        <v>12910495.495495496</v>
      </c>
      <c r="U377">
        <v>27016666.666666668</v>
      </c>
      <c r="V377">
        <v>17698018.018018018</v>
      </c>
      <c r="W377">
        <v>908</v>
      </c>
      <c r="X377">
        <v>858</v>
      </c>
    </row>
    <row r="378" spans="1:24">
      <c r="A378" s="7" t="s">
        <v>480</v>
      </c>
      <c r="B378" s="16" t="s">
        <v>123</v>
      </c>
      <c r="C378">
        <v>405040483.88823122</v>
      </c>
      <c r="D378">
        <v>394181035.30630606</v>
      </c>
      <c r="E378">
        <v>2469819.8198198201</v>
      </c>
      <c r="F378">
        <v>2645045.0450450471</v>
      </c>
      <c r="G378">
        <v>83</v>
      </c>
      <c r="H378">
        <v>81</v>
      </c>
      <c r="I378">
        <v>6</v>
      </c>
      <c r="J378">
        <v>6</v>
      </c>
      <c r="M378">
        <v>91</v>
      </c>
      <c r="N378">
        <v>88</v>
      </c>
      <c r="O378">
        <v>31063873.873873871</v>
      </c>
      <c r="P378">
        <v>27530630.630630631</v>
      </c>
      <c r="Q378">
        <v>59</v>
      </c>
      <c r="R378">
        <v>39</v>
      </c>
      <c r="S378">
        <v>151388594.5945946</v>
      </c>
      <c r="T378">
        <v>148233265.76576576</v>
      </c>
      <c r="U378">
        <v>29264864.864864863</v>
      </c>
      <c r="V378">
        <v>25677297.297297295</v>
      </c>
      <c r="W378">
        <v>5637</v>
      </c>
      <c r="X378">
        <v>5587</v>
      </c>
    </row>
    <row r="379" spans="1:24">
      <c r="A379" s="7" t="s">
        <v>481</v>
      </c>
      <c r="B379" s="16" t="s">
        <v>470</v>
      </c>
      <c r="C379">
        <v>32736127.346253294</v>
      </c>
      <c r="D379">
        <v>31045672.961999327</v>
      </c>
      <c r="E379">
        <v>27477.477477478002</v>
      </c>
      <c r="F379">
        <v>95495.495495495998</v>
      </c>
      <c r="G379">
        <v>7</v>
      </c>
      <c r="H379">
        <v>3</v>
      </c>
      <c r="I379">
        <v>3</v>
      </c>
      <c r="J379">
        <v>2</v>
      </c>
      <c r="M379">
        <v>7</v>
      </c>
      <c r="N379">
        <v>4</v>
      </c>
      <c r="O379">
        <v>486036.03603603703</v>
      </c>
      <c r="P379">
        <v>1897297.297297297</v>
      </c>
      <c r="Q379">
        <v>5</v>
      </c>
      <c r="S379">
        <v>4486522.5225225231</v>
      </c>
      <c r="T379">
        <v>4076792.7927927929</v>
      </c>
      <c r="U379">
        <v>1024054.054054054</v>
      </c>
      <c r="V379">
        <v>1041351.351351351</v>
      </c>
      <c r="W379">
        <v>621</v>
      </c>
      <c r="X379">
        <v>591</v>
      </c>
    </row>
    <row r="380" spans="1:24">
      <c r="A380" s="7" t="s">
        <v>482</v>
      </c>
      <c r="B380" s="16" t="s">
        <v>167</v>
      </c>
      <c r="C380">
        <v>342128724.5494563</v>
      </c>
      <c r="D380">
        <v>326066274.46507156</v>
      </c>
      <c r="E380">
        <v>394594.59459459601</v>
      </c>
      <c r="F380">
        <v>2973873.8738738759</v>
      </c>
      <c r="G380">
        <v>223</v>
      </c>
      <c r="H380">
        <v>248</v>
      </c>
      <c r="I380">
        <v>19</v>
      </c>
      <c r="J380">
        <v>9</v>
      </c>
      <c r="M380">
        <v>258</v>
      </c>
      <c r="N380">
        <v>370</v>
      </c>
      <c r="O380">
        <v>23324479.27927928</v>
      </c>
      <c r="P380">
        <v>27285622.52252252</v>
      </c>
      <c r="Q380">
        <v>44</v>
      </c>
      <c r="R380">
        <v>71</v>
      </c>
      <c r="S380">
        <v>131993915.31531531</v>
      </c>
      <c r="T380">
        <v>134496972.97297299</v>
      </c>
      <c r="U380">
        <v>25263513.513513513</v>
      </c>
      <c r="V380">
        <v>24653963.963963959</v>
      </c>
      <c r="W380">
        <v>9107</v>
      </c>
      <c r="X380">
        <v>9085</v>
      </c>
    </row>
    <row r="381" spans="1:24">
      <c r="A381" s="7" t="s">
        <v>483</v>
      </c>
      <c r="B381" s="16" t="s">
        <v>167</v>
      </c>
      <c r="C381">
        <v>338651573.45321751</v>
      </c>
      <c r="D381">
        <v>372328786.87094432</v>
      </c>
      <c r="E381">
        <v>531559802.7027027</v>
      </c>
      <c r="F381">
        <v>478627654.05405408</v>
      </c>
      <c r="G381">
        <v>409</v>
      </c>
      <c r="H381">
        <v>565</v>
      </c>
      <c r="I381">
        <v>13</v>
      </c>
      <c r="J381">
        <v>14</v>
      </c>
      <c r="M381">
        <v>517</v>
      </c>
      <c r="N381">
        <v>1456</v>
      </c>
      <c r="O381">
        <v>69360906.306306303</v>
      </c>
      <c r="P381">
        <v>58713739.639639638</v>
      </c>
      <c r="Q381">
        <v>418</v>
      </c>
      <c r="R381">
        <v>49</v>
      </c>
      <c r="S381">
        <v>130273646.84684685</v>
      </c>
      <c r="T381">
        <v>145056155.85585588</v>
      </c>
      <c r="U381">
        <v>62599682.882882878</v>
      </c>
      <c r="V381">
        <v>54811574.774774775</v>
      </c>
      <c r="W381">
        <v>9362</v>
      </c>
      <c r="X381">
        <v>9194</v>
      </c>
    </row>
    <row r="382" spans="1:24">
      <c r="A382" s="7" t="s">
        <v>484</v>
      </c>
      <c r="B382" s="16" t="s">
        <v>50</v>
      </c>
      <c r="C382">
        <v>230221066.45320424</v>
      </c>
      <c r="D382">
        <v>220205887.66164446</v>
      </c>
      <c r="E382">
        <v>1132072.0720720741</v>
      </c>
      <c r="F382">
        <v>3701801.801801804</v>
      </c>
      <c r="G382">
        <v>63</v>
      </c>
      <c r="H382">
        <v>58</v>
      </c>
      <c r="I382">
        <v>20</v>
      </c>
      <c r="J382">
        <v>6</v>
      </c>
      <c r="M382">
        <v>64</v>
      </c>
      <c r="N382">
        <v>67</v>
      </c>
      <c r="O382">
        <v>60768558.558558561</v>
      </c>
      <c r="P382">
        <v>46116126.126126125</v>
      </c>
      <c r="Q382">
        <v>161</v>
      </c>
      <c r="R382">
        <v>59</v>
      </c>
      <c r="S382">
        <v>101407432.43243243</v>
      </c>
      <c r="T382">
        <v>97105412.612612605</v>
      </c>
      <c r="U382">
        <v>61589819.819819815</v>
      </c>
      <c r="V382">
        <v>42827657.657657653</v>
      </c>
      <c r="W382">
        <v>3665</v>
      </c>
      <c r="X382">
        <v>3598</v>
      </c>
    </row>
    <row r="383" spans="1:24">
      <c r="A383" s="7" t="s">
        <v>485</v>
      </c>
      <c r="B383" s="16" t="s">
        <v>134</v>
      </c>
      <c r="C383">
        <v>310852867.57434142</v>
      </c>
      <c r="D383">
        <v>294283253.17300045</v>
      </c>
      <c r="E383">
        <v>895495.49549549702</v>
      </c>
      <c r="F383">
        <v>2865990.9909909898</v>
      </c>
      <c r="G383">
        <v>75</v>
      </c>
      <c r="H383">
        <v>48</v>
      </c>
      <c r="I383">
        <v>10</v>
      </c>
      <c r="J383">
        <v>5</v>
      </c>
      <c r="M383">
        <v>84</v>
      </c>
      <c r="N383">
        <v>68</v>
      </c>
      <c r="O383">
        <v>63895495.495495498</v>
      </c>
      <c r="P383">
        <v>48137837.837837838</v>
      </c>
      <c r="Q383">
        <v>239</v>
      </c>
      <c r="R383">
        <v>110</v>
      </c>
      <c r="S383">
        <v>59522072.072072074</v>
      </c>
      <c r="T383">
        <v>57459164.864864863</v>
      </c>
      <c r="U383">
        <v>34557477.477477476</v>
      </c>
      <c r="V383">
        <v>31491441.441441439</v>
      </c>
      <c r="W383">
        <v>4701</v>
      </c>
      <c r="X383">
        <v>4649</v>
      </c>
    </row>
    <row r="384" spans="1:24">
      <c r="A384" s="7" t="s">
        <v>486</v>
      </c>
      <c r="B384" s="16" t="s">
        <v>76</v>
      </c>
      <c r="C384">
        <v>77133385.292284757</v>
      </c>
      <c r="D384">
        <v>64133034.794698559</v>
      </c>
      <c r="E384">
        <v>2369369.3693693709</v>
      </c>
      <c r="F384">
        <v>1490990.9909909919</v>
      </c>
      <c r="G384">
        <v>23</v>
      </c>
      <c r="H384">
        <v>19</v>
      </c>
      <c r="I384">
        <v>2</v>
      </c>
      <c r="J384">
        <v>2</v>
      </c>
      <c r="M384">
        <v>26</v>
      </c>
      <c r="N384">
        <v>19</v>
      </c>
      <c r="O384">
        <v>26981261.261261258</v>
      </c>
      <c r="P384">
        <v>13566756.756756758</v>
      </c>
      <c r="Q384">
        <v>17</v>
      </c>
      <c r="R384">
        <v>38</v>
      </c>
      <c r="S384">
        <v>29238617.117117114</v>
      </c>
      <c r="T384">
        <v>24620248.648648649</v>
      </c>
      <c r="U384">
        <v>26112162.162162162</v>
      </c>
      <c r="V384">
        <v>13093780.180180183</v>
      </c>
      <c r="W384">
        <v>1483</v>
      </c>
      <c r="X384">
        <v>1475</v>
      </c>
    </row>
    <row r="385" spans="1:24">
      <c r="A385" s="7" t="s">
        <v>487</v>
      </c>
      <c r="B385" s="16" t="s">
        <v>307</v>
      </c>
      <c r="C385">
        <v>487418151.94420034</v>
      </c>
      <c r="D385">
        <v>501597249.42796028</v>
      </c>
      <c r="E385">
        <v>1539639.63963964</v>
      </c>
      <c r="F385">
        <v>6351351.3513513552</v>
      </c>
      <c r="G385">
        <v>217</v>
      </c>
      <c r="H385">
        <v>122</v>
      </c>
      <c r="I385">
        <v>5</v>
      </c>
      <c r="J385">
        <v>10</v>
      </c>
      <c r="M385">
        <v>239</v>
      </c>
      <c r="N385">
        <v>217</v>
      </c>
      <c r="O385">
        <v>74983108.108108118</v>
      </c>
      <c r="P385">
        <v>116716981.98198198</v>
      </c>
      <c r="Q385">
        <v>248</v>
      </c>
      <c r="R385">
        <v>361</v>
      </c>
      <c r="S385">
        <v>200708079.27927929</v>
      </c>
      <c r="T385">
        <v>212570828.82882884</v>
      </c>
      <c r="U385">
        <v>73134504.504504502</v>
      </c>
      <c r="V385">
        <v>110800855.85585585</v>
      </c>
      <c r="W385">
        <v>11548</v>
      </c>
      <c r="X385">
        <v>11082</v>
      </c>
    </row>
    <row r="386" spans="1:24">
      <c r="A386" s="7" t="s">
        <v>488</v>
      </c>
      <c r="B386" s="16" t="s">
        <v>315</v>
      </c>
      <c r="C386">
        <v>137014359.03222498</v>
      </c>
      <c r="D386">
        <v>114959105.83990894</v>
      </c>
      <c r="E386">
        <v>655855.85585585597</v>
      </c>
      <c r="F386">
        <v>1503603.603603604</v>
      </c>
      <c r="G386">
        <v>20</v>
      </c>
      <c r="H386">
        <v>10</v>
      </c>
      <c r="I386">
        <v>6</v>
      </c>
      <c r="J386">
        <v>3</v>
      </c>
      <c r="M386">
        <v>20</v>
      </c>
      <c r="N386">
        <v>11</v>
      </c>
      <c r="O386">
        <v>107194774.77477477</v>
      </c>
      <c r="P386">
        <v>54586396.396396399</v>
      </c>
      <c r="Q386">
        <v>71</v>
      </c>
      <c r="R386">
        <v>12</v>
      </c>
      <c r="S386">
        <v>58378045.045045048</v>
      </c>
      <c r="T386">
        <v>49633054.054054059</v>
      </c>
      <c r="U386">
        <v>105639729.72972973</v>
      </c>
      <c r="V386">
        <v>49775315.315315314</v>
      </c>
      <c r="W386">
        <v>1705</v>
      </c>
      <c r="X386">
        <v>1626</v>
      </c>
    </row>
    <row r="387" spans="1:24">
      <c r="A387" s="7" t="s">
        <v>489</v>
      </c>
      <c r="B387" s="16" t="s">
        <v>181</v>
      </c>
      <c r="C387">
        <v>283846064.04865724</v>
      </c>
      <c r="D387">
        <v>266400879.00901836</v>
      </c>
      <c r="E387">
        <v>81081.081081084005</v>
      </c>
      <c r="F387">
        <v>1479729.7297297311</v>
      </c>
      <c r="G387">
        <v>135</v>
      </c>
      <c r="H387">
        <v>138</v>
      </c>
      <c r="I387">
        <v>11</v>
      </c>
      <c r="J387">
        <v>9</v>
      </c>
      <c r="M387">
        <v>147</v>
      </c>
      <c r="N387">
        <v>185</v>
      </c>
      <c r="O387">
        <v>25787927.927927926</v>
      </c>
      <c r="P387">
        <v>25889729.729729727</v>
      </c>
      <c r="Q387">
        <v>155</v>
      </c>
      <c r="R387">
        <v>257</v>
      </c>
      <c r="S387">
        <v>75859441.441441447</v>
      </c>
      <c r="T387">
        <v>77848000</v>
      </c>
      <c r="U387">
        <v>24531081.081081081</v>
      </c>
      <c r="V387">
        <v>26383873.873873871</v>
      </c>
      <c r="W387">
        <v>6834</v>
      </c>
      <c r="X387">
        <v>6442</v>
      </c>
    </row>
    <row r="388" spans="1:24">
      <c r="A388" s="7" t="s">
        <v>490</v>
      </c>
      <c r="B388" s="16" t="s">
        <v>220</v>
      </c>
      <c r="C388">
        <v>163687414.33136916</v>
      </c>
      <c r="D388">
        <v>155898835.22376287</v>
      </c>
      <c r="E388">
        <v>9909.9099099100004</v>
      </c>
      <c r="F388">
        <v>102702.702702703</v>
      </c>
      <c r="G388">
        <v>52</v>
      </c>
      <c r="H388">
        <v>54</v>
      </c>
      <c r="I388">
        <v>1</v>
      </c>
      <c r="J388">
        <v>2</v>
      </c>
      <c r="M388">
        <v>63</v>
      </c>
      <c r="N388">
        <v>64</v>
      </c>
      <c r="O388">
        <v>5816396.3963963976</v>
      </c>
      <c r="P388">
        <v>2946306.3063063058</v>
      </c>
      <c r="Q388">
        <v>43</v>
      </c>
      <c r="S388">
        <v>40913477.477477483</v>
      </c>
      <c r="T388">
        <v>38756845.045045048</v>
      </c>
      <c r="U388">
        <v>4589099.0990990996</v>
      </c>
      <c r="V388">
        <v>1726756.7567567569</v>
      </c>
      <c r="W388">
        <v>3991</v>
      </c>
      <c r="X388">
        <v>4047</v>
      </c>
    </row>
    <row r="389" spans="1:24">
      <c r="A389" s="7" t="s">
        <v>491</v>
      </c>
      <c r="B389" s="16" t="s">
        <v>220</v>
      </c>
      <c r="C389">
        <v>40944543.641148821</v>
      </c>
      <c r="D389">
        <v>50980532.399030067</v>
      </c>
      <c r="E389">
        <v>501012579.27927929</v>
      </c>
      <c r="F389">
        <v>484074613.51351357</v>
      </c>
      <c r="G389">
        <v>36</v>
      </c>
      <c r="H389">
        <v>27</v>
      </c>
      <c r="I389">
        <v>6</v>
      </c>
      <c r="J389">
        <v>2</v>
      </c>
      <c r="M389">
        <v>41</v>
      </c>
      <c r="N389">
        <v>30</v>
      </c>
      <c r="O389">
        <v>28221981.981981982</v>
      </c>
      <c r="P389">
        <v>35033783.783783786</v>
      </c>
      <c r="Q389">
        <v>40</v>
      </c>
      <c r="R389">
        <v>16</v>
      </c>
      <c r="S389">
        <v>13849954.954954956</v>
      </c>
      <c r="T389">
        <v>14958819.819819819</v>
      </c>
      <c r="U389">
        <v>9339459.4594594575</v>
      </c>
      <c r="V389">
        <v>15505495.495495496</v>
      </c>
      <c r="W389">
        <v>1247</v>
      </c>
      <c r="X389">
        <v>1177</v>
      </c>
    </row>
    <row r="390" spans="1:24">
      <c r="A390" s="7" t="s">
        <v>492</v>
      </c>
      <c r="B390" s="16" t="s">
        <v>60</v>
      </c>
      <c r="C390">
        <v>194048636.01821885</v>
      </c>
      <c r="D390">
        <v>177706432.89212474</v>
      </c>
      <c r="E390">
        <v>1452252.252252256</v>
      </c>
      <c r="F390">
        <v>2917117.1171171232</v>
      </c>
      <c r="G390">
        <v>44</v>
      </c>
      <c r="H390">
        <v>50</v>
      </c>
      <c r="I390">
        <v>11</v>
      </c>
      <c r="J390">
        <v>21</v>
      </c>
      <c r="M390">
        <v>48</v>
      </c>
      <c r="N390">
        <v>89</v>
      </c>
      <c r="O390">
        <v>44358558.558558561</v>
      </c>
      <c r="P390">
        <v>39807837.83783783</v>
      </c>
      <c r="Q390">
        <v>199</v>
      </c>
      <c r="R390">
        <v>83</v>
      </c>
      <c r="S390">
        <v>84535945.945945948</v>
      </c>
      <c r="T390">
        <v>80048378.378378391</v>
      </c>
      <c r="U390">
        <v>40367477.477477483</v>
      </c>
      <c r="V390">
        <v>33720900.9009009</v>
      </c>
      <c r="W390">
        <v>3654</v>
      </c>
      <c r="X390">
        <v>3756</v>
      </c>
    </row>
    <row r="391" spans="1:24">
      <c r="A391" s="7" t="s">
        <v>493</v>
      </c>
      <c r="B391" s="16" t="s">
        <v>448</v>
      </c>
      <c r="C391">
        <v>235684245.02081087</v>
      </c>
      <c r="D391">
        <v>214303254.05389777</v>
      </c>
      <c r="E391">
        <v>119819.819819821</v>
      </c>
      <c r="F391">
        <v>738738.73873874103</v>
      </c>
      <c r="G391">
        <v>124</v>
      </c>
      <c r="H391">
        <v>133</v>
      </c>
      <c r="I391">
        <v>9</v>
      </c>
      <c r="J391">
        <v>3</v>
      </c>
      <c r="K391">
        <v>1</v>
      </c>
      <c r="M391">
        <v>129</v>
      </c>
      <c r="N391">
        <v>216</v>
      </c>
      <c r="O391">
        <v>57297972.972972974</v>
      </c>
      <c r="P391">
        <v>25150450.45045045</v>
      </c>
      <c r="Q391">
        <v>84</v>
      </c>
      <c r="R391">
        <v>20</v>
      </c>
      <c r="S391">
        <v>83885666.666666672</v>
      </c>
      <c r="T391">
        <v>76996072.072072074</v>
      </c>
      <c r="U391">
        <v>59824549.54954955</v>
      </c>
      <c r="V391">
        <v>24421621.621621624</v>
      </c>
      <c r="W391">
        <v>5045</v>
      </c>
      <c r="X391">
        <v>4971</v>
      </c>
    </row>
    <row r="392" spans="1:24">
      <c r="A392" s="7" t="s">
        <v>7</v>
      </c>
      <c r="B392" s="16" t="s">
        <v>193</v>
      </c>
      <c r="C392">
        <v>172028573.84876531</v>
      </c>
      <c r="D392">
        <v>180715722.53482857</v>
      </c>
      <c r="E392">
        <v>43693.693693693</v>
      </c>
      <c r="F392">
        <v>448648.64864864998</v>
      </c>
      <c r="G392">
        <v>51</v>
      </c>
      <c r="H392">
        <v>52</v>
      </c>
      <c r="I392">
        <v>14</v>
      </c>
      <c r="J392">
        <v>3</v>
      </c>
      <c r="M392">
        <v>54</v>
      </c>
      <c r="N392">
        <v>68</v>
      </c>
      <c r="O392">
        <v>46491441.441441439</v>
      </c>
      <c r="P392">
        <v>38860810.810810804</v>
      </c>
      <c r="Q392">
        <v>252</v>
      </c>
      <c r="R392">
        <v>157</v>
      </c>
      <c r="S392">
        <v>118206423.42342342</v>
      </c>
      <c r="T392">
        <v>125630315.31531531</v>
      </c>
      <c r="U392">
        <v>45299819.819819823</v>
      </c>
      <c r="V392">
        <v>36434414.414414413</v>
      </c>
      <c r="W392">
        <v>4892</v>
      </c>
      <c r="X392">
        <v>4807</v>
      </c>
    </row>
    <row r="393" spans="1:24">
      <c r="A393" s="7" t="s">
        <v>494</v>
      </c>
      <c r="B393" s="16" t="s">
        <v>330</v>
      </c>
      <c r="C393">
        <v>212315256.10865098</v>
      </c>
      <c r="D393">
        <v>207967260.29330897</v>
      </c>
      <c r="E393">
        <v>98198.198198198006</v>
      </c>
      <c r="F393">
        <v>860360.36036036001</v>
      </c>
      <c r="G393">
        <v>220</v>
      </c>
      <c r="H393">
        <v>92</v>
      </c>
      <c r="I393">
        <v>4</v>
      </c>
      <c r="J393">
        <v>3</v>
      </c>
      <c r="M393">
        <v>241</v>
      </c>
      <c r="N393">
        <v>169</v>
      </c>
      <c r="O393">
        <v>11497027.027027026</v>
      </c>
      <c r="P393">
        <v>12884144.144144144</v>
      </c>
      <c r="Q393">
        <v>124</v>
      </c>
      <c r="R393">
        <v>144</v>
      </c>
      <c r="S393">
        <v>56151225.225225225</v>
      </c>
      <c r="T393">
        <v>50996108.108108111</v>
      </c>
      <c r="U393">
        <v>10537207.207207207</v>
      </c>
      <c r="V393">
        <v>11677927.927927926</v>
      </c>
      <c r="W393">
        <v>6003</v>
      </c>
      <c r="X393">
        <v>4104</v>
      </c>
    </row>
    <row r="394" spans="1:24">
      <c r="A394" s="7" t="s">
        <v>495</v>
      </c>
      <c r="B394" s="16" t="s">
        <v>330</v>
      </c>
      <c r="C394">
        <v>370059673.92674345</v>
      </c>
      <c r="D394">
        <v>353753788.97986662</v>
      </c>
      <c r="E394">
        <v>134234.23423423499</v>
      </c>
      <c r="F394">
        <v>3693243.2432432459</v>
      </c>
      <c r="G394">
        <v>130</v>
      </c>
      <c r="H394">
        <v>141</v>
      </c>
      <c r="I394">
        <v>8</v>
      </c>
      <c r="J394">
        <v>10</v>
      </c>
      <c r="M394">
        <v>145</v>
      </c>
      <c r="N394">
        <v>181</v>
      </c>
      <c r="O394">
        <v>11418468.46846847</v>
      </c>
      <c r="P394">
        <v>20919099.0990991</v>
      </c>
      <c r="Q394">
        <v>173</v>
      </c>
      <c r="R394">
        <v>203</v>
      </c>
      <c r="S394">
        <v>75883585.585585579</v>
      </c>
      <c r="T394">
        <v>80901085.585585579</v>
      </c>
      <c r="U394">
        <v>10658558.558558561</v>
      </c>
      <c r="V394">
        <v>19339639.639639638</v>
      </c>
      <c r="W394">
        <v>7261</v>
      </c>
      <c r="X394">
        <v>8644</v>
      </c>
    </row>
    <row r="395" spans="1:24">
      <c r="A395" s="7" t="s">
        <v>496</v>
      </c>
      <c r="B395" s="16" t="s">
        <v>330</v>
      </c>
      <c r="C395">
        <v>367062540.00832665</v>
      </c>
      <c r="D395">
        <v>356139113.25797176</v>
      </c>
      <c r="E395">
        <v>1221396.396396399</v>
      </c>
      <c r="F395">
        <v>6896846.8468468469</v>
      </c>
      <c r="G395">
        <v>182</v>
      </c>
      <c r="H395">
        <v>170</v>
      </c>
      <c r="I395">
        <v>19</v>
      </c>
      <c r="J395">
        <v>18</v>
      </c>
      <c r="K395">
        <v>1</v>
      </c>
      <c r="M395">
        <v>221</v>
      </c>
      <c r="N395">
        <v>249</v>
      </c>
      <c r="O395">
        <v>101380720.72072072</v>
      </c>
      <c r="P395">
        <v>49789009.009009011</v>
      </c>
      <c r="Q395">
        <v>229</v>
      </c>
      <c r="R395">
        <v>197</v>
      </c>
      <c r="S395">
        <v>79045162.162162155</v>
      </c>
      <c r="T395">
        <v>79024972.972972974</v>
      </c>
      <c r="U395">
        <v>101033333.33333333</v>
      </c>
      <c r="V395">
        <v>46485585.585585587</v>
      </c>
      <c r="W395">
        <v>8532</v>
      </c>
      <c r="X395">
        <v>8472</v>
      </c>
    </row>
    <row r="396" spans="1:24">
      <c r="A396" s="7" t="s">
        <v>497</v>
      </c>
      <c r="B396" s="16" t="s">
        <v>330</v>
      </c>
      <c r="C396">
        <v>1664844032.7535903</v>
      </c>
      <c r="D396">
        <v>1551951947.2190287</v>
      </c>
      <c r="E396">
        <v>1185043980.1801803</v>
      </c>
      <c r="F396">
        <v>1337885627.9279277</v>
      </c>
      <c r="G396">
        <v>1145</v>
      </c>
      <c r="H396">
        <v>819</v>
      </c>
      <c r="I396">
        <v>67</v>
      </c>
      <c r="J396">
        <v>48</v>
      </c>
      <c r="K396">
        <v>51</v>
      </c>
      <c r="M396">
        <v>1682</v>
      </c>
      <c r="N396">
        <v>2087</v>
      </c>
      <c r="O396">
        <v>533293063.06306303</v>
      </c>
      <c r="P396">
        <v>630167537.83783782</v>
      </c>
      <c r="Q396">
        <v>747</v>
      </c>
      <c r="R396">
        <v>701</v>
      </c>
      <c r="S396">
        <v>562835854.05405402</v>
      </c>
      <c r="T396">
        <v>407439567.56756753</v>
      </c>
      <c r="U396">
        <v>177254684.68468466</v>
      </c>
      <c r="V396">
        <v>228521531.53153151</v>
      </c>
      <c r="W396">
        <v>29478</v>
      </c>
      <c r="X396">
        <v>29167</v>
      </c>
    </row>
    <row r="397" spans="1:24">
      <c r="A397" s="7" t="s">
        <v>498</v>
      </c>
      <c r="B397" s="16" t="s">
        <v>330</v>
      </c>
      <c r="C397">
        <v>1194894936.1434948</v>
      </c>
      <c r="D397">
        <v>1126034220.241313</v>
      </c>
      <c r="E397">
        <v>2181711.7117117192</v>
      </c>
      <c r="F397">
        <v>14351351.351351356</v>
      </c>
      <c r="G397">
        <v>422</v>
      </c>
      <c r="H397">
        <v>412</v>
      </c>
      <c r="I397">
        <v>60</v>
      </c>
      <c r="J397">
        <v>41</v>
      </c>
      <c r="K397">
        <v>2</v>
      </c>
      <c r="M397">
        <v>502</v>
      </c>
      <c r="N397">
        <v>605</v>
      </c>
      <c r="O397">
        <v>206509639.63963965</v>
      </c>
      <c r="P397">
        <v>253383423.42342341</v>
      </c>
      <c r="Q397">
        <v>768</v>
      </c>
      <c r="R397">
        <v>731</v>
      </c>
      <c r="S397">
        <v>321497972.97297299</v>
      </c>
      <c r="T397">
        <v>323743398.64864862</v>
      </c>
      <c r="U397">
        <v>199954324.32432431</v>
      </c>
      <c r="V397">
        <v>244388378.37837836</v>
      </c>
      <c r="W397">
        <v>27193</v>
      </c>
      <c r="X397">
        <v>26763</v>
      </c>
    </row>
    <row r="398" spans="1:24">
      <c r="A398" s="7" t="s">
        <v>499</v>
      </c>
      <c r="B398" s="16" t="s">
        <v>143</v>
      </c>
      <c r="C398">
        <v>491646796.05379897</v>
      </c>
      <c r="D398">
        <v>455577529.93441963</v>
      </c>
      <c r="E398">
        <v>300675.67567567801</v>
      </c>
      <c r="F398">
        <v>2376801.8018018049</v>
      </c>
      <c r="G398">
        <v>274</v>
      </c>
      <c r="H398">
        <v>134</v>
      </c>
      <c r="I398">
        <v>20</v>
      </c>
      <c r="J398">
        <v>15</v>
      </c>
      <c r="K398">
        <v>4</v>
      </c>
      <c r="M398">
        <v>300</v>
      </c>
      <c r="N398">
        <v>274</v>
      </c>
      <c r="O398">
        <v>39902882.882882878</v>
      </c>
      <c r="P398">
        <v>43152252.252252251</v>
      </c>
      <c r="Q398">
        <v>205</v>
      </c>
      <c r="R398">
        <v>148</v>
      </c>
      <c r="S398">
        <v>71350066.666666657</v>
      </c>
      <c r="T398">
        <v>70253664.864864871</v>
      </c>
      <c r="U398">
        <v>26505945.945945948</v>
      </c>
      <c r="V398">
        <v>27833063.063063059</v>
      </c>
      <c r="W398">
        <v>8836</v>
      </c>
      <c r="X398">
        <v>7993</v>
      </c>
    </row>
    <row r="399" spans="1:24">
      <c r="A399" s="7" t="s">
        <v>500</v>
      </c>
      <c r="B399" s="16" t="s">
        <v>220</v>
      </c>
      <c r="C399">
        <v>569469981.66788054</v>
      </c>
      <c r="D399">
        <v>544798082.97546113</v>
      </c>
      <c r="E399">
        <v>2054504.504504509</v>
      </c>
      <c r="F399">
        <v>5729054.05405406</v>
      </c>
      <c r="G399">
        <v>387</v>
      </c>
      <c r="H399">
        <v>240</v>
      </c>
      <c r="I399">
        <v>33</v>
      </c>
      <c r="J399">
        <v>17</v>
      </c>
      <c r="K399">
        <v>3</v>
      </c>
      <c r="M399">
        <v>871</v>
      </c>
      <c r="N399">
        <v>309</v>
      </c>
      <c r="O399">
        <v>136160360.36036035</v>
      </c>
      <c r="P399">
        <v>182693243.24324322</v>
      </c>
      <c r="Q399">
        <v>443</v>
      </c>
      <c r="R399">
        <v>149</v>
      </c>
      <c r="S399">
        <v>173368198.1981982</v>
      </c>
      <c r="T399">
        <v>167348635.13513514</v>
      </c>
      <c r="U399">
        <v>140510720.72072071</v>
      </c>
      <c r="V399">
        <v>184760990.99099097</v>
      </c>
      <c r="W399">
        <v>12606</v>
      </c>
      <c r="X399">
        <v>12497</v>
      </c>
    </row>
    <row r="400" spans="1:24">
      <c r="A400" s="7" t="s">
        <v>501</v>
      </c>
      <c r="B400" s="16" t="s">
        <v>397</v>
      </c>
      <c r="C400">
        <v>1500303809.0279047</v>
      </c>
      <c r="D400">
        <v>1536444729.2685232</v>
      </c>
      <c r="E400">
        <v>339562269.36936933</v>
      </c>
      <c r="F400">
        <v>179563869.36936939</v>
      </c>
      <c r="G400">
        <v>517</v>
      </c>
      <c r="H400">
        <v>466</v>
      </c>
      <c r="I400">
        <v>35</v>
      </c>
      <c r="J400">
        <v>59</v>
      </c>
      <c r="M400">
        <v>664</v>
      </c>
      <c r="N400">
        <v>635</v>
      </c>
      <c r="O400">
        <v>214833378.37837836</v>
      </c>
      <c r="P400">
        <v>173285810.8108108</v>
      </c>
      <c r="Q400">
        <v>859</v>
      </c>
      <c r="R400">
        <v>804</v>
      </c>
      <c r="S400">
        <v>319847248.64864862</v>
      </c>
      <c r="T400">
        <v>326380041.44144148</v>
      </c>
      <c r="U400">
        <v>202908873.87387389</v>
      </c>
      <c r="V400">
        <v>161797702.70270273</v>
      </c>
      <c r="W400">
        <v>26733</v>
      </c>
      <c r="X400">
        <v>26469</v>
      </c>
    </row>
    <row r="401" spans="1:24">
      <c r="A401" s="7" t="s">
        <v>502</v>
      </c>
      <c r="B401" s="16" t="s">
        <v>70</v>
      </c>
      <c r="C401">
        <v>23435474.457697343</v>
      </c>
      <c r="D401">
        <v>23831061.856743857</v>
      </c>
      <c r="E401">
        <v>77927.927927928002</v>
      </c>
      <c r="F401">
        <v>246846.84684684701</v>
      </c>
      <c r="G401">
        <v>5</v>
      </c>
      <c r="H401">
        <v>10</v>
      </c>
      <c r="I401">
        <v>0</v>
      </c>
      <c r="J401">
        <v>2</v>
      </c>
      <c r="M401">
        <v>6</v>
      </c>
      <c r="N401">
        <v>10</v>
      </c>
      <c r="O401">
        <v>820720.72072072094</v>
      </c>
      <c r="P401">
        <v>1106306.306306306</v>
      </c>
      <c r="Q401">
        <v>1</v>
      </c>
      <c r="R401">
        <v>51</v>
      </c>
      <c r="S401">
        <v>17057792.792792793</v>
      </c>
      <c r="T401">
        <v>17215531.531531531</v>
      </c>
      <c r="U401">
        <v>2287837.8378378372</v>
      </c>
      <c r="V401">
        <v>915585.58558558498</v>
      </c>
      <c r="W401">
        <v>677</v>
      </c>
      <c r="X401">
        <v>689</v>
      </c>
    </row>
    <row r="402" spans="1:24">
      <c r="A402" s="7" t="s">
        <v>503</v>
      </c>
      <c r="B402" s="16" t="s">
        <v>330</v>
      </c>
      <c r="C402">
        <v>671293329.70700383</v>
      </c>
      <c r="D402">
        <v>649574576.72744358</v>
      </c>
      <c r="E402">
        <v>2481981.9819819839</v>
      </c>
      <c r="F402">
        <v>6071396.3963963976</v>
      </c>
      <c r="G402">
        <v>242</v>
      </c>
      <c r="H402">
        <v>221</v>
      </c>
      <c r="I402">
        <v>20</v>
      </c>
      <c r="J402">
        <v>22</v>
      </c>
      <c r="M402">
        <v>303</v>
      </c>
      <c r="N402">
        <v>378</v>
      </c>
      <c r="O402">
        <v>59255315.315315314</v>
      </c>
      <c r="P402">
        <v>78330495.495495483</v>
      </c>
      <c r="Q402">
        <v>378</v>
      </c>
      <c r="R402">
        <v>196</v>
      </c>
      <c r="S402">
        <v>187145870.27027026</v>
      </c>
      <c r="T402">
        <v>201330182.43243241</v>
      </c>
      <c r="U402">
        <v>59153423.423423424</v>
      </c>
      <c r="V402">
        <v>74721711.711711705</v>
      </c>
      <c r="W402">
        <v>16126</v>
      </c>
      <c r="X402">
        <v>16108</v>
      </c>
    </row>
    <row r="403" spans="1:24">
      <c r="A403" s="7" t="s">
        <v>504</v>
      </c>
      <c r="B403" s="16" t="s">
        <v>283</v>
      </c>
      <c r="C403">
        <v>207993020.69117081</v>
      </c>
      <c r="D403">
        <v>199345919.50975531</v>
      </c>
      <c r="E403">
        <v>160427640.54054055</v>
      </c>
      <c r="F403">
        <v>234731391.8918919</v>
      </c>
      <c r="G403">
        <v>24</v>
      </c>
      <c r="H403">
        <v>37</v>
      </c>
      <c r="I403">
        <v>2</v>
      </c>
      <c r="J403">
        <v>1</v>
      </c>
      <c r="M403">
        <v>27</v>
      </c>
      <c r="N403">
        <v>38</v>
      </c>
      <c r="O403">
        <v>31540684.684684683</v>
      </c>
      <c r="P403">
        <v>39109886.486486487</v>
      </c>
      <c r="Q403">
        <v>35</v>
      </c>
      <c r="R403">
        <v>3</v>
      </c>
      <c r="S403">
        <v>38411171.171171166</v>
      </c>
      <c r="T403">
        <v>34243045.045045041</v>
      </c>
      <c r="U403">
        <v>17026846.846846845</v>
      </c>
      <c r="V403">
        <v>14060270.270270269</v>
      </c>
      <c r="W403">
        <v>3096</v>
      </c>
      <c r="X403">
        <v>3060</v>
      </c>
    </row>
    <row r="404" spans="1:24">
      <c r="A404" s="7" t="s">
        <v>505</v>
      </c>
      <c r="B404" s="16" t="s">
        <v>260</v>
      </c>
      <c r="C404">
        <v>120179979.97697935</v>
      </c>
      <c r="D404">
        <v>122311128.25431499</v>
      </c>
      <c r="E404">
        <v>9909.9099099100004</v>
      </c>
      <c r="F404">
        <v>100000</v>
      </c>
      <c r="G404">
        <v>8</v>
      </c>
      <c r="H404">
        <v>6</v>
      </c>
      <c r="I404">
        <v>3</v>
      </c>
      <c r="J404">
        <v>1</v>
      </c>
      <c r="K404">
        <v>1</v>
      </c>
      <c r="M404">
        <v>9</v>
      </c>
      <c r="N404">
        <v>8</v>
      </c>
      <c r="O404">
        <v>1640540.5405405399</v>
      </c>
      <c r="P404">
        <v>1991891.891891893</v>
      </c>
      <c r="Q404">
        <v>12</v>
      </c>
      <c r="R404">
        <v>9</v>
      </c>
      <c r="S404">
        <v>27351396.396396395</v>
      </c>
      <c r="T404">
        <v>27415432.432432432</v>
      </c>
      <c r="U404">
        <v>1469369.3693693699</v>
      </c>
      <c r="V404">
        <v>2265405.4054054059</v>
      </c>
      <c r="W404">
        <v>2306</v>
      </c>
      <c r="X404">
        <v>2127</v>
      </c>
    </row>
    <row r="405" spans="1:24">
      <c r="A405" s="7" t="s">
        <v>506</v>
      </c>
      <c r="B405" s="16" t="s">
        <v>236</v>
      </c>
      <c r="C405">
        <v>322646596.72384012</v>
      </c>
      <c r="D405">
        <v>299224712.0759694</v>
      </c>
      <c r="E405">
        <v>687927.92792793096</v>
      </c>
      <c r="F405">
        <v>3434684.684684684</v>
      </c>
      <c r="G405">
        <v>100</v>
      </c>
      <c r="H405">
        <v>43</v>
      </c>
      <c r="I405">
        <v>12</v>
      </c>
      <c r="J405">
        <v>12</v>
      </c>
      <c r="M405">
        <v>129</v>
      </c>
      <c r="N405">
        <v>231</v>
      </c>
      <c r="O405">
        <v>70706846.846846849</v>
      </c>
      <c r="P405">
        <v>80159774.774774775</v>
      </c>
      <c r="Q405">
        <v>219</v>
      </c>
      <c r="R405">
        <v>325</v>
      </c>
      <c r="S405">
        <v>72695824.324324325</v>
      </c>
      <c r="T405">
        <v>67041085.585585587</v>
      </c>
      <c r="U405">
        <v>72080360.360360369</v>
      </c>
      <c r="V405">
        <v>76218243.243243247</v>
      </c>
      <c r="W405">
        <v>4563</v>
      </c>
      <c r="X405">
        <v>4612</v>
      </c>
    </row>
    <row r="406" spans="1:24">
      <c r="A406" s="7" t="s">
        <v>507</v>
      </c>
      <c r="B406" s="16" t="s">
        <v>134</v>
      </c>
      <c r="C406">
        <v>50913010.4596067</v>
      </c>
      <c r="D406">
        <v>35024051.544447817</v>
      </c>
      <c r="G406">
        <v>1</v>
      </c>
      <c r="H406">
        <v>2</v>
      </c>
      <c r="I406">
        <v>0</v>
      </c>
      <c r="M406">
        <v>1</v>
      </c>
      <c r="N406">
        <v>2</v>
      </c>
      <c r="O406">
        <v>45045.045045045001</v>
      </c>
      <c r="Q406">
        <v>5</v>
      </c>
      <c r="S406">
        <v>8184504.5045045046</v>
      </c>
      <c r="T406">
        <v>6339900.9009009013</v>
      </c>
      <c r="U406">
        <v>45045.045045045001</v>
      </c>
      <c r="W406">
        <v>1274</v>
      </c>
      <c r="X406">
        <v>1267</v>
      </c>
    </row>
    <row r="407" spans="1:24">
      <c r="A407" s="7" t="s">
        <v>508</v>
      </c>
      <c r="B407" s="16" t="s">
        <v>397</v>
      </c>
      <c r="C407">
        <v>323474820.62754899</v>
      </c>
      <c r="D407">
        <v>314012249.62657684</v>
      </c>
      <c r="E407">
        <v>66809684.684684686</v>
      </c>
      <c r="F407">
        <v>86304054.054054052</v>
      </c>
      <c r="G407">
        <v>74</v>
      </c>
      <c r="H407">
        <v>56</v>
      </c>
      <c r="I407">
        <v>4</v>
      </c>
      <c r="J407">
        <v>9</v>
      </c>
      <c r="M407">
        <v>80</v>
      </c>
      <c r="N407">
        <v>82</v>
      </c>
      <c r="O407">
        <v>30057432.432432432</v>
      </c>
      <c r="P407">
        <v>34976126.126126125</v>
      </c>
      <c r="Q407">
        <v>51</v>
      </c>
      <c r="R407">
        <v>320</v>
      </c>
      <c r="S407">
        <v>45849684.684684686</v>
      </c>
      <c r="T407">
        <v>46973873.873873875</v>
      </c>
      <c r="U407">
        <v>25229954.954954952</v>
      </c>
      <c r="V407">
        <v>33793153.153153151</v>
      </c>
      <c r="W407">
        <v>4492</v>
      </c>
      <c r="X407">
        <v>4477</v>
      </c>
    </row>
    <row r="408" spans="1:24">
      <c r="A408" s="7" t="s">
        <v>509</v>
      </c>
      <c r="B408" s="16" t="s">
        <v>134</v>
      </c>
      <c r="C408">
        <v>351117753.83475733</v>
      </c>
      <c r="D408">
        <v>346410105.91389239</v>
      </c>
      <c r="E408">
        <v>1670045.0450450459</v>
      </c>
      <c r="F408">
        <v>1904504.5045045051</v>
      </c>
      <c r="G408">
        <v>91</v>
      </c>
      <c r="H408">
        <v>80</v>
      </c>
      <c r="I408">
        <v>17</v>
      </c>
      <c r="J408">
        <v>11</v>
      </c>
      <c r="K408">
        <v>2</v>
      </c>
      <c r="M408">
        <v>99</v>
      </c>
      <c r="N408">
        <v>98</v>
      </c>
      <c r="O408">
        <v>41506306.306306303</v>
      </c>
      <c r="P408">
        <v>32587387.387387387</v>
      </c>
      <c r="Q408">
        <v>294</v>
      </c>
      <c r="R408">
        <v>158</v>
      </c>
      <c r="S408">
        <v>62729651.351351351</v>
      </c>
      <c r="T408">
        <v>56089177.927927926</v>
      </c>
      <c r="U408">
        <v>31714054.054054052</v>
      </c>
      <c r="V408">
        <v>27677837.837837838</v>
      </c>
      <c r="W408">
        <v>5438</v>
      </c>
      <c r="X408">
        <v>5493</v>
      </c>
    </row>
    <row r="409" spans="1:24">
      <c r="A409" s="7" t="s">
        <v>510</v>
      </c>
      <c r="B409" s="16" t="s">
        <v>134</v>
      </c>
      <c r="C409">
        <v>961126797.19456172</v>
      </c>
      <c r="D409">
        <v>956779878.87410378</v>
      </c>
      <c r="E409">
        <v>2102657.6576576652</v>
      </c>
      <c r="F409">
        <v>5932657.6576576661</v>
      </c>
      <c r="G409">
        <v>354</v>
      </c>
      <c r="H409">
        <v>178</v>
      </c>
      <c r="I409">
        <v>35</v>
      </c>
      <c r="J409">
        <v>27</v>
      </c>
      <c r="K409">
        <v>10</v>
      </c>
      <c r="M409">
        <v>396</v>
      </c>
      <c r="N409">
        <v>266</v>
      </c>
      <c r="O409">
        <v>75635405.405405402</v>
      </c>
      <c r="P409">
        <v>76641441.441441447</v>
      </c>
      <c r="Q409">
        <v>530</v>
      </c>
      <c r="R409">
        <v>698</v>
      </c>
      <c r="S409">
        <v>113991432.43243243</v>
      </c>
      <c r="T409">
        <v>99408351.351351351</v>
      </c>
      <c r="U409">
        <v>72006846.846846834</v>
      </c>
      <c r="V409">
        <v>74035495.495495483</v>
      </c>
      <c r="W409">
        <v>16538</v>
      </c>
      <c r="X409">
        <v>16553</v>
      </c>
    </row>
    <row r="410" spans="1:24">
      <c r="A410" s="7" t="s">
        <v>8</v>
      </c>
      <c r="B410" s="16" t="s">
        <v>158</v>
      </c>
      <c r="C410">
        <v>258954460.51900512</v>
      </c>
      <c r="D410">
        <v>252717233.54490951</v>
      </c>
      <c r="E410">
        <v>2347747.747747751</v>
      </c>
      <c r="F410">
        <v>5693693.6936936947</v>
      </c>
      <c r="G410">
        <v>27</v>
      </c>
      <c r="H410">
        <v>25</v>
      </c>
      <c r="I410">
        <v>10</v>
      </c>
      <c r="J410">
        <v>5</v>
      </c>
      <c r="M410">
        <v>28</v>
      </c>
      <c r="N410">
        <v>28</v>
      </c>
      <c r="O410">
        <v>34618468.468468465</v>
      </c>
      <c r="P410">
        <v>43859459.459459454</v>
      </c>
      <c r="Q410">
        <v>117</v>
      </c>
      <c r="R410">
        <v>54</v>
      </c>
      <c r="S410">
        <v>74865711.711711705</v>
      </c>
      <c r="T410">
        <v>74513666.666666672</v>
      </c>
      <c r="U410">
        <v>33736216.216216214</v>
      </c>
      <c r="V410">
        <v>40280900.900900893</v>
      </c>
      <c r="W410">
        <v>3906</v>
      </c>
      <c r="X410">
        <v>3851</v>
      </c>
    </row>
    <row r="411" spans="1:24">
      <c r="A411" s="7" t="s">
        <v>511</v>
      </c>
      <c r="B411" s="16" t="s">
        <v>134</v>
      </c>
      <c r="C411">
        <v>169502038.42853805</v>
      </c>
      <c r="D411">
        <v>182059135.63011914</v>
      </c>
      <c r="E411">
        <v>281981.98198198201</v>
      </c>
      <c r="F411">
        <v>743243.24324324296</v>
      </c>
      <c r="G411">
        <v>58</v>
      </c>
      <c r="H411">
        <v>13</v>
      </c>
      <c r="I411">
        <v>4</v>
      </c>
      <c r="J411">
        <v>3</v>
      </c>
      <c r="M411">
        <v>101</v>
      </c>
      <c r="N411">
        <v>15</v>
      </c>
      <c r="O411">
        <v>7939639.6396396393</v>
      </c>
      <c r="P411">
        <v>6148648.6486486495</v>
      </c>
      <c r="Q411">
        <v>30</v>
      </c>
      <c r="S411">
        <v>23156117.117117114</v>
      </c>
      <c r="T411">
        <v>25301099.0990991</v>
      </c>
      <c r="U411">
        <v>4893603.6036036042</v>
      </c>
      <c r="V411">
        <v>5019459.4594594603</v>
      </c>
      <c r="W411">
        <v>3932</v>
      </c>
      <c r="X411">
        <v>3981</v>
      </c>
    </row>
    <row r="412" spans="1:24">
      <c r="A412" s="7" t="s">
        <v>512</v>
      </c>
      <c r="B412" s="16" t="s">
        <v>62</v>
      </c>
      <c r="C412">
        <v>820477228.60832179</v>
      </c>
      <c r="D412">
        <v>804939175.28583956</v>
      </c>
      <c r="E412">
        <v>3923423.4234234272</v>
      </c>
      <c r="F412">
        <v>5342342.3423423488</v>
      </c>
      <c r="G412">
        <v>99</v>
      </c>
      <c r="H412">
        <v>196</v>
      </c>
      <c r="I412">
        <v>15</v>
      </c>
      <c r="J412">
        <v>27</v>
      </c>
      <c r="M412">
        <v>126</v>
      </c>
      <c r="N412">
        <v>325</v>
      </c>
      <c r="O412">
        <v>36686486.486486487</v>
      </c>
      <c r="P412">
        <v>115579009.009009</v>
      </c>
      <c r="Q412">
        <v>132</v>
      </c>
      <c r="R412">
        <v>209</v>
      </c>
      <c r="S412">
        <v>158289171.17117116</v>
      </c>
      <c r="T412">
        <v>167169379.27927929</v>
      </c>
      <c r="U412">
        <v>33579369.369369365</v>
      </c>
      <c r="V412">
        <v>112015675.67567568</v>
      </c>
      <c r="W412">
        <v>14428</v>
      </c>
      <c r="X412">
        <v>14516</v>
      </c>
    </row>
    <row r="413" spans="1:24">
      <c r="A413" s="7" t="s">
        <v>513</v>
      </c>
      <c r="B413" s="16" t="s">
        <v>117</v>
      </c>
      <c r="C413">
        <v>92197261.21078375</v>
      </c>
      <c r="D413">
        <v>82665437.364081502</v>
      </c>
      <c r="E413">
        <v>15315.315315317001</v>
      </c>
      <c r="F413">
        <v>327027.02702702797</v>
      </c>
      <c r="G413">
        <v>97</v>
      </c>
      <c r="H413">
        <v>34</v>
      </c>
      <c r="I413">
        <v>4</v>
      </c>
      <c r="J413">
        <v>3</v>
      </c>
      <c r="M413">
        <v>99</v>
      </c>
      <c r="N413">
        <v>35</v>
      </c>
      <c r="O413">
        <v>4763243.2432432426</v>
      </c>
      <c r="P413">
        <v>3839009.0090090092</v>
      </c>
      <c r="Q413">
        <v>83</v>
      </c>
      <c r="R413">
        <v>4</v>
      </c>
      <c r="S413">
        <v>43648333.333333336</v>
      </c>
      <c r="T413">
        <v>36329432.432432435</v>
      </c>
      <c r="U413">
        <v>4302432.4324324308</v>
      </c>
      <c r="V413">
        <v>3409549.5495495512</v>
      </c>
      <c r="W413">
        <v>2051</v>
      </c>
      <c r="X413">
        <v>2046</v>
      </c>
    </row>
    <row r="414" spans="1:24">
      <c r="A414" s="7" t="s">
        <v>514</v>
      </c>
      <c r="B414" s="16" t="s">
        <v>304</v>
      </c>
      <c r="C414">
        <v>155300235.71073654</v>
      </c>
      <c r="D414">
        <v>149418366.45590883</v>
      </c>
      <c r="E414">
        <v>133677000</v>
      </c>
      <c r="F414">
        <v>137998400</v>
      </c>
      <c r="G414">
        <v>61</v>
      </c>
      <c r="H414">
        <v>80</v>
      </c>
      <c r="I414">
        <v>6</v>
      </c>
      <c r="J414">
        <v>6</v>
      </c>
      <c r="M414">
        <v>66</v>
      </c>
      <c r="N414">
        <v>82</v>
      </c>
      <c r="O414">
        <v>35299099.0990991</v>
      </c>
      <c r="P414">
        <v>12545045.045045046</v>
      </c>
      <c r="Q414">
        <v>92</v>
      </c>
      <c r="R414">
        <v>61</v>
      </c>
      <c r="S414">
        <v>14083423.423423423</v>
      </c>
      <c r="T414">
        <v>14963108.108108109</v>
      </c>
      <c r="U414">
        <v>5377927.9279279271</v>
      </c>
      <c r="V414">
        <v>12286126.126126125</v>
      </c>
      <c r="W414">
        <v>1553</v>
      </c>
      <c r="X414">
        <v>1475</v>
      </c>
    </row>
    <row r="415" spans="1:24">
      <c r="A415" s="7" t="s">
        <v>515</v>
      </c>
      <c r="B415" s="16" t="s">
        <v>304</v>
      </c>
      <c r="C415">
        <v>44909711.151984863</v>
      </c>
      <c r="D415">
        <v>41599350.453421868</v>
      </c>
      <c r="E415">
        <v>196756.75675675701</v>
      </c>
      <c r="F415">
        <v>442342.34234234202</v>
      </c>
      <c r="G415">
        <v>12</v>
      </c>
      <c r="H415">
        <v>10</v>
      </c>
      <c r="I415">
        <v>3</v>
      </c>
      <c r="J415">
        <v>2</v>
      </c>
      <c r="M415">
        <v>13</v>
      </c>
      <c r="N415">
        <v>11</v>
      </c>
      <c r="O415">
        <v>5250810.81081081</v>
      </c>
      <c r="P415">
        <v>4585585.5855855849</v>
      </c>
      <c r="Q415">
        <v>14</v>
      </c>
      <c r="R415">
        <v>28</v>
      </c>
      <c r="S415">
        <v>6737612.6126126125</v>
      </c>
      <c r="T415">
        <v>6313252.2522522528</v>
      </c>
      <c r="U415">
        <v>5429099.0990990978</v>
      </c>
      <c r="V415">
        <v>3691621.6216216208</v>
      </c>
      <c r="W415">
        <v>596</v>
      </c>
      <c r="X415">
        <v>595</v>
      </c>
    </row>
    <row r="416" spans="1:24">
      <c r="A416" s="7" t="s">
        <v>516</v>
      </c>
      <c r="B416" s="16" t="s">
        <v>304</v>
      </c>
      <c r="C416">
        <v>82206370.010210529</v>
      </c>
      <c r="D416">
        <v>87696361.80688259</v>
      </c>
      <c r="E416">
        <v>23963.963963964001</v>
      </c>
      <c r="F416">
        <v>770270.27027026704</v>
      </c>
      <c r="G416">
        <v>35</v>
      </c>
      <c r="H416">
        <v>41</v>
      </c>
      <c r="I416">
        <v>2</v>
      </c>
      <c r="J416">
        <v>5</v>
      </c>
      <c r="M416">
        <v>38</v>
      </c>
      <c r="N416">
        <v>47</v>
      </c>
      <c r="O416">
        <v>6132072.0720720701</v>
      </c>
      <c r="P416">
        <v>4952252.2522522528</v>
      </c>
      <c r="Q416">
        <v>60</v>
      </c>
      <c r="R416">
        <v>29</v>
      </c>
      <c r="S416">
        <v>12358198.198198199</v>
      </c>
      <c r="T416">
        <v>13643027.027027028</v>
      </c>
      <c r="U416">
        <v>5797567.5675675683</v>
      </c>
      <c r="V416">
        <v>4411891.8918918911</v>
      </c>
      <c r="W416">
        <v>1074</v>
      </c>
      <c r="X416">
        <v>1065</v>
      </c>
    </row>
    <row r="417" spans="1:24">
      <c r="A417" s="7" t="s">
        <v>517</v>
      </c>
      <c r="B417" s="16" t="s">
        <v>304</v>
      </c>
      <c r="C417">
        <v>70498605.883984521</v>
      </c>
      <c r="D417">
        <v>69267467.595142275</v>
      </c>
      <c r="E417">
        <v>156756.75675675701</v>
      </c>
      <c r="F417">
        <v>102702.702702703</v>
      </c>
      <c r="G417">
        <v>21</v>
      </c>
      <c r="H417">
        <v>24</v>
      </c>
      <c r="I417">
        <v>3</v>
      </c>
      <c r="J417">
        <v>2</v>
      </c>
      <c r="M417">
        <v>22</v>
      </c>
      <c r="N417">
        <v>25</v>
      </c>
      <c r="O417">
        <v>2517117.1171171172</v>
      </c>
      <c r="P417">
        <v>1731531.5315315309</v>
      </c>
      <c r="Q417">
        <v>4</v>
      </c>
      <c r="R417">
        <v>8</v>
      </c>
      <c r="S417">
        <v>9250900.9009009004</v>
      </c>
      <c r="T417">
        <v>8908414.4144144151</v>
      </c>
      <c r="U417">
        <v>2151171.1711711702</v>
      </c>
      <c r="V417">
        <v>1294504.5045045039</v>
      </c>
      <c r="W417">
        <v>893</v>
      </c>
      <c r="X417">
        <v>839</v>
      </c>
    </row>
    <row r="418" spans="1:24">
      <c r="A418" s="7" t="s">
        <v>518</v>
      </c>
      <c r="B418" s="16" t="s">
        <v>448</v>
      </c>
      <c r="C418">
        <v>74271232.313858643</v>
      </c>
      <c r="D418">
        <v>71045404.162249923</v>
      </c>
      <c r="E418">
        <v>444144.14414414403</v>
      </c>
      <c r="F418">
        <v>390990.99099099101</v>
      </c>
      <c r="G418">
        <v>43</v>
      </c>
      <c r="H418">
        <v>17</v>
      </c>
      <c r="I418">
        <v>4</v>
      </c>
      <c r="M418">
        <v>53</v>
      </c>
      <c r="N418">
        <v>23</v>
      </c>
      <c r="O418">
        <v>6981891.8918918921</v>
      </c>
      <c r="P418">
        <v>4763513.5135135129</v>
      </c>
      <c r="Q418">
        <v>20</v>
      </c>
      <c r="S418">
        <v>25943585.585585583</v>
      </c>
      <c r="T418">
        <v>24433011.261261258</v>
      </c>
      <c r="U418">
        <v>7276486.4864864871</v>
      </c>
      <c r="V418">
        <v>4842882.8828828819</v>
      </c>
      <c r="W418">
        <v>1826</v>
      </c>
      <c r="X418">
        <v>1800</v>
      </c>
    </row>
    <row r="419" spans="1:24">
      <c r="A419" s="7" t="s">
        <v>519</v>
      </c>
      <c r="B419" s="16" t="s">
        <v>85</v>
      </c>
      <c r="C419">
        <v>215670389.43709907</v>
      </c>
      <c r="D419">
        <v>220428099.14192364</v>
      </c>
      <c r="E419">
        <v>391309473.87387383</v>
      </c>
      <c r="F419">
        <v>390569069.36936933</v>
      </c>
      <c r="G419">
        <v>46</v>
      </c>
      <c r="H419">
        <v>34</v>
      </c>
      <c r="I419">
        <v>8</v>
      </c>
      <c r="J419">
        <v>7</v>
      </c>
      <c r="K419">
        <v>1</v>
      </c>
      <c r="M419">
        <v>49</v>
      </c>
      <c r="N419">
        <v>45</v>
      </c>
      <c r="O419">
        <v>33852252.252252251</v>
      </c>
      <c r="P419">
        <v>84425675.675675675</v>
      </c>
      <c r="Q419">
        <v>65</v>
      </c>
      <c r="R419">
        <v>66</v>
      </c>
      <c r="S419">
        <v>52250495.495495498</v>
      </c>
      <c r="T419">
        <v>54233430.630630635</v>
      </c>
      <c r="U419">
        <v>24742072.072072074</v>
      </c>
      <c r="V419">
        <v>43216980.180180185</v>
      </c>
      <c r="W419">
        <v>3878</v>
      </c>
      <c r="X419">
        <v>4140</v>
      </c>
    </row>
    <row r="420" spans="1:24">
      <c r="A420" s="7" t="s">
        <v>520</v>
      </c>
      <c r="B420" s="16" t="s">
        <v>304</v>
      </c>
      <c r="C420">
        <v>107344725.58224227</v>
      </c>
      <c r="D420">
        <v>110010170.9696186</v>
      </c>
      <c r="E420">
        <v>372072.07207207201</v>
      </c>
      <c r="F420">
        <v>71171.171171170994</v>
      </c>
      <c r="G420">
        <v>49</v>
      </c>
      <c r="H420">
        <v>13</v>
      </c>
      <c r="I420">
        <v>2</v>
      </c>
      <c r="J420">
        <v>1</v>
      </c>
      <c r="M420">
        <v>53</v>
      </c>
      <c r="N420">
        <v>14</v>
      </c>
      <c r="O420">
        <v>7831531.5315315314</v>
      </c>
      <c r="P420">
        <v>6822522.5225225231</v>
      </c>
      <c r="Q420">
        <v>18</v>
      </c>
      <c r="R420">
        <v>8</v>
      </c>
      <c r="S420">
        <v>18717207.207207207</v>
      </c>
      <c r="T420">
        <v>19488572.072072074</v>
      </c>
      <c r="U420">
        <v>4108018.0180180189</v>
      </c>
      <c r="V420">
        <v>4105405.405405405</v>
      </c>
      <c r="W420">
        <v>1552</v>
      </c>
      <c r="X420">
        <v>1336</v>
      </c>
    </row>
    <row r="421" spans="1:24">
      <c r="A421" s="7" t="s">
        <v>521</v>
      </c>
      <c r="B421" s="16" t="s">
        <v>399</v>
      </c>
      <c r="C421">
        <v>792442615.63296282</v>
      </c>
      <c r="D421">
        <v>778057929.16003931</v>
      </c>
      <c r="E421">
        <v>256960671.17117116</v>
      </c>
      <c r="F421">
        <v>170494131.53153154</v>
      </c>
      <c r="G421">
        <v>474</v>
      </c>
      <c r="H421">
        <v>168</v>
      </c>
      <c r="I421">
        <v>52</v>
      </c>
      <c r="J421">
        <v>45</v>
      </c>
      <c r="K421">
        <v>6</v>
      </c>
      <c r="M421">
        <v>527</v>
      </c>
      <c r="N421">
        <v>659</v>
      </c>
      <c r="O421">
        <v>154482072.07207206</v>
      </c>
      <c r="P421">
        <v>138705855.85585585</v>
      </c>
      <c r="Q421">
        <v>579</v>
      </c>
      <c r="R421">
        <v>1085</v>
      </c>
      <c r="S421">
        <v>199157693.6936937</v>
      </c>
      <c r="T421">
        <v>197836337.83783782</v>
      </c>
      <c r="U421">
        <v>134105045.04504503</v>
      </c>
      <c r="V421">
        <v>118558558.55855855</v>
      </c>
      <c r="W421">
        <v>13707</v>
      </c>
      <c r="X421">
        <v>13631</v>
      </c>
    </row>
    <row r="422" spans="1:24">
      <c r="A422" s="7" t="s">
        <v>522</v>
      </c>
      <c r="B422" s="16" t="s">
        <v>143</v>
      </c>
      <c r="C422">
        <v>222626151.6398626</v>
      </c>
      <c r="D422">
        <v>218453622.3194204</v>
      </c>
      <c r="E422">
        <v>294594.59459459601</v>
      </c>
      <c r="F422">
        <v>573873.87387387396</v>
      </c>
      <c r="G422">
        <v>41</v>
      </c>
      <c r="H422">
        <v>59</v>
      </c>
      <c r="I422">
        <v>6</v>
      </c>
      <c r="J422">
        <v>2</v>
      </c>
      <c r="M422">
        <v>48</v>
      </c>
      <c r="N422">
        <v>60</v>
      </c>
      <c r="O422">
        <v>12672972.972972972</v>
      </c>
      <c r="P422">
        <v>14357657.657657661</v>
      </c>
      <c r="Q422">
        <v>18</v>
      </c>
      <c r="S422">
        <v>25105846.846846849</v>
      </c>
      <c r="T422">
        <v>28037477.477477476</v>
      </c>
      <c r="U422">
        <v>11552972.972972974</v>
      </c>
      <c r="V422">
        <v>12524774.774774777</v>
      </c>
      <c r="W422">
        <v>2944</v>
      </c>
      <c r="X422">
        <v>2982</v>
      </c>
    </row>
    <row r="423" spans="1:24">
      <c r="A423" s="7" t="s">
        <v>523</v>
      </c>
      <c r="B423" s="16" t="s">
        <v>66</v>
      </c>
      <c r="C423">
        <v>148860300.82601276</v>
      </c>
      <c r="D423">
        <v>152432577.80008698</v>
      </c>
      <c r="E423">
        <v>135697387.38738739</v>
      </c>
      <c r="F423">
        <v>456825225.22522521</v>
      </c>
      <c r="G423">
        <v>43</v>
      </c>
      <c r="H423">
        <v>35</v>
      </c>
      <c r="I423">
        <v>3</v>
      </c>
      <c r="J423">
        <v>7</v>
      </c>
      <c r="K423">
        <v>1</v>
      </c>
      <c r="M423">
        <v>46</v>
      </c>
      <c r="N423">
        <v>41</v>
      </c>
      <c r="O423">
        <v>39838873.873873875</v>
      </c>
      <c r="P423">
        <v>77887612.612612605</v>
      </c>
      <c r="Q423">
        <v>164</v>
      </c>
      <c r="R423">
        <v>12</v>
      </c>
      <c r="S423">
        <v>69422792.792792797</v>
      </c>
      <c r="T423">
        <v>72606036.036036029</v>
      </c>
      <c r="U423">
        <v>15353063.063063061</v>
      </c>
      <c r="V423">
        <v>58247477.477477483</v>
      </c>
      <c r="W423">
        <v>3598</v>
      </c>
      <c r="X423">
        <v>3739</v>
      </c>
    </row>
    <row r="424" spans="1:24">
      <c r="A424" s="7" t="s">
        <v>524</v>
      </c>
      <c r="B424" s="16" t="s">
        <v>220</v>
      </c>
      <c r="C424">
        <v>214739865.10172147</v>
      </c>
      <c r="D424">
        <v>196132199.45189196</v>
      </c>
      <c r="E424">
        <v>623423.42342342495</v>
      </c>
      <c r="F424">
        <v>851351.35135135101</v>
      </c>
      <c r="G424">
        <v>82</v>
      </c>
      <c r="H424">
        <v>69</v>
      </c>
      <c r="I424">
        <v>6</v>
      </c>
      <c r="J424">
        <v>3</v>
      </c>
      <c r="M424">
        <v>88</v>
      </c>
      <c r="N424">
        <v>77</v>
      </c>
      <c r="O424">
        <v>12200900.900900902</v>
      </c>
      <c r="P424">
        <v>13022522.52252252</v>
      </c>
      <c r="Q424">
        <v>10</v>
      </c>
      <c r="R424">
        <v>7</v>
      </c>
      <c r="S424">
        <v>51905513.513513513</v>
      </c>
      <c r="T424">
        <v>49274405.40540541</v>
      </c>
      <c r="U424">
        <v>10655225.225225223</v>
      </c>
      <c r="V424">
        <v>10105495.495495494</v>
      </c>
      <c r="W424">
        <v>4495</v>
      </c>
      <c r="X424">
        <v>4483</v>
      </c>
    </row>
    <row r="425" spans="1:24">
      <c r="A425" s="7" t="s">
        <v>525</v>
      </c>
      <c r="B425" s="16" t="s">
        <v>413</v>
      </c>
      <c r="C425">
        <v>2255227902.1499982</v>
      </c>
      <c r="D425">
        <v>2168243938.5447016</v>
      </c>
      <c r="E425">
        <v>1111764154.054054</v>
      </c>
      <c r="F425">
        <v>681812524.32432437</v>
      </c>
      <c r="G425">
        <v>571</v>
      </c>
      <c r="H425">
        <v>411</v>
      </c>
      <c r="I425">
        <v>32</v>
      </c>
      <c r="J425">
        <v>48</v>
      </c>
      <c r="K425">
        <v>1</v>
      </c>
      <c r="M425">
        <v>823</v>
      </c>
      <c r="N425">
        <v>1269</v>
      </c>
      <c r="O425">
        <v>187235010.8108108</v>
      </c>
      <c r="P425">
        <v>173785171.17117116</v>
      </c>
      <c r="Q425">
        <v>1556</v>
      </c>
      <c r="R425">
        <v>901</v>
      </c>
      <c r="S425">
        <v>638553171.17117119</v>
      </c>
      <c r="T425">
        <v>633336211.71171176</v>
      </c>
      <c r="U425">
        <v>175482836.03603604</v>
      </c>
      <c r="V425">
        <v>182347837.83783785</v>
      </c>
      <c r="W425">
        <v>32561</v>
      </c>
      <c r="X425">
        <v>31542</v>
      </c>
    </row>
    <row r="426" spans="1:24">
      <c r="A426" s="7" t="s">
        <v>526</v>
      </c>
      <c r="B426" s="16" t="s">
        <v>413</v>
      </c>
      <c r="C426">
        <v>265398035.41490555</v>
      </c>
      <c r="D426">
        <v>242992266.37331942</v>
      </c>
      <c r="E426">
        <v>16216.216216217001</v>
      </c>
      <c r="F426">
        <v>2777702.702702703</v>
      </c>
      <c r="G426">
        <v>41</v>
      </c>
      <c r="H426">
        <v>40</v>
      </c>
      <c r="I426">
        <v>1</v>
      </c>
      <c r="J426">
        <v>3</v>
      </c>
      <c r="M426">
        <v>47</v>
      </c>
      <c r="N426">
        <v>47</v>
      </c>
      <c r="O426">
        <v>13584504.504504504</v>
      </c>
      <c r="P426">
        <v>14938606.306306308</v>
      </c>
      <c r="Q426">
        <v>42</v>
      </c>
      <c r="R426">
        <v>30</v>
      </c>
      <c r="S426">
        <v>76675349.54954955</v>
      </c>
      <c r="T426">
        <v>76952459.459459454</v>
      </c>
      <c r="U426">
        <v>11421171.17117117</v>
      </c>
      <c r="V426">
        <v>12620810.81081081</v>
      </c>
      <c r="W426">
        <v>4613</v>
      </c>
      <c r="X426">
        <v>4635</v>
      </c>
    </row>
    <row r="427" spans="1:24">
      <c r="A427" s="7" t="s">
        <v>661</v>
      </c>
      <c r="B427" s="16" t="s">
        <v>189</v>
      </c>
      <c r="C427">
        <v>4542480.3748179236</v>
      </c>
      <c r="D427">
        <v>1265771.677895372</v>
      </c>
      <c r="E427">
        <v>5405405.405405405</v>
      </c>
      <c r="F427">
        <v>3603603.6036036038</v>
      </c>
      <c r="G427">
        <v>8</v>
      </c>
      <c r="H427">
        <v>3</v>
      </c>
      <c r="M427">
        <v>8</v>
      </c>
      <c r="N427">
        <v>4</v>
      </c>
      <c r="S427">
        <v>1450900.9009009011</v>
      </c>
      <c r="T427">
        <v>838558.55855855905</v>
      </c>
      <c r="W427">
        <v>143</v>
      </c>
      <c r="X427">
        <v>128</v>
      </c>
    </row>
    <row r="428" spans="1:24">
      <c r="A428" s="7" t="s">
        <v>527</v>
      </c>
      <c r="B428" s="16" t="s">
        <v>147</v>
      </c>
      <c r="C428">
        <v>513708711.81780702</v>
      </c>
      <c r="D428">
        <v>507016617.31459957</v>
      </c>
      <c r="E428">
        <v>2774774.7747747791</v>
      </c>
      <c r="F428">
        <v>9777702.7027027048</v>
      </c>
      <c r="G428">
        <v>101</v>
      </c>
      <c r="H428">
        <v>159</v>
      </c>
      <c r="I428">
        <v>11</v>
      </c>
      <c r="J428">
        <v>9</v>
      </c>
      <c r="M428">
        <v>109</v>
      </c>
      <c r="N428">
        <v>506</v>
      </c>
      <c r="O428">
        <v>78301801.801801786</v>
      </c>
      <c r="P428">
        <v>141510569.36936939</v>
      </c>
      <c r="Q428">
        <v>243</v>
      </c>
      <c r="R428">
        <v>409</v>
      </c>
      <c r="S428">
        <v>166447648.64864865</v>
      </c>
      <c r="T428">
        <v>179828655.85585585</v>
      </c>
      <c r="U428">
        <v>81841621.621621609</v>
      </c>
      <c r="V428">
        <v>138287837.83783785</v>
      </c>
      <c r="W428">
        <v>10076</v>
      </c>
      <c r="X428">
        <v>10004</v>
      </c>
    </row>
    <row r="429" spans="1:24">
      <c r="A429" s="7" t="s">
        <v>528</v>
      </c>
      <c r="B429" s="16" t="s">
        <v>121</v>
      </c>
      <c r="C429">
        <v>57395724.097808056</v>
      </c>
      <c r="D429">
        <v>56512280.919993207</v>
      </c>
      <c r="E429">
        <v>152927.92792792901</v>
      </c>
      <c r="F429">
        <v>481081.08108108101</v>
      </c>
      <c r="G429">
        <v>30</v>
      </c>
      <c r="H429">
        <v>27</v>
      </c>
      <c r="I429">
        <v>4</v>
      </c>
      <c r="J429">
        <v>4</v>
      </c>
      <c r="M429">
        <v>32</v>
      </c>
      <c r="N429">
        <v>31</v>
      </c>
      <c r="O429">
        <v>3067567.5675675678</v>
      </c>
      <c r="P429">
        <v>5746846.8468468469</v>
      </c>
      <c r="Q429">
        <v>13</v>
      </c>
      <c r="R429">
        <v>7</v>
      </c>
      <c r="S429">
        <v>6457027.0270270268</v>
      </c>
      <c r="T429">
        <v>7371409.9099099096</v>
      </c>
      <c r="U429">
        <v>2955945.945945946</v>
      </c>
      <c r="V429">
        <v>4811441.441441441</v>
      </c>
      <c r="W429">
        <v>997</v>
      </c>
      <c r="X429">
        <v>982</v>
      </c>
    </row>
    <row r="430" spans="1:24">
      <c r="A430" s="7" t="s">
        <v>529</v>
      </c>
      <c r="B430" s="16" t="s">
        <v>448</v>
      </c>
      <c r="C430">
        <v>135329733.26131135</v>
      </c>
      <c r="D430">
        <v>103576103.70062521</v>
      </c>
      <c r="E430">
        <v>128215045.04504503</v>
      </c>
      <c r="F430">
        <v>402008108.1081081</v>
      </c>
      <c r="G430">
        <v>49</v>
      </c>
      <c r="H430">
        <v>106</v>
      </c>
      <c r="I430">
        <v>1</v>
      </c>
      <c r="J430">
        <v>3</v>
      </c>
      <c r="M430">
        <v>50</v>
      </c>
      <c r="N430">
        <v>153</v>
      </c>
      <c r="O430">
        <v>15580225.225225225</v>
      </c>
      <c r="P430">
        <v>17051351.351351351</v>
      </c>
      <c r="Q430">
        <v>59</v>
      </c>
      <c r="R430">
        <v>44</v>
      </c>
      <c r="S430">
        <v>63156378.378378376</v>
      </c>
      <c r="T430">
        <v>50637137.387387387</v>
      </c>
      <c r="U430">
        <v>12719279.279279282</v>
      </c>
      <c r="V430">
        <v>16104594.594594594</v>
      </c>
      <c r="W430">
        <v>2245</v>
      </c>
      <c r="X430">
        <v>2184</v>
      </c>
    </row>
    <row r="431" spans="1:24">
      <c r="A431" s="7" t="s">
        <v>530</v>
      </c>
      <c r="B431" s="16" t="s">
        <v>448</v>
      </c>
      <c r="C431">
        <v>236768732.59443906</v>
      </c>
      <c r="D431">
        <v>236547737.69568083</v>
      </c>
      <c r="E431">
        <v>105405.405405406</v>
      </c>
      <c r="F431">
        <v>1899099.0990990989</v>
      </c>
      <c r="G431">
        <v>218</v>
      </c>
      <c r="H431">
        <v>133</v>
      </c>
      <c r="I431">
        <v>9</v>
      </c>
      <c r="J431">
        <v>9</v>
      </c>
      <c r="M431">
        <v>240</v>
      </c>
      <c r="N431">
        <v>231</v>
      </c>
      <c r="O431">
        <v>55443603.603603609</v>
      </c>
      <c r="P431">
        <v>20866216.216216218</v>
      </c>
      <c r="Q431">
        <v>240</v>
      </c>
      <c r="R431">
        <v>70</v>
      </c>
      <c r="S431">
        <v>111861351.35135137</v>
      </c>
      <c r="T431">
        <v>112792045.04504503</v>
      </c>
      <c r="U431">
        <v>55900990.990990989</v>
      </c>
      <c r="V431">
        <v>20922342.342342343</v>
      </c>
      <c r="W431">
        <v>5153</v>
      </c>
      <c r="X431">
        <v>5273</v>
      </c>
    </row>
    <row r="432" spans="1:24">
      <c r="A432" s="7" t="s">
        <v>531</v>
      </c>
      <c r="B432" s="16" t="s">
        <v>123</v>
      </c>
      <c r="C432">
        <v>617071242.2510066</v>
      </c>
      <c r="D432">
        <v>623934744.69956398</v>
      </c>
      <c r="E432">
        <v>158398314.41441444</v>
      </c>
      <c r="F432">
        <v>317259818.01801807</v>
      </c>
      <c r="G432">
        <v>241</v>
      </c>
      <c r="H432">
        <v>374</v>
      </c>
      <c r="I432">
        <v>50</v>
      </c>
      <c r="J432">
        <v>40</v>
      </c>
      <c r="K432">
        <v>8</v>
      </c>
      <c r="M432">
        <v>1182</v>
      </c>
      <c r="N432">
        <v>921</v>
      </c>
      <c r="O432">
        <v>233432342.34234235</v>
      </c>
      <c r="P432">
        <v>260232702.7027027</v>
      </c>
      <c r="Q432">
        <v>1594</v>
      </c>
      <c r="R432">
        <v>2783</v>
      </c>
      <c r="S432">
        <v>217791865.76576576</v>
      </c>
      <c r="T432">
        <v>220185182.88288289</v>
      </c>
      <c r="U432">
        <v>239864054.05405405</v>
      </c>
      <c r="V432">
        <v>260033603.6036036</v>
      </c>
      <c r="W432">
        <v>11770</v>
      </c>
      <c r="X432">
        <v>11325</v>
      </c>
    </row>
    <row r="433" spans="1:24">
      <c r="A433" s="7" t="s">
        <v>532</v>
      </c>
      <c r="B433" s="16" t="s">
        <v>85</v>
      </c>
      <c r="C433">
        <v>196105417.91137624</v>
      </c>
      <c r="D433">
        <v>180844144.70038038</v>
      </c>
      <c r="E433">
        <v>5167567.5675675683</v>
      </c>
      <c r="F433">
        <v>2000000.0000000009</v>
      </c>
      <c r="G433">
        <v>16</v>
      </c>
      <c r="H433">
        <v>18</v>
      </c>
      <c r="I433">
        <v>6</v>
      </c>
      <c r="J433">
        <v>3</v>
      </c>
      <c r="M433">
        <v>16</v>
      </c>
      <c r="N433">
        <v>53</v>
      </c>
      <c r="O433">
        <v>33780180.180180177</v>
      </c>
      <c r="P433">
        <v>33713153.153153151</v>
      </c>
      <c r="Q433">
        <v>27</v>
      </c>
      <c r="R433">
        <v>24</v>
      </c>
      <c r="S433">
        <v>44821396.396396399</v>
      </c>
      <c r="T433">
        <v>39307972.972972974</v>
      </c>
      <c r="U433">
        <v>26087657.657657657</v>
      </c>
      <c r="V433">
        <v>26491351.351351351</v>
      </c>
      <c r="W433">
        <v>3793</v>
      </c>
      <c r="X433">
        <v>3639</v>
      </c>
    </row>
    <row r="434" spans="1:24">
      <c r="A434" s="7" t="s">
        <v>9</v>
      </c>
      <c r="B434" s="16" t="s">
        <v>158</v>
      </c>
      <c r="C434">
        <v>499857617.05301428</v>
      </c>
      <c r="D434">
        <v>487366193.07962435</v>
      </c>
      <c r="E434">
        <v>7479867.5675675729</v>
      </c>
      <c r="F434">
        <v>13464282.882882887</v>
      </c>
      <c r="G434">
        <v>114</v>
      </c>
      <c r="H434">
        <v>75</v>
      </c>
      <c r="I434">
        <v>44</v>
      </c>
      <c r="J434">
        <v>12</v>
      </c>
      <c r="K434">
        <v>4</v>
      </c>
      <c r="M434">
        <v>130</v>
      </c>
      <c r="N434">
        <v>84</v>
      </c>
      <c r="O434">
        <v>721796816.21621621</v>
      </c>
      <c r="P434">
        <v>688952563.96396387</v>
      </c>
      <c r="Q434">
        <v>433</v>
      </c>
      <c r="R434">
        <v>344</v>
      </c>
      <c r="S434">
        <v>179506378.37837836</v>
      </c>
      <c r="T434">
        <v>176216990.99099097</v>
      </c>
      <c r="U434">
        <v>608663063.06306303</v>
      </c>
      <c r="V434">
        <v>603383063.06306303</v>
      </c>
      <c r="W434">
        <v>7388</v>
      </c>
      <c r="X434">
        <v>7187</v>
      </c>
    </row>
    <row r="435" spans="1:24">
      <c r="A435" s="7" t="s">
        <v>533</v>
      </c>
      <c r="B435" s="16" t="s">
        <v>94</v>
      </c>
      <c r="C435">
        <v>491947796.01688951</v>
      </c>
      <c r="D435">
        <v>467376727.60750967</v>
      </c>
      <c r="E435">
        <v>290090.09009009198</v>
      </c>
      <c r="F435">
        <v>1499099.0990991029</v>
      </c>
      <c r="G435">
        <v>87</v>
      </c>
      <c r="H435">
        <v>94</v>
      </c>
      <c r="I435">
        <v>13</v>
      </c>
      <c r="J435">
        <v>13</v>
      </c>
      <c r="K435">
        <v>1</v>
      </c>
      <c r="M435">
        <v>92</v>
      </c>
      <c r="N435">
        <v>108</v>
      </c>
      <c r="O435">
        <v>41249549.54954955</v>
      </c>
      <c r="P435">
        <v>44145045.045045048</v>
      </c>
      <c r="Q435">
        <v>138</v>
      </c>
      <c r="R435">
        <v>321</v>
      </c>
      <c r="S435">
        <v>58161347.747747742</v>
      </c>
      <c r="T435">
        <v>62164990.990990989</v>
      </c>
      <c r="U435">
        <v>28832702.702702705</v>
      </c>
      <c r="V435">
        <v>27195225.225225225</v>
      </c>
      <c r="W435">
        <v>6389</v>
      </c>
      <c r="X435">
        <v>6450</v>
      </c>
    </row>
    <row r="436" spans="1:24">
      <c r="A436" s="7" t="s">
        <v>534</v>
      </c>
      <c r="B436" s="16" t="s">
        <v>304</v>
      </c>
      <c r="C436">
        <v>12484710.361351725</v>
      </c>
      <c r="D436">
        <v>12982453.820957176</v>
      </c>
      <c r="G436">
        <v>8</v>
      </c>
      <c r="H436">
        <v>5</v>
      </c>
      <c r="M436">
        <v>10</v>
      </c>
      <c r="N436">
        <v>5</v>
      </c>
      <c r="S436">
        <v>1079414.414414414</v>
      </c>
      <c r="T436">
        <v>2234729.7297297302</v>
      </c>
      <c r="W436">
        <v>249</v>
      </c>
      <c r="X436">
        <v>429</v>
      </c>
    </row>
    <row r="437" spans="1:24">
      <c r="A437" s="7" t="s">
        <v>535</v>
      </c>
      <c r="B437" s="16" t="s">
        <v>304</v>
      </c>
      <c r="C437">
        <v>200024833.98712754</v>
      </c>
      <c r="D437">
        <v>191511720.50248113</v>
      </c>
      <c r="E437">
        <v>1054054.0540540549</v>
      </c>
      <c r="F437">
        <v>1015315.315315315</v>
      </c>
      <c r="G437">
        <v>59</v>
      </c>
      <c r="H437">
        <v>19</v>
      </c>
      <c r="I437">
        <v>7</v>
      </c>
      <c r="J437">
        <v>3</v>
      </c>
      <c r="M437">
        <v>61</v>
      </c>
      <c r="N437">
        <v>28</v>
      </c>
      <c r="O437">
        <v>14351351.351351352</v>
      </c>
      <c r="P437">
        <v>14530630.630630627</v>
      </c>
      <c r="Q437">
        <v>120</v>
      </c>
      <c r="R437">
        <v>86</v>
      </c>
      <c r="S437">
        <v>17586981.981981982</v>
      </c>
      <c r="T437">
        <v>17123288.288288288</v>
      </c>
      <c r="U437">
        <v>8349999.9999999991</v>
      </c>
      <c r="V437">
        <v>7268468.4684684686</v>
      </c>
      <c r="W437">
        <v>2844</v>
      </c>
      <c r="X437">
        <v>2766</v>
      </c>
    </row>
    <row r="438" spans="1:24">
      <c r="A438" s="7" t="s">
        <v>536</v>
      </c>
      <c r="B438" s="16" t="s">
        <v>85</v>
      </c>
      <c r="C438">
        <v>176623003.53981191</v>
      </c>
      <c r="D438">
        <v>171689488.0878315</v>
      </c>
      <c r="E438">
        <v>212399076.57657659</v>
      </c>
      <c r="F438">
        <v>137101801.8018018</v>
      </c>
      <c r="G438">
        <v>175</v>
      </c>
      <c r="H438">
        <v>77</v>
      </c>
      <c r="I438">
        <v>6</v>
      </c>
      <c r="J438">
        <v>5</v>
      </c>
      <c r="M438">
        <v>188</v>
      </c>
      <c r="N438">
        <v>93</v>
      </c>
      <c r="O438">
        <v>66414414.414414413</v>
      </c>
      <c r="P438">
        <v>65996306.306306303</v>
      </c>
      <c r="Q438">
        <v>66</v>
      </c>
      <c r="R438">
        <v>64</v>
      </c>
      <c r="S438">
        <v>80313108.108108118</v>
      </c>
      <c r="T438">
        <v>76058270.270270273</v>
      </c>
      <c r="U438">
        <v>55075945.945945941</v>
      </c>
      <c r="V438">
        <v>54851801.801801801</v>
      </c>
      <c r="W438">
        <v>3173</v>
      </c>
      <c r="X438">
        <v>3059</v>
      </c>
    </row>
    <row r="439" spans="1:24">
      <c r="A439" s="7" t="s">
        <v>537</v>
      </c>
      <c r="B439" s="16" t="s">
        <v>448</v>
      </c>
      <c r="C439">
        <v>238230153.090619</v>
      </c>
      <c r="D439">
        <v>234910226.89437792</v>
      </c>
      <c r="E439">
        <v>168468.46846847099</v>
      </c>
      <c r="F439">
        <v>2535135.1351351361</v>
      </c>
      <c r="G439">
        <v>407</v>
      </c>
      <c r="H439">
        <v>111</v>
      </c>
      <c r="I439">
        <v>6</v>
      </c>
      <c r="J439">
        <v>7</v>
      </c>
      <c r="M439">
        <v>415</v>
      </c>
      <c r="N439">
        <v>270</v>
      </c>
      <c r="O439">
        <v>16100315.315315315</v>
      </c>
      <c r="P439">
        <v>26838468.468468469</v>
      </c>
      <c r="Q439">
        <v>85</v>
      </c>
      <c r="R439">
        <v>16</v>
      </c>
      <c r="S439">
        <v>68708387.387387395</v>
      </c>
      <c r="T439">
        <v>65795187.387387395</v>
      </c>
      <c r="U439">
        <v>16312702.702702705</v>
      </c>
      <c r="V439">
        <v>27621351.351351351</v>
      </c>
      <c r="W439">
        <v>4929</v>
      </c>
      <c r="X439">
        <v>4993</v>
      </c>
    </row>
    <row r="440" spans="1:24">
      <c r="A440" s="7" t="s">
        <v>538</v>
      </c>
      <c r="B440" s="16" t="s">
        <v>117</v>
      </c>
      <c r="C440">
        <v>537172513.08225298</v>
      </c>
      <c r="D440">
        <v>531461650.34813613</v>
      </c>
      <c r="E440">
        <v>1890135.1351351419</v>
      </c>
      <c r="F440">
        <v>11020945.945945948</v>
      </c>
      <c r="G440">
        <v>257</v>
      </c>
      <c r="H440">
        <v>173</v>
      </c>
      <c r="I440">
        <v>43</v>
      </c>
      <c r="J440">
        <v>41</v>
      </c>
      <c r="K440">
        <v>1</v>
      </c>
      <c r="M440">
        <v>302</v>
      </c>
      <c r="N440">
        <v>219</v>
      </c>
      <c r="O440">
        <v>98196615.315315306</v>
      </c>
      <c r="P440">
        <v>119754863.96396397</v>
      </c>
      <c r="Q440">
        <v>328</v>
      </c>
      <c r="R440">
        <v>162</v>
      </c>
      <c r="S440">
        <v>287770180.18018019</v>
      </c>
      <c r="T440">
        <v>303806779.27927929</v>
      </c>
      <c r="U440">
        <v>98024054.054054052</v>
      </c>
      <c r="V440">
        <v>111337477.47747748</v>
      </c>
      <c r="W440">
        <v>11187</v>
      </c>
      <c r="X440">
        <v>10964</v>
      </c>
    </row>
    <row r="441" spans="1:24">
      <c r="A441" s="7" t="s">
        <v>539</v>
      </c>
      <c r="B441" s="16" t="s">
        <v>83</v>
      </c>
      <c r="C441">
        <v>1686362461.8294222</v>
      </c>
      <c r="D441">
        <v>1663284634.802146</v>
      </c>
      <c r="E441">
        <v>69421621.621621624</v>
      </c>
      <c r="F441">
        <v>74889266.666666672</v>
      </c>
      <c r="G441">
        <v>278</v>
      </c>
      <c r="H441">
        <v>326</v>
      </c>
      <c r="I441">
        <v>24</v>
      </c>
      <c r="J441">
        <v>25</v>
      </c>
      <c r="K441">
        <v>1</v>
      </c>
      <c r="M441">
        <v>310</v>
      </c>
      <c r="N441">
        <v>373</v>
      </c>
      <c r="O441">
        <v>97470495.495495483</v>
      </c>
      <c r="P441">
        <v>108481612.61261261</v>
      </c>
      <c r="Q441">
        <v>264</v>
      </c>
      <c r="R441">
        <v>429</v>
      </c>
      <c r="S441">
        <v>171694906.3063063</v>
      </c>
      <c r="T441">
        <v>180638219.36936939</v>
      </c>
      <c r="U441">
        <v>80434547.747747749</v>
      </c>
      <c r="V441">
        <v>95423736.93693693</v>
      </c>
      <c r="W441">
        <v>21627</v>
      </c>
      <c r="X441">
        <v>21705</v>
      </c>
    </row>
    <row r="442" spans="1:24">
      <c r="A442" s="7" t="s">
        <v>540</v>
      </c>
      <c r="B442" s="16" t="s">
        <v>315</v>
      </c>
      <c r="C442">
        <v>199990235.60474375</v>
      </c>
      <c r="D442">
        <v>202833199.60918239</v>
      </c>
      <c r="E442">
        <v>140514848.64864865</v>
      </c>
      <c r="F442">
        <v>124133176.57657658</v>
      </c>
      <c r="G442">
        <v>26</v>
      </c>
      <c r="H442">
        <v>34</v>
      </c>
      <c r="I442">
        <v>1</v>
      </c>
      <c r="J442">
        <v>2</v>
      </c>
      <c r="K442">
        <v>1</v>
      </c>
      <c r="M442">
        <v>27</v>
      </c>
      <c r="N442">
        <v>50</v>
      </c>
      <c r="O442">
        <v>54772072.072072074</v>
      </c>
      <c r="P442">
        <v>15424324.324324325</v>
      </c>
      <c r="R442">
        <v>51</v>
      </c>
      <c r="S442">
        <v>36934412.612612613</v>
      </c>
      <c r="T442">
        <v>38569774.774774775</v>
      </c>
      <c r="U442">
        <v>18506529.729729727</v>
      </c>
      <c r="V442">
        <v>12217927.927927928</v>
      </c>
      <c r="W442">
        <v>2537</v>
      </c>
      <c r="X442">
        <v>2441</v>
      </c>
    </row>
    <row r="443" spans="1:24">
      <c r="A443" s="7" t="s">
        <v>541</v>
      </c>
      <c r="B443" s="16" t="s">
        <v>169</v>
      </c>
      <c r="C443">
        <v>1466135936.7071965</v>
      </c>
      <c r="D443">
        <v>1406339169.4602404</v>
      </c>
      <c r="E443">
        <v>1777927.9279279271</v>
      </c>
      <c r="F443">
        <v>3809009.0090090092</v>
      </c>
      <c r="G443">
        <v>176</v>
      </c>
      <c r="H443">
        <v>133</v>
      </c>
      <c r="I443">
        <v>9</v>
      </c>
      <c r="J443">
        <v>7</v>
      </c>
      <c r="K443">
        <v>2</v>
      </c>
      <c r="M443">
        <v>208</v>
      </c>
      <c r="N443">
        <v>234</v>
      </c>
      <c r="O443">
        <v>65215646.846846849</v>
      </c>
      <c r="P443">
        <v>87627454.954954967</v>
      </c>
      <c r="Q443">
        <v>466</v>
      </c>
      <c r="R443">
        <v>312</v>
      </c>
      <c r="S443">
        <v>520373387.38738739</v>
      </c>
      <c r="T443">
        <v>518308331.08108109</v>
      </c>
      <c r="U443">
        <v>65855405.405405402</v>
      </c>
      <c r="V443">
        <v>87095225.225225225</v>
      </c>
      <c r="W443">
        <v>20908</v>
      </c>
      <c r="X443">
        <v>21675</v>
      </c>
    </row>
    <row r="444" spans="1:24">
      <c r="A444" s="7" t="s">
        <v>542</v>
      </c>
      <c r="B444" s="16" t="s">
        <v>479</v>
      </c>
      <c r="C444">
        <v>445306589.91731995</v>
      </c>
      <c r="D444">
        <v>436248159.96705556</v>
      </c>
      <c r="E444">
        <v>1036936.936936937</v>
      </c>
      <c r="F444">
        <v>1193693.693693694</v>
      </c>
      <c r="G444">
        <v>37</v>
      </c>
      <c r="H444">
        <v>46</v>
      </c>
      <c r="I444">
        <v>0</v>
      </c>
      <c r="J444">
        <v>0</v>
      </c>
      <c r="M444">
        <v>44</v>
      </c>
      <c r="N444">
        <v>51</v>
      </c>
      <c r="O444">
        <v>9453153.1531531475</v>
      </c>
      <c r="P444">
        <v>3445945.9459459451</v>
      </c>
      <c r="Q444">
        <v>3</v>
      </c>
      <c r="R444">
        <v>80</v>
      </c>
      <c r="S444">
        <v>56621882.882882878</v>
      </c>
      <c r="T444">
        <v>56061630.630630635</v>
      </c>
      <c r="U444">
        <v>8658108.1081081033</v>
      </c>
      <c r="V444">
        <v>2588468.4684684668</v>
      </c>
      <c r="W444">
        <v>5508</v>
      </c>
      <c r="X444">
        <v>5499</v>
      </c>
    </row>
    <row r="445" spans="1:24">
      <c r="A445" s="7" t="s">
        <v>543</v>
      </c>
      <c r="B445" s="16" t="s">
        <v>80</v>
      </c>
      <c r="C445">
        <v>125541342.84579794</v>
      </c>
      <c r="D445">
        <v>106954539.02664845</v>
      </c>
      <c r="E445">
        <v>173873.873873873</v>
      </c>
      <c r="F445">
        <v>940990.99099099101</v>
      </c>
      <c r="G445">
        <v>35</v>
      </c>
      <c r="H445">
        <v>34</v>
      </c>
      <c r="I445">
        <v>5</v>
      </c>
      <c r="J445">
        <v>4</v>
      </c>
      <c r="M445">
        <v>37</v>
      </c>
      <c r="N445">
        <v>41</v>
      </c>
      <c r="O445">
        <v>12866666.666666668</v>
      </c>
      <c r="P445">
        <v>28878828.828828827</v>
      </c>
      <c r="Q445">
        <v>32</v>
      </c>
      <c r="R445">
        <v>55</v>
      </c>
      <c r="S445">
        <v>44353279.279279277</v>
      </c>
      <c r="T445">
        <v>39473792.79279279</v>
      </c>
      <c r="U445">
        <v>10472162.162162162</v>
      </c>
      <c r="V445">
        <v>28490810.810810812</v>
      </c>
      <c r="W445">
        <v>2351</v>
      </c>
      <c r="X445">
        <v>2365</v>
      </c>
    </row>
    <row r="446" spans="1:24">
      <c r="A446" s="7" t="s">
        <v>544</v>
      </c>
      <c r="B446" s="16" t="s">
        <v>169</v>
      </c>
      <c r="C446">
        <v>154301403.70068589</v>
      </c>
      <c r="D446">
        <v>109766808.63084899</v>
      </c>
      <c r="E446">
        <v>135135.135135135</v>
      </c>
      <c r="F446">
        <v>277477.47747747699</v>
      </c>
      <c r="G446">
        <v>41</v>
      </c>
      <c r="H446">
        <v>17</v>
      </c>
      <c r="J446">
        <v>0</v>
      </c>
      <c r="M446">
        <v>43</v>
      </c>
      <c r="N446">
        <v>18</v>
      </c>
      <c r="O446">
        <v>4639639.6396396402</v>
      </c>
      <c r="P446">
        <v>1178378.378378378</v>
      </c>
      <c r="S446">
        <v>61319358.558558561</v>
      </c>
      <c r="T446">
        <v>45540980.180180177</v>
      </c>
      <c r="U446">
        <v>3892882.8828828828</v>
      </c>
      <c r="V446">
        <v>814054.05405405397</v>
      </c>
      <c r="W446">
        <v>2570</v>
      </c>
      <c r="X446">
        <v>2356</v>
      </c>
    </row>
    <row r="447" spans="1:24">
      <c r="A447" s="7" t="s">
        <v>545</v>
      </c>
      <c r="B447" s="16" t="s">
        <v>224</v>
      </c>
      <c r="C447">
        <v>27832.725951851</v>
      </c>
      <c r="D447">
        <v>13101.338407099</v>
      </c>
      <c r="S447">
        <v>10585.585585586001</v>
      </c>
      <c r="X447">
        <v>1</v>
      </c>
    </row>
    <row r="448" spans="1:24">
      <c r="A448" s="7" t="s">
        <v>546</v>
      </c>
      <c r="B448" s="16" t="s">
        <v>136</v>
      </c>
      <c r="C448">
        <v>281715653.25298595</v>
      </c>
      <c r="D448">
        <v>274381471.42724752</v>
      </c>
      <c r="E448">
        <v>480630.63063063199</v>
      </c>
      <c r="F448">
        <v>1072072.072072071</v>
      </c>
      <c r="G448">
        <v>106</v>
      </c>
      <c r="H448">
        <v>85</v>
      </c>
      <c r="I448">
        <v>8</v>
      </c>
      <c r="J448">
        <v>7</v>
      </c>
      <c r="M448">
        <v>113</v>
      </c>
      <c r="N448">
        <v>96</v>
      </c>
      <c r="O448">
        <v>61360990.990990989</v>
      </c>
      <c r="P448">
        <v>64056756.75675676</v>
      </c>
      <c r="Q448">
        <v>56</v>
      </c>
      <c r="R448">
        <v>152</v>
      </c>
      <c r="S448">
        <v>92813954.954954967</v>
      </c>
      <c r="T448">
        <v>90782763.963963971</v>
      </c>
      <c r="U448">
        <v>53448648.648648649</v>
      </c>
      <c r="V448">
        <v>51652432.432432435</v>
      </c>
      <c r="W448">
        <v>4411</v>
      </c>
      <c r="X448">
        <v>4466</v>
      </c>
    </row>
    <row r="449" spans="1:24">
      <c r="A449" s="7" t="s">
        <v>547</v>
      </c>
      <c r="B449" s="16" t="s">
        <v>136</v>
      </c>
      <c r="C449">
        <v>520853033.30413806</v>
      </c>
      <c r="D449">
        <v>517081757.74475861</v>
      </c>
      <c r="E449">
        <v>298209743.24324328</v>
      </c>
      <c r="F449">
        <v>364575524.32432437</v>
      </c>
      <c r="G449">
        <v>347</v>
      </c>
      <c r="H449">
        <v>242</v>
      </c>
      <c r="I449">
        <v>21</v>
      </c>
      <c r="J449">
        <v>20</v>
      </c>
      <c r="K449">
        <v>4</v>
      </c>
      <c r="M449">
        <v>375</v>
      </c>
      <c r="N449">
        <v>291</v>
      </c>
      <c r="O449">
        <v>130375675.67567566</v>
      </c>
      <c r="P449">
        <v>130751351.35135135</v>
      </c>
      <c r="Q449">
        <v>384</v>
      </c>
      <c r="R449">
        <v>260</v>
      </c>
      <c r="S449">
        <v>172689403.6036036</v>
      </c>
      <c r="T449">
        <v>171583137.83783782</v>
      </c>
      <c r="U449">
        <v>115367700.9009009</v>
      </c>
      <c r="V449">
        <v>112340936.93693693</v>
      </c>
      <c r="W449">
        <v>12514</v>
      </c>
      <c r="X449">
        <v>12595</v>
      </c>
    </row>
    <row r="450" spans="1:24">
      <c r="A450" s="7" t="s">
        <v>548</v>
      </c>
      <c r="B450" s="16" t="s">
        <v>136</v>
      </c>
      <c r="C450">
        <v>607150343.69596708</v>
      </c>
      <c r="D450">
        <v>582572617.38630724</v>
      </c>
      <c r="E450">
        <v>2319819.8198198192</v>
      </c>
      <c r="F450">
        <v>4503603.6036036061</v>
      </c>
      <c r="G450">
        <v>165</v>
      </c>
      <c r="H450">
        <v>86</v>
      </c>
      <c r="I450">
        <v>7</v>
      </c>
      <c r="J450">
        <v>3</v>
      </c>
      <c r="M450">
        <v>181</v>
      </c>
      <c r="N450">
        <v>97</v>
      </c>
      <c r="O450">
        <v>28275225.225225229</v>
      </c>
      <c r="P450">
        <v>20809909.909909911</v>
      </c>
      <c r="Q450">
        <v>79</v>
      </c>
      <c r="R450">
        <v>13</v>
      </c>
      <c r="S450">
        <v>94918414.414414421</v>
      </c>
      <c r="T450">
        <v>94833313.51351352</v>
      </c>
      <c r="U450">
        <v>25892522.52252252</v>
      </c>
      <c r="V450">
        <v>20449009.009009007</v>
      </c>
      <c r="W450">
        <v>8222</v>
      </c>
      <c r="X450">
        <v>8287</v>
      </c>
    </row>
    <row r="451" spans="1:24">
      <c r="A451" s="7" t="s">
        <v>549</v>
      </c>
      <c r="B451" s="16" t="s">
        <v>136</v>
      </c>
      <c r="C451">
        <v>287238096.52893668</v>
      </c>
      <c r="D451">
        <v>244382272.75551444</v>
      </c>
      <c r="E451">
        <v>352252.25225225301</v>
      </c>
      <c r="F451">
        <v>619819.81981982</v>
      </c>
      <c r="G451">
        <v>60</v>
      </c>
      <c r="H451">
        <v>43</v>
      </c>
      <c r="I451">
        <v>6</v>
      </c>
      <c r="J451">
        <v>3</v>
      </c>
      <c r="M451">
        <v>65</v>
      </c>
      <c r="N451">
        <v>47</v>
      </c>
      <c r="O451">
        <v>22038918.918918919</v>
      </c>
      <c r="P451">
        <v>19169369.369369369</v>
      </c>
      <c r="Q451">
        <v>18</v>
      </c>
      <c r="R451">
        <v>10</v>
      </c>
      <c r="S451">
        <v>49121845.045045048</v>
      </c>
      <c r="T451">
        <v>40785693.693693697</v>
      </c>
      <c r="U451">
        <v>19639322.522522524</v>
      </c>
      <c r="V451">
        <v>14840090.09009009</v>
      </c>
      <c r="W451">
        <v>3735</v>
      </c>
      <c r="X451">
        <v>3770</v>
      </c>
    </row>
    <row r="452" spans="1:24">
      <c r="A452" s="7" t="s">
        <v>550</v>
      </c>
      <c r="B452" s="16" t="s">
        <v>87</v>
      </c>
      <c r="C452">
        <v>115492446.28591867</v>
      </c>
      <c r="D452">
        <v>101551212.87622452</v>
      </c>
      <c r="E452">
        <v>915315.31531531503</v>
      </c>
      <c r="F452">
        <v>158558.55855855899</v>
      </c>
      <c r="G452">
        <v>70</v>
      </c>
      <c r="H452">
        <v>47</v>
      </c>
      <c r="I452">
        <v>2</v>
      </c>
      <c r="J452">
        <v>2</v>
      </c>
      <c r="M452">
        <v>74</v>
      </c>
      <c r="N452">
        <v>65</v>
      </c>
      <c r="O452">
        <v>6703603.6036036042</v>
      </c>
      <c r="P452">
        <v>6082882.8828828838</v>
      </c>
      <c r="Q452">
        <v>9</v>
      </c>
      <c r="R452">
        <v>21</v>
      </c>
      <c r="S452">
        <v>19303491.891891893</v>
      </c>
      <c r="T452">
        <v>16713007.207207208</v>
      </c>
      <c r="U452">
        <v>6227117.1171171172</v>
      </c>
      <c r="V452">
        <v>6177477.4774774769</v>
      </c>
      <c r="W452">
        <v>1421</v>
      </c>
      <c r="X452">
        <v>1414</v>
      </c>
    </row>
    <row r="453" spans="1:24">
      <c r="A453" s="7" t="s">
        <v>551</v>
      </c>
      <c r="B453" s="16" t="s">
        <v>87</v>
      </c>
      <c r="C453">
        <v>167718895.00687554</v>
      </c>
      <c r="D453">
        <v>152776281.31031972</v>
      </c>
      <c r="E453">
        <v>51351.351351352001</v>
      </c>
      <c r="F453">
        <v>549549.54954955005</v>
      </c>
      <c r="G453">
        <v>145</v>
      </c>
      <c r="H453">
        <v>86</v>
      </c>
      <c r="I453">
        <v>4</v>
      </c>
      <c r="J453">
        <v>3</v>
      </c>
      <c r="K453">
        <v>1</v>
      </c>
      <c r="M453">
        <v>158</v>
      </c>
      <c r="N453">
        <v>111</v>
      </c>
      <c r="O453">
        <v>14709009.009009007</v>
      </c>
      <c r="P453">
        <v>11915315.315315315</v>
      </c>
      <c r="Q453">
        <v>6</v>
      </c>
      <c r="R453">
        <v>13</v>
      </c>
      <c r="S453">
        <v>22786261.261261258</v>
      </c>
      <c r="T453">
        <v>22235304.504504506</v>
      </c>
      <c r="U453">
        <v>10654774.774774777</v>
      </c>
      <c r="V453">
        <v>9006666.6666666679</v>
      </c>
      <c r="W453">
        <v>2712</v>
      </c>
      <c r="X453">
        <v>2580</v>
      </c>
    </row>
    <row r="454" spans="1:24">
      <c r="A454" s="7" t="s">
        <v>552</v>
      </c>
      <c r="B454" s="16" t="s">
        <v>66</v>
      </c>
      <c r="C454">
        <v>313088632.03980398</v>
      </c>
      <c r="D454">
        <v>308136637.22771585</v>
      </c>
      <c r="E454">
        <v>2270000.0000000019</v>
      </c>
      <c r="F454">
        <v>10796396.3963964</v>
      </c>
      <c r="G454">
        <v>226</v>
      </c>
      <c r="H454">
        <v>102</v>
      </c>
      <c r="I454">
        <v>13</v>
      </c>
      <c r="J454">
        <v>14</v>
      </c>
      <c r="K454">
        <v>1</v>
      </c>
      <c r="M454">
        <v>275</v>
      </c>
      <c r="N454">
        <v>215</v>
      </c>
      <c r="O454">
        <v>60278108.108108111</v>
      </c>
      <c r="P454">
        <v>211850000</v>
      </c>
      <c r="Q454">
        <v>514</v>
      </c>
      <c r="R454">
        <v>222</v>
      </c>
      <c r="S454">
        <v>132743333.33333333</v>
      </c>
      <c r="T454">
        <v>131330759.009009</v>
      </c>
      <c r="U454">
        <v>60597207.20720721</v>
      </c>
      <c r="V454">
        <v>195336576.57657659</v>
      </c>
      <c r="W454">
        <v>9066</v>
      </c>
      <c r="X454">
        <v>9115</v>
      </c>
    </row>
    <row r="455" spans="1:24">
      <c r="A455" s="7" t="s">
        <v>35</v>
      </c>
      <c r="B455" s="16" t="s">
        <v>158</v>
      </c>
      <c r="E455">
        <v>815418218.91891897</v>
      </c>
      <c r="F455">
        <v>801356589.1891892</v>
      </c>
      <c r="O455">
        <v>53039103.603603601</v>
      </c>
      <c r="P455">
        <v>69189189.189189196</v>
      </c>
    </row>
    <row r="456" spans="1:24">
      <c r="A456" s="7" t="s">
        <v>553</v>
      </c>
      <c r="B456" s="16" t="s">
        <v>554</v>
      </c>
      <c r="C456">
        <v>652143717.48266947</v>
      </c>
      <c r="D456">
        <v>613801183.50766873</v>
      </c>
      <c r="E456">
        <v>105710895.49549548</v>
      </c>
      <c r="F456">
        <v>191598675.67567569</v>
      </c>
      <c r="G456">
        <v>300</v>
      </c>
      <c r="H456">
        <v>132</v>
      </c>
      <c r="I456">
        <v>17</v>
      </c>
      <c r="J456">
        <v>18</v>
      </c>
      <c r="K456">
        <v>1</v>
      </c>
      <c r="M456">
        <v>371</v>
      </c>
      <c r="N456">
        <v>166</v>
      </c>
      <c r="O456">
        <v>116904324.32432432</v>
      </c>
      <c r="P456">
        <v>230698648.64864865</v>
      </c>
      <c r="Q456">
        <v>138</v>
      </c>
      <c r="R456">
        <v>343</v>
      </c>
      <c r="S456">
        <v>172792054.05405405</v>
      </c>
      <c r="T456">
        <v>167347990.99099097</v>
      </c>
      <c r="U456">
        <v>111227297.2972973</v>
      </c>
      <c r="V456">
        <v>210262522.52252254</v>
      </c>
      <c r="W456">
        <v>9266</v>
      </c>
      <c r="X456">
        <v>9448</v>
      </c>
    </row>
    <row r="457" spans="1:24">
      <c r="A457" s="7" t="s">
        <v>555</v>
      </c>
      <c r="B457" s="16" t="s">
        <v>554</v>
      </c>
      <c r="C457">
        <v>104884906.5383618</v>
      </c>
      <c r="D457">
        <v>94879790.600993484</v>
      </c>
      <c r="E457">
        <v>9720720.7207207214</v>
      </c>
      <c r="F457">
        <v>34815315.315315314</v>
      </c>
      <c r="G457">
        <v>55</v>
      </c>
      <c r="H457">
        <v>34</v>
      </c>
      <c r="I457">
        <v>3</v>
      </c>
      <c r="J457">
        <v>3</v>
      </c>
      <c r="M457">
        <v>56</v>
      </c>
      <c r="N457">
        <v>36</v>
      </c>
      <c r="O457">
        <v>11424594.594594594</v>
      </c>
      <c r="P457">
        <v>13193693.693693694</v>
      </c>
      <c r="Q457">
        <v>20</v>
      </c>
      <c r="R457">
        <v>23</v>
      </c>
      <c r="S457">
        <v>38816261.261261262</v>
      </c>
      <c r="T457">
        <v>33898099.0990991</v>
      </c>
      <c r="U457">
        <v>10729639.63963964</v>
      </c>
      <c r="V457">
        <v>12406216.216216216</v>
      </c>
      <c r="W457">
        <v>1627</v>
      </c>
      <c r="X457">
        <v>1580</v>
      </c>
    </row>
    <row r="458" spans="1:24">
      <c r="A458" s="7" t="s">
        <v>556</v>
      </c>
      <c r="B458" s="16" t="s">
        <v>121</v>
      </c>
      <c r="C458">
        <v>75452908.713874981</v>
      </c>
      <c r="D458">
        <v>68770075.09476009</v>
      </c>
      <c r="E458">
        <v>130047992.7927928</v>
      </c>
      <c r="F458">
        <v>74401642.342342332</v>
      </c>
      <c r="G458">
        <v>61</v>
      </c>
      <c r="H458">
        <v>33</v>
      </c>
      <c r="I458">
        <v>1</v>
      </c>
      <c r="M458">
        <v>64</v>
      </c>
      <c r="N458">
        <v>38</v>
      </c>
      <c r="O458">
        <v>4139764.8648648639</v>
      </c>
      <c r="P458">
        <v>14535690.990990993</v>
      </c>
      <c r="Q458">
        <v>11</v>
      </c>
      <c r="S458">
        <v>7126711.7117117122</v>
      </c>
      <c r="T458">
        <v>6236252.2522522518</v>
      </c>
      <c r="U458">
        <v>523873.87387387402</v>
      </c>
      <c r="V458">
        <v>190720.720720721</v>
      </c>
      <c r="W458">
        <v>1471</v>
      </c>
      <c r="X458">
        <v>1466</v>
      </c>
    </row>
    <row r="459" spans="1:24">
      <c r="A459" s="7" t="s">
        <v>676</v>
      </c>
      <c r="B459" s="16" t="s">
        <v>236</v>
      </c>
      <c r="E459">
        <v>103557882.88288288</v>
      </c>
      <c r="F459">
        <v>115833333.33333333</v>
      </c>
      <c r="O459">
        <v>1314639.63963964</v>
      </c>
      <c r="P459">
        <v>2412612.612612613</v>
      </c>
    </row>
    <row r="460" spans="1:24">
      <c r="A460" s="7" t="s">
        <v>557</v>
      </c>
      <c r="B460" s="16" t="s">
        <v>70</v>
      </c>
      <c r="C460">
        <v>568563705.59789562</v>
      </c>
      <c r="D460">
        <v>560463349.9260751</v>
      </c>
      <c r="E460">
        <v>78171801.801801801</v>
      </c>
      <c r="F460">
        <v>83281981.981981978</v>
      </c>
      <c r="G460">
        <v>126</v>
      </c>
      <c r="H460">
        <v>129</v>
      </c>
      <c r="I460">
        <v>12</v>
      </c>
      <c r="J460">
        <v>24</v>
      </c>
      <c r="M460">
        <v>140</v>
      </c>
      <c r="N460">
        <v>199</v>
      </c>
      <c r="O460">
        <v>84555360.360360369</v>
      </c>
      <c r="P460">
        <v>105270270.27027027</v>
      </c>
      <c r="Q460">
        <v>331</v>
      </c>
      <c r="R460">
        <v>283</v>
      </c>
      <c r="S460">
        <v>234111153.15315315</v>
      </c>
      <c r="T460">
        <v>234902855.85585588</v>
      </c>
      <c r="U460">
        <v>76601531.531531543</v>
      </c>
      <c r="V460">
        <v>76173333.333333343</v>
      </c>
      <c r="W460">
        <v>10094</v>
      </c>
      <c r="X460">
        <v>10486</v>
      </c>
    </row>
    <row r="461" spans="1:24">
      <c r="A461" s="7" t="s">
        <v>558</v>
      </c>
      <c r="B461" s="16" t="s">
        <v>62</v>
      </c>
      <c r="C461">
        <v>1014645030.7177892</v>
      </c>
      <c r="D461">
        <v>1015872754.4684592</v>
      </c>
      <c r="E461">
        <v>6509009.0090090204</v>
      </c>
      <c r="F461">
        <v>16226126.126126135</v>
      </c>
      <c r="G461">
        <v>328</v>
      </c>
      <c r="H461">
        <v>463</v>
      </c>
      <c r="I461">
        <v>45</v>
      </c>
      <c r="J461">
        <v>28</v>
      </c>
      <c r="K461">
        <v>11</v>
      </c>
      <c r="M461">
        <v>413</v>
      </c>
      <c r="N461">
        <v>753</v>
      </c>
      <c r="O461">
        <v>76402432.432432428</v>
      </c>
      <c r="P461">
        <v>143445585.58558559</v>
      </c>
      <c r="Q461">
        <v>313</v>
      </c>
      <c r="R461">
        <v>318</v>
      </c>
      <c r="S461">
        <v>240783268.46846849</v>
      </c>
      <c r="T461">
        <v>237434193.6936937</v>
      </c>
      <c r="U461">
        <v>76738198.198198214</v>
      </c>
      <c r="V461">
        <v>140731171.17117116</v>
      </c>
      <c r="W461">
        <v>18266</v>
      </c>
      <c r="X461">
        <v>18122</v>
      </c>
    </row>
    <row r="462" spans="1:24">
      <c r="A462" s="7" t="s">
        <v>559</v>
      </c>
      <c r="B462" s="16" t="s">
        <v>479</v>
      </c>
      <c r="C462">
        <v>537641903.46195817</v>
      </c>
      <c r="D462">
        <v>479106273.13107127</v>
      </c>
      <c r="E462">
        <v>953153.15315315197</v>
      </c>
      <c r="F462">
        <v>5075675.6756756753</v>
      </c>
      <c r="G462">
        <v>257</v>
      </c>
      <c r="H462">
        <v>195</v>
      </c>
      <c r="I462">
        <v>22</v>
      </c>
      <c r="J462">
        <v>27</v>
      </c>
      <c r="K462">
        <v>2</v>
      </c>
      <c r="M462">
        <v>263</v>
      </c>
      <c r="N462">
        <v>238</v>
      </c>
      <c r="O462">
        <v>49896576.576576576</v>
      </c>
      <c r="P462">
        <v>71628918.918918923</v>
      </c>
      <c r="Q462">
        <v>20</v>
      </c>
      <c r="R462">
        <v>158</v>
      </c>
      <c r="S462">
        <v>153527989.1891892</v>
      </c>
      <c r="T462">
        <v>146903507.2072072</v>
      </c>
      <c r="U462">
        <v>50939189.189189203</v>
      </c>
      <c r="V462">
        <v>63133063.063063063</v>
      </c>
      <c r="W462">
        <v>7998</v>
      </c>
      <c r="X462">
        <v>7858</v>
      </c>
    </row>
    <row r="463" spans="1:24">
      <c r="A463" s="7" t="s">
        <v>560</v>
      </c>
      <c r="B463" s="16" t="s">
        <v>236</v>
      </c>
      <c r="C463">
        <v>85222340.589502618</v>
      </c>
      <c r="D463">
        <v>82689942.783270806</v>
      </c>
      <c r="E463">
        <v>48648.64864865</v>
      </c>
      <c r="F463">
        <v>1375675.675675675</v>
      </c>
      <c r="G463">
        <v>46</v>
      </c>
      <c r="H463">
        <v>27</v>
      </c>
      <c r="I463">
        <v>5</v>
      </c>
      <c r="J463">
        <v>1</v>
      </c>
      <c r="M463">
        <v>50</v>
      </c>
      <c r="N463">
        <v>60</v>
      </c>
      <c r="O463">
        <v>5489189.1891891891</v>
      </c>
      <c r="P463">
        <v>6989819.8198198201</v>
      </c>
      <c r="Q463">
        <v>3</v>
      </c>
      <c r="R463">
        <v>20</v>
      </c>
      <c r="S463">
        <v>33536531.531531531</v>
      </c>
      <c r="T463">
        <v>30341009.009009007</v>
      </c>
      <c r="U463">
        <v>6165225.2252252251</v>
      </c>
      <c r="V463">
        <v>6725675.6756756743</v>
      </c>
      <c r="W463">
        <v>2487</v>
      </c>
      <c r="X463">
        <v>2136</v>
      </c>
    </row>
    <row r="464" spans="1:24">
      <c r="A464" s="7" t="s">
        <v>561</v>
      </c>
      <c r="B464" s="16" t="s">
        <v>60</v>
      </c>
      <c r="C464">
        <v>79338995.427582502</v>
      </c>
      <c r="D464">
        <v>78282670.853345156</v>
      </c>
      <c r="E464">
        <v>768018.01801801997</v>
      </c>
      <c r="F464">
        <v>3339639.6396396379</v>
      </c>
      <c r="G464">
        <v>23</v>
      </c>
      <c r="H464">
        <v>28</v>
      </c>
      <c r="I464">
        <v>4</v>
      </c>
      <c r="J464">
        <v>8</v>
      </c>
      <c r="M464">
        <v>27</v>
      </c>
      <c r="N464">
        <v>44</v>
      </c>
      <c r="O464">
        <v>16867117.117117114</v>
      </c>
      <c r="P464">
        <v>21762162.162162162</v>
      </c>
      <c r="Q464">
        <v>76</v>
      </c>
      <c r="R464">
        <v>88</v>
      </c>
      <c r="S464">
        <v>27582162.162162159</v>
      </c>
      <c r="T464">
        <v>28126981.981981985</v>
      </c>
      <c r="U464">
        <v>16827387.387387384</v>
      </c>
      <c r="V464">
        <v>21585765.765765768</v>
      </c>
      <c r="W464">
        <v>1246</v>
      </c>
      <c r="X464">
        <v>1318</v>
      </c>
    </row>
    <row r="465" spans="1:24">
      <c r="A465" s="7" t="s">
        <v>562</v>
      </c>
      <c r="B465" s="16" t="s">
        <v>563</v>
      </c>
      <c r="C465">
        <v>442271967.00801349</v>
      </c>
      <c r="D465">
        <v>439396451.06349742</v>
      </c>
      <c r="E465">
        <v>1653915149.5495496</v>
      </c>
      <c r="F465">
        <v>1038760684.6846846</v>
      </c>
      <c r="G465">
        <v>515</v>
      </c>
      <c r="H465">
        <v>581</v>
      </c>
      <c r="I465">
        <v>26</v>
      </c>
      <c r="J465">
        <v>28</v>
      </c>
      <c r="K465">
        <v>4</v>
      </c>
      <c r="M465">
        <v>1145</v>
      </c>
      <c r="N465">
        <v>1119</v>
      </c>
      <c r="O465">
        <v>700169063.06306303</v>
      </c>
      <c r="P465">
        <v>715977673.87387395</v>
      </c>
      <c r="Q465">
        <v>532</v>
      </c>
      <c r="R465">
        <v>407</v>
      </c>
      <c r="S465">
        <v>191180900.9009009</v>
      </c>
      <c r="T465">
        <v>186475090.09009007</v>
      </c>
      <c r="U465">
        <v>719854953.15315318</v>
      </c>
      <c r="V465">
        <v>567188063.06306303</v>
      </c>
      <c r="W465">
        <v>9206</v>
      </c>
      <c r="X465">
        <v>8424</v>
      </c>
    </row>
    <row r="466" spans="1:24">
      <c r="A466" s="7" t="s">
        <v>564</v>
      </c>
      <c r="B466" s="16" t="s">
        <v>563</v>
      </c>
      <c r="C466">
        <v>599261803.58620095</v>
      </c>
      <c r="D466">
        <v>598955385.95881057</v>
      </c>
      <c r="E466">
        <v>1940900.900900906</v>
      </c>
      <c r="F466">
        <v>7563963.963963965</v>
      </c>
      <c r="G466">
        <v>246</v>
      </c>
      <c r="H466">
        <v>201</v>
      </c>
      <c r="I466">
        <v>33</v>
      </c>
      <c r="J466">
        <v>29</v>
      </c>
      <c r="K466">
        <v>1</v>
      </c>
      <c r="M466">
        <v>283</v>
      </c>
      <c r="N466">
        <v>247</v>
      </c>
      <c r="O466">
        <v>66638828.828828834</v>
      </c>
      <c r="P466">
        <v>63899416.216216207</v>
      </c>
      <c r="Q466">
        <v>653</v>
      </c>
      <c r="R466">
        <v>238</v>
      </c>
      <c r="S466">
        <v>244506981.98198199</v>
      </c>
      <c r="T466">
        <v>248640990.990991</v>
      </c>
      <c r="U466">
        <v>77825855.855855852</v>
      </c>
      <c r="V466">
        <v>78978738.738738731</v>
      </c>
      <c r="W466">
        <v>11896</v>
      </c>
      <c r="X466">
        <v>12305</v>
      </c>
    </row>
    <row r="467" spans="1:24">
      <c r="A467" s="7" t="s">
        <v>565</v>
      </c>
      <c r="B467" s="16" t="s">
        <v>563</v>
      </c>
      <c r="C467">
        <v>445529349.37940389</v>
      </c>
      <c r="D467">
        <v>431872552.07631344</v>
      </c>
      <c r="E467">
        <v>2580718.9189189211</v>
      </c>
      <c r="F467">
        <v>7095007.2072072104</v>
      </c>
      <c r="G467">
        <v>211</v>
      </c>
      <c r="H467">
        <v>312</v>
      </c>
      <c r="I467">
        <v>26</v>
      </c>
      <c r="J467">
        <v>28</v>
      </c>
      <c r="K467">
        <v>1</v>
      </c>
      <c r="M467">
        <v>626</v>
      </c>
      <c r="N467">
        <v>407</v>
      </c>
      <c r="O467">
        <v>250986666.66666666</v>
      </c>
      <c r="P467">
        <v>55193649.54954955</v>
      </c>
      <c r="Q467">
        <v>441</v>
      </c>
      <c r="R467">
        <v>461</v>
      </c>
      <c r="S467">
        <v>198374765.76576576</v>
      </c>
      <c r="T467">
        <v>190193693.6936937</v>
      </c>
      <c r="U467">
        <v>255987207.2072072</v>
      </c>
      <c r="V467">
        <v>53993513.51351352</v>
      </c>
      <c r="W467">
        <v>12174</v>
      </c>
      <c r="X467">
        <v>11464</v>
      </c>
    </row>
    <row r="468" spans="1:24">
      <c r="A468" s="7" t="s">
        <v>566</v>
      </c>
      <c r="B468" s="16" t="s">
        <v>563</v>
      </c>
      <c r="C468">
        <v>276674662.38586134</v>
      </c>
      <c r="D468">
        <v>284964186.59041953</v>
      </c>
      <c r="E468">
        <v>412612.612612614</v>
      </c>
      <c r="F468">
        <v>5749549.5495495517</v>
      </c>
      <c r="G468">
        <v>60</v>
      </c>
      <c r="H468">
        <v>32</v>
      </c>
      <c r="I468">
        <v>16</v>
      </c>
      <c r="J468">
        <v>16</v>
      </c>
      <c r="M468">
        <v>67</v>
      </c>
      <c r="N468">
        <v>43</v>
      </c>
      <c r="O468">
        <v>41664462.162162162</v>
      </c>
      <c r="P468">
        <v>61253169.369369365</v>
      </c>
      <c r="Q468">
        <v>87</v>
      </c>
      <c r="R468">
        <v>625</v>
      </c>
      <c r="S468">
        <v>158822360.36036035</v>
      </c>
      <c r="T468">
        <v>168095009.00900903</v>
      </c>
      <c r="U468">
        <v>40587972.972972974</v>
      </c>
      <c r="V468">
        <v>60054549.549549542</v>
      </c>
      <c r="W468">
        <v>6604</v>
      </c>
      <c r="X468">
        <v>6470</v>
      </c>
    </row>
    <row r="469" spans="1:24">
      <c r="A469" s="7" t="s">
        <v>567</v>
      </c>
      <c r="B469" s="16" t="s">
        <v>563</v>
      </c>
      <c r="C469">
        <v>166565371.63960183</v>
      </c>
      <c r="D469">
        <v>166583108.19798505</v>
      </c>
      <c r="E469">
        <v>36913963.963963963</v>
      </c>
      <c r="F469">
        <v>116976216.21621622</v>
      </c>
      <c r="G469">
        <v>62</v>
      </c>
      <c r="H469">
        <v>49</v>
      </c>
      <c r="I469">
        <v>19</v>
      </c>
      <c r="J469">
        <v>18</v>
      </c>
      <c r="K469">
        <v>6</v>
      </c>
      <c r="M469">
        <v>71</v>
      </c>
      <c r="N469">
        <v>64</v>
      </c>
      <c r="O469">
        <v>49479324.324324325</v>
      </c>
      <c r="P469">
        <v>57417335.135135137</v>
      </c>
      <c r="Q469">
        <v>529</v>
      </c>
      <c r="R469">
        <v>116</v>
      </c>
      <c r="S469">
        <v>67186621.621621624</v>
      </c>
      <c r="T469">
        <v>68302106.306306303</v>
      </c>
      <c r="U469">
        <v>45859594.59459459</v>
      </c>
      <c r="V469">
        <v>36816306.306306303</v>
      </c>
      <c r="W469">
        <v>4638</v>
      </c>
      <c r="X469">
        <v>4739</v>
      </c>
    </row>
    <row r="470" spans="1:24">
      <c r="A470" s="7" t="s">
        <v>568</v>
      </c>
      <c r="B470" s="16" t="s">
        <v>48</v>
      </c>
      <c r="C470">
        <v>390772038.05359793</v>
      </c>
      <c r="D470">
        <v>371362573.57612354</v>
      </c>
      <c r="E470">
        <v>205855.85585585699</v>
      </c>
      <c r="F470">
        <v>1454954.954954955</v>
      </c>
      <c r="G470">
        <v>19</v>
      </c>
      <c r="H470">
        <v>9</v>
      </c>
      <c r="I470">
        <v>8</v>
      </c>
      <c r="J470">
        <v>7</v>
      </c>
      <c r="M470">
        <v>22</v>
      </c>
      <c r="N470">
        <v>60</v>
      </c>
      <c r="O470">
        <v>17322972.972972974</v>
      </c>
      <c r="P470">
        <v>16572072.072072072</v>
      </c>
      <c r="R470">
        <v>32</v>
      </c>
      <c r="S470">
        <v>45236836.036036037</v>
      </c>
      <c r="T470">
        <v>46568715.315315314</v>
      </c>
      <c r="U470">
        <v>19313783.783783782</v>
      </c>
      <c r="V470">
        <v>19451081.081081081</v>
      </c>
      <c r="W470">
        <v>6321</v>
      </c>
      <c r="X470">
        <v>6073</v>
      </c>
    </row>
    <row r="471" spans="1:24">
      <c r="A471" s="7" t="s">
        <v>569</v>
      </c>
      <c r="B471" s="16" t="s">
        <v>169</v>
      </c>
      <c r="C471">
        <v>5119226542.8104353</v>
      </c>
      <c r="D471">
        <v>5084119484.1370955</v>
      </c>
      <c r="E471">
        <v>4076720452.2522521</v>
      </c>
      <c r="F471">
        <v>3344118836.9369369</v>
      </c>
      <c r="G471">
        <v>1361</v>
      </c>
      <c r="H471">
        <v>1335</v>
      </c>
      <c r="I471">
        <v>103</v>
      </c>
      <c r="J471">
        <v>73</v>
      </c>
      <c r="K471">
        <v>10</v>
      </c>
      <c r="M471">
        <v>1631</v>
      </c>
      <c r="N471">
        <v>2367</v>
      </c>
      <c r="O471">
        <v>1552492078.3783784</v>
      </c>
      <c r="P471">
        <v>709738027.02702713</v>
      </c>
      <c r="Q471">
        <v>2004</v>
      </c>
      <c r="R471">
        <v>1531</v>
      </c>
      <c r="S471">
        <v>3009292401.8018017</v>
      </c>
      <c r="T471">
        <v>3077644678.3783784</v>
      </c>
      <c r="U471">
        <v>1390586890.09009</v>
      </c>
      <c r="V471">
        <v>679454093.69369364</v>
      </c>
      <c r="W471">
        <v>56967</v>
      </c>
      <c r="X471">
        <v>54287</v>
      </c>
    </row>
    <row r="472" spans="1:24">
      <c r="A472" s="7" t="s">
        <v>570</v>
      </c>
      <c r="B472" s="16" t="s">
        <v>220</v>
      </c>
      <c r="C472">
        <v>364574730.28869689</v>
      </c>
      <c r="D472">
        <v>324803570.45098585</v>
      </c>
      <c r="E472">
        <v>85425225.225225225</v>
      </c>
      <c r="F472">
        <v>198334234.23423424</v>
      </c>
      <c r="G472">
        <v>45</v>
      </c>
      <c r="H472">
        <v>33</v>
      </c>
      <c r="I472">
        <v>9</v>
      </c>
      <c r="J472">
        <v>5</v>
      </c>
      <c r="M472">
        <v>49</v>
      </c>
      <c r="N472">
        <v>36</v>
      </c>
      <c r="O472">
        <v>85828153.153153151</v>
      </c>
      <c r="P472">
        <v>25833963.963963963</v>
      </c>
      <c r="Q472">
        <v>151</v>
      </c>
      <c r="S472">
        <v>59315720.720720723</v>
      </c>
      <c r="T472">
        <v>53377189.189189181</v>
      </c>
      <c r="U472">
        <v>13815945.945945946</v>
      </c>
      <c r="V472">
        <v>13586936.936936935</v>
      </c>
      <c r="W472">
        <v>5009</v>
      </c>
      <c r="X472">
        <v>4475</v>
      </c>
    </row>
    <row r="473" spans="1:24">
      <c r="A473" s="7" t="s">
        <v>571</v>
      </c>
      <c r="B473" s="16" t="s">
        <v>85</v>
      </c>
      <c r="C473">
        <v>402053857.50412649</v>
      </c>
      <c r="D473">
        <v>403995497.35122585</v>
      </c>
      <c r="E473">
        <v>836936.93693693599</v>
      </c>
      <c r="F473">
        <v>800900.90090090304</v>
      </c>
      <c r="G473">
        <v>23</v>
      </c>
      <c r="H473">
        <v>50</v>
      </c>
      <c r="I473">
        <v>3</v>
      </c>
      <c r="J473">
        <v>3</v>
      </c>
      <c r="K473">
        <v>1</v>
      </c>
      <c r="M473">
        <v>26</v>
      </c>
      <c r="N473">
        <v>55</v>
      </c>
      <c r="O473">
        <v>18314414.414414417</v>
      </c>
      <c r="P473">
        <v>52820799.099099107</v>
      </c>
      <c r="Q473">
        <v>190</v>
      </c>
      <c r="R473">
        <v>12</v>
      </c>
      <c r="S473">
        <v>92057145.945945948</v>
      </c>
      <c r="T473">
        <v>91692583.783783793</v>
      </c>
      <c r="U473">
        <v>18891261.261261258</v>
      </c>
      <c r="V473">
        <v>40687297.297297306</v>
      </c>
      <c r="W473">
        <v>4992</v>
      </c>
      <c r="X473">
        <v>4947</v>
      </c>
    </row>
    <row r="474" spans="1:24">
      <c r="A474" s="7" t="s">
        <v>572</v>
      </c>
      <c r="B474" s="16" t="s">
        <v>479</v>
      </c>
      <c r="C474">
        <v>201104020.7192432</v>
      </c>
      <c r="D474">
        <v>209738763.54768458</v>
      </c>
      <c r="E474">
        <v>43172297.297297299</v>
      </c>
      <c r="F474">
        <v>44182882.882882871</v>
      </c>
      <c r="G474">
        <v>110</v>
      </c>
      <c r="H474">
        <v>125</v>
      </c>
      <c r="I474">
        <v>7</v>
      </c>
      <c r="J474">
        <v>8</v>
      </c>
      <c r="M474">
        <v>184</v>
      </c>
      <c r="N474">
        <v>189</v>
      </c>
      <c r="O474">
        <v>42639369.369369365</v>
      </c>
      <c r="P474">
        <v>41103378.378378376</v>
      </c>
      <c r="Q474">
        <v>18</v>
      </c>
      <c r="R474">
        <v>207</v>
      </c>
      <c r="S474">
        <v>73503918.918918908</v>
      </c>
      <c r="T474">
        <v>86513499.0990991</v>
      </c>
      <c r="U474">
        <v>38149549.54954955</v>
      </c>
      <c r="V474">
        <v>37312972.972972974</v>
      </c>
      <c r="W474">
        <v>5195</v>
      </c>
      <c r="X474">
        <v>5176</v>
      </c>
    </row>
    <row r="475" spans="1:24">
      <c r="A475" s="7" t="s">
        <v>573</v>
      </c>
      <c r="B475" s="16" t="s">
        <v>94</v>
      </c>
      <c r="C475">
        <v>565683420.79043782</v>
      </c>
      <c r="D475">
        <v>541228518.18812728</v>
      </c>
      <c r="E475">
        <v>2225225.225225227</v>
      </c>
      <c r="F475">
        <v>3332432.4324324341</v>
      </c>
      <c r="G475">
        <v>151</v>
      </c>
      <c r="H475">
        <v>94</v>
      </c>
      <c r="I475">
        <v>12</v>
      </c>
      <c r="J475">
        <v>11</v>
      </c>
      <c r="K475">
        <v>2</v>
      </c>
      <c r="M475">
        <v>170</v>
      </c>
      <c r="N475">
        <v>134</v>
      </c>
      <c r="O475">
        <v>498541441.44144142</v>
      </c>
      <c r="P475">
        <v>857910810.8108108</v>
      </c>
      <c r="Q475">
        <v>166</v>
      </c>
      <c r="R475">
        <v>207</v>
      </c>
      <c r="S475">
        <v>123066554.05405405</v>
      </c>
      <c r="T475">
        <v>115310027.47747748</v>
      </c>
      <c r="U475">
        <v>40266036.036036029</v>
      </c>
      <c r="V475">
        <v>42651261.261261262</v>
      </c>
      <c r="W475">
        <v>9556</v>
      </c>
      <c r="X475">
        <v>9722</v>
      </c>
    </row>
    <row r="476" spans="1:24">
      <c r="A476" s="7" t="s">
        <v>574</v>
      </c>
      <c r="B476" s="16" t="s">
        <v>307</v>
      </c>
      <c r="C476">
        <v>1276693313.0347495</v>
      </c>
      <c r="D476">
        <v>1256679330.3923202</v>
      </c>
      <c r="E476">
        <v>14693333.333333332</v>
      </c>
      <c r="F476">
        <v>23451081.081081092</v>
      </c>
      <c r="G476">
        <v>495</v>
      </c>
      <c r="H476">
        <v>514</v>
      </c>
      <c r="I476">
        <v>18</v>
      </c>
      <c r="J476">
        <v>29</v>
      </c>
      <c r="K476">
        <v>2</v>
      </c>
      <c r="M476">
        <v>546</v>
      </c>
      <c r="N476">
        <v>710</v>
      </c>
      <c r="O476">
        <v>1828199639.6396396</v>
      </c>
      <c r="P476">
        <v>1482736306.3063064</v>
      </c>
      <c r="Q476">
        <v>1594</v>
      </c>
      <c r="R476">
        <v>1780</v>
      </c>
      <c r="S476">
        <v>507218891.8918919</v>
      </c>
      <c r="T476">
        <v>519374160.8108108</v>
      </c>
      <c r="U476">
        <v>110646351.35135137</v>
      </c>
      <c r="V476">
        <v>284280180.18018019</v>
      </c>
      <c r="W476">
        <v>32924</v>
      </c>
      <c r="X476">
        <v>33048</v>
      </c>
    </row>
    <row r="477" spans="1:24">
      <c r="A477" s="7" t="s">
        <v>677</v>
      </c>
      <c r="B477" s="16" t="s">
        <v>224</v>
      </c>
      <c r="E477">
        <v>148918845.94594595</v>
      </c>
      <c r="F477">
        <v>121677117.11711712</v>
      </c>
      <c r="O477">
        <v>7170270.2702702703</v>
      </c>
      <c r="P477">
        <v>3827927.927927928</v>
      </c>
    </row>
    <row r="478" spans="1:24">
      <c r="A478" s="7" t="s">
        <v>10</v>
      </c>
      <c r="B478" s="16" t="s">
        <v>193</v>
      </c>
      <c r="C478">
        <v>218162574.12328824</v>
      </c>
      <c r="D478">
        <v>205330968.1741623</v>
      </c>
      <c r="G478">
        <v>19</v>
      </c>
      <c r="H478">
        <v>29</v>
      </c>
      <c r="J478">
        <v>0</v>
      </c>
      <c r="M478">
        <v>19</v>
      </c>
      <c r="N478">
        <v>31</v>
      </c>
      <c r="S478">
        <v>125391711.7117117</v>
      </c>
      <c r="T478">
        <v>122707178.37837839</v>
      </c>
      <c r="V478">
        <v>19639.639639640001</v>
      </c>
      <c r="W478">
        <v>3933</v>
      </c>
      <c r="X478">
        <v>3650</v>
      </c>
    </row>
    <row r="479" spans="1:24">
      <c r="A479" s="7" t="s">
        <v>575</v>
      </c>
      <c r="B479" s="16" t="s">
        <v>87</v>
      </c>
      <c r="C479">
        <v>4836913.4991137432</v>
      </c>
      <c r="D479">
        <v>4418204.6585912472</v>
      </c>
      <c r="G479">
        <v>6</v>
      </c>
      <c r="H479">
        <v>19</v>
      </c>
      <c r="M479">
        <v>7</v>
      </c>
      <c r="N479">
        <v>20</v>
      </c>
      <c r="S479">
        <v>1424324.324324324</v>
      </c>
      <c r="T479">
        <v>1465151.3513513519</v>
      </c>
      <c r="W479">
        <v>246</v>
      </c>
      <c r="X479">
        <v>253</v>
      </c>
    </row>
    <row r="480" spans="1:24">
      <c r="A480" s="7" t="s">
        <v>576</v>
      </c>
      <c r="B480" s="16" t="s">
        <v>283</v>
      </c>
      <c r="C480">
        <v>305699135.33132488</v>
      </c>
      <c r="D480">
        <v>285401543.78317583</v>
      </c>
      <c r="E480">
        <v>35135.135135135002</v>
      </c>
      <c r="F480">
        <v>413513.51351351402</v>
      </c>
      <c r="G480">
        <v>40</v>
      </c>
      <c r="H480">
        <v>51</v>
      </c>
      <c r="I480">
        <v>2</v>
      </c>
      <c r="J480">
        <v>1</v>
      </c>
      <c r="M480">
        <v>41</v>
      </c>
      <c r="N480">
        <v>55</v>
      </c>
      <c r="O480">
        <v>16881981.981981982</v>
      </c>
      <c r="P480">
        <v>20737837.837837841</v>
      </c>
      <c r="Q480">
        <v>7</v>
      </c>
      <c r="R480">
        <v>8</v>
      </c>
      <c r="S480">
        <v>41878018.018018015</v>
      </c>
      <c r="T480">
        <v>44785243.24324324</v>
      </c>
      <c r="U480">
        <v>14279279.27927928</v>
      </c>
      <c r="V480">
        <v>20609279.27927928</v>
      </c>
      <c r="W480">
        <v>3612</v>
      </c>
      <c r="X480">
        <v>3595</v>
      </c>
    </row>
    <row r="481" spans="1:24">
      <c r="A481" s="7" t="s">
        <v>577</v>
      </c>
      <c r="B481" s="16" t="s">
        <v>307</v>
      </c>
      <c r="C481">
        <v>1271161264.1755033</v>
      </c>
      <c r="D481">
        <v>1236983219.6875746</v>
      </c>
      <c r="E481">
        <v>3773243.2432432459</v>
      </c>
      <c r="F481">
        <v>14717567.567567579</v>
      </c>
      <c r="G481">
        <v>684</v>
      </c>
      <c r="H481">
        <v>505</v>
      </c>
      <c r="I481">
        <v>38</v>
      </c>
      <c r="J481">
        <v>40</v>
      </c>
      <c r="K481">
        <v>1</v>
      </c>
      <c r="M481">
        <v>810</v>
      </c>
      <c r="N481">
        <v>716</v>
      </c>
      <c r="O481">
        <v>107688783.78378378</v>
      </c>
      <c r="P481">
        <v>150335270.27027026</v>
      </c>
      <c r="Q481">
        <v>1249</v>
      </c>
      <c r="R481">
        <v>1365</v>
      </c>
      <c r="S481">
        <v>496069936.93693697</v>
      </c>
      <c r="T481">
        <v>519977405.4054054</v>
      </c>
      <c r="U481">
        <v>105022432.43243243</v>
      </c>
      <c r="V481">
        <v>134568243.24324325</v>
      </c>
      <c r="W481">
        <v>39779</v>
      </c>
      <c r="X481">
        <v>39055</v>
      </c>
    </row>
    <row r="482" spans="1:24">
      <c r="A482" s="7" t="s">
        <v>578</v>
      </c>
      <c r="B482" s="16" t="s">
        <v>330</v>
      </c>
      <c r="C482">
        <v>1201712700.9339137</v>
      </c>
      <c r="D482">
        <v>1141867898.9487283</v>
      </c>
      <c r="E482">
        <v>3028378.378378382</v>
      </c>
      <c r="F482">
        <v>12362162.162162161</v>
      </c>
      <c r="G482">
        <v>448</v>
      </c>
      <c r="H482">
        <v>407</v>
      </c>
      <c r="I482">
        <v>44</v>
      </c>
      <c r="J482">
        <v>35</v>
      </c>
      <c r="K482">
        <v>17</v>
      </c>
      <c r="M482">
        <v>540</v>
      </c>
      <c r="N482">
        <v>643</v>
      </c>
      <c r="O482">
        <v>189825405.4054054</v>
      </c>
      <c r="P482">
        <v>203690450.45045045</v>
      </c>
      <c r="Q482">
        <v>783</v>
      </c>
      <c r="R482">
        <v>649</v>
      </c>
      <c r="S482">
        <v>241243351.35135135</v>
      </c>
      <c r="T482">
        <v>246942126.12612611</v>
      </c>
      <c r="U482">
        <v>183224234.23423424</v>
      </c>
      <c r="V482">
        <v>199310540.54054055</v>
      </c>
      <c r="W482">
        <v>28450</v>
      </c>
      <c r="X482">
        <v>28476</v>
      </c>
    </row>
    <row r="483" spans="1:24">
      <c r="A483" s="7" t="s">
        <v>579</v>
      </c>
      <c r="B483" s="16" t="s">
        <v>66</v>
      </c>
      <c r="C483">
        <v>187062816.27533311</v>
      </c>
      <c r="D483">
        <v>177602104.19445944</v>
      </c>
      <c r="E483">
        <v>145495.495495496</v>
      </c>
      <c r="F483">
        <v>448198.19819819898</v>
      </c>
      <c r="G483">
        <v>38</v>
      </c>
      <c r="H483">
        <v>30</v>
      </c>
      <c r="I483">
        <v>1</v>
      </c>
      <c r="J483">
        <v>2</v>
      </c>
      <c r="M483">
        <v>43</v>
      </c>
      <c r="N483">
        <v>34</v>
      </c>
      <c r="O483">
        <v>3194774.774774774</v>
      </c>
      <c r="P483">
        <v>4545045.0450450461</v>
      </c>
      <c r="Q483">
        <v>24</v>
      </c>
      <c r="R483">
        <v>15</v>
      </c>
      <c r="S483">
        <v>45463828.828828834</v>
      </c>
      <c r="T483">
        <v>48113283.783783786</v>
      </c>
      <c r="U483">
        <v>3194054.054054053</v>
      </c>
      <c r="V483">
        <v>4340450.450450453</v>
      </c>
      <c r="W483">
        <v>3308</v>
      </c>
      <c r="X483">
        <v>3395</v>
      </c>
    </row>
    <row r="484" spans="1:24">
      <c r="A484" s="7" t="s">
        <v>580</v>
      </c>
      <c r="B484" s="16" t="s">
        <v>236</v>
      </c>
      <c r="C484">
        <v>455709.94345762202</v>
      </c>
      <c r="D484">
        <v>12051.991542125999</v>
      </c>
      <c r="S484">
        <v>301801.80180180201</v>
      </c>
      <c r="W484">
        <v>672</v>
      </c>
      <c r="X484">
        <v>1</v>
      </c>
    </row>
    <row r="485" spans="1:24">
      <c r="A485" s="7" t="s">
        <v>581</v>
      </c>
      <c r="B485" s="16" t="s">
        <v>62</v>
      </c>
      <c r="C485">
        <v>456402469.96879846</v>
      </c>
      <c r="D485">
        <v>454132945.52385068</v>
      </c>
      <c r="E485">
        <v>2102252.2522522602</v>
      </c>
      <c r="F485">
        <v>4279279.2792792888</v>
      </c>
      <c r="G485">
        <v>101</v>
      </c>
      <c r="H485">
        <v>211</v>
      </c>
      <c r="I485">
        <v>19</v>
      </c>
      <c r="J485">
        <v>21</v>
      </c>
      <c r="M485">
        <v>105</v>
      </c>
      <c r="N485">
        <v>277</v>
      </c>
      <c r="O485">
        <v>39965315.315315314</v>
      </c>
      <c r="P485">
        <v>43451531.531531535</v>
      </c>
      <c r="Q485">
        <v>197</v>
      </c>
      <c r="R485">
        <v>188</v>
      </c>
      <c r="S485">
        <v>101596162.16216215</v>
      </c>
      <c r="T485">
        <v>103654351.35135135</v>
      </c>
      <c r="U485">
        <v>39465045.045045048</v>
      </c>
      <c r="V485">
        <v>41651081.081081077</v>
      </c>
      <c r="W485">
        <v>6779</v>
      </c>
      <c r="X485">
        <v>6740</v>
      </c>
    </row>
    <row r="486" spans="1:24">
      <c r="A486" s="7" t="s">
        <v>582</v>
      </c>
      <c r="B486" s="16" t="s">
        <v>48</v>
      </c>
      <c r="C486">
        <v>456035095.66761881</v>
      </c>
      <c r="D486">
        <v>409062252.61086029</v>
      </c>
      <c r="E486">
        <v>246384840.54054055</v>
      </c>
      <c r="F486">
        <v>229223012.61261261</v>
      </c>
      <c r="G486">
        <v>166</v>
      </c>
      <c r="H486">
        <v>38</v>
      </c>
      <c r="I486">
        <v>7</v>
      </c>
      <c r="J486">
        <v>5</v>
      </c>
      <c r="M486">
        <v>171</v>
      </c>
      <c r="N486">
        <v>61</v>
      </c>
      <c r="O486">
        <v>184584144.14414415</v>
      </c>
      <c r="P486">
        <v>160340321.62162164</v>
      </c>
      <c r="R486">
        <v>6</v>
      </c>
      <c r="S486">
        <v>66367567.567567565</v>
      </c>
      <c r="T486">
        <v>60061977.477477469</v>
      </c>
      <c r="U486">
        <v>153474864.86486486</v>
      </c>
      <c r="V486">
        <v>138963783.78378376</v>
      </c>
      <c r="W486">
        <v>4097</v>
      </c>
      <c r="X486">
        <v>5294</v>
      </c>
    </row>
    <row r="487" spans="1:24">
      <c r="A487" s="7" t="s">
        <v>583</v>
      </c>
      <c r="B487" s="16" t="s">
        <v>54</v>
      </c>
      <c r="C487">
        <v>82489768.458774671</v>
      </c>
      <c r="D487">
        <v>81081683.535287842</v>
      </c>
      <c r="E487">
        <v>926351.35135135404</v>
      </c>
      <c r="F487">
        <v>1795495.4954954961</v>
      </c>
      <c r="G487">
        <v>21</v>
      </c>
      <c r="H487">
        <v>27</v>
      </c>
      <c r="I487">
        <v>8</v>
      </c>
      <c r="J487">
        <v>14</v>
      </c>
      <c r="M487">
        <v>23</v>
      </c>
      <c r="N487">
        <v>77</v>
      </c>
      <c r="O487">
        <v>15133333.333333332</v>
      </c>
      <c r="P487">
        <v>13325765.765765764</v>
      </c>
      <c r="Q487">
        <v>134</v>
      </c>
      <c r="R487">
        <v>242</v>
      </c>
      <c r="S487">
        <v>20715135.135135137</v>
      </c>
      <c r="T487">
        <v>21092218.468468469</v>
      </c>
      <c r="U487">
        <v>15127747.747747747</v>
      </c>
      <c r="V487">
        <v>11484234.234234234</v>
      </c>
      <c r="W487">
        <v>2025</v>
      </c>
      <c r="X487">
        <v>2064</v>
      </c>
    </row>
    <row r="488" spans="1:24">
      <c r="A488" s="7" t="s">
        <v>584</v>
      </c>
      <c r="B488" s="16" t="s">
        <v>70</v>
      </c>
      <c r="C488">
        <v>214530517.84911519</v>
      </c>
      <c r="D488">
        <v>209323541.29765287</v>
      </c>
      <c r="E488">
        <v>88870190.990990996</v>
      </c>
      <c r="F488">
        <v>96086435.135135129</v>
      </c>
      <c r="G488">
        <v>31</v>
      </c>
      <c r="H488">
        <v>55</v>
      </c>
      <c r="J488">
        <v>1</v>
      </c>
      <c r="K488">
        <v>2</v>
      </c>
      <c r="M488">
        <v>35</v>
      </c>
      <c r="N488">
        <v>57</v>
      </c>
      <c r="O488">
        <v>39709274.774774775</v>
      </c>
      <c r="P488">
        <v>37872982.882882886</v>
      </c>
      <c r="Q488">
        <v>11</v>
      </c>
      <c r="R488">
        <v>8</v>
      </c>
      <c r="S488">
        <v>93224684.684684694</v>
      </c>
      <c r="T488">
        <v>95672936.936936945</v>
      </c>
      <c r="U488">
        <v>2485135.1351351351</v>
      </c>
      <c r="V488">
        <v>2113513.5135135148</v>
      </c>
      <c r="W488">
        <v>3690</v>
      </c>
      <c r="X488">
        <v>3712</v>
      </c>
    </row>
    <row r="489" spans="1:24">
      <c r="A489" s="7" t="s">
        <v>585</v>
      </c>
      <c r="B489" s="16" t="s">
        <v>330</v>
      </c>
      <c r="C489">
        <v>829950540.99142349</v>
      </c>
      <c r="D489">
        <v>787995440.37144411</v>
      </c>
      <c r="E489">
        <v>108195720.72072072</v>
      </c>
      <c r="F489">
        <v>421098873.87387383</v>
      </c>
      <c r="G489">
        <v>393</v>
      </c>
      <c r="H489">
        <v>320</v>
      </c>
      <c r="I489">
        <v>26</v>
      </c>
      <c r="J489">
        <v>19</v>
      </c>
      <c r="K489">
        <v>16</v>
      </c>
      <c r="M489">
        <v>455</v>
      </c>
      <c r="N489">
        <v>393</v>
      </c>
      <c r="O489">
        <v>55796936.936936937</v>
      </c>
      <c r="P489">
        <v>106141261.26126127</v>
      </c>
      <c r="Q489">
        <v>406</v>
      </c>
      <c r="R489">
        <v>407</v>
      </c>
      <c r="S489">
        <v>208428050.45045045</v>
      </c>
      <c r="T489">
        <v>231258282.88288289</v>
      </c>
      <c r="U489">
        <v>46616709.909909911</v>
      </c>
      <c r="V489">
        <v>96227837.837837845</v>
      </c>
      <c r="W489">
        <v>20924</v>
      </c>
      <c r="X489">
        <v>21202</v>
      </c>
    </row>
    <row r="490" spans="1:24">
      <c r="A490" s="7" t="s">
        <v>586</v>
      </c>
      <c r="B490" s="16" t="s">
        <v>66</v>
      </c>
      <c r="C490">
        <v>361929721.54016244</v>
      </c>
      <c r="D490">
        <v>378302607.16123623</v>
      </c>
      <c r="E490">
        <v>151708229.72972974</v>
      </c>
      <c r="F490">
        <v>714365846.84684682</v>
      </c>
      <c r="G490">
        <v>246</v>
      </c>
      <c r="H490">
        <v>180</v>
      </c>
      <c r="I490">
        <v>13</v>
      </c>
      <c r="J490">
        <v>21</v>
      </c>
      <c r="K490">
        <v>1</v>
      </c>
      <c r="M490">
        <v>628</v>
      </c>
      <c r="N490">
        <v>611</v>
      </c>
      <c r="O490">
        <v>42258918.918918923</v>
      </c>
      <c r="P490">
        <v>84141216.216216221</v>
      </c>
      <c r="Q490">
        <v>389</v>
      </c>
      <c r="R490">
        <v>61</v>
      </c>
      <c r="S490">
        <v>189370198.1981982</v>
      </c>
      <c r="T490">
        <v>187534045.04504505</v>
      </c>
      <c r="U490">
        <v>41625765.765765771</v>
      </c>
      <c r="V490">
        <v>78416081.081081077</v>
      </c>
      <c r="W490">
        <v>10667</v>
      </c>
      <c r="X490">
        <v>10789</v>
      </c>
    </row>
    <row r="491" spans="1:24">
      <c r="A491" s="7" t="s">
        <v>11</v>
      </c>
      <c r="B491" s="16" t="s">
        <v>193</v>
      </c>
      <c r="C491">
        <v>168764124.41056004</v>
      </c>
      <c r="D491">
        <v>179648698.29748946</v>
      </c>
      <c r="E491">
        <v>343243.24324324197</v>
      </c>
      <c r="F491">
        <v>636936.93693693797</v>
      </c>
      <c r="G491">
        <v>57</v>
      </c>
      <c r="H491">
        <v>42</v>
      </c>
      <c r="I491">
        <v>6</v>
      </c>
      <c r="J491">
        <v>0</v>
      </c>
      <c r="M491">
        <v>61</v>
      </c>
      <c r="N491">
        <v>47</v>
      </c>
      <c r="O491">
        <v>5127027.0270270258</v>
      </c>
      <c r="P491">
        <v>15006306.306306308</v>
      </c>
      <c r="Q491">
        <v>44</v>
      </c>
      <c r="S491">
        <v>56966666.666666664</v>
      </c>
      <c r="T491">
        <v>60717596.846846849</v>
      </c>
      <c r="U491">
        <v>5681351.3513513496</v>
      </c>
      <c r="V491">
        <v>15645225.225225223</v>
      </c>
      <c r="W491">
        <v>3723</v>
      </c>
      <c r="X491">
        <v>3940</v>
      </c>
    </row>
    <row r="492" spans="1:24">
      <c r="A492" s="7" t="s">
        <v>12</v>
      </c>
      <c r="B492" s="16" t="s">
        <v>193</v>
      </c>
      <c r="C492">
        <v>119958769.44923832</v>
      </c>
      <c r="D492">
        <v>121957917.75124012</v>
      </c>
      <c r="E492">
        <v>66666.666666664998</v>
      </c>
      <c r="F492">
        <v>5443243.2432432426</v>
      </c>
      <c r="G492">
        <v>42</v>
      </c>
      <c r="H492">
        <v>21</v>
      </c>
      <c r="I492">
        <v>8</v>
      </c>
      <c r="J492">
        <v>6</v>
      </c>
      <c r="M492">
        <v>52</v>
      </c>
      <c r="N492">
        <v>22</v>
      </c>
      <c r="O492">
        <v>10419369.369369367</v>
      </c>
      <c r="P492">
        <v>22650450.45045045</v>
      </c>
      <c r="Q492">
        <v>70</v>
      </c>
      <c r="S492">
        <v>47134270.270270273</v>
      </c>
      <c r="T492">
        <v>47929792.79279279</v>
      </c>
      <c r="U492">
        <v>6641351.3513513487</v>
      </c>
      <c r="V492">
        <v>26363243.243243244</v>
      </c>
      <c r="W492">
        <v>2759</v>
      </c>
      <c r="X492">
        <v>2918</v>
      </c>
    </row>
    <row r="493" spans="1:24">
      <c r="A493" s="7" t="s">
        <v>587</v>
      </c>
      <c r="B493" s="16" t="s">
        <v>60</v>
      </c>
      <c r="C493">
        <v>94960650.498920113</v>
      </c>
      <c r="D493">
        <v>95382207.535885066</v>
      </c>
      <c r="E493">
        <v>209909.90990991099</v>
      </c>
      <c r="F493">
        <v>1705405.4054054059</v>
      </c>
      <c r="G493">
        <v>52</v>
      </c>
      <c r="H493">
        <v>40</v>
      </c>
      <c r="I493">
        <v>6</v>
      </c>
      <c r="J493">
        <v>10</v>
      </c>
      <c r="K493">
        <v>1</v>
      </c>
      <c r="M493">
        <v>59</v>
      </c>
      <c r="N493">
        <v>65</v>
      </c>
      <c r="O493">
        <v>15137837.837837836</v>
      </c>
      <c r="P493">
        <v>16903603.603603605</v>
      </c>
      <c r="Q493">
        <v>99</v>
      </c>
      <c r="R493">
        <v>161</v>
      </c>
      <c r="S493">
        <v>36318828.828828834</v>
      </c>
      <c r="T493">
        <v>35060984.234234236</v>
      </c>
      <c r="U493">
        <v>14190180.180180181</v>
      </c>
      <c r="V493">
        <v>14912522.522522524</v>
      </c>
      <c r="W493">
        <v>2409</v>
      </c>
      <c r="X493">
        <v>1792</v>
      </c>
    </row>
    <row r="494" spans="1:24">
      <c r="A494" s="7" t="s">
        <v>588</v>
      </c>
      <c r="B494" s="16" t="s">
        <v>307</v>
      </c>
      <c r="C494">
        <v>2748352636.6012516</v>
      </c>
      <c r="D494">
        <v>2686162157.7570405</v>
      </c>
      <c r="E494">
        <v>1908987043.2432432</v>
      </c>
      <c r="F494">
        <v>2482799689.189189</v>
      </c>
      <c r="G494">
        <v>1288</v>
      </c>
      <c r="H494">
        <v>1314</v>
      </c>
      <c r="I494">
        <v>89</v>
      </c>
      <c r="J494">
        <v>96</v>
      </c>
      <c r="K494">
        <v>5</v>
      </c>
      <c r="M494">
        <v>1524</v>
      </c>
      <c r="N494">
        <v>1837</v>
      </c>
      <c r="O494">
        <v>265907522.52252254</v>
      </c>
      <c r="P494">
        <v>578935753.15315318</v>
      </c>
      <c r="Q494">
        <v>2321</v>
      </c>
      <c r="R494">
        <v>2949</v>
      </c>
      <c r="S494">
        <v>851649196.3963964</v>
      </c>
      <c r="T494">
        <v>862249418.91891897</v>
      </c>
      <c r="U494">
        <v>267947117.11711711</v>
      </c>
      <c r="V494">
        <v>539364504.50450456</v>
      </c>
      <c r="W494">
        <v>65881</v>
      </c>
      <c r="X494">
        <v>65734</v>
      </c>
    </row>
    <row r="495" spans="1:24">
      <c r="A495" s="7" t="s">
        <v>589</v>
      </c>
      <c r="B495" s="16" t="s">
        <v>52</v>
      </c>
      <c r="C495">
        <v>665343237.12998307</v>
      </c>
      <c r="D495">
        <v>648799115.86946011</v>
      </c>
      <c r="E495">
        <v>16010180.180180183</v>
      </c>
      <c r="F495">
        <v>11497595.4954955</v>
      </c>
      <c r="G495">
        <v>142</v>
      </c>
      <c r="H495">
        <v>153</v>
      </c>
      <c r="I495">
        <v>15</v>
      </c>
      <c r="J495">
        <v>23</v>
      </c>
      <c r="M495">
        <v>226</v>
      </c>
      <c r="N495">
        <v>405</v>
      </c>
      <c r="O495">
        <v>66916576.576576576</v>
      </c>
      <c r="P495">
        <v>187134180.18018019</v>
      </c>
      <c r="Q495">
        <v>603</v>
      </c>
      <c r="R495">
        <v>1921</v>
      </c>
      <c r="S495">
        <v>264122797.2972973</v>
      </c>
      <c r="T495">
        <v>259051000</v>
      </c>
      <c r="U495">
        <v>66146486.48648648</v>
      </c>
      <c r="V495">
        <v>212209054.05405405</v>
      </c>
      <c r="W495">
        <v>14493</v>
      </c>
      <c r="X495">
        <v>14603</v>
      </c>
    </row>
    <row r="496" spans="1:24">
      <c r="A496" s="7" t="s">
        <v>590</v>
      </c>
      <c r="B496" s="16" t="s">
        <v>54</v>
      </c>
      <c r="C496">
        <v>52727398.68321979</v>
      </c>
      <c r="D496">
        <v>55152507.901442349</v>
      </c>
      <c r="E496">
        <v>23418693.693693697</v>
      </c>
      <c r="F496">
        <v>58882432.432432435</v>
      </c>
      <c r="G496">
        <v>15</v>
      </c>
      <c r="H496">
        <v>23</v>
      </c>
      <c r="I496">
        <v>3</v>
      </c>
      <c r="J496">
        <v>3</v>
      </c>
      <c r="M496">
        <v>18</v>
      </c>
      <c r="N496">
        <v>29</v>
      </c>
      <c r="O496">
        <v>16690990.990990991</v>
      </c>
      <c r="P496">
        <v>15510360.36036036</v>
      </c>
      <c r="Q496">
        <v>24</v>
      </c>
      <c r="R496">
        <v>16</v>
      </c>
      <c r="S496">
        <v>17577558.558558561</v>
      </c>
      <c r="T496">
        <v>17509391.891891893</v>
      </c>
      <c r="U496">
        <v>9349729.7297297288</v>
      </c>
      <c r="V496">
        <v>13281081.081081079</v>
      </c>
      <c r="W496">
        <v>1537</v>
      </c>
      <c r="X496">
        <v>1590</v>
      </c>
    </row>
    <row r="497" spans="1:24">
      <c r="A497" s="7" t="s">
        <v>591</v>
      </c>
      <c r="B497" s="16" t="s">
        <v>169</v>
      </c>
      <c r="C497">
        <v>1601705009.3834522</v>
      </c>
      <c r="D497">
        <v>1569403579.0512064</v>
      </c>
      <c r="E497">
        <v>579729459.45945942</v>
      </c>
      <c r="F497">
        <v>608237612.61261261</v>
      </c>
      <c r="G497">
        <v>179</v>
      </c>
      <c r="H497">
        <v>121</v>
      </c>
      <c r="I497">
        <v>29</v>
      </c>
      <c r="J497">
        <v>15</v>
      </c>
      <c r="K497">
        <v>3</v>
      </c>
      <c r="M497">
        <v>208</v>
      </c>
      <c r="N497">
        <v>188</v>
      </c>
      <c r="O497">
        <v>449499404.5045045</v>
      </c>
      <c r="P497">
        <v>315304772.97297299</v>
      </c>
      <c r="Q497">
        <v>430</v>
      </c>
      <c r="R497">
        <v>319</v>
      </c>
      <c r="S497">
        <v>536441079.27927929</v>
      </c>
      <c r="T497">
        <v>530014328.82882881</v>
      </c>
      <c r="U497">
        <v>190976306.3063063</v>
      </c>
      <c r="V497">
        <v>274178828.82882881</v>
      </c>
      <c r="W497">
        <v>23649</v>
      </c>
      <c r="X497">
        <v>23475</v>
      </c>
    </row>
    <row r="498" spans="1:24">
      <c r="A498" s="7" t="s">
        <v>592</v>
      </c>
      <c r="B498" s="16" t="s">
        <v>87</v>
      </c>
      <c r="C498">
        <v>8726398.2515918706</v>
      </c>
      <c r="D498">
        <v>7845955.4969276842</v>
      </c>
      <c r="G498">
        <v>1</v>
      </c>
      <c r="H498">
        <v>2</v>
      </c>
      <c r="M498">
        <v>1</v>
      </c>
      <c r="N498">
        <v>2</v>
      </c>
      <c r="S498">
        <v>2422513.5135135129</v>
      </c>
      <c r="T498">
        <v>1973603.6036036031</v>
      </c>
      <c r="W498">
        <v>329</v>
      </c>
      <c r="X498">
        <v>349</v>
      </c>
    </row>
    <row r="499" spans="1:24">
      <c r="A499" s="7" t="s">
        <v>593</v>
      </c>
      <c r="B499" s="16" t="s">
        <v>143</v>
      </c>
      <c r="C499">
        <v>109330498.47606729</v>
      </c>
      <c r="D499">
        <v>109850364.6017724</v>
      </c>
      <c r="E499">
        <v>30630.630630632</v>
      </c>
      <c r="F499">
        <v>307882.88288288401</v>
      </c>
      <c r="G499">
        <v>19</v>
      </c>
      <c r="H499">
        <v>28</v>
      </c>
      <c r="I499">
        <v>4</v>
      </c>
      <c r="J499">
        <v>3</v>
      </c>
      <c r="M499">
        <v>20</v>
      </c>
      <c r="N499">
        <v>30</v>
      </c>
      <c r="O499">
        <v>6138738.7387387371</v>
      </c>
      <c r="P499">
        <v>10615315.315315315</v>
      </c>
      <c r="Q499">
        <v>50</v>
      </c>
      <c r="R499">
        <v>23</v>
      </c>
      <c r="S499">
        <v>10143738.73873874</v>
      </c>
      <c r="T499">
        <v>11618774.774774777</v>
      </c>
      <c r="U499">
        <v>5167747.7477477472</v>
      </c>
      <c r="V499">
        <v>6066396.3963963958</v>
      </c>
      <c r="W499">
        <v>1666</v>
      </c>
      <c r="X499">
        <v>1561</v>
      </c>
    </row>
    <row r="500" spans="1:24">
      <c r="A500" s="7" t="s">
        <v>594</v>
      </c>
      <c r="B500" s="16" t="s">
        <v>290</v>
      </c>
      <c r="C500">
        <v>30188993.536950897</v>
      </c>
      <c r="D500">
        <v>30232823.051234119</v>
      </c>
      <c r="E500">
        <v>7207.2072072069996</v>
      </c>
      <c r="G500">
        <v>1</v>
      </c>
      <c r="H500">
        <v>1</v>
      </c>
      <c r="I500">
        <v>1</v>
      </c>
      <c r="M500">
        <v>1</v>
      </c>
      <c r="N500">
        <v>2</v>
      </c>
      <c r="O500">
        <v>79279.279279278999</v>
      </c>
      <c r="S500">
        <v>1096711.7117117119</v>
      </c>
      <c r="T500">
        <v>1615090.0900900899</v>
      </c>
      <c r="W500">
        <v>621</v>
      </c>
      <c r="X500">
        <v>696</v>
      </c>
    </row>
    <row r="501" spans="1:24">
      <c r="A501" s="7" t="s">
        <v>595</v>
      </c>
      <c r="B501" s="16" t="s">
        <v>92</v>
      </c>
      <c r="C501">
        <v>40123395.260145135</v>
      </c>
      <c r="D501">
        <v>40456969.10813687</v>
      </c>
      <c r="E501">
        <v>642342.34234234295</v>
      </c>
      <c r="F501">
        <v>1338738.7387387389</v>
      </c>
      <c r="G501">
        <v>14</v>
      </c>
      <c r="H501">
        <v>20</v>
      </c>
      <c r="I501">
        <v>1</v>
      </c>
      <c r="J501">
        <v>2</v>
      </c>
      <c r="M501">
        <v>15</v>
      </c>
      <c r="N501">
        <v>29</v>
      </c>
      <c r="O501">
        <v>1177747.7477477479</v>
      </c>
      <c r="P501">
        <v>4270990.9909909908</v>
      </c>
      <c r="Q501">
        <v>27</v>
      </c>
      <c r="R501">
        <v>14</v>
      </c>
      <c r="S501">
        <v>6038333.333333334</v>
      </c>
      <c r="T501">
        <v>6996657.6576576577</v>
      </c>
      <c r="U501">
        <v>1538738.738738738</v>
      </c>
      <c r="V501">
        <v>4213963.963963964</v>
      </c>
      <c r="W501">
        <v>600</v>
      </c>
      <c r="X501">
        <v>681</v>
      </c>
    </row>
    <row r="502" spans="1:24">
      <c r="A502" s="7" t="s">
        <v>596</v>
      </c>
      <c r="B502" s="16" t="s">
        <v>50</v>
      </c>
      <c r="C502">
        <v>144251576.9377515</v>
      </c>
      <c r="D502">
        <v>134086933.24102947</v>
      </c>
      <c r="E502">
        <v>1176576.5765765789</v>
      </c>
      <c r="F502">
        <v>4691666.666666666</v>
      </c>
      <c r="G502">
        <v>16</v>
      </c>
      <c r="H502">
        <v>12</v>
      </c>
      <c r="I502">
        <v>5</v>
      </c>
      <c r="J502">
        <v>6</v>
      </c>
      <c r="M502">
        <v>18</v>
      </c>
      <c r="N502">
        <v>14</v>
      </c>
      <c r="O502">
        <v>24783963.963963963</v>
      </c>
      <c r="P502">
        <v>46442342.342342347</v>
      </c>
      <c r="Q502">
        <v>225</v>
      </c>
      <c r="R502">
        <v>68</v>
      </c>
      <c r="S502">
        <v>30134454.054054055</v>
      </c>
      <c r="T502">
        <v>29250131.531531531</v>
      </c>
      <c r="U502">
        <v>25642882.882882886</v>
      </c>
      <c r="V502">
        <v>44241801.801801801</v>
      </c>
      <c r="W502">
        <v>1602</v>
      </c>
      <c r="X502">
        <v>1661</v>
      </c>
    </row>
    <row r="503" spans="1:24">
      <c r="A503" s="7" t="s">
        <v>597</v>
      </c>
      <c r="B503" s="16" t="s">
        <v>89</v>
      </c>
      <c r="C503">
        <v>206237864.57608718</v>
      </c>
      <c r="D503">
        <v>204147082.27505216</v>
      </c>
      <c r="E503">
        <v>1105855.8558558589</v>
      </c>
      <c r="F503">
        <v>2784684.6846846892</v>
      </c>
      <c r="G503">
        <v>86</v>
      </c>
      <c r="H503">
        <v>52</v>
      </c>
      <c r="I503">
        <v>22</v>
      </c>
      <c r="J503">
        <v>19</v>
      </c>
      <c r="K503">
        <v>2</v>
      </c>
      <c r="M503">
        <v>134</v>
      </c>
      <c r="N503">
        <v>371</v>
      </c>
      <c r="O503">
        <v>13929729.729729729</v>
      </c>
      <c r="P503">
        <v>16595855.855855854</v>
      </c>
      <c r="Q503">
        <v>192</v>
      </c>
      <c r="R503">
        <v>277</v>
      </c>
      <c r="S503">
        <v>49720034.234234229</v>
      </c>
      <c r="T503">
        <v>51038445.945945941</v>
      </c>
      <c r="U503">
        <v>14849099.0990991</v>
      </c>
      <c r="V503">
        <v>15901891.891891887</v>
      </c>
      <c r="W503">
        <v>3579</v>
      </c>
      <c r="X503">
        <v>3570</v>
      </c>
    </row>
    <row r="504" spans="1:24">
      <c r="A504" s="7" t="s">
        <v>598</v>
      </c>
      <c r="B504" s="16" t="s">
        <v>143</v>
      </c>
      <c r="C504">
        <v>77417557.899947822</v>
      </c>
      <c r="D504">
        <v>78474660.91142489</v>
      </c>
      <c r="E504">
        <v>1254954.9549549541</v>
      </c>
      <c r="F504">
        <v>38258783.783783786</v>
      </c>
      <c r="G504">
        <v>16</v>
      </c>
      <c r="H504">
        <v>11</v>
      </c>
      <c r="I504">
        <v>4</v>
      </c>
      <c r="J504">
        <v>3</v>
      </c>
      <c r="M504">
        <v>16</v>
      </c>
      <c r="N504">
        <v>13</v>
      </c>
      <c r="O504">
        <v>7329818.9189189188</v>
      </c>
      <c r="P504">
        <v>8361261.2612612611</v>
      </c>
      <c r="Q504">
        <v>42</v>
      </c>
      <c r="R504">
        <v>173</v>
      </c>
      <c r="S504">
        <v>5130675.6756756753</v>
      </c>
      <c r="T504">
        <v>7529828.8288288293</v>
      </c>
      <c r="U504">
        <v>4336486.4864864862</v>
      </c>
      <c r="V504">
        <v>5609279.2792792786</v>
      </c>
      <c r="W504">
        <v>1148</v>
      </c>
      <c r="X504">
        <v>1178</v>
      </c>
    </row>
    <row r="505" spans="1:24">
      <c r="A505" s="7" t="s">
        <v>599</v>
      </c>
      <c r="B505" s="16" t="s">
        <v>125</v>
      </c>
      <c r="C505">
        <v>208826937.65810576</v>
      </c>
      <c r="D505">
        <v>203001038.625404</v>
      </c>
      <c r="E505">
        <v>173423.423423423</v>
      </c>
      <c r="F505">
        <v>376576.57657657599</v>
      </c>
      <c r="G505">
        <v>16</v>
      </c>
      <c r="H505">
        <v>24</v>
      </c>
      <c r="I505">
        <v>0</v>
      </c>
      <c r="J505">
        <v>1</v>
      </c>
      <c r="M505">
        <v>19</v>
      </c>
      <c r="N505">
        <v>28</v>
      </c>
      <c r="O505">
        <v>29830720.72072072</v>
      </c>
      <c r="P505">
        <v>20121981.981981985</v>
      </c>
      <c r="Q505">
        <v>45</v>
      </c>
      <c r="R505">
        <v>45</v>
      </c>
      <c r="S505">
        <v>77978243.243243247</v>
      </c>
      <c r="T505">
        <v>78717827.027027026</v>
      </c>
      <c r="U505">
        <v>30399639.639639638</v>
      </c>
      <c r="V505">
        <v>19629279.27927928</v>
      </c>
      <c r="W505">
        <v>3277</v>
      </c>
      <c r="X505">
        <v>3413</v>
      </c>
    </row>
    <row r="506" spans="1:24">
      <c r="A506" s="7" t="s">
        <v>600</v>
      </c>
      <c r="B506" s="16" t="s">
        <v>50</v>
      </c>
      <c r="C506">
        <v>494481073.2338531</v>
      </c>
      <c r="D506">
        <v>494499452.13426185</v>
      </c>
      <c r="E506">
        <v>2910450.450450453</v>
      </c>
      <c r="F506">
        <v>6495495.4954954982</v>
      </c>
      <c r="G506">
        <v>75</v>
      </c>
      <c r="H506">
        <v>44</v>
      </c>
      <c r="I506">
        <v>11</v>
      </c>
      <c r="J506">
        <v>5</v>
      </c>
      <c r="K506">
        <v>1</v>
      </c>
      <c r="M506">
        <v>80</v>
      </c>
      <c r="N506">
        <v>62</v>
      </c>
      <c r="O506">
        <v>64678468.468468465</v>
      </c>
      <c r="P506">
        <v>91805495.495495498</v>
      </c>
      <c r="Q506">
        <v>184</v>
      </c>
      <c r="R506">
        <v>30</v>
      </c>
      <c r="S506">
        <v>207878675.67567569</v>
      </c>
      <c r="T506">
        <v>208134630.63063061</v>
      </c>
      <c r="U506">
        <v>65197027.027027026</v>
      </c>
      <c r="V506">
        <v>90420900.9009009</v>
      </c>
      <c r="W506">
        <v>7619</v>
      </c>
      <c r="X506">
        <v>7922</v>
      </c>
    </row>
    <row r="507" spans="1:24">
      <c r="A507" s="7" t="s">
        <v>601</v>
      </c>
      <c r="B507" s="16" t="s">
        <v>89</v>
      </c>
      <c r="C507">
        <v>148585241.37776259</v>
      </c>
      <c r="D507">
        <v>144592374.01018181</v>
      </c>
      <c r="E507">
        <v>3633963.9639639682</v>
      </c>
      <c r="F507">
        <v>1660360.3603603649</v>
      </c>
      <c r="G507">
        <v>18</v>
      </c>
      <c r="H507">
        <v>12</v>
      </c>
      <c r="I507">
        <v>11</v>
      </c>
      <c r="J507">
        <v>13</v>
      </c>
      <c r="M507">
        <v>18</v>
      </c>
      <c r="N507">
        <v>14</v>
      </c>
      <c r="O507">
        <v>17611711.711711712</v>
      </c>
      <c r="P507">
        <v>32692972.972972974</v>
      </c>
      <c r="Q507">
        <v>92</v>
      </c>
      <c r="R507">
        <v>778</v>
      </c>
      <c r="S507">
        <v>43649054.054054059</v>
      </c>
      <c r="T507">
        <v>44128351.351351351</v>
      </c>
      <c r="U507">
        <v>12596036.036036037</v>
      </c>
      <c r="V507">
        <v>30984324.324324328</v>
      </c>
      <c r="W507">
        <v>2546</v>
      </c>
      <c r="X507">
        <v>2497</v>
      </c>
    </row>
    <row r="508" spans="1:24">
      <c r="A508" s="7" t="s">
        <v>602</v>
      </c>
      <c r="B508" s="16" t="s">
        <v>87</v>
      </c>
      <c r="C508">
        <v>135934401.19536233</v>
      </c>
      <c r="D508">
        <v>127322816.98929022</v>
      </c>
      <c r="E508">
        <v>5267567.5675675683</v>
      </c>
      <c r="F508">
        <v>4761261.261261262</v>
      </c>
      <c r="G508">
        <v>23</v>
      </c>
      <c r="H508">
        <v>14</v>
      </c>
      <c r="I508">
        <v>1</v>
      </c>
      <c r="J508">
        <v>1</v>
      </c>
      <c r="K508">
        <v>1</v>
      </c>
      <c r="M508">
        <v>24</v>
      </c>
      <c r="N508">
        <v>17</v>
      </c>
      <c r="O508">
        <v>2525675.6756756748</v>
      </c>
      <c r="P508">
        <v>2878378.3783783782</v>
      </c>
      <c r="S508">
        <v>10804998.198198197</v>
      </c>
      <c r="T508">
        <v>10417189.189189188</v>
      </c>
      <c r="U508">
        <v>1376169.3693693699</v>
      </c>
      <c r="V508">
        <v>1860270.2702702701</v>
      </c>
      <c r="W508">
        <v>1290</v>
      </c>
      <c r="X508">
        <v>1279</v>
      </c>
    </row>
    <row r="509" spans="1:24">
      <c r="A509" s="7" t="s">
        <v>603</v>
      </c>
      <c r="B509" s="16" t="s">
        <v>140</v>
      </c>
      <c r="C509">
        <v>1023441642.0760741</v>
      </c>
      <c r="D509">
        <v>1030251695.5217075</v>
      </c>
      <c r="E509">
        <v>724939474.77477479</v>
      </c>
      <c r="F509">
        <v>809371385.58558559</v>
      </c>
      <c r="G509">
        <v>412</v>
      </c>
      <c r="H509">
        <v>724</v>
      </c>
      <c r="I509">
        <v>32</v>
      </c>
      <c r="J509">
        <v>49</v>
      </c>
      <c r="K509">
        <v>14</v>
      </c>
      <c r="M509">
        <v>662</v>
      </c>
      <c r="N509">
        <v>1169</v>
      </c>
      <c r="O509">
        <v>202566261.26126125</v>
      </c>
      <c r="P509">
        <v>210760630.63063061</v>
      </c>
      <c r="Q509">
        <v>917</v>
      </c>
      <c r="R509">
        <v>726</v>
      </c>
      <c r="S509">
        <v>250513327.92792794</v>
      </c>
      <c r="T509">
        <v>255975684.68468466</v>
      </c>
      <c r="U509">
        <v>194771891.89189187</v>
      </c>
      <c r="V509">
        <v>207428288.2882883</v>
      </c>
      <c r="W509">
        <v>19083</v>
      </c>
      <c r="X509">
        <v>19000</v>
      </c>
    </row>
    <row r="510" spans="1:24">
      <c r="A510" s="7" t="s">
        <v>604</v>
      </c>
      <c r="B510" s="16" t="s">
        <v>224</v>
      </c>
      <c r="C510">
        <v>205700242.32884008</v>
      </c>
      <c r="D510">
        <v>172099740.55082247</v>
      </c>
      <c r="E510">
        <v>1823423.423423423</v>
      </c>
      <c r="F510">
        <v>86486.486486485999</v>
      </c>
      <c r="G510">
        <v>37</v>
      </c>
      <c r="H510">
        <v>29</v>
      </c>
      <c r="I510">
        <v>1</v>
      </c>
      <c r="J510">
        <v>1</v>
      </c>
      <c r="M510">
        <v>42</v>
      </c>
      <c r="N510">
        <v>36</v>
      </c>
      <c r="O510">
        <v>6935495.4954954954</v>
      </c>
      <c r="P510">
        <v>5311711.7117117113</v>
      </c>
      <c r="Q510">
        <v>15</v>
      </c>
      <c r="S510">
        <v>67885684.684684694</v>
      </c>
      <c r="T510">
        <v>56653927.927927926</v>
      </c>
      <c r="U510">
        <v>7183063.0630630618</v>
      </c>
      <c r="V510">
        <v>5984684.6846846836</v>
      </c>
      <c r="W510">
        <v>3402</v>
      </c>
      <c r="X510">
        <v>3654</v>
      </c>
    </row>
    <row r="511" spans="1:24">
      <c r="A511" s="7" t="s">
        <v>605</v>
      </c>
      <c r="B511" s="16" t="s">
        <v>224</v>
      </c>
      <c r="C511">
        <v>116859689.04228625</v>
      </c>
      <c r="D511">
        <v>113566219.99635661</v>
      </c>
      <c r="E511">
        <v>12612.612612613</v>
      </c>
      <c r="F511">
        <v>76576.576576576001</v>
      </c>
      <c r="G511">
        <v>32</v>
      </c>
      <c r="H511">
        <v>41</v>
      </c>
      <c r="I511">
        <v>1</v>
      </c>
      <c r="J511">
        <v>1</v>
      </c>
      <c r="M511">
        <v>35</v>
      </c>
      <c r="N511">
        <v>44</v>
      </c>
      <c r="O511">
        <v>8073873.8738738727</v>
      </c>
      <c r="P511">
        <v>6382882.8828828828</v>
      </c>
      <c r="Q511">
        <v>10</v>
      </c>
      <c r="R511">
        <v>3</v>
      </c>
      <c r="S511">
        <v>33520945.945945945</v>
      </c>
      <c r="T511">
        <v>34545711.711711712</v>
      </c>
      <c r="U511">
        <v>7823063.0630630627</v>
      </c>
      <c r="V511">
        <v>7012342.3423423432</v>
      </c>
      <c r="W511">
        <v>3436</v>
      </c>
      <c r="X511">
        <v>3017</v>
      </c>
    </row>
    <row r="512" spans="1:24">
      <c r="A512" s="7" t="s">
        <v>606</v>
      </c>
      <c r="B512" s="16" t="s">
        <v>241</v>
      </c>
      <c r="C512">
        <v>105860273.08980978</v>
      </c>
      <c r="D512">
        <v>99090336.230924889</v>
      </c>
      <c r="E512">
        <v>14414.414414415</v>
      </c>
      <c r="F512">
        <v>857657.65765765798</v>
      </c>
      <c r="G512">
        <v>50</v>
      </c>
      <c r="H512">
        <v>52</v>
      </c>
      <c r="I512">
        <v>2</v>
      </c>
      <c r="J512">
        <v>1</v>
      </c>
      <c r="M512">
        <v>53</v>
      </c>
      <c r="N512">
        <v>60</v>
      </c>
      <c r="O512">
        <v>8126486.4864864852</v>
      </c>
      <c r="P512">
        <v>12707207.207207205</v>
      </c>
      <c r="R512">
        <v>93</v>
      </c>
      <c r="S512">
        <v>30730261.261261258</v>
      </c>
      <c r="T512">
        <v>30138072.072072074</v>
      </c>
      <c r="U512">
        <v>8426486.4864864834</v>
      </c>
      <c r="V512">
        <v>11870990.990990989</v>
      </c>
      <c r="W512">
        <v>2298</v>
      </c>
      <c r="X512">
        <v>2356</v>
      </c>
    </row>
    <row r="513" spans="1:24">
      <c r="A513" s="7" t="s">
        <v>607</v>
      </c>
      <c r="B513" s="16" t="s">
        <v>140</v>
      </c>
      <c r="C513">
        <v>30268629.462996505</v>
      </c>
      <c r="D513">
        <v>29374048.981783375</v>
      </c>
      <c r="F513">
        <v>2702.7027027029999</v>
      </c>
      <c r="G513">
        <v>1</v>
      </c>
      <c r="H513">
        <v>4</v>
      </c>
      <c r="M513">
        <v>1</v>
      </c>
      <c r="N513">
        <v>4</v>
      </c>
      <c r="O513">
        <v>587387.38738738699</v>
      </c>
      <c r="P513">
        <v>678378.37837837799</v>
      </c>
      <c r="S513">
        <v>3498603.6036036038</v>
      </c>
      <c r="T513">
        <v>3504495.4954954949</v>
      </c>
      <c r="U513">
        <v>822972.97297297302</v>
      </c>
      <c r="V513">
        <v>687117.11711711704</v>
      </c>
      <c r="W513">
        <v>342</v>
      </c>
      <c r="X513">
        <v>335</v>
      </c>
    </row>
    <row r="514" spans="1:24">
      <c r="A514" s="7" t="s">
        <v>672</v>
      </c>
      <c r="B514" s="16" t="s">
        <v>189</v>
      </c>
      <c r="W514">
        <v>1</v>
      </c>
    </row>
    <row r="515" spans="1:24">
      <c r="A515" s="7" t="s">
        <v>608</v>
      </c>
      <c r="B515" s="16" t="s">
        <v>189</v>
      </c>
      <c r="C515">
        <v>119100525.56597188</v>
      </c>
      <c r="D515">
        <v>107463363.63849245</v>
      </c>
      <c r="E515">
        <v>512387.38738738699</v>
      </c>
      <c r="F515">
        <v>2162162.1621621619</v>
      </c>
      <c r="G515">
        <v>46</v>
      </c>
      <c r="H515">
        <v>60</v>
      </c>
      <c r="I515">
        <v>4</v>
      </c>
      <c r="J515">
        <v>2</v>
      </c>
      <c r="M515">
        <v>47</v>
      </c>
      <c r="N515">
        <v>66</v>
      </c>
      <c r="O515">
        <v>14856756.756756756</v>
      </c>
      <c r="P515">
        <v>14243243.243243244</v>
      </c>
      <c r="Q515">
        <v>54</v>
      </c>
      <c r="R515">
        <v>3</v>
      </c>
      <c r="S515">
        <v>24665360.360360362</v>
      </c>
      <c r="T515">
        <v>27479346.846846849</v>
      </c>
      <c r="U515">
        <v>10247207.207207208</v>
      </c>
      <c r="V515">
        <v>10654234.234234234</v>
      </c>
      <c r="W515">
        <v>1677</v>
      </c>
      <c r="X515">
        <v>1602</v>
      </c>
    </row>
    <row r="516" spans="1:24">
      <c r="A516" s="7" t="s">
        <v>609</v>
      </c>
      <c r="B516" s="16" t="s">
        <v>189</v>
      </c>
      <c r="C516">
        <v>295011668.27076662</v>
      </c>
      <c r="D516">
        <v>286540867.54735368</v>
      </c>
      <c r="E516">
        <v>51326409.009009011</v>
      </c>
      <c r="F516">
        <v>30903325.225225229</v>
      </c>
      <c r="G516">
        <v>122</v>
      </c>
      <c r="H516">
        <v>85</v>
      </c>
      <c r="I516">
        <v>6</v>
      </c>
      <c r="J516">
        <v>6</v>
      </c>
      <c r="M516">
        <v>134</v>
      </c>
      <c r="N516">
        <v>96</v>
      </c>
      <c r="O516">
        <v>36071171.171171166</v>
      </c>
      <c r="P516">
        <v>34070130.630630635</v>
      </c>
      <c r="Q516">
        <v>50</v>
      </c>
      <c r="R516">
        <v>54</v>
      </c>
      <c r="S516">
        <v>41213423.423423424</v>
      </c>
      <c r="T516">
        <v>42015612.612612613</v>
      </c>
      <c r="U516">
        <v>11071441.441441439</v>
      </c>
      <c r="V516">
        <v>10841531.53153153</v>
      </c>
      <c r="W516">
        <v>3990</v>
      </c>
      <c r="X516">
        <v>4096</v>
      </c>
    </row>
    <row r="517" spans="1:24">
      <c r="A517" s="7" t="s">
        <v>610</v>
      </c>
      <c r="B517" s="16" t="s">
        <v>189</v>
      </c>
      <c r="C517">
        <v>131569449.3888474</v>
      </c>
      <c r="D517">
        <v>123200594.84769581</v>
      </c>
      <c r="E517">
        <v>412837.83783783898</v>
      </c>
      <c r="F517">
        <v>798648.64864865004</v>
      </c>
      <c r="G517">
        <v>35</v>
      </c>
      <c r="H517">
        <v>20</v>
      </c>
      <c r="I517">
        <v>4</v>
      </c>
      <c r="J517">
        <v>3</v>
      </c>
      <c r="M517">
        <v>35</v>
      </c>
      <c r="N517">
        <v>24</v>
      </c>
      <c r="O517">
        <v>8100900.9009009004</v>
      </c>
      <c r="P517">
        <v>8205585.5855855849</v>
      </c>
      <c r="Q517">
        <v>41</v>
      </c>
      <c r="R517">
        <v>187</v>
      </c>
      <c r="S517">
        <v>15830045.045045044</v>
      </c>
      <c r="T517">
        <v>15120576.576576577</v>
      </c>
      <c r="U517">
        <v>6071891.8918918921</v>
      </c>
      <c r="V517">
        <v>6485675.6756756762</v>
      </c>
      <c r="W517">
        <v>1695</v>
      </c>
      <c r="X517">
        <v>1670</v>
      </c>
    </row>
    <row r="518" spans="1:24">
      <c r="A518" s="7" t="s">
        <v>611</v>
      </c>
      <c r="B518" s="16" t="s">
        <v>189</v>
      </c>
      <c r="C518">
        <v>40679376.609496377</v>
      </c>
      <c r="D518">
        <v>46548431.544691965</v>
      </c>
      <c r="E518">
        <v>10810.810810810999</v>
      </c>
      <c r="F518">
        <v>211261.261261262</v>
      </c>
      <c r="G518">
        <v>25</v>
      </c>
      <c r="H518">
        <v>22</v>
      </c>
      <c r="I518">
        <v>2</v>
      </c>
      <c r="J518">
        <v>2</v>
      </c>
      <c r="M518">
        <v>27</v>
      </c>
      <c r="N518">
        <v>26</v>
      </c>
      <c r="O518">
        <v>2768468.4684684691</v>
      </c>
      <c r="P518">
        <v>5946486.4864864871</v>
      </c>
      <c r="Q518">
        <v>17</v>
      </c>
      <c r="R518">
        <v>6</v>
      </c>
      <c r="S518">
        <v>6758828.8288288284</v>
      </c>
      <c r="T518">
        <v>8518036.0360360369</v>
      </c>
      <c r="U518">
        <v>1570630.630630631</v>
      </c>
      <c r="V518">
        <v>5443693.6936936928</v>
      </c>
      <c r="W518">
        <v>841</v>
      </c>
      <c r="X518">
        <v>546</v>
      </c>
    </row>
    <row r="519" spans="1:24">
      <c r="A519" s="7" t="s">
        <v>612</v>
      </c>
      <c r="B519" s="16" t="s">
        <v>143</v>
      </c>
      <c r="C519">
        <v>376334132.38165313</v>
      </c>
      <c r="D519">
        <v>357287777.1096105</v>
      </c>
      <c r="E519">
        <v>717886.48648648802</v>
      </c>
      <c r="F519">
        <v>3804088.2882882878</v>
      </c>
      <c r="G519">
        <v>251</v>
      </c>
      <c r="H519">
        <v>134</v>
      </c>
      <c r="I519">
        <v>19</v>
      </c>
      <c r="J519">
        <v>14</v>
      </c>
      <c r="M519">
        <v>286</v>
      </c>
      <c r="N519">
        <v>542</v>
      </c>
      <c r="O519">
        <v>36585765.765765756</v>
      </c>
      <c r="P519">
        <v>33903603.603603601</v>
      </c>
      <c r="Q519">
        <v>217</v>
      </c>
      <c r="R519">
        <v>189</v>
      </c>
      <c r="S519">
        <v>44321538.738738738</v>
      </c>
      <c r="T519">
        <v>46917698.198198199</v>
      </c>
      <c r="U519">
        <v>37851261.261261262</v>
      </c>
      <c r="V519">
        <v>35547430.630630627</v>
      </c>
      <c r="W519">
        <v>6840</v>
      </c>
      <c r="X519">
        <v>7027</v>
      </c>
    </row>
    <row r="520" spans="1:24">
      <c r="A520" s="7" t="s">
        <v>613</v>
      </c>
      <c r="B520" s="16" t="s">
        <v>189</v>
      </c>
      <c r="C520">
        <v>434237753.22661752</v>
      </c>
      <c r="D520">
        <v>412588455.80380857</v>
      </c>
      <c r="E520">
        <v>615990.99099099298</v>
      </c>
      <c r="F520">
        <v>2056756.7567567569</v>
      </c>
      <c r="G520">
        <v>165</v>
      </c>
      <c r="H520">
        <v>146</v>
      </c>
      <c r="I520">
        <v>13</v>
      </c>
      <c r="J520">
        <v>11</v>
      </c>
      <c r="K520">
        <v>2</v>
      </c>
      <c r="M520">
        <v>188</v>
      </c>
      <c r="N520">
        <v>202</v>
      </c>
      <c r="O520">
        <v>10214414.414414413</v>
      </c>
      <c r="P520">
        <v>15349009.009009007</v>
      </c>
      <c r="Q520">
        <v>122</v>
      </c>
      <c r="R520">
        <v>463</v>
      </c>
      <c r="S520">
        <v>39185138.738738738</v>
      </c>
      <c r="T520">
        <v>40633590.990990989</v>
      </c>
      <c r="U520">
        <v>9173553.1531531494</v>
      </c>
      <c r="V520">
        <v>14053466.666666668</v>
      </c>
      <c r="W520">
        <v>7732</v>
      </c>
      <c r="X520">
        <v>7884</v>
      </c>
    </row>
    <row r="521" spans="1:24">
      <c r="A521" s="7" t="s">
        <v>614</v>
      </c>
      <c r="B521" s="16" t="s">
        <v>54</v>
      </c>
      <c r="C521">
        <v>308740204.50850272</v>
      </c>
      <c r="D521">
        <v>294577017.8492626</v>
      </c>
      <c r="E521">
        <v>4127927.9279279308</v>
      </c>
      <c r="F521">
        <v>6202702.7027027057</v>
      </c>
      <c r="G521">
        <v>88</v>
      </c>
      <c r="H521">
        <v>93</v>
      </c>
      <c r="I521">
        <v>12</v>
      </c>
      <c r="J521">
        <v>15</v>
      </c>
      <c r="M521">
        <v>102</v>
      </c>
      <c r="N521">
        <v>212</v>
      </c>
      <c r="O521">
        <v>47411261.261261262</v>
      </c>
      <c r="P521">
        <v>49245045.045045041</v>
      </c>
      <c r="Q521">
        <v>193</v>
      </c>
      <c r="R521">
        <v>163</v>
      </c>
      <c r="S521">
        <v>90056441.441441447</v>
      </c>
      <c r="T521">
        <v>93674963.963963971</v>
      </c>
      <c r="U521">
        <v>50686126.126126125</v>
      </c>
      <c r="V521">
        <v>46941891.891891889</v>
      </c>
      <c r="W521">
        <v>6559</v>
      </c>
      <c r="X521">
        <v>6806</v>
      </c>
    </row>
    <row r="522" spans="1:24">
      <c r="A522" s="7" t="s">
        <v>615</v>
      </c>
      <c r="B522" s="16" t="s">
        <v>54</v>
      </c>
      <c r="C522">
        <v>161651409.62123191</v>
      </c>
      <c r="D522">
        <v>159863376.05670199</v>
      </c>
      <c r="E522">
        <v>103378.378378379</v>
      </c>
      <c r="F522">
        <v>814414.41441441595</v>
      </c>
      <c r="G522">
        <v>14</v>
      </c>
      <c r="H522">
        <v>18</v>
      </c>
      <c r="I522">
        <v>1</v>
      </c>
      <c r="J522">
        <v>5</v>
      </c>
      <c r="M522">
        <v>15</v>
      </c>
      <c r="N522">
        <v>22</v>
      </c>
      <c r="O522">
        <v>9051351.3513513505</v>
      </c>
      <c r="P522">
        <v>7776576.5765765766</v>
      </c>
      <c r="Q522">
        <v>48</v>
      </c>
      <c r="R522">
        <v>49</v>
      </c>
      <c r="S522">
        <v>26147108.108108107</v>
      </c>
      <c r="T522">
        <v>26624342.342342343</v>
      </c>
      <c r="U522">
        <v>7861981.9819819806</v>
      </c>
      <c r="V522">
        <v>6841801.8018018017</v>
      </c>
      <c r="W522">
        <v>2844</v>
      </c>
      <c r="X522">
        <v>2792</v>
      </c>
    </row>
    <row r="523" spans="1:24">
      <c r="A523" s="7" t="s">
        <v>616</v>
      </c>
      <c r="B523" s="16" t="s">
        <v>60</v>
      </c>
      <c r="C523">
        <v>250078834.06143802</v>
      </c>
      <c r="D523">
        <v>239613961.06230927</v>
      </c>
      <c r="E523">
        <v>704504.50450450694</v>
      </c>
      <c r="F523">
        <v>4112162.162162161</v>
      </c>
      <c r="G523">
        <v>49</v>
      </c>
      <c r="H523">
        <v>91</v>
      </c>
      <c r="I523">
        <v>10</v>
      </c>
      <c r="J523">
        <v>24</v>
      </c>
      <c r="M523">
        <v>57</v>
      </c>
      <c r="N523">
        <v>134</v>
      </c>
      <c r="O523">
        <v>35572072.072072074</v>
      </c>
      <c r="P523">
        <v>38172522.522522531</v>
      </c>
      <c r="Q523">
        <v>196</v>
      </c>
      <c r="R523">
        <v>116</v>
      </c>
      <c r="S523">
        <v>77368198.198198199</v>
      </c>
      <c r="T523">
        <v>78664630.630630627</v>
      </c>
      <c r="U523">
        <v>34298648.648648649</v>
      </c>
      <c r="V523">
        <v>37094414.414414413</v>
      </c>
      <c r="W523">
        <v>4333</v>
      </c>
      <c r="X523">
        <v>3852</v>
      </c>
    </row>
    <row r="524" spans="1:24">
      <c r="A524" s="7" t="s">
        <v>617</v>
      </c>
      <c r="B524" s="16" t="s">
        <v>60</v>
      </c>
      <c r="C524">
        <v>273858373.52719647</v>
      </c>
      <c r="D524">
        <v>265022839.38657427</v>
      </c>
      <c r="E524">
        <v>875225.225225228</v>
      </c>
      <c r="F524">
        <v>2039639.639639643</v>
      </c>
      <c r="G524">
        <v>55</v>
      </c>
      <c r="H524">
        <v>63</v>
      </c>
      <c r="I524">
        <v>7</v>
      </c>
      <c r="J524">
        <v>8</v>
      </c>
      <c r="K524">
        <v>2</v>
      </c>
      <c r="M524">
        <v>60</v>
      </c>
      <c r="N524">
        <v>72</v>
      </c>
      <c r="O524">
        <v>29373873.873873871</v>
      </c>
      <c r="P524">
        <v>33502702.702702705</v>
      </c>
      <c r="Q524">
        <v>129</v>
      </c>
      <c r="R524">
        <v>120</v>
      </c>
      <c r="S524">
        <v>140881036.03603604</v>
      </c>
      <c r="T524">
        <v>137467572.07207206</v>
      </c>
      <c r="U524">
        <v>32132882.882882878</v>
      </c>
      <c r="V524">
        <v>34860180.180180177</v>
      </c>
      <c r="W524">
        <v>5360</v>
      </c>
      <c r="X524">
        <v>5544</v>
      </c>
    </row>
    <row r="525" spans="1:24">
      <c r="A525" s="7" t="s">
        <v>618</v>
      </c>
      <c r="B525" s="16" t="s">
        <v>60</v>
      </c>
      <c r="C525">
        <v>348348936.74292225</v>
      </c>
      <c r="D525">
        <v>335286357.84970856</v>
      </c>
      <c r="E525">
        <v>2649099.0990991001</v>
      </c>
      <c r="F525">
        <v>5009684.6846846873</v>
      </c>
      <c r="G525">
        <v>85</v>
      </c>
      <c r="H525">
        <v>53</v>
      </c>
      <c r="I525">
        <v>7</v>
      </c>
      <c r="J525">
        <v>11</v>
      </c>
      <c r="M525">
        <v>99</v>
      </c>
      <c r="N525">
        <v>65</v>
      </c>
      <c r="O525">
        <v>22783333.333333328</v>
      </c>
      <c r="P525">
        <v>48796396.396396399</v>
      </c>
      <c r="Q525">
        <v>139</v>
      </c>
      <c r="R525">
        <v>121</v>
      </c>
      <c r="S525">
        <v>110035792.79279278</v>
      </c>
      <c r="T525">
        <v>111097248.1981982</v>
      </c>
      <c r="U525">
        <v>22298828.828828823</v>
      </c>
      <c r="V525">
        <v>48452432.432432435</v>
      </c>
      <c r="W525">
        <v>5573</v>
      </c>
      <c r="X525">
        <v>5778</v>
      </c>
    </row>
    <row r="526" spans="1:24">
      <c r="A526" s="7" t="s">
        <v>619</v>
      </c>
      <c r="B526" s="16" t="s">
        <v>620</v>
      </c>
      <c r="C526">
        <v>391800813.32174021</v>
      </c>
      <c r="D526">
        <v>396339799.2034542</v>
      </c>
      <c r="E526">
        <v>103444316.21621622</v>
      </c>
      <c r="F526">
        <v>7004054.0540540572</v>
      </c>
      <c r="G526">
        <v>149</v>
      </c>
      <c r="H526">
        <v>255</v>
      </c>
      <c r="I526">
        <v>13</v>
      </c>
      <c r="J526">
        <v>15</v>
      </c>
      <c r="K526">
        <v>16</v>
      </c>
      <c r="M526">
        <v>176</v>
      </c>
      <c r="N526">
        <v>437</v>
      </c>
      <c r="O526">
        <v>38833063.063063063</v>
      </c>
      <c r="P526">
        <v>23455405.405405402</v>
      </c>
      <c r="Q526">
        <v>400</v>
      </c>
      <c r="R526">
        <v>66</v>
      </c>
      <c r="S526">
        <v>51514054.054054059</v>
      </c>
      <c r="T526">
        <v>47831288.288288288</v>
      </c>
      <c r="U526">
        <v>40478288.288288288</v>
      </c>
      <c r="V526">
        <v>28439279.27927928</v>
      </c>
      <c r="W526">
        <v>7270</v>
      </c>
      <c r="X526">
        <v>7646</v>
      </c>
    </row>
    <row r="527" spans="1:24">
      <c r="A527" s="7" t="s">
        <v>621</v>
      </c>
      <c r="B527" s="16" t="s">
        <v>620</v>
      </c>
      <c r="C527">
        <v>312553153.89167565</v>
      </c>
      <c r="D527">
        <v>289675517.33066994</v>
      </c>
      <c r="E527">
        <v>1409689.1891891891</v>
      </c>
      <c r="F527">
        <v>79034954.054054052</v>
      </c>
      <c r="G527">
        <v>145</v>
      </c>
      <c r="H527">
        <v>105</v>
      </c>
      <c r="I527">
        <v>8</v>
      </c>
      <c r="J527">
        <v>12</v>
      </c>
      <c r="K527">
        <v>2</v>
      </c>
      <c r="M527">
        <v>165</v>
      </c>
      <c r="N527">
        <v>126</v>
      </c>
      <c r="O527">
        <v>31393373.873873875</v>
      </c>
      <c r="P527">
        <v>42818845.945945941</v>
      </c>
      <c r="Q527">
        <v>89</v>
      </c>
      <c r="R527">
        <v>29</v>
      </c>
      <c r="S527">
        <v>46069779.279279277</v>
      </c>
      <c r="T527">
        <v>46493095.495495498</v>
      </c>
      <c r="U527">
        <v>27960540.540540542</v>
      </c>
      <c r="V527">
        <v>22660630.630630631</v>
      </c>
      <c r="W527">
        <v>6167</v>
      </c>
      <c r="X527">
        <v>5842</v>
      </c>
    </row>
    <row r="528" spans="1:24">
      <c r="A528" s="7" t="s">
        <v>622</v>
      </c>
      <c r="B528" s="16" t="s">
        <v>620</v>
      </c>
      <c r="C528">
        <v>332529794.70619625</v>
      </c>
      <c r="D528">
        <v>303365769.3336435</v>
      </c>
      <c r="E528">
        <v>1115315.3153153169</v>
      </c>
      <c r="F528">
        <v>1675225.225225227</v>
      </c>
      <c r="G528">
        <v>169</v>
      </c>
      <c r="H528">
        <v>131</v>
      </c>
      <c r="I528">
        <v>7</v>
      </c>
      <c r="J528">
        <v>8</v>
      </c>
      <c r="K528">
        <v>2</v>
      </c>
      <c r="M528">
        <v>191</v>
      </c>
      <c r="N528">
        <v>155</v>
      </c>
      <c r="O528">
        <v>34743873.873873875</v>
      </c>
      <c r="P528">
        <v>21736486.486486483</v>
      </c>
      <c r="Q528">
        <v>423</v>
      </c>
      <c r="R528">
        <v>52</v>
      </c>
      <c r="S528">
        <v>45326873.873873875</v>
      </c>
      <c r="T528">
        <v>47020966.666666672</v>
      </c>
      <c r="U528">
        <v>30504140.540540542</v>
      </c>
      <c r="V528">
        <v>17870270.270270269</v>
      </c>
      <c r="W528">
        <v>6093</v>
      </c>
      <c r="X528">
        <v>5797</v>
      </c>
    </row>
    <row r="529" spans="1:24">
      <c r="A529" s="7" t="s">
        <v>623</v>
      </c>
      <c r="B529" s="16" t="s">
        <v>620</v>
      </c>
      <c r="C529">
        <v>236511156.18329689</v>
      </c>
      <c r="D529">
        <v>222720981.62797326</v>
      </c>
      <c r="E529">
        <v>21383108.108108107</v>
      </c>
      <c r="F529">
        <v>773873.87387387396</v>
      </c>
      <c r="G529">
        <v>135</v>
      </c>
      <c r="H529">
        <v>54</v>
      </c>
      <c r="I529">
        <v>6</v>
      </c>
      <c r="J529">
        <v>5</v>
      </c>
      <c r="K529">
        <v>2</v>
      </c>
      <c r="M529">
        <v>145</v>
      </c>
      <c r="N529">
        <v>72</v>
      </c>
      <c r="O529">
        <v>20038738.738738742</v>
      </c>
      <c r="P529">
        <v>19081531.531531531</v>
      </c>
      <c r="Q529">
        <v>59</v>
      </c>
      <c r="R529">
        <v>15</v>
      </c>
      <c r="S529">
        <v>30394495.495495494</v>
      </c>
      <c r="T529">
        <v>28850058.558558561</v>
      </c>
      <c r="U529">
        <v>20194594.594594598</v>
      </c>
      <c r="V529">
        <v>17790090.090090089</v>
      </c>
      <c r="W529">
        <v>3726</v>
      </c>
      <c r="X529">
        <v>3643</v>
      </c>
    </row>
    <row r="530" spans="1:24">
      <c r="A530" s="7" t="s">
        <v>624</v>
      </c>
      <c r="B530" s="16" t="s">
        <v>260</v>
      </c>
      <c r="C530">
        <v>130207094.1807645</v>
      </c>
      <c r="D530">
        <v>117128840.19683118</v>
      </c>
      <c r="E530">
        <v>18918.918918919</v>
      </c>
      <c r="F530">
        <v>388288.28828828898</v>
      </c>
      <c r="G530">
        <v>15</v>
      </c>
      <c r="H530">
        <v>17</v>
      </c>
      <c r="I530">
        <v>5</v>
      </c>
      <c r="J530">
        <v>2</v>
      </c>
      <c r="M530">
        <v>16</v>
      </c>
      <c r="N530">
        <v>17</v>
      </c>
      <c r="O530">
        <v>16460360.36036036</v>
      </c>
      <c r="P530">
        <v>11354054.054054054</v>
      </c>
      <c r="Q530">
        <v>20</v>
      </c>
      <c r="R530">
        <v>6</v>
      </c>
      <c r="S530">
        <v>45465027.027027026</v>
      </c>
      <c r="T530">
        <v>38520270.270270273</v>
      </c>
      <c r="U530">
        <v>14685135.135135137</v>
      </c>
      <c r="V530">
        <v>11330990.990990993</v>
      </c>
      <c r="W530">
        <v>2108</v>
      </c>
      <c r="X530">
        <v>1984</v>
      </c>
    </row>
    <row r="531" spans="1:24">
      <c r="A531" s="7" t="s">
        <v>625</v>
      </c>
      <c r="B531" s="16" t="s">
        <v>52</v>
      </c>
      <c r="C531">
        <v>186909037.67058861</v>
      </c>
      <c r="D531">
        <v>182895641.10424623</v>
      </c>
      <c r="E531">
        <v>547927.92792792805</v>
      </c>
      <c r="F531">
        <v>561261.26126126305</v>
      </c>
      <c r="G531">
        <v>87</v>
      </c>
      <c r="H531">
        <v>69</v>
      </c>
      <c r="I531">
        <v>3</v>
      </c>
      <c r="J531">
        <v>7</v>
      </c>
      <c r="M531">
        <v>106</v>
      </c>
      <c r="N531">
        <v>155</v>
      </c>
      <c r="O531">
        <v>6150630.630630631</v>
      </c>
      <c r="P531">
        <v>5390090.0900900923</v>
      </c>
      <c r="Q531">
        <v>142</v>
      </c>
      <c r="R531">
        <v>26</v>
      </c>
      <c r="S531">
        <v>65456567.567567565</v>
      </c>
      <c r="T531">
        <v>65915900.9009009</v>
      </c>
      <c r="U531">
        <v>7140540.5405405387</v>
      </c>
      <c r="V531">
        <v>4631621.6216216227</v>
      </c>
      <c r="W531">
        <v>4958</v>
      </c>
      <c r="X531">
        <v>4353</v>
      </c>
    </row>
    <row r="532" spans="1:24">
      <c r="A532" s="7" t="s">
        <v>626</v>
      </c>
      <c r="B532" s="16" t="s">
        <v>96</v>
      </c>
      <c r="C532">
        <v>472492511.40637779</v>
      </c>
      <c r="D532">
        <v>464968901.55382049</v>
      </c>
      <c r="E532">
        <v>4709369.3693693718</v>
      </c>
      <c r="F532">
        <v>8110810.8108108118</v>
      </c>
      <c r="G532">
        <v>274</v>
      </c>
      <c r="H532">
        <v>209</v>
      </c>
      <c r="I532">
        <v>10</v>
      </c>
      <c r="J532">
        <v>10</v>
      </c>
      <c r="K532">
        <v>1</v>
      </c>
      <c r="M532">
        <v>317</v>
      </c>
      <c r="N532">
        <v>256</v>
      </c>
      <c r="O532">
        <v>71047837.837837845</v>
      </c>
      <c r="P532">
        <v>92093693.693693697</v>
      </c>
      <c r="Q532">
        <v>159</v>
      </c>
      <c r="R532">
        <v>350</v>
      </c>
      <c r="S532">
        <v>149994459.45945945</v>
      </c>
      <c r="T532">
        <v>151522482.43243241</v>
      </c>
      <c r="U532">
        <v>76042342.342342332</v>
      </c>
      <c r="V532">
        <v>85085045.045045033</v>
      </c>
      <c r="W532">
        <v>10531</v>
      </c>
      <c r="X532">
        <v>10442</v>
      </c>
    </row>
    <row r="533" spans="1:24">
      <c r="A533" s="7" t="s">
        <v>627</v>
      </c>
      <c r="B533" s="16" t="s">
        <v>96</v>
      </c>
      <c r="C533">
        <v>828992971.19842732</v>
      </c>
      <c r="D533">
        <v>770627002.50933409</v>
      </c>
      <c r="E533">
        <v>3172162.1621621628</v>
      </c>
      <c r="F533">
        <v>4780405.4054054068</v>
      </c>
      <c r="G533">
        <v>276</v>
      </c>
      <c r="H533">
        <v>198</v>
      </c>
      <c r="I533">
        <v>11</v>
      </c>
      <c r="J533">
        <v>7</v>
      </c>
      <c r="K533">
        <v>1</v>
      </c>
      <c r="M533">
        <v>328</v>
      </c>
      <c r="N533">
        <v>280</v>
      </c>
      <c r="O533">
        <v>195352432.43243244</v>
      </c>
      <c r="P533">
        <v>187922972.97297296</v>
      </c>
      <c r="Q533">
        <v>143</v>
      </c>
      <c r="R533">
        <v>226</v>
      </c>
      <c r="S533">
        <v>327635414.41441441</v>
      </c>
      <c r="T533">
        <v>312233394.14414412</v>
      </c>
      <c r="U533">
        <v>206557207.2072072</v>
      </c>
      <c r="V533">
        <v>165382702.7027027</v>
      </c>
      <c r="W533">
        <v>13781</v>
      </c>
      <c r="X533">
        <v>13927</v>
      </c>
    </row>
    <row r="534" spans="1:24">
      <c r="A534" s="7" t="s">
        <v>628</v>
      </c>
      <c r="B534" s="16" t="s">
        <v>448</v>
      </c>
      <c r="C534">
        <v>583427984.31909537</v>
      </c>
      <c r="D534">
        <v>561236742.90030539</v>
      </c>
      <c r="E534">
        <v>164083445.04504505</v>
      </c>
      <c r="F534">
        <v>168735214.41441444</v>
      </c>
      <c r="G534">
        <v>273</v>
      </c>
      <c r="H534">
        <v>200</v>
      </c>
      <c r="I534">
        <v>19</v>
      </c>
      <c r="J534">
        <v>20</v>
      </c>
      <c r="K534">
        <v>3</v>
      </c>
      <c r="M534">
        <v>300</v>
      </c>
      <c r="N534">
        <v>254</v>
      </c>
      <c r="O534">
        <v>244942612.61261261</v>
      </c>
      <c r="P534">
        <v>189683648.64864865</v>
      </c>
      <c r="Q534">
        <v>556</v>
      </c>
      <c r="R534">
        <v>1799</v>
      </c>
      <c r="S534">
        <v>170917783.78378376</v>
      </c>
      <c r="T534">
        <v>167194061.26126125</v>
      </c>
      <c r="U534">
        <v>227913963.96396396</v>
      </c>
      <c r="V534">
        <v>189684279.27927926</v>
      </c>
      <c r="W534">
        <v>11596</v>
      </c>
      <c r="X534">
        <v>11425</v>
      </c>
    </row>
    <row r="535" spans="1:24">
      <c r="A535" s="7" t="s">
        <v>629</v>
      </c>
      <c r="B535" s="16" t="s">
        <v>78</v>
      </c>
      <c r="C535">
        <v>26483870.687399197</v>
      </c>
      <c r="D535">
        <v>25285515.212990344</v>
      </c>
      <c r="E535">
        <v>186486.48648648601</v>
      </c>
      <c r="F535">
        <v>529729.72972972901</v>
      </c>
      <c r="G535">
        <v>2</v>
      </c>
      <c r="H535">
        <v>3</v>
      </c>
      <c r="I535">
        <v>0</v>
      </c>
      <c r="K535">
        <v>1</v>
      </c>
      <c r="M535">
        <v>2</v>
      </c>
      <c r="N535">
        <v>4</v>
      </c>
      <c r="O535">
        <v>790090.09009008994</v>
      </c>
      <c r="P535">
        <v>2754954.9549549539</v>
      </c>
      <c r="Q535">
        <v>12</v>
      </c>
      <c r="R535">
        <v>12</v>
      </c>
      <c r="S535">
        <v>7030360.3603603598</v>
      </c>
      <c r="T535">
        <v>6979081.0810810812</v>
      </c>
      <c r="U535">
        <v>869099.09909909905</v>
      </c>
      <c r="V535">
        <v>2367747.7477477482</v>
      </c>
      <c r="W535">
        <v>422</v>
      </c>
      <c r="X535">
        <v>371</v>
      </c>
    </row>
    <row r="536" spans="1:24">
      <c r="A536" s="7" t="s">
        <v>630</v>
      </c>
      <c r="B536" s="16" t="s">
        <v>241</v>
      </c>
      <c r="C536">
        <v>152481881.13744786</v>
      </c>
      <c r="D536">
        <v>148052922.62614259</v>
      </c>
      <c r="E536">
        <v>75855.855855856003</v>
      </c>
      <c r="F536">
        <v>1089864.8648648651</v>
      </c>
      <c r="G536">
        <v>115</v>
      </c>
      <c r="H536">
        <v>61</v>
      </c>
      <c r="I536">
        <v>7</v>
      </c>
      <c r="J536">
        <v>4</v>
      </c>
      <c r="K536">
        <v>1</v>
      </c>
      <c r="M536">
        <v>130</v>
      </c>
      <c r="N536">
        <v>70</v>
      </c>
      <c r="O536">
        <v>30947117.117117114</v>
      </c>
      <c r="P536">
        <v>23083603.603603605</v>
      </c>
      <c r="Q536">
        <v>242</v>
      </c>
      <c r="R536">
        <v>63</v>
      </c>
      <c r="S536">
        <v>36464549.54954955</v>
      </c>
      <c r="T536">
        <v>34028072.072072074</v>
      </c>
      <c r="U536">
        <v>32061531.531531528</v>
      </c>
      <c r="V536">
        <v>22539819.819819819</v>
      </c>
      <c r="W536">
        <v>2613</v>
      </c>
      <c r="X536">
        <v>2532</v>
      </c>
    </row>
    <row r="537" spans="1:24">
      <c r="A537" s="7" t="s">
        <v>631</v>
      </c>
      <c r="B537" s="16" t="s">
        <v>68</v>
      </c>
      <c r="C537">
        <v>682111632.68801129</v>
      </c>
      <c r="D537">
        <v>639673308.665681</v>
      </c>
      <c r="E537">
        <v>120532441.44144145</v>
      </c>
      <c r="F537">
        <v>113730690.0900901</v>
      </c>
      <c r="G537">
        <v>327</v>
      </c>
      <c r="H537">
        <v>242</v>
      </c>
      <c r="I537">
        <v>20</v>
      </c>
      <c r="J537">
        <v>16</v>
      </c>
      <c r="M537">
        <v>346</v>
      </c>
      <c r="N537">
        <v>493</v>
      </c>
      <c r="O537">
        <v>69265045.045045048</v>
      </c>
      <c r="P537">
        <v>62583783.783783786</v>
      </c>
      <c r="Q537">
        <v>400</v>
      </c>
      <c r="R537">
        <v>329</v>
      </c>
      <c r="S537">
        <v>115036432.43243243</v>
      </c>
      <c r="T537">
        <v>109349404.50450452</v>
      </c>
      <c r="U537">
        <v>52816396.396396399</v>
      </c>
      <c r="V537">
        <v>49776396.396396399</v>
      </c>
      <c r="W537">
        <v>9013</v>
      </c>
      <c r="X537">
        <v>8978</v>
      </c>
    </row>
    <row r="538" spans="1:24">
      <c r="A538" s="7" t="s">
        <v>632</v>
      </c>
      <c r="B538" s="16" t="s">
        <v>70</v>
      </c>
      <c r="C538">
        <v>4718100.8070683256</v>
      </c>
      <c r="D538">
        <v>4671266.6621737527</v>
      </c>
      <c r="E538">
        <v>266216.21621621598</v>
      </c>
      <c r="F538">
        <v>54054.054054054002</v>
      </c>
      <c r="G538">
        <v>7</v>
      </c>
      <c r="H538">
        <v>2</v>
      </c>
      <c r="J538">
        <v>1</v>
      </c>
      <c r="M538">
        <v>7</v>
      </c>
      <c r="N538">
        <v>2</v>
      </c>
      <c r="O538">
        <v>279279.279279279</v>
      </c>
      <c r="P538">
        <v>54054.054054054002</v>
      </c>
      <c r="R538">
        <v>18</v>
      </c>
      <c r="S538">
        <v>3200990.9909909908</v>
      </c>
      <c r="T538">
        <v>2772972.9729729728</v>
      </c>
      <c r="U538">
        <v>252162.16216216201</v>
      </c>
      <c r="V538">
        <v>164864.864864865</v>
      </c>
      <c r="W538">
        <v>194</v>
      </c>
      <c r="X538">
        <v>197</v>
      </c>
    </row>
    <row r="539" spans="1:24">
      <c r="A539" s="7" t="s">
        <v>633</v>
      </c>
      <c r="B539" s="16" t="s">
        <v>60</v>
      </c>
      <c r="C539">
        <v>49105829.950239077</v>
      </c>
      <c r="D539">
        <v>49013638.109789863</v>
      </c>
      <c r="E539">
        <v>142342.34234234301</v>
      </c>
      <c r="F539">
        <v>151351.351351352</v>
      </c>
      <c r="G539">
        <v>10</v>
      </c>
      <c r="H539">
        <v>13</v>
      </c>
      <c r="I539">
        <v>3</v>
      </c>
      <c r="J539">
        <v>2</v>
      </c>
      <c r="M539">
        <v>10</v>
      </c>
      <c r="N539">
        <v>16</v>
      </c>
      <c r="O539">
        <v>2169369.369369369</v>
      </c>
      <c r="P539">
        <v>1953153.1531531529</v>
      </c>
      <c r="Q539">
        <v>33</v>
      </c>
      <c r="R539">
        <v>21</v>
      </c>
      <c r="S539">
        <v>18764369.369369369</v>
      </c>
      <c r="T539">
        <v>21040099.0990991</v>
      </c>
      <c r="U539">
        <v>1472522.5225225219</v>
      </c>
      <c r="V539">
        <v>256306.30630630601</v>
      </c>
      <c r="W539">
        <v>1008</v>
      </c>
      <c r="X539">
        <v>1031</v>
      </c>
    </row>
    <row r="540" spans="1:24">
      <c r="A540" s="7" t="s">
        <v>634</v>
      </c>
      <c r="B540" s="16" t="s">
        <v>80</v>
      </c>
      <c r="C540">
        <v>521868039.62331462</v>
      </c>
      <c r="D540">
        <v>498908174.93035167</v>
      </c>
      <c r="E540">
        <v>104578378.37837839</v>
      </c>
      <c r="F540">
        <v>119913243.24324325</v>
      </c>
      <c r="G540">
        <v>174</v>
      </c>
      <c r="H540">
        <v>72</v>
      </c>
      <c r="I540">
        <v>5</v>
      </c>
      <c r="J540">
        <v>4</v>
      </c>
      <c r="M540">
        <v>193</v>
      </c>
      <c r="N540">
        <v>83</v>
      </c>
      <c r="O540">
        <v>65239549.54954955</v>
      </c>
      <c r="P540">
        <v>57486036.036036029</v>
      </c>
      <c r="Q540">
        <v>13</v>
      </c>
      <c r="R540">
        <v>28</v>
      </c>
      <c r="S540">
        <v>93179585.585585579</v>
      </c>
      <c r="T540">
        <v>99884662.162162155</v>
      </c>
      <c r="U540">
        <v>63140990.990990989</v>
      </c>
      <c r="V540">
        <v>52520540.540540539</v>
      </c>
      <c r="W540">
        <v>6322</v>
      </c>
      <c r="X540">
        <v>6317</v>
      </c>
    </row>
    <row r="541" spans="1:24">
      <c r="A541" s="7" t="s">
        <v>635</v>
      </c>
      <c r="B541" s="16" t="s">
        <v>134</v>
      </c>
      <c r="C541">
        <v>86837132.786253914</v>
      </c>
      <c r="D541">
        <v>90808020.371475652</v>
      </c>
      <c r="E541">
        <v>4504.5045045050001</v>
      </c>
      <c r="F541">
        <v>874774.77477477503</v>
      </c>
      <c r="G541">
        <v>11</v>
      </c>
      <c r="H541">
        <v>19</v>
      </c>
      <c r="I541">
        <v>2</v>
      </c>
      <c r="J541">
        <v>1</v>
      </c>
      <c r="M541">
        <v>11</v>
      </c>
      <c r="N541">
        <v>19</v>
      </c>
      <c r="O541">
        <v>905405.40540540498</v>
      </c>
      <c r="P541">
        <v>10933333.333333332</v>
      </c>
      <c r="R541">
        <v>140</v>
      </c>
      <c r="S541">
        <v>4010765.7657657661</v>
      </c>
      <c r="T541">
        <v>5116072.072072072</v>
      </c>
      <c r="U541">
        <v>1275855.8558558561</v>
      </c>
      <c r="V541">
        <v>10158288.288288288</v>
      </c>
      <c r="W541">
        <v>1351</v>
      </c>
      <c r="X541">
        <v>1502</v>
      </c>
    </row>
    <row r="542" spans="1:24">
      <c r="A542" s="7" t="s">
        <v>636</v>
      </c>
      <c r="B542" s="16" t="s">
        <v>479</v>
      </c>
      <c r="C542">
        <v>294210972.69527984</v>
      </c>
      <c r="D542">
        <v>273283809.53879791</v>
      </c>
      <c r="E542">
        <v>143068902.7027027</v>
      </c>
      <c r="F542">
        <v>157516289.1891892</v>
      </c>
      <c r="G542">
        <v>55</v>
      </c>
      <c r="H542">
        <v>69</v>
      </c>
      <c r="I542">
        <v>4</v>
      </c>
      <c r="J542">
        <v>7</v>
      </c>
      <c r="M542">
        <v>57</v>
      </c>
      <c r="N542">
        <v>94</v>
      </c>
      <c r="O542">
        <v>56479666.666666664</v>
      </c>
      <c r="P542">
        <v>73873454.054054052</v>
      </c>
      <c r="Q542">
        <v>29</v>
      </c>
      <c r="R542">
        <v>192</v>
      </c>
      <c r="S542">
        <v>103098914.41441442</v>
      </c>
      <c r="T542">
        <v>97422396.396396399</v>
      </c>
      <c r="U542">
        <v>49602792.79279279</v>
      </c>
      <c r="V542">
        <v>70268603.603603601</v>
      </c>
      <c r="W542">
        <v>5770</v>
      </c>
      <c r="X542">
        <v>5896</v>
      </c>
    </row>
    <row r="543" spans="1:24">
      <c r="A543" s="7" t="s">
        <v>637</v>
      </c>
      <c r="B543" s="16" t="s">
        <v>143</v>
      </c>
      <c r="C543">
        <v>465466753.69334877</v>
      </c>
      <c r="D543">
        <v>464639058.89622265</v>
      </c>
      <c r="E543">
        <v>2929054.0540540582</v>
      </c>
      <c r="F543">
        <v>4028828.828828827</v>
      </c>
      <c r="G543">
        <v>140</v>
      </c>
      <c r="H543">
        <v>94</v>
      </c>
      <c r="I543">
        <v>30</v>
      </c>
      <c r="J543">
        <v>19</v>
      </c>
      <c r="K543">
        <v>1</v>
      </c>
      <c r="M543">
        <v>170</v>
      </c>
      <c r="N543">
        <v>144</v>
      </c>
      <c r="O543">
        <v>54292072.072072074</v>
      </c>
      <c r="P543">
        <v>30384234.234234232</v>
      </c>
      <c r="Q543">
        <v>297</v>
      </c>
      <c r="R543">
        <v>291</v>
      </c>
      <c r="S543">
        <v>49286117.117117122</v>
      </c>
      <c r="T543">
        <v>58652304.054054059</v>
      </c>
      <c r="U543">
        <v>38285765.765765771</v>
      </c>
      <c r="V543">
        <v>25253873.873873871</v>
      </c>
      <c r="W543">
        <v>9409</v>
      </c>
      <c r="X543">
        <v>9833</v>
      </c>
    </row>
    <row r="544" spans="1:24">
      <c r="A544" s="7" t="s">
        <v>638</v>
      </c>
      <c r="B544" s="16" t="s">
        <v>241</v>
      </c>
      <c r="C544">
        <v>535488181.40871143</v>
      </c>
      <c r="D544">
        <v>508555278.04437166</v>
      </c>
      <c r="E544">
        <v>77215540.540540546</v>
      </c>
      <c r="F544">
        <v>142637837.83783785</v>
      </c>
      <c r="G544">
        <v>297</v>
      </c>
      <c r="H544">
        <v>252</v>
      </c>
      <c r="I544">
        <v>21</v>
      </c>
      <c r="J544">
        <v>20</v>
      </c>
      <c r="K544">
        <v>2</v>
      </c>
      <c r="M544">
        <v>314</v>
      </c>
      <c r="N544">
        <v>306</v>
      </c>
      <c r="O544">
        <v>49585135.135135137</v>
      </c>
      <c r="P544">
        <v>48063513.513513513</v>
      </c>
      <c r="Q544">
        <v>476</v>
      </c>
      <c r="R544">
        <v>272</v>
      </c>
      <c r="S544">
        <v>176064801.8018018</v>
      </c>
      <c r="T544">
        <v>164512780.18018019</v>
      </c>
      <c r="U544">
        <v>50859279.279279269</v>
      </c>
      <c r="V544">
        <v>43299459.459459454</v>
      </c>
      <c r="W544">
        <v>12745</v>
      </c>
      <c r="X544">
        <v>12595</v>
      </c>
    </row>
    <row r="545" spans="1:24">
      <c r="A545" s="7" t="s">
        <v>639</v>
      </c>
      <c r="B545" s="16" t="s">
        <v>132</v>
      </c>
      <c r="C545">
        <v>223486311.99686924</v>
      </c>
      <c r="D545">
        <v>194757646.3158353</v>
      </c>
      <c r="E545">
        <v>72182051.351351365</v>
      </c>
      <c r="F545">
        <v>45494754.954954952</v>
      </c>
      <c r="G545">
        <v>110</v>
      </c>
      <c r="H545">
        <v>66</v>
      </c>
      <c r="I545">
        <v>3</v>
      </c>
      <c r="J545">
        <v>2</v>
      </c>
      <c r="M545">
        <v>122</v>
      </c>
      <c r="N545">
        <v>94</v>
      </c>
      <c r="O545">
        <v>15899099.099099098</v>
      </c>
      <c r="P545">
        <v>11077477.477477478</v>
      </c>
      <c r="Q545">
        <v>1</v>
      </c>
      <c r="R545">
        <v>3</v>
      </c>
      <c r="S545">
        <v>78486765.765765756</v>
      </c>
      <c r="T545">
        <v>69997171.171171173</v>
      </c>
      <c r="U545">
        <v>9856846.8468468487</v>
      </c>
      <c r="V545">
        <v>4436576.5765765756</v>
      </c>
      <c r="W545">
        <v>5503</v>
      </c>
      <c r="X545">
        <v>5552</v>
      </c>
    </row>
    <row r="546" spans="1:24">
      <c r="A546" s="7" t="s">
        <v>640</v>
      </c>
      <c r="B546" s="16" t="s">
        <v>134</v>
      </c>
      <c r="C546">
        <v>619503496.82494676</v>
      </c>
      <c r="D546">
        <v>587013579.65131688</v>
      </c>
      <c r="E546">
        <v>3163063.0630630651</v>
      </c>
      <c r="F546">
        <v>1802702.702702705</v>
      </c>
      <c r="G546">
        <v>148</v>
      </c>
      <c r="H546">
        <v>89</v>
      </c>
      <c r="I546">
        <v>18</v>
      </c>
      <c r="J546">
        <v>17</v>
      </c>
      <c r="M546">
        <v>154</v>
      </c>
      <c r="N546">
        <v>100</v>
      </c>
      <c r="O546">
        <v>46536216.216216214</v>
      </c>
      <c r="P546">
        <v>49322342.342342347</v>
      </c>
      <c r="Q546">
        <v>144</v>
      </c>
      <c r="R546">
        <v>158</v>
      </c>
      <c r="S546">
        <v>76623507.207207203</v>
      </c>
      <c r="T546">
        <v>78493982.882882878</v>
      </c>
      <c r="U546">
        <v>40926216.216216214</v>
      </c>
      <c r="V546">
        <v>40148691.891891889</v>
      </c>
      <c r="W546">
        <v>7621</v>
      </c>
      <c r="X546">
        <v>7520</v>
      </c>
    </row>
    <row r="547" spans="1:24">
      <c r="A547" s="7" t="s">
        <v>641</v>
      </c>
      <c r="B547" s="16" t="s">
        <v>80</v>
      </c>
      <c r="C547">
        <v>301150167.15683275</v>
      </c>
      <c r="D547">
        <v>307965556.14846361</v>
      </c>
      <c r="E547">
        <v>579279.27927927999</v>
      </c>
      <c r="F547">
        <v>1254054.054054053</v>
      </c>
      <c r="G547">
        <v>60</v>
      </c>
      <c r="H547">
        <v>51</v>
      </c>
      <c r="I547">
        <v>7</v>
      </c>
      <c r="J547">
        <v>2</v>
      </c>
      <c r="K547">
        <v>3</v>
      </c>
      <c r="M547">
        <v>67</v>
      </c>
      <c r="N547">
        <v>71</v>
      </c>
      <c r="O547">
        <v>36757567.567567565</v>
      </c>
      <c r="P547">
        <v>32712612.612612613</v>
      </c>
      <c r="Q547">
        <v>37</v>
      </c>
      <c r="R547">
        <v>39</v>
      </c>
      <c r="S547">
        <v>104395385.58558558</v>
      </c>
      <c r="T547">
        <v>111267263.96396397</v>
      </c>
      <c r="U547">
        <v>34601801.801801801</v>
      </c>
      <c r="V547">
        <v>33123333.333333336</v>
      </c>
      <c r="W547">
        <v>4610</v>
      </c>
      <c r="X547">
        <v>4980</v>
      </c>
    </row>
    <row r="548" spans="1:24">
      <c r="A548" s="7" t="s">
        <v>642</v>
      </c>
      <c r="B548" s="16" t="s">
        <v>169</v>
      </c>
      <c r="C548">
        <v>589402013.44883239</v>
      </c>
      <c r="D548">
        <v>512437225.02612412</v>
      </c>
      <c r="E548">
        <v>2238288.2882882892</v>
      </c>
      <c r="F548">
        <v>1850450.450450452</v>
      </c>
      <c r="G548">
        <v>63</v>
      </c>
      <c r="H548">
        <v>38</v>
      </c>
      <c r="I548">
        <v>0</v>
      </c>
      <c r="J548">
        <v>0</v>
      </c>
      <c r="K548">
        <v>1</v>
      </c>
      <c r="M548">
        <v>72</v>
      </c>
      <c r="N548">
        <v>57</v>
      </c>
      <c r="O548">
        <v>40481531.531531535</v>
      </c>
      <c r="P548">
        <v>43828123.423423424</v>
      </c>
      <c r="Q548">
        <v>15</v>
      </c>
      <c r="R548">
        <v>4</v>
      </c>
      <c r="S548">
        <v>199307180.18018019</v>
      </c>
      <c r="T548">
        <v>182473459.45945945</v>
      </c>
      <c r="U548">
        <v>42419369.369369365</v>
      </c>
      <c r="V548">
        <v>40816486.486486487</v>
      </c>
      <c r="W548">
        <v>9590</v>
      </c>
      <c r="X548">
        <v>8803</v>
      </c>
    </row>
    <row r="549" spans="1:24">
      <c r="A549" s="7" t="s">
        <v>643</v>
      </c>
      <c r="B549" s="16" t="s">
        <v>58</v>
      </c>
      <c r="C549">
        <v>892183004.73377633</v>
      </c>
      <c r="D549">
        <v>878337835.41277838</v>
      </c>
      <c r="E549">
        <v>4674099.0990991024</v>
      </c>
      <c r="F549">
        <v>11599324.324324325</v>
      </c>
      <c r="G549">
        <v>281</v>
      </c>
      <c r="H549">
        <v>230</v>
      </c>
      <c r="I549">
        <v>31</v>
      </c>
      <c r="J549">
        <v>36</v>
      </c>
      <c r="K549">
        <v>1</v>
      </c>
      <c r="M549">
        <v>318</v>
      </c>
      <c r="N549">
        <v>312</v>
      </c>
      <c r="O549">
        <v>92639639.639639646</v>
      </c>
      <c r="P549">
        <v>98437387.387387395</v>
      </c>
      <c r="Q549">
        <v>559</v>
      </c>
      <c r="R549">
        <v>107</v>
      </c>
      <c r="S549">
        <v>177038637.83783782</v>
      </c>
      <c r="T549">
        <v>182699635.13513514</v>
      </c>
      <c r="U549">
        <v>76120360.360360354</v>
      </c>
      <c r="V549">
        <v>62406846.846846849</v>
      </c>
      <c r="W549">
        <v>17668</v>
      </c>
      <c r="X549">
        <v>17567</v>
      </c>
    </row>
    <row r="550" spans="1:24">
      <c r="A550" s="7" t="s">
        <v>644</v>
      </c>
      <c r="B550" s="16" t="s">
        <v>58</v>
      </c>
      <c r="C550">
        <v>1139432574.1945136</v>
      </c>
      <c r="D550">
        <v>1097487320.4294112</v>
      </c>
      <c r="E550">
        <v>377039318.01801807</v>
      </c>
      <c r="F550">
        <v>19965315.315315317</v>
      </c>
      <c r="G550">
        <v>532</v>
      </c>
      <c r="H550">
        <v>1173</v>
      </c>
      <c r="I550">
        <v>70</v>
      </c>
      <c r="J550">
        <v>51</v>
      </c>
      <c r="K550">
        <v>3</v>
      </c>
      <c r="M550">
        <v>696</v>
      </c>
      <c r="N550">
        <v>1436</v>
      </c>
      <c r="O550">
        <v>189857657.65765765</v>
      </c>
      <c r="P550">
        <v>197373873.87387389</v>
      </c>
      <c r="Q550">
        <v>1487</v>
      </c>
      <c r="R550">
        <v>219</v>
      </c>
      <c r="S550">
        <v>313586772.97297299</v>
      </c>
      <c r="T550">
        <v>334065536.03603601</v>
      </c>
      <c r="U550">
        <v>174248018.01801801</v>
      </c>
      <c r="V550">
        <v>167926306.3063063</v>
      </c>
      <c r="W550">
        <v>23508</v>
      </c>
      <c r="X550">
        <v>22112</v>
      </c>
    </row>
    <row r="551" spans="1:24">
      <c r="A551" s="7" t="s">
        <v>645</v>
      </c>
      <c r="B551" s="16" t="s">
        <v>307</v>
      </c>
      <c r="C551">
        <v>379322013.63090289</v>
      </c>
      <c r="D551">
        <v>360218182.83845574</v>
      </c>
      <c r="E551">
        <v>186559684.68468466</v>
      </c>
      <c r="F551">
        <v>582744144.14414418</v>
      </c>
      <c r="G551">
        <v>61</v>
      </c>
      <c r="H551">
        <v>48</v>
      </c>
      <c r="I551">
        <v>1</v>
      </c>
      <c r="J551">
        <v>1</v>
      </c>
      <c r="K551">
        <v>1</v>
      </c>
      <c r="M551">
        <v>64</v>
      </c>
      <c r="N551">
        <v>61</v>
      </c>
      <c r="O551">
        <v>23462162.162162159</v>
      </c>
      <c r="P551">
        <v>8460675.6756756753</v>
      </c>
      <c r="Q551">
        <v>38</v>
      </c>
      <c r="R551">
        <v>21</v>
      </c>
      <c r="S551">
        <v>60609414.414414413</v>
      </c>
      <c r="T551">
        <v>59821984.684684686</v>
      </c>
      <c r="U551">
        <v>7118648.6486486467</v>
      </c>
      <c r="V551">
        <v>6691441.4414414419</v>
      </c>
      <c r="W551">
        <v>5213</v>
      </c>
      <c r="X551">
        <v>5167</v>
      </c>
    </row>
    <row r="552" spans="1:24">
      <c r="A552" s="7" t="s">
        <v>13</v>
      </c>
      <c r="B552" s="16" t="s">
        <v>158</v>
      </c>
      <c r="C552">
        <v>422433981.07588297</v>
      </c>
      <c r="D552">
        <v>410100292.56711686</v>
      </c>
      <c r="E552">
        <v>1369369.3693693739</v>
      </c>
      <c r="F552">
        <v>4350450.4504504576</v>
      </c>
      <c r="G552">
        <v>288</v>
      </c>
      <c r="H552">
        <v>115</v>
      </c>
      <c r="I552">
        <v>37</v>
      </c>
      <c r="J552">
        <v>10</v>
      </c>
      <c r="K552">
        <v>2</v>
      </c>
      <c r="M552">
        <v>676</v>
      </c>
      <c r="N552">
        <v>431</v>
      </c>
      <c r="O552">
        <v>77681081.081081092</v>
      </c>
      <c r="P552">
        <v>91587072.072072059</v>
      </c>
      <c r="Q552">
        <v>436</v>
      </c>
      <c r="R552">
        <v>305</v>
      </c>
      <c r="S552">
        <v>251038202.7027027</v>
      </c>
      <c r="T552">
        <v>239741441.44144145</v>
      </c>
      <c r="U552">
        <v>84911981.981981978</v>
      </c>
      <c r="V552">
        <v>92629998.198198199</v>
      </c>
      <c r="W552">
        <v>7140</v>
      </c>
      <c r="X552">
        <v>7203</v>
      </c>
    </row>
    <row r="553" spans="1:24">
      <c r="A553" s="7" t="s">
        <v>646</v>
      </c>
      <c r="B553" s="16" t="s">
        <v>121</v>
      </c>
      <c r="C553">
        <v>271246183.11712128</v>
      </c>
      <c r="D553">
        <v>276216651.6704089</v>
      </c>
      <c r="E553">
        <v>14639.63963964</v>
      </c>
      <c r="F553">
        <v>163063.06306306299</v>
      </c>
      <c r="G553">
        <v>71</v>
      </c>
      <c r="H553">
        <v>63</v>
      </c>
      <c r="I553">
        <v>2</v>
      </c>
      <c r="J553">
        <v>2</v>
      </c>
      <c r="M553">
        <v>75</v>
      </c>
      <c r="N553">
        <v>70</v>
      </c>
      <c r="O553">
        <v>799099.09909909905</v>
      </c>
      <c r="P553">
        <v>1157657.657657658</v>
      </c>
      <c r="Q553">
        <v>27</v>
      </c>
      <c r="R553">
        <v>7</v>
      </c>
      <c r="S553">
        <v>23199324.324324325</v>
      </c>
      <c r="T553">
        <v>23937430.180180181</v>
      </c>
      <c r="U553">
        <v>1122162.1621621619</v>
      </c>
      <c r="V553">
        <v>1054864.8648648651</v>
      </c>
      <c r="W553">
        <v>3356</v>
      </c>
      <c r="X553">
        <v>3182</v>
      </c>
    </row>
    <row r="554" spans="1:24">
      <c r="A554" s="7" t="s">
        <v>647</v>
      </c>
      <c r="B554" s="16" t="s">
        <v>315</v>
      </c>
      <c r="C554">
        <v>99401926.06921339</v>
      </c>
      <c r="D554">
        <v>100307135.25460574</v>
      </c>
      <c r="E554">
        <v>463063.06306306302</v>
      </c>
      <c r="F554">
        <v>1547747.7477477479</v>
      </c>
      <c r="G554">
        <v>110</v>
      </c>
      <c r="H554">
        <v>37</v>
      </c>
      <c r="I554">
        <v>7</v>
      </c>
      <c r="J554">
        <v>9</v>
      </c>
      <c r="M554">
        <v>112</v>
      </c>
      <c r="N554">
        <v>45</v>
      </c>
      <c r="O554">
        <v>11009909.909909908</v>
      </c>
      <c r="P554">
        <v>18428828.828828827</v>
      </c>
      <c r="Q554">
        <v>50</v>
      </c>
      <c r="S554">
        <v>26910337.837837838</v>
      </c>
      <c r="T554">
        <v>25528432.432432432</v>
      </c>
      <c r="U554">
        <v>13819729.729729729</v>
      </c>
      <c r="V554">
        <v>19544144.144144144</v>
      </c>
      <c r="W554">
        <v>1329</v>
      </c>
      <c r="X554">
        <v>1332</v>
      </c>
    </row>
    <row r="555" spans="1:24">
      <c r="A555" s="7" t="s">
        <v>648</v>
      </c>
      <c r="B555" s="16" t="s">
        <v>260</v>
      </c>
      <c r="C555">
        <v>274915522.74018085</v>
      </c>
      <c r="D555">
        <v>254249396.78638864</v>
      </c>
      <c r="E555">
        <v>208153.15315315299</v>
      </c>
      <c r="F555">
        <v>1398198.1981981969</v>
      </c>
      <c r="G555">
        <v>64</v>
      </c>
      <c r="H555">
        <v>74</v>
      </c>
      <c r="I555">
        <v>5</v>
      </c>
      <c r="J555">
        <v>2</v>
      </c>
      <c r="M555">
        <v>69</v>
      </c>
      <c r="N555">
        <v>95</v>
      </c>
      <c r="O555">
        <v>47362432.432432435</v>
      </c>
      <c r="P555">
        <v>48905405.40540541</v>
      </c>
      <c r="Q555">
        <v>21</v>
      </c>
      <c r="R555">
        <v>131</v>
      </c>
      <c r="S555">
        <v>89292297.297297299</v>
      </c>
      <c r="T555">
        <v>84242333.333333328</v>
      </c>
      <c r="U555">
        <v>42374054.054054059</v>
      </c>
      <c r="V555">
        <v>47767297.297297299</v>
      </c>
      <c r="W555">
        <v>4334</v>
      </c>
      <c r="X555">
        <v>4319</v>
      </c>
    </row>
    <row r="556" spans="1:24">
      <c r="A556" s="7" t="s">
        <v>649</v>
      </c>
      <c r="B556" s="16" t="s">
        <v>224</v>
      </c>
      <c r="C556">
        <v>283273556.70243639</v>
      </c>
      <c r="D556">
        <v>248125608.66481766</v>
      </c>
      <c r="E556">
        <v>95945.945945946994</v>
      </c>
      <c r="F556">
        <v>4525000.0000000019</v>
      </c>
      <c r="G556">
        <v>67</v>
      </c>
      <c r="H556">
        <v>68</v>
      </c>
      <c r="I556">
        <v>12</v>
      </c>
      <c r="J556">
        <v>8</v>
      </c>
      <c r="M556">
        <v>83</v>
      </c>
      <c r="N556">
        <v>82</v>
      </c>
      <c r="O556">
        <v>27460270.270270269</v>
      </c>
      <c r="P556">
        <v>69872252.252252251</v>
      </c>
      <c r="Q556">
        <v>124</v>
      </c>
      <c r="R556">
        <v>131</v>
      </c>
      <c r="S556">
        <v>58395160.360360362</v>
      </c>
      <c r="T556">
        <v>57315890.090090089</v>
      </c>
      <c r="U556">
        <v>28517927.927927926</v>
      </c>
      <c r="V556">
        <v>63791981.981981985</v>
      </c>
      <c r="W556">
        <v>5582</v>
      </c>
      <c r="X556">
        <v>5616</v>
      </c>
    </row>
    <row r="557" spans="1:24">
      <c r="A557" s="7" t="s">
        <v>650</v>
      </c>
      <c r="B557" s="16" t="s">
        <v>224</v>
      </c>
      <c r="C557">
        <v>231192631.90022486</v>
      </c>
      <c r="D557">
        <v>200217477.59075874</v>
      </c>
      <c r="E557">
        <v>28828.828828828999</v>
      </c>
      <c r="F557">
        <v>63963.963963964998</v>
      </c>
      <c r="G557">
        <v>40</v>
      </c>
      <c r="H557">
        <v>36</v>
      </c>
      <c r="I557">
        <v>2</v>
      </c>
      <c r="J557">
        <v>0</v>
      </c>
      <c r="K557">
        <v>1</v>
      </c>
      <c r="M557">
        <v>42</v>
      </c>
      <c r="N557">
        <v>45</v>
      </c>
      <c r="O557">
        <v>13956576.576576577</v>
      </c>
      <c r="P557">
        <v>10274414.414414413</v>
      </c>
      <c r="Q557">
        <v>53</v>
      </c>
      <c r="R557">
        <v>103</v>
      </c>
      <c r="S557">
        <v>30566936.936936937</v>
      </c>
      <c r="T557">
        <v>28110621.621621624</v>
      </c>
      <c r="U557">
        <v>10790990.990990993</v>
      </c>
      <c r="V557">
        <v>9317297.2972972989</v>
      </c>
      <c r="W557">
        <v>3127</v>
      </c>
      <c r="X557">
        <v>3040</v>
      </c>
    </row>
    <row r="558" spans="1:24">
      <c r="A558" s="7" t="s">
        <v>651</v>
      </c>
      <c r="B558" s="16" t="s">
        <v>224</v>
      </c>
      <c r="C558">
        <v>891006736.66666377</v>
      </c>
      <c r="D558">
        <v>775229666.83027327</v>
      </c>
      <c r="E558">
        <v>208703803.6036036</v>
      </c>
      <c r="F558">
        <v>294744757.65765768</v>
      </c>
      <c r="G558">
        <v>329</v>
      </c>
      <c r="H558">
        <v>269</v>
      </c>
      <c r="I558">
        <v>53</v>
      </c>
      <c r="J558">
        <v>40</v>
      </c>
      <c r="K558">
        <v>4</v>
      </c>
      <c r="M558">
        <v>389</v>
      </c>
      <c r="N558">
        <v>455</v>
      </c>
      <c r="O558">
        <v>177166846.84684685</v>
      </c>
      <c r="P558">
        <v>217037477.47747746</v>
      </c>
      <c r="Q558">
        <v>620</v>
      </c>
      <c r="R558">
        <v>927</v>
      </c>
      <c r="S558">
        <v>201715781.98198199</v>
      </c>
      <c r="T558">
        <v>193072166.66666666</v>
      </c>
      <c r="U558">
        <v>162877250.45045045</v>
      </c>
      <c r="V558">
        <v>203008558.55855855</v>
      </c>
      <c r="W558">
        <v>18348</v>
      </c>
      <c r="X558">
        <v>18392</v>
      </c>
    </row>
    <row r="559" spans="1:24">
      <c r="A559" s="7" t="s">
        <v>652</v>
      </c>
      <c r="B559" s="16" t="s">
        <v>224</v>
      </c>
      <c r="C559">
        <v>103503229.87592894</v>
      </c>
      <c r="D559">
        <v>92744809.612831742</v>
      </c>
      <c r="E559">
        <v>273873.87387387402</v>
      </c>
      <c r="F559">
        <v>207207.207207208</v>
      </c>
      <c r="G559">
        <v>15</v>
      </c>
      <c r="H559">
        <v>24</v>
      </c>
      <c r="I559">
        <v>2</v>
      </c>
      <c r="J559">
        <v>1</v>
      </c>
      <c r="M559">
        <v>15</v>
      </c>
      <c r="N559">
        <v>27</v>
      </c>
      <c r="O559">
        <v>2375495.4954954959</v>
      </c>
      <c r="P559">
        <v>1648648.6486486481</v>
      </c>
      <c r="Q559">
        <v>9</v>
      </c>
      <c r="S559">
        <v>15413963.963963963</v>
      </c>
      <c r="T559">
        <v>15049675.675675675</v>
      </c>
      <c r="U559">
        <v>1707837.8378378369</v>
      </c>
      <c r="V559">
        <v>1533423.423423423</v>
      </c>
      <c r="W559">
        <v>1798</v>
      </c>
      <c r="X559">
        <v>1752</v>
      </c>
    </row>
    <row r="560" spans="1:24">
      <c r="A560" s="7" t="s">
        <v>653</v>
      </c>
      <c r="B560" s="16" t="s">
        <v>96</v>
      </c>
      <c r="C560">
        <v>522484427.24707532</v>
      </c>
      <c r="D560">
        <v>490979129.19583672</v>
      </c>
      <c r="E560">
        <v>15929729.729729732</v>
      </c>
      <c r="F560">
        <v>79677477.477477476</v>
      </c>
      <c r="G560">
        <v>125</v>
      </c>
      <c r="H560">
        <v>189</v>
      </c>
      <c r="I560">
        <v>1</v>
      </c>
      <c r="J560">
        <v>1</v>
      </c>
      <c r="M560">
        <v>136</v>
      </c>
      <c r="N560">
        <v>251</v>
      </c>
      <c r="O560">
        <v>17382927.927927926</v>
      </c>
      <c r="P560">
        <v>15992342.342342343</v>
      </c>
      <c r="Q560">
        <v>51</v>
      </c>
      <c r="R560">
        <v>94</v>
      </c>
      <c r="S560">
        <v>63527873.873873875</v>
      </c>
      <c r="T560">
        <v>65783369.369369365</v>
      </c>
      <c r="U560">
        <v>14225225.225225223</v>
      </c>
      <c r="V560">
        <v>10532252.252252255</v>
      </c>
      <c r="W560">
        <v>8323</v>
      </c>
      <c r="X560">
        <v>9172</v>
      </c>
    </row>
    <row r="561" spans="1:24">
      <c r="A561" s="7" t="s">
        <v>654</v>
      </c>
      <c r="B561" s="16" t="s">
        <v>66</v>
      </c>
      <c r="C561">
        <v>317311301.20345432</v>
      </c>
      <c r="D561">
        <v>303227302.00229853</v>
      </c>
      <c r="E561">
        <v>3820720.7207207191</v>
      </c>
      <c r="F561">
        <v>9960360.3603603635</v>
      </c>
      <c r="G561">
        <v>129</v>
      </c>
      <c r="H561">
        <v>86</v>
      </c>
      <c r="I561">
        <v>6</v>
      </c>
      <c r="J561">
        <v>7</v>
      </c>
      <c r="M561">
        <v>135</v>
      </c>
      <c r="N561">
        <v>119</v>
      </c>
      <c r="O561">
        <v>38742972.972972974</v>
      </c>
      <c r="P561">
        <v>143532432.43243244</v>
      </c>
      <c r="Q561">
        <v>100</v>
      </c>
      <c r="R561">
        <v>11</v>
      </c>
      <c r="S561">
        <v>201889459.45945945</v>
      </c>
      <c r="T561">
        <v>197283891.8918919</v>
      </c>
      <c r="U561">
        <v>40326126.126126125</v>
      </c>
      <c r="V561">
        <v>137584234.23423424</v>
      </c>
      <c r="W561">
        <v>5533</v>
      </c>
      <c r="X561">
        <v>5495</v>
      </c>
    </row>
    <row r="562" spans="1:24">
      <c r="A562" s="7" t="s">
        <v>655</v>
      </c>
      <c r="B562" s="16" t="s">
        <v>68</v>
      </c>
      <c r="C562">
        <v>547419466.74321425</v>
      </c>
      <c r="D562">
        <v>482859520.43121767</v>
      </c>
      <c r="E562">
        <v>798468.46846847003</v>
      </c>
      <c r="F562">
        <v>1220270.2702702689</v>
      </c>
      <c r="G562">
        <v>153</v>
      </c>
      <c r="H562">
        <v>81</v>
      </c>
      <c r="I562">
        <v>8</v>
      </c>
      <c r="J562">
        <v>6</v>
      </c>
      <c r="K562">
        <v>4</v>
      </c>
      <c r="M562">
        <v>165</v>
      </c>
      <c r="N562">
        <v>92</v>
      </c>
      <c r="O562">
        <v>27703783.783783782</v>
      </c>
      <c r="P562">
        <v>20660896.396396391</v>
      </c>
      <c r="Q562">
        <v>64</v>
      </c>
      <c r="R562">
        <v>93</v>
      </c>
      <c r="S562">
        <v>69116139.639639646</v>
      </c>
      <c r="T562">
        <v>64168090.090090089</v>
      </c>
      <c r="U562">
        <v>23044864.864864863</v>
      </c>
      <c r="V562">
        <v>15758018.01801802</v>
      </c>
      <c r="W562">
        <v>7217</v>
      </c>
      <c r="X562">
        <v>7033</v>
      </c>
    </row>
    <row r="563" spans="1:24">
      <c r="A563" s="7" t="s">
        <v>14</v>
      </c>
      <c r="B563" s="16" t="s">
        <v>158</v>
      </c>
      <c r="C563">
        <v>227533630.37853587</v>
      </c>
      <c r="D563">
        <v>207670824.59268689</v>
      </c>
      <c r="E563">
        <v>118018.018018022</v>
      </c>
      <c r="F563">
        <v>1277477.4774774781</v>
      </c>
      <c r="G563">
        <v>23</v>
      </c>
      <c r="H563">
        <v>29</v>
      </c>
      <c r="I563">
        <v>8</v>
      </c>
      <c r="J563">
        <v>4</v>
      </c>
      <c r="M563">
        <v>24</v>
      </c>
      <c r="N563">
        <v>33</v>
      </c>
      <c r="O563">
        <v>25036756.756756756</v>
      </c>
      <c r="P563">
        <v>50112612.612612613</v>
      </c>
      <c r="Q563">
        <v>202</v>
      </c>
      <c r="R563">
        <v>111</v>
      </c>
      <c r="S563">
        <v>74626927.927927926</v>
      </c>
      <c r="T563">
        <v>69753918.918918923</v>
      </c>
      <c r="U563">
        <v>26569459.459459461</v>
      </c>
      <c r="V563">
        <v>45799189.189189196</v>
      </c>
      <c r="W563">
        <v>4032</v>
      </c>
      <c r="X563">
        <v>3953</v>
      </c>
    </row>
    <row r="564" spans="1:24">
      <c r="A564" s="7" t="s">
        <v>656</v>
      </c>
      <c r="B564" s="16" t="s">
        <v>304</v>
      </c>
      <c r="C564">
        <v>197409682.37502807</v>
      </c>
      <c r="D564">
        <v>221135812.70578605</v>
      </c>
      <c r="E564">
        <v>981981.98198198399</v>
      </c>
      <c r="F564">
        <v>920720.72072072001</v>
      </c>
      <c r="G564">
        <v>90</v>
      </c>
      <c r="H564">
        <v>60</v>
      </c>
      <c r="I564">
        <v>8</v>
      </c>
      <c r="J564">
        <v>7</v>
      </c>
      <c r="M564">
        <v>94</v>
      </c>
      <c r="N564">
        <v>302</v>
      </c>
      <c r="O564">
        <v>36747747.747747742</v>
      </c>
      <c r="P564">
        <v>37259459.459459454</v>
      </c>
      <c r="Q564">
        <v>70</v>
      </c>
      <c r="R564">
        <v>65</v>
      </c>
      <c r="S564">
        <v>62296738.738738738</v>
      </c>
      <c r="T564">
        <v>67837743.243243247</v>
      </c>
      <c r="U564">
        <v>34752792.79279279</v>
      </c>
      <c r="V564">
        <v>36076306.306306303</v>
      </c>
      <c r="W564">
        <v>3219</v>
      </c>
      <c r="X564">
        <v>3202</v>
      </c>
    </row>
    <row r="565" spans="1:24">
      <c r="A565" s="7" t="s">
        <v>657</v>
      </c>
      <c r="B565" s="16" t="s">
        <v>48</v>
      </c>
      <c r="C565">
        <v>321486991.72304928</v>
      </c>
      <c r="D565">
        <v>277247606.69453436</v>
      </c>
      <c r="E565">
        <v>2428828.8288288289</v>
      </c>
      <c r="F565">
        <v>1893693.6936936949</v>
      </c>
      <c r="G565">
        <v>104</v>
      </c>
      <c r="H565">
        <v>56</v>
      </c>
      <c r="I565">
        <v>7</v>
      </c>
      <c r="J565">
        <v>5</v>
      </c>
      <c r="M565">
        <v>117</v>
      </c>
      <c r="N565">
        <v>159</v>
      </c>
      <c r="O565">
        <v>31215495.495495494</v>
      </c>
      <c r="P565">
        <v>58008828.828828834</v>
      </c>
      <c r="R565">
        <v>27</v>
      </c>
      <c r="S565">
        <v>97491612.612612605</v>
      </c>
      <c r="T565">
        <v>89030423.423423424</v>
      </c>
      <c r="U565">
        <v>32171711.711711712</v>
      </c>
      <c r="V565">
        <v>57738198.198198199</v>
      </c>
      <c r="W565">
        <v>3726</v>
      </c>
      <c r="X565">
        <v>3224</v>
      </c>
    </row>
    <row r="566" spans="1:24">
      <c r="A566" s="7" t="s">
        <v>658</v>
      </c>
      <c r="B566" s="16" t="s">
        <v>54</v>
      </c>
      <c r="C566">
        <v>90897675.53898941</v>
      </c>
      <c r="D566">
        <v>91267169.208016425</v>
      </c>
      <c r="E566">
        <v>469369.369369369</v>
      </c>
      <c r="F566">
        <v>636036.03603603598</v>
      </c>
      <c r="G566">
        <v>10</v>
      </c>
      <c r="H566">
        <v>1</v>
      </c>
      <c r="I566">
        <v>3</v>
      </c>
      <c r="J566">
        <v>2</v>
      </c>
      <c r="M566">
        <v>11</v>
      </c>
      <c r="N566">
        <v>2</v>
      </c>
      <c r="O566">
        <v>11787387.387387387</v>
      </c>
      <c r="P566">
        <v>7139639.6396396402</v>
      </c>
      <c r="Q566">
        <v>26</v>
      </c>
      <c r="R566">
        <v>15</v>
      </c>
      <c r="S566">
        <v>20655630.630630631</v>
      </c>
      <c r="T566">
        <v>21178648.648648649</v>
      </c>
      <c r="U566">
        <v>10197117.117117118</v>
      </c>
      <c r="V566">
        <v>6705225.225225227</v>
      </c>
      <c r="W566">
        <v>1531</v>
      </c>
      <c r="X566">
        <v>1573</v>
      </c>
    </row>
    <row r="567" spans="1:24">
      <c r="A567" s="7" t="s">
        <v>659</v>
      </c>
      <c r="B567" s="16" t="s">
        <v>50</v>
      </c>
      <c r="C567">
        <v>414860751.96379095</v>
      </c>
      <c r="D567">
        <v>403838945.08037496</v>
      </c>
      <c r="E567">
        <v>849279.27927928104</v>
      </c>
      <c r="F567">
        <v>1872072.072072075</v>
      </c>
      <c r="G567">
        <v>76</v>
      </c>
      <c r="H567">
        <v>79</v>
      </c>
      <c r="I567">
        <v>21</v>
      </c>
      <c r="J567">
        <v>9</v>
      </c>
      <c r="M567">
        <v>78</v>
      </c>
      <c r="N567">
        <v>95</v>
      </c>
      <c r="O567">
        <v>86183783.783783779</v>
      </c>
      <c r="P567">
        <v>99532792.792792797</v>
      </c>
      <c r="Q567">
        <v>65</v>
      </c>
      <c r="R567">
        <v>42</v>
      </c>
      <c r="S567">
        <v>207386457.65765765</v>
      </c>
      <c r="T567">
        <v>202315405.4054054</v>
      </c>
      <c r="U567">
        <v>88993736.93693693</v>
      </c>
      <c r="V567">
        <v>97702792.792792797</v>
      </c>
      <c r="W567">
        <v>5929</v>
      </c>
      <c r="X567">
        <v>5905</v>
      </c>
    </row>
    <row r="568" spans="1:24">
      <c r="A568" s="7" t="s">
        <v>660</v>
      </c>
      <c r="B568" s="16" t="s">
        <v>83</v>
      </c>
      <c r="C568">
        <v>472635265.71865481</v>
      </c>
      <c r="D568">
        <v>490288404.34194803</v>
      </c>
      <c r="E568">
        <v>2306846.8468468478</v>
      </c>
      <c r="F568">
        <v>3595287.3873873879</v>
      </c>
      <c r="G568">
        <v>160</v>
      </c>
      <c r="H568">
        <v>126</v>
      </c>
      <c r="I568">
        <v>10</v>
      </c>
      <c r="J568">
        <v>11</v>
      </c>
      <c r="K568">
        <v>2</v>
      </c>
      <c r="M568">
        <v>265</v>
      </c>
      <c r="N568">
        <v>150</v>
      </c>
      <c r="O568">
        <v>53998288.288288288</v>
      </c>
      <c r="P568">
        <v>70200362.162162155</v>
      </c>
      <c r="Q568">
        <v>312</v>
      </c>
      <c r="R568">
        <v>142</v>
      </c>
      <c r="S568">
        <v>120784072.07207206</v>
      </c>
      <c r="T568">
        <v>125231666.66666667</v>
      </c>
      <c r="U568">
        <v>47607027.027027033</v>
      </c>
      <c r="V568">
        <v>41728063.063063063</v>
      </c>
      <c r="W568">
        <v>8842</v>
      </c>
      <c r="X568">
        <v>8945</v>
      </c>
    </row>
    <row r="569" spans="1:24">
      <c r="A569" s="12" t="s">
        <v>665</v>
      </c>
      <c r="B569" s="13"/>
      <c r="C569" s="14">
        <v>210030615564.72964</v>
      </c>
      <c r="D569" s="14">
        <v>202778833611.16089</v>
      </c>
      <c r="E569" s="14">
        <v>44498718960.360359</v>
      </c>
      <c r="F569" s="14">
        <v>46811084431.531563</v>
      </c>
      <c r="G569" s="14">
        <v>73283</v>
      </c>
      <c r="H569" s="14">
        <v>65865</v>
      </c>
      <c r="I569" s="14">
        <v>6783</v>
      </c>
      <c r="J569" s="14">
        <v>6685</v>
      </c>
      <c r="K569" s="14">
        <v>754</v>
      </c>
      <c r="L569" s="14"/>
      <c r="M569" s="14">
        <v>95475</v>
      </c>
      <c r="N569" s="14">
        <v>108351</v>
      </c>
      <c r="O569" s="14">
        <v>41403715650.450401</v>
      </c>
      <c r="P569" s="14">
        <v>43625547250.450424</v>
      </c>
      <c r="Q569" s="14">
        <v>114049</v>
      </c>
      <c r="R569" s="14">
        <v>130312</v>
      </c>
      <c r="S569" s="14">
        <v>61281342181.98201</v>
      </c>
      <c r="T569" s="14">
        <v>60765651534.234238</v>
      </c>
      <c r="U569" s="14">
        <v>30895058117.117115</v>
      </c>
      <c r="V569" s="14">
        <v>33456528335.135143</v>
      </c>
      <c r="W569" s="14">
        <v>3726901</v>
      </c>
      <c r="X569" s="14">
        <v>3706982</v>
      </c>
    </row>
    <row r="570" spans="1:24">
      <c r="A570" s="7" t="s">
        <v>658</v>
      </c>
      <c r="B570" s="16" t="s">
        <v>54</v>
      </c>
      <c r="C570">
        <v>76568898.204804853</v>
      </c>
      <c r="D570">
        <v>77530614.95521006</v>
      </c>
      <c r="E570">
        <v>199099.099099099</v>
      </c>
      <c r="F570">
        <v>595495.49549549597</v>
      </c>
      <c r="G570">
        <v>10</v>
      </c>
      <c r="H570">
        <v>1</v>
      </c>
      <c r="I570">
        <v>3</v>
      </c>
      <c r="J570">
        <v>2</v>
      </c>
      <c r="M570">
        <v>10</v>
      </c>
      <c r="N570">
        <v>2</v>
      </c>
      <c r="O570">
        <v>10796396.396396397</v>
      </c>
      <c r="P570">
        <v>6378378.3783783792</v>
      </c>
      <c r="Q570">
        <v>26</v>
      </c>
      <c r="R570">
        <v>15</v>
      </c>
      <c r="S570">
        <v>17320990.990990993</v>
      </c>
      <c r="T570">
        <v>18063378.378378376</v>
      </c>
      <c r="U570">
        <v>9046126.1261261255</v>
      </c>
      <c r="V570">
        <v>5773063.0630630637</v>
      </c>
      <c r="W570">
        <v>1566</v>
      </c>
      <c r="X570">
        <v>1521</v>
      </c>
    </row>
    <row r="571" spans="1:24">
      <c r="A571" s="7" t="s">
        <v>659</v>
      </c>
      <c r="B571" s="16" t="s">
        <v>50</v>
      </c>
      <c r="C571">
        <v>347391102.80854738</v>
      </c>
      <c r="D571">
        <v>340537179.69678855</v>
      </c>
      <c r="E571">
        <v>571801.80180180306</v>
      </c>
      <c r="F571">
        <v>1679279.279279283</v>
      </c>
      <c r="G571">
        <v>63</v>
      </c>
      <c r="H571">
        <v>64</v>
      </c>
      <c r="I571">
        <v>18</v>
      </c>
      <c r="J571">
        <v>9</v>
      </c>
      <c r="M571">
        <v>67</v>
      </c>
      <c r="N571">
        <v>90</v>
      </c>
      <c r="O571">
        <v>75984864.864864871</v>
      </c>
      <c r="P571">
        <v>86525855.855855852</v>
      </c>
      <c r="Q571">
        <v>65</v>
      </c>
      <c r="R571">
        <v>41</v>
      </c>
      <c r="S571">
        <v>173811998.1981982</v>
      </c>
      <c r="T571">
        <v>171298864.86486486</v>
      </c>
      <c r="U571">
        <v>78233917.117117122</v>
      </c>
      <c r="V571">
        <v>80741261.261261269</v>
      </c>
      <c r="W571">
        <v>5875</v>
      </c>
      <c r="X571">
        <v>5820</v>
      </c>
    </row>
    <row r="572" spans="1:24">
      <c r="A572" s="7" t="s">
        <v>660</v>
      </c>
      <c r="B572" s="16" t="s">
        <v>83</v>
      </c>
      <c r="C572">
        <v>398516194.16650575</v>
      </c>
      <c r="D572">
        <v>414757468.53338248</v>
      </c>
      <c r="E572">
        <v>2165405.4054054059</v>
      </c>
      <c r="F572">
        <v>3228620.72072072</v>
      </c>
      <c r="G572">
        <v>116</v>
      </c>
      <c r="H572">
        <v>113</v>
      </c>
      <c r="I572">
        <v>10</v>
      </c>
      <c r="J572">
        <v>11</v>
      </c>
      <c r="K572">
        <v>2</v>
      </c>
      <c r="M572">
        <v>252</v>
      </c>
      <c r="N572">
        <v>134</v>
      </c>
      <c r="O572">
        <v>45278468.468468465</v>
      </c>
      <c r="P572">
        <v>59891353.153153151</v>
      </c>
      <c r="Q572">
        <v>309</v>
      </c>
      <c r="R572">
        <v>90</v>
      </c>
      <c r="S572">
        <v>101786072.07207206</v>
      </c>
      <c r="T572">
        <v>107165225.22522523</v>
      </c>
      <c r="U572">
        <v>41165675.675675683</v>
      </c>
      <c r="V572">
        <v>36548783.783783786</v>
      </c>
      <c r="W572">
        <v>8657</v>
      </c>
      <c r="X572">
        <v>8999</v>
      </c>
    </row>
    <row r="573" spans="1:24">
      <c r="A573" s="12" t="s">
        <v>665</v>
      </c>
      <c r="B573" s="13"/>
      <c r="C573" s="14">
        <v>178504410962.55844</v>
      </c>
      <c r="D573" s="14">
        <v>172259556724.99863</v>
      </c>
      <c r="E573" s="14">
        <v>36575272365.765778</v>
      </c>
      <c r="F573" s="14">
        <v>38669568402.702713</v>
      </c>
      <c r="G573" s="14">
        <v>59915</v>
      </c>
      <c r="H573" s="14">
        <v>54098</v>
      </c>
      <c r="I573" s="14">
        <v>5607</v>
      </c>
      <c r="J573" s="14">
        <v>6429</v>
      </c>
      <c r="K573" s="14">
        <v>637</v>
      </c>
      <c r="L573" s="14"/>
      <c r="M573" s="14">
        <v>76186</v>
      </c>
      <c r="N573" s="14">
        <v>88600</v>
      </c>
      <c r="O573" s="14">
        <v>35288471990.990997</v>
      </c>
      <c r="P573" s="14">
        <v>35837360132.432426</v>
      </c>
      <c r="Q573" s="14">
        <v>97719</v>
      </c>
      <c r="R573" s="14">
        <v>114251</v>
      </c>
      <c r="S573" s="14">
        <v>51483064335.135132</v>
      </c>
      <c r="T573" s="14">
        <v>51685643409.909904</v>
      </c>
      <c r="U573" s="14">
        <v>25744805472.072067</v>
      </c>
      <c r="V573" s="14">
        <v>26768292895.495483</v>
      </c>
      <c r="W573" s="14">
        <v>3722851</v>
      </c>
      <c r="X573" s="14">
        <v>3716379</v>
      </c>
    </row>
    <row r="574" spans="1:24">
      <c r="A574" s="7" t="s">
        <v>659</v>
      </c>
      <c r="B574" s="16" t="s">
        <v>50</v>
      </c>
      <c r="C574">
        <v>331723796.98063087</v>
      </c>
      <c r="D574">
        <v>325757180.96824449</v>
      </c>
      <c r="E574">
        <v>436666.66666666802</v>
      </c>
      <c r="F574">
        <v>1651351.3513513559</v>
      </c>
      <c r="G574">
        <v>61</v>
      </c>
      <c r="H574">
        <v>59</v>
      </c>
      <c r="I574">
        <v>17</v>
      </c>
      <c r="J574">
        <v>8</v>
      </c>
      <c r="M574">
        <v>64</v>
      </c>
      <c r="N574">
        <v>84</v>
      </c>
      <c r="O574">
        <v>75247927.927927941</v>
      </c>
      <c r="P574">
        <v>86497927.927927941</v>
      </c>
      <c r="Q574">
        <v>65</v>
      </c>
      <c r="R574">
        <v>41</v>
      </c>
      <c r="S574">
        <v>165837360.36036035</v>
      </c>
      <c r="T574">
        <v>164119144.14414412</v>
      </c>
      <c r="U574">
        <v>73317207.207207203</v>
      </c>
      <c r="V574">
        <v>78835135.135135129</v>
      </c>
      <c r="W574">
        <v>5879</v>
      </c>
      <c r="X574">
        <v>5886</v>
      </c>
    </row>
    <row r="575" spans="1:24">
      <c r="A575" s="7" t="s">
        <v>660</v>
      </c>
      <c r="B575" s="16" t="s">
        <v>83</v>
      </c>
      <c r="C575">
        <v>382838809.07222694</v>
      </c>
      <c r="D575">
        <v>397807260.50249064</v>
      </c>
      <c r="E575">
        <v>2163603.6036036038</v>
      </c>
      <c r="F575">
        <v>3051143.2432432421</v>
      </c>
      <c r="G575">
        <v>112</v>
      </c>
      <c r="H575">
        <v>110</v>
      </c>
      <c r="I575">
        <v>9</v>
      </c>
      <c r="J575">
        <v>11</v>
      </c>
      <c r="K575">
        <v>2</v>
      </c>
      <c r="M575">
        <v>248</v>
      </c>
      <c r="N575">
        <v>130</v>
      </c>
      <c r="O575">
        <v>43433423.423423424</v>
      </c>
      <c r="P575">
        <v>59704866.666666664</v>
      </c>
      <c r="Q575">
        <v>309</v>
      </c>
      <c r="R575">
        <v>89</v>
      </c>
      <c r="S575">
        <v>97145801.801801801</v>
      </c>
      <c r="T575">
        <v>102423558.55855855</v>
      </c>
      <c r="U575">
        <v>39932522.522522517</v>
      </c>
      <c r="V575">
        <v>35365630.630630635</v>
      </c>
      <c r="W575">
        <v>8695</v>
      </c>
      <c r="X575">
        <v>8689</v>
      </c>
    </row>
    <row r="576" spans="1:24">
      <c r="A576" s="12" t="s">
        <v>665</v>
      </c>
      <c r="B576" s="13"/>
      <c r="C576" s="14">
        <v>170647571392.03604</v>
      </c>
      <c r="D576" s="14">
        <v>165176510778.63831</v>
      </c>
      <c r="E576" s="14">
        <v>32781030644.144142</v>
      </c>
      <c r="F576" s="14">
        <v>38543971790.090103</v>
      </c>
      <c r="G576" s="14">
        <v>56327</v>
      </c>
      <c r="H576" s="14">
        <v>51589</v>
      </c>
      <c r="I576" s="14">
        <v>5351</v>
      </c>
      <c r="J576" s="14">
        <v>6268</v>
      </c>
      <c r="K576" s="14">
        <v>529</v>
      </c>
      <c r="L576" s="14"/>
      <c r="M576" s="14">
        <v>71325</v>
      </c>
      <c r="N576" s="14">
        <v>86024</v>
      </c>
      <c r="O576" s="14">
        <v>33456758997.297302</v>
      </c>
      <c r="P576" s="14">
        <v>35706034837.837807</v>
      </c>
      <c r="Q576" s="14">
        <v>90449</v>
      </c>
      <c r="R576" s="14">
        <v>113108</v>
      </c>
      <c r="S576" s="14">
        <v>49157994558.558563</v>
      </c>
      <c r="T576" s="14">
        <v>49698301227.027039</v>
      </c>
      <c r="U576" s="14">
        <v>23769426241.44146</v>
      </c>
      <c r="V576" s="14">
        <v>26268212502.702713</v>
      </c>
      <c r="W576" s="14">
        <v>3720402</v>
      </c>
      <c r="X576" s="14">
        <v>3717608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2026-09-29T07:37:41Z</dcterms:modified>
</cp:coreProperties>
</file>